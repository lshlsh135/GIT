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activeTab="2"/>
  </bookViews>
  <sheets>
    <sheet name="2001~" sheetId="1" r:id="rId1"/>
    <sheet name="2008~" sheetId="2" r:id="rId2"/>
    <sheet name="Sheet3" sheetId="3" r:id="rId3"/>
    <sheet name="요약" sheetId="5" r:id="rId4"/>
    <sheet name="Sheet4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3" l="1"/>
  <c r="P15" i="3"/>
  <c r="O15" i="3"/>
  <c r="Q14" i="3"/>
  <c r="P14" i="3"/>
  <c r="O14" i="3"/>
  <c r="Q13" i="3"/>
  <c r="P13" i="3"/>
  <c r="O13" i="3"/>
  <c r="Q12" i="3"/>
  <c r="P12" i="3"/>
  <c r="O12" i="3"/>
  <c r="Q11" i="3"/>
  <c r="P11" i="3"/>
  <c r="O11" i="3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G6" i="3" l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<sst xmlns="http://schemas.openxmlformats.org/spreadsheetml/2006/main" count="198" uniqueCount="50">
  <si>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</si>
  <si>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</si>
  <si>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</si>
  <si>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</si>
  <si>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</si>
  <si>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</si>
  <si>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</si>
  <si>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</si>
  <si>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</si>
  <si>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</si>
  <si>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</si>
  <si>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</si>
  <si>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</si>
  <si>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</si>
  <si>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</si>
  <si>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</si>
  <si>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</si>
  <si>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</si>
  <si>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</si>
  <si>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</si>
  <si>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</si>
  <si>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</si>
  <si>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</si>
  <si>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</si>
  <si>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</si>
  <si>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</si>
  <si>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</si>
  <si>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</si>
  <si>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</si>
  <si>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</si>
  <si>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</si>
  <si>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</si>
  <si>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</si>
  <si>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</si>
  <si>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</si>
  <si>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</si>
  <si>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</si>
  <si>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</si>
  <si>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</si>
  <si>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</si>
  <si>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</si>
  <si>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</si>
  <si>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</si>
  <si>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</si>
  <si>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</si>
  <si>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</si>
  <si>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20080229~20090227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</si>
  <si>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</si>
  <si>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20090831~</t>
    <phoneticPr fontId="1" type="noConversion"/>
  </si>
  <si>
    <t>200포트폴리오만 오르는데 이때 200포트폴리오를 제외한 나머지 두개의 포트폴리오는 대형주 비중이 거의 없다.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</si>
</sst>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Sheet3!$G$2:$G$39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Sheet3!$H$1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Sheet3!$H$2:$H$39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Sheet3!$I$1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Sheet3!$I$2:$I$39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Sheet3!$M$1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Sheet3!$M$2:$M$6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Sheet3!$N$1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Sheet3!$N$2:$N$6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102.54441508056016</c:v>
                </c:pt>
                <c:pt idx="4">
                  <c:v>103.65250403133081</c:v>
                </c:pt>
                <c:pt idx="5">
                  <c:v>109.94430687357044</c:v>
                </c:pt>
                <c:pt idx="6">
                  <c:v>122.62378600338549</c:v>
                </c:pt>
                <c:pt idx="7">
                  <c:v>119.33037476129331</c:v>
                </c:pt>
                <c:pt idx="8">
                  <c:v>126.95248314698557</c:v>
                </c:pt>
                <c:pt idx="9">
                  <c:v>125.0281953268513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Sheet3!$P$5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Sheet3!$P$6:$P$20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Sheet3!$Q$5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Sheet3!$Q$6:$Q$20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Sheet3!$J$2:$J$39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Sheet3!$K$1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Sheet3!$K$2:$K$39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365760</xdr:colOff>
      <xdr:row>6</xdr:row>
      <xdr:rowOff>99060</xdr:rowOff>
    </xdr:from>
    <xdr:to>
      <xdr:col>5</xdr:col>
      <xdr:colOff>236220</xdr:colOff>
      <xdr:row>18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6</xdr:row>
      <xdr:rowOff>83820</xdr:rowOff>
    </xdr:from>
    <xdr:to>
      <xdr:col>12</xdr:col>
      <xdr:colOff>106680</xdr:colOff>
      <xdr:row>18</xdr:row>
      <xdr:rowOff>175260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358140</xdr:colOff>
      <xdr:row>19</xdr:row>
      <xdr:rowOff>0</xdr:rowOff>
    </xdr:from>
    <xdr:to>
      <xdr:col>5</xdr:col>
      <xdr:colOff>228600</xdr:colOff>
      <xdr:row>31</xdr:row>
      <xdr:rowOff>91440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18</xdr:row>
      <xdr:rowOff>144780</xdr:rowOff>
    </xdr:from>
    <xdr:to>
      <xdr:col>12</xdr:col>
      <xdr:colOff>106680</xdr:colOff>
      <xdr:row>31</xdr:row>
      <xdr:rowOff>15240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41"/>
  <sheetViews>
    <sheetView workbookViewId="0"/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70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70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70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70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70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70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70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0"/>
  <sheetViews>
    <sheetView topLeftCell="A13" workbookViewId="0">
      <selection activeCell="S15" sqref="S15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>A38*B27</f>
        <v>111.57648362065001</v>
      </c>
      <c r="C38">
        <f>B38*C27</f>
        <v>89.91318975969665</v>
      </c>
      <c r="D38">
        <f>C38*D27</f>
        <v>58.371701955889947</v>
      </c>
      <c r="E38">
        <f>D38*E27</f>
        <v>60.75642849181547</v>
      </c>
      <c r="F38">
        <f>E38*F27</f>
        <v>87.391099568490148</v>
      </c>
      <c r="G38">
        <f>F38*G27</f>
        <v>95.340425215077218</v>
      </c>
      <c r="H38">
        <f>G38*H27</f>
        <v>89.682254340428514</v>
      </c>
      <c r="I38">
        <f>H38*I27</f>
        <v>87.791028205742364</v>
      </c>
      <c r="J38">
        <f>I38*J27</f>
        <v>87.638382516535316</v>
      </c>
      <c r="K38">
        <f>J38*K27</f>
        <v>95.19998280108743</v>
      </c>
      <c r="L38">
        <f>K38*L27</f>
        <v>105.99976661127016</v>
      </c>
      <c r="M38">
        <f>L38*M27</f>
        <v>99.824030869506146</v>
      </c>
      <c r="N38">
        <f>M38*N27</f>
        <v>103.53997836778272</v>
      </c>
      <c r="O38">
        <f>N38*O27</f>
        <v>107.58896559058876</v>
      </c>
      <c r="P38">
        <f>O38*P27</f>
        <v>99.992844504657981</v>
      </c>
      <c r="Q38">
        <f>P38*Q27</f>
        <v>119.76414268456617</v>
      </c>
      <c r="R38">
        <f>Q38*R27</f>
        <v>102.89999152154188</v>
      </c>
      <c r="S38">
        <f>R38*S27</f>
        <v>109.06158926155003</v>
      </c>
      <c r="T38">
        <f>S38*T27</f>
        <v>116.1942786138714</v>
      </c>
      <c r="U38">
        <f>T38*U27</f>
        <v>127.8894027638063</v>
      </c>
      <c r="V38">
        <f>U38*V27</f>
        <v>144.77849762601383</v>
      </c>
      <c r="W38">
        <f>V38*W27</f>
        <v>143.3779536543405</v>
      </c>
      <c r="X38">
        <f>W38*X27</f>
        <v>146.44624689200543</v>
      </c>
      <c r="Y38">
        <f>X38*Y27</f>
        <v>151.62454190936924</v>
      </c>
      <c r="Z38">
        <f>Y38*Z27</f>
        <v>162.41773055471162</v>
      </c>
      <c r="AA38">
        <f>Z38*AA27</f>
        <v>183.20304916074005</v>
      </c>
      <c r="AB38">
        <f>AA38*AB27</f>
        <v>178.27355079672532</v>
      </c>
      <c r="AC38">
        <f>AB38*AC27</f>
        <v>184.47411448879157</v>
      </c>
      <c r="AD38">
        <f>AC38*AD27</f>
        <v>205.75614364038938</v>
      </c>
      <c r="AE38">
        <f>AD38*AE27</f>
        <v>198.71798392954867</v>
      </c>
      <c r="AF38">
        <f>AE38*AF27</f>
        <v>196.30012028727205</v>
      </c>
      <c r="AG38">
        <f>AF38*AG27</f>
        <v>185.98121154231112</v>
      </c>
      <c r="AH38">
        <f>AG38*AH27</f>
        <v>196.48387592194177</v>
      </c>
      <c r="AI38">
        <f>AH38*AI27</f>
        <v>200.18709937052515</v>
      </c>
      <c r="AJ38">
        <f>AI38*AJ27</f>
        <v>197.88662056172419</v>
      </c>
      <c r="AK38">
        <f>AJ38*AK27</f>
        <v>200.80231964425204</v>
      </c>
      <c r="AL38">
        <f>AK38*AL27</f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5">B45*C44</f>
        <v>88.974850975288348</v>
      </c>
      <c r="D45">
        <f t="shared" si="5"/>
        <v>59.470811638904529</v>
      </c>
      <c r="E45">
        <f t="shared" si="5"/>
        <v>62.565502768471177</v>
      </c>
      <c r="F45">
        <f t="shared" si="5"/>
        <v>96.722265135231481</v>
      </c>
      <c r="G45">
        <f t="shared" si="5"/>
        <v>102.27509232919684</v>
      </c>
      <c r="H45">
        <f t="shared" si="5"/>
        <v>97.098285398938344</v>
      </c>
      <c r="I45">
        <f t="shared" si="5"/>
        <v>98.104782056461147</v>
      </c>
      <c r="J45">
        <f t="shared" si="5"/>
        <v>96.782288384250066</v>
      </c>
      <c r="K45">
        <f t="shared" si="5"/>
        <v>105.93443638514522</v>
      </c>
      <c r="L45">
        <f t="shared" si="5"/>
        <v>120.80536956412759</v>
      </c>
      <c r="M45">
        <f t="shared" si="5"/>
        <v>113.39454582067223</v>
      </c>
      <c r="N45">
        <f t="shared" si="5"/>
        <v>117.6366126471242</v>
      </c>
      <c r="O45">
        <f t="shared" si="5"/>
        <v>124.8105246048587</v>
      </c>
      <c r="P45">
        <f t="shared" si="5"/>
        <v>114.95260030511042</v>
      </c>
      <c r="Q45">
        <f t="shared" si="5"/>
        <v>134.16732306247269</v>
      </c>
      <c r="R45">
        <f t="shared" si="5"/>
        <v>115.56307885255404</v>
      </c>
      <c r="S45">
        <f t="shared" si="5"/>
        <v>122.02999256839027</v>
      </c>
      <c r="T45">
        <f t="shared" si="5"/>
        <v>123.24091820109265</v>
      </c>
      <c r="U45">
        <f t="shared" si="5"/>
        <v>135.355759506216</v>
      </c>
      <c r="V45">
        <f t="shared" si="5"/>
        <v>156.58136447210561</v>
      </c>
      <c r="W45">
        <f t="shared" si="5"/>
        <v>154.71683720286046</v>
      </c>
      <c r="X45">
        <f t="shared" si="5"/>
        <v>160.02614640622943</v>
      </c>
      <c r="Y45">
        <f t="shared" si="5"/>
        <v>173.42017782725503</v>
      </c>
      <c r="Z45">
        <f t="shared" si="5"/>
        <v>185.57607599457623</v>
      </c>
      <c r="AA45">
        <f t="shared" si="5"/>
        <v>194.35725270265968</v>
      </c>
      <c r="AB45">
        <f t="shared" si="5"/>
        <v>188.8957217550826</v>
      </c>
      <c r="AC45">
        <f t="shared" si="5"/>
        <v>194.49490783126998</v>
      </c>
      <c r="AD45">
        <f t="shared" si="5"/>
        <v>215.19375328989364</v>
      </c>
      <c r="AE45">
        <f t="shared" si="5"/>
        <v>203.49397320302657</v>
      </c>
      <c r="AF45">
        <f t="shared" si="5"/>
        <v>205.61906699605322</v>
      </c>
      <c r="AG45">
        <f t="shared" si="5"/>
        <v>197.46154707335657</v>
      </c>
      <c r="AH45">
        <f t="shared" si="5"/>
        <v>210.7459901513958</v>
      </c>
      <c r="AI45">
        <f t="shared" si="5"/>
        <v>213.30262668983357</v>
      </c>
      <c r="AJ45">
        <f t="shared" si="5"/>
        <v>206.87883055810224</v>
      </c>
      <c r="AK45">
        <f t="shared" si="5"/>
        <v>202.53722423663783</v>
      </c>
      <c r="AL45">
        <f t="shared" si="5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6">C47+C48</f>
        <v>0.88</v>
      </c>
      <c r="D50">
        <f t="shared" si="6"/>
        <v>0.8</v>
      </c>
      <c r="E50">
        <f t="shared" si="6"/>
        <v>0.68</v>
      </c>
      <c r="F50">
        <f t="shared" si="6"/>
        <v>0.8</v>
      </c>
      <c r="G50">
        <f t="shared" si="6"/>
        <v>0.96</v>
      </c>
      <c r="H50">
        <f t="shared" si="6"/>
        <v>0.96</v>
      </c>
      <c r="I50">
        <f t="shared" si="6"/>
        <v>0.96000000000000008</v>
      </c>
      <c r="J50">
        <f t="shared" si="6"/>
        <v>0.84000000000000008</v>
      </c>
      <c r="K50">
        <f t="shared" si="6"/>
        <v>0.84000000000000008</v>
      </c>
      <c r="L50">
        <f t="shared" si="6"/>
        <v>0.88000000000000012</v>
      </c>
      <c r="M50">
        <f t="shared" si="6"/>
        <v>0.88</v>
      </c>
      <c r="N50">
        <f t="shared" si="6"/>
        <v>0.84</v>
      </c>
      <c r="O50">
        <f t="shared" si="6"/>
        <v>0.88000000000000012</v>
      </c>
      <c r="P50">
        <f t="shared" si="6"/>
        <v>0.84000000000000008</v>
      </c>
      <c r="Q50">
        <f t="shared" si="6"/>
        <v>0.88</v>
      </c>
      <c r="R50">
        <f t="shared" si="6"/>
        <v>0.88</v>
      </c>
      <c r="S50">
        <f t="shared" si="6"/>
        <v>0.88</v>
      </c>
      <c r="T50">
        <f t="shared" si="6"/>
        <v>0.88</v>
      </c>
      <c r="U50">
        <f t="shared" si="6"/>
        <v>0.88</v>
      </c>
      <c r="V50">
        <f t="shared" si="6"/>
        <v>0.84</v>
      </c>
      <c r="W50">
        <f t="shared" si="6"/>
        <v>0.88</v>
      </c>
      <c r="X50">
        <f t="shared" si="6"/>
        <v>0.84000000000000008</v>
      </c>
      <c r="Y50">
        <f t="shared" si="6"/>
        <v>0.8</v>
      </c>
      <c r="Z50">
        <f t="shared" si="6"/>
        <v>0.92</v>
      </c>
      <c r="AA50">
        <f t="shared" si="6"/>
        <v>0.84</v>
      </c>
      <c r="AB50">
        <f t="shared" si="6"/>
        <v>0.88</v>
      </c>
      <c r="AC50">
        <f t="shared" si="6"/>
        <v>0.8</v>
      </c>
      <c r="AD50">
        <f t="shared" si="6"/>
        <v>0.91999999999999993</v>
      </c>
      <c r="AE50">
        <f t="shared" si="6"/>
        <v>0.72</v>
      </c>
      <c r="AF50">
        <f t="shared" si="6"/>
        <v>0.56000000000000005</v>
      </c>
      <c r="AG50">
        <f t="shared" si="6"/>
        <v>0.52</v>
      </c>
      <c r="AH50">
        <f t="shared" si="6"/>
        <v>0.6</v>
      </c>
      <c r="AI50">
        <f t="shared" si="6"/>
        <v>0.6</v>
      </c>
      <c r="AJ50">
        <f t="shared" si="6"/>
        <v>0.68</v>
      </c>
      <c r="AK50">
        <f t="shared" si="6"/>
        <v>0.76</v>
      </c>
      <c r="AL50">
        <f t="shared" si="6"/>
        <v>0.52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9"/>
  <sheetViews>
    <sheetView tabSelected="1" topLeftCell="F4" workbookViewId="0">
      <selection activeCell="A15" sqref="A15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>H3*C4</f>
        <v>89.91318975969665</v>
      </c>
      <c r="I4" s="3">
        <f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>H4*C5</f>
        <v>58.371701955889947</v>
      </c>
      <c r="I5" s="3">
        <f>I4*D5</f>
        <v>59.470811638904529</v>
      </c>
      <c r="J5">
        <f t="shared" ref="J5:J39" si="0">J4*$E5</f>
        <v>64.545407777051011</v>
      </c>
      <c r="K5">
        <f t="shared" ref="K5:K39" si="1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>H5*C6</f>
        <v>60.75642849181547</v>
      </c>
      <c r="I6" s="3">
        <f>I5*D6</f>
        <v>62.565502768471177</v>
      </c>
      <c r="J6">
        <f t="shared" si="0"/>
        <v>63.0505559761</v>
      </c>
      <c r="K6">
        <f t="shared" si="1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>G6*B7</f>
        <v>86.348061629379643</v>
      </c>
      <c r="H7" s="3">
        <f>H6*C7</f>
        <v>87.391099568490148</v>
      </c>
      <c r="I7" s="3">
        <f>I6*D7</f>
        <v>96.722265135231481</v>
      </c>
      <c r="J7">
        <f t="shared" si="0"/>
        <v>81.429736820830911</v>
      </c>
      <c r="K7">
        <f t="shared" si="1"/>
        <v>84.19123791333412</v>
      </c>
      <c r="L7" s="3"/>
      <c r="M7" s="3"/>
      <c r="N7" s="3"/>
      <c r="O7" s="3">
        <f>O6*$B8</f>
        <v>107.23201648620899</v>
      </c>
      <c r="P7" s="3">
        <f>P6*$C8</f>
        <v>109.09626459197601</v>
      </c>
      <c r="Q7" s="3">
        <f>Q6*$D8</f>
        <v>105.74100201872001</v>
      </c>
      <c r="R7" s="17">
        <f>R6*$E7</f>
        <v>129.14991082980734</v>
      </c>
      <c r="S7">
        <f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>G7*B8</f>
        <v>92.592767681938284</v>
      </c>
      <c r="H8" s="3">
        <f>H7*C8</f>
        <v>95.340425215077218</v>
      </c>
      <c r="I8" s="3">
        <f>I7*D8</f>
        <v>102.27509232919684</v>
      </c>
      <c r="J8">
        <f t="shared" si="0"/>
        <v>95.323627330653267</v>
      </c>
      <c r="K8">
        <f t="shared" si="1"/>
        <v>84.661573355616554</v>
      </c>
      <c r="L8" s="3"/>
      <c r="M8" s="3"/>
      <c r="N8" s="3"/>
      <c r="O8" s="3">
        <f>O7*$B9</f>
        <v>101.1549841894867</v>
      </c>
      <c r="P8" s="3">
        <f>P7*$C9</f>
        <v>102.62172553412347</v>
      </c>
      <c r="Q8" s="3">
        <f>Q7*$D9</f>
        <v>100.38876288017153</v>
      </c>
      <c r="R8" s="17">
        <f>R7*$E8</f>
        <v>151.18602184378315</v>
      </c>
      <c r="S8">
        <f>S7*$F8</f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>G8*B9</f>
        <v>87.34536808912722</v>
      </c>
      <c r="H9" s="3">
        <f>H8*C9</f>
        <v>89.682254340428514</v>
      </c>
      <c r="I9" s="3">
        <f>I8*D9</f>
        <v>97.098285398938344</v>
      </c>
      <c r="J9">
        <f t="shared" si="0"/>
        <v>94.418191038238504</v>
      </c>
      <c r="K9">
        <f t="shared" si="1"/>
        <v>77.061000358123408</v>
      </c>
      <c r="L9" s="3"/>
      <c r="M9" s="3"/>
      <c r="N9" s="3"/>
      <c r="O9" s="3">
        <f>O8*$B10</f>
        <v>102.54441508056016</v>
      </c>
      <c r="P9" s="3">
        <f>P8*$C10</f>
        <v>100.4576308562622</v>
      </c>
      <c r="Q9" s="3">
        <f>Q8*$D10</f>
        <v>101.42936780822565</v>
      </c>
      <c r="R9" s="17">
        <f>R8*$E9</f>
        <v>149.74997377347276</v>
      </c>
      <c r="S9">
        <f>S8*$F9</f>
        <v>131.26601325796085</v>
      </c>
    </row>
    <row r="10" spans="1:19" x14ac:dyDescent="0.4">
      <c r="A10">
        <v>20100226</v>
      </c>
      <c r="B10" s="3">
        <v>1.01373566416135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>
        <f>G9*B10</f>
        <v>88.545114731248972</v>
      </c>
      <c r="H10" s="3">
        <f>H9*C10</f>
        <v>87.791028205742364</v>
      </c>
      <c r="I10" s="3">
        <f>I9*D10</f>
        <v>98.104782056461147</v>
      </c>
      <c r="J10">
        <f t="shared" si="0"/>
        <v>96.152630689292749</v>
      </c>
      <c r="K10">
        <f t="shared" si="1"/>
        <v>78.834905097290175</v>
      </c>
      <c r="L10" s="3"/>
      <c r="M10" s="3"/>
      <c r="N10" s="3"/>
      <c r="O10" s="3">
        <f>O9*$B11</f>
        <v>103.65250403133081</v>
      </c>
      <c r="P10" s="3">
        <f>P9*$C11</f>
        <v>100.28296125036324</v>
      </c>
      <c r="Q10" s="3">
        <f>Q9*$D11</f>
        <v>100.06205732354869</v>
      </c>
      <c r="R10" s="17">
        <f>R9*$E10</f>
        <v>152.50084507698944</v>
      </c>
      <c r="S10">
        <f>S9*$F10</f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>
        <f>G10*B11</f>
        <v>89.501928061368758</v>
      </c>
      <c r="H11" s="3">
        <f>H10*C11</f>
        <v>87.638382516535316</v>
      </c>
      <c r="I11" s="3">
        <f>I10*D11</f>
        <v>96.782288384250066</v>
      </c>
      <c r="J11">
        <f t="shared" si="0"/>
        <v>99.420138608185653</v>
      </c>
      <c r="K11">
        <f t="shared" si="1"/>
        <v>78.074489674107653</v>
      </c>
      <c r="L11" s="3"/>
      <c r="M11" s="3"/>
      <c r="N11" s="3"/>
      <c r="O11" s="3">
        <f>O10*$B12</f>
        <v>109.94430687357044</v>
      </c>
      <c r="P11" s="3">
        <f>P10*$C12</f>
        <v>108.93555896556414</v>
      </c>
      <c r="Q11" s="3">
        <f>Q10*$D12</f>
        <v>109.52435433251468</v>
      </c>
      <c r="R11" s="17">
        <f>R10*$E11</f>
        <v>157.6832068631908</v>
      </c>
      <c r="S11">
        <f>S10*$F11</f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>
        <f>G11*B12</f>
        <v>94.934777857184898</v>
      </c>
      <c r="H12" s="3">
        <f>H11*C12</f>
        <v>95.19998280108743</v>
      </c>
      <c r="I12" s="3">
        <f>I11*D12</f>
        <v>105.93443638514522</v>
      </c>
      <c r="J12">
        <f t="shared" si="0"/>
        <v>104.79543166234281</v>
      </c>
      <c r="K12">
        <f t="shared" si="1"/>
        <v>80.238748955473298</v>
      </c>
      <c r="L12" s="3"/>
      <c r="M12" s="3"/>
      <c r="N12" s="3"/>
      <c r="O12" s="3">
        <f>O11*$B13</f>
        <v>122.62378600338549</v>
      </c>
      <c r="P12" s="3">
        <f>P11*$C13</f>
        <v>121.29354949721859</v>
      </c>
      <c r="Q12" s="3">
        <f>Q11*$D13</f>
        <v>124.89923534692299</v>
      </c>
      <c r="R12" s="17">
        <f>R11*$E12</f>
        <v>166.20857665722517</v>
      </c>
      <c r="S12">
        <f>S11*$F12</f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>
        <f>G12*B13</f>
        <v>105.88326231048192</v>
      </c>
      <c r="H13" s="3">
        <f>H12*C13</f>
        <v>105.99976661127016</v>
      </c>
      <c r="I13" s="3">
        <f>I12*D13</f>
        <v>120.80536956412759</v>
      </c>
      <c r="J13">
        <f t="shared" si="0"/>
        <v>114.88384398862324</v>
      </c>
      <c r="K13">
        <f t="shared" si="1"/>
        <v>86.702876924913426</v>
      </c>
      <c r="L13" s="3"/>
      <c r="M13" s="3"/>
      <c r="N13" s="3"/>
      <c r="O13" s="3">
        <f>O12*$B14</f>
        <v>119.33037476129331</v>
      </c>
      <c r="P13" s="3">
        <f>P12*$C14</f>
        <v>114.22677064644562</v>
      </c>
      <c r="Q13" s="3">
        <f>Q12*$D14</f>
        <v>117.23727278525844</v>
      </c>
      <c r="R13" s="17">
        <f>R12*$E13</f>
        <v>182.20908953153599</v>
      </c>
      <c r="S13">
        <f>S12*$F13</f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>
        <f>G13*B14</f>
        <v>103.03946554145125</v>
      </c>
      <c r="H14" s="3">
        <f>H13*C14</f>
        <v>99.824030869506146</v>
      </c>
      <c r="I14" s="3">
        <f>I13*D14</f>
        <v>113.39454582067223</v>
      </c>
      <c r="J14">
        <f t="shared" si="0"/>
        <v>118.30274791095562</v>
      </c>
      <c r="K14">
        <f t="shared" si="1"/>
        <v>86.708845648800278</v>
      </c>
      <c r="L14" s="3"/>
      <c r="M14" s="3"/>
      <c r="N14" s="3"/>
      <c r="O14" s="3">
        <f>O13*$B15</f>
        <v>126.95248314698557</v>
      </c>
      <c r="P14" s="3">
        <f>P13*$C15</f>
        <v>118.47885983702081</v>
      </c>
      <c r="Q14" s="3">
        <f>Q13*$D15</f>
        <v>121.62309524353209</v>
      </c>
      <c r="R14" s="17">
        <f>R13*$E14</f>
        <v>187.6315697450782</v>
      </c>
      <c r="S14">
        <f>S13*$F14</f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>
        <f>G14*B15</f>
        <v>109.62100838778692</v>
      </c>
      <c r="H15" s="3">
        <f>H14*C15</f>
        <v>103.53997836778272</v>
      </c>
      <c r="I15" s="3">
        <f>I14*D15</f>
        <v>117.6366126471242</v>
      </c>
      <c r="J15">
        <f t="shared" si="0"/>
        <v>129.27528350004039</v>
      </c>
      <c r="K15">
        <f t="shared" si="1"/>
        <v>92.305121165094903</v>
      </c>
      <c r="L15" s="3"/>
      <c r="M15" s="3"/>
      <c r="N15" s="3"/>
      <c r="O15" s="3">
        <f>O14*$B16</f>
        <v>125.0281953268513</v>
      </c>
      <c r="P15" s="3">
        <f>P14*$C16</f>
        <v>123.11204015263495</v>
      </c>
      <c r="Q15" s="3">
        <f>Q14*$D16</f>
        <v>129.04011752656521</v>
      </c>
      <c r="R15" s="17">
        <f>R14*$E15</f>
        <v>205.03432761012232</v>
      </c>
      <c r="S15">
        <f>S14*$F15</f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>
        <f>G15*B16</f>
        <v>107.95942315493073</v>
      </c>
      <c r="H16" s="3">
        <f>H15*C16</f>
        <v>107.58896559058876</v>
      </c>
      <c r="I16" s="3">
        <f>I15*D16</f>
        <v>124.8105246048587</v>
      </c>
      <c r="J16">
        <f t="shared" si="0"/>
        <v>110.59698530870817</v>
      </c>
      <c r="K16">
        <f t="shared" si="1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>
        <f>G16*B17</f>
        <v>98.492858141038155</v>
      </c>
      <c r="H17" s="3">
        <f>H16*C17</f>
        <v>99.992844504657981</v>
      </c>
      <c r="I17" s="3">
        <f>I16*D17</f>
        <v>114.95260030511042</v>
      </c>
      <c r="J17">
        <f t="shared" si="0"/>
        <v>110.8527416640331</v>
      </c>
      <c r="K17">
        <f t="shared" si="1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>
        <f>G17*B18</f>
        <v>114.80288764236745</v>
      </c>
      <c r="H18" s="3">
        <f>H17*C18</f>
        <v>119.76414268456617</v>
      </c>
      <c r="I18" s="3">
        <f>I17*D18</f>
        <v>134.16732306247269</v>
      </c>
      <c r="J18">
        <f t="shared" si="0"/>
        <v>122.3110673418242</v>
      </c>
      <c r="K18">
        <f t="shared" si="1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>
        <f>G18*B19</f>
        <v>96.695489793309591</v>
      </c>
      <c r="H19" s="3">
        <f>H18*C19</f>
        <v>102.89999152154188</v>
      </c>
      <c r="I19" s="3">
        <f>I18*D19</f>
        <v>115.56307885255404</v>
      </c>
      <c r="J19">
        <f t="shared" si="0"/>
        <v>113.11265773479238</v>
      </c>
      <c r="K19">
        <f t="shared" si="1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>
        <f>G19*B20</f>
        <v>102.28839866568491</v>
      </c>
      <c r="H20" s="3">
        <f>H19*C20</f>
        <v>109.06158926155003</v>
      </c>
      <c r="I20" s="3">
        <f>I19*D20</f>
        <v>122.02999256839027</v>
      </c>
      <c r="J20">
        <f t="shared" si="0"/>
        <v>115.49457252676986</v>
      </c>
      <c r="K20">
        <f t="shared" si="1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>
        <f>G20*B21</f>
        <v>108.96497319117633</v>
      </c>
      <c r="H21" s="3">
        <f>H20*C21</f>
        <v>116.1942786138714</v>
      </c>
      <c r="I21" s="3">
        <f>I20*D21</f>
        <v>123.24091820109265</v>
      </c>
      <c r="J21">
        <f t="shared" si="0"/>
        <v>117.12244702977208</v>
      </c>
      <c r="K21">
        <f t="shared" si="1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>
        <f>G21*B22</f>
        <v>117.9527675266613</v>
      </c>
      <c r="H22" s="3">
        <f>H21*C22</f>
        <v>127.8894027638063</v>
      </c>
      <c r="I22" s="3">
        <f>I21*D22</f>
        <v>135.355759506216</v>
      </c>
      <c r="J22">
        <f t="shared" si="0"/>
        <v>123.42963393034312</v>
      </c>
      <c r="K22">
        <f t="shared" si="1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>
        <f>G22*B23</f>
        <v>130.78641124187271</v>
      </c>
      <c r="H23" s="3">
        <f>H22*C23</f>
        <v>144.77849762601383</v>
      </c>
      <c r="I23" s="3">
        <f>I22*D23</f>
        <v>156.58136447210561</v>
      </c>
      <c r="J23">
        <f t="shared" si="0"/>
        <v>120.24149867344761</v>
      </c>
      <c r="K23">
        <f t="shared" si="1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>
        <f>G23*B24</f>
        <v>126.41393559527151</v>
      </c>
      <c r="H24" s="3">
        <f>H23*C24</f>
        <v>143.3779536543405</v>
      </c>
      <c r="I24" s="3">
        <f>I23*D24</f>
        <v>154.71683720286046</v>
      </c>
      <c r="J24">
        <f t="shared" si="0"/>
        <v>116.41470746029528</v>
      </c>
      <c r="K24">
        <f t="shared" si="1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>
        <f>G24*B25</f>
        <v>131.67816190054475</v>
      </c>
      <c r="H25" s="3">
        <f>H24*C25</f>
        <v>146.44624689200543</v>
      </c>
      <c r="I25" s="3">
        <f>I24*D25</f>
        <v>160.02614640622943</v>
      </c>
      <c r="J25">
        <f t="shared" si="0"/>
        <v>124.72972873657828</v>
      </c>
      <c r="K25">
        <f t="shared" si="1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>
        <f>G25*B26</f>
        <v>136.89414368749595</v>
      </c>
      <c r="H26" s="3">
        <f>H25*C26</f>
        <v>151.62454190936924</v>
      </c>
      <c r="I26" s="3">
        <f>I25*D26</f>
        <v>173.42017782725503</v>
      </c>
      <c r="J26">
        <f t="shared" si="0"/>
        <v>119.26109931136864</v>
      </c>
      <c r="K26">
        <f t="shared" si="1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>
        <f>G26*B27</f>
        <v>145.73946208491097</v>
      </c>
      <c r="H27" s="3">
        <f>H26*C27</f>
        <v>162.41773055471162</v>
      </c>
      <c r="I27" s="3">
        <f>I26*D27</f>
        <v>185.57607599457623</v>
      </c>
      <c r="J27">
        <f t="shared" si="0"/>
        <v>119.97912792962289</v>
      </c>
      <c r="K27">
        <f t="shared" si="1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>
        <f>G27*B28</f>
        <v>158.33855094955658</v>
      </c>
      <c r="H28" s="3">
        <f>H27*C28</f>
        <v>183.20304916074005</v>
      </c>
      <c r="I28" s="3">
        <f>I27*D28</f>
        <v>194.35725270265968</v>
      </c>
      <c r="J28">
        <f t="shared" si="0"/>
        <v>122.27579060315871</v>
      </c>
      <c r="K28">
        <f t="shared" si="1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>
        <f>G28*B29</f>
        <v>149.60079984333555</v>
      </c>
      <c r="H29" s="3">
        <f>H28*C29</f>
        <v>178.27355079672532</v>
      </c>
      <c r="I29" s="3">
        <f>I28*D29</f>
        <v>188.8957217550826</v>
      </c>
      <c r="J29">
        <f t="shared" si="0"/>
        <v>116.49995957873693</v>
      </c>
      <c r="K29">
        <f t="shared" si="1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>
        <f>G29*B30</f>
        <v>158.78379750286493</v>
      </c>
      <c r="H30" s="3">
        <f>H29*C30</f>
        <v>184.47411448879157</v>
      </c>
      <c r="I30" s="3">
        <f>I29*D30</f>
        <v>194.49490783126998</v>
      </c>
      <c r="J30">
        <f t="shared" si="0"/>
        <v>115.15650378122541</v>
      </c>
      <c r="K30">
        <f t="shared" si="1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>
        <f>G30*B31</f>
        <v>181.95239112249979</v>
      </c>
      <c r="H31" s="3">
        <f>H30*C31</f>
        <v>205.75614364038938</v>
      </c>
      <c r="I31" s="3">
        <f>I30*D31</f>
        <v>215.19375328989364</v>
      </c>
      <c r="J31">
        <f t="shared" si="0"/>
        <v>117.92793256263455</v>
      </c>
      <c r="K31">
        <f t="shared" si="1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>
        <f>G31*B32</f>
        <v>168.00476068867169</v>
      </c>
      <c r="H32" s="3">
        <f>H31*C32</f>
        <v>198.71798392954867</v>
      </c>
      <c r="I32" s="3">
        <f>I31*D32</f>
        <v>203.49397320302657</v>
      </c>
      <c r="J32">
        <f t="shared" si="0"/>
        <v>104.94829752989334</v>
      </c>
      <c r="K32">
        <f t="shared" si="1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>
        <f>G32*B33</f>
        <v>167.45127672527676</v>
      </c>
      <c r="H33" s="3">
        <f>H32*C33</f>
        <v>196.30012028727205</v>
      </c>
      <c r="I33" s="3">
        <f>I32*D33</f>
        <v>205.61906699605322</v>
      </c>
      <c r="J33">
        <f t="shared" si="0"/>
        <v>111.14524462213465</v>
      </c>
      <c r="K33">
        <f t="shared" si="1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>
        <f>G33*B34</f>
        <v>162.44819821988972</v>
      </c>
      <c r="H34" s="3">
        <f>H33*C34</f>
        <v>185.98121154231112</v>
      </c>
      <c r="I34" s="3">
        <f>I33*D34</f>
        <v>197.46154707335657</v>
      </c>
      <c r="J34">
        <f t="shared" si="0"/>
        <v>106.8466270293311</v>
      </c>
      <c r="K34">
        <f t="shared" si="1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>
        <f>G34*B35</f>
        <v>172.6631314206993</v>
      </c>
      <c r="H35" s="3">
        <f>H34*C35</f>
        <v>196.48387592194177</v>
      </c>
      <c r="I35" s="3">
        <f>I34*D35</f>
        <v>210.7459901513958</v>
      </c>
      <c r="J35">
        <f t="shared" si="0"/>
        <v>110.82775397414507</v>
      </c>
      <c r="K35">
        <f t="shared" si="1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>
        <f>G35*B36</f>
        <v>175.2658225226017</v>
      </c>
      <c r="H36" s="3">
        <f>H35*C36</f>
        <v>200.18709937052515</v>
      </c>
      <c r="I36" s="3">
        <f>I35*D36</f>
        <v>213.30262668983357</v>
      </c>
      <c r="J36">
        <f t="shared" si="0"/>
        <v>117.34807117082025</v>
      </c>
      <c r="K36">
        <f t="shared" si="1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>
        <f>G36*B37</f>
        <v>172.94978988303393</v>
      </c>
      <c r="H37" s="3">
        <f>H36*C37</f>
        <v>197.88662056172419</v>
      </c>
      <c r="I37" s="3">
        <f>I36*D37</f>
        <v>206.87883055810224</v>
      </c>
      <c r="J37">
        <f t="shared" si="0"/>
        <v>116.25081761191177</v>
      </c>
      <c r="K37">
        <f t="shared" si="1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>
        <f>G37*B38</f>
        <v>178.28697912541892</v>
      </c>
      <c r="H38" s="3">
        <f>H37*C38</f>
        <v>200.80231964425204</v>
      </c>
      <c r="I38" s="3">
        <f>I37*D38</f>
        <v>202.53722423663783</v>
      </c>
      <c r="J38">
        <f t="shared" si="0"/>
        <v>123.67289644072405</v>
      </c>
      <c r="K38">
        <f t="shared" si="1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>
        <f>G38*B39</f>
        <v>192.14841740301662</v>
      </c>
      <c r="H39" s="3">
        <f>H38*C39</f>
        <v>219.91212505533636</v>
      </c>
      <c r="I39" s="3">
        <f>I38*D39</f>
        <v>223.23941961480068</v>
      </c>
      <c r="J39">
        <f t="shared" si="0"/>
        <v>139.82229342897247</v>
      </c>
      <c r="K39">
        <f t="shared" si="1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workbookViewId="0">
      <selection activeCell="A5" sqref="A5"/>
    </sheetView>
  </sheetViews>
  <sheetFormatPr defaultRowHeight="17.399999999999999" x14ac:dyDescent="0.4"/>
  <sheetData>
    <row r="1" spans="1:1" x14ac:dyDescent="0.4">
      <c r="A1" s="16" t="s">
        <v>46</v>
      </c>
    </row>
    <row r="2" spans="1:1" x14ac:dyDescent="0.4">
      <c r="A2" t="s">
        <v>47</v>
      </c>
    </row>
    <row r="3" spans="1:1" x14ac:dyDescent="0.4">
      <c r="A3" t="s">
        <v>48</v>
      </c>
    </row>
    <row r="4" spans="1:1" x14ac:dyDescent="0.4">
      <c r="A4" t="s">
        <v>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O19"/>
  <sheetViews>
    <sheetView showGridLines="0" workbookViewId="0">
      <pane xSplit="3" ySplit="13" topLeftCell="Z14" activePane="bottomRight" state="frozen"/>
      <selection pane="topRight" activeCell="D1" sqref="D1"/>
      <selection pane="bottomLeft" activeCell="A14" sqref="A14"/>
      <selection pane="bottomRight" activeCell="B16" sqref="B16:B17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2001~</vt:lpstr>
      <vt:lpstr>2008~</vt:lpstr>
      <vt:lpstr>Sheet3</vt:lpstr>
      <vt:lpstr>요약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2017-07-12T07:53:35Z</dcterms:modified>
</cp:coreProperties>
</file>
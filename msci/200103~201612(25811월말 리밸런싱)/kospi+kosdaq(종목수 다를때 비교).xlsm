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6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 firstSheet="1" activeTab="8"/>
  </bookViews>
  <sheets>
    <sheet name="2001~Q" sheetId="1" r:id="rId1"/>
    <sheet name="섹터" sheetId="9" r:id="rId2"/>
    <sheet name="Quarter results" sheetId="3" r:id="rId3"/>
    <sheet name="BM_quarter" sheetId="4" r:id="rId4"/>
    <sheet name="2008~Q" sheetId="2" r:id="rId5"/>
    <sheet name="BM_monthly" sheetId="6" r:id="rId6"/>
    <sheet name="요약" sheetId="5" r:id="rId7"/>
    <sheet name="그래프result" sheetId="7" r:id="rId8"/>
    <sheet name="12개월롤링초과수익률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W82" i="8" l="1"/>
  <c r="CV82" i="8"/>
  <c r="CU82" i="8"/>
  <c r="CT82" i="8"/>
  <c r="CS82" i="8"/>
  <c r="CR82" i="8"/>
  <c r="CQ82" i="8"/>
  <c r="CP82" i="8"/>
  <c r="CO82" i="8"/>
  <c r="CN82" i="8"/>
  <c r="CM82" i="8"/>
  <c r="CL82" i="8"/>
  <c r="CK82" i="8"/>
  <c r="CJ82" i="8"/>
  <c r="CI82" i="8"/>
  <c r="CH82" i="8"/>
  <c r="CG82" i="8"/>
  <c r="CF82" i="8"/>
  <c r="CE82" i="8"/>
  <c r="CD82" i="8"/>
  <c r="CC82" i="8"/>
  <c r="CB82" i="8"/>
  <c r="CA82" i="8"/>
  <c r="BZ82" i="8"/>
  <c r="BY82" i="8"/>
  <c r="BX82" i="8"/>
  <c r="BW82" i="8"/>
  <c r="BV82" i="8"/>
  <c r="BU82" i="8"/>
  <c r="BT82" i="8"/>
  <c r="BS82" i="8"/>
  <c r="BR82" i="8"/>
  <c r="BQ82" i="8"/>
  <c r="BP82" i="8"/>
  <c r="BO82" i="8"/>
  <c r="BN82" i="8"/>
  <c r="BM82" i="8"/>
  <c r="BL82" i="8"/>
  <c r="BK82" i="8"/>
  <c r="BJ82" i="8"/>
  <c r="BI82" i="8"/>
  <c r="BH82" i="8"/>
  <c r="BG82" i="8"/>
  <c r="BF82" i="8"/>
  <c r="BE82" i="8"/>
  <c r="BD82" i="8"/>
  <c r="BC82" i="8"/>
  <c r="BB82" i="8"/>
  <c r="BA82" i="8"/>
  <c r="AZ82" i="8"/>
  <c r="AY82" i="8"/>
  <c r="AX82" i="8"/>
  <c r="AW82" i="8"/>
  <c r="AV82" i="8"/>
  <c r="AU82" i="8"/>
  <c r="AT82" i="8"/>
  <c r="AS82" i="8"/>
  <c r="AR82" i="8"/>
  <c r="AQ82" i="8"/>
  <c r="AP82" i="8"/>
  <c r="AO82" i="8"/>
  <c r="AN82" i="8"/>
  <c r="AM82" i="8"/>
  <c r="AL82" i="8"/>
  <c r="AK82" i="8"/>
  <c r="AJ82" i="8"/>
  <c r="AI82" i="8"/>
  <c r="AH82" i="8"/>
  <c r="AG82" i="8"/>
  <c r="AF82" i="8"/>
  <c r="AE82" i="8"/>
  <c r="AD82" i="8"/>
  <c r="AC82" i="8"/>
  <c r="AB82" i="8"/>
  <c r="AA82" i="8"/>
  <c r="Z82" i="8"/>
  <c r="Y82" i="8"/>
  <c r="X82" i="8"/>
  <c r="W82" i="8"/>
  <c r="V82" i="8"/>
  <c r="U82" i="8"/>
  <c r="T82" i="8"/>
  <c r="S82" i="8"/>
  <c r="R82" i="8"/>
  <c r="Q82" i="8"/>
  <c r="P82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B82" i="8"/>
  <c r="BR103" i="1"/>
  <c r="BQ103" i="1"/>
  <c r="BO103" i="1"/>
  <c r="BP103" i="1" s="1"/>
  <c r="BR102" i="1"/>
  <c r="BQ102" i="1"/>
  <c r="BO102" i="1"/>
  <c r="BP102" i="1" s="1"/>
  <c r="CW77" i="8"/>
  <c r="CV77" i="8"/>
  <c r="CU77" i="8"/>
  <c r="CT77" i="8"/>
  <c r="CS77" i="8"/>
  <c r="CR77" i="8"/>
  <c r="CQ77" i="8"/>
  <c r="CP77" i="8"/>
  <c r="CO77" i="8"/>
  <c r="CN77" i="8"/>
  <c r="CM77" i="8"/>
  <c r="CL77" i="8"/>
  <c r="CK77" i="8"/>
  <c r="CJ77" i="8"/>
  <c r="CI77" i="8"/>
  <c r="CH77" i="8"/>
  <c r="CG77" i="8"/>
  <c r="CF77" i="8"/>
  <c r="CE77" i="8"/>
  <c r="CD77" i="8"/>
  <c r="CC77" i="8"/>
  <c r="CB77" i="8"/>
  <c r="CA77" i="8"/>
  <c r="BZ77" i="8"/>
  <c r="BY77" i="8"/>
  <c r="BX77" i="8"/>
  <c r="BW77" i="8"/>
  <c r="BV77" i="8"/>
  <c r="BU77" i="8"/>
  <c r="BT77" i="8"/>
  <c r="BS77" i="8"/>
  <c r="BR77" i="8"/>
  <c r="BQ77" i="8"/>
  <c r="BP77" i="8"/>
  <c r="BO77" i="8"/>
  <c r="BN77" i="8"/>
  <c r="BM77" i="8"/>
  <c r="BL77" i="8"/>
  <c r="BK77" i="8"/>
  <c r="BJ77" i="8"/>
  <c r="BI77" i="8"/>
  <c r="BH77" i="8"/>
  <c r="BG77" i="8"/>
  <c r="BF77" i="8"/>
  <c r="BE77" i="8"/>
  <c r="BD77" i="8"/>
  <c r="BC77" i="8"/>
  <c r="BB77" i="8"/>
  <c r="BA77" i="8"/>
  <c r="AZ77" i="8"/>
  <c r="AY77" i="8"/>
  <c r="AX77" i="8"/>
  <c r="AW77" i="8"/>
  <c r="AV77" i="8"/>
  <c r="AU77" i="8"/>
  <c r="AT77" i="8"/>
  <c r="AS77" i="8"/>
  <c r="AR77" i="8"/>
  <c r="AQ77" i="8"/>
  <c r="AP77" i="8"/>
  <c r="AO77" i="8"/>
  <c r="AN77" i="8"/>
  <c r="AM77" i="8"/>
  <c r="AL77" i="8"/>
  <c r="AK77" i="8"/>
  <c r="AJ77" i="8"/>
  <c r="AI77" i="8"/>
  <c r="AH77" i="8"/>
  <c r="AG77" i="8"/>
  <c r="AF77" i="8"/>
  <c r="AE77" i="8"/>
  <c r="AD77" i="8"/>
  <c r="AC77" i="8"/>
  <c r="AB77" i="8"/>
  <c r="AA77" i="8"/>
  <c r="Z77" i="8"/>
  <c r="Y77" i="8"/>
  <c r="X77" i="8"/>
  <c r="W77" i="8"/>
  <c r="V77" i="8"/>
  <c r="U77" i="8"/>
  <c r="T77" i="8"/>
  <c r="S77" i="8"/>
  <c r="R77" i="8"/>
  <c r="Q77" i="8"/>
  <c r="P77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B77" i="8"/>
  <c r="BR98" i="1"/>
  <c r="BQ98" i="1"/>
  <c r="BO98" i="1"/>
  <c r="BP98" i="1" s="1"/>
  <c r="BR97" i="1"/>
  <c r="BQ97" i="1"/>
  <c r="BO97" i="1"/>
  <c r="BP97" i="1" s="1"/>
  <c r="CW72" i="8"/>
  <c r="CV72" i="8"/>
  <c r="CU72" i="8"/>
  <c r="CT72" i="8"/>
  <c r="CS72" i="8"/>
  <c r="CR72" i="8"/>
  <c r="CQ72" i="8"/>
  <c r="CP72" i="8"/>
  <c r="CO72" i="8"/>
  <c r="CN72" i="8"/>
  <c r="CM72" i="8"/>
  <c r="CL72" i="8"/>
  <c r="CK72" i="8"/>
  <c r="CJ72" i="8"/>
  <c r="CI72" i="8"/>
  <c r="CH72" i="8"/>
  <c r="CG72" i="8"/>
  <c r="CF72" i="8"/>
  <c r="CE72" i="8"/>
  <c r="CD72" i="8"/>
  <c r="CC72" i="8"/>
  <c r="CB72" i="8"/>
  <c r="CA72" i="8"/>
  <c r="BZ72" i="8"/>
  <c r="BY72" i="8"/>
  <c r="BX72" i="8"/>
  <c r="BW72" i="8"/>
  <c r="BV72" i="8"/>
  <c r="BU72" i="8"/>
  <c r="BT72" i="8"/>
  <c r="BS72" i="8"/>
  <c r="BR72" i="8"/>
  <c r="BQ72" i="8"/>
  <c r="BP72" i="8"/>
  <c r="BO72" i="8"/>
  <c r="BN72" i="8"/>
  <c r="BM72" i="8"/>
  <c r="BL72" i="8"/>
  <c r="BK72" i="8"/>
  <c r="BJ72" i="8"/>
  <c r="BI72" i="8"/>
  <c r="BH72" i="8"/>
  <c r="BG72" i="8"/>
  <c r="BF72" i="8"/>
  <c r="BE72" i="8"/>
  <c r="BD72" i="8"/>
  <c r="BC72" i="8"/>
  <c r="BB72" i="8"/>
  <c r="BA72" i="8"/>
  <c r="AZ72" i="8"/>
  <c r="AY72" i="8"/>
  <c r="AX72" i="8"/>
  <c r="AW72" i="8"/>
  <c r="AV72" i="8"/>
  <c r="AU72" i="8"/>
  <c r="AT72" i="8"/>
  <c r="AS72" i="8"/>
  <c r="AR72" i="8"/>
  <c r="AQ72" i="8"/>
  <c r="AP72" i="8"/>
  <c r="AO72" i="8"/>
  <c r="AN72" i="8"/>
  <c r="AM72" i="8"/>
  <c r="AL72" i="8"/>
  <c r="AK72" i="8"/>
  <c r="AJ72" i="8"/>
  <c r="AI72" i="8"/>
  <c r="AH72" i="8"/>
  <c r="AG72" i="8"/>
  <c r="AF72" i="8"/>
  <c r="AE72" i="8"/>
  <c r="AD72" i="8"/>
  <c r="AC72" i="8"/>
  <c r="AB72" i="8"/>
  <c r="AA72" i="8"/>
  <c r="Z72" i="8"/>
  <c r="Y72" i="8"/>
  <c r="X72" i="8"/>
  <c r="W72" i="8"/>
  <c r="V72" i="8"/>
  <c r="U72" i="8"/>
  <c r="T72" i="8"/>
  <c r="S72" i="8"/>
  <c r="R72" i="8"/>
  <c r="Q72" i="8"/>
  <c r="P72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B72" i="8"/>
  <c r="BR93" i="1"/>
  <c r="BQ93" i="1"/>
  <c r="BO93" i="1"/>
  <c r="BP93" i="1" s="1"/>
  <c r="BR92" i="1"/>
  <c r="BQ92" i="1"/>
  <c r="BO92" i="1"/>
  <c r="BP92" i="1" s="1"/>
  <c r="CW67" i="8"/>
  <c r="CV67" i="8"/>
  <c r="CU67" i="8"/>
  <c r="CT67" i="8"/>
  <c r="CS67" i="8"/>
  <c r="CR67" i="8"/>
  <c r="CQ67" i="8"/>
  <c r="CP67" i="8"/>
  <c r="CO67" i="8"/>
  <c r="CN67" i="8"/>
  <c r="CM67" i="8"/>
  <c r="CL67" i="8"/>
  <c r="CK67" i="8"/>
  <c r="CJ67" i="8"/>
  <c r="CI67" i="8"/>
  <c r="CH67" i="8"/>
  <c r="CG67" i="8"/>
  <c r="CF67" i="8"/>
  <c r="CE67" i="8"/>
  <c r="CD67" i="8"/>
  <c r="CC67" i="8"/>
  <c r="CB67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BR88" i="1"/>
  <c r="BQ88" i="1"/>
  <c r="BO88" i="1"/>
  <c r="BP88" i="1" s="1"/>
  <c r="BR87" i="1"/>
  <c r="BQ87" i="1"/>
  <c r="BO87" i="1"/>
  <c r="BP87" i="1" s="1"/>
  <c r="CW62" i="8"/>
  <c r="CV62" i="8"/>
  <c r="CU62" i="8"/>
  <c r="CT62" i="8"/>
  <c r="CS62" i="8"/>
  <c r="CR62" i="8"/>
  <c r="CQ62" i="8"/>
  <c r="CP62" i="8"/>
  <c r="CO62" i="8"/>
  <c r="CN62" i="8"/>
  <c r="CM62" i="8"/>
  <c r="CL62" i="8"/>
  <c r="CK62" i="8"/>
  <c r="CJ62" i="8"/>
  <c r="CI62" i="8"/>
  <c r="CH62" i="8"/>
  <c r="CG62" i="8"/>
  <c r="CF62" i="8"/>
  <c r="CE62" i="8"/>
  <c r="CD62" i="8"/>
  <c r="CC62" i="8"/>
  <c r="CB62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BR83" i="1"/>
  <c r="BQ83" i="1"/>
  <c r="BO83" i="1"/>
  <c r="BP83" i="1" s="1"/>
  <c r="BR82" i="1"/>
  <c r="BQ82" i="1"/>
  <c r="BO82" i="1"/>
  <c r="BP82" i="1" s="1"/>
  <c r="CW58" i="8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BR78" i="1"/>
  <c r="BQ78" i="1"/>
  <c r="BO78" i="1"/>
  <c r="BP78" i="1" s="1"/>
  <c r="BR77" i="1"/>
  <c r="BQ77" i="1"/>
  <c r="BO77" i="1"/>
  <c r="BP77" i="1" s="1"/>
  <c r="BR73" i="1" l="1"/>
  <c r="BQ73" i="1"/>
  <c r="BO73" i="1"/>
  <c r="BP73" i="1" s="1"/>
  <c r="BR72" i="1"/>
  <c r="BQ72" i="1"/>
  <c r="BO72" i="1"/>
  <c r="BP72" i="1" s="1"/>
  <c r="BR69" i="1"/>
  <c r="BQ69" i="1"/>
  <c r="BO69" i="1"/>
  <c r="BP69" i="1" s="1"/>
  <c r="BR68" i="1"/>
  <c r="BQ68" i="1"/>
  <c r="BO68" i="1"/>
  <c r="BP68" i="1" s="1"/>
  <c r="CW54" i="8" l="1"/>
  <c r="CV54" i="8"/>
  <c r="CU54" i="8"/>
  <c r="CT54" i="8"/>
  <c r="CS54" i="8"/>
  <c r="CR54" i="8"/>
  <c r="CQ54" i="8"/>
  <c r="CP54" i="8"/>
  <c r="CO54" i="8"/>
  <c r="CN54" i="8"/>
  <c r="CM54" i="8"/>
  <c r="CL54" i="8"/>
  <c r="CK54" i="8"/>
  <c r="CJ54" i="8"/>
  <c r="CI54" i="8"/>
  <c r="CH54" i="8"/>
  <c r="CG54" i="8"/>
  <c r="CF54" i="8"/>
  <c r="CE54" i="8"/>
  <c r="CD54" i="8"/>
  <c r="CC54" i="8"/>
  <c r="CB54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BR64" i="1"/>
  <c r="BQ64" i="1"/>
  <c r="BO64" i="1"/>
  <c r="BP64" i="1" s="1"/>
  <c r="BR63" i="1"/>
  <c r="BQ63" i="1"/>
  <c r="BO63" i="1"/>
  <c r="BP63" i="1" s="1"/>
  <c r="CW47" i="8" l="1"/>
  <c r="CW46" i="8"/>
  <c r="CW45" i="8"/>
  <c r="CW44" i="8"/>
  <c r="CV47" i="8"/>
  <c r="CU47" i="8"/>
  <c r="CT47" i="8"/>
  <c r="CS47" i="8"/>
  <c r="CR47" i="8"/>
  <c r="CQ47" i="8"/>
  <c r="CP47" i="8"/>
  <c r="CO47" i="8"/>
  <c r="CN47" i="8"/>
  <c r="CM47" i="8"/>
  <c r="CL47" i="8"/>
  <c r="CK47" i="8"/>
  <c r="CJ47" i="8"/>
  <c r="CI47" i="8"/>
  <c r="CH47" i="8"/>
  <c r="CG47" i="8"/>
  <c r="CF47" i="8"/>
  <c r="CE47" i="8"/>
  <c r="CD47" i="8"/>
  <c r="CC47" i="8"/>
  <c r="CB47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CV46" i="8"/>
  <c r="CU46" i="8"/>
  <c r="CT46" i="8"/>
  <c r="CS46" i="8"/>
  <c r="CR46" i="8"/>
  <c r="CQ46" i="8"/>
  <c r="CP46" i="8"/>
  <c r="CO46" i="8"/>
  <c r="CN46" i="8"/>
  <c r="CM46" i="8"/>
  <c r="CL46" i="8"/>
  <c r="CK46" i="8"/>
  <c r="CJ46" i="8"/>
  <c r="CI46" i="8"/>
  <c r="CH46" i="8"/>
  <c r="CG46" i="8"/>
  <c r="CF46" i="8"/>
  <c r="CE46" i="8"/>
  <c r="CD46" i="8"/>
  <c r="CC46" i="8"/>
  <c r="CB46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CV45" i="8"/>
  <c r="CU45" i="8"/>
  <c r="CT45" i="8"/>
  <c r="CS45" i="8"/>
  <c r="CR45" i="8"/>
  <c r="CQ45" i="8"/>
  <c r="CP45" i="8"/>
  <c r="CO45" i="8"/>
  <c r="CN45" i="8"/>
  <c r="CM45" i="8"/>
  <c r="CL45" i="8"/>
  <c r="CK45" i="8"/>
  <c r="CJ45" i="8"/>
  <c r="CI45" i="8"/>
  <c r="CH45" i="8"/>
  <c r="CG45" i="8"/>
  <c r="CF45" i="8"/>
  <c r="CE45" i="8"/>
  <c r="CD45" i="8"/>
  <c r="CC45" i="8"/>
  <c r="CB45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CV44" i="8"/>
  <c r="CU44" i="8"/>
  <c r="CT44" i="8"/>
  <c r="CS44" i="8"/>
  <c r="CR44" i="8"/>
  <c r="CQ44" i="8"/>
  <c r="CP44" i="8"/>
  <c r="CO44" i="8"/>
  <c r="CN44" i="8"/>
  <c r="CM44" i="8"/>
  <c r="CL44" i="8"/>
  <c r="CK44" i="8"/>
  <c r="CJ44" i="8"/>
  <c r="CI44" i="8"/>
  <c r="CH44" i="8"/>
  <c r="CG44" i="8"/>
  <c r="CF44" i="8"/>
  <c r="CE44" i="8"/>
  <c r="CD44" i="8"/>
  <c r="CC44" i="8"/>
  <c r="CB44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7" i="8"/>
  <c r="B46" i="8"/>
  <c r="B45" i="8"/>
  <c r="B44" i="8"/>
  <c r="BR59" i="1"/>
  <c r="BQ59" i="1"/>
  <c r="BO59" i="1"/>
  <c r="BP59" i="1" s="1"/>
  <c r="BR58" i="1"/>
  <c r="BQ58" i="1"/>
  <c r="BO58" i="1"/>
  <c r="BP58" i="1" s="1"/>
  <c r="BR54" i="1"/>
  <c r="BQ54" i="1"/>
  <c r="BO54" i="1"/>
  <c r="BP54" i="1" s="1"/>
  <c r="BR53" i="1"/>
  <c r="BQ53" i="1"/>
  <c r="BO53" i="1"/>
  <c r="BP53" i="1" s="1"/>
  <c r="BR46" i="1"/>
  <c r="BQ46" i="1"/>
  <c r="BO46" i="1"/>
  <c r="BP46" i="1" s="1"/>
  <c r="BR45" i="1"/>
  <c r="BQ45" i="1"/>
  <c r="BO45" i="1"/>
  <c r="BP45" i="1" s="1"/>
  <c r="BR50" i="1"/>
  <c r="BQ50" i="1"/>
  <c r="BO50" i="1"/>
  <c r="BP50" i="1" s="1"/>
  <c r="BR49" i="1"/>
  <c r="BQ49" i="1"/>
  <c r="BO49" i="1"/>
  <c r="BP49" i="1" s="1"/>
  <c r="CZ24" i="8" l="1"/>
  <c r="CY24" i="8"/>
  <c r="CX24" i="8"/>
  <c r="CW24" i="8"/>
  <c r="CV24" i="8"/>
  <c r="CU24" i="8"/>
  <c r="CT24" i="8"/>
  <c r="CS24" i="8"/>
  <c r="CR24" i="8"/>
  <c r="CQ24" i="8"/>
  <c r="CP24" i="8"/>
  <c r="CO24" i="8"/>
  <c r="CN24" i="8"/>
  <c r="CM24" i="8"/>
  <c r="CL24" i="8"/>
  <c r="CK24" i="8"/>
  <c r="CJ24" i="8"/>
  <c r="CI24" i="8"/>
  <c r="CH24" i="8"/>
  <c r="CG24" i="8"/>
  <c r="CF24" i="8"/>
  <c r="CE24" i="8"/>
  <c r="CD24" i="8"/>
  <c r="CC24" i="8"/>
  <c r="CB24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CZ23" i="8"/>
  <c r="CY23" i="8"/>
  <c r="CX23" i="8"/>
  <c r="CW23" i="8"/>
  <c r="CV23" i="8"/>
  <c r="CU23" i="8"/>
  <c r="CT23" i="8"/>
  <c r="CS23" i="8"/>
  <c r="CR23" i="8"/>
  <c r="CQ23" i="8"/>
  <c r="CP23" i="8"/>
  <c r="CO23" i="8"/>
  <c r="CN23" i="8"/>
  <c r="CM23" i="8"/>
  <c r="CL23" i="8"/>
  <c r="CK23" i="8"/>
  <c r="CJ23" i="8"/>
  <c r="CI23" i="8"/>
  <c r="CH23" i="8"/>
  <c r="CG23" i="8"/>
  <c r="CF23" i="8"/>
  <c r="CE23" i="8"/>
  <c r="CD23" i="8"/>
  <c r="CC23" i="8"/>
  <c r="CB23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CZ22" i="8"/>
  <c r="CY22" i="8"/>
  <c r="CX22" i="8"/>
  <c r="CW22" i="8"/>
  <c r="CV22" i="8"/>
  <c r="CU22" i="8"/>
  <c r="CT22" i="8"/>
  <c r="CS22" i="8"/>
  <c r="CR22" i="8"/>
  <c r="CQ22" i="8"/>
  <c r="CP22" i="8"/>
  <c r="CO22" i="8"/>
  <c r="CN22" i="8"/>
  <c r="CM22" i="8"/>
  <c r="CL22" i="8"/>
  <c r="CK22" i="8"/>
  <c r="CJ22" i="8"/>
  <c r="CI22" i="8"/>
  <c r="CH22" i="8"/>
  <c r="CG22" i="8"/>
  <c r="CF22" i="8"/>
  <c r="CE22" i="8"/>
  <c r="CD22" i="8"/>
  <c r="CC22" i="8"/>
  <c r="CB22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CZ21" i="8"/>
  <c r="CY21" i="8"/>
  <c r="CX21" i="8"/>
  <c r="CW21" i="8"/>
  <c r="CV21" i="8"/>
  <c r="CU21" i="8"/>
  <c r="CT21" i="8"/>
  <c r="CS21" i="8"/>
  <c r="CR21" i="8"/>
  <c r="CQ21" i="8"/>
  <c r="CP21" i="8"/>
  <c r="CO21" i="8"/>
  <c r="CN21" i="8"/>
  <c r="CM21" i="8"/>
  <c r="CL21" i="8"/>
  <c r="CK21" i="8"/>
  <c r="CJ21" i="8"/>
  <c r="CI21" i="8"/>
  <c r="CH21" i="8"/>
  <c r="CG21" i="8"/>
  <c r="CF21" i="8"/>
  <c r="CE21" i="8"/>
  <c r="CD21" i="8"/>
  <c r="CC21" i="8"/>
  <c r="CB21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4" i="8"/>
  <c r="F23" i="8"/>
  <c r="F22" i="8"/>
  <c r="F21" i="8"/>
  <c r="E24" i="8"/>
  <c r="E23" i="8"/>
  <c r="E22" i="8"/>
  <c r="E21" i="8"/>
  <c r="DK15" i="8"/>
  <c r="DJ15" i="8"/>
  <c r="DI15" i="8"/>
  <c r="DH15" i="8"/>
  <c r="DG15" i="8"/>
  <c r="DF15" i="8"/>
  <c r="DE15" i="8"/>
  <c r="DD15" i="8"/>
  <c r="DC15" i="8"/>
  <c r="DB15" i="8"/>
  <c r="DA15" i="8"/>
  <c r="CZ15" i="8"/>
  <c r="CY15" i="8"/>
  <c r="CX15" i="8"/>
  <c r="CW15" i="8"/>
  <c r="CV15" i="8"/>
  <c r="CU15" i="8"/>
  <c r="CT15" i="8"/>
  <c r="CS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CE15" i="8"/>
  <c r="CD15" i="8"/>
  <c r="CC15" i="8"/>
  <c r="CB15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BI135" i="6"/>
  <c r="BH135" i="6"/>
  <c r="BG135" i="6"/>
  <c r="BF135" i="6"/>
  <c r="BE135" i="6"/>
  <c r="BD135" i="6"/>
  <c r="BI134" i="6"/>
  <c r="BH134" i="6"/>
  <c r="BG134" i="6"/>
  <c r="BF134" i="6"/>
  <c r="BE134" i="6"/>
  <c r="BD134" i="6"/>
  <c r="BI133" i="6"/>
  <c r="BH133" i="6"/>
  <c r="BG133" i="6"/>
  <c r="BF133" i="6"/>
  <c r="BE133" i="6"/>
  <c r="BD133" i="6"/>
  <c r="BI132" i="6"/>
  <c r="BH132" i="6"/>
  <c r="BG132" i="6"/>
  <c r="BF132" i="6"/>
  <c r="BE132" i="6"/>
  <c r="BD132" i="6"/>
  <c r="BI131" i="6"/>
  <c r="BH131" i="6"/>
  <c r="BG131" i="6"/>
  <c r="BF131" i="6"/>
  <c r="BE131" i="6"/>
  <c r="BD131" i="6"/>
  <c r="BI130" i="6"/>
  <c r="BH130" i="6"/>
  <c r="BG130" i="6"/>
  <c r="BF130" i="6"/>
  <c r="BE130" i="6"/>
  <c r="BD130" i="6"/>
  <c r="BI129" i="6"/>
  <c r="BH129" i="6"/>
  <c r="BG129" i="6"/>
  <c r="BF129" i="6"/>
  <c r="BE129" i="6"/>
  <c r="BD129" i="6"/>
  <c r="BI128" i="6"/>
  <c r="BH128" i="6"/>
  <c r="BG128" i="6"/>
  <c r="BF128" i="6"/>
  <c r="BE128" i="6"/>
  <c r="BD128" i="6"/>
  <c r="BI127" i="6"/>
  <c r="BH127" i="6"/>
  <c r="BG127" i="6"/>
  <c r="BF127" i="6"/>
  <c r="BE127" i="6"/>
  <c r="BD127" i="6"/>
  <c r="BI126" i="6"/>
  <c r="BH126" i="6"/>
  <c r="BG126" i="6"/>
  <c r="BF126" i="6"/>
  <c r="BE126" i="6"/>
  <c r="BD126" i="6"/>
  <c r="BI125" i="6"/>
  <c r="BH125" i="6"/>
  <c r="BG125" i="6"/>
  <c r="BF125" i="6"/>
  <c r="BE125" i="6"/>
  <c r="BD125" i="6"/>
  <c r="BI124" i="6"/>
  <c r="BH124" i="6"/>
  <c r="BG124" i="6"/>
  <c r="BF124" i="6"/>
  <c r="BE124" i="6"/>
  <c r="BD124" i="6"/>
  <c r="BI123" i="6"/>
  <c r="BH123" i="6"/>
  <c r="BG123" i="6"/>
  <c r="BF123" i="6"/>
  <c r="BE123" i="6"/>
  <c r="BD123" i="6"/>
  <c r="BI122" i="6"/>
  <c r="BH122" i="6"/>
  <c r="BG122" i="6"/>
  <c r="BF122" i="6"/>
  <c r="BE122" i="6"/>
  <c r="BD122" i="6"/>
  <c r="BI121" i="6"/>
  <c r="BH121" i="6"/>
  <c r="BG121" i="6"/>
  <c r="BF121" i="6"/>
  <c r="BE121" i="6"/>
  <c r="BD121" i="6"/>
  <c r="BI120" i="6"/>
  <c r="BH120" i="6"/>
  <c r="BG120" i="6"/>
  <c r="BF120" i="6"/>
  <c r="BE120" i="6"/>
  <c r="BD120" i="6"/>
  <c r="BI119" i="6"/>
  <c r="BH119" i="6"/>
  <c r="BG119" i="6"/>
  <c r="BF119" i="6"/>
  <c r="BE119" i="6"/>
  <c r="BD119" i="6"/>
  <c r="BI118" i="6"/>
  <c r="BH118" i="6"/>
  <c r="BG118" i="6"/>
  <c r="BF118" i="6"/>
  <c r="BE118" i="6"/>
  <c r="BD118" i="6"/>
  <c r="BI117" i="6"/>
  <c r="BH117" i="6"/>
  <c r="BG117" i="6"/>
  <c r="BF117" i="6"/>
  <c r="BE117" i="6"/>
  <c r="BD117" i="6"/>
  <c r="BI116" i="6"/>
  <c r="BH116" i="6"/>
  <c r="BG116" i="6"/>
  <c r="BF116" i="6"/>
  <c r="BE116" i="6"/>
  <c r="BD116" i="6"/>
  <c r="BI115" i="6"/>
  <c r="BH115" i="6"/>
  <c r="BG115" i="6"/>
  <c r="BF115" i="6"/>
  <c r="BE115" i="6"/>
  <c r="BD115" i="6"/>
  <c r="BB95" i="6"/>
  <c r="BB96" i="6" s="1"/>
  <c r="BB97" i="6" s="1"/>
  <c r="BB98" i="6" s="1"/>
  <c r="BB99" i="6" s="1"/>
  <c r="BB100" i="6" s="1"/>
  <c r="BB101" i="6" s="1"/>
  <c r="BB102" i="6" s="1"/>
  <c r="BB103" i="6" s="1"/>
  <c r="BB104" i="6" s="1"/>
  <c r="BB105" i="6" s="1"/>
  <c r="BB106" i="6" s="1"/>
  <c r="BB107" i="6" s="1"/>
  <c r="BB108" i="6" s="1"/>
  <c r="BB109" i="6" s="1"/>
  <c r="BB110" i="6" s="1"/>
  <c r="BB111" i="6" s="1"/>
  <c r="BB112" i="6" s="1"/>
  <c r="BB113" i="6" s="1"/>
  <c r="BB114" i="6" s="1"/>
  <c r="AX95" i="6"/>
  <c r="AX96" i="6" s="1"/>
  <c r="AX97" i="6" s="1"/>
  <c r="AX98" i="6" s="1"/>
  <c r="AX99" i="6" s="1"/>
  <c r="AX100" i="6" s="1"/>
  <c r="AX101" i="6" s="1"/>
  <c r="AX102" i="6" s="1"/>
  <c r="AX103" i="6" s="1"/>
  <c r="AX104" i="6" s="1"/>
  <c r="AX105" i="6" s="1"/>
  <c r="AX106" i="6" s="1"/>
  <c r="AX107" i="6" s="1"/>
  <c r="AX108" i="6" s="1"/>
  <c r="AX109" i="6" s="1"/>
  <c r="AX110" i="6" s="1"/>
  <c r="AX111" i="6" s="1"/>
  <c r="AX112" i="6" s="1"/>
  <c r="AX113" i="6" s="1"/>
  <c r="AX114" i="6" s="1"/>
  <c r="BC94" i="6"/>
  <c r="BC95" i="6" s="1"/>
  <c r="BC96" i="6" s="1"/>
  <c r="BC97" i="6" s="1"/>
  <c r="BC98" i="6" s="1"/>
  <c r="BC99" i="6" s="1"/>
  <c r="BC100" i="6" s="1"/>
  <c r="BC101" i="6" s="1"/>
  <c r="BC102" i="6" s="1"/>
  <c r="BC103" i="6" s="1"/>
  <c r="BC104" i="6" s="1"/>
  <c r="BC105" i="6" s="1"/>
  <c r="BC106" i="6" s="1"/>
  <c r="BC107" i="6" s="1"/>
  <c r="BC108" i="6" s="1"/>
  <c r="BC109" i="6" s="1"/>
  <c r="BC110" i="6" s="1"/>
  <c r="BC111" i="6" s="1"/>
  <c r="BC112" i="6" s="1"/>
  <c r="BC113" i="6" s="1"/>
  <c r="BC114" i="6" s="1"/>
  <c r="BB94" i="6"/>
  <c r="BA94" i="6"/>
  <c r="BA95" i="6" s="1"/>
  <c r="BA96" i="6" s="1"/>
  <c r="BA97" i="6" s="1"/>
  <c r="BA98" i="6" s="1"/>
  <c r="BA99" i="6" s="1"/>
  <c r="BA100" i="6" s="1"/>
  <c r="BA101" i="6" s="1"/>
  <c r="BA102" i="6" s="1"/>
  <c r="BA103" i="6" s="1"/>
  <c r="BA104" i="6" s="1"/>
  <c r="BA105" i="6" s="1"/>
  <c r="BA106" i="6" s="1"/>
  <c r="BA107" i="6" s="1"/>
  <c r="BA108" i="6" s="1"/>
  <c r="BA109" i="6" s="1"/>
  <c r="BA110" i="6" s="1"/>
  <c r="BA111" i="6" s="1"/>
  <c r="BA112" i="6" s="1"/>
  <c r="BA113" i="6" s="1"/>
  <c r="BA114" i="6" s="1"/>
  <c r="AZ94" i="6"/>
  <c r="AZ95" i="6" s="1"/>
  <c r="AZ96" i="6" s="1"/>
  <c r="AZ97" i="6" s="1"/>
  <c r="AZ98" i="6" s="1"/>
  <c r="AZ99" i="6" s="1"/>
  <c r="AZ100" i="6" s="1"/>
  <c r="AZ101" i="6" s="1"/>
  <c r="AZ102" i="6" s="1"/>
  <c r="AZ103" i="6" s="1"/>
  <c r="AZ104" i="6" s="1"/>
  <c r="AZ105" i="6" s="1"/>
  <c r="AZ106" i="6" s="1"/>
  <c r="AZ107" i="6" s="1"/>
  <c r="AZ108" i="6" s="1"/>
  <c r="AZ109" i="6" s="1"/>
  <c r="AZ110" i="6" s="1"/>
  <c r="AZ111" i="6" s="1"/>
  <c r="AZ112" i="6" s="1"/>
  <c r="AZ113" i="6" s="1"/>
  <c r="AZ114" i="6" s="1"/>
  <c r="AY94" i="6"/>
  <c r="AY95" i="6" s="1"/>
  <c r="AY96" i="6" s="1"/>
  <c r="AY97" i="6" s="1"/>
  <c r="AY98" i="6" s="1"/>
  <c r="AY99" i="6" s="1"/>
  <c r="AY100" i="6" s="1"/>
  <c r="AY101" i="6" s="1"/>
  <c r="AY102" i="6" s="1"/>
  <c r="AY103" i="6" s="1"/>
  <c r="AY104" i="6" s="1"/>
  <c r="AY105" i="6" s="1"/>
  <c r="AY106" i="6" s="1"/>
  <c r="AY107" i="6" s="1"/>
  <c r="AY108" i="6" s="1"/>
  <c r="AY109" i="6" s="1"/>
  <c r="AY110" i="6" s="1"/>
  <c r="AY111" i="6" s="1"/>
  <c r="AY112" i="6" s="1"/>
  <c r="AY113" i="6" s="1"/>
  <c r="AY114" i="6" s="1"/>
  <c r="AX94" i="6"/>
  <c r="BC93" i="6"/>
  <c r="BB93" i="6"/>
  <c r="BA93" i="6"/>
  <c r="AZ93" i="6"/>
  <c r="AY93" i="6"/>
  <c r="AX93" i="6"/>
  <c r="BC92" i="6"/>
  <c r="BB92" i="6"/>
  <c r="BA92" i="6"/>
  <c r="AZ92" i="6"/>
  <c r="AY92" i="6"/>
  <c r="AX92" i="6"/>
  <c r="BC91" i="6"/>
  <c r="BB91" i="6"/>
  <c r="BA91" i="6"/>
  <c r="AZ91" i="6"/>
  <c r="AY91" i="6"/>
  <c r="AX91" i="6"/>
  <c r="BC90" i="6"/>
  <c r="BB90" i="6"/>
  <c r="BA90" i="6"/>
  <c r="AZ90" i="6"/>
  <c r="AY90" i="6"/>
  <c r="AX90" i="6"/>
  <c r="BC89" i="6"/>
  <c r="BB89" i="6"/>
  <c r="BA89" i="6"/>
  <c r="AZ89" i="6"/>
  <c r="AY89" i="6"/>
  <c r="AX89" i="6"/>
  <c r="BC88" i="6"/>
  <c r="BB88" i="6"/>
  <c r="BA88" i="6"/>
  <c r="AZ88" i="6"/>
  <c r="AY88" i="6"/>
  <c r="AX88" i="6"/>
  <c r="BC87" i="6"/>
  <c r="BB87" i="6"/>
  <c r="BA87" i="6"/>
  <c r="AZ87" i="6"/>
  <c r="AY87" i="6"/>
  <c r="AX87" i="6"/>
  <c r="BC86" i="6"/>
  <c r="BB86" i="6"/>
  <c r="BA86" i="6"/>
  <c r="AZ86" i="6"/>
  <c r="AY86" i="6"/>
  <c r="AX86" i="6"/>
  <c r="BC85" i="6"/>
  <c r="BB85" i="6"/>
  <c r="BA85" i="6"/>
  <c r="AZ85" i="6"/>
  <c r="AY85" i="6"/>
  <c r="AX85" i="6"/>
  <c r="BC84" i="6"/>
  <c r="BB84" i="6"/>
  <c r="BA84" i="6"/>
  <c r="AZ84" i="6"/>
  <c r="AY84" i="6"/>
  <c r="AX84" i="6"/>
  <c r="BC83" i="6"/>
  <c r="BB83" i="6"/>
  <c r="BA83" i="6"/>
  <c r="AZ83" i="6"/>
  <c r="AY83" i="6"/>
  <c r="AX83" i="6"/>
  <c r="BC82" i="6"/>
  <c r="BB82" i="6"/>
  <c r="BA82" i="6"/>
  <c r="AZ82" i="6"/>
  <c r="AY82" i="6"/>
  <c r="AX82" i="6"/>
  <c r="BC81" i="6"/>
  <c r="BB81" i="6"/>
  <c r="BA81" i="6"/>
  <c r="AZ81" i="6"/>
  <c r="AY81" i="6"/>
  <c r="AX81" i="6"/>
  <c r="BC80" i="6"/>
  <c r="BB80" i="6"/>
  <c r="BA80" i="6"/>
  <c r="AZ80" i="6"/>
  <c r="AY80" i="6"/>
  <c r="AX80" i="6"/>
  <c r="BC79" i="6"/>
  <c r="BB79" i="6"/>
  <c r="BA79" i="6"/>
  <c r="AZ79" i="6"/>
  <c r="AY79" i="6"/>
  <c r="AX79" i="6"/>
  <c r="BC78" i="6"/>
  <c r="BB78" i="6"/>
  <c r="BA78" i="6"/>
  <c r="AZ78" i="6"/>
  <c r="AY78" i="6"/>
  <c r="AX78" i="6"/>
  <c r="AW77" i="6"/>
  <c r="AV77" i="6"/>
  <c r="AU77" i="6"/>
  <c r="AT77" i="6"/>
  <c r="AS77" i="6"/>
  <c r="AR77" i="6"/>
  <c r="AW76" i="6"/>
  <c r="AV76" i="6"/>
  <c r="AU76" i="6"/>
  <c r="AT76" i="6"/>
  <c r="AS76" i="6"/>
  <c r="AR76" i="6"/>
  <c r="AW75" i="6"/>
  <c r="AV75" i="6"/>
  <c r="AU75" i="6"/>
  <c r="AT75" i="6"/>
  <c r="AS75" i="6"/>
  <c r="AR75" i="6"/>
  <c r="AW74" i="6"/>
  <c r="AV74" i="6"/>
  <c r="AU74" i="6"/>
  <c r="AT74" i="6"/>
  <c r="AS74" i="6"/>
  <c r="AR74" i="6"/>
  <c r="AW73" i="6"/>
  <c r="AV73" i="6"/>
  <c r="AU73" i="6"/>
  <c r="AT73" i="6"/>
  <c r="AS73" i="6"/>
  <c r="AR73" i="6"/>
  <c r="AQ72" i="6"/>
  <c r="AP72" i="6"/>
  <c r="AO72" i="6"/>
  <c r="AN72" i="6"/>
  <c r="AM72" i="6"/>
  <c r="AL72" i="6"/>
  <c r="AQ71" i="6"/>
  <c r="AP71" i="6"/>
  <c r="AO71" i="6"/>
  <c r="AN71" i="6"/>
  <c r="AM71" i="6"/>
  <c r="AL71" i="6"/>
  <c r="AQ70" i="6"/>
  <c r="AP70" i="6"/>
  <c r="AO70" i="6"/>
  <c r="AN70" i="6"/>
  <c r="AM70" i="6"/>
  <c r="AL70" i="6"/>
  <c r="AQ69" i="6"/>
  <c r="AP69" i="6"/>
  <c r="AO69" i="6"/>
  <c r="AN69" i="6"/>
  <c r="AM69" i="6"/>
  <c r="AL69" i="6"/>
  <c r="AQ68" i="6"/>
  <c r="AP68" i="6"/>
  <c r="AO68" i="6"/>
  <c r="AN68" i="6"/>
  <c r="AM68" i="6"/>
  <c r="AL68" i="6"/>
  <c r="AQ67" i="6"/>
  <c r="AP67" i="6"/>
  <c r="AO67" i="6"/>
  <c r="AN67" i="6"/>
  <c r="AM67" i="6"/>
  <c r="AL67" i="6"/>
  <c r="AQ66" i="6"/>
  <c r="AP66" i="6"/>
  <c r="AO66" i="6"/>
  <c r="AN66" i="6"/>
  <c r="AM66" i="6"/>
  <c r="AL66" i="6"/>
  <c r="AQ65" i="6"/>
  <c r="AP65" i="6"/>
  <c r="AO65" i="6"/>
  <c r="AN65" i="6"/>
  <c r="AM65" i="6"/>
  <c r="AL65" i="6"/>
  <c r="AL64" i="6"/>
  <c r="AM64" i="6"/>
  <c r="AN64" i="6"/>
  <c r="AO64" i="6"/>
  <c r="AP64" i="6"/>
  <c r="AQ64" i="6"/>
  <c r="AQ63" i="6"/>
  <c r="AP63" i="6"/>
  <c r="AO63" i="6"/>
  <c r="AN63" i="6"/>
  <c r="AM63" i="6"/>
  <c r="AL63" i="6"/>
  <c r="AK62" i="6"/>
  <c r="AJ62" i="6"/>
  <c r="AI62" i="6"/>
  <c r="AH62" i="6"/>
  <c r="AG62" i="6"/>
  <c r="AF62" i="6"/>
  <c r="AK61" i="6"/>
  <c r="AJ61" i="6"/>
  <c r="AI61" i="6"/>
  <c r="AH61" i="6"/>
  <c r="AG61" i="6"/>
  <c r="AF61" i="6"/>
  <c r="AK60" i="6"/>
  <c r="AJ60" i="6"/>
  <c r="AI60" i="6"/>
  <c r="AH60" i="6"/>
  <c r="AG60" i="6"/>
  <c r="AF60" i="6"/>
  <c r="AK59" i="6"/>
  <c r="AJ59" i="6"/>
  <c r="AI59" i="6"/>
  <c r="AH59" i="6"/>
  <c r="AG59" i="6"/>
  <c r="AF59" i="6"/>
  <c r="AK58" i="6"/>
  <c r="AJ58" i="6"/>
  <c r="AI58" i="6"/>
  <c r="AH58" i="6"/>
  <c r="AG58" i="6"/>
  <c r="AF58" i="6"/>
  <c r="AK57" i="6"/>
  <c r="AJ57" i="6"/>
  <c r="AI57" i="6"/>
  <c r="AH57" i="6"/>
  <c r="AG57" i="6"/>
  <c r="AF57" i="6"/>
  <c r="AD54" i="6"/>
  <c r="AD55" i="6" s="1"/>
  <c r="AD56" i="6" s="1"/>
  <c r="AC54" i="6"/>
  <c r="AC55" i="6" s="1"/>
  <c r="AC56" i="6" s="1"/>
  <c r="AB54" i="6"/>
  <c r="AB55" i="6" s="1"/>
  <c r="AB56" i="6" s="1"/>
  <c r="Z54" i="6"/>
  <c r="Z55" i="6" s="1"/>
  <c r="Z56" i="6" s="1"/>
  <c r="Y53" i="6"/>
  <c r="X53" i="6"/>
  <c r="W53" i="6"/>
  <c r="V53" i="6"/>
  <c r="U53" i="6"/>
  <c r="T53" i="6"/>
  <c r="AE54" i="6"/>
  <c r="AE55" i="6" s="1"/>
  <c r="AE56" i="6" s="1"/>
  <c r="AA54" i="6"/>
  <c r="AA55" i="6" s="1"/>
  <c r="AA56" i="6" s="1"/>
  <c r="AL57" i="2"/>
  <c r="AK57" i="2"/>
  <c r="AJ57" i="2"/>
  <c r="AI57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Y52" i="6"/>
  <c r="X52" i="6"/>
  <c r="W52" i="6"/>
  <c r="V52" i="6"/>
  <c r="U52" i="6"/>
  <c r="T52" i="6"/>
  <c r="Y51" i="6"/>
  <c r="X51" i="6"/>
  <c r="W51" i="6"/>
  <c r="V51" i="6"/>
  <c r="U51" i="6"/>
  <c r="T51" i="6"/>
  <c r="Y50" i="6"/>
  <c r="X50" i="6"/>
  <c r="W50" i="6"/>
  <c r="V50" i="6"/>
  <c r="U50" i="6"/>
  <c r="T50" i="6"/>
  <c r="Y49" i="6"/>
  <c r="X49" i="6"/>
  <c r="W49" i="6"/>
  <c r="V49" i="6"/>
  <c r="U49" i="6"/>
  <c r="T49" i="6"/>
  <c r="Y48" i="6"/>
  <c r="X48" i="6"/>
  <c r="W48" i="6"/>
  <c r="V48" i="6"/>
  <c r="U48" i="6"/>
  <c r="T48" i="6"/>
  <c r="Y47" i="6"/>
  <c r="X47" i="6"/>
  <c r="W47" i="6"/>
  <c r="V47" i="6"/>
  <c r="U47" i="6"/>
  <c r="T47" i="6"/>
  <c r="Y46" i="6"/>
  <c r="X46" i="6"/>
  <c r="W46" i="6"/>
  <c r="V46" i="6"/>
  <c r="U46" i="6"/>
  <c r="T46" i="6"/>
  <c r="Y45" i="6"/>
  <c r="X45" i="6"/>
  <c r="W45" i="6"/>
  <c r="V45" i="6"/>
  <c r="U45" i="6"/>
  <c r="T45" i="6"/>
  <c r="Y44" i="6"/>
  <c r="X44" i="6"/>
  <c r="W44" i="6"/>
  <c r="V44" i="6"/>
  <c r="U44" i="6"/>
  <c r="T44" i="6"/>
  <c r="Y43" i="6"/>
  <c r="X43" i="6"/>
  <c r="W43" i="6"/>
  <c r="V43" i="6"/>
  <c r="U43" i="6"/>
  <c r="T43" i="6"/>
  <c r="Y42" i="6"/>
  <c r="X42" i="6"/>
  <c r="W42" i="6"/>
  <c r="V42" i="6"/>
  <c r="U42" i="6"/>
  <c r="T42" i="6"/>
  <c r="Y41" i="6"/>
  <c r="X41" i="6"/>
  <c r="W41" i="6"/>
  <c r="V41" i="6"/>
  <c r="U41" i="6"/>
  <c r="T41" i="6"/>
  <c r="Y40" i="6"/>
  <c r="X40" i="6"/>
  <c r="W40" i="6"/>
  <c r="V40" i="6"/>
  <c r="U40" i="6"/>
  <c r="T40" i="6"/>
  <c r="S39" i="6"/>
  <c r="R39" i="6"/>
  <c r="Q39" i="6"/>
  <c r="P39" i="6"/>
  <c r="O39" i="6"/>
  <c r="N39" i="6"/>
  <c r="S38" i="6"/>
  <c r="R38" i="6"/>
  <c r="Q38" i="6"/>
  <c r="P38" i="6"/>
  <c r="O38" i="6"/>
  <c r="N38" i="6"/>
  <c r="S37" i="6"/>
  <c r="R37" i="6"/>
  <c r="Q37" i="6"/>
  <c r="P37" i="6"/>
  <c r="O37" i="6"/>
  <c r="N37" i="6"/>
  <c r="S36" i="6"/>
  <c r="R36" i="6"/>
  <c r="Q36" i="6"/>
  <c r="P36" i="6"/>
  <c r="O36" i="6"/>
  <c r="N36" i="6"/>
  <c r="S35" i="6"/>
  <c r="R35" i="6"/>
  <c r="Q35" i="6"/>
  <c r="P35" i="6"/>
  <c r="O35" i="6"/>
  <c r="N35" i="6"/>
  <c r="S34" i="6"/>
  <c r="R34" i="6"/>
  <c r="Q34" i="6"/>
  <c r="P34" i="6"/>
  <c r="O34" i="6"/>
  <c r="N34" i="6"/>
  <c r="S33" i="6"/>
  <c r="R33" i="6"/>
  <c r="Q33" i="6"/>
  <c r="P33" i="6"/>
  <c r="O33" i="6"/>
  <c r="N33" i="6"/>
  <c r="M32" i="6"/>
  <c r="L32" i="6"/>
  <c r="K32" i="6"/>
  <c r="J32" i="6"/>
  <c r="I32" i="6"/>
  <c r="H32" i="6"/>
  <c r="M31" i="6"/>
  <c r="L31" i="6"/>
  <c r="K31" i="6"/>
  <c r="J31" i="6"/>
  <c r="I31" i="6"/>
  <c r="H31" i="6"/>
  <c r="M30" i="6"/>
  <c r="L30" i="6"/>
  <c r="K30" i="6"/>
  <c r="J30" i="6"/>
  <c r="I30" i="6"/>
  <c r="H30" i="6"/>
  <c r="M29" i="6"/>
  <c r="L29" i="6"/>
  <c r="K29" i="6"/>
  <c r="J29" i="6"/>
  <c r="I29" i="6"/>
  <c r="H29" i="6"/>
  <c r="K26" i="6"/>
  <c r="K27" i="6" s="1"/>
  <c r="K28" i="6" s="1"/>
  <c r="J26" i="6"/>
  <c r="J27" i="6" s="1"/>
  <c r="J28" i="6" s="1"/>
  <c r="M25" i="6"/>
  <c r="M26" i="6" s="1"/>
  <c r="M27" i="6" s="1"/>
  <c r="M28" i="6" s="1"/>
  <c r="L25" i="6"/>
  <c r="L26" i="6" s="1"/>
  <c r="L27" i="6" s="1"/>
  <c r="L28" i="6" s="1"/>
  <c r="K25" i="6"/>
  <c r="J25" i="6"/>
  <c r="I25" i="6"/>
  <c r="I26" i="6" s="1"/>
  <c r="I27" i="6" s="1"/>
  <c r="I28" i="6" s="1"/>
  <c r="H25" i="6"/>
  <c r="H26" i="6" s="1"/>
  <c r="H27" i="6" s="1"/>
  <c r="H28" i="6" s="1"/>
  <c r="DL18" i="6"/>
  <c r="DL19" i="6"/>
  <c r="DL20" i="6"/>
  <c r="DL21" i="6"/>
  <c r="DK17" i="6"/>
  <c r="DJ17" i="6"/>
  <c r="DI17" i="6"/>
  <c r="DH17" i="6"/>
  <c r="DG17" i="6"/>
  <c r="DF17" i="6"/>
  <c r="DE17" i="6"/>
  <c r="DD17" i="6"/>
  <c r="DC17" i="6"/>
  <c r="DB17" i="6"/>
  <c r="DA17" i="6"/>
  <c r="CZ17" i="6"/>
  <c r="CY17" i="6"/>
  <c r="CX17" i="6"/>
  <c r="CW17" i="6"/>
  <c r="CV17" i="6"/>
  <c r="CU17" i="6"/>
  <c r="CT17" i="6"/>
  <c r="CS17" i="6"/>
  <c r="CR17" i="6"/>
  <c r="CQ17" i="6"/>
  <c r="CP17" i="6"/>
  <c r="CO17" i="6"/>
  <c r="CN17" i="6"/>
  <c r="CM17" i="6"/>
  <c r="CL17" i="6"/>
  <c r="CK17" i="6"/>
  <c r="CJ17" i="6"/>
  <c r="CI17" i="6"/>
  <c r="CH17" i="6"/>
  <c r="CG17" i="6"/>
  <c r="CF17" i="6"/>
  <c r="CE17" i="6"/>
  <c r="CD17" i="6"/>
  <c r="CC17" i="6"/>
  <c r="CB17" i="6"/>
  <c r="CA17" i="6"/>
  <c r="BZ17" i="6"/>
  <c r="BY17" i="6"/>
  <c r="BX17" i="6"/>
  <c r="BW17" i="6"/>
  <c r="BV17" i="6"/>
  <c r="BU17" i="6"/>
  <c r="BT17" i="6"/>
  <c r="BS17" i="6"/>
  <c r="BR17" i="6"/>
  <c r="BQ17" i="6"/>
  <c r="BP17" i="6"/>
  <c r="BO17" i="6"/>
  <c r="BN17" i="6"/>
  <c r="BM17" i="6"/>
  <c r="BL17" i="6"/>
  <c r="BK17" i="6"/>
  <c r="BJ17" i="6"/>
  <c r="BI17" i="6"/>
  <c r="BH17" i="6"/>
  <c r="BG17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AM17" i="6"/>
  <c r="AL17" i="6"/>
  <c r="AK17" i="6"/>
  <c r="AJ17" i="6"/>
  <c r="AI17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DK16" i="6"/>
  <c r="DJ16" i="6"/>
  <c r="DI16" i="6"/>
  <c r="DH16" i="6"/>
  <c r="DG16" i="6"/>
  <c r="DF16" i="6"/>
  <c r="DE16" i="6"/>
  <c r="DD16" i="6"/>
  <c r="DC16" i="6"/>
  <c r="DB16" i="6"/>
  <c r="DA16" i="6"/>
  <c r="CZ16" i="6"/>
  <c r="CY16" i="6"/>
  <c r="CX16" i="6"/>
  <c r="CW16" i="6"/>
  <c r="CV16" i="6"/>
  <c r="CU16" i="6"/>
  <c r="CT16" i="6"/>
  <c r="CS16" i="6"/>
  <c r="CR16" i="6"/>
  <c r="CQ16" i="6"/>
  <c r="CP16" i="6"/>
  <c r="CO16" i="6"/>
  <c r="CN16" i="6"/>
  <c r="CM16" i="6"/>
  <c r="CL16" i="6"/>
  <c r="CK16" i="6"/>
  <c r="CJ16" i="6"/>
  <c r="CI16" i="6"/>
  <c r="CH16" i="6"/>
  <c r="CG16" i="6"/>
  <c r="CF16" i="6"/>
  <c r="CE16" i="6"/>
  <c r="CD16" i="6"/>
  <c r="CC16" i="6"/>
  <c r="CB16" i="6"/>
  <c r="CA16" i="6"/>
  <c r="BZ16" i="6"/>
  <c r="BY16" i="6"/>
  <c r="BX16" i="6"/>
  <c r="BW16" i="6"/>
  <c r="BV16" i="6"/>
  <c r="BU16" i="6"/>
  <c r="BT16" i="6"/>
  <c r="BS16" i="6"/>
  <c r="BR16" i="6"/>
  <c r="BQ16" i="6"/>
  <c r="BP16" i="6"/>
  <c r="BO16" i="6"/>
  <c r="BN16" i="6"/>
  <c r="BM16" i="6"/>
  <c r="BL16" i="6"/>
  <c r="BK16" i="6"/>
  <c r="BJ16" i="6"/>
  <c r="BI16" i="6"/>
  <c r="BH16" i="6"/>
  <c r="BG16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AM16" i="6"/>
  <c r="AL16" i="6"/>
  <c r="AK16" i="6"/>
  <c r="AJ16" i="6"/>
  <c r="AI16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7" i="6"/>
  <c r="E16" i="6"/>
  <c r="P20" i="8" l="1"/>
  <c r="M20" i="8"/>
  <c r="T20" i="8"/>
  <c r="Q20" i="8"/>
  <c r="AF20" i="8"/>
  <c r="AC20" i="8"/>
  <c r="AR20" i="8"/>
  <c r="AO20" i="8"/>
  <c r="BD20" i="8"/>
  <c r="BA20" i="8"/>
  <c r="BP20" i="8"/>
  <c r="BM20" i="8"/>
  <c r="CB20" i="8"/>
  <c r="BY20" i="8"/>
  <c r="CJ20" i="8"/>
  <c r="CG20" i="8"/>
  <c r="CZ20" i="8"/>
  <c r="CW20" i="8"/>
  <c r="AC29" i="8"/>
  <c r="H20" i="8"/>
  <c r="E20" i="8"/>
  <c r="B83" i="8" s="1"/>
  <c r="X20" i="8"/>
  <c r="U83" i="8" s="1"/>
  <c r="U20" i="8"/>
  <c r="R83" i="8" s="1"/>
  <c r="AN20" i="8"/>
  <c r="AK20" i="8"/>
  <c r="AH83" i="8" s="1"/>
  <c r="AZ20" i="8"/>
  <c r="AW83" i="8" s="1"/>
  <c r="AW20" i="8"/>
  <c r="AT83" i="8" s="1"/>
  <c r="BL20" i="8"/>
  <c r="BI20" i="8"/>
  <c r="BF83" i="8" s="1"/>
  <c r="BX20" i="8"/>
  <c r="BU83" i="8" s="1"/>
  <c r="BU20" i="8"/>
  <c r="BR83" i="8" s="1"/>
  <c r="CR20" i="8"/>
  <c r="CO20" i="8"/>
  <c r="CL83" i="8" s="1"/>
  <c r="F20" i="8"/>
  <c r="J20" i="8"/>
  <c r="G83" i="8" s="1"/>
  <c r="N20" i="8"/>
  <c r="R20" i="8"/>
  <c r="O83" i="8" s="1"/>
  <c r="V20" i="8"/>
  <c r="Z20" i="8"/>
  <c r="W83" i="8" s="1"/>
  <c r="AD20" i="8"/>
  <c r="AA83" i="8" s="1"/>
  <c r="AH20" i="8"/>
  <c r="AE83" i="8" s="1"/>
  <c r="AL20" i="8"/>
  <c r="AP20" i="8"/>
  <c r="AM83" i="8" s="1"/>
  <c r="AT20" i="8"/>
  <c r="AQ83" i="8" s="1"/>
  <c r="AX20" i="8"/>
  <c r="AU83" i="8" s="1"/>
  <c r="BB20" i="8"/>
  <c r="BF20" i="8"/>
  <c r="BC83" i="8" s="1"/>
  <c r="BJ20" i="8"/>
  <c r="BG83" i="8" s="1"/>
  <c r="BN20" i="8"/>
  <c r="BR20" i="8"/>
  <c r="BV20" i="8"/>
  <c r="BS83" i="8" s="1"/>
  <c r="BZ20" i="8"/>
  <c r="BW83" i="8" s="1"/>
  <c r="CD20" i="8"/>
  <c r="CA83" i="8" s="1"/>
  <c r="CH20" i="8"/>
  <c r="CL20" i="8"/>
  <c r="CI83" i="8" s="1"/>
  <c r="CP20" i="8"/>
  <c r="CM83" i="8" s="1"/>
  <c r="CT20" i="8"/>
  <c r="CX20" i="8"/>
  <c r="L20" i="8"/>
  <c r="I83" i="8" s="1"/>
  <c r="I20" i="8"/>
  <c r="F83" i="8" s="1"/>
  <c r="AB20" i="8"/>
  <c r="Y20" i="8"/>
  <c r="AJ20" i="8"/>
  <c r="AG83" i="8" s="1"/>
  <c r="AG20" i="8"/>
  <c r="AD83" i="8" s="1"/>
  <c r="AV20" i="8"/>
  <c r="AS83" i="8" s="1"/>
  <c r="AS20" i="8"/>
  <c r="BH20" i="8"/>
  <c r="BE83" i="8" s="1"/>
  <c r="BE20" i="8"/>
  <c r="BB83" i="8" s="1"/>
  <c r="BT20" i="8"/>
  <c r="BQ83" i="8" s="1"/>
  <c r="BQ20" i="8"/>
  <c r="CF20" i="8"/>
  <c r="CC83" i="8" s="1"/>
  <c r="CC20" i="8"/>
  <c r="CN20" i="8"/>
  <c r="CK83" i="8" s="1"/>
  <c r="CK20" i="8"/>
  <c r="CV20" i="8"/>
  <c r="CS83" i="8" s="1"/>
  <c r="CS20" i="8"/>
  <c r="CP83" i="8" s="1"/>
  <c r="G20" i="8"/>
  <c r="D83" i="8" s="1"/>
  <c r="K20" i="8"/>
  <c r="H83" i="8" s="1"/>
  <c r="O20" i="8"/>
  <c r="L83" i="8" s="1"/>
  <c r="S20" i="8"/>
  <c r="W20" i="8"/>
  <c r="T83" i="8" s="1"/>
  <c r="AA20" i="8"/>
  <c r="X83" i="8" s="1"/>
  <c r="AE20" i="8"/>
  <c r="AB83" i="8" s="1"/>
  <c r="AI20" i="8"/>
  <c r="AM20" i="8"/>
  <c r="AJ83" i="8" s="1"/>
  <c r="AQ20" i="8"/>
  <c r="AN83" i="8" s="1"/>
  <c r="AU20" i="8"/>
  <c r="AR83" i="8" s="1"/>
  <c r="AY20" i="8"/>
  <c r="BC20" i="8"/>
  <c r="AZ83" i="8" s="1"/>
  <c r="BG20" i="8"/>
  <c r="BK20" i="8"/>
  <c r="BH83" i="8" s="1"/>
  <c r="BO20" i="8"/>
  <c r="BS20" i="8"/>
  <c r="BP83" i="8" s="1"/>
  <c r="BW20" i="8"/>
  <c r="BT83" i="8" s="1"/>
  <c r="CA20" i="8"/>
  <c r="BX83" i="8" s="1"/>
  <c r="CE20" i="8"/>
  <c r="CI20" i="8"/>
  <c r="CF83" i="8" s="1"/>
  <c r="CM20" i="8"/>
  <c r="CJ83" i="8" s="1"/>
  <c r="CQ20" i="8"/>
  <c r="CN83" i="8" s="1"/>
  <c r="CU20" i="8"/>
  <c r="CY20" i="8"/>
  <c r="CV83" i="8" s="1"/>
  <c r="G27" i="8"/>
  <c r="P27" i="8"/>
  <c r="AV27" i="8"/>
  <c r="BD27" i="8"/>
  <c r="CB27" i="8"/>
  <c r="P29" i="8"/>
  <c r="AF29" i="8"/>
  <c r="AR29" i="8"/>
  <c r="CB29" i="8"/>
  <c r="J59" i="8"/>
  <c r="AX59" i="8"/>
  <c r="M59" i="8"/>
  <c r="AC59" i="8"/>
  <c r="AC63" i="8"/>
  <c r="BA59" i="8"/>
  <c r="BA63" i="8"/>
  <c r="BM63" i="8"/>
  <c r="BY63" i="8"/>
  <c r="CW59" i="8"/>
  <c r="AX51" i="8"/>
  <c r="BV55" i="8"/>
  <c r="M51" i="8"/>
  <c r="M55" i="8"/>
  <c r="AC49" i="8"/>
  <c r="BA50" i="8"/>
  <c r="BA55" i="8"/>
  <c r="BY51" i="8"/>
  <c r="CW50" i="8"/>
  <c r="CW55" i="8"/>
  <c r="BY50" i="8"/>
  <c r="M48" i="8"/>
  <c r="CT48" i="8"/>
  <c r="M50" i="8"/>
  <c r="BA49" i="8"/>
  <c r="AX50" i="8"/>
  <c r="BY49" i="8"/>
  <c r="Z49" i="8"/>
  <c r="BA48" i="8"/>
  <c r="CW51" i="8"/>
  <c r="CW49" i="8"/>
  <c r="CA49" i="8"/>
  <c r="BM48" i="8"/>
  <c r="AC51" i="8"/>
  <c r="CW29" i="8"/>
  <c r="CZ29" i="8"/>
  <c r="CB26" i="8"/>
  <c r="CZ26" i="8"/>
  <c r="CZ28" i="8"/>
  <c r="P26" i="8"/>
  <c r="AF26" i="8"/>
  <c r="P28" i="8"/>
  <c r="AF28" i="8"/>
  <c r="BD28" i="8"/>
  <c r="M26" i="8"/>
  <c r="BA26" i="8"/>
  <c r="BY28" i="8"/>
  <c r="Q15" i="3"/>
  <c r="P15" i="3"/>
  <c r="Q14" i="3"/>
  <c r="P14" i="3"/>
  <c r="Q13" i="3"/>
  <c r="P13" i="3"/>
  <c r="Q12" i="3"/>
  <c r="P12" i="3"/>
  <c r="Q11" i="3"/>
  <c r="P11" i="3"/>
  <c r="O11" i="3"/>
  <c r="O12" i="3" s="1"/>
  <c r="O13" i="3" s="1"/>
  <c r="O14" i="3" s="1"/>
  <c r="O15" i="3" s="1"/>
  <c r="S15" i="3"/>
  <c r="R15" i="3"/>
  <c r="S14" i="3"/>
  <c r="R14" i="3"/>
  <c r="S13" i="3"/>
  <c r="R13" i="3"/>
  <c r="S12" i="3"/>
  <c r="R12" i="3"/>
  <c r="S11" i="3"/>
  <c r="R11" i="3"/>
  <c r="S10" i="3"/>
  <c r="R10" i="3"/>
  <c r="S9" i="3"/>
  <c r="R9" i="3"/>
  <c r="R8" i="3"/>
  <c r="S8" i="3"/>
  <c r="S7" i="3"/>
  <c r="R7" i="3"/>
  <c r="K3" i="3"/>
  <c r="K4" i="3" s="1"/>
  <c r="K5" i="3" s="1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J3" i="3"/>
  <c r="J4" i="3" s="1"/>
  <c r="J5" i="3" s="1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J24" i="3" s="1"/>
  <c r="J25" i="3" s="1"/>
  <c r="J26" i="3" s="1"/>
  <c r="J27" i="3" s="1"/>
  <c r="J28" i="3" s="1"/>
  <c r="J29" i="3" s="1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Q7" i="3"/>
  <c r="Q8" i="3" s="1"/>
  <c r="Q9" i="3" s="1"/>
  <c r="Q10" i="3" s="1"/>
  <c r="P7" i="3"/>
  <c r="P8" i="3" s="1"/>
  <c r="P9" i="3" s="1"/>
  <c r="P10" i="3" s="1"/>
  <c r="O7" i="3"/>
  <c r="O8" i="3" s="1"/>
  <c r="O9" i="3" s="1"/>
  <c r="O10" i="3" s="1"/>
  <c r="N3" i="3"/>
  <c r="N4" i="3" s="1"/>
  <c r="N5" i="3" s="1"/>
  <c r="N6" i="3" s="1"/>
  <c r="M3" i="3"/>
  <c r="M4" i="3" s="1"/>
  <c r="M5" i="3" s="1"/>
  <c r="M6" i="3" s="1"/>
  <c r="L3" i="3"/>
  <c r="L4" i="3" s="1"/>
  <c r="L5" i="3" s="1"/>
  <c r="L6" i="3" s="1"/>
  <c r="I3" i="3"/>
  <c r="H3" i="3"/>
  <c r="H4" i="3" s="1"/>
  <c r="H5" i="3" s="1"/>
  <c r="H6" i="3" s="1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I4" i="3"/>
  <c r="I5" i="3" s="1"/>
  <c r="I6" i="3" s="1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I29" i="3" s="1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G3" i="3"/>
  <c r="G4" i="3" s="1"/>
  <c r="G5" i="3" s="1"/>
  <c r="E19" i="4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AI19" i="4" s="1"/>
  <c r="AJ19" i="4" s="1"/>
  <c r="AK19" i="4" s="1"/>
  <c r="AL19" i="4" s="1"/>
  <c r="AM19" i="4" s="1"/>
  <c r="AN19" i="4" s="1"/>
  <c r="AO19" i="4" s="1"/>
  <c r="E18" i="4"/>
  <c r="F18" i="4" s="1"/>
  <c r="G18" i="4" s="1"/>
  <c r="H18" i="4" s="1"/>
  <c r="I18" i="4" s="1"/>
  <c r="J18" i="4" s="1"/>
  <c r="K18" i="4" s="1"/>
  <c r="L18" i="4" s="1"/>
  <c r="M18" i="4" s="1"/>
  <c r="N18" i="4" s="1"/>
  <c r="O18" i="4" s="1"/>
  <c r="P18" i="4" s="1"/>
  <c r="Q18" i="4" s="1"/>
  <c r="R18" i="4" s="1"/>
  <c r="S18" i="4" s="1"/>
  <c r="T18" i="4" s="1"/>
  <c r="U18" i="4" s="1"/>
  <c r="V18" i="4" s="1"/>
  <c r="W18" i="4" s="1"/>
  <c r="X18" i="4" s="1"/>
  <c r="Y18" i="4" s="1"/>
  <c r="Z18" i="4" s="1"/>
  <c r="AA18" i="4" s="1"/>
  <c r="AB18" i="4" s="1"/>
  <c r="AC18" i="4" s="1"/>
  <c r="AD18" i="4" s="1"/>
  <c r="AE18" i="4" s="1"/>
  <c r="AF18" i="4" s="1"/>
  <c r="AG18" i="4" s="1"/>
  <c r="AH18" i="4" s="1"/>
  <c r="AI18" i="4" s="1"/>
  <c r="AJ18" i="4" s="1"/>
  <c r="AK18" i="4" s="1"/>
  <c r="AL18" i="4" s="1"/>
  <c r="AM18" i="4" s="1"/>
  <c r="AN18" i="4" s="1"/>
  <c r="AO18" i="4" s="1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L17" i="4"/>
  <c r="K17" i="4"/>
  <c r="J17" i="4"/>
  <c r="I17" i="4"/>
  <c r="H17" i="4"/>
  <c r="G17" i="4"/>
  <c r="F17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L16" i="4"/>
  <c r="K16" i="4"/>
  <c r="J16" i="4"/>
  <c r="I16" i="4"/>
  <c r="H16" i="4"/>
  <c r="G16" i="4"/>
  <c r="F16" i="4"/>
  <c r="E17" i="4"/>
  <c r="E16" i="4"/>
  <c r="C45" i="2"/>
  <c r="D45" i="2" s="1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O45" i="2" s="1"/>
  <c r="P45" i="2" s="1"/>
  <c r="Q45" i="2" s="1"/>
  <c r="R45" i="2" s="1"/>
  <c r="S45" i="2" s="1"/>
  <c r="T45" i="2" s="1"/>
  <c r="U45" i="2" s="1"/>
  <c r="V45" i="2" s="1"/>
  <c r="W45" i="2" s="1"/>
  <c r="X45" i="2" s="1"/>
  <c r="Y45" i="2" s="1"/>
  <c r="Z45" i="2" s="1"/>
  <c r="AA45" i="2" s="1"/>
  <c r="AB45" i="2" s="1"/>
  <c r="AC45" i="2" s="1"/>
  <c r="AD45" i="2" s="1"/>
  <c r="AE45" i="2" s="1"/>
  <c r="AF45" i="2" s="1"/>
  <c r="AG45" i="2" s="1"/>
  <c r="AH45" i="2" s="1"/>
  <c r="AI45" i="2" s="1"/>
  <c r="AJ45" i="2" s="1"/>
  <c r="AK45" i="2" s="1"/>
  <c r="AL45" i="2" s="1"/>
  <c r="B45" i="2"/>
  <c r="AL50" i="2"/>
  <c r="AK50" i="2"/>
  <c r="AJ50" i="2"/>
  <c r="AI50" i="2"/>
  <c r="AH50" i="2"/>
  <c r="AG50" i="2"/>
  <c r="AF50" i="2"/>
  <c r="AE50" i="2"/>
  <c r="AD50" i="2"/>
  <c r="AC50" i="2"/>
  <c r="AB50" i="2"/>
  <c r="AA50" i="2"/>
  <c r="Z50" i="2"/>
  <c r="Y50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B35" i="2"/>
  <c r="C35" i="2" s="1"/>
  <c r="D35" i="2" s="1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O35" i="2" s="1"/>
  <c r="P35" i="2" s="1"/>
  <c r="Q35" i="2" s="1"/>
  <c r="R35" i="2" s="1"/>
  <c r="S35" i="2" s="1"/>
  <c r="T35" i="2" s="1"/>
  <c r="U35" i="2" s="1"/>
  <c r="V35" i="2" s="1"/>
  <c r="W35" i="2" s="1"/>
  <c r="X35" i="2" s="1"/>
  <c r="Y35" i="2" s="1"/>
  <c r="Z35" i="2" s="1"/>
  <c r="AA35" i="2" s="1"/>
  <c r="AB35" i="2" s="1"/>
  <c r="AC35" i="2" s="1"/>
  <c r="AD35" i="2" s="1"/>
  <c r="AE35" i="2" s="1"/>
  <c r="AF35" i="2" s="1"/>
  <c r="AG35" i="2" s="1"/>
  <c r="AH35" i="2" s="1"/>
  <c r="AI35" i="2" s="1"/>
  <c r="AJ35" i="2" s="1"/>
  <c r="AK35" i="2" s="1"/>
  <c r="AL35" i="2" s="1"/>
  <c r="B36" i="2"/>
  <c r="C36" i="2"/>
  <c r="D36" i="2" s="1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O36" i="2" s="1"/>
  <c r="P36" i="2" s="1"/>
  <c r="Q36" i="2" s="1"/>
  <c r="R36" i="2" s="1"/>
  <c r="S36" i="2" s="1"/>
  <c r="T36" i="2" s="1"/>
  <c r="U36" i="2" s="1"/>
  <c r="V36" i="2" s="1"/>
  <c r="W36" i="2" s="1"/>
  <c r="X36" i="2" s="1"/>
  <c r="Y36" i="2" s="1"/>
  <c r="Z36" i="2" s="1"/>
  <c r="AA36" i="2" s="1"/>
  <c r="AB36" i="2" s="1"/>
  <c r="AC36" i="2" s="1"/>
  <c r="AD36" i="2" s="1"/>
  <c r="AE36" i="2" s="1"/>
  <c r="AF36" i="2" s="1"/>
  <c r="AG36" i="2" s="1"/>
  <c r="AH36" i="2" s="1"/>
  <c r="AI36" i="2" s="1"/>
  <c r="AJ36" i="2" s="1"/>
  <c r="AK36" i="2" s="1"/>
  <c r="AL36" i="2" s="1"/>
  <c r="B37" i="2"/>
  <c r="C37" i="2" s="1"/>
  <c r="D37" i="2" s="1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O37" i="2" s="1"/>
  <c r="P37" i="2" s="1"/>
  <c r="Q37" i="2" s="1"/>
  <c r="R37" i="2" s="1"/>
  <c r="S37" i="2" s="1"/>
  <c r="T37" i="2" s="1"/>
  <c r="U37" i="2" s="1"/>
  <c r="V37" i="2" s="1"/>
  <c r="W37" i="2" s="1"/>
  <c r="X37" i="2" s="1"/>
  <c r="Y37" i="2" s="1"/>
  <c r="Z37" i="2" s="1"/>
  <c r="AA37" i="2" s="1"/>
  <c r="AB37" i="2" s="1"/>
  <c r="AC37" i="2" s="1"/>
  <c r="AD37" i="2" s="1"/>
  <c r="AE37" i="2" s="1"/>
  <c r="AF37" i="2" s="1"/>
  <c r="AG37" i="2" s="1"/>
  <c r="AH37" i="2" s="1"/>
  <c r="AI37" i="2" s="1"/>
  <c r="AJ37" i="2" s="1"/>
  <c r="AK37" i="2" s="1"/>
  <c r="AL37" i="2" s="1"/>
  <c r="B38" i="2"/>
  <c r="C38" i="2" s="1"/>
  <c r="D38" i="2" s="1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O38" i="2" s="1"/>
  <c r="P38" i="2" s="1"/>
  <c r="Q38" i="2" s="1"/>
  <c r="R38" i="2" s="1"/>
  <c r="S38" i="2" s="1"/>
  <c r="T38" i="2" s="1"/>
  <c r="U38" i="2" s="1"/>
  <c r="V38" i="2" s="1"/>
  <c r="W38" i="2" s="1"/>
  <c r="X38" i="2" s="1"/>
  <c r="Y38" i="2" s="1"/>
  <c r="Z38" i="2" s="1"/>
  <c r="AA38" i="2" s="1"/>
  <c r="AB38" i="2" s="1"/>
  <c r="AC38" i="2" s="1"/>
  <c r="AD38" i="2" s="1"/>
  <c r="AE38" i="2" s="1"/>
  <c r="AF38" i="2" s="1"/>
  <c r="AG38" i="2" s="1"/>
  <c r="AH38" i="2" s="1"/>
  <c r="AI38" i="2" s="1"/>
  <c r="AJ38" i="2" s="1"/>
  <c r="AK38" i="2" s="1"/>
  <c r="AL38" i="2" s="1"/>
  <c r="BR36" i="1"/>
  <c r="BQ36" i="1"/>
  <c r="BO36" i="1"/>
  <c r="BP36" i="1" s="1"/>
  <c r="BR35" i="1"/>
  <c r="BQ35" i="1"/>
  <c r="BO35" i="1"/>
  <c r="BP35" i="1" s="1"/>
  <c r="AL33" i="2"/>
  <c r="AK33" i="2"/>
  <c r="AJ33" i="2"/>
  <c r="AI33" i="2"/>
  <c r="AH33" i="2"/>
  <c r="AG33" i="2"/>
  <c r="AF33" i="2"/>
  <c r="AE33" i="2"/>
  <c r="AD33" i="2"/>
  <c r="AC33" i="2"/>
  <c r="AB33" i="2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N27" i="2"/>
  <c r="AM27" i="2"/>
  <c r="AN26" i="2"/>
  <c r="AM26" i="2"/>
  <c r="AN19" i="2"/>
  <c r="AM19" i="2"/>
  <c r="AN18" i="2"/>
  <c r="AM18" i="2"/>
  <c r="AN11" i="2"/>
  <c r="AM11" i="2"/>
  <c r="AN10" i="2"/>
  <c r="AM10" i="2"/>
  <c r="AN3" i="2"/>
  <c r="AM3" i="2"/>
  <c r="AN2" i="2"/>
  <c r="AM2" i="2"/>
  <c r="CB78" i="8" l="1"/>
  <c r="CB83" i="8"/>
  <c r="AF78" i="8"/>
  <c r="AF83" i="8"/>
  <c r="CC29" i="8"/>
  <c r="BZ83" i="8"/>
  <c r="BI78" i="8"/>
  <c r="BI83" i="8"/>
  <c r="E78" i="8"/>
  <c r="E83" i="8"/>
  <c r="N78" i="8"/>
  <c r="N83" i="8"/>
  <c r="CG78" i="8"/>
  <c r="CG83" i="8"/>
  <c r="BM78" i="8"/>
  <c r="BM83" i="8"/>
  <c r="AO78" i="8"/>
  <c r="AO83" i="8"/>
  <c r="Q78" i="8"/>
  <c r="Q83" i="8"/>
  <c r="AV78" i="8"/>
  <c r="AV83" i="8"/>
  <c r="N29" i="8"/>
  <c r="K83" i="8"/>
  <c r="BJ78" i="8"/>
  <c r="BJ83" i="8"/>
  <c r="BG26" i="8"/>
  <c r="BD83" i="8"/>
  <c r="CH78" i="8"/>
  <c r="CH83" i="8"/>
  <c r="BN78" i="8"/>
  <c r="BN83" i="8"/>
  <c r="AP78" i="8"/>
  <c r="AP83" i="8"/>
  <c r="V78" i="8"/>
  <c r="V83" i="8"/>
  <c r="CU78" i="8"/>
  <c r="CU83" i="8"/>
  <c r="CE78" i="8"/>
  <c r="CE83" i="8"/>
  <c r="BO78" i="8"/>
  <c r="BO83" i="8"/>
  <c r="AY78" i="8"/>
  <c r="AY83" i="8"/>
  <c r="AI78" i="8"/>
  <c r="AI83" i="8"/>
  <c r="S78" i="8"/>
  <c r="S83" i="8"/>
  <c r="C78" i="8"/>
  <c r="C83" i="8"/>
  <c r="CT63" i="8"/>
  <c r="CT83" i="8"/>
  <c r="BV50" i="8"/>
  <c r="BV83" i="8"/>
  <c r="AX63" i="8"/>
  <c r="AX83" i="8"/>
  <c r="Z78" i="8"/>
  <c r="Z83" i="8"/>
  <c r="J78" i="8"/>
  <c r="J83" i="8"/>
  <c r="CR78" i="8"/>
  <c r="CR83" i="8"/>
  <c r="BL78" i="8"/>
  <c r="BL83" i="8"/>
  <c r="P78" i="8"/>
  <c r="P83" i="8"/>
  <c r="CO78" i="8"/>
  <c r="CO83" i="8"/>
  <c r="AK78" i="8"/>
  <c r="AK83" i="8"/>
  <c r="CD78" i="8"/>
  <c r="CD83" i="8"/>
  <c r="AL78" i="8"/>
  <c r="AL83" i="8"/>
  <c r="AB28" i="8"/>
  <c r="Y83" i="8"/>
  <c r="CT28" i="8"/>
  <c r="CQ83" i="8"/>
  <c r="BN27" i="8"/>
  <c r="BK83" i="8"/>
  <c r="CW78" i="8"/>
  <c r="CW83" i="8"/>
  <c r="BY78" i="8"/>
  <c r="BY83" i="8"/>
  <c r="BA78" i="8"/>
  <c r="BA83" i="8"/>
  <c r="AC78" i="8"/>
  <c r="AC83" i="8"/>
  <c r="M78" i="8"/>
  <c r="M83" i="8"/>
  <c r="Q51" i="8"/>
  <c r="BM50" i="8"/>
  <c r="CG63" i="8"/>
  <c r="AC28" i="8"/>
  <c r="Q50" i="8"/>
  <c r="BM51" i="8"/>
  <c r="CT49" i="8"/>
  <c r="Z48" i="8"/>
  <c r="Q63" i="8"/>
  <c r="AS27" i="8"/>
  <c r="CW26" i="8"/>
  <c r="AR28" i="8"/>
  <c r="BD26" i="8"/>
  <c r="CB28" i="8"/>
  <c r="CZ27" i="8"/>
  <c r="CW48" i="8"/>
  <c r="Z50" i="8"/>
  <c r="AC50" i="8"/>
  <c r="M49" i="8"/>
  <c r="BA51" i="8"/>
  <c r="BY48" i="8"/>
  <c r="AC48" i="8"/>
  <c r="BY55" i="8"/>
  <c r="AC55" i="8"/>
  <c r="J55" i="8"/>
  <c r="CW63" i="8"/>
  <c r="BY59" i="8"/>
  <c r="AO63" i="8"/>
  <c r="M63" i="8"/>
  <c r="BV63" i="8"/>
  <c r="BD29" i="8"/>
  <c r="CJ27" i="8"/>
  <c r="AF27" i="8"/>
  <c r="T28" i="8"/>
  <c r="CG48" i="8"/>
  <c r="CJ29" i="8"/>
  <c r="AX48" i="8"/>
  <c r="Z59" i="8"/>
  <c r="BA28" i="8"/>
  <c r="BY26" i="8"/>
  <c r="AX49" i="8"/>
  <c r="J50" i="8"/>
  <c r="Z51" i="8"/>
  <c r="CT51" i="8"/>
  <c r="AX55" i="8"/>
  <c r="Z63" i="8"/>
  <c r="J63" i="8"/>
  <c r="AC27" i="8"/>
  <c r="M27" i="8"/>
  <c r="M29" i="8"/>
  <c r="CW28" i="8"/>
  <c r="M28" i="8"/>
  <c r="AC26" i="8"/>
  <c r="J48" i="8"/>
  <c r="J49" i="8"/>
  <c r="J51" i="8"/>
  <c r="Z55" i="8"/>
  <c r="BP26" i="8"/>
  <c r="CJ26" i="8"/>
  <c r="AO51" i="8"/>
  <c r="CG49" i="8"/>
  <c r="CG59" i="8"/>
  <c r="BM59" i="8"/>
  <c r="AO59" i="8"/>
  <c r="Q59" i="8"/>
  <c r="BP28" i="8"/>
  <c r="CJ28" i="8"/>
  <c r="AO49" i="8"/>
  <c r="CG51" i="8"/>
  <c r="BP29" i="8"/>
  <c r="T29" i="8"/>
  <c r="CN48" i="8"/>
  <c r="CN78" i="8"/>
  <c r="BX55" i="8"/>
  <c r="BX78" i="8"/>
  <c r="BH50" i="8"/>
  <c r="BH78" i="8"/>
  <c r="AU29" i="8"/>
  <c r="AR78" i="8"/>
  <c r="AB59" i="8"/>
  <c r="AB78" i="8"/>
  <c r="L55" i="8"/>
  <c r="L78" i="8"/>
  <c r="CN27" i="8"/>
  <c r="CK78" i="8"/>
  <c r="BQ49" i="8"/>
  <c r="BQ78" i="8"/>
  <c r="AS50" i="8"/>
  <c r="AS78" i="8"/>
  <c r="Y48" i="8"/>
  <c r="Y78" i="8"/>
  <c r="CT29" i="8"/>
  <c r="CQ78" i="8"/>
  <c r="CD27" i="8"/>
  <c r="CA78" i="8"/>
  <c r="BK49" i="8"/>
  <c r="BK78" i="8"/>
  <c r="AU51" i="8"/>
  <c r="AU78" i="8"/>
  <c r="AH26" i="8"/>
  <c r="AE78" i="8"/>
  <c r="O59" i="8"/>
  <c r="O78" i="8"/>
  <c r="BU59" i="8"/>
  <c r="BU78" i="8"/>
  <c r="AZ28" i="8"/>
  <c r="AW78" i="8"/>
  <c r="U50" i="8"/>
  <c r="U78" i="8"/>
  <c r="AT49" i="8"/>
  <c r="AT78" i="8"/>
  <c r="CJ73" i="8"/>
  <c r="CJ78" i="8"/>
  <c r="BT73" i="8"/>
  <c r="BT78" i="8"/>
  <c r="BD73" i="8"/>
  <c r="BD78" i="8"/>
  <c r="AN73" i="8"/>
  <c r="AN78" i="8"/>
  <c r="X73" i="8"/>
  <c r="X78" i="8"/>
  <c r="H73" i="8"/>
  <c r="H78" i="8"/>
  <c r="CP73" i="8"/>
  <c r="CP78" i="8"/>
  <c r="BZ73" i="8"/>
  <c r="BZ78" i="8"/>
  <c r="BB73" i="8"/>
  <c r="BB78" i="8"/>
  <c r="AD59" i="8"/>
  <c r="AD78" i="8"/>
  <c r="F73" i="8"/>
  <c r="F78" i="8"/>
  <c r="CM55" i="8"/>
  <c r="CM78" i="8"/>
  <c r="BW63" i="8"/>
  <c r="BW78" i="8"/>
  <c r="BG59" i="8"/>
  <c r="BG78" i="8"/>
  <c r="AQ49" i="8"/>
  <c r="AQ78" i="8"/>
  <c r="AA55" i="8"/>
  <c r="AA78" i="8"/>
  <c r="N27" i="8"/>
  <c r="K78" i="8"/>
  <c r="CL73" i="8"/>
  <c r="CL78" i="8"/>
  <c r="BF73" i="8"/>
  <c r="BF78" i="8"/>
  <c r="AH73" i="8"/>
  <c r="AH78" i="8"/>
  <c r="B73" i="8"/>
  <c r="B78" i="8"/>
  <c r="CT59" i="8"/>
  <c r="CT78" i="8"/>
  <c r="BY27" i="8"/>
  <c r="BV78" i="8"/>
  <c r="BA27" i="8"/>
  <c r="AX78" i="8"/>
  <c r="BR50" i="8"/>
  <c r="BR78" i="8"/>
  <c r="U29" i="8"/>
  <c r="R78" i="8"/>
  <c r="CY27" i="8"/>
  <c r="CV78" i="8"/>
  <c r="CF59" i="8"/>
  <c r="CF78" i="8"/>
  <c r="BS29" i="8"/>
  <c r="BP78" i="8"/>
  <c r="BC27" i="8"/>
  <c r="AZ78" i="8"/>
  <c r="AM27" i="8"/>
  <c r="AJ78" i="8"/>
  <c r="W27" i="8"/>
  <c r="T78" i="8"/>
  <c r="D51" i="8"/>
  <c r="D78" i="8"/>
  <c r="CS73" i="8"/>
  <c r="CS78" i="8"/>
  <c r="CC73" i="8"/>
  <c r="CC78" i="8"/>
  <c r="BE73" i="8"/>
  <c r="BE78" i="8"/>
  <c r="AG73" i="8"/>
  <c r="AG78" i="8"/>
  <c r="I73" i="8"/>
  <c r="I78" i="8"/>
  <c r="CI73" i="8"/>
  <c r="CI78" i="8"/>
  <c r="BS73" i="8"/>
  <c r="BS78" i="8"/>
  <c r="BC73" i="8"/>
  <c r="BC78" i="8"/>
  <c r="AM73" i="8"/>
  <c r="AM78" i="8"/>
  <c r="W73" i="8"/>
  <c r="W78" i="8"/>
  <c r="G73" i="8"/>
  <c r="G78" i="8"/>
  <c r="AT51" i="8"/>
  <c r="BV48" i="8"/>
  <c r="F49" i="8"/>
  <c r="CT55" i="8"/>
  <c r="X55" i="8"/>
  <c r="BV59" i="8"/>
  <c r="BZ28" i="8"/>
  <c r="CW27" i="8"/>
  <c r="BV49" i="8"/>
  <c r="CT50" i="8"/>
  <c r="BV51" i="8"/>
  <c r="BY29" i="8"/>
  <c r="CT26" i="8"/>
  <c r="BK50" i="8"/>
  <c r="AT48" i="8"/>
  <c r="BK51" i="8"/>
  <c r="BK59" i="8"/>
  <c r="AH28" i="8"/>
  <c r="R26" i="8"/>
  <c r="AB26" i="8"/>
  <c r="CK48" i="8"/>
  <c r="U27" i="8"/>
  <c r="AT59" i="8"/>
  <c r="BN29" i="8"/>
  <c r="AW27" i="8"/>
  <c r="BQ48" i="8"/>
  <c r="O50" i="8"/>
  <c r="AS48" i="8"/>
  <c r="BK27" i="8"/>
  <c r="CD28" i="8"/>
  <c r="R28" i="8"/>
  <c r="U26" i="8"/>
  <c r="CD26" i="8"/>
  <c r="AV28" i="8"/>
  <c r="AH29" i="8"/>
  <c r="CQ49" i="8"/>
  <c r="CQ51" i="8"/>
  <c r="O48" i="8"/>
  <c r="AS49" i="8"/>
  <c r="R50" i="8"/>
  <c r="Y51" i="8"/>
  <c r="CK55" i="8"/>
  <c r="BQ55" i="8"/>
  <c r="AS55" i="8"/>
  <c r="BR49" i="8"/>
  <c r="Y63" i="8"/>
  <c r="R63" i="8"/>
  <c r="AU59" i="8"/>
  <c r="R29" i="8"/>
  <c r="U28" i="8"/>
  <c r="BU26" i="8"/>
  <c r="AX26" i="8"/>
  <c r="BT28" i="8"/>
  <c r="AV26" i="8"/>
  <c r="AH27" i="8"/>
  <c r="CK51" i="8"/>
  <c r="AE51" i="8"/>
  <c r="AU48" i="8"/>
  <c r="BR51" i="8"/>
  <c r="CK50" i="8"/>
  <c r="BQ50" i="8"/>
  <c r="AS51" i="8"/>
  <c r="BH55" i="8"/>
  <c r="AX29" i="8"/>
  <c r="Y59" i="8"/>
  <c r="R59" i="8"/>
  <c r="CQ59" i="8"/>
  <c r="AE59" i="8"/>
  <c r="BT27" i="8"/>
  <c r="AB27" i="8"/>
  <c r="AX28" i="8"/>
  <c r="BU28" i="8"/>
  <c r="BT26" i="8"/>
  <c r="CN28" i="8"/>
  <c r="CQ50" i="8"/>
  <c r="BQ51" i="8"/>
  <c r="AB51" i="8"/>
  <c r="CA48" i="8"/>
  <c r="CA59" i="8"/>
  <c r="CS28" i="8"/>
  <c r="H51" i="8"/>
  <c r="AA48" i="8"/>
  <c r="CM49" i="8"/>
  <c r="BZ49" i="8"/>
  <c r="BB51" i="8"/>
  <c r="CM51" i="8"/>
  <c r="U63" i="8"/>
  <c r="BW59" i="8"/>
  <c r="AA63" i="8"/>
  <c r="X29" i="8"/>
  <c r="BZ26" i="8"/>
  <c r="CM28" i="8"/>
  <c r="AD48" i="8"/>
  <c r="CP49" i="8"/>
  <c r="AW49" i="8"/>
  <c r="K50" i="8"/>
  <c r="BU51" i="8"/>
  <c r="AW51" i="8"/>
  <c r="AW55" i="8"/>
  <c r="H49" i="8"/>
  <c r="BG50" i="8"/>
  <c r="AW63" i="8"/>
  <c r="BJ29" i="8"/>
  <c r="CC26" i="8"/>
  <c r="I28" i="8"/>
  <c r="AA28" i="8"/>
  <c r="BW49" i="8"/>
  <c r="AD50" i="8"/>
  <c r="BD48" i="8"/>
  <c r="BZ55" i="8"/>
  <c r="BD55" i="8"/>
  <c r="AA50" i="8"/>
  <c r="BB59" i="8"/>
  <c r="CM63" i="8"/>
  <c r="K59" i="8"/>
  <c r="BJ27" i="8"/>
  <c r="BA29" i="8"/>
  <c r="BJ28" i="8"/>
  <c r="AD28" i="8"/>
  <c r="AG26" i="8"/>
  <c r="I26" i="8"/>
  <c r="BJ26" i="8"/>
  <c r="AD26" i="8"/>
  <c r="BW28" i="8"/>
  <c r="K28" i="8"/>
  <c r="AQ26" i="8"/>
  <c r="BE28" i="8"/>
  <c r="AZ26" i="8"/>
  <c r="X26" i="8"/>
  <c r="AW50" i="8"/>
  <c r="X51" i="8"/>
  <c r="BG48" i="8"/>
  <c r="K48" i="8"/>
  <c r="BU49" i="8"/>
  <c r="U48" i="8"/>
  <c r="BB49" i="8"/>
  <c r="BZ50" i="8"/>
  <c r="BW50" i="8"/>
  <c r="AQ50" i="8"/>
  <c r="AD49" i="8"/>
  <c r="AW48" i="8"/>
  <c r="BZ51" i="8"/>
  <c r="BT55" i="8"/>
  <c r="BD49" i="8"/>
  <c r="X49" i="8"/>
  <c r="CP55" i="8"/>
  <c r="F55" i="8"/>
  <c r="BW55" i="8"/>
  <c r="AQ55" i="8"/>
  <c r="K55" i="8"/>
  <c r="AW59" i="8"/>
  <c r="U59" i="8"/>
  <c r="BZ63" i="8"/>
  <c r="CM59" i="8"/>
  <c r="AQ63" i="8"/>
  <c r="AA59" i="8"/>
  <c r="AZ29" i="8"/>
  <c r="AZ27" i="8"/>
  <c r="X27" i="8"/>
  <c r="CP29" i="8"/>
  <c r="AT29" i="8"/>
  <c r="CP27" i="8"/>
  <c r="AT27" i="8"/>
  <c r="CP28" i="8"/>
  <c r="CC28" i="8"/>
  <c r="CP26" i="8"/>
  <c r="BG28" i="8"/>
  <c r="CM26" i="8"/>
  <c r="AA26" i="8"/>
  <c r="AG28" i="8"/>
  <c r="AA51" i="8"/>
  <c r="H50" i="8"/>
  <c r="BT51" i="8"/>
  <c r="CM50" i="8"/>
  <c r="AQ48" i="8"/>
  <c r="BZ48" i="8"/>
  <c r="CP50" i="8"/>
  <c r="K49" i="8"/>
  <c r="U51" i="8"/>
  <c r="BU48" i="8"/>
  <c r="BD50" i="8"/>
  <c r="CM48" i="8"/>
  <c r="BB50" i="8"/>
  <c r="F50" i="8"/>
  <c r="U49" i="8"/>
  <c r="F48" i="8"/>
  <c r="BU55" i="8"/>
  <c r="U55" i="8"/>
  <c r="AD55" i="8"/>
  <c r="CJ55" i="8"/>
  <c r="BT49" i="8"/>
  <c r="AN55" i="8"/>
  <c r="CP51" i="8"/>
  <c r="F51" i="8"/>
  <c r="BW51" i="8"/>
  <c r="AQ51" i="8"/>
  <c r="K51" i="8"/>
  <c r="BU63" i="8"/>
  <c r="CP63" i="8"/>
  <c r="AD63" i="8"/>
  <c r="F63" i="8"/>
  <c r="BZ59" i="8"/>
  <c r="BG63" i="8"/>
  <c r="AQ59" i="8"/>
  <c r="BX29" i="8"/>
  <c r="BX27" i="8"/>
  <c r="BZ27" i="8"/>
  <c r="BZ29" i="8"/>
  <c r="AD29" i="8"/>
  <c r="AD27" i="8"/>
  <c r="AT28" i="8"/>
  <c r="N28" i="8"/>
  <c r="CS26" i="8"/>
  <c r="BE26" i="8"/>
  <c r="AT26" i="8"/>
  <c r="N26" i="8"/>
  <c r="AQ28" i="8"/>
  <c r="BW26" i="8"/>
  <c r="K26" i="8"/>
  <c r="X28" i="8"/>
  <c r="BX28" i="8"/>
  <c r="BX26" i="8"/>
  <c r="BG51" i="8"/>
  <c r="CJ51" i="8"/>
  <c r="AA49" i="8"/>
  <c r="BW48" i="8"/>
  <c r="CP48" i="8"/>
  <c r="BG49" i="8"/>
  <c r="H48" i="8"/>
  <c r="CJ50" i="8"/>
  <c r="BB48" i="8"/>
  <c r="BU50" i="8"/>
  <c r="BB55" i="8"/>
  <c r="AD51" i="8"/>
  <c r="CJ49" i="8"/>
  <c r="AN49" i="8"/>
  <c r="H55" i="8"/>
  <c r="BG55" i="8"/>
  <c r="CS29" i="8"/>
  <c r="CP59" i="8"/>
  <c r="F59" i="8"/>
  <c r="BB63" i="8"/>
  <c r="K63" i="8"/>
  <c r="AQ29" i="8"/>
  <c r="BF26" i="8"/>
  <c r="CI28" i="8"/>
  <c r="CI29" i="8"/>
  <c r="J28" i="8"/>
  <c r="T50" i="8"/>
  <c r="D55" i="8"/>
  <c r="CI50" i="8"/>
  <c r="I48" i="8"/>
  <c r="I51" i="8"/>
  <c r="BS48" i="8"/>
  <c r="AG51" i="8"/>
  <c r="AJ48" i="8"/>
  <c r="AM29" i="8"/>
  <c r="CV63" i="8"/>
  <c r="T59" i="8"/>
  <c r="W28" i="8"/>
  <c r="CV28" i="8"/>
  <c r="BP48" i="8"/>
  <c r="G49" i="8"/>
  <c r="CV51" i="8"/>
  <c r="T49" i="8"/>
  <c r="AZ50" i="8"/>
  <c r="BP63" i="8"/>
  <c r="G29" i="8"/>
  <c r="BI28" i="8"/>
  <c r="BC28" i="8"/>
  <c r="D49" i="8"/>
  <c r="BP50" i="8"/>
  <c r="BP51" i="8"/>
  <c r="T51" i="8"/>
  <c r="AJ63" i="8"/>
  <c r="BV28" i="8"/>
  <c r="Z28" i="8"/>
  <c r="J26" i="8"/>
  <c r="CI26" i="8"/>
  <c r="BC26" i="8"/>
  <c r="W26" i="8"/>
  <c r="BH28" i="8"/>
  <c r="CF26" i="8"/>
  <c r="Z29" i="8"/>
  <c r="T48" i="8"/>
  <c r="AJ49" i="8"/>
  <c r="CS51" i="8"/>
  <c r="CC49" i="8"/>
  <c r="CV48" i="8"/>
  <c r="CV50" i="8"/>
  <c r="BC49" i="8"/>
  <c r="CF49" i="8"/>
  <c r="CV55" i="8"/>
  <c r="CF55" i="8"/>
  <c r="D48" i="8"/>
  <c r="CV59" i="8"/>
  <c r="BP59" i="8"/>
  <c r="AJ59" i="8"/>
  <c r="D63" i="8"/>
  <c r="AJ29" i="8"/>
  <c r="CF27" i="8"/>
  <c r="BC29" i="8"/>
  <c r="BS27" i="8"/>
  <c r="CL28" i="8"/>
  <c r="AP28" i="8"/>
  <c r="CO28" i="8"/>
  <c r="BV26" i="8"/>
  <c r="Z26" i="8"/>
  <c r="CY28" i="8"/>
  <c r="BS28" i="8"/>
  <c r="AM28" i="8"/>
  <c r="G28" i="8"/>
  <c r="BH26" i="8"/>
  <c r="L26" i="8"/>
  <c r="AZ48" i="8"/>
  <c r="W50" i="8"/>
  <c r="BE48" i="8"/>
  <c r="D50" i="8"/>
  <c r="BS49" i="8"/>
  <c r="CL55" i="8"/>
  <c r="CV49" i="8"/>
  <c r="CF48" i="8"/>
  <c r="BP55" i="8"/>
  <c r="BF55" i="8"/>
  <c r="CF63" i="8"/>
  <c r="AZ63" i="8"/>
  <c r="D59" i="8"/>
  <c r="CV27" i="8"/>
  <c r="BF28" i="8"/>
  <c r="CO26" i="8"/>
  <c r="CL26" i="8"/>
  <c r="AP26" i="8"/>
  <c r="CY26" i="8"/>
  <c r="BS26" i="8"/>
  <c r="AM26" i="8"/>
  <c r="G26" i="8"/>
  <c r="L28" i="8"/>
  <c r="CF28" i="8"/>
  <c r="CV26" i="8"/>
  <c r="CF50" i="8"/>
  <c r="BC48" i="8"/>
  <c r="G51" i="8"/>
  <c r="BS50" i="8"/>
  <c r="AG50" i="8"/>
  <c r="AJ50" i="8"/>
  <c r="AZ49" i="8"/>
  <c r="AJ51" i="8"/>
  <c r="AZ51" i="8"/>
  <c r="CF51" i="8"/>
  <c r="BP49" i="8"/>
  <c r="AZ55" i="8"/>
  <c r="AJ55" i="8"/>
  <c r="T55" i="8"/>
  <c r="AZ59" i="8"/>
  <c r="T63" i="8"/>
  <c r="W29" i="8"/>
  <c r="CY29" i="8"/>
  <c r="CN68" i="8"/>
  <c r="CN73" i="8"/>
  <c r="BX68" i="8"/>
  <c r="BX73" i="8"/>
  <c r="BH68" i="8"/>
  <c r="BH73" i="8"/>
  <c r="AR68" i="8"/>
  <c r="AR73" i="8"/>
  <c r="AB68" i="8"/>
  <c r="AB73" i="8"/>
  <c r="L68" i="8"/>
  <c r="L73" i="8"/>
  <c r="CK68" i="8"/>
  <c r="CK73" i="8"/>
  <c r="BQ68" i="8"/>
  <c r="BQ73" i="8"/>
  <c r="AS68" i="8"/>
  <c r="AS73" i="8"/>
  <c r="Y68" i="8"/>
  <c r="Y73" i="8"/>
  <c r="CQ68" i="8"/>
  <c r="CQ73" i="8"/>
  <c r="CA68" i="8"/>
  <c r="CA73" i="8"/>
  <c r="BK68" i="8"/>
  <c r="BK73" i="8"/>
  <c r="AU68" i="8"/>
  <c r="AU73" i="8"/>
  <c r="AE68" i="8"/>
  <c r="AE73" i="8"/>
  <c r="O68" i="8"/>
  <c r="O73" i="8"/>
  <c r="BR68" i="8"/>
  <c r="BR73" i="8"/>
  <c r="AT63" i="8"/>
  <c r="AT73" i="8"/>
  <c r="R68" i="8"/>
  <c r="R73" i="8"/>
  <c r="CG68" i="8"/>
  <c r="CG73" i="8"/>
  <c r="BM68" i="8"/>
  <c r="BM73" i="8"/>
  <c r="AO68" i="8"/>
  <c r="AO73" i="8"/>
  <c r="Q68" i="8"/>
  <c r="Q73" i="8"/>
  <c r="CB68" i="8"/>
  <c r="CB73" i="8"/>
  <c r="AV68" i="8"/>
  <c r="AV73" i="8"/>
  <c r="P68" i="8"/>
  <c r="P73" i="8"/>
  <c r="BN63" i="8"/>
  <c r="BN73" i="8"/>
  <c r="V68" i="8"/>
  <c r="V73" i="8"/>
  <c r="CE68" i="8"/>
  <c r="CE73" i="8"/>
  <c r="AY68" i="8"/>
  <c r="AY73" i="8"/>
  <c r="S68" i="8"/>
  <c r="S73" i="8"/>
  <c r="CO68" i="8"/>
  <c r="CO73" i="8"/>
  <c r="AK68" i="8"/>
  <c r="AK73" i="8"/>
  <c r="BJ49" i="8"/>
  <c r="BJ73" i="8"/>
  <c r="AL59" i="8"/>
  <c r="AL73" i="8"/>
  <c r="AD68" i="8"/>
  <c r="AD73" i="8"/>
  <c r="CM68" i="8"/>
  <c r="CM73" i="8"/>
  <c r="BW68" i="8"/>
  <c r="BW73" i="8"/>
  <c r="BG68" i="8"/>
  <c r="BG73" i="8"/>
  <c r="AQ68" i="8"/>
  <c r="AQ73" i="8"/>
  <c r="AA68" i="8"/>
  <c r="AA73" i="8"/>
  <c r="K68" i="8"/>
  <c r="K73" i="8"/>
  <c r="BU68" i="8"/>
  <c r="BU73" i="8"/>
  <c r="AW68" i="8"/>
  <c r="AW73" i="8"/>
  <c r="U68" i="8"/>
  <c r="U73" i="8"/>
  <c r="CT68" i="8"/>
  <c r="CT73" i="8"/>
  <c r="BV68" i="8"/>
  <c r="BV73" i="8"/>
  <c r="AX68" i="8"/>
  <c r="AX73" i="8"/>
  <c r="Z68" i="8"/>
  <c r="Z73" i="8"/>
  <c r="J68" i="8"/>
  <c r="J73" i="8"/>
  <c r="CR68" i="8"/>
  <c r="CR73" i="8"/>
  <c r="BL68" i="8"/>
  <c r="BL73" i="8"/>
  <c r="AF68" i="8"/>
  <c r="AF73" i="8"/>
  <c r="CH68" i="8"/>
  <c r="CH73" i="8"/>
  <c r="AP48" i="8"/>
  <c r="AP73" i="8"/>
  <c r="CU68" i="8"/>
  <c r="CU73" i="8"/>
  <c r="BO68" i="8"/>
  <c r="BO73" i="8"/>
  <c r="AI68" i="8"/>
  <c r="AI73" i="8"/>
  <c r="C68" i="8"/>
  <c r="C73" i="8"/>
  <c r="BI68" i="8"/>
  <c r="BI73" i="8"/>
  <c r="E68" i="8"/>
  <c r="E73" i="8"/>
  <c r="CD59" i="8"/>
  <c r="CD73" i="8"/>
  <c r="Q26" i="8"/>
  <c r="N73" i="8"/>
  <c r="CV68" i="8"/>
  <c r="CV73" i="8"/>
  <c r="CF68" i="8"/>
  <c r="CF73" i="8"/>
  <c r="BP68" i="8"/>
  <c r="BP73" i="8"/>
  <c r="AZ68" i="8"/>
  <c r="AZ73" i="8"/>
  <c r="AJ68" i="8"/>
  <c r="AJ73" i="8"/>
  <c r="T68" i="8"/>
  <c r="T73" i="8"/>
  <c r="D68" i="8"/>
  <c r="D73" i="8"/>
  <c r="CW68" i="8"/>
  <c r="CW73" i="8"/>
  <c r="BY68" i="8"/>
  <c r="BY73" i="8"/>
  <c r="BA68" i="8"/>
  <c r="BA73" i="8"/>
  <c r="AC68" i="8"/>
  <c r="AC73" i="8"/>
  <c r="M68" i="8"/>
  <c r="M73" i="8"/>
  <c r="BN28" i="8"/>
  <c r="AW26" i="8"/>
  <c r="AW28" i="8"/>
  <c r="BN26" i="8"/>
  <c r="AR26" i="8"/>
  <c r="T26" i="8"/>
  <c r="CN26" i="8"/>
  <c r="AE48" i="8"/>
  <c r="R49" i="8"/>
  <c r="AE49" i="8"/>
  <c r="O51" i="8"/>
  <c r="CA51" i="8"/>
  <c r="AT50" i="8"/>
  <c r="CN51" i="8"/>
  <c r="Q49" i="8"/>
  <c r="AU50" i="8"/>
  <c r="AO48" i="8"/>
  <c r="R48" i="8"/>
  <c r="Y49" i="8"/>
  <c r="BR48" i="8"/>
  <c r="CK49" i="8"/>
  <c r="CG55" i="8"/>
  <c r="BM55" i="8"/>
  <c r="AO55" i="8"/>
  <c r="Y55" i="8"/>
  <c r="Q55" i="8"/>
  <c r="AR55" i="8"/>
  <c r="R55" i="8"/>
  <c r="CQ55" i="8"/>
  <c r="CA55" i="8"/>
  <c r="BK55" i="8"/>
  <c r="AU55" i="8"/>
  <c r="AE55" i="8"/>
  <c r="O55" i="8"/>
  <c r="BU29" i="8"/>
  <c r="CK63" i="8"/>
  <c r="BQ63" i="8"/>
  <c r="AS63" i="8"/>
  <c r="BR63" i="8"/>
  <c r="CN59" i="8"/>
  <c r="BP27" i="8"/>
  <c r="AR27" i="8"/>
  <c r="T27" i="8"/>
  <c r="AX27" i="8"/>
  <c r="L50" i="8"/>
  <c r="AR50" i="8"/>
  <c r="AR48" i="8"/>
  <c r="CG50" i="8"/>
  <c r="BM49" i="8"/>
  <c r="AO50" i="8"/>
  <c r="Y50" i="8"/>
  <c r="Q48" i="8"/>
  <c r="BR55" i="8"/>
  <c r="AT55" i="8"/>
  <c r="CN55" i="8"/>
  <c r="AB55" i="8"/>
  <c r="R51" i="8"/>
  <c r="CQ48" i="8"/>
  <c r="CA50" i="8"/>
  <c r="BK48" i="8"/>
  <c r="AU49" i="8"/>
  <c r="AE50" i="8"/>
  <c r="O49" i="8"/>
  <c r="BU27" i="8"/>
  <c r="CQ29" i="8"/>
  <c r="CK59" i="8"/>
  <c r="BQ59" i="8"/>
  <c r="AS59" i="8"/>
  <c r="BR59" i="8"/>
  <c r="BH59" i="8"/>
  <c r="CQ63" i="8"/>
  <c r="CA63" i="8"/>
  <c r="BK63" i="8"/>
  <c r="AU63" i="8"/>
  <c r="AE63" i="8"/>
  <c r="O63" i="8"/>
  <c r="CN29" i="8"/>
  <c r="BT29" i="8"/>
  <c r="AV29" i="8"/>
  <c r="AB29" i="8"/>
  <c r="R27" i="8"/>
  <c r="CD29" i="8"/>
  <c r="CT27" i="8"/>
  <c r="CA29" i="8"/>
  <c r="AE29" i="8"/>
  <c r="CU50" i="8"/>
  <c r="BL55" i="8"/>
  <c r="AI29" i="8"/>
  <c r="AY27" i="8"/>
  <c r="AY28" i="8"/>
  <c r="BO26" i="8"/>
  <c r="BI59" i="8"/>
  <c r="CB59" i="8"/>
  <c r="E49" i="8"/>
  <c r="AV49" i="8"/>
  <c r="BO29" i="8"/>
  <c r="AV51" i="8"/>
  <c r="BI49" i="8"/>
  <c r="AV48" i="8"/>
  <c r="AF63" i="8"/>
  <c r="BO59" i="8"/>
  <c r="F27" i="8"/>
  <c r="BB27" i="8"/>
  <c r="CB50" i="8"/>
  <c r="CE51" i="8"/>
  <c r="BL50" i="8"/>
  <c r="BI48" i="8"/>
  <c r="S55" i="8"/>
  <c r="BL59" i="8"/>
  <c r="AV63" i="8"/>
  <c r="BJ59" i="8"/>
  <c r="BO28" i="8"/>
  <c r="CE26" i="8"/>
  <c r="S26" i="8"/>
  <c r="BL28" i="8"/>
  <c r="BL26" i="8"/>
  <c r="CR28" i="8"/>
  <c r="CR26" i="8"/>
  <c r="AK49" i="8"/>
  <c r="E48" i="8"/>
  <c r="CD49" i="8"/>
  <c r="BJ48" i="8"/>
  <c r="S48" i="8"/>
  <c r="E51" i="8"/>
  <c r="CB49" i="8"/>
  <c r="BL51" i="8"/>
  <c r="AF50" i="8"/>
  <c r="CO51" i="8"/>
  <c r="CO55" i="8"/>
  <c r="AK55" i="8"/>
  <c r="E55" i="8"/>
  <c r="V55" i="8"/>
  <c r="CB55" i="8"/>
  <c r="BL49" i="8"/>
  <c r="P55" i="8"/>
  <c r="CO63" i="8"/>
  <c r="AK63" i="8"/>
  <c r="E63" i="8"/>
  <c r="AP59" i="8"/>
  <c r="AV59" i="8"/>
  <c r="AF59" i="8"/>
  <c r="P63" i="8"/>
  <c r="AI59" i="8"/>
  <c r="H29" i="8"/>
  <c r="H27" i="8"/>
  <c r="CE29" i="8"/>
  <c r="BO27" i="8"/>
  <c r="AI27" i="8"/>
  <c r="F29" i="8"/>
  <c r="AO28" i="8"/>
  <c r="CE28" i="8"/>
  <c r="S28" i="8"/>
  <c r="CU26" i="8"/>
  <c r="AI26" i="8"/>
  <c r="H28" i="8"/>
  <c r="H26" i="8"/>
  <c r="BL27" i="8"/>
  <c r="BI50" i="8"/>
  <c r="C49" i="8"/>
  <c r="P50" i="8"/>
  <c r="AP51" i="8"/>
  <c r="BL48" i="8"/>
  <c r="P51" i="8"/>
  <c r="CB51" i="8"/>
  <c r="CR50" i="8"/>
  <c r="CO48" i="8"/>
  <c r="C55" i="8"/>
  <c r="CO49" i="8"/>
  <c r="AK50" i="8"/>
  <c r="E50" i="8"/>
  <c r="BJ55" i="8"/>
  <c r="CR55" i="8"/>
  <c r="CB48" i="8"/>
  <c r="AF55" i="8"/>
  <c r="P48" i="8"/>
  <c r="CE55" i="8"/>
  <c r="CO59" i="8"/>
  <c r="AK59" i="8"/>
  <c r="E59" i="8"/>
  <c r="CR63" i="8"/>
  <c r="P59" i="8"/>
  <c r="C59" i="8"/>
  <c r="Y27" i="8"/>
  <c r="AN29" i="8"/>
  <c r="AY29" i="8"/>
  <c r="CU27" i="8"/>
  <c r="BR29" i="8"/>
  <c r="AL29" i="8"/>
  <c r="CU28" i="8"/>
  <c r="AI28" i="8"/>
  <c r="AY26" i="8"/>
  <c r="AN28" i="8"/>
  <c r="AN26" i="8"/>
  <c r="BL29" i="8"/>
  <c r="AF49" i="8"/>
  <c r="AP50" i="8"/>
  <c r="AK48" i="8"/>
  <c r="CO50" i="8"/>
  <c r="BO49" i="8"/>
  <c r="AV50" i="8"/>
  <c r="AK51" i="8"/>
  <c r="P49" i="8"/>
  <c r="S51" i="8"/>
  <c r="CR48" i="8"/>
  <c r="BN48" i="8"/>
  <c r="AF51" i="8"/>
  <c r="CR51" i="8"/>
  <c r="BI51" i="8"/>
  <c r="BI55" i="8"/>
  <c r="CR49" i="8"/>
  <c r="AV55" i="8"/>
  <c r="AF48" i="8"/>
  <c r="AP55" i="8"/>
  <c r="AY55" i="8"/>
  <c r="BI63" i="8"/>
  <c r="CR59" i="8"/>
  <c r="CB63" i="8"/>
  <c r="BL63" i="8"/>
  <c r="CU59" i="8"/>
  <c r="V59" i="8"/>
  <c r="CR29" i="8"/>
  <c r="CR27" i="8"/>
  <c r="AN27" i="8"/>
  <c r="CU29" i="8"/>
  <c r="S29" i="8"/>
  <c r="CE27" i="8"/>
  <c r="S27" i="8"/>
  <c r="CO27" i="8"/>
  <c r="CL68" i="8"/>
  <c r="BF59" i="8"/>
  <c r="BF68" i="8"/>
  <c r="AK29" i="8"/>
  <c r="AH68" i="8"/>
  <c r="B59" i="8"/>
  <c r="B68" i="8"/>
  <c r="CG27" i="8"/>
  <c r="CD68" i="8"/>
  <c r="N50" i="8"/>
  <c r="N68" i="8"/>
  <c r="CG28" i="8"/>
  <c r="CK26" i="8"/>
  <c r="BQ26" i="8"/>
  <c r="CQ28" i="8"/>
  <c r="CA28" i="8"/>
  <c r="BK28" i="8"/>
  <c r="AU28" i="8"/>
  <c r="AE28" i="8"/>
  <c r="O28" i="8"/>
  <c r="CX29" i="8"/>
  <c r="E26" i="8"/>
  <c r="BO50" i="8"/>
  <c r="BF50" i="8"/>
  <c r="C50" i="8"/>
  <c r="N51" i="8"/>
  <c r="CN50" i="8"/>
  <c r="S49" i="8"/>
  <c r="CE49" i="8"/>
  <c r="AR51" i="8"/>
  <c r="AY48" i="8"/>
  <c r="CH51" i="8"/>
  <c r="AH48" i="8"/>
  <c r="AI51" i="8"/>
  <c r="CU51" i="8"/>
  <c r="V48" i="8"/>
  <c r="CH50" i="8"/>
  <c r="L48" i="8"/>
  <c r="AL48" i="8"/>
  <c r="AP49" i="8"/>
  <c r="CD48" i="8"/>
  <c r="BN49" i="8"/>
  <c r="C48" i="8"/>
  <c r="CL48" i="8"/>
  <c r="V49" i="8"/>
  <c r="CN49" i="8"/>
  <c r="BX49" i="8"/>
  <c r="BH49" i="8"/>
  <c r="AR49" i="8"/>
  <c r="AB49" i="8"/>
  <c r="L49" i="8"/>
  <c r="BF48" i="8"/>
  <c r="CE50" i="8"/>
  <c r="AY50" i="8"/>
  <c r="S50" i="8"/>
  <c r="CO29" i="8"/>
  <c r="AO29" i="8"/>
  <c r="BX63" i="8"/>
  <c r="AR63" i="8"/>
  <c r="L63" i="8"/>
  <c r="CH63" i="8"/>
  <c r="AL63" i="8"/>
  <c r="N63" i="8"/>
  <c r="CE63" i="8"/>
  <c r="AY63" i="8"/>
  <c r="S63" i="8"/>
  <c r="CA27" i="8"/>
  <c r="AE27" i="8"/>
  <c r="CK29" i="8"/>
  <c r="CH29" i="8"/>
  <c r="BR27" i="8"/>
  <c r="AL27" i="8"/>
  <c r="CM27" i="8"/>
  <c r="CJ68" i="8"/>
  <c r="BW27" i="8"/>
  <c r="BT68" i="8"/>
  <c r="BG27" i="8"/>
  <c r="BD68" i="8"/>
  <c r="AQ27" i="8"/>
  <c r="AN68" i="8"/>
  <c r="AA29" i="8"/>
  <c r="X68" i="8"/>
  <c r="K29" i="8"/>
  <c r="H68" i="8"/>
  <c r="BI27" i="8"/>
  <c r="AG27" i="8"/>
  <c r="BQ27" i="8"/>
  <c r="BN68" i="8"/>
  <c r="BM27" i="8"/>
  <c r="BJ68" i="8"/>
  <c r="CX28" i="8"/>
  <c r="BR28" i="8"/>
  <c r="V28" i="8"/>
  <c r="BM26" i="8"/>
  <c r="Y26" i="8"/>
  <c r="F26" i="8"/>
  <c r="CQ26" i="8"/>
  <c r="CA26" i="8"/>
  <c r="BK26" i="8"/>
  <c r="AU26" i="8"/>
  <c r="AE26" i="8"/>
  <c r="O26" i="8"/>
  <c r="CK28" i="8"/>
  <c r="Y28" i="8"/>
  <c r="B51" i="8"/>
  <c r="AI50" i="8"/>
  <c r="BF51" i="8"/>
  <c r="N48" i="8"/>
  <c r="AI49" i="8"/>
  <c r="CU49" i="8"/>
  <c r="BH51" i="8"/>
  <c r="CE48" i="8"/>
  <c r="AY51" i="8"/>
  <c r="AH50" i="8"/>
  <c r="BN50" i="8"/>
  <c r="BX50" i="8"/>
  <c r="V50" i="8"/>
  <c r="CH48" i="8"/>
  <c r="B55" i="8"/>
  <c r="CH55" i="8"/>
  <c r="BN55" i="8"/>
  <c r="N55" i="8"/>
  <c r="CU55" i="8"/>
  <c r="BO55" i="8"/>
  <c r="AI55" i="8"/>
  <c r="Q29" i="8"/>
  <c r="O29" i="8"/>
  <c r="AO27" i="8"/>
  <c r="BX59" i="8"/>
  <c r="AR59" i="8"/>
  <c r="L59" i="8"/>
  <c r="CH59" i="8"/>
  <c r="BN59" i="8"/>
  <c r="N59" i="8"/>
  <c r="CE59" i="8"/>
  <c r="AY59" i="8"/>
  <c r="S59" i="8"/>
  <c r="CQ27" i="8"/>
  <c r="V29" i="8"/>
  <c r="CS27" i="8"/>
  <c r="CP68" i="8"/>
  <c r="CC27" i="8"/>
  <c r="BZ68" i="8"/>
  <c r="BE29" i="8"/>
  <c r="BB68" i="8"/>
  <c r="I29" i="8"/>
  <c r="F68" i="8"/>
  <c r="AW29" i="8"/>
  <c r="AT68" i="8"/>
  <c r="CK27" i="8"/>
  <c r="AS29" i="8"/>
  <c r="AP68" i="8"/>
  <c r="AL51" i="8"/>
  <c r="AL68" i="8"/>
  <c r="CH28" i="8"/>
  <c r="BB28" i="8"/>
  <c r="AL28" i="8"/>
  <c r="F28" i="8"/>
  <c r="AS28" i="8"/>
  <c r="BQ28" i="8"/>
  <c r="BI26" i="8"/>
  <c r="AS26" i="8"/>
  <c r="E27" i="8"/>
  <c r="CX26" i="8"/>
  <c r="CH26" i="8"/>
  <c r="BR26" i="8"/>
  <c r="BB26" i="8"/>
  <c r="AL26" i="8"/>
  <c r="V26" i="8"/>
  <c r="BM28" i="8"/>
  <c r="BB29" i="8"/>
  <c r="BH48" i="8"/>
  <c r="AB50" i="8"/>
  <c r="AY49" i="8"/>
  <c r="L51" i="8"/>
  <c r="BX51" i="8"/>
  <c r="V51" i="8"/>
  <c r="C51" i="8"/>
  <c r="BO51" i="8"/>
  <c r="BX48" i="8"/>
  <c r="AB48" i="8"/>
  <c r="CD50" i="8"/>
  <c r="B48" i="8"/>
  <c r="CH49" i="8"/>
  <c r="BN51" i="8"/>
  <c r="N49" i="8"/>
  <c r="CU48" i="8"/>
  <c r="BO48" i="8"/>
  <c r="AI48" i="8"/>
  <c r="Q27" i="8"/>
  <c r="O27" i="8"/>
  <c r="BI29" i="8"/>
  <c r="CX27" i="8"/>
  <c r="AP63" i="8"/>
  <c r="CN63" i="8"/>
  <c r="BH63" i="8"/>
  <c r="AB63" i="8"/>
  <c r="CU63" i="8"/>
  <c r="BO63" i="8"/>
  <c r="AI63" i="8"/>
  <c r="C63" i="8"/>
  <c r="CD63" i="8"/>
  <c r="BJ63" i="8"/>
  <c r="V63" i="8"/>
  <c r="Y29" i="8"/>
  <c r="BK29" i="8"/>
  <c r="CI27" i="8"/>
  <c r="AU27" i="8"/>
  <c r="CH27" i="8"/>
  <c r="V27" i="8"/>
  <c r="BE27" i="8"/>
  <c r="CS59" i="8"/>
  <c r="CS68" i="8"/>
  <c r="CC59" i="8"/>
  <c r="CC68" i="8"/>
  <c r="BH29" i="8"/>
  <c r="BE68" i="8"/>
  <c r="AJ27" i="8"/>
  <c r="AG68" i="8"/>
  <c r="L29" i="8"/>
  <c r="I68" i="8"/>
  <c r="CL27" i="8"/>
  <c r="CI68" i="8"/>
  <c r="BV27" i="8"/>
  <c r="BS68" i="8"/>
  <c r="BF27" i="8"/>
  <c r="BC68" i="8"/>
  <c r="AP29" i="8"/>
  <c r="AM68" i="8"/>
  <c r="W59" i="8"/>
  <c r="W68" i="8"/>
  <c r="J27" i="8"/>
  <c r="G68" i="8"/>
  <c r="AG29" i="8"/>
  <c r="E29" i="8"/>
  <c r="AO26" i="8"/>
  <c r="Q28" i="8"/>
  <c r="AJ28" i="8"/>
  <c r="B49" i="8"/>
  <c r="CC48" i="8"/>
  <c r="BE51" i="8"/>
  <c r="AN50" i="8"/>
  <c r="AN51" i="8"/>
  <c r="G48" i="8"/>
  <c r="CJ48" i="8"/>
  <c r="BJ50" i="8"/>
  <c r="BC51" i="8"/>
  <c r="X48" i="8"/>
  <c r="AH49" i="8"/>
  <c r="W49" i="8"/>
  <c r="CI49" i="8"/>
  <c r="BF49" i="8"/>
  <c r="BT48" i="8"/>
  <c r="BE49" i="8"/>
  <c r="CC51" i="8"/>
  <c r="CS55" i="8"/>
  <c r="CC55" i="8"/>
  <c r="BE55" i="8"/>
  <c r="AG55" i="8"/>
  <c r="I55" i="8"/>
  <c r="AL55" i="8"/>
  <c r="CD55" i="8"/>
  <c r="AH55" i="8"/>
  <c r="CI55" i="8"/>
  <c r="BS55" i="8"/>
  <c r="BC55" i="8"/>
  <c r="AM55" i="8"/>
  <c r="W55" i="8"/>
  <c r="G55" i="8"/>
  <c r="CG29" i="8"/>
  <c r="Z27" i="8"/>
  <c r="CS63" i="8"/>
  <c r="CC63" i="8"/>
  <c r="BE63" i="8"/>
  <c r="AG63" i="8"/>
  <c r="I63" i="8"/>
  <c r="CJ63" i="8"/>
  <c r="BT63" i="8"/>
  <c r="BD63" i="8"/>
  <c r="AN63" i="8"/>
  <c r="X63" i="8"/>
  <c r="H63" i="8"/>
  <c r="CL63" i="8"/>
  <c r="B63" i="8"/>
  <c r="CI63" i="8"/>
  <c r="BS63" i="8"/>
  <c r="BC63" i="8"/>
  <c r="AM63" i="8"/>
  <c r="W63" i="8"/>
  <c r="G63" i="8"/>
  <c r="BF63" i="8"/>
  <c r="AH63" i="8"/>
  <c r="CV29" i="8"/>
  <c r="CF29" i="8"/>
  <c r="BH27" i="8"/>
  <c r="L27" i="8"/>
  <c r="CM29" i="8"/>
  <c r="BW29" i="8"/>
  <c r="BG29" i="8"/>
  <c r="K27" i="8"/>
  <c r="AP27" i="8"/>
  <c r="CL29" i="8"/>
  <c r="BV29" i="8"/>
  <c r="BF29" i="8"/>
  <c r="I27" i="8"/>
  <c r="AK28" i="8"/>
  <c r="CG26" i="8"/>
  <c r="AK26" i="8"/>
  <c r="E28" i="8"/>
  <c r="AJ26" i="8"/>
  <c r="B50" i="8"/>
  <c r="AG48" i="8"/>
  <c r="CS48" i="8"/>
  <c r="BT50" i="8"/>
  <c r="CL50" i="8"/>
  <c r="BD51" i="8"/>
  <c r="W51" i="8"/>
  <c r="I49" i="8"/>
  <c r="AM48" i="8"/>
  <c r="CI51" i="8"/>
  <c r="AN48" i="8"/>
  <c r="BJ51" i="8"/>
  <c r="CS50" i="8"/>
  <c r="AM49" i="8"/>
  <c r="X50" i="8"/>
  <c r="AM51" i="8"/>
  <c r="CL51" i="8"/>
  <c r="CL49" i="8"/>
  <c r="AL49" i="8"/>
  <c r="AL50" i="8"/>
  <c r="CS49" i="8"/>
  <c r="CC50" i="8"/>
  <c r="BE50" i="8"/>
  <c r="AG49" i="8"/>
  <c r="I50" i="8"/>
  <c r="CD51" i="8"/>
  <c r="AH51" i="8"/>
  <c r="CI48" i="8"/>
  <c r="BS51" i="8"/>
  <c r="BC50" i="8"/>
  <c r="AM50" i="8"/>
  <c r="W48" i="8"/>
  <c r="G50" i="8"/>
  <c r="J29" i="8"/>
  <c r="BM29" i="8"/>
  <c r="BE59" i="8"/>
  <c r="AG59" i="8"/>
  <c r="I59" i="8"/>
  <c r="CJ59" i="8"/>
  <c r="BT59" i="8"/>
  <c r="BD59" i="8"/>
  <c r="AN59" i="8"/>
  <c r="X59" i="8"/>
  <c r="H59" i="8"/>
  <c r="CL59" i="8"/>
  <c r="CI59" i="8"/>
  <c r="BS59" i="8"/>
  <c r="BC59" i="8"/>
  <c r="AM59" i="8"/>
  <c r="G59" i="8"/>
  <c r="AH59" i="8"/>
  <c r="AA27" i="8"/>
  <c r="AK27" i="8"/>
  <c r="BQ29" i="8"/>
  <c r="G6" i="3"/>
  <c r="G7" i="3" s="1"/>
  <c r="G8" i="3" s="1"/>
  <c r="G9" i="3" s="1"/>
  <c r="G10" i="3" s="1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BR27" i="1"/>
  <c r="BQ27" i="1"/>
  <c r="BO27" i="1"/>
  <c r="BP27" i="1" s="1"/>
  <c r="BR26" i="1"/>
  <c r="BQ26" i="1"/>
  <c r="BO26" i="1"/>
  <c r="BP26" i="1" s="1"/>
  <c r="BR19" i="1"/>
  <c r="BQ19" i="1"/>
  <c r="BO19" i="1"/>
  <c r="BP19" i="1" s="1"/>
  <c r="BR18" i="1"/>
  <c r="BQ18" i="1"/>
  <c r="BO18" i="1"/>
  <c r="BP18" i="1" s="1"/>
  <c r="BR11" i="1"/>
  <c r="BQ11" i="1"/>
  <c r="BO11" i="1"/>
  <c r="BP11" i="1" s="1"/>
  <c r="BR10" i="1"/>
  <c r="BQ10" i="1"/>
  <c r="BO10" i="1"/>
  <c r="BP10" i="1" s="1"/>
  <c r="BR3" i="1"/>
  <c r="BQ3" i="1"/>
  <c r="BO3" i="1"/>
  <c r="BP3" i="1" s="1"/>
  <c r="BR2" i="1"/>
  <c r="BQ2" i="1"/>
  <c r="BO2" i="1"/>
  <c r="BP2" i="1" s="1"/>
  <c r="DA27" i="8" l="1"/>
  <c r="CX48" i="8"/>
  <c r="CX50" i="8"/>
  <c r="DA28" i="8"/>
  <c r="DA26" i="8"/>
  <c r="CX51" i="8"/>
  <c r="CX49" i="8"/>
  <c r="DA29" i="8"/>
  <c r="CX55" i="8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2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comments3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<sst xmlns="http://schemas.openxmlformats.org/spreadsheetml/2006/main" count="1124" uniqueCount="150">
  <si>
    <t>누적수익률</t>
    <phoneticPr fontId="1" type="noConversion"/>
  </si>
  <si>
    <t>샤프비율</t>
    <phoneticPr fontId="1" type="noConversion"/>
  </si>
  <si>
    <t>kospi+kosdaq_fwd 수수료1%</t>
    <phoneticPr fontId="1" type="noConversion"/>
  </si>
  <si>
    <t>kospi+kosdaq_fwd(200)</t>
  </si>
  <si>
    <t>kospi+kosdaq_fwd(200)</t>
    <phoneticPr fontId="1" type="noConversion"/>
  </si>
  <si>
    <t>kospi+kosdaq_fwd(100)</t>
    <phoneticPr fontId="1" type="noConversion"/>
  </si>
  <si>
    <t>KOSDAQ</t>
  </si>
  <si>
    <t>kospi+kosdaq_fwd(75)</t>
    <phoneticPr fontId="1" type="noConversion"/>
  </si>
  <si>
    <t>kospi+kosdaq_fwd(50)</t>
  </si>
  <si>
    <t>kospi+kosdaq_fwd(50)</t>
    <phoneticPr fontId="1" type="noConversion"/>
  </si>
  <si>
    <t>2+3(200)</t>
    <phoneticPr fontId="1" type="noConversion"/>
  </si>
  <si>
    <t>2+3(50)</t>
    <phoneticPr fontId="1" type="noConversion"/>
  </si>
  <si>
    <t>1(200)</t>
    <phoneticPr fontId="1" type="noConversion"/>
  </si>
  <si>
    <t>1(50)</t>
    <phoneticPr fontId="1" type="noConversion"/>
  </si>
  <si>
    <t>kospi+kosdaq_fwd(25)</t>
  </si>
  <si>
    <t>kospi+kosdaq_fwd(25)</t>
    <phoneticPr fontId="1" type="noConversion"/>
  </si>
  <si>
    <t>2+3(25)</t>
    <phoneticPr fontId="1" type="noConversion"/>
  </si>
  <si>
    <t>kospi+kosdaq_fwd(25)</t>
    <phoneticPr fontId="1" type="noConversion"/>
  </si>
  <si>
    <t>1(25)</t>
    <phoneticPr fontId="1" type="noConversion"/>
  </si>
  <si>
    <t>수수료포함</t>
    <phoneticPr fontId="1" type="noConversion"/>
  </si>
  <si>
    <t xml:space="preserve">     Refresh     </t>
  </si>
  <si>
    <t>All Listed</t>
  </si>
  <si>
    <t>Korean</t>
  </si>
  <si>
    <t>WMI510</t>
  </si>
  <si>
    <t>WMI540</t>
  </si>
  <si>
    <t>R100200</t>
  </si>
  <si>
    <t>I100100</t>
  </si>
  <si>
    <t>P</t>
  </si>
  <si>
    <t>Account Type</t>
  </si>
  <si>
    <t>WMI500대형주</t>
  </si>
  <si>
    <t>WMI500중소형주</t>
  </si>
  <si>
    <t>Txt</t>
  </si>
  <si>
    <t>Last Update : 2017-07-12 15:33:03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</si>
  <si>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</si>
  <si>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</si>
  <si>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</si>
  <si>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</si>
  <si>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Code</t>
    <phoneticPr fontId="1" type="noConversion"/>
  </si>
  <si>
    <t>Name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</si>
  <si>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</si>
  <si>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</si>
  <si>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</si>
  <si>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종가지수</t>
    <phoneticPr fontId="1" type="noConversion"/>
  </si>
  <si>
    <t>종가지수</t>
    <phoneticPr fontId="1" type="noConversion"/>
  </si>
  <si>
    <t>WMI500대형주</t>
    <phoneticPr fontId="1" type="noConversion"/>
  </si>
  <si>
    <t>WMI500중소형주</t>
    <phoneticPr fontId="1" type="noConversion"/>
  </si>
  <si>
    <t>대형주와 중소형주 지수 모두 빠지는 구간에서 3개의 포트폴리오 모두 대형주와 중소형주 비중이 비슷하다.</t>
    <phoneticPr fontId="1" type="noConversion"/>
  </si>
  <si>
    <t>S100100</t>
  </si>
  <si>
    <t>Local/Shares</t>
  </si>
  <si>
    <t>Last Update : 2017-07-13 08:25:10</t>
  </si>
  <si>
    <t>Peer Analysis (To Select)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</si>
  <si>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</si>
  <si>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</si>
  <si>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</si>
  <si>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</si>
  <si>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</si>
  <si>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</si>
  <si>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</si>
  <si>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</si>
  <si>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25 port</t>
    <phoneticPr fontId="1" type="noConversion"/>
  </si>
  <si>
    <t>50 port</t>
    <phoneticPr fontId="1" type="noConversion"/>
  </si>
  <si>
    <t>75 port</t>
    <phoneticPr fontId="1" type="noConversion"/>
  </si>
  <si>
    <t>100 port</t>
    <phoneticPr fontId="1" type="noConversion"/>
  </si>
  <si>
    <t>20080229~20081031</t>
    <phoneticPr fontId="1" type="noConversion"/>
  </si>
  <si>
    <t>20081031~20090529</t>
    <phoneticPr fontId="1" type="noConversion"/>
  </si>
  <si>
    <t>대형주 비중은 모두 비슷한 반면 주식수가 적은 포트폴리오일수록 중소형주 비중이 높다.</t>
    <phoneticPr fontId="1" type="noConversion"/>
  </si>
  <si>
    <t>이 기간동안 중소형주의 성과가 대형주의 성과보다 좋았기 때문에 주식수가 적을 수록 성과가 좋다.</t>
    <phoneticPr fontId="1" type="noConversion"/>
  </si>
  <si>
    <t>20090529~20100730</t>
    <phoneticPr fontId="1" type="noConversion"/>
  </si>
  <si>
    <t>대형주의 성과가 좋았는데도 불구하고 대형주 비중이 적은 25 포트와 50 포트의 성과가 더 좋았다..</t>
    <phoneticPr fontId="1" type="noConversion"/>
  </si>
  <si>
    <t>20100730~20101029</t>
    <phoneticPr fontId="1" type="noConversion"/>
  </si>
  <si>
    <t>중소형주의 성과가 좋아 중소형주의 비중이 높은 종목수가 작은 포트폴리오들의 성과가 좋다.</t>
    <phoneticPr fontId="1" type="noConversion"/>
  </si>
  <si>
    <t>20101029~20110429</t>
  </si>
  <si>
    <t>대형중의 성과가 좋다. 100 port가 대형주의 비중이 가장 높기 때문의 성과가 가장 좋다.</t>
    <phoneticPr fontId="1" type="noConversion"/>
  </si>
  <si>
    <t>20110429~20120229</t>
  </si>
  <si>
    <t>20120229~20120731</t>
  </si>
  <si>
    <t>전체적인 하락장에서 대형주의 성과가 중소형주의 성과보다 좋다. 그런데 대형주의 비중이 가장적은 25 port의 성과가 가장 좋다..</t>
    <phoneticPr fontId="1" type="noConversion"/>
  </si>
  <si>
    <t>20120731~20150831</t>
  </si>
  <si>
    <t>중소형주의 성과가 대형주의 성과보다 좋았기 때문에 중소형주의 비중이 높은 25, 50 port의 성과가 더 좋았다.</t>
    <phoneticPr fontId="1" type="noConversion"/>
  </si>
  <si>
    <t>20150831~20170531</t>
  </si>
  <si>
    <t xml:space="preserve">대형주의 성과가 중소형주의 성과보다 좋았다. 25 port가 이때 대형주의 비중을 가장 크게 가져가는데 이때문에 초반의 성과가 가장 좋다. 하지만 절대적으로 </t>
    <phoneticPr fontId="1" type="noConversion"/>
  </si>
  <si>
    <t>대혀주를 많이 포함하는 100 port가 최종적으로 누적수익률이 좋아졌다.</t>
    <phoneticPr fontId="1" type="noConversion"/>
  </si>
  <si>
    <t>IKS001</t>
  </si>
  <si>
    <t>종가지수</t>
    <phoneticPr fontId="1" type="noConversion"/>
  </si>
  <si>
    <t>Last Update : 2017-07-13 16:02:02</t>
    <phoneticPr fontId="1" type="noConversion"/>
  </si>
  <si>
    <t>Account</t>
    <phoneticPr fontId="1" type="noConversion"/>
  </si>
  <si>
    <t>Code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</si>
  <si>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</si>
  <si>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</si>
  <si>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</si>
  <si>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</t>
    <phoneticPr fontId="1" type="noConversion"/>
  </si>
  <si>
    <t>12개월 rolling</t>
    <phoneticPr fontId="1" type="noConversion"/>
  </si>
  <si>
    <t>25-KOSPI</t>
    <phoneticPr fontId="1" type="noConversion"/>
  </si>
  <si>
    <t>50-KOSPI</t>
    <phoneticPr fontId="1" type="noConversion"/>
  </si>
  <si>
    <t>75-KOSPI</t>
    <phoneticPr fontId="1" type="noConversion"/>
  </si>
  <si>
    <t>100-KOSPI</t>
    <phoneticPr fontId="1" type="noConversion"/>
  </si>
  <si>
    <t>25-PORT</t>
    <phoneticPr fontId="1" type="noConversion"/>
  </si>
  <si>
    <t>50-PORT</t>
    <phoneticPr fontId="1" type="noConversion"/>
  </si>
  <si>
    <t>75-PORT</t>
    <phoneticPr fontId="1" type="noConversion"/>
  </si>
  <si>
    <t>100-PORT</t>
    <phoneticPr fontId="1" type="noConversion"/>
  </si>
  <si>
    <t>ehlsr</t>
    <phoneticPr fontId="1" type="noConversion"/>
  </si>
  <si>
    <t>섹터 대분류 표준화</t>
    <phoneticPr fontId="1" type="noConversion"/>
  </si>
  <si>
    <t>월별수익률</t>
    <phoneticPr fontId="1" type="noConversion"/>
  </si>
  <si>
    <t>kospi+kosdaq_fwd(25)</t>
    <phoneticPr fontId="1" type="noConversion"/>
  </si>
  <si>
    <t>kospi+kosdaq_fwd(75)</t>
    <phoneticPr fontId="1" type="noConversion"/>
  </si>
  <si>
    <t>kospi+kosdaq_fwd(100)</t>
    <phoneticPr fontId="1" type="noConversion"/>
  </si>
  <si>
    <t>대분류 섹터 표준화</t>
    <phoneticPr fontId="1" type="noConversion"/>
  </si>
  <si>
    <t>25-PORT</t>
  </si>
  <si>
    <t>50-PORT</t>
  </si>
  <si>
    <t>75-PORT</t>
  </si>
  <si>
    <t>100-PORT</t>
  </si>
  <si>
    <t>중분류 시가총액</t>
    <phoneticPr fontId="1" type="noConversion"/>
  </si>
  <si>
    <t>섹터 중분류 시가총액비중 100</t>
    <phoneticPr fontId="1" type="noConversion"/>
  </si>
  <si>
    <t>가정용품과개인용품</t>
  </si>
  <si>
    <t>건강관리장비와서비스</t>
  </si>
  <si>
    <t>교육서비스</t>
  </si>
  <si>
    <t>기술하드웨어와장비</t>
  </si>
  <si>
    <t>기타금융서비스</t>
  </si>
  <si>
    <t>내구소비재와의류</t>
  </si>
  <si>
    <t>다각화된금융</t>
  </si>
  <si>
    <t>디스플레이</t>
  </si>
  <si>
    <t>미디어</t>
  </si>
  <si>
    <t>반도체와반도체장비</t>
  </si>
  <si>
    <t>보험</t>
  </si>
  <si>
    <t>부동산</t>
  </si>
  <si>
    <t>상업서비스와공급품</t>
  </si>
  <si>
    <t>소매(유통)</t>
  </si>
  <si>
    <t>소재</t>
  </si>
  <si>
    <t>소프트웨어와서비스</t>
  </si>
  <si>
    <t>식품,음료,담배</t>
  </si>
  <si>
    <t>식품과기본식료품소매</t>
  </si>
  <si>
    <t>에너지</t>
  </si>
  <si>
    <t>운송</t>
  </si>
  <si>
    <t>유틸리티</t>
  </si>
  <si>
    <t>은행</t>
  </si>
  <si>
    <t>자동차와부품</t>
  </si>
  <si>
    <t>자본재</t>
  </si>
  <si>
    <t>전자와 전기제품</t>
  </si>
  <si>
    <t>제약과생물공학</t>
  </si>
  <si>
    <t>증권</t>
  </si>
  <si>
    <t>통신서비스</t>
  </si>
  <si>
    <t>호텔,레스토랑,레저등</t>
  </si>
  <si>
    <t>섹터 중분류 표준화</t>
    <phoneticPr fontId="1" type="noConversion"/>
  </si>
  <si>
    <t>kospi+kosdaq_fwd(200)</t>
    <phoneticPr fontId="1" type="noConversion"/>
  </si>
  <si>
    <t>섹터 중분류 시가총액비중 대50 중소50</t>
    <phoneticPr fontId="1" type="noConversion"/>
  </si>
  <si>
    <t>100-port</t>
    <phoneticPr fontId="1" type="noConversion"/>
  </si>
  <si>
    <t>섹터 중분류 시가총액비중 대75 중소25</t>
    <phoneticPr fontId="1" type="noConversion"/>
  </si>
  <si>
    <t>섹터 중분류 시가총액비중 대25 중소75</t>
    <phoneticPr fontId="1" type="noConversion"/>
  </si>
  <si>
    <t>섹터 중분류 시가총액비중 대25 중소75</t>
    <phoneticPr fontId="1" type="noConversion"/>
  </si>
  <si>
    <t>섹터 중분류 시가총액비중 대0 중소100</t>
    <phoneticPr fontId="1" type="noConversion"/>
  </si>
  <si>
    <t>섹터 중분류 시가총액비중 대100 중소0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</si>
</sst>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EA7CCD"/>
        <bgColor indexed="64"/>
      </patternFill>
    </fill>
    <fill>
      <patternFill patternType="solid">
        <fgColor rgb="FF86DCE0"/>
        <bgColor indexed="64"/>
      </patternFill>
    </fill>
    <fill>
      <patternFill patternType="solid">
        <fgColor rgb="FFC69E3A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2" fontId="0" fillId="0" borderId="0" xfId="0" applyNumberFormat="1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quotePrefix="1">
      <alignment vertical="center"/>
    </xf>
    <xf numFmtId="0" fontId="0" fillId="3" borderId="0" xfId="0" applyFill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10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C69E3A"/>
      <color rgb="FFFFFFFF"/>
      <color rgb="FF86DCE0"/>
      <color rgb="FFEA7C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200_1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'2001~Q'!$B$5:$BN$5</c:f>
              <c:numCache>
                <c:formatCode>General</c:formatCode>
                <c:ptCount val="65"/>
                <c:pt idx="0">
                  <c:v>0.44444444444444398</c:v>
                </c:pt>
                <c:pt idx="1">
                  <c:v>0.41237113402061798</c:v>
                </c:pt>
                <c:pt idx="2">
                  <c:v>0.47058823529411697</c:v>
                </c:pt>
                <c:pt idx="3">
                  <c:v>0.41206030150753697</c:v>
                </c:pt>
                <c:pt idx="4">
                  <c:v>0.37</c:v>
                </c:pt>
                <c:pt idx="5">
                  <c:v>0.41</c:v>
                </c:pt>
                <c:pt idx="6">
                  <c:v>0.41</c:v>
                </c:pt>
                <c:pt idx="7">
                  <c:v>0.42424242424242398</c:v>
                </c:pt>
                <c:pt idx="8">
                  <c:v>0.51308900523560197</c:v>
                </c:pt>
                <c:pt idx="9">
                  <c:v>0.46</c:v>
                </c:pt>
                <c:pt idx="10">
                  <c:v>0.47</c:v>
                </c:pt>
                <c:pt idx="11">
                  <c:v>0.46500000000000002</c:v>
                </c:pt>
                <c:pt idx="12">
                  <c:v>0.42</c:v>
                </c:pt>
                <c:pt idx="13">
                  <c:v>0.45</c:v>
                </c:pt>
                <c:pt idx="14">
                  <c:v>0.44500000000000001</c:v>
                </c:pt>
                <c:pt idx="15">
                  <c:v>0.39500000000000002</c:v>
                </c:pt>
                <c:pt idx="16">
                  <c:v>0.31</c:v>
                </c:pt>
                <c:pt idx="17">
                  <c:v>0.34</c:v>
                </c:pt>
                <c:pt idx="18">
                  <c:v>0.28499999999999998</c:v>
                </c:pt>
                <c:pt idx="19">
                  <c:v>0.22</c:v>
                </c:pt>
                <c:pt idx="20">
                  <c:v>0.19500000000000001</c:v>
                </c:pt>
                <c:pt idx="21">
                  <c:v>0.22500000000000001</c:v>
                </c:pt>
                <c:pt idx="22">
                  <c:v>0.2</c:v>
                </c:pt>
                <c:pt idx="23">
                  <c:v>0.18</c:v>
                </c:pt>
                <c:pt idx="24">
                  <c:v>0.19</c:v>
                </c:pt>
                <c:pt idx="25">
                  <c:v>0.155</c:v>
                </c:pt>
                <c:pt idx="26">
                  <c:v>0.13500000000000001</c:v>
                </c:pt>
                <c:pt idx="27">
                  <c:v>0.125</c:v>
                </c:pt>
                <c:pt idx="28">
                  <c:v>0.14000000000000001</c:v>
                </c:pt>
                <c:pt idx="29">
                  <c:v>0.11</c:v>
                </c:pt>
                <c:pt idx="30">
                  <c:v>0.16500000000000001</c:v>
                </c:pt>
                <c:pt idx="31">
                  <c:v>0.28999999999999998</c:v>
                </c:pt>
                <c:pt idx="32">
                  <c:v>0.30499999999999999</c:v>
                </c:pt>
                <c:pt idx="33">
                  <c:v>0.17</c:v>
                </c:pt>
                <c:pt idx="34">
                  <c:v>0.13</c:v>
                </c:pt>
                <c:pt idx="35">
                  <c:v>0.12</c:v>
                </c:pt>
                <c:pt idx="36">
                  <c:v>0.125</c:v>
                </c:pt>
                <c:pt idx="37">
                  <c:v>0.16</c:v>
                </c:pt>
                <c:pt idx="38">
                  <c:v>0.125</c:v>
                </c:pt>
                <c:pt idx="39">
                  <c:v>0.11</c:v>
                </c:pt>
                <c:pt idx="40">
                  <c:v>0.12</c:v>
                </c:pt>
                <c:pt idx="41">
                  <c:v>0.12</c:v>
                </c:pt>
                <c:pt idx="42">
                  <c:v>0.13500000000000001</c:v>
                </c:pt>
                <c:pt idx="43">
                  <c:v>0.155</c:v>
                </c:pt>
                <c:pt idx="44">
                  <c:v>0.16</c:v>
                </c:pt>
                <c:pt idx="45">
                  <c:v>0.16</c:v>
                </c:pt>
                <c:pt idx="46">
                  <c:v>0.16</c:v>
                </c:pt>
                <c:pt idx="47">
                  <c:v>0.18</c:v>
                </c:pt>
                <c:pt idx="48">
                  <c:v>0.155</c:v>
                </c:pt>
                <c:pt idx="49">
                  <c:v>0.14499999999999999</c:v>
                </c:pt>
                <c:pt idx="50">
                  <c:v>0.125</c:v>
                </c:pt>
                <c:pt idx="51">
                  <c:v>0.14499999999999999</c:v>
                </c:pt>
                <c:pt idx="52">
                  <c:v>0.14499999999999999</c:v>
                </c:pt>
                <c:pt idx="53">
                  <c:v>0.125</c:v>
                </c:pt>
                <c:pt idx="54">
                  <c:v>0.115</c:v>
                </c:pt>
                <c:pt idx="55">
                  <c:v>0.13500000000000001</c:v>
                </c:pt>
                <c:pt idx="56">
                  <c:v>0.15</c:v>
                </c:pt>
                <c:pt idx="57">
                  <c:v>0.15</c:v>
                </c:pt>
                <c:pt idx="58">
                  <c:v>0.16500000000000001</c:v>
                </c:pt>
                <c:pt idx="59">
                  <c:v>0.14499999999999999</c:v>
                </c:pt>
                <c:pt idx="60">
                  <c:v>0.155</c:v>
                </c:pt>
                <c:pt idx="61">
                  <c:v>0.14000000000000001</c:v>
                </c:pt>
                <c:pt idx="62">
                  <c:v>0.13500000000000001</c:v>
                </c:pt>
                <c:pt idx="63">
                  <c:v>0.125</c:v>
                </c:pt>
                <c:pt idx="64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71-42E7-83E0-2E57C4D8B555}"/>
            </c:ext>
          </c:extLst>
        </c:ser>
        <c:ser>
          <c:idx val="4"/>
          <c:order val="1"/>
          <c:tx>
            <c:v>50_1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'2001~Q'!$B$29:$BN$29</c:f>
              <c:numCache>
                <c:formatCode>General</c:formatCode>
                <c:ptCount val="65"/>
                <c:pt idx="0">
                  <c:v>0.56000000000000005</c:v>
                </c:pt>
                <c:pt idx="1">
                  <c:v>0.48</c:v>
                </c:pt>
                <c:pt idx="2">
                  <c:v>0.57999999999999996</c:v>
                </c:pt>
                <c:pt idx="3">
                  <c:v>0.4</c:v>
                </c:pt>
                <c:pt idx="4">
                  <c:v>0.28000000000000003</c:v>
                </c:pt>
                <c:pt idx="5">
                  <c:v>0.32</c:v>
                </c:pt>
                <c:pt idx="6">
                  <c:v>0.38</c:v>
                </c:pt>
                <c:pt idx="7">
                  <c:v>0.34</c:v>
                </c:pt>
                <c:pt idx="8">
                  <c:v>0.46</c:v>
                </c:pt>
                <c:pt idx="9">
                  <c:v>0.36</c:v>
                </c:pt>
                <c:pt idx="10">
                  <c:v>0.24</c:v>
                </c:pt>
                <c:pt idx="11">
                  <c:v>0.22</c:v>
                </c:pt>
                <c:pt idx="12">
                  <c:v>0.3</c:v>
                </c:pt>
                <c:pt idx="13">
                  <c:v>0.32</c:v>
                </c:pt>
                <c:pt idx="14">
                  <c:v>0.16</c:v>
                </c:pt>
                <c:pt idx="15">
                  <c:v>0.16</c:v>
                </c:pt>
                <c:pt idx="16">
                  <c:v>0.06</c:v>
                </c:pt>
                <c:pt idx="17">
                  <c:v>0.1</c:v>
                </c:pt>
                <c:pt idx="18">
                  <c:v>0.08</c:v>
                </c:pt>
                <c:pt idx="19">
                  <c:v>0.22</c:v>
                </c:pt>
                <c:pt idx="20">
                  <c:v>0.12</c:v>
                </c:pt>
                <c:pt idx="21">
                  <c:v>0.14000000000000001</c:v>
                </c:pt>
                <c:pt idx="22">
                  <c:v>0.08</c:v>
                </c:pt>
                <c:pt idx="23">
                  <c:v>0.06</c:v>
                </c:pt>
                <c:pt idx="24">
                  <c:v>0.04</c:v>
                </c:pt>
                <c:pt idx="25">
                  <c:v>0.08</c:v>
                </c:pt>
                <c:pt idx="26">
                  <c:v>0.12</c:v>
                </c:pt>
                <c:pt idx="27">
                  <c:v>0.12</c:v>
                </c:pt>
                <c:pt idx="28">
                  <c:v>0.08</c:v>
                </c:pt>
                <c:pt idx="29">
                  <c:v>0.06</c:v>
                </c:pt>
                <c:pt idx="30">
                  <c:v>0.06</c:v>
                </c:pt>
                <c:pt idx="31">
                  <c:v>0.32</c:v>
                </c:pt>
                <c:pt idx="32">
                  <c:v>0.16</c:v>
                </c:pt>
                <c:pt idx="33">
                  <c:v>0.02</c:v>
                </c:pt>
                <c:pt idx="34">
                  <c:v>0.04</c:v>
                </c:pt>
                <c:pt idx="35">
                  <c:v>0.04</c:v>
                </c:pt>
                <c:pt idx="36">
                  <c:v>0.02</c:v>
                </c:pt>
                <c:pt idx="37">
                  <c:v>0.08</c:v>
                </c:pt>
                <c:pt idx="38">
                  <c:v>0</c:v>
                </c:pt>
                <c:pt idx="39">
                  <c:v>0.02</c:v>
                </c:pt>
                <c:pt idx="40">
                  <c:v>0.06</c:v>
                </c:pt>
                <c:pt idx="41">
                  <c:v>0.06</c:v>
                </c:pt>
                <c:pt idx="42">
                  <c:v>0.1</c:v>
                </c:pt>
                <c:pt idx="43">
                  <c:v>0.06</c:v>
                </c:pt>
                <c:pt idx="44">
                  <c:v>0.1</c:v>
                </c:pt>
                <c:pt idx="45">
                  <c:v>0.08</c:v>
                </c:pt>
                <c:pt idx="46">
                  <c:v>0.06</c:v>
                </c:pt>
                <c:pt idx="47">
                  <c:v>0.1</c:v>
                </c:pt>
                <c:pt idx="48">
                  <c:v>0.06</c:v>
                </c:pt>
                <c:pt idx="49">
                  <c:v>0.06</c:v>
                </c:pt>
                <c:pt idx="50">
                  <c:v>0.06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0.04</c:v>
                </c:pt>
                <c:pt idx="55">
                  <c:v>0.08</c:v>
                </c:pt>
                <c:pt idx="56">
                  <c:v>0.06</c:v>
                </c:pt>
                <c:pt idx="57">
                  <c:v>0.1</c:v>
                </c:pt>
                <c:pt idx="58">
                  <c:v>0.12</c:v>
                </c:pt>
                <c:pt idx="59">
                  <c:v>0.1</c:v>
                </c:pt>
                <c:pt idx="60">
                  <c:v>0.16</c:v>
                </c:pt>
                <c:pt idx="61">
                  <c:v>0.16</c:v>
                </c:pt>
                <c:pt idx="62">
                  <c:v>0.12</c:v>
                </c:pt>
                <c:pt idx="63">
                  <c:v>0.12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71-42E7-83E0-2E57C4D8B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3599"/>
        <c:axId val="1134396495"/>
      </c:lineChart>
      <c:catAx>
        <c:axId val="1134383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96495"/>
        <c:crosses val="autoZero"/>
        <c:auto val="1"/>
        <c:lblAlgn val="ctr"/>
        <c:lblOffset val="100"/>
        <c:noMultiLvlLbl val="0"/>
      </c:catAx>
      <c:valAx>
        <c:axId val="113439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200_2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'2001~Q'!$B$6:$BN$6</c:f>
              <c:numCache>
                <c:formatCode>General</c:formatCode>
                <c:ptCount val="65"/>
                <c:pt idx="0">
                  <c:v>0.286549707602339</c:v>
                </c:pt>
                <c:pt idx="1">
                  <c:v>0.298969072164948</c:v>
                </c:pt>
                <c:pt idx="2">
                  <c:v>0.29411764705882298</c:v>
                </c:pt>
                <c:pt idx="3">
                  <c:v>0.34673366834170799</c:v>
                </c:pt>
                <c:pt idx="4">
                  <c:v>0.42499999999999999</c:v>
                </c:pt>
                <c:pt idx="5">
                  <c:v>0.40500000000000003</c:v>
                </c:pt>
                <c:pt idx="6">
                  <c:v>0.39500000000000002</c:v>
                </c:pt>
                <c:pt idx="7">
                  <c:v>0.40404040404040398</c:v>
                </c:pt>
                <c:pt idx="8">
                  <c:v>0.33507853403141302</c:v>
                </c:pt>
                <c:pt idx="9">
                  <c:v>0.33500000000000002</c:v>
                </c:pt>
                <c:pt idx="10">
                  <c:v>0.39500000000000002</c:v>
                </c:pt>
                <c:pt idx="11">
                  <c:v>0.41</c:v>
                </c:pt>
                <c:pt idx="12">
                  <c:v>0.435</c:v>
                </c:pt>
                <c:pt idx="13">
                  <c:v>0.39500000000000002</c:v>
                </c:pt>
                <c:pt idx="14">
                  <c:v>0.43</c:v>
                </c:pt>
                <c:pt idx="15">
                  <c:v>0.495</c:v>
                </c:pt>
                <c:pt idx="16">
                  <c:v>0.60499999999999998</c:v>
                </c:pt>
                <c:pt idx="17">
                  <c:v>0.57999999999999996</c:v>
                </c:pt>
                <c:pt idx="18">
                  <c:v>0.63500000000000001</c:v>
                </c:pt>
                <c:pt idx="19">
                  <c:v>0.56499999999999995</c:v>
                </c:pt>
                <c:pt idx="20">
                  <c:v>0.59</c:v>
                </c:pt>
                <c:pt idx="21">
                  <c:v>0.56999999999999995</c:v>
                </c:pt>
                <c:pt idx="22">
                  <c:v>0.56999999999999995</c:v>
                </c:pt>
                <c:pt idx="23">
                  <c:v>0.51500000000000001</c:v>
                </c:pt>
                <c:pt idx="24">
                  <c:v>0.59</c:v>
                </c:pt>
                <c:pt idx="25">
                  <c:v>0.43</c:v>
                </c:pt>
                <c:pt idx="26">
                  <c:v>0.38500000000000001</c:v>
                </c:pt>
                <c:pt idx="27">
                  <c:v>0.47</c:v>
                </c:pt>
                <c:pt idx="28">
                  <c:v>0.505</c:v>
                </c:pt>
                <c:pt idx="29">
                  <c:v>0.46500000000000002</c:v>
                </c:pt>
                <c:pt idx="30">
                  <c:v>0.51</c:v>
                </c:pt>
                <c:pt idx="31">
                  <c:v>0.54500000000000004</c:v>
                </c:pt>
                <c:pt idx="32">
                  <c:v>0.54</c:v>
                </c:pt>
                <c:pt idx="33">
                  <c:v>0.51</c:v>
                </c:pt>
                <c:pt idx="34">
                  <c:v>0.53</c:v>
                </c:pt>
                <c:pt idx="35">
                  <c:v>0.56000000000000005</c:v>
                </c:pt>
                <c:pt idx="36">
                  <c:v>0.52</c:v>
                </c:pt>
                <c:pt idx="37">
                  <c:v>0.48499999999999999</c:v>
                </c:pt>
                <c:pt idx="38">
                  <c:v>0.51500000000000001</c:v>
                </c:pt>
                <c:pt idx="39">
                  <c:v>0.495</c:v>
                </c:pt>
                <c:pt idx="40">
                  <c:v>0.505</c:v>
                </c:pt>
                <c:pt idx="41">
                  <c:v>0.42</c:v>
                </c:pt>
                <c:pt idx="42">
                  <c:v>0.41499999999999998</c:v>
                </c:pt>
                <c:pt idx="43">
                  <c:v>0.45</c:v>
                </c:pt>
                <c:pt idx="44">
                  <c:v>0.4</c:v>
                </c:pt>
                <c:pt idx="45">
                  <c:v>0.43</c:v>
                </c:pt>
                <c:pt idx="46">
                  <c:v>0.41499999999999998</c:v>
                </c:pt>
                <c:pt idx="47">
                  <c:v>0.39500000000000002</c:v>
                </c:pt>
                <c:pt idx="48">
                  <c:v>0.35</c:v>
                </c:pt>
                <c:pt idx="49">
                  <c:v>0.35499999999999998</c:v>
                </c:pt>
                <c:pt idx="50">
                  <c:v>0.36499999999999999</c:v>
                </c:pt>
                <c:pt idx="51">
                  <c:v>0.33500000000000002</c:v>
                </c:pt>
                <c:pt idx="52">
                  <c:v>0.32500000000000001</c:v>
                </c:pt>
                <c:pt idx="53">
                  <c:v>0.315</c:v>
                </c:pt>
                <c:pt idx="54">
                  <c:v>0.3</c:v>
                </c:pt>
                <c:pt idx="55">
                  <c:v>0.32500000000000001</c:v>
                </c:pt>
                <c:pt idx="56">
                  <c:v>0.30499999999999999</c:v>
                </c:pt>
                <c:pt idx="57">
                  <c:v>0.245</c:v>
                </c:pt>
                <c:pt idx="58">
                  <c:v>0.28499999999999998</c:v>
                </c:pt>
                <c:pt idx="59">
                  <c:v>0.29499999999999998</c:v>
                </c:pt>
                <c:pt idx="60">
                  <c:v>0.27</c:v>
                </c:pt>
                <c:pt idx="61">
                  <c:v>0.23499999999999999</c:v>
                </c:pt>
                <c:pt idx="62">
                  <c:v>0.23499999999999999</c:v>
                </c:pt>
                <c:pt idx="63">
                  <c:v>0.23</c:v>
                </c:pt>
                <c:pt idx="64">
                  <c:v>0.23499999999999999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99-43BB-9C3D-6C9D11141D23}"/>
            </c:ext>
          </c:extLst>
        </c:ser>
        <c:ser>
          <c:idx val="0"/>
          <c:order val="1"/>
          <c:tx>
            <c:v>50_2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'2001~Q'!$B$30:$BN$30</c:f>
              <c:numCache>
                <c:formatCode>General</c:formatCode>
                <c:ptCount val="65"/>
                <c:pt idx="0">
                  <c:v>0.42</c:v>
                </c:pt>
                <c:pt idx="1">
                  <c:v>0.48</c:v>
                </c:pt>
                <c:pt idx="2">
                  <c:v>0.42</c:v>
                </c:pt>
                <c:pt idx="3">
                  <c:v>0.57999999999999996</c:v>
                </c:pt>
                <c:pt idx="4">
                  <c:v>0.68</c:v>
                </c:pt>
                <c:pt idx="5">
                  <c:v>0.66</c:v>
                </c:pt>
                <c:pt idx="6">
                  <c:v>0.6</c:v>
                </c:pt>
                <c:pt idx="7">
                  <c:v>0.66</c:v>
                </c:pt>
                <c:pt idx="8">
                  <c:v>0.54</c:v>
                </c:pt>
                <c:pt idx="9">
                  <c:v>0.64</c:v>
                </c:pt>
                <c:pt idx="10">
                  <c:v>0.76</c:v>
                </c:pt>
                <c:pt idx="11">
                  <c:v>0.78</c:v>
                </c:pt>
                <c:pt idx="12">
                  <c:v>0.7</c:v>
                </c:pt>
                <c:pt idx="13">
                  <c:v>0.66</c:v>
                </c:pt>
                <c:pt idx="14">
                  <c:v>0.84</c:v>
                </c:pt>
                <c:pt idx="15">
                  <c:v>0.84</c:v>
                </c:pt>
                <c:pt idx="16">
                  <c:v>0.9</c:v>
                </c:pt>
                <c:pt idx="17">
                  <c:v>0.84</c:v>
                </c:pt>
                <c:pt idx="18">
                  <c:v>0.9</c:v>
                </c:pt>
                <c:pt idx="19">
                  <c:v>0.68</c:v>
                </c:pt>
                <c:pt idx="20">
                  <c:v>0.82</c:v>
                </c:pt>
                <c:pt idx="21">
                  <c:v>0.66</c:v>
                </c:pt>
                <c:pt idx="22">
                  <c:v>0.72</c:v>
                </c:pt>
                <c:pt idx="23">
                  <c:v>0.54</c:v>
                </c:pt>
                <c:pt idx="24">
                  <c:v>0.66</c:v>
                </c:pt>
                <c:pt idx="25">
                  <c:v>0.38</c:v>
                </c:pt>
                <c:pt idx="26">
                  <c:v>0.42</c:v>
                </c:pt>
                <c:pt idx="27">
                  <c:v>0.46</c:v>
                </c:pt>
                <c:pt idx="28">
                  <c:v>0.56000000000000005</c:v>
                </c:pt>
                <c:pt idx="29">
                  <c:v>0.48</c:v>
                </c:pt>
                <c:pt idx="30">
                  <c:v>0.57999999999999996</c:v>
                </c:pt>
                <c:pt idx="31">
                  <c:v>0.6</c:v>
                </c:pt>
                <c:pt idx="32">
                  <c:v>0.66</c:v>
                </c:pt>
                <c:pt idx="33">
                  <c:v>0.7</c:v>
                </c:pt>
                <c:pt idx="34">
                  <c:v>0.64</c:v>
                </c:pt>
                <c:pt idx="35">
                  <c:v>0.62</c:v>
                </c:pt>
                <c:pt idx="36">
                  <c:v>0.62</c:v>
                </c:pt>
                <c:pt idx="37">
                  <c:v>0.52</c:v>
                </c:pt>
                <c:pt idx="38">
                  <c:v>0.6</c:v>
                </c:pt>
                <c:pt idx="39">
                  <c:v>0.62</c:v>
                </c:pt>
                <c:pt idx="40">
                  <c:v>0.62</c:v>
                </c:pt>
                <c:pt idx="41">
                  <c:v>0.46</c:v>
                </c:pt>
                <c:pt idx="42">
                  <c:v>0.48</c:v>
                </c:pt>
                <c:pt idx="43">
                  <c:v>0.52</c:v>
                </c:pt>
                <c:pt idx="44">
                  <c:v>0.48</c:v>
                </c:pt>
                <c:pt idx="45">
                  <c:v>0.46</c:v>
                </c:pt>
                <c:pt idx="46">
                  <c:v>0.46</c:v>
                </c:pt>
                <c:pt idx="47">
                  <c:v>0.44</c:v>
                </c:pt>
                <c:pt idx="48">
                  <c:v>0.38</c:v>
                </c:pt>
                <c:pt idx="49">
                  <c:v>0.3</c:v>
                </c:pt>
                <c:pt idx="50">
                  <c:v>0.3</c:v>
                </c:pt>
                <c:pt idx="51">
                  <c:v>0.34</c:v>
                </c:pt>
                <c:pt idx="52">
                  <c:v>0.36</c:v>
                </c:pt>
                <c:pt idx="53">
                  <c:v>0.26</c:v>
                </c:pt>
                <c:pt idx="54">
                  <c:v>0.2</c:v>
                </c:pt>
                <c:pt idx="55">
                  <c:v>0.32</c:v>
                </c:pt>
                <c:pt idx="56">
                  <c:v>0.32</c:v>
                </c:pt>
                <c:pt idx="57">
                  <c:v>0.2</c:v>
                </c:pt>
                <c:pt idx="58">
                  <c:v>0.24</c:v>
                </c:pt>
                <c:pt idx="59">
                  <c:v>0.3</c:v>
                </c:pt>
                <c:pt idx="60">
                  <c:v>0.3</c:v>
                </c:pt>
                <c:pt idx="61">
                  <c:v>0.26</c:v>
                </c:pt>
                <c:pt idx="62">
                  <c:v>0.3</c:v>
                </c:pt>
                <c:pt idx="63">
                  <c:v>0.3</c:v>
                </c:pt>
                <c:pt idx="64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799-43BB-9C3D-6C9D11141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4388591"/>
        <c:axId val="1134384015"/>
      </c:lineChart>
      <c:catAx>
        <c:axId val="113438859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4015"/>
        <c:crosses val="autoZero"/>
        <c:auto val="1"/>
        <c:lblAlgn val="ctr"/>
        <c:lblOffset val="100"/>
        <c:noMultiLvlLbl val="0"/>
      </c:catAx>
      <c:valAx>
        <c:axId val="113438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34388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200_3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'2001~Q'!$B$7:$BN$7</c:f>
              <c:numCache>
                <c:formatCode>General</c:formatCode>
                <c:ptCount val="65"/>
                <c:pt idx="0">
                  <c:v>5.84795321637426E-3</c:v>
                </c:pt>
                <c:pt idx="1">
                  <c:v>0</c:v>
                </c:pt>
                <c:pt idx="2">
                  <c:v>1.1764705882352899E-2</c:v>
                </c:pt>
                <c:pt idx="3">
                  <c:v>1.00502512562814E-2</c:v>
                </c:pt>
                <c:pt idx="4">
                  <c:v>5.0000000000000001E-3</c:v>
                </c:pt>
                <c:pt idx="5">
                  <c:v>0</c:v>
                </c:pt>
                <c:pt idx="6">
                  <c:v>0</c:v>
                </c:pt>
                <c:pt idx="7">
                  <c:v>5.0505050505050501E-3</c:v>
                </c:pt>
                <c:pt idx="8">
                  <c:v>5.2356020942408302E-3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0.01</c:v>
                </c:pt>
                <c:pt idx="12">
                  <c:v>0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0.02</c:v>
                </c:pt>
                <c:pt idx="16">
                  <c:v>5.0000000000000001E-3</c:v>
                </c:pt>
                <c:pt idx="17">
                  <c:v>0.01</c:v>
                </c:pt>
                <c:pt idx="18">
                  <c:v>0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7.4999999999999997E-2</c:v>
                </c:pt>
                <c:pt idx="22">
                  <c:v>9.5000000000000001E-2</c:v>
                </c:pt>
                <c:pt idx="23">
                  <c:v>0.17</c:v>
                </c:pt>
                <c:pt idx="24">
                  <c:v>9.5000000000000001E-2</c:v>
                </c:pt>
                <c:pt idx="25">
                  <c:v>0.26500000000000001</c:v>
                </c:pt>
                <c:pt idx="26">
                  <c:v>0.30499999999999999</c:v>
                </c:pt>
                <c:pt idx="27">
                  <c:v>0.25</c:v>
                </c:pt>
                <c:pt idx="28">
                  <c:v>0.20499999999999999</c:v>
                </c:pt>
                <c:pt idx="29">
                  <c:v>0.26</c:v>
                </c:pt>
                <c:pt idx="30">
                  <c:v>0.19</c:v>
                </c:pt>
                <c:pt idx="31">
                  <c:v>0.05</c:v>
                </c:pt>
                <c:pt idx="32">
                  <c:v>6.5000000000000002E-2</c:v>
                </c:pt>
                <c:pt idx="33">
                  <c:v>0.17499999999999999</c:v>
                </c:pt>
                <c:pt idx="34">
                  <c:v>0.2</c:v>
                </c:pt>
                <c:pt idx="35">
                  <c:v>0.215</c:v>
                </c:pt>
                <c:pt idx="36">
                  <c:v>0.22</c:v>
                </c:pt>
                <c:pt idx="37">
                  <c:v>0.24</c:v>
                </c:pt>
                <c:pt idx="38">
                  <c:v>0.23499999999999999</c:v>
                </c:pt>
                <c:pt idx="39">
                  <c:v>0.28000000000000003</c:v>
                </c:pt>
                <c:pt idx="40">
                  <c:v>0.24</c:v>
                </c:pt>
                <c:pt idx="41">
                  <c:v>0.30499999999999999</c:v>
                </c:pt>
                <c:pt idx="42">
                  <c:v>0.28499999999999998</c:v>
                </c:pt>
                <c:pt idx="43">
                  <c:v>0.24</c:v>
                </c:pt>
                <c:pt idx="44">
                  <c:v>0.31</c:v>
                </c:pt>
                <c:pt idx="45">
                  <c:v>0.27500000000000002</c:v>
                </c:pt>
                <c:pt idx="46">
                  <c:v>0.29499999999999998</c:v>
                </c:pt>
                <c:pt idx="47">
                  <c:v>0.29499999999999998</c:v>
                </c:pt>
                <c:pt idx="48">
                  <c:v>0.32500000000000001</c:v>
                </c:pt>
                <c:pt idx="49">
                  <c:v>0.375</c:v>
                </c:pt>
                <c:pt idx="50">
                  <c:v>0.35499999999999998</c:v>
                </c:pt>
                <c:pt idx="51">
                  <c:v>0.36</c:v>
                </c:pt>
                <c:pt idx="52">
                  <c:v>0.38</c:v>
                </c:pt>
                <c:pt idx="53">
                  <c:v>0.37</c:v>
                </c:pt>
                <c:pt idx="54">
                  <c:v>0.39500000000000002</c:v>
                </c:pt>
                <c:pt idx="55">
                  <c:v>0.36</c:v>
                </c:pt>
                <c:pt idx="56">
                  <c:v>0.37</c:v>
                </c:pt>
                <c:pt idx="57">
                  <c:v>0.375</c:v>
                </c:pt>
                <c:pt idx="58">
                  <c:v>0.32500000000000001</c:v>
                </c:pt>
                <c:pt idx="59">
                  <c:v>0.35</c:v>
                </c:pt>
                <c:pt idx="60">
                  <c:v>0.33500000000000002</c:v>
                </c:pt>
                <c:pt idx="61">
                  <c:v>0.42</c:v>
                </c:pt>
                <c:pt idx="62">
                  <c:v>0.40500000000000003</c:v>
                </c:pt>
                <c:pt idx="63">
                  <c:v>0.45500000000000002</c:v>
                </c:pt>
                <c:pt idx="64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31-4AD6-A0DF-766FDEBCF116}"/>
            </c:ext>
          </c:extLst>
        </c:ser>
        <c:ser>
          <c:idx val="0"/>
          <c:order val="1"/>
          <c:tx>
            <c:v>50_3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'2001~Q'!$B$31:$BN$31</c:f>
              <c:numCache>
                <c:formatCode>General</c:formatCode>
                <c:ptCount val="65"/>
                <c:pt idx="0">
                  <c:v>0.02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0.02</c:v>
                </c:pt>
                <c:pt idx="18">
                  <c:v>0</c:v>
                </c:pt>
                <c:pt idx="19">
                  <c:v>0.08</c:v>
                </c:pt>
                <c:pt idx="20">
                  <c:v>0.02</c:v>
                </c:pt>
                <c:pt idx="21">
                  <c:v>0.12</c:v>
                </c:pt>
                <c:pt idx="22">
                  <c:v>0.12</c:v>
                </c:pt>
                <c:pt idx="23">
                  <c:v>0.28000000000000003</c:v>
                </c:pt>
                <c:pt idx="24">
                  <c:v>0.18</c:v>
                </c:pt>
                <c:pt idx="25">
                  <c:v>0.42</c:v>
                </c:pt>
                <c:pt idx="26">
                  <c:v>0.38</c:v>
                </c:pt>
                <c:pt idx="27">
                  <c:v>0.34</c:v>
                </c:pt>
                <c:pt idx="28">
                  <c:v>0.22</c:v>
                </c:pt>
                <c:pt idx="29">
                  <c:v>0.36</c:v>
                </c:pt>
                <c:pt idx="30">
                  <c:v>0.26</c:v>
                </c:pt>
                <c:pt idx="31">
                  <c:v>0.02</c:v>
                </c:pt>
                <c:pt idx="32">
                  <c:v>0.06</c:v>
                </c:pt>
                <c:pt idx="33">
                  <c:v>0.2</c:v>
                </c:pt>
                <c:pt idx="34">
                  <c:v>0.22</c:v>
                </c:pt>
                <c:pt idx="35">
                  <c:v>0.26</c:v>
                </c:pt>
                <c:pt idx="36">
                  <c:v>0.22</c:v>
                </c:pt>
                <c:pt idx="37">
                  <c:v>0.26</c:v>
                </c:pt>
                <c:pt idx="38">
                  <c:v>0.32</c:v>
                </c:pt>
                <c:pt idx="39">
                  <c:v>0.3</c:v>
                </c:pt>
                <c:pt idx="40">
                  <c:v>0.26</c:v>
                </c:pt>
                <c:pt idx="41">
                  <c:v>0.38</c:v>
                </c:pt>
                <c:pt idx="42">
                  <c:v>0.34</c:v>
                </c:pt>
                <c:pt idx="43">
                  <c:v>0.3</c:v>
                </c:pt>
                <c:pt idx="44">
                  <c:v>0.34</c:v>
                </c:pt>
                <c:pt idx="45">
                  <c:v>0.4</c:v>
                </c:pt>
                <c:pt idx="46">
                  <c:v>0.4</c:v>
                </c:pt>
                <c:pt idx="47">
                  <c:v>0.4</c:v>
                </c:pt>
                <c:pt idx="48">
                  <c:v>0.4</c:v>
                </c:pt>
                <c:pt idx="49">
                  <c:v>0.54</c:v>
                </c:pt>
                <c:pt idx="50">
                  <c:v>0.5</c:v>
                </c:pt>
                <c:pt idx="51">
                  <c:v>0.48</c:v>
                </c:pt>
                <c:pt idx="52">
                  <c:v>0.5</c:v>
                </c:pt>
                <c:pt idx="53">
                  <c:v>0.57999999999999996</c:v>
                </c:pt>
                <c:pt idx="54">
                  <c:v>0.57999999999999996</c:v>
                </c:pt>
                <c:pt idx="55">
                  <c:v>0.46</c:v>
                </c:pt>
                <c:pt idx="56">
                  <c:v>0.57999999999999996</c:v>
                </c:pt>
                <c:pt idx="57">
                  <c:v>0.54</c:v>
                </c:pt>
                <c:pt idx="58">
                  <c:v>0.46</c:v>
                </c:pt>
                <c:pt idx="59">
                  <c:v>0.42</c:v>
                </c:pt>
                <c:pt idx="60">
                  <c:v>0.34</c:v>
                </c:pt>
                <c:pt idx="61">
                  <c:v>0.36</c:v>
                </c:pt>
                <c:pt idx="62">
                  <c:v>0.44</c:v>
                </c:pt>
                <c:pt idx="63">
                  <c:v>0.46</c:v>
                </c:pt>
                <c:pt idx="64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31-4AD6-A0DF-766FDEBC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6831"/>
        <c:axId val="961968079"/>
      </c:lineChart>
      <c:catAx>
        <c:axId val="9619668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079"/>
        <c:crosses val="autoZero"/>
        <c:auto val="1"/>
        <c:lblAlgn val="ctr"/>
        <c:lblOffset val="100"/>
        <c:noMultiLvlLbl val="0"/>
      </c:catAx>
      <c:valAx>
        <c:axId val="961968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v>200_koddaq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'2001~Q'!$B$8:$BN$8</c:f>
              <c:numCache>
                <c:formatCode>General</c:formatCode>
                <c:ptCount val="65"/>
                <c:pt idx="0">
                  <c:v>0.26315789473684198</c:v>
                </c:pt>
                <c:pt idx="1">
                  <c:v>0.28865979381443202</c:v>
                </c:pt>
                <c:pt idx="2">
                  <c:v>0.223529411764705</c:v>
                </c:pt>
                <c:pt idx="3">
                  <c:v>0.231155778894472</c:v>
                </c:pt>
                <c:pt idx="4">
                  <c:v>0.2</c:v>
                </c:pt>
                <c:pt idx="5">
                  <c:v>0.185</c:v>
                </c:pt>
                <c:pt idx="6">
                  <c:v>0.19500000000000001</c:v>
                </c:pt>
                <c:pt idx="7">
                  <c:v>0.16666666666666599</c:v>
                </c:pt>
                <c:pt idx="8">
                  <c:v>0.146596858638743</c:v>
                </c:pt>
                <c:pt idx="9">
                  <c:v>0.2</c:v>
                </c:pt>
                <c:pt idx="10">
                  <c:v>0.13</c:v>
                </c:pt>
                <c:pt idx="11">
                  <c:v>0.115</c:v>
                </c:pt>
                <c:pt idx="12">
                  <c:v>0.14499999999999999</c:v>
                </c:pt>
                <c:pt idx="13">
                  <c:v>0.15</c:v>
                </c:pt>
                <c:pt idx="14">
                  <c:v>0.12</c:v>
                </c:pt>
                <c:pt idx="15">
                  <c:v>0.09</c:v>
                </c:pt>
                <c:pt idx="16">
                  <c:v>0.08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9.5000000000000001E-2</c:v>
                </c:pt>
                <c:pt idx="20">
                  <c:v>0.14499999999999999</c:v>
                </c:pt>
                <c:pt idx="21">
                  <c:v>0.13</c:v>
                </c:pt>
                <c:pt idx="22">
                  <c:v>0.13500000000000001</c:v>
                </c:pt>
                <c:pt idx="23">
                  <c:v>0.13500000000000001</c:v>
                </c:pt>
                <c:pt idx="24">
                  <c:v>0.125</c:v>
                </c:pt>
                <c:pt idx="25">
                  <c:v>0.15</c:v>
                </c:pt>
                <c:pt idx="26">
                  <c:v>0.17499999999999999</c:v>
                </c:pt>
                <c:pt idx="27">
                  <c:v>0.155</c:v>
                </c:pt>
                <c:pt idx="28">
                  <c:v>0.15</c:v>
                </c:pt>
                <c:pt idx="29">
                  <c:v>0.16500000000000001</c:v>
                </c:pt>
                <c:pt idx="30">
                  <c:v>0.13500000000000001</c:v>
                </c:pt>
                <c:pt idx="31">
                  <c:v>0.115</c:v>
                </c:pt>
                <c:pt idx="32">
                  <c:v>0.09</c:v>
                </c:pt>
                <c:pt idx="33">
                  <c:v>0.14499999999999999</c:v>
                </c:pt>
                <c:pt idx="34">
                  <c:v>0.14000000000000001</c:v>
                </c:pt>
                <c:pt idx="35">
                  <c:v>0.105</c:v>
                </c:pt>
                <c:pt idx="36">
                  <c:v>0.13500000000000001</c:v>
                </c:pt>
                <c:pt idx="37">
                  <c:v>0.115</c:v>
                </c:pt>
                <c:pt idx="38">
                  <c:v>0.125</c:v>
                </c:pt>
                <c:pt idx="39">
                  <c:v>0.115</c:v>
                </c:pt>
                <c:pt idx="40">
                  <c:v>0.13500000000000001</c:v>
                </c:pt>
                <c:pt idx="41">
                  <c:v>0.155</c:v>
                </c:pt>
                <c:pt idx="42">
                  <c:v>0.16500000000000001</c:v>
                </c:pt>
                <c:pt idx="43">
                  <c:v>0.155</c:v>
                </c:pt>
                <c:pt idx="44">
                  <c:v>0.13</c:v>
                </c:pt>
                <c:pt idx="45">
                  <c:v>0.13500000000000001</c:v>
                </c:pt>
                <c:pt idx="46">
                  <c:v>0.13</c:v>
                </c:pt>
                <c:pt idx="47">
                  <c:v>0.13</c:v>
                </c:pt>
                <c:pt idx="48">
                  <c:v>0.17</c:v>
                </c:pt>
                <c:pt idx="49">
                  <c:v>0.125</c:v>
                </c:pt>
                <c:pt idx="50">
                  <c:v>0.155</c:v>
                </c:pt>
                <c:pt idx="51">
                  <c:v>0.16</c:v>
                </c:pt>
                <c:pt idx="52">
                  <c:v>0.15</c:v>
                </c:pt>
                <c:pt idx="53">
                  <c:v>0.19</c:v>
                </c:pt>
                <c:pt idx="54">
                  <c:v>0.19</c:v>
                </c:pt>
                <c:pt idx="55">
                  <c:v>0.18</c:v>
                </c:pt>
                <c:pt idx="56">
                  <c:v>0.17499999999999999</c:v>
                </c:pt>
                <c:pt idx="57">
                  <c:v>0.23</c:v>
                </c:pt>
                <c:pt idx="58">
                  <c:v>0.22500000000000001</c:v>
                </c:pt>
                <c:pt idx="59">
                  <c:v>0.21</c:v>
                </c:pt>
                <c:pt idx="60">
                  <c:v>0.24</c:v>
                </c:pt>
                <c:pt idx="61">
                  <c:v>0.20499999999999999</c:v>
                </c:pt>
                <c:pt idx="62">
                  <c:v>0.22500000000000001</c:v>
                </c:pt>
                <c:pt idx="63">
                  <c:v>0.19</c:v>
                </c:pt>
                <c:pt idx="64">
                  <c:v>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8F-4180-BA0B-F0558D926ADE}"/>
            </c:ext>
          </c:extLst>
        </c:ser>
        <c:ser>
          <c:idx val="0"/>
          <c:order val="1"/>
          <c:tx>
            <c:v>50_kosdaq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'2001~Q'!$B$32:$BN$32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</c:v>
                </c:pt>
                <c:pt idx="3">
                  <c:v>0.02</c:v>
                </c:pt>
                <c:pt idx="4">
                  <c:v>0.04</c:v>
                </c:pt>
                <c:pt idx="5">
                  <c:v>0.02</c:v>
                </c:pt>
                <c:pt idx="6">
                  <c:v>0.02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0.04</c:v>
                </c:pt>
                <c:pt idx="17">
                  <c:v>0.04</c:v>
                </c:pt>
                <c:pt idx="18">
                  <c:v>0.02</c:v>
                </c:pt>
                <c:pt idx="19">
                  <c:v>0.02</c:v>
                </c:pt>
                <c:pt idx="20">
                  <c:v>0.04</c:v>
                </c:pt>
                <c:pt idx="21">
                  <c:v>0.08</c:v>
                </c:pt>
                <c:pt idx="22">
                  <c:v>0.08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0.08</c:v>
                </c:pt>
                <c:pt idx="27">
                  <c:v>0.08</c:v>
                </c:pt>
                <c:pt idx="28">
                  <c:v>0.14000000000000001</c:v>
                </c:pt>
                <c:pt idx="29">
                  <c:v>0.1</c:v>
                </c:pt>
                <c:pt idx="30">
                  <c:v>0.1</c:v>
                </c:pt>
                <c:pt idx="31">
                  <c:v>0.06</c:v>
                </c:pt>
                <c:pt idx="32">
                  <c:v>0.12</c:v>
                </c:pt>
                <c:pt idx="33">
                  <c:v>0.08</c:v>
                </c:pt>
                <c:pt idx="34">
                  <c:v>0.1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0.06</c:v>
                </c:pt>
                <c:pt idx="40">
                  <c:v>0.06</c:v>
                </c:pt>
                <c:pt idx="41">
                  <c:v>0.1</c:v>
                </c:pt>
                <c:pt idx="42">
                  <c:v>0.08</c:v>
                </c:pt>
                <c:pt idx="43">
                  <c:v>0.12</c:v>
                </c:pt>
                <c:pt idx="44">
                  <c:v>0.08</c:v>
                </c:pt>
                <c:pt idx="45">
                  <c:v>0.06</c:v>
                </c:pt>
                <c:pt idx="46">
                  <c:v>0.08</c:v>
                </c:pt>
                <c:pt idx="47">
                  <c:v>0.06</c:v>
                </c:pt>
                <c:pt idx="48">
                  <c:v>0.16</c:v>
                </c:pt>
                <c:pt idx="49">
                  <c:v>0.1</c:v>
                </c:pt>
                <c:pt idx="50">
                  <c:v>0.14000000000000001</c:v>
                </c:pt>
                <c:pt idx="51">
                  <c:v>0.12</c:v>
                </c:pt>
                <c:pt idx="52">
                  <c:v>0.08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0.16</c:v>
                </c:pt>
                <c:pt idx="58">
                  <c:v>0.18</c:v>
                </c:pt>
                <c:pt idx="59">
                  <c:v>0.18</c:v>
                </c:pt>
                <c:pt idx="60">
                  <c:v>0.2</c:v>
                </c:pt>
                <c:pt idx="61">
                  <c:v>0.22</c:v>
                </c:pt>
                <c:pt idx="62">
                  <c:v>0.14000000000000001</c:v>
                </c:pt>
                <c:pt idx="63">
                  <c:v>0.12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E8F-4180-BA0B-F0558D926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1968911"/>
        <c:axId val="961967663"/>
      </c:lineChart>
      <c:catAx>
        <c:axId val="96196891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7663"/>
        <c:crosses val="autoZero"/>
        <c:auto val="1"/>
        <c:lblAlgn val="ctr"/>
        <c:lblOffset val="100"/>
        <c:noMultiLvlLbl val="0"/>
      </c:catAx>
      <c:valAx>
        <c:axId val="96196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61968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섹터!$C$3:$BO$3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B-4CAD-9440-E3A10501584B}"/>
            </c:ext>
          </c:extLst>
        </c:ser>
        <c:ser>
          <c:idx val="1"/>
          <c:order val="1"/>
          <c:tx>
            <c:strRef>
              <c:f>섹터!$B$4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섹터!$C$4:$BO$4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B-4CAD-9440-E3A10501584B}"/>
            </c:ext>
          </c:extLst>
        </c:ser>
        <c:ser>
          <c:idx val="2"/>
          <c:order val="2"/>
          <c:tx>
            <c:strRef>
              <c:f>섹터!$B$5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섹터!$C$5:$BO$5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1B-4CAD-9440-E3A10501584B}"/>
            </c:ext>
          </c:extLst>
        </c:ser>
        <c:ser>
          <c:idx val="3"/>
          <c:order val="3"/>
          <c:tx>
            <c:strRef>
              <c:f>섹터!$B$6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섹터!$C$6:$BO$6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5.7471264367816001E-2</c:v>
                </c:pt>
                <c:pt idx="4">
                  <c:v>6.4516129032257993E-2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4.4444444444444398E-2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0.03</c:v>
                </c:pt>
                <c:pt idx="60">
                  <c:v>0.03</c:v>
                </c:pt>
                <c:pt idx="61">
                  <c:v>0.02</c:v>
                </c:pt>
                <c:pt idx="62">
                  <c:v>0.03</c:v>
                </c:pt>
                <c:pt idx="63">
                  <c:v>0.02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1B-4CAD-9440-E3A10501584B}"/>
            </c:ext>
          </c:extLst>
        </c:ser>
        <c:ser>
          <c:idx val="4"/>
          <c:order val="4"/>
          <c:tx>
            <c:strRef>
              <c:f>섹터!$B$7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섹터!$C$7:$BO$7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</c:v>
                </c:pt>
                <c:pt idx="52">
                  <c:v>0.01</c:v>
                </c:pt>
                <c:pt idx="53">
                  <c:v>0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91B-4CAD-9440-E3A10501584B}"/>
            </c:ext>
          </c:extLst>
        </c:ser>
        <c:ser>
          <c:idx val="5"/>
          <c:order val="5"/>
          <c:tx>
            <c:strRef>
              <c:f>섹터!$B$8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섹터!$C$8:$BO$8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0.04</c:v>
                </c:pt>
                <c:pt idx="55">
                  <c:v>0.05</c:v>
                </c:pt>
                <c:pt idx="56">
                  <c:v>0.05</c:v>
                </c:pt>
                <c:pt idx="57">
                  <c:v>0.06</c:v>
                </c:pt>
                <c:pt idx="58">
                  <c:v>0.06</c:v>
                </c:pt>
                <c:pt idx="59">
                  <c:v>0.06</c:v>
                </c:pt>
                <c:pt idx="60">
                  <c:v>0.06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91B-4CAD-9440-E3A10501584B}"/>
            </c:ext>
          </c:extLst>
        </c:ser>
        <c:ser>
          <c:idx val="6"/>
          <c:order val="6"/>
          <c:tx>
            <c:strRef>
              <c:f>섹터!$B$9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섹터!$C$9:$BO$9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91B-4CAD-9440-E3A10501584B}"/>
            </c:ext>
          </c:extLst>
        </c:ser>
        <c:ser>
          <c:idx val="7"/>
          <c:order val="7"/>
          <c:tx>
            <c:strRef>
              <c:f>섹터!$B$10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섹터!$C$10:$BO$10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0.06</c:v>
                </c:pt>
                <c:pt idx="17">
                  <c:v>0.06</c:v>
                </c:pt>
                <c:pt idx="18">
                  <c:v>0.05</c:v>
                </c:pt>
                <c:pt idx="19">
                  <c:v>0.05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0.05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91B-4CAD-9440-E3A10501584B}"/>
            </c:ext>
          </c:extLst>
        </c:ser>
        <c:ser>
          <c:idx val="8"/>
          <c:order val="8"/>
          <c:tx>
            <c:strRef>
              <c:f>섹터!$B$11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섹터!$C$11:$BO$11</c:f>
              <c:numCache>
                <c:formatCode>0.00%</c:formatCode>
                <c:ptCount val="65"/>
                <c:pt idx="0">
                  <c:v>0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1.09890109890109E-2</c:v>
                </c:pt>
                <c:pt idx="15">
                  <c:v>1.0752688172042999E-2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91B-4CAD-9440-E3A10501584B}"/>
            </c:ext>
          </c:extLst>
        </c:ser>
        <c:ser>
          <c:idx val="9"/>
          <c:order val="9"/>
          <c:tx>
            <c:strRef>
              <c:f>섹터!$B$12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섹터!$C$12:$BO$12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0.118279569892473</c:v>
                </c:pt>
                <c:pt idx="5">
                  <c:v>0.112359550561797</c:v>
                </c:pt>
                <c:pt idx="6">
                  <c:v>0.104651162790697</c:v>
                </c:pt>
                <c:pt idx="7">
                  <c:v>9.7560975609756101E-2</c:v>
                </c:pt>
                <c:pt idx="8">
                  <c:v>8.2352941176470504E-2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0.14285714285714199</c:v>
                </c:pt>
                <c:pt idx="13">
                  <c:v>0.108433734939759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0.12</c:v>
                </c:pt>
                <c:pt idx="17">
                  <c:v>0.11</c:v>
                </c:pt>
                <c:pt idx="18">
                  <c:v>0.09</c:v>
                </c:pt>
                <c:pt idx="19">
                  <c:v>0.12</c:v>
                </c:pt>
                <c:pt idx="20">
                  <c:v>0.15</c:v>
                </c:pt>
                <c:pt idx="21">
                  <c:v>0.15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0.09</c:v>
                </c:pt>
                <c:pt idx="25">
                  <c:v>0.08</c:v>
                </c:pt>
                <c:pt idx="26">
                  <c:v>0.13</c:v>
                </c:pt>
                <c:pt idx="27">
                  <c:v>0.08</c:v>
                </c:pt>
                <c:pt idx="28">
                  <c:v>7.0000000000000007E-2</c:v>
                </c:pt>
                <c:pt idx="29">
                  <c:v>0.08</c:v>
                </c:pt>
                <c:pt idx="30">
                  <c:v>0.05</c:v>
                </c:pt>
                <c:pt idx="31">
                  <c:v>0.04</c:v>
                </c:pt>
                <c:pt idx="32">
                  <c:v>0.05</c:v>
                </c:pt>
                <c:pt idx="33">
                  <c:v>0.06</c:v>
                </c:pt>
                <c:pt idx="34">
                  <c:v>0.09</c:v>
                </c:pt>
                <c:pt idx="35">
                  <c:v>0.1</c:v>
                </c:pt>
                <c:pt idx="36">
                  <c:v>0.1</c:v>
                </c:pt>
                <c:pt idx="37">
                  <c:v>0.06</c:v>
                </c:pt>
                <c:pt idx="38">
                  <c:v>0.05</c:v>
                </c:pt>
                <c:pt idx="39">
                  <c:v>7.0000000000000007E-2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7.0000000000000007E-2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0.14000000000000001</c:v>
                </c:pt>
                <c:pt idx="48">
                  <c:v>0.14000000000000001</c:v>
                </c:pt>
                <c:pt idx="49">
                  <c:v>0.16</c:v>
                </c:pt>
                <c:pt idx="50">
                  <c:v>0.1</c:v>
                </c:pt>
                <c:pt idx="51">
                  <c:v>0.13</c:v>
                </c:pt>
                <c:pt idx="52">
                  <c:v>0.09</c:v>
                </c:pt>
                <c:pt idx="53">
                  <c:v>0.13</c:v>
                </c:pt>
                <c:pt idx="54">
                  <c:v>0.09</c:v>
                </c:pt>
                <c:pt idx="55">
                  <c:v>0.1</c:v>
                </c:pt>
                <c:pt idx="56">
                  <c:v>0.08</c:v>
                </c:pt>
                <c:pt idx="57">
                  <c:v>0.05</c:v>
                </c:pt>
                <c:pt idx="58">
                  <c:v>0.04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0.06</c:v>
                </c:pt>
                <c:pt idx="62">
                  <c:v>0.09</c:v>
                </c:pt>
                <c:pt idx="63">
                  <c:v>0.14000000000000001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91B-4CAD-9440-E3A10501584B}"/>
            </c:ext>
          </c:extLst>
        </c:ser>
        <c:ser>
          <c:idx val="10"/>
          <c:order val="10"/>
          <c:tx>
            <c:strRef>
              <c:f>섹터!$B$13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섹터!$C$13:$BO$13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3.4883720930232502E-2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0.04</c:v>
                </c:pt>
                <c:pt idx="44">
                  <c:v>0.04</c:v>
                </c:pt>
                <c:pt idx="45">
                  <c:v>0.05</c:v>
                </c:pt>
                <c:pt idx="46">
                  <c:v>0.05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0.05</c:v>
                </c:pt>
                <c:pt idx="51">
                  <c:v>0.05</c:v>
                </c:pt>
                <c:pt idx="52">
                  <c:v>0.05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91B-4CAD-9440-E3A10501584B}"/>
            </c:ext>
          </c:extLst>
        </c:ser>
        <c:ser>
          <c:idx val="11"/>
          <c:order val="11"/>
          <c:tx>
            <c:strRef>
              <c:f>섹터!$B$14</c:f>
              <c:strCache>
                <c:ptCount val="1"/>
                <c:pt idx="0">
                  <c:v>부동산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섹터!$C$14:$BO$14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91B-4CAD-9440-E3A10501584B}"/>
            </c:ext>
          </c:extLst>
        </c:ser>
        <c:ser>
          <c:idx val="12"/>
          <c:order val="12"/>
          <c:tx>
            <c:strRef>
              <c:f>섹터!$B$15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섹터!$C$15:$BO$15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91B-4CAD-9440-E3A10501584B}"/>
            </c:ext>
          </c:extLst>
        </c:ser>
        <c:ser>
          <c:idx val="13"/>
          <c:order val="13"/>
          <c:tx>
            <c:strRef>
              <c:f>섹터!$B$16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섹터!$C$16:$BO$16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3.2258064516128997E-2</c:v>
                </c:pt>
                <c:pt idx="5">
                  <c:v>3.3707865168539297E-2</c:v>
                </c:pt>
                <c:pt idx="6">
                  <c:v>3.4883720930232502E-2</c:v>
                </c:pt>
                <c:pt idx="7">
                  <c:v>3.65853658536585E-2</c:v>
                </c:pt>
                <c:pt idx="8">
                  <c:v>2.3529411764705799E-2</c:v>
                </c:pt>
                <c:pt idx="9">
                  <c:v>3.3333333333333298E-2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3.6144578313252997E-2</c:v>
                </c:pt>
                <c:pt idx="14">
                  <c:v>3.2967032967032898E-2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0.04</c:v>
                </c:pt>
                <c:pt idx="30">
                  <c:v>0.05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0.05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0.04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91B-4CAD-9440-E3A10501584B}"/>
            </c:ext>
          </c:extLst>
        </c:ser>
        <c:ser>
          <c:idx val="14"/>
          <c:order val="14"/>
          <c:tx>
            <c:strRef>
              <c:f>섹터!$B$17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섹터!$C$17:$BO$17</c:f>
              <c:numCache>
                <c:formatCode>0.00%</c:formatCode>
                <c:ptCount val="65"/>
                <c:pt idx="0">
                  <c:v>0.11111111111111099</c:v>
                </c:pt>
                <c:pt idx="1">
                  <c:v>0.105882352941176</c:v>
                </c:pt>
                <c:pt idx="2">
                  <c:v>0.108433734939759</c:v>
                </c:pt>
                <c:pt idx="3">
                  <c:v>9.1954022988505704E-2</c:v>
                </c:pt>
                <c:pt idx="4">
                  <c:v>9.6774193548387094E-2</c:v>
                </c:pt>
                <c:pt idx="5">
                  <c:v>0.101123595505617</c:v>
                </c:pt>
                <c:pt idx="6">
                  <c:v>9.3023255813953404E-2</c:v>
                </c:pt>
                <c:pt idx="7">
                  <c:v>9.7560975609756101E-2</c:v>
                </c:pt>
                <c:pt idx="8">
                  <c:v>0.105882352941176</c:v>
                </c:pt>
                <c:pt idx="9">
                  <c:v>0.1</c:v>
                </c:pt>
                <c:pt idx="10">
                  <c:v>9.8901098901098897E-2</c:v>
                </c:pt>
                <c:pt idx="11">
                  <c:v>0.1</c:v>
                </c:pt>
                <c:pt idx="12">
                  <c:v>9.8901098901098897E-2</c:v>
                </c:pt>
                <c:pt idx="13">
                  <c:v>9.6385542168674704E-2</c:v>
                </c:pt>
                <c:pt idx="14">
                  <c:v>0.109890109890109</c:v>
                </c:pt>
                <c:pt idx="15">
                  <c:v>0.10752688172043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0.08</c:v>
                </c:pt>
                <c:pt idx="20">
                  <c:v>0.08</c:v>
                </c:pt>
                <c:pt idx="21">
                  <c:v>0.08</c:v>
                </c:pt>
                <c:pt idx="22">
                  <c:v>0.08</c:v>
                </c:pt>
                <c:pt idx="23">
                  <c:v>0.09</c:v>
                </c:pt>
                <c:pt idx="24">
                  <c:v>0.1</c:v>
                </c:pt>
                <c:pt idx="25">
                  <c:v>0.11</c:v>
                </c:pt>
                <c:pt idx="26">
                  <c:v>0.13</c:v>
                </c:pt>
                <c:pt idx="27">
                  <c:v>0.13</c:v>
                </c:pt>
                <c:pt idx="28">
                  <c:v>0.13</c:v>
                </c:pt>
                <c:pt idx="29">
                  <c:v>0.12</c:v>
                </c:pt>
                <c:pt idx="30">
                  <c:v>0.13</c:v>
                </c:pt>
                <c:pt idx="31">
                  <c:v>0.13</c:v>
                </c:pt>
                <c:pt idx="32">
                  <c:v>0.13</c:v>
                </c:pt>
                <c:pt idx="33">
                  <c:v>0.13</c:v>
                </c:pt>
                <c:pt idx="34">
                  <c:v>0.13</c:v>
                </c:pt>
                <c:pt idx="35">
                  <c:v>0.14000000000000001</c:v>
                </c:pt>
                <c:pt idx="36">
                  <c:v>0.14000000000000001</c:v>
                </c:pt>
                <c:pt idx="37">
                  <c:v>0.14000000000000001</c:v>
                </c:pt>
                <c:pt idx="38">
                  <c:v>0.15</c:v>
                </c:pt>
                <c:pt idx="39">
                  <c:v>0.14000000000000001</c:v>
                </c:pt>
                <c:pt idx="40">
                  <c:v>0.15</c:v>
                </c:pt>
                <c:pt idx="41">
                  <c:v>0.16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0.12</c:v>
                </c:pt>
                <c:pt idx="47">
                  <c:v>0.11</c:v>
                </c:pt>
                <c:pt idx="48">
                  <c:v>0.11</c:v>
                </c:pt>
                <c:pt idx="49">
                  <c:v>0.1</c:v>
                </c:pt>
                <c:pt idx="50">
                  <c:v>0.11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0.09</c:v>
                </c:pt>
                <c:pt idx="56">
                  <c:v>0.09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0.1</c:v>
                </c:pt>
                <c:pt idx="61">
                  <c:v>0.09</c:v>
                </c:pt>
                <c:pt idx="62">
                  <c:v>0.09</c:v>
                </c:pt>
                <c:pt idx="63">
                  <c:v>0.09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91B-4CAD-9440-E3A10501584B}"/>
            </c:ext>
          </c:extLst>
        </c:ser>
        <c:ser>
          <c:idx val="15"/>
          <c:order val="15"/>
          <c:tx>
            <c:strRef>
              <c:f>섹터!$B$18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섹터!$C$18:$BO$18</c:f>
              <c:numCache>
                <c:formatCode>0.00%</c:formatCode>
                <c:ptCount val="65"/>
                <c:pt idx="0">
                  <c:v>3.7037037037037E-2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0.01</c:v>
                </c:pt>
                <c:pt idx="32">
                  <c:v>0.02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0.03</c:v>
                </c:pt>
                <c:pt idx="46">
                  <c:v>0.04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0.05</c:v>
                </c:pt>
                <c:pt idx="53">
                  <c:v>0.05</c:v>
                </c:pt>
                <c:pt idx="54">
                  <c:v>0.05</c:v>
                </c:pt>
                <c:pt idx="55">
                  <c:v>0.06</c:v>
                </c:pt>
                <c:pt idx="56">
                  <c:v>0.05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0.06</c:v>
                </c:pt>
                <c:pt idx="60">
                  <c:v>0.05</c:v>
                </c:pt>
                <c:pt idx="61">
                  <c:v>0.06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91B-4CAD-9440-E3A10501584B}"/>
            </c:ext>
          </c:extLst>
        </c:ser>
        <c:ser>
          <c:idx val="16"/>
          <c:order val="16"/>
          <c:tx>
            <c:strRef>
              <c:f>섹터!$B$19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섹터!$C$19:$BO$19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4.8192771084337303E-2</c:v>
                </c:pt>
                <c:pt idx="3">
                  <c:v>5.7471264367816001E-2</c:v>
                </c:pt>
                <c:pt idx="4">
                  <c:v>4.3010752688171998E-2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5.5555555555555497E-2</c:v>
                </c:pt>
                <c:pt idx="10">
                  <c:v>4.3956043956043897E-2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0.04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0.05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0.04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0.04</c:v>
                </c:pt>
                <c:pt idx="43">
                  <c:v>0.04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0.05</c:v>
                </c:pt>
                <c:pt idx="56">
                  <c:v>0.05</c:v>
                </c:pt>
                <c:pt idx="57">
                  <c:v>0.05</c:v>
                </c:pt>
                <c:pt idx="58">
                  <c:v>0.06</c:v>
                </c:pt>
                <c:pt idx="59">
                  <c:v>0.05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91B-4CAD-9440-E3A10501584B}"/>
            </c:ext>
          </c:extLst>
        </c:ser>
        <c:ser>
          <c:idx val="17"/>
          <c:order val="17"/>
          <c:tx>
            <c:strRef>
              <c:f>섹터!$B$20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섹터!$C$20:$BO$20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91B-4CAD-9440-E3A10501584B}"/>
            </c:ext>
          </c:extLst>
        </c:ser>
        <c:ser>
          <c:idx val="18"/>
          <c:order val="18"/>
          <c:tx>
            <c:strRef>
              <c:f>섹터!$B$21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섹터!$C$21:$BO$21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3.5294117647058802E-2</c:v>
                </c:pt>
                <c:pt idx="2">
                  <c:v>3.6144578313252997E-2</c:v>
                </c:pt>
                <c:pt idx="3">
                  <c:v>3.4482758620689599E-2</c:v>
                </c:pt>
                <c:pt idx="4">
                  <c:v>2.1505376344085999E-2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2.3529411764705799E-2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2.2222222222222199E-2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3.2967032967032898E-2</c:v>
                </c:pt>
                <c:pt idx="15">
                  <c:v>3.2258064516128997E-2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0.03</c:v>
                </c:pt>
                <c:pt idx="25">
                  <c:v>0.01</c:v>
                </c:pt>
                <c:pt idx="26">
                  <c:v>0.01</c:v>
                </c:pt>
                <c:pt idx="27">
                  <c:v>0.03</c:v>
                </c:pt>
                <c:pt idx="28">
                  <c:v>0.02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0.03</c:v>
                </c:pt>
                <c:pt idx="41">
                  <c:v>0.05</c:v>
                </c:pt>
                <c:pt idx="42">
                  <c:v>0.04</c:v>
                </c:pt>
                <c:pt idx="43">
                  <c:v>0.04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0.04</c:v>
                </c:pt>
                <c:pt idx="49">
                  <c:v>0.02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0.03</c:v>
                </c:pt>
                <c:pt idx="54">
                  <c:v>0.02</c:v>
                </c:pt>
                <c:pt idx="55">
                  <c:v>0.02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0.03</c:v>
                </c:pt>
                <c:pt idx="61">
                  <c:v>0.03</c:v>
                </c:pt>
                <c:pt idx="62">
                  <c:v>0.02</c:v>
                </c:pt>
                <c:pt idx="63">
                  <c:v>0.03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91B-4CAD-9440-E3A10501584B}"/>
            </c:ext>
          </c:extLst>
        </c:ser>
        <c:ser>
          <c:idx val="19"/>
          <c:order val="19"/>
          <c:tx>
            <c:strRef>
              <c:f>섹터!$B$22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섹터!$C$22:$BO$22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0.04</c:v>
                </c:pt>
                <c:pt idx="31">
                  <c:v>0.04</c:v>
                </c:pt>
                <c:pt idx="32">
                  <c:v>0.03</c:v>
                </c:pt>
                <c:pt idx="33">
                  <c:v>0.03</c:v>
                </c:pt>
                <c:pt idx="34">
                  <c:v>0.02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91B-4CAD-9440-E3A10501584B}"/>
            </c:ext>
          </c:extLst>
        </c:ser>
        <c:ser>
          <c:idx val="20"/>
          <c:order val="20"/>
          <c:tx>
            <c:strRef>
              <c:f>섹터!$B$23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섹터!$C$23:$BO$23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8.04597701149425E-2</c:v>
                </c:pt>
                <c:pt idx="4">
                  <c:v>6.4516129032257993E-2</c:v>
                </c:pt>
                <c:pt idx="5">
                  <c:v>7.8651685393258397E-2</c:v>
                </c:pt>
                <c:pt idx="6">
                  <c:v>6.9767441860465101E-2</c:v>
                </c:pt>
                <c:pt idx="7">
                  <c:v>7.3170731707316999E-2</c:v>
                </c:pt>
                <c:pt idx="8">
                  <c:v>7.0588235294117604E-2</c:v>
                </c:pt>
                <c:pt idx="9">
                  <c:v>6.6666666666666596E-2</c:v>
                </c:pt>
                <c:pt idx="10">
                  <c:v>5.4945054945054903E-2</c:v>
                </c:pt>
                <c:pt idx="11">
                  <c:v>6.6666666666666596E-2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5.4945054945054903E-2</c:v>
                </c:pt>
                <c:pt idx="15">
                  <c:v>6.4516129032257993E-2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0.04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0.05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0.04</c:v>
                </c:pt>
                <c:pt idx="36">
                  <c:v>0.04</c:v>
                </c:pt>
                <c:pt idx="37">
                  <c:v>0.04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0.04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0.04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0.01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91B-4CAD-9440-E3A10501584B}"/>
            </c:ext>
          </c:extLst>
        </c:ser>
        <c:ser>
          <c:idx val="21"/>
          <c:order val="21"/>
          <c:tx>
            <c:strRef>
              <c:f>섹터!$B$24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섹터!$C$24:$BO$24</c:f>
              <c:numCache>
                <c:formatCode>0.00%</c:formatCode>
                <c:ptCount val="65"/>
                <c:pt idx="0">
                  <c:v>4.9382716049382699E-2</c:v>
                </c:pt>
                <c:pt idx="1">
                  <c:v>4.7058823529411702E-2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3.2258064516128997E-2</c:v>
                </c:pt>
                <c:pt idx="5">
                  <c:v>4.49438202247191E-2</c:v>
                </c:pt>
                <c:pt idx="6">
                  <c:v>4.6511627906976702E-2</c:v>
                </c:pt>
                <c:pt idx="7">
                  <c:v>3.65853658536585E-2</c:v>
                </c:pt>
                <c:pt idx="8">
                  <c:v>0.105882352941176</c:v>
                </c:pt>
                <c:pt idx="9">
                  <c:v>0.1</c:v>
                </c:pt>
                <c:pt idx="10">
                  <c:v>0.109890109890109</c:v>
                </c:pt>
                <c:pt idx="11">
                  <c:v>0.11111111111111099</c:v>
                </c:pt>
                <c:pt idx="12">
                  <c:v>0.109890109890109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9.6774193548387094E-2</c:v>
                </c:pt>
                <c:pt idx="16">
                  <c:v>0.09</c:v>
                </c:pt>
                <c:pt idx="17">
                  <c:v>0.09</c:v>
                </c:pt>
                <c:pt idx="18">
                  <c:v>0.08</c:v>
                </c:pt>
                <c:pt idx="19">
                  <c:v>0.06</c:v>
                </c:pt>
                <c:pt idx="20">
                  <c:v>7.0000000000000007E-2</c:v>
                </c:pt>
                <c:pt idx="21">
                  <c:v>0.08</c:v>
                </c:pt>
                <c:pt idx="22">
                  <c:v>0.08</c:v>
                </c:pt>
                <c:pt idx="23">
                  <c:v>0.06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0.02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7.0000000000000007E-2</c:v>
                </c:pt>
                <c:pt idx="34">
                  <c:v>0.08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0.08</c:v>
                </c:pt>
                <c:pt idx="38">
                  <c:v>0.08</c:v>
                </c:pt>
                <c:pt idx="39">
                  <c:v>7.0000000000000007E-2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0.06</c:v>
                </c:pt>
                <c:pt idx="46">
                  <c:v>0.04</c:v>
                </c:pt>
                <c:pt idx="47">
                  <c:v>0.03</c:v>
                </c:pt>
                <c:pt idx="48">
                  <c:v>0.04</c:v>
                </c:pt>
                <c:pt idx="49">
                  <c:v>0.03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0.04</c:v>
                </c:pt>
                <c:pt idx="54">
                  <c:v>0.05</c:v>
                </c:pt>
                <c:pt idx="55">
                  <c:v>0.04</c:v>
                </c:pt>
                <c:pt idx="56">
                  <c:v>0.04</c:v>
                </c:pt>
                <c:pt idx="57">
                  <c:v>0.05</c:v>
                </c:pt>
                <c:pt idx="58">
                  <c:v>0.05</c:v>
                </c:pt>
                <c:pt idx="59">
                  <c:v>0.05</c:v>
                </c:pt>
                <c:pt idx="60">
                  <c:v>0.04</c:v>
                </c:pt>
                <c:pt idx="61">
                  <c:v>0.05</c:v>
                </c:pt>
                <c:pt idx="62">
                  <c:v>0.05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91B-4CAD-9440-E3A10501584B}"/>
            </c:ext>
          </c:extLst>
        </c:ser>
        <c:ser>
          <c:idx val="22"/>
          <c:order val="22"/>
          <c:tx>
            <c:strRef>
              <c:f>섹터!$B$25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섹터!$C$25:$BO$25</c:f>
              <c:numCache>
                <c:formatCode>0.00%</c:formatCode>
                <c:ptCount val="65"/>
                <c:pt idx="0">
                  <c:v>6.1728395061728301E-2</c:v>
                </c:pt>
                <c:pt idx="1">
                  <c:v>7.0588235294117604E-2</c:v>
                </c:pt>
                <c:pt idx="2">
                  <c:v>7.2289156626505993E-2</c:v>
                </c:pt>
                <c:pt idx="3">
                  <c:v>6.8965517241379296E-2</c:v>
                </c:pt>
                <c:pt idx="4">
                  <c:v>7.5268817204300995E-2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7.0588235294117604E-2</c:v>
                </c:pt>
                <c:pt idx="9">
                  <c:v>7.7777777777777696E-2</c:v>
                </c:pt>
                <c:pt idx="10">
                  <c:v>7.69230769230769E-2</c:v>
                </c:pt>
                <c:pt idx="11">
                  <c:v>8.8888888888888795E-2</c:v>
                </c:pt>
                <c:pt idx="12">
                  <c:v>7.69230769230769E-2</c:v>
                </c:pt>
                <c:pt idx="13">
                  <c:v>8.43373493975903E-2</c:v>
                </c:pt>
                <c:pt idx="14">
                  <c:v>8.7912087912087905E-2</c:v>
                </c:pt>
                <c:pt idx="15">
                  <c:v>8.6021505376343996E-2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0.08</c:v>
                </c:pt>
                <c:pt idx="19">
                  <c:v>0.08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7.0000000000000007E-2</c:v>
                </c:pt>
                <c:pt idx="23">
                  <c:v>0.06</c:v>
                </c:pt>
                <c:pt idx="24">
                  <c:v>0.06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  <c:pt idx="30">
                  <c:v>0.06</c:v>
                </c:pt>
                <c:pt idx="31">
                  <c:v>0.05</c:v>
                </c:pt>
                <c:pt idx="32">
                  <c:v>0.05</c:v>
                </c:pt>
                <c:pt idx="33">
                  <c:v>0.06</c:v>
                </c:pt>
                <c:pt idx="34">
                  <c:v>7.0000000000000007E-2</c:v>
                </c:pt>
                <c:pt idx="35">
                  <c:v>7.0000000000000007E-2</c:v>
                </c:pt>
                <c:pt idx="36">
                  <c:v>0.08</c:v>
                </c:pt>
                <c:pt idx="37">
                  <c:v>0.09</c:v>
                </c:pt>
                <c:pt idx="38">
                  <c:v>0.09</c:v>
                </c:pt>
                <c:pt idx="39">
                  <c:v>0.1</c:v>
                </c:pt>
                <c:pt idx="40">
                  <c:v>0.1</c:v>
                </c:pt>
                <c:pt idx="41">
                  <c:v>0.13</c:v>
                </c:pt>
                <c:pt idx="42">
                  <c:v>0.13</c:v>
                </c:pt>
                <c:pt idx="43">
                  <c:v>0.13</c:v>
                </c:pt>
                <c:pt idx="44">
                  <c:v>0.11</c:v>
                </c:pt>
                <c:pt idx="45">
                  <c:v>0.13</c:v>
                </c:pt>
                <c:pt idx="46">
                  <c:v>0.13</c:v>
                </c:pt>
                <c:pt idx="47">
                  <c:v>0.11</c:v>
                </c:pt>
                <c:pt idx="48">
                  <c:v>0.11</c:v>
                </c:pt>
                <c:pt idx="49">
                  <c:v>0.11</c:v>
                </c:pt>
                <c:pt idx="50">
                  <c:v>0.13</c:v>
                </c:pt>
                <c:pt idx="51">
                  <c:v>0.13</c:v>
                </c:pt>
                <c:pt idx="52">
                  <c:v>0.13</c:v>
                </c:pt>
                <c:pt idx="53">
                  <c:v>0.12</c:v>
                </c:pt>
                <c:pt idx="54">
                  <c:v>0.12</c:v>
                </c:pt>
                <c:pt idx="55">
                  <c:v>0.11</c:v>
                </c:pt>
                <c:pt idx="56">
                  <c:v>0.1</c:v>
                </c:pt>
                <c:pt idx="57">
                  <c:v>0.09</c:v>
                </c:pt>
                <c:pt idx="58">
                  <c:v>0.09</c:v>
                </c:pt>
                <c:pt idx="59">
                  <c:v>0.09</c:v>
                </c:pt>
                <c:pt idx="60">
                  <c:v>0.09</c:v>
                </c:pt>
                <c:pt idx="61">
                  <c:v>0.09</c:v>
                </c:pt>
                <c:pt idx="62">
                  <c:v>0.09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91B-4CAD-9440-E3A10501584B}"/>
            </c:ext>
          </c:extLst>
        </c:ser>
        <c:ser>
          <c:idx val="23"/>
          <c:order val="23"/>
          <c:tx>
            <c:strRef>
              <c:f>섹터!$B$26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섹터!$C$26:$BO$26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9.6385542168674704E-2</c:v>
                </c:pt>
                <c:pt idx="3">
                  <c:v>9.1954022988505704E-2</c:v>
                </c:pt>
                <c:pt idx="4">
                  <c:v>8.6021505376343996E-2</c:v>
                </c:pt>
                <c:pt idx="5">
                  <c:v>7.8651685393258397E-2</c:v>
                </c:pt>
                <c:pt idx="6">
                  <c:v>8.1395348837209294E-2</c:v>
                </c:pt>
                <c:pt idx="7">
                  <c:v>8.5365853658536495E-2</c:v>
                </c:pt>
                <c:pt idx="8">
                  <c:v>9.41176470588235E-2</c:v>
                </c:pt>
                <c:pt idx="9">
                  <c:v>8.8888888888888795E-2</c:v>
                </c:pt>
                <c:pt idx="10">
                  <c:v>8.7912087912087905E-2</c:v>
                </c:pt>
                <c:pt idx="11">
                  <c:v>8.8888888888888795E-2</c:v>
                </c:pt>
                <c:pt idx="12">
                  <c:v>8.7912087912087905E-2</c:v>
                </c:pt>
                <c:pt idx="13">
                  <c:v>9.6385542168674704E-2</c:v>
                </c:pt>
                <c:pt idx="14">
                  <c:v>9.8901098901098897E-2</c:v>
                </c:pt>
                <c:pt idx="15">
                  <c:v>0.10752688172043</c:v>
                </c:pt>
                <c:pt idx="16">
                  <c:v>0.1</c:v>
                </c:pt>
                <c:pt idx="17">
                  <c:v>0.1</c:v>
                </c:pt>
                <c:pt idx="18">
                  <c:v>0.11</c:v>
                </c:pt>
                <c:pt idx="19">
                  <c:v>0.11</c:v>
                </c:pt>
                <c:pt idx="20">
                  <c:v>0.11</c:v>
                </c:pt>
                <c:pt idx="21">
                  <c:v>0.12</c:v>
                </c:pt>
                <c:pt idx="22">
                  <c:v>0.12</c:v>
                </c:pt>
                <c:pt idx="23">
                  <c:v>0.13</c:v>
                </c:pt>
                <c:pt idx="24">
                  <c:v>0.14000000000000001</c:v>
                </c:pt>
                <c:pt idx="25">
                  <c:v>0.18</c:v>
                </c:pt>
                <c:pt idx="26">
                  <c:v>0.19</c:v>
                </c:pt>
                <c:pt idx="27">
                  <c:v>0.2</c:v>
                </c:pt>
                <c:pt idx="28">
                  <c:v>0.19</c:v>
                </c:pt>
                <c:pt idx="29">
                  <c:v>0.18</c:v>
                </c:pt>
                <c:pt idx="30">
                  <c:v>0.16</c:v>
                </c:pt>
                <c:pt idx="31">
                  <c:v>0.14000000000000001</c:v>
                </c:pt>
                <c:pt idx="32">
                  <c:v>0.15</c:v>
                </c:pt>
                <c:pt idx="33">
                  <c:v>0.15</c:v>
                </c:pt>
                <c:pt idx="34">
                  <c:v>0.13</c:v>
                </c:pt>
                <c:pt idx="35">
                  <c:v>0.12</c:v>
                </c:pt>
                <c:pt idx="36">
                  <c:v>0.13</c:v>
                </c:pt>
                <c:pt idx="37">
                  <c:v>0.11</c:v>
                </c:pt>
                <c:pt idx="38">
                  <c:v>0.12</c:v>
                </c:pt>
                <c:pt idx="39">
                  <c:v>0.15</c:v>
                </c:pt>
                <c:pt idx="40">
                  <c:v>0.14000000000000001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0.12</c:v>
                </c:pt>
                <c:pt idx="44">
                  <c:v>0.13</c:v>
                </c:pt>
                <c:pt idx="45">
                  <c:v>0.13</c:v>
                </c:pt>
                <c:pt idx="46">
                  <c:v>0.12</c:v>
                </c:pt>
                <c:pt idx="47">
                  <c:v>0.12</c:v>
                </c:pt>
                <c:pt idx="48">
                  <c:v>0.11</c:v>
                </c:pt>
                <c:pt idx="49">
                  <c:v>0.11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0.11</c:v>
                </c:pt>
                <c:pt idx="55">
                  <c:v>0.1</c:v>
                </c:pt>
                <c:pt idx="56">
                  <c:v>0.11</c:v>
                </c:pt>
                <c:pt idx="57">
                  <c:v>0.1</c:v>
                </c:pt>
                <c:pt idx="58">
                  <c:v>0.09</c:v>
                </c:pt>
                <c:pt idx="59">
                  <c:v>0.11</c:v>
                </c:pt>
                <c:pt idx="60">
                  <c:v>0.11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91B-4CAD-9440-E3A10501584B}"/>
            </c:ext>
          </c:extLst>
        </c:ser>
        <c:ser>
          <c:idx val="24"/>
          <c:order val="24"/>
          <c:tx>
            <c:strRef>
              <c:f>섹터!$B$27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섹터!$C$27:$BO$27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3.4482758620689599E-2</c:v>
                </c:pt>
                <c:pt idx="4">
                  <c:v>4.3010752688171998E-2</c:v>
                </c:pt>
                <c:pt idx="5">
                  <c:v>2.2471910112359501E-2</c:v>
                </c:pt>
                <c:pt idx="6">
                  <c:v>2.3255813953488299E-2</c:v>
                </c:pt>
                <c:pt idx="7">
                  <c:v>2.4390243902439001E-2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5.4945054945054903E-2</c:v>
                </c:pt>
                <c:pt idx="11">
                  <c:v>4.4444444444444398E-2</c:v>
                </c:pt>
                <c:pt idx="12">
                  <c:v>4.3956043956043897E-2</c:v>
                </c:pt>
                <c:pt idx="13">
                  <c:v>6.0240963855421603E-2</c:v>
                </c:pt>
                <c:pt idx="14">
                  <c:v>4.3956043956043897E-2</c:v>
                </c:pt>
                <c:pt idx="15">
                  <c:v>4.3010752688171998E-2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0.03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0.02</c:v>
                </c:pt>
                <c:pt idx="36">
                  <c:v>0.03</c:v>
                </c:pt>
                <c:pt idx="37">
                  <c:v>0.04</c:v>
                </c:pt>
                <c:pt idx="38">
                  <c:v>0.04</c:v>
                </c:pt>
                <c:pt idx="39">
                  <c:v>0.04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91B-4CAD-9440-E3A10501584B}"/>
            </c:ext>
          </c:extLst>
        </c:ser>
        <c:ser>
          <c:idx val="25"/>
          <c:order val="25"/>
          <c:tx>
            <c:strRef>
              <c:f>섹터!$B$28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섹터!$C$28:$BO$28</c:f>
              <c:numCache>
                <c:formatCode>0.00%</c:formatCode>
                <c:ptCount val="65"/>
                <c:pt idx="0">
                  <c:v>2.4691358024691301E-2</c:v>
                </c:pt>
                <c:pt idx="1">
                  <c:v>2.3529411764705799E-2</c:v>
                </c:pt>
                <c:pt idx="2">
                  <c:v>2.40963855421686E-2</c:v>
                </c:pt>
                <c:pt idx="3">
                  <c:v>2.2988505747126398E-2</c:v>
                </c:pt>
                <c:pt idx="4">
                  <c:v>2.1505376344085999E-2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2.2222222222222199E-2</c:v>
                </c:pt>
                <c:pt idx="10">
                  <c:v>2.19780219780219E-2</c:v>
                </c:pt>
                <c:pt idx="11">
                  <c:v>1.1111111111111099E-2</c:v>
                </c:pt>
                <c:pt idx="12">
                  <c:v>1.09890109890109E-2</c:v>
                </c:pt>
                <c:pt idx="13">
                  <c:v>1.20481927710843E-2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0.03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0.02</c:v>
                </c:pt>
                <c:pt idx="45">
                  <c:v>0.02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0.04</c:v>
                </c:pt>
                <c:pt idx="57">
                  <c:v>0.05</c:v>
                </c:pt>
                <c:pt idx="58">
                  <c:v>0.06</c:v>
                </c:pt>
                <c:pt idx="59">
                  <c:v>0.06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0.06</c:v>
                </c:pt>
                <c:pt idx="63">
                  <c:v>0.05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91B-4CAD-9440-E3A10501584B}"/>
            </c:ext>
          </c:extLst>
        </c:ser>
        <c:ser>
          <c:idx val="26"/>
          <c:order val="26"/>
          <c:tx>
            <c:strRef>
              <c:f>섹터!$B$29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섹터!$C$29:$BO$29</c:f>
              <c:numCache>
                <c:formatCode>0.00%</c:formatCode>
                <c:ptCount val="65"/>
                <c:pt idx="0">
                  <c:v>7.4074074074074001E-2</c:v>
                </c:pt>
                <c:pt idx="1">
                  <c:v>7.0588235294117604E-2</c:v>
                </c:pt>
                <c:pt idx="2">
                  <c:v>6.0240963855421603E-2</c:v>
                </c:pt>
                <c:pt idx="3">
                  <c:v>6.8965517241379296E-2</c:v>
                </c:pt>
                <c:pt idx="4">
                  <c:v>6.4516129032257993E-2</c:v>
                </c:pt>
                <c:pt idx="5">
                  <c:v>5.6179775280898799E-2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4.7058823529411702E-2</c:v>
                </c:pt>
                <c:pt idx="9">
                  <c:v>4.4444444444444398E-2</c:v>
                </c:pt>
                <c:pt idx="10">
                  <c:v>3.2967032967032898E-2</c:v>
                </c:pt>
                <c:pt idx="11">
                  <c:v>3.3333333333333298E-2</c:v>
                </c:pt>
                <c:pt idx="12">
                  <c:v>3.2967032967032898E-2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0.03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0.03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91B-4CAD-9440-E3A10501584B}"/>
            </c:ext>
          </c:extLst>
        </c:ser>
        <c:ser>
          <c:idx val="27"/>
          <c:order val="27"/>
          <c:tx>
            <c:strRef>
              <c:f>섹터!$B$30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섹터!$C$30:$BO$30</c:f>
              <c:numCache>
                <c:formatCode>0.00%</c:formatCode>
                <c:ptCount val="65"/>
                <c:pt idx="0">
                  <c:v>8.6419753086419707E-2</c:v>
                </c:pt>
                <c:pt idx="1">
                  <c:v>8.2352941176470504E-2</c:v>
                </c:pt>
                <c:pt idx="2">
                  <c:v>8.43373493975903E-2</c:v>
                </c:pt>
                <c:pt idx="3">
                  <c:v>8.04597701149425E-2</c:v>
                </c:pt>
                <c:pt idx="4">
                  <c:v>7.5268817204300995E-2</c:v>
                </c:pt>
                <c:pt idx="5">
                  <c:v>6.7415730337078594E-2</c:v>
                </c:pt>
                <c:pt idx="6">
                  <c:v>5.8139534883720902E-2</c:v>
                </c:pt>
                <c:pt idx="7">
                  <c:v>6.0975609756097497E-2</c:v>
                </c:pt>
                <c:pt idx="8">
                  <c:v>5.8823529411764698E-2</c:v>
                </c:pt>
                <c:pt idx="9">
                  <c:v>5.5555555555555497E-2</c:v>
                </c:pt>
                <c:pt idx="10">
                  <c:v>5.4945054945054903E-2</c:v>
                </c:pt>
                <c:pt idx="11">
                  <c:v>5.5555555555555497E-2</c:v>
                </c:pt>
                <c:pt idx="12">
                  <c:v>5.4945054945054903E-2</c:v>
                </c:pt>
                <c:pt idx="13">
                  <c:v>4.8192771084337303E-2</c:v>
                </c:pt>
                <c:pt idx="14">
                  <c:v>5.4945054945054903E-2</c:v>
                </c:pt>
                <c:pt idx="15">
                  <c:v>5.3763440860214999E-2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0.04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0.04</c:v>
                </c:pt>
                <c:pt idx="25">
                  <c:v>0.03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0.03</c:v>
                </c:pt>
                <c:pt idx="31">
                  <c:v>0.04</c:v>
                </c:pt>
                <c:pt idx="32">
                  <c:v>0.05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0.01</c:v>
                </c:pt>
                <c:pt idx="38">
                  <c:v>0.02</c:v>
                </c:pt>
                <c:pt idx="39">
                  <c:v>0.01</c:v>
                </c:pt>
                <c:pt idx="40">
                  <c:v>0.02</c:v>
                </c:pt>
                <c:pt idx="41">
                  <c:v>0.01</c:v>
                </c:pt>
                <c:pt idx="42">
                  <c:v>0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0.02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0.02</c:v>
                </c:pt>
                <c:pt idx="58">
                  <c:v>0.02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91B-4CAD-9440-E3A10501584B}"/>
            </c:ext>
          </c:extLst>
        </c:ser>
        <c:ser>
          <c:idx val="28"/>
          <c:order val="28"/>
          <c:tx>
            <c:strRef>
              <c:f>섹터!$B$31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섹터!$C$31:$BO$31</c:f>
              <c:numCache>
                <c:formatCode>0.00%</c:formatCode>
                <c:ptCount val="65"/>
                <c:pt idx="0">
                  <c:v>1.23456790123456E-2</c:v>
                </c:pt>
                <c:pt idx="1">
                  <c:v>1.1764705882352899E-2</c:v>
                </c:pt>
                <c:pt idx="2">
                  <c:v>1.20481927710843E-2</c:v>
                </c:pt>
                <c:pt idx="3">
                  <c:v>1.1494252873563199E-2</c:v>
                </c:pt>
                <c:pt idx="4">
                  <c:v>1.0752688172042999E-2</c:v>
                </c:pt>
                <c:pt idx="5">
                  <c:v>1.12359550561797E-2</c:v>
                </c:pt>
                <c:pt idx="6">
                  <c:v>1.1627906976744099E-2</c:v>
                </c:pt>
                <c:pt idx="7">
                  <c:v>1.21951219512195E-2</c:v>
                </c:pt>
                <c:pt idx="8">
                  <c:v>1.1764705882352899E-2</c:v>
                </c:pt>
                <c:pt idx="9">
                  <c:v>1.1111111111111099E-2</c:v>
                </c:pt>
                <c:pt idx="10">
                  <c:v>1.09890109890109E-2</c:v>
                </c:pt>
                <c:pt idx="11">
                  <c:v>1.1111111111111099E-2</c:v>
                </c:pt>
                <c:pt idx="12">
                  <c:v>2.19780219780219E-2</c:v>
                </c:pt>
                <c:pt idx="13">
                  <c:v>2.40963855421686E-2</c:v>
                </c:pt>
                <c:pt idx="14">
                  <c:v>2.19780219780219E-2</c:v>
                </c:pt>
                <c:pt idx="15">
                  <c:v>2.1505376344085999E-2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0.02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91B-4CAD-9440-E3A105015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섹터!$B$53</c:f>
              <c:strCache>
                <c:ptCount val="1"/>
                <c:pt idx="0">
                  <c:v>가정용품과개인용품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섹터!$C$53:$BO$53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0.01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1F-45BA-A2D7-B8BC35CEA125}"/>
            </c:ext>
          </c:extLst>
        </c:ser>
        <c:ser>
          <c:idx val="1"/>
          <c:order val="1"/>
          <c:tx>
            <c:strRef>
              <c:f>섹터!$B$54</c:f>
              <c:strCache>
                <c:ptCount val="1"/>
                <c:pt idx="0">
                  <c:v>건강관리장비와서비스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섹터!$C$54:$BO$54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</c:v>
                </c:pt>
                <c:pt idx="38">
                  <c:v>0.01</c:v>
                </c:pt>
                <c:pt idx="39">
                  <c:v>0.01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0.01</c:v>
                </c:pt>
                <c:pt idx="46">
                  <c:v>0.03</c:v>
                </c:pt>
                <c:pt idx="47">
                  <c:v>0.03</c:v>
                </c:pt>
                <c:pt idx="48">
                  <c:v>0.01</c:v>
                </c:pt>
                <c:pt idx="49">
                  <c:v>0.01</c:v>
                </c:pt>
                <c:pt idx="50">
                  <c:v>0.02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0.03</c:v>
                </c:pt>
                <c:pt idx="58">
                  <c:v>0.02</c:v>
                </c:pt>
                <c:pt idx="59">
                  <c:v>0.03</c:v>
                </c:pt>
                <c:pt idx="60">
                  <c:v>0.04</c:v>
                </c:pt>
                <c:pt idx="61">
                  <c:v>0.06</c:v>
                </c:pt>
                <c:pt idx="62">
                  <c:v>0.06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1F-45BA-A2D7-B8BC35CEA125}"/>
            </c:ext>
          </c:extLst>
        </c:ser>
        <c:ser>
          <c:idx val="2"/>
          <c:order val="2"/>
          <c:tx>
            <c:strRef>
              <c:f>섹터!$B$55</c:f>
              <c:strCache>
                <c:ptCount val="1"/>
                <c:pt idx="0">
                  <c:v>교육서비스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섹터!$C$55:$BO$55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0.01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0.03</c:v>
                </c:pt>
                <c:pt idx="35">
                  <c:v>0.02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1F-45BA-A2D7-B8BC35CEA125}"/>
            </c:ext>
          </c:extLst>
        </c:ser>
        <c:ser>
          <c:idx val="3"/>
          <c:order val="3"/>
          <c:tx>
            <c:strRef>
              <c:f>섹터!$B$56</c:f>
              <c:strCache>
                <c:ptCount val="1"/>
                <c:pt idx="0">
                  <c:v>기술하드웨어와장비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섹터!$C$56:$BO$56</c:f>
              <c:numCache>
                <c:formatCode>0.00%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0.05</c:v>
                </c:pt>
                <c:pt idx="5">
                  <c:v>0.06</c:v>
                </c:pt>
                <c:pt idx="6">
                  <c:v>0.04</c:v>
                </c:pt>
                <c:pt idx="7">
                  <c:v>0.05</c:v>
                </c:pt>
                <c:pt idx="8">
                  <c:v>0.12</c:v>
                </c:pt>
                <c:pt idx="9">
                  <c:v>0.14000000000000001</c:v>
                </c:pt>
                <c:pt idx="10">
                  <c:v>0.12</c:v>
                </c:pt>
                <c:pt idx="11">
                  <c:v>0.09</c:v>
                </c:pt>
                <c:pt idx="12">
                  <c:v>0.11</c:v>
                </c:pt>
                <c:pt idx="13">
                  <c:v>0.1</c:v>
                </c:pt>
                <c:pt idx="14">
                  <c:v>0.12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0.03</c:v>
                </c:pt>
                <c:pt idx="18">
                  <c:v>0.04</c:v>
                </c:pt>
                <c:pt idx="19">
                  <c:v>0.06</c:v>
                </c:pt>
                <c:pt idx="20">
                  <c:v>0.18</c:v>
                </c:pt>
                <c:pt idx="21">
                  <c:v>0.09</c:v>
                </c:pt>
                <c:pt idx="22">
                  <c:v>0.09</c:v>
                </c:pt>
                <c:pt idx="23">
                  <c:v>0.05</c:v>
                </c:pt>
                <c:pt idx="24">
                  <c:v>0.05</c:v>
                </c:pt>
                <c:pt idx="25">
                  <c:v>0.09</c:v>
                </c:pt>
                <c:pt idx="26">
                  <c:v>0.15</c:v>
                </c:pt>
                <c:pt idx="27">
                  <c:v>0.06</c:v>
                </c:pt>
                <c:pt idx="28">
                  <c:v>0.08</c:v>
                </c:pt>
                <c:pt idx="29">
                  <c:v>0.03</c:v>
                </c:pt>
                <c:pt idx="30">
                  <c:v>0.04</c:v>
                </c:pt>
                <c:pt idx="31">
                  <c:v>0.03</c:v>
                </c:pt>
                <c:pt idx="32">
                  <c:v>0.06</c:v>
                </c:pt>
                <c:pt idx="33">
                  <c:v>0.06</c:v>
                </c:pt>
                <c:pt idx="34">
                  <c:v>0.05</c:v>
                </c:pt>
                <c:pt idx="35">
                  <c:v>0.08</c:v>
                </c:pt>
                <c:pt idx="36">
                  <c:v>7.0000000000000007E-2</c:v>
                </c:pt>
                <c:pt idx="37">
                  <c:v>0.1</c:v>
                </c:pt>
                <c:pt idx="38">
                  <c:v>0.06</c:v>
                </c:pt>
                <c:pt idx="39">
                  <c:v>0.08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0.06</c:v>
                </c:pt>
                <c:pt idx="44">
                  <c:v>0.05</c:v>
                </c:pt>
                <c:pt idx="45">
                  <c:v>0.06</c:v>
                </c:pt>
                <c:pt idx="46">
                  <c:v>0.06</c:v>
                </c:pt>
                <c:pt idx="47">
                  <c:v>0.05</c:v>
                </c:pt>
                <c:pt idx="48">
                  <c:v>0.04</c:v>
                </c:pt>
                <c:pt idx="49">
                  <c:v>0.05</c:v>
                </c:pt>
                <c:pt idx="50">
                  <c:v>7.0000000000000007E-2</c:v>
                </c:pt>
                <c:pt idx="51">
                  <c:v>0.03</c:v>
                </c:pt>
                <c:pt idx="52">
                  <c:v>7.0000000000000007E-2</c:v>
                </c:pt>
                <c:pt idx="53">
                  <c:v>0.06</c:v>
                </c:pt>
                <c:pt idx="54">
                  <c:v>0.03</c:v>
                </c:pt>
                <c:pt idx="55">
                  <c:v>0.09</c:v>
                </c:pt>
                <c:pt idx="56">
                  <c:v>0.09</c:v>
                </c:pt>
                <c:pt idx="57">
                  <c:v>0.06</c:v>
                </c:pt>
                <c:pt idx="58">
                  <c:v>0.08</c:v>
                </c:pt>
                <c:pt idx="59">
                  <c:v>0.09</c:v>
                </c:pt>
                <c:pt idx="60">
                  <c:v>7.0000000000000007E-2</c:v>
                </c:pt>
                <c:pt idx="61">
                  <c:v>0.08</c:v>
                </c:pt>
                <c:pt idx="62">
                  <c:v>0.1</c:v>
                </c:pt>
                <c:pt idx="63">
                  <c:v>0.05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1F-45BA-A2D7-B8BC35CEA125}"/>
            </c:ext>
          </c:extLst>
        </c:ser>
        <c:ser>
          <c:idx val="4"/>
          <c:order val="4"/>
          <c:tx>
            <c:strRef>
              <c:f>섹터!$B$57</c:f>
              <c:strCache>
                <c:ptCount val="1"/>
                <c:pt idx="0">
                  <c:v>기타금융서비스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섹터!$C$57:$BO$57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1F-45BA-A2D7-B8BC35CEA125}"/>
            </c:ext>
          </c:extLst>
        </c:ser>
        <c:ser>
          <c:idx val="5"/>
          <c:order val="5"/>
          <c:tx>
            <c:strRef>
              <c:f>섹터!$B$58</c:f>
              <c:strCache>
                <c:ptCount val="1"/>
                <c:pt idx="0">
                  <c:v>내구소비재와의류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섹터!$C$58:$BO$58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0.02</c:v>
                </c:pt>
                <c:pt idx="3">
                  <c:v>0.02</c:v>
                </c:pt>
                <c:pt idx="4">
                  <c:v>0.03</c:v>
                </c:pt>
                <c:pt idx="5">
                  <c:v>0.03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0.01</c:v>
                </c:pt>
                <c:pt idx="13">
                  <c:v>0.02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0.02</c:v>
                </c:pt>
                <c:pt idx="19">
                  <c:v>0.02</c:v>
                </c:pt>
                <c:pt idx="20">
                  <c:v>0.01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0.01</c:v>
                </c:pt>
                <c:pt idx="34">
                  <c:v>0.01</c:v>
                </c:pt>
                <c:pt idx="35">
                  <c:v>0.02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0.02</c:v>
                </c:pt>
                <c:pt idx="42">
                  <c:v>0.04</c:v>
                </c:pt>
                <c:pt idx="43">
                  <c:v>0.03</c:v>
                </c:pt>
                <c:pt idx="44">
                  <c:v>0.01</c:v>
                </c:pt>
                <c:pt idx="45">
                  <c:v>0.01</c:v>
                </c:pt>
                <c:pt idx="46">
                  <c:v>0</c:v>
                </c:pt>
                <c:pt idx="47">
                  <c:v>0.03</c:v>
                </c:pt>
                <c:pt idx="48">
                  <c:v>0</c:v>
                </c:pt>
                <c:pt idx="49">
                  <c:v>0.02</c:v>
                </c:pt>
                <c:pt idx="50">
                  <c:v>0.03</c:v>
                </c:pt>
                <c:pt idx="51">
                  <c:v>0.04</c:v>
                </c:pt>
                <c:pt idx="52">
                  <c:v>0.06</c:v>
                </c:pt>
                <c:pt idx="53">
                  <c:v>0.06</c:v>
                </c:pt>
                <c:pt idx="54">
                  <c:v>0.05</c:v>
                </c:pt>
                <c:pt idx="55">
                  <c:v>0.04</c:v>
                </c:pt>
                <c:pt idx="56">
                  <c:v>0.06</c:v>
                </c:pt>
                <c:pt idx="57">
                  <c:v>0.12</c:v>
                </c:pt>
                <c:pt idx="58">
                  <c:v>0.13</c:v>
                </c:pt>
                <c:pt idx="59">
                  <c:v>0.08</c:v>
                </c:pt>
                <c:pt idx="60">
                  <c:v>0.08</c:v>
                </c:pt>
                <c:pt idx="61">
                  <c:v>0.1</c:v>
                </c:pt>
                <c:pt idx="62">
                  <c:v>0.09</c:v>
                </c:pt>
                <c:pt idx="63">
                  <c:v>0.12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61F-45BA-A2D7-B8BC35CEA125}"/>
            </c:ext>
          </c:extLst>
        </c:ser>
        <c:ser>
          <c:idx val="6"/>
          <c:order val="6"/>
          <c:tx>
            <c:strRef>
              <c:f>섹터!$B$59</c:f>
              <c:strCache>
                <c:ptCount val="1"/>
                <c:pt idx="0">
                  <c:v>다각화된금융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섹터!$C$59:$BO$59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0.03</c:v>
                </c:pt>
                <c:pt idx="4">
                  <c:v>0.03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0.01</c:v>
                </c:pt>
                <c:pt idx="9">
                  <c:v>0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0.05</c:v>
                </c:pt>
                <c:pt idx="20">
                  <c:v>0.04</c:v>
                </c:pt>
                <c:pt idx="21">
                  <c:v>0.06</c:v>
                </c:pt>
                <c:pt idx="22">
                  <c:v>0.05</c:v>
                </c:pt>
                <c:pt idx="23">
                  <c:v>0.06</c:v>
                </c:pt>
                <c:pt idx="24">
                  <c:v>0.06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0.02</c:v>
                </c:pt>
                <c:pt idx="30">
                  <c:v>0.01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0.01</c:v>
                </c:pt>
                <c:pt idx="35">
                  <c:v>0.02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0.02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</c:v>
                </c:pt>
                <c:pt idx="54">
                  <c:v>0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61F-45BA-A2D7-B8BC35CEA125}"/>
            </c:ext>
          </c:extLst>
        </c:ser>
        <c:ser>
          <c:idx val="7"/>
          <c:order val="7"/>
          <c:tx>
            <c:strRef>
              <c:f>섹터!$B$60</c:f>
              <c:strCache>
                <c:ptCount val="1"/>
                <c:pt idx="0">
                  <c:v>디스플레이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섹터!$C$60:$BO$60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0.01</c:v>
                </c:pt>
                <c:pt idx="17">
                  <c:v>0.01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0.03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0.01</c:v>
                </c:pt>
                <c:pt idx="40">
                  <c:v>0</c:v>
                </c:pt>
                <c:pt idx="41">
                  <c:v>0.03</c:v>
                </c:pt>
                <c:pt idx="42">
                  <c:v>0</c:v>
                </c:pt>
                <c:pt idx="43">
                  <c:v>0.02</c:v>
                </c:pt>
                <c:pt idx="44">
                  <c:v>0.01</c:v>
                </c:pt>
                <c:pt idx="45">
                  <c:v>0.02</c:v>
                </c:pt>
                <c:pt idx="46">
                  <c:v>0.01</c:v>
                </c:pt>
                <c:pt idx="47">
                  <c:v>0.04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</c:v>
                </c:pt>
                <c:pt idx="53">
                  <c:v>0</c:v>
                </c:pt>
                <c:pt idx="54">
                  <c:v>0.03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61F-45BA-A2D7-B8BC35CEA125}"/>
            </c:ext>
          </c:extLst>
        </c:ser>
        <c:ser>
          <c:idx val="8"/>
          <c:order val="8"/>
          <c:tx>
            <c:strRef>
              <c:f>섹터!$B$61</c:f>
              <c:strCache>
                <c:ptCount val="1"/>
                <c:pt idx="0">
                  <c:v>미디어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섹터!$C$61:$BO$61</c:f>
              <c:numCache>
                <c:formatCode>0.00%</c:formatCode>
                <c:ptCount val="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0.02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0.02</c:v>
                </c:pt>
                <c:pt idx="10">
                  <c:v>0.01</c:v>
                </c:pt>
                <c:pt idx="11">
                  <c:v>0.01</c:v>
                </c:pt>
                <c:pt idx="12">
                  <c:v>0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0.02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0.01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0.04</c:v>
                </c:pt>
                <c:pt idx="46">
                  <c:v>0.02</c:v>
                </c:pt>
                <c:pt idx="47">
                  <c:v>0.04</c:v>
                </c:pt>
                <c:pt idx="48">
                  <c:v>0.04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0.05</c:v>
                </c:pt>
                <c:pt idx="57">
                  <c:v>0.05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0.08</c:v>
                </c:pt>
                <c:pt idx="61">
                  <c:v>0.05</c:v>
                </c:pt>
                <c:pt idx="62">
                  <c:v>0.04</c:v>
                </c:pt>
                <c:pt idx="63">
                  <c:v>0.04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61F-45BA-A2D7-B8BC35CEA125}"/>
            </c:ext>
          </c:extLst>
        </c:ser>
        <c:ser>
          <c:idx val="9"/>
          <c:order val="9"/>
          <c:tx>
            <c:strRef>
              <c:f>섹터!$B$62</c:f>
              <c:strCache>
                <c:ptCount val="1"/>
                <c:pt idx="0">
                  <c:v>반도체와반도체장비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섹터!$C$62:$BO$62</c:f>
              <c:numCache>
                <c:formatCode>0.00%</c:formatCode>
                <c:ptCount val="65"/>
                <c:pt idx="0">
                  <c:v>0.02</c:v>
                </c:pt>
                <c:pt idx="1">
                  <c:v>0.03</c:v>
                </c:pt>
                <c:pt idx="2">
                  <c:v>0.04</c:v>
                </c:pt>
                <c:pt idx="3">
                  <c:v>0.05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0.03</c:v>
                </c:pt>
                <c:pt idx="13">
                  <c:v>0.01</c:v>
                </c:pt>
                <c:pt idx="14">
                  <c:v>0.03</c:v>
                </c:pt>
                <c:pt idx="15">
                  <c:v>0.02</c:v>
                </c:pt>
                <c:pt idx="16">
                  <c:v>0.01</c:v>
                </c:pt>
                <c:pt idx="17">
                  <c:v>0.01</c:v>
                </c:pt>
                <c:pt idx="18">
                  <c:v>0.03</c:v>
                </c:pt>
                <c:pt idx="19">
                  <c:v>0.05</c:v>
                </c:pt>
                <c:pt idx="20">
                  <c:v>0.09</c:v>
                </c:pt>
                <c:pt idx="21">
                  <c:v>7.0000000000000007E-2</c:v>
                </c:pt>
                <c:pt idx="22">
                  <c:v>0.08</c:v>
                </c:pt>
                <c:pt idx="23">
                  <c:v>0.08</c:v>
                </c:pt>
                <c:pt idx="24">
                  <c:v>0.05</c:v>
                </c:pt>
                <c:pt idx="25">
                  <c:v>0.03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0.06</c:v>
                </c:pt>
                <c:pt idx="35">
                  <c:v>0.05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7.0000000000000007E-2</c:v>
                </c:pt>
                <c:pt idx="44">
                  <c:v>0.05</c:v>
                </c:pt>
                <c:pt idx="45">
                  <c:v>0.1</c:v>
                </c:pt>
                <c:pt idx="46">
                  <c:v>0.08</c:v>
                </c:pt>
                <c:pt idx="47">
                  <c:v>0.08</c:v>
                </c:pt>
                <c:pt idx="48">
                  <c:v>0.1</c:v>
                </c:pt>
                <c:pt idx="49">
                  <c:v>0.12</c:v>
                </c:pt>
                <c:pt idx="50">
                  <c:v>7.0000000000000007E-2</c:v>
                </c:pt>
                <c:pt idx="51">
                  <c:v>0.09</c:v>
                </c:pt>
                <c:pt idx="52">
                  <c:v>0.05</c:v>
                </c:pt>
                <c:pt idx="53">
                  <c:v>7.0000000000000007E-2</c:v>
                </c:pt>
                <c:pt idx="54">
                  <c:v>0.04</c:v>
                </c:pt>
                <c:pt idx="55">
                  <c:v>0.03</c:v>
                </c:pt>
                <c:pt idx="56">
                  <c:v>0.03</c:v>
                </c:pt>
                <c:pt idx="57">
                  <c:v>0.02</c:v>
                </c:pt>
                <c:pt idx="58">
                  <c:v>0.01</c:v>
                </c:pt>
                <c:pt idx="59">
                  <c:v>0.04</c:v>
                </c:pt>
                <c:pt idx="60">
                  <c:v>0.04</c:v>
                </c:pt>
                <c:pt idx="61">
                  <c:v>0.03</c:v>
                </c:pt>
                <c:pt idx="62">
                  <c:v>0.06</c:v>
                </c:pt>
                <c:pt idx="63">
                  <c:v>0.06</c:v>
                </c:pt>
                <c:pt idx="64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61F-45BA-A2D7-B8BC35CEA125}"/>
            </c:ext>
          </c:extLst>
        </c:ser>
        <c:ser>
          <c:idx val="10"/>
          <c:order val="10"/>
          <c:tx>
            <c:strRef>
              <c:f>섹터!$B$63</c:f>
              <c:strCache>
                <c:ptCount val="1"/>
                <c:pt idx="0">
                  <c:v>보험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섹터!$C$63:$BO$63</c:f>
              <c:numCache>
                <c:formatCode>0.00%</c:formatCode>
                <c:ptCount val="65"/>
                <c:pt idx="0">
                  <c:v>0.01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0.02</c:v>
                </c:pt>
                <c:pt idx="20">
                  <c:v>0.01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0.02</c:v>
                </c:pt>
                <c:pt idx="29">
                  <c:v>0</c:v>
                </c:pt>
                <c:pt idx="30">
                  <c:v>0.01</c:v>
                </c:pt>
                <c:pt idx="31">
                  <c:v>0.05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0.01</c:v>
                </c:pt>
                <c:pt idx="44">
                  <c:v>0</c:v>
                </c:pt>
                <c:pt idx="45">
                  <c:v>0.02</c:v>
                </c:pt>
                <c:pt idx="46">
                  <c:v>0.01</c:v>
                </c:pt>
                <c:pt idx="47">
                  <c:v>0.02</c:v>
                </c:pt>
                <c:pt idx="48">
                  <c:v>0.04</c:v>
                </c:pt>
                <c:pt idx="49">
                  <c:v>0.03</c:v>
                </c:pt>
                <c:pt idx="50">
                  <c:v>0.03</c:v>
                </c:pt>
                <c:pt idx="51">
                  <c:v>0.02</c:v>
                </c:pt>
                <c:pt idx="52">
                  <c:v>0.02</c:v>
                </c:pt>
                <c:pt idx="53">
                  <c:v>0.04</c:v>
                </c:pt>
                <c:pt idx="54">
                  <c:v>0.05</c:v>
                </c:pt>
                <c:pt idx="55">
                  <c:v>0.06</c:v>
                </c:pt>
                <c:pt idx="56">
                  <c:v>0.03</c:v>
                </c:pt>
                <c:pt idx="57">
                  <c:v>0.03</c:v>
                </c:pt>
                <c:pt idx="58">
                  <c:v>0.02</c:v>
                </c:pt>
                <c:pt idx="59">
                  <c:v>0.01</c:v>
                </c:pt>
                <c:pt idx="60">
                  <c:v>0.04</c:v>
                </c:pt>
                <c:pt idx="61">
                  <c:v>0.02</c:v>
                </c:pt>
                <c:pt idx="62">
                  <c:v>0.02</c:v>
                </c:pt>
                <c:pt idx="63">
                  <c:v>0.04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61F-45BA-A2D7-B8BC35CEA125}"/>
            </c:ext>
          </c:extLst>
        </c:ser>
        <c:ser>
          <c:idx val="11"/>
          <c:order val="11"/>
          <c:tx>
            <c:strRef>
              <c:f>섹터!$B$64</c:f>
              <c:strCache>
                <c:ptCount val="1"/>
                <c:pt idx="0">
                  <c:v>상업서비스와공급품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섹터!$C$64:$BO$64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0.01</c:v>
                </c:pt>
                <c:pt idx="43">
                  <c:v>0</c:v>
                </c:pt>
                <c:pt idx="44">
                  <c:v>0.01</c:v>
                </c:pt>
                <c:pt idx="45">
                  <c:v>0</c:v>
                </c:pt>
                <c:pt idx="46">
                  <c:v>0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0.03</c:v>
                </c:pt>
                <c:pt idx="59">
                  <c:v>0.03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61F-45BA-A2D7-B8BC35CEA125}"/>
            </c:ext>
          </c:extLst>
        </c:ser>
        <c:ser>
          <c:idx val="12"/>
          <c:order val="12"/>
          <c:tx>
            <c:strRef>
              <c:f>섹터!$B$65</c:f>
              <c:strCache>
                <c:ptCount val="1"/>
                <c:pt idx="0">
                  <c:v>소매(유통)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섹터!$C$65:$BO$65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0.02</c:v>
                </c:pt>
                <c:pt idx="5">
                  <c:v>0.03</c:v>
                </c:pt>
                <c:pt idx="6">
                  <c:v>0.04</c:v>
                </c:pt>
                <c:pt idx="7">
                  <c:v>0.03</c:v>
                </c:pt>
                <c:pt idx="8">
                  <c:v>0.01</c:v>
                </c:pt>
                <c:pt idx="9">
                  <c:v>0.03</c:v>
                </c:pt>
                <c:pt idx="10">
                  <c:v>0.03</c:v>
                </c:pt>
                <c:pt idx="11">
                  <c:v>0.04</c:v>
                </c:pt>
                <c:pt idx="12">
                  <c:v>0.03</c:v>
                </c:pt>
                <c:pt idx="13">
                  <c:v>0.04</c:v>
                </c:pt>
                <c:pt idx="14">
                  <c:v>0.04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0.04</c:v>
                </c:pt>
                <c:pt idx="19">
                  <c:v>0.04</c:v>
                </c:pt>
                <c:pt idx="20">
                  <c:v>0.01</c:v>
                </c:pt>
                <c:pt idx="21">
                  <c:v>0.04</c:v>
                </c:pt>
                <c:pt idx="22">
                  <c:v>0.03</c:v>
                </c:pt>
                <c:pt idx="23">
                  <c:v>0.05</c:v>
                </c:pt>
                <c:pt idx="24">
                  <c:v>0.04</c:v>
                </c:pt>
                <c:pt idx="25">
                  <c:v>0.05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0.01</c:v>
                </c:pt>
                <c:pt idx="33">
                  <c:v>0.02</c:v>
                </c:pt>
                <c:pt idx="34">
                  <c:v>0.02</c:v>
                </c:pt>
                <c:pt idx="35">
                  <c:v>0.03</c:v>
                </c:pt>
                <c:pt idx="36">
                  <c:v>0.02</c:v>
                </c:pt>
                <c:pt idx="37">
                  <c:v>0.02</c:v>
                </c:pt>
                <c:pt idx="38">
                  <c:v>0.01</c:v>
                </c:pt>
                <c:pt idx="39">
                  <c:v>0.02</c:v>
                </c:pt>
                <c:pt idx="40">
                  <c:v>0.03</c:v>
                </c:pt>
                <c:pt idx="41">
                  <c:v>0.04</c:v>
                </c:pt>
                <c:pt idx="42">
                  <c:v>0.03</c:v>
                </c:pt>
                <c:pt idx="43">
                  <c:v>0.02</c:v>
                </c:pt>
                <c:pt idx="44">
                  <c:v>0.05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0.04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</c:v>
                </c:pt>
                <c:pt idx="57">
                  <c:v>0.01</c:v>
                </c:pt>
                <c:pt idx="58">
                  <c:v>0.02</c:v>
                </c:pt>
                <c:pt idx="59">
                  <c:v>0.02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61F-45BA-A2D7-B8BC35CEA125}"/>
            </c:ext>
          </c:extLst>
        </c:ser>
        <c:ser>
          <c:idx val="13"/>
          <c:order val="13"/>
          <c:tx>
            <c:strRef>
              <c:f>섹터!$B$66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섹터!$C$66:$BO$66</c:f>
              <c:numCache>
                <c:formatCode>0.00%</c:formatCode>
                <c:ptCount val="65"/>
                <c:pt idx="0">
                  <c:v>0.15</c:v>
                </c:pt>
                <c:pt idx="1">
                  <c:v>0.15</c:v>
                </c:pt>
                <c:pt idx="2">
                  <c:v>0.17</c:v>
                </c:pt>
                <c:pt idx="3">
                  <c:v>0.17</c:v>
                </c:pt>
                <c:pt idx="4">
                  <c:v>0.13</c:v>
                </c:pt>
                <c:pt idx="5">
                  <c:v>0.15</c:v>
                </c:pt>
                <c:pt idx="6">
                  <c:v>0.16</c:v>
                </c:pt>
                <c:pt idx="7">
                  <c:v>0.16</c:v>
                </c:pt>
                <c:pt idx="8">
                  <c:v>0.13</c:v>
                </c:pt>
                <c:pt idx="9">
                  <c:v>0.13</c:v>
                </c:pt>
                <c:pt idx="10">
                  <c:v>0.14000000000000001</c:v>
                </c:pt>
                <c:pt idx="11">
                  <c:v>0.15</c:v>
                </c:pt>
                <c:pt idx="12">
                  <c:v>0.12</c:v>
                </c:pt>
                <c:pt idx="13">
                  <c:v>0.11</c:v>
                </c:pt>
                <c:pt idx="14">
                  <c:v>0.13</c:v>
                </c:pt>
                <c:pt idx="15">
                  <c:v>0.12</c:v>
                </c:pt>
                <c:pt idx="16">
                  <c:v>7.0000000000000007E-2</c:v>
                </c:pt>
                <c:pt idx="17">
                  <c:v>0.05</c:v>
                </c:pt>
                <c:pt idx="18">
                  <c:v>0.05</c:v>
                </c:pt>
                <c:pt idx="19">
                  <c:v>0.02</c:v>
                </c:pt>
                <c:pt idx="20">
                  <c:v>0.04</c:v>
                </c:pt>
                <c:pt idx="21">
                  <c:v>0.03</c:v>
                </c:pt>
                <c:pt idx="22">
                  <c:v>0.03</c:v>
                </c:pt>
                <c:pt idx="23">
                  <c:v>0.04</c:v>
                </c:pt>
                <c:pt idx="24">
                  <c:v>0.08</c:v>
                </c:pt>
                <c:pt idx="25">
                  <c:v>0.06</c:v>
                </c:pt>
                <c:pt idx="26">
                  <c:v>0.1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0.05</c:v>
                </c:pt>
                <c:pt idx="30">
                  <c:v>7.0000000000000007E-2</c:v>
                </c:pt>
                <c:pt idx="31">
                  <c:v>0.11</c:v>
                </c:pt>
                <c:pt idx="32">
                  <c:v>0.11</c:v>
                </c:pt>
                <c:pt idx="33">
                  <c:v>0.05</c:v>
                </c:pt>
                <c:pt idx="34">
                  <c:v>0.03</c:v>
                </c:pt>
                <c:pt idx="35">
                  <c:v>0.08</c:v>
                </c:pt>
                <c:pt idx="36">
                  <c:v>0.14000000000000001</c:v>
                </c:pt>
                <c:pt idx="37">
                  <c:v>0.19</c:v>
                </c:pt>
                <c:pt idx="38">
                  <c:v>0.15</c:v>
                </c:pt>
                <c:pt idx="39">
                  <c:v>0.1</c:v>
                </c:pt>
                <c:pt idx="40">
                  <c:v>0.19</c:v>
                </c:pt>
                <c:pt idx="41">
                  <c:v>0.14000000000000001</c:v>
                </c:pt>
                <c:pt idx="42">
                  <c:v>0.11</c:v>
                </c:pt>
                <c:pt idx="43">
                  <c:v>0.13</c:v>
                </c:pt>
                <c:pt idx="44">
                  <c:v>0.12</c:v>
                </c:pt>
                <c:pt idx="45">
                  <c:v>0.1</c:v>
                </c:pt>
                <c:pt idx="46">
                  <c:v>7.0000000000000007E-2</c:v>
                </c:pt>
                <c:pt idx="47">
                  <c:v>0.08</c:v>
                </c:pt>
                <c:pt idx="48">
                  <c:v>0.08</c:v>
                </c:pt>
                <c:pt idx="49">
                  <c:v>0.08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0.04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0.04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0.01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61F-45BA-A2D7-B8BC35CEA125}"/>
            </c:ext>
          </c:extLst>
        </c:ser>
        <c:ser>
          <c:idx val="14"/>
          <c:order val="14"/>
          <c:tx>
            <c:strRef>
              <c:f>섹터!$B$67</c:f>
              <c:strCache>
                <c:ptCount val="1"/>
                <c:pt idx="0">
                  <c:v>소프트웨어와서비스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섹터!$C$67:$BO$67</c:f>
              <c:numCache>
                <c:formatCode>0.00%</c:formatCode>
                <c:ptCount val="65"/>
                <c:pt idx="0">
                  <c:v>0.1</c:v>
                </c:pt>
                <c:pt idx="1">
                  <c:v>0.11</c:v>
                </c:pt>
                <c:pt idx="2">
                  <c:v>0.08</c:v>
                </c:pt>
                <c:pt idx="3">
                  <c:v>0.08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0.05</c:v>
                </c:pt>
                <c:pt idx="8">
                  <c:v>0.02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0.05</c:v>
                </c:pt>
                <c:pt idx="14">
                  <c:v>0.03</c:v>
                </c:pt>
                <c:pt idx="15">
                  <c:v>0.04</c:v>
                </c:pt>
                <c:pt idx="16">
                  <c:v>0.03</c:v>
                </c:pt>
                <c:pt idx="17">
                  <c:v>0.04</c:v>
                </c:pt>
                <c:pt idx="18">
                  <c:v>0.02</c:v>
                </c:pt>
                <c:pt idx="19">
                  <c:v>0.03</c:v>
                </c:pt>
                <c:pt idx="20">
                  <c:v>0.05</c:v>
                </c:pt>
                <c:pt idx="21">
                  <c:v>7.0000000000000007E-2</c:v>
                </c:pt>
                <c:pt idx="22">
                  <c:v>0.03</c:v>
                </c:pt>
                <c:pt idx="23">
                  <c:v>0.03</c:v>
                </c:pt>
                <c:pt idx="24">
                  <c:v>0.05</c:v>
                </c:pt>
                <c:pt idx="25">
                  <c:v>0.08</c:v>
                </c:pt>
                <c:pt idx="26">
                  <c:v>0.03</c:v>
                </c:pt>
                <c:pt idx="27">
                  <c:v>0.03</c:v>
                </c:pt>
                <c:pt idx="28">
                  <c:v>0.04</c:v>
                </c:pt>
                <c:pt idx="29">
                  <c:v>0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0.04</c:v>
                </c:pt>
                <c:pt idx="34">
                  <c:v>0.05</c:v>
                </c:pt>
                <c:pt idx="35">
                  <c:v>0.05</c:v>
                </c:pt>
                <c:pt idx="36">
                  <c:v>0.06</c:v>
                </c:pt>
                <c:pt idx="37">
                  <c:v>0.06</c:v>
                </c:pt>
                <c:pt idx="38">
                  <c:v>0.08</c:v>
                </c:pt>
                <c:pt idx="39">
                  <c:v>0.08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7.0000000000000007E-2</c:v>
                </c:pt>
                <c:pt idx="43">
                  <c:v>0.06</c:v>
                </c:pt>
                <c:pt idx="44">
                  <c:v>0.05</c:v>
                </c:pt>
                <c:pt idx="45">
                  <c:v>7.0000000000000007E-2</c:v>
                </c:pt>
                <c:pt idx="46">
                  <c:v>0.11</c:v>
                </c:pt>
                <c:pt idx="47">
                  <c:v>0.06</c:v>
                </c:pt>
                <c:pt idx="48">
                  <c:v>7.0000000000000007E-2</c:v>
                </c:pt>
                <c:pt idx="49">
                  <c:v>0.11</c:v>
                </c:pt>
                <c:pt idx="50">
                  <c:v>0.09</c:v>
                </c:pt>
                <c:pt idx="51">
                  <c:v>0.12</c:v>
                </c:pt>
                <c:pt idx="52">
                  <c:v>0.12</c:v>
                </c:pt>
                <c:pt idx="53">
                  <c:v>0.11</c:v>
                </c:pt>
                <c:pt idx="54">
                  <c:v>0.11</c:v>
                </c:pt>
                <c:pt idx="55">
                  <c:v>0.14000000000000001</c:v>
                </c:pt>
                <c:pt idx="56">
                  <c:v>0.1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0.11</c:v>
                </c:pt>
                <c:pt idx="62">
                  <c:v>0.13</c:v>
                </c:pt>
                <c:pt idx="63">
                  <c:v>0.13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61F-45BA-A2D7-B8BC35CEA125}"/>
            </c:ext>
          </c:extLst>
        </c:ser>
        <c:ser>
          <c:idx val="15"/>
          <c:order val="15"/>
          <c:tx>
            <c:strRef>
              <c:f>섹터!$B$68</c:f>
              <c:strCache>
                <c:ptCount val="1"/>
                <c:pt idx="0">
                  <c:v>식품,음료,담배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섹터!$C$68:$BO$68</c:f>
              <c:numCache>
                <c:formatCode>0.00%</c:formatCode>
                <c:ptCount val="65"/>
                <c:pt idx="0">
                  <c:v>7.0000000000000007E-2</c:v>
                </c:pt>
                <c:pt idx="1">
                  <c:v>0.06</c:v>
                </c:pt>
                <c:pt idx="2">
                  <c:v>7.0000000000000007E-2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0.08</c:v>
                </c:pt>
                <c:pt idx="15">
                  <c:v>0.09</c:v>
                </c:pt>
                <c:pt idx="16">
                  <c:v>0.08</c:v>
                </c:pt>
                <c:pt idx="17">
                  <c:v>0.08</c:v>
                </c:pt>
                <c:pt idx="18">
                  <c:v>0.06</c:v>
                </c:pt>
                <c:pt idx="19">
                  <c:v>0.06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7.0000000000000007E-2</c:v>
                </c:pt>
                <c:pt idx="24">
                  <c:v>0.02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0.04</c:v>
                </c:pt>
                <c:pt idx="29">
                  <c:v>0.01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</c:v>
                </c:pt>
                <c:pt idx="34">
                  <c:v>0.01</c:v>
                </c:pt>
                <c:pt idx="35">
                  <c:v>0.01</c:v>
                </c:pt>
                <c:pt idx="36">
                  <c:v>0.03</c:v>
                </c:pt>
                <c:pt idx="37">
                  <c:v>0.03</c:v>
                </c:pt>
                <c:pt idx="38">
                  <c:v>0.02</c:v>
                </c:pt>
                <c:pt idx="39">
                  <c:v>0</c:v>
                </c:pt>
                <c:pt idx="40">
                  <c:v>0.05</c:v>
                </c:pt>
                <c:pt idx="41">
                  <c:v>0.06</c:v>
                </c:pt>
                <c:pt idx="42">
                  <c:v>0.05</c:v>
                </c:pt>
                <c:pt idx="43">
                  <c:v>0.06</c:v>
                </c:pt>
                <c:pt idx="44">
                  <c:v>0.03</c:v>
                </c:pt>
                <c:pt idx="45">
                  <c:v>0.02</c:v>
                </c:pt>
                <c:pt idx="46">
                  <c:v>0.03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0.03</c:v>
                </c:pt>
                <c:pt idx="51">
                  <c:v>0.03</c:v>
                </c:pt>
                <c:pt idx="52">
                  <c:v>0.04</c:v>
                </c:pt>
                <c:pt idx="53">
                  <c:v>0.03</c:v>
                </c:pt>
                <c:pt idx="54">
                  <c:v>7.0000000000000007E-2</c:v>
                </c:pt>
                <c:pt idx="55">
                  <c:v>0.08</c:v>
                </c:pt>
                <c:pt idx="56">
                  <c:v>0.02</c:v>
                </c:pt>
                <c:pt idx="57">
                  <c:v>0.04</c:v>
                </c:pt>
                <c:pt idx="58">
                  <c:v>0.04</c:v>
                </c:pt>
                <c:pt idx="59">
                  <c:v>0.03</c:v>
                </c:pt>
                <c:pt idx="60">
                  <c:v>0.05</c:v>
                </c:pt>
                <c:pt idx="61">
                  <c:v>0.05</c:v>
                </c:pt>
                <c:pt idx="62">
                  <c:v>0.04</c:v>
                </c:pt>
                <c:pt idx="63">
                  <c:v>0.05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61F-45BA-A2D7-B8BC35CEA125}"/>
            </c:ext>
          </c:extLst>
        </c:ser>
        <c:ser>
          <c:idx val="16"/>
          <c:order val="16"/>
          <c:tx>
            <c:strRef>
              <c:f>섹터!$B$69</c:f>
              <c:strCache>
                <c:ptCount val="1"/>
                <c:pt idx="0">
                  <c:v>식품과기본식료품소매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섹터!$C$69:$BO$69</c:f>
              <c:numCache>
                <c:formatCode>0.00%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61F-45BA-A2D7-B8BC35CEA125}"/>
            </c:ext>
          </c:extLst>
        </c:ser>
        <c:ser>
          <c:idx val="17"/>
          <c:order val="17"/>
          <c:tx>
            <c:strRef>
              <c:f>섹터!$B$70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섹터!$C$70:$BO$70</c:f>
              <c:numCache>
                <c:formatCode>0.00%</c:formatCode>
                <c:ptCount val="65"/>
                <c:pt idx="0">
                  <c:v>0.02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0.01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0.02</c:v>
                </c:pt>
                <c:pt idx="39">
                  <c:v>0.03</c:v>
                </c:pt>
                <c:pt idx="40">
                  <c:v>0.02</c:v>
                </c:pt>
                <c:pt idx="41">
                  <c:v>0.03</c:v>
                </c:pt>
                <c:pt idx="42">
                  <c:v>0.02</c:v>
                </c:pt>
                <c:pt idx="43">
                  <c:v>0.01</c:v>
                </c:pt>
                <c:pt idx="44">
                  <c:v>0.01</c:v>
                </c:pt>
                <c:pt idx="45">
                  <c:v>0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</c:v>
                </c:pt>
                <c:pt idx="59">
                  <c:v>0.01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61F-45BA-A2D7-B8BC35CEA125}"/>
            </c:ext>
          </c:extLst>
        </c:ser>
        <c:ser>
          <c:idx val="18"/>
          <c:order val="18"/>
          <c:tx>
            <c:strRef>
              <c:f>섹터!$B$71</c:f>
              <c:strCache>
                <c:ptCount val="1"/>
                <c:pt idx="0">
                  <c:v>운송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섹터!$C$71:$BO$71</c:f>
              <c:numCache>
                <c:formatCode>0.00%</c:formatCode>
                <c:ptCount val="65"/>
                <c:pt idx="0">
                  <c:v>0.03</c:v>
                </c:pt>
                <c:pt idx="1">
                  <c:v>0.02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0.02</c:v>
                </c:pt>
                <c:pt idx="6">
                  <c:v>0.01</c:v>
                </c:pt>
                <c:pt idx="7">
                  <c:v>0.03</c:v>
                </c:pt>
                <c:pt idx="8">
                  <c:v>0.02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0.03</c:v>
                </c:pt>
                <c:pt idx="15">
                  <c:v>0.03</c:v>
                </c:pt>
                <c:pt idx="16">
                  <c:v>0.01</c:v>
                </c:pt>
                <c:pt idx="17">
                  <c:v>0.01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0.04</c:v>
                </c:pt>
                <c:pt idx="27">
                  <c:v>0.05</c:v>
                </c:pt>
                <c:pt idx="28">
                  <c:v>0.03</c:v>
                </c:pt>
                <c:pt idx="29">
                  <c:v>0.02</c:v>
                </c:pt>
                <c:pt idx="30">
                  <c:v>0.02</c:v>
                </c:pt>
                <c:pt idx="31">
                  <c:v>0</c:v>
                </c:pt>
                <c:pt idx="32">
                  <c:v>0.01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0.02</c:v>
                </c:pt>
                <c:pt idx="39">
                  <c:v>0</c:v>
                </c:pt>
                <c:pt idx="40">
                  <c:v>0</c:v>
                </c:pt>
                <c:pt idx="41">
                  <c:v>0.04</c:v>
                </c:pt>
                <c:pt idx="42">
                  <c:v>0.01</c:v>
                </c:pt>
                <c:pt idx="43">
                  <c:v>0.01</c:v>
                </c:pt>
                <c:pt idx="44">
                  <c:v>0.04</c:v>
                </c:pt>
                <c:pt idx="45">
                  <c:v>0.02</c:v>
                </c:pt>
                <c:pt idx="46">
                  <c:v>0.03</c:v>
                </c:pt>
                <c:pt idx="47">
                  <c:v>0</c:v>
                </c:pt>
                <c:pt idx="48">
                  <c:v>0.03</c:v>
                </c:pt>
                <c:pt idx="49">
                  <c:v>0.04</c:v>
                </c:pt>
                <c:pt idx="50">
                  <c:v>0.05</c:v>
                </c:pt>
                <c:pt idx="51">
                  <c:v>0.04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0.08</c:v>
                </c:pt>
                <c:pt idx="55">
                  <c:v>0.08</c:v>
                </c:pt>
                <c:pt idx="56">
                  <c:v>0.11</c:v>
                </c:pt>
                <c:pt idx="57">
                  <c:v>0.1</c:v>
                </c:pt>
                <c:pt idx="58">
                  <c:v>0.08</c:v>
                </c:pt>
                <c:pt idx="59">
                  <c:v>0.03</c:v>
                </c:pt>
                <c:pt idx="60">
                  <c:v>0.03</c:v>
                </c:pt>
                <c:pt idx="61">
                  <c:v>0.04</c:v>
                </c:pt>
                <c:pt idx="62">
                  <c:v>0.04</c:v>
                </c:pt>
                <c:pt idx="63">
                  <c:v>0.02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61F-45BA-A2D7-B8BC35CEA125}"/>
            </c:ext>
          </c:extLst>
        </c:ser>
        <c:ser>
          <c:idx val="19"/>
          <c:order val="19"/>
          <c:tx>
            <c:strRef>
              <c:f>섹터!$B$72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섹터!$C$72:$BO$72</c:f>
              <c:numCache>
                <c:formatCode>0.00%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0.04</c:v>
                </c:pt>
                <c:pt idx="13">
                  <c:v>0.04</c:v>
                </c:pt>
                <c:pt idx="14">
                  <c:v>0.01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0.02</c:v>
                </c:pt>
                <c:pt idx="21">
                  <c:v>0.02</c:v>
                </c:pt>
                <c:pt idx="22">
                  <c:v>0.01</c:v>
                </c:pt>
                <c:pt idx="23">
                  <c:v>0.01</c:v>
                </c:pt>
                <c:pt idx="24">
                  <c:v>0.03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0.03</c:v>
                </c:pt>
                <c:pt idx="32">
                  <c:v>0.02</c:v>
                </c:pt>
                <c:pt idx="33">
                  <c:v>0</c:v>
                </c:pt>
                <c:pt idx="34">
                  <c:v>0</c:v>
                </c:pt>
                <c:pt idx="35">
                  <c:v>0.02</c:v>
                </c:pt>
                <c:pt idx="36">
                  <c:v>0.03</c:v>
                </c:pt>
                <c:pt idx="37">
                  <c:v>0.02</c:v>
                </c:pt>
                <c:pt idx="38">
                  <c:v>0.01</c:v>
                </c:pt>
                <c:pt idx="39">
                  <c:v>0.01</c:v>
                </c:pt>
                <c:pt idx="40">
                  <c:v>0.05</c:v>
                </c:pt>
                <c:pt idx="41">
                  <c:v>0.02</c:v>
                </c:pt>
                <c:pt idx="42">
                  <c:v>0.05</c:v>
                </c:pt>
                <c:pt idx="43">
                  <c:v>0.06</c:v>
                </c:pt>
                <c:pt idx="44">
                  <c:v>0.04</c:v>
                </c:pt>
                <c:pt idx="45">
                  <c:v>0.03</c:v>
                </c:pt>
                <c:pt idx="46">
                  <c:v>0.05</c:v>
                </c:pt>
                <c:pt idx="47">
                  <c:v>0.04</c:v>
                </c:pt>
                <c:pt idx="48">
                  <c:v>0.03</c:v>
                </c:pt>
                <c:pt idx="49">
                  <c:v>0</c:v>
                </c:pt>
                <c:pt idx="50">
                  <c:v>0.02</c:v>
                </c:pt>
                <c:pt idx="51">
                  <c:v>0.01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0.01</c:v>
                </c:pt>
                <c:pt idx="56">
                  <c:v>0.04</c:v>
                </c:pt>
                <c:pt idx="57">
                  <c:v>0.03</c:v>
                </c:pt>
                <c:pt idx="58">
                  <c:v>0.03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61F-45BA-A2D7-B8BC35CEA125}"/>
            </c:ext>
          </c:extLst>
        </c:ser>
        <c:ser>
          <c:idx val="20"/>
          <c:order val="20"/>
          <c:tx>
            <c:strRef>
              <c:f>섹터!$B$73</c:f>
              <c:strCache>
                <c:ptCount val="1"/>
                <c:pt idx="0">
                  <c:v>은행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섹터!$C$73:$BO$73</c:f>
              <c:numCache>
                <c:formatCode>0.00%</c:formatCode>
                <c:ptCount val="65"/>
                <c:pt idx="0">
                  <c:v>0.04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0.06</c:v>
                </c:pt>
                <c:pt idx="9">
                  <c:v>0.04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0.05</c:v>
                </c:pt>
                <c:pt idx="13">
                  <c:v>0.05</c:v>
                </c:pt>
                <c:pt idx="14">
                  <c:v>0.06</c:v>
                </c:pt>
                <c:pt idx="15">
                  <c:v>0.04</c:v>
                </c:pt>
                <c:pt idx="16">
                  <c:v>0.03</c:v>
                </c:pt>
                <c:pt idx="17">
                  <c:v>0.02</c:v>
                </c:pt>
                <c:pt idx="18">
                  <c:v>0.03</c:v>
                </c:pt>
                <c:pt idx="19">
                  <c:v>0.01</c:v>
                </c:pt>
                <c:pt idx="20">
                  <c:v>0</c:v>
                </c:pt>
                <c:pt idx="21">
                  <c:v>0.01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0.01</c:v>
                </c:pt>
                <c:pt idx="26">
                  <c:v>0</c:v>
                </c:pt>
                <c:pt idx="27">
                  <c:v>0.01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0.02</c:v>
                </c:pt>
                <c:pt idx="33">
                  <c:v>0.01</c:v>
                </c:pt>
                <c:pt idx="34">
                  <c:v>0.02</c:v>
                </c:pt>
                <c:pt idx="35">
                  <c:v>0.01</c:v>
                </c:pt>
                <c:pt idx="36">
                  <c:v>0</c:v>
                </c:pt>
                <c:pt idx="37">
                  <c:v>0.01</c:v>
                </c:pt>
                <c:pt idx="38">
                  <c:v>0</c:v>
                </c:pt>
                <c:pt idx="39">
                  <c:v>0.01</c:v>
                </c:pt>
                <c:pt idx="40">
                  <c:v>0.03</c:v>
                </c:pt>
                <c:pt idx="41">
                  <c:v>0.03</c:v>
                </c:pt>
                <c:pt idx="42">
                  <c:v>0.02</c:v>
                </c:pt>
                <c:pt idx="43">
                  <c:v>0.03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0.02</c:v>
                </c:pt>
                <c:pt idx="51">
                  <c:v>0.03</c:v>
                </c:pt>
                <c:pt idx="52">
                  <c:v>0.03</c:v>
                </c:pt>
                <c:pt idx="53">
                  <c:v>0.02</c:v>
                </c:pt>
                <c:pt idx="54">
                  <c:v>0.01</c:v>
                </c:pt>
                <c:pt idx="55">
                  <c:v>0.02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C61F-45BA-A2D7-B8BC35CEA125}"/>
            </c:ext>
          </c:extLst>
        </c:ser>
        <c:ser>
          <c:idx val="21"/>
          <c:order val="21"/>
          <c:tx>
            <c:strRef>
              <c:f>섹터!$B$74</c:f>
              <c:strCache>
                <c:ptCount val="1"/>
                <c:pt idx="0">
                  <c:v>자동차와부품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섹터!$C$74:$BO$74</c:f>
              <c:numCache>
                <c:formatCode>0.00%</c:formatCode>
                <c:ptCount val="65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0.01</c:v>
                </c:pt>
                <c:pt idx="4">
                  <c:v>0.06</c:v>
                </c:pt>
                <c:pt idx="5">
                  <c:v>0.06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0.03</c:v>
                </c:pt>
                <c:pt idx="13">
                  <c:v>0.02</c:v>
                </c:pt>
                <c:pt idx="14">
                  <c:v>0.02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0.05</c:v>
                </c:pt>
                <c:pt idx="19">
                  <c:v>0.05</c:v>
                </c:pt>
                <c:pt idx="20">
                  <c:v>0.02</c:v>
                </c:pt>
                <c:pt idx="21">
                  <c:v>0.02</c:v>
                </c:pt>
                <c:pt idx="22">
                  <c:v>0.03</c:v>
                </c:pt>
                <c:pt idx="23">
                  <c:v>0.03</c:v>
                </c:pt>
                <c:pt idx="24">
                  <c:v>0.06</c:v>
                </c:pt>
                <c:pt idx="25">
                  <c:v>0.03</c:v>
                </c:pt>
                <c:pt idx="26">
                  <c:v>0.03</c:v>
                </c:pt>
                <c:pt idx="27">
                  <c:v>0.02</c:v>
                </c:pt>
                <c:pt idx="28">
                  <c:v>0.03</c:v>
                </c:pt>
                <c:pt idx="29">
                  <c:v>0.01</c:v>
                </c:pt>
                <c:pt idx="30">
                  <c:v>0.03</c:v>
                </c:pt>
                <c:pt idx="31">
                  <c:v>0.01</c:v>
                </c:pt>
                <c:pt idx="32">
                  <c:v>0.04</c:v>
                </c:pt>
                <c:pt idx="33">
                  <c:v>0.01</c:v>
                </c:pt>
                <c:pt idx="34">
                  <c:v>0.06</c:v>
                </c:pt>
                <c:pt idx="35">
                  <c:v>0.05</c:v>
                </c:pt>
                <c:pt idx="36">
                  <c:v>0.09</c:v>
                </c:pt>
                <c:pt idx="37">
                  <c:v>0.12</c:v>
                </c:pt>
                <c:pt idx="38">
                  <c:v>0.1</c:v>
                </c:pt>
                <c:pt idx="39">
                  <c:v>0.12</c:v>
                </c:pt>
                <c:pt idx="40">
                  <c:v>0.13</c:v>
                </c:pt>
                <c:pt idx="41">
                  <c:v>0.14000000000000001</c:v>
                </c:pt>
                <c:pt idx="42">
                  <c:v>0.09</c:v>
                </c:pt>
                <c:pt idx="43">
                  <c:v>0.13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0.11</c:v>
                </c:pt>
                <c:pt idx="47">
                  <c:v>0.06</c:v>
                </c:pt>
                <c:pt idx="48">
                  <c:v>0.08</c:v>
                </c:pt>
                <c:pt idx="49">
                  <c:v>0.11</c:v>
                </c:pt>
                <c:pt idx="50">
                  <c:v>0.17</c:v>
                </c:pt>
                <c:pt idx="51">
                  <c:v>0.12</c:v>
                </c:pt>
                <c:pt idx="52">
                  <c:v>0.13</c:v>
                </c:pt>
                <c:pt idx="53">
                  <c:v>0.09</c:v>
                </c:pt>
                <c:pt idx="54">
                  <c:v>0.1</c:v>
                </c:pt>
                <c:pt idx="55">
                  <c:v>0.08</c:v>
                </c:pt>
                <c:pt idx="56">
                  <c:v>0.02</c:v>
                </c:pt>
                <c:pt idx="57">
                  <c:v>0.02</c:v>
                </c:pt>
                <c:pt idx="58">
                  <c:v>0.04</c:v>
                </c:pt>
                <c:pt idx="59">
                  <c:v>0.03</c:v>
                </c:pt>
                <c:pt idx="60">
                  <c:v>0.02</c:v>
                </c:pt>
                <c:pt idx="61">
                  <c:v>0.01</c:v>
                </c:pt>
                <c:pt idx="62">
                  <c:v>0</c:v>
                </c:pt>
                <c:pt idx="63">
                  <c:v>0</c:v>
                </c:pt>
                <c:pt idx="64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C61F-45BA-A2D7-B8BC35CEA125}"/>
            </c:ext>
          </c:extLst>
        </c:ser>
        <c:ser>
          <c:idx val="22"/>
          <c:order val="22"/>
          <c:tx>
            <c:strRef>
              <c:f>섹터!$B$75</c:f>
              <c:strCache>
                <c:ptCount val="1"/>
                <c:pt idx="0">
                  <c:v>자본재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섹터!$C$75:$BO$75</c:f>
              <c:numCache>
                <c:formatCode>0.00%</c:formatCode>
                <c:ptCount val="65"/>
                <c:pt idx="0">
                  <c:v>0.23</c:v>
                </c:pt>
                <c:pt idx="1">
                  <c:v>0.21</c:v>
                </c:pt>
                <c:pt idx="2">
                  <c:v>0.22</c:v>
                </c:pt>
                <c:pt idx="3">
                  <c:v>0.26</c:v>
                </c:pt>
                <c:pt idx="4">
                  <c:v>0.27</c:v>
                </c:pt>
                <c:pt idx="5">
                  <c:v>0.21</c:v>
                </c:pt>
                <c:pt idx="6">
                  <c:v>0.22</c:v>
                </c:pt>
                <c:pt idx="7">
                  <c:v>0.23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0.22</c:v>
                </c:pt>
                <c:pt idx="11">
                  <c:v>0.25</c:v>
                </c:pt>
                <c:pt idx="12">
                  <c:v>0.26</c:v>
                </c:pt>
                <c:pt idx="13">
                  <c:v>0.26</c:v>
                </c:pt>
                <c:pt idx="14">
                  <c:v>0.22</c:v>
                </c:pt>
                <c:pt idx="15">
                  <c:v>0.25</c:v>
                </c:pt>
                <c:pt idx="16">
                  <c:v>0.39</c:v>
                </c:pt>
                <c:pt idx="17">
                  <c:v>0.45</c:v>
                </c:pt>
                <c:pt idx="18">
                  <c:v>0.43</c:v>
                </c:pt>
                <c:pt idx="19">
                  <c:v>0.38</c:v>
                </c:pt>
                <c:pt idx="20">
                  <c:v>0.33</c:v>
                </c:pt>
                <c:pt idx="21">
                  <c:v>0.38</c:v>
                </c:pt>
                <c:pt idx="22">
                  <c:v>0.38</c:v>
                </c:pt>
                <c:pt idx="23">
                  <c:v>0.38</c:v>
                </c:pt>
                <c:pt idx="24">
                  <c:v>0.33</c:v>
                </c:pt>
                <c:pt idx="25">
                  <c:v>0.42</c:v>
                </c:pt>
                <c:pt idx="26">
                  <c:v>0.37</c:v>
                </c:pt>
                <c:pt idx="27">
                  <c:v>0.3</c:v>
                </c:pt>
                <c:pt idx="28">
                  <c:v>0.32</c:v>
                </c:pt>
                <c:pt idx="29">
                  <c:v>0.77</c:v>
                </c:pt>
                <c:pt idx="30">
                  <c:v>0.71</c:v>
                </c:pt>
                <c:pt idx="31">
                  <c:v>0.43</c:v>
                </c:pt>
                <c:pt idx="32">
                  <c:v>0.37</c:v>
                </c:pt>
                <c:pt idx="33">
                  <c:v>0.56000000000000005</c:v>
                </c:pt>
                <c:pt idx="34">
                  <c:v>0.54</c:v>
                </c:pt>
                <c:pt idx="35">
                  <c:v>0.48</c:v>
                </c:pt>
                <c:pt idx="36">
                  <c:v>0.36</c:v>
                </c:pt>
                <c:pt idx="37">
                  <c:v>0.2</c:v>
                </c:pt>
                <c:pt idx="38">
                  <c:v>0.35</c:v>
                </c:pt>
                <c:pt idx="39">
                  <c:v>0.39</c:v>
                </c:pt>
                <c:pt idx="40">
                  <c:v>0.11</c:v>
                </c:pt>
                <c:pt idx="41">
                  <c:v>0.14000000000000001</c:v>
                </c:pt>
                <c:pt idx="42">
                  <c:v>0.12</c:v>
                </c:pt>
                <c:pt idx="43">
                  <c:v>0.08</c:v>
                </c:pt>
                <c:pt idx="44">
                  <c:v>0.09</c:v>
                </c:pt>
                <c:pt idx="45">
                  <c:v>0.08</c:v>
                </c:pt>
                <c:pt idx="46">
                  <c:v>0.06</c:v>
                </c:pt>
                <c:pt idx="47">
                  <c:v>0.05</c:v>
                </c:pt>
                <c:pt idx="48">
                  <c:v>0.13</c:v>
                </c:pt>
                <c:pt idx="49">
                  <c:v>0.06</c:v>
                </c:pt>
                <c:pt idx="50">
                  <c:v>0.06</c:v>
                </c:pt>
                <c:pt idx="51">
                  <c:v>7.0000000000000007E-2</c:v>
                </c:pt>
                <c:pt idx="52">
                  <c:v>0.09</c:v>
                </c:pt>
                <c:pt idx="53">
                  <c:v>0.17</c:v>
                </c:pt>
                <c:pt idx="54">
                  <c:v>0.15</c:v>
                </c:pt>
                <c:pt idx="55">
                  <c:v>0.08</c:v>
                </c:pt>
                <c:pt idx="56">
                  <c:v>0.19</c:v>
                </c:pt>
                <c:pt idx="57">
                  <c:v>0.08</c:v>
                </c:pt>
                <c:pt idx="58">
                  <c:v>0.04</c:v>
                </c:pt>
                <c:pt idx="59">
                  <c:v>0.05</c:v>
                </c:pt>
                <c:pt idx="60">
                  <c:v>0.11</c:v>
                </c:pt>
                <c:pt idx="61">
                  <c:v>0.11</c:v>
                </c:pt>
                <c:pt idx="62">
                  <c:v>0.12</c:v>
                </c:pt>
                <c:pt idx="63">
                  <c:v>0.13</c:v>
                </c:pt>
                <c:pt idx="6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61F-45BA-A2D7-B8BC35CEA125}"/>
            </c:ext>
          </c:extLst>
        </c:ser>
        <c:ser>
          <c:idx val="23"/>
          <c:order val="23"/>
          <c:tx>
            <c:strRef>
              <c:f>섹터!$B$76</c:f>
              <c:strCache>
                <c:ptCount val="1"/>
                <c:pt idx="0">
                  <c:v>전자와 전기제품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섹터!$C$76:$BO$76</c:f>
              <c:numCache>
                <c:formatCode>0.00%</c:formatCode>
                <c:ptCount val="65"/>
                <c:pt idx="0">
                  <c:v>0.01</c:v>
                </c:pt>
                <c:pt idx="1">
                  <c:v>0</c:v>
                </c:pt>
                <c:pt idx="2">
                  <c:v>0.01</c:v>
                </c:pt>
                <c:pt idx="3">
                  <c:v>0</c:v>
                </c:pt>
                <c:pt idx="4">
                  <c:v>0.02</c:v>
                </c:pt>
                <c:pt idx="5">
                  <c:v>0.01</c:v>
                </c:pt>
                <c:pt idx="6">
                  <c:v>0.01</c:v>
                </c:pt>
                <c:pt idx="7">
                  <c:v>0.02</c:v>
                </c:pt>
                <c:pt idx="8">
                  <c:v>0.01</c:v>
                </c:pt>
                <c:pt idx="9">
                  <c:v>0.01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0.03</c:v>
                </c:pt>
                <c:pt idx="16">
                  <c:v>0.01</c:v>
                </c:pt>
                <c:pt idx="17">
                  <c:v>0.03</c:v>
                </c:pt>
                <c:pt idx="18">
                  <c:v>0.02</c:v>
                </c:pt>
                <c:pt idx="19">
                  <c:v>0.02</c:v>
                </c:pt>
                <c:pt idx="20">
                  <c:v>0.03</c:v>
                </c:pt>
                <c:pt idx="21">
                  <c:v>0.02</c:v>
                </c:pt>
                <c:pt idx="22">
                  <c:v>0.01</c:v>
                </c:pt>
                <c:pt idx="23">
                  <c:v>0</c:v>
                </c:pt>
                <c:pt idx="24">
                  <c:v>0.01</c:v>
                </c:pt>
                <c:pt idx="25">
                  <c:v>0.01</c:v>
                </c:pt>
                <c:pt idx="26">
                  <c:v>0.02</c:v>
                </c:pt>
                <c:pt idx="27">
                  <c:v>0.03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0.01</c:v>
                </c:pt>
                <c:pt idx="36">
                  <c:v>0.01</c:v>
                </c:pt>
                <c:pt idx="37">
                  <c:v>0.02</c:v>
                </c:pt>
                <c:pt idx="38">
                  <c:v>0</c:v>
                </c:pt>
                <c:pt idx="39">
                  <c:v>0.01</c:v>
                </c:pt>
                <c:pt idx="40">
                  <c:v>0.01</c:v>
                </c:pt>
                <c:pt idx="41">
                  <c:v>0.03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0.04</c:v>
                </c:pt>
                <c:pt idx="52">
                  <c:v>0.03</c:v>
                </c:pt>
                <c:pt idx="53">
                  <c:v>0.04</c:v>
                </c:pt>
                <c:pt idx="54">
                  <c:v>0.05</c:v>
                </c:pt>
                <c:pt idx="55">
                  <c:v>0.03</c:v>
                </c:pt>
                <c:pt idx="56">
                  <c:v>0.02</c:v>
                </c:pt>
                <c:pt idx="57">
                  <c:v>0.02</c:v>
                </c:pt>
                <c:pt idx="58">
                  <c:v>0</c:v>
                </c:pt>
                <c:pt idx="59">
                  <c:v>0.02</c:v>
                </c:pt>
                <c:pt idx="60">
                  <c:v>0.02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61F-45BA-A2D7-B8BC35CEA125}"/>
            </c:ext>
          </c:extLst>
        </c:ser>
        <c:ser>
          <c:idx val="24"/>
          <c:order val="24"/>
          <c:tx>
            <c:strRef>
              <c:f>섹터!$B$77</c:f>
              <c:strCache>
                <c:ptCount val="1"/>
                <c:pt idx="0">
                  <c:v>제약과생물공학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섹터!$C$77:$BO$77</c:f>
              <c:numCache>
                <c:formatCode>0.00%</c:formatCode>
                <c:ptCount val="65"/>
                <c:pt idx="0">
                  <c:v>0.02</c:v>
                </c:pt>
                <c:pt idx="1">
                  <c:v>0.04</c:v>
                </c:pt>
                <c:pt idx="2">
                  <c:v>0.03</c:v>
                </c:pt>
                <c:pt idx="3">
                  <c:v>0.03</c:v>
                </c:pt>
                <c:pt idx="4">
                  <c:v>0.04</c:v>
                </c:pt>
                <c:pt idx="5">
                  <c:v>0.02</c:v>
                </c:pt>
                <c:pt idx="6">
                  <c:v>0.03</c:v>
                </c:pt>
                <c:pt idx="7">
                  <c:v>0.02</c:v>
                </c:pt>
                <c:pt idx="8">
                  <c:v>0.03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0.03</c:v>
                </c:pt>
                <c:pt idx="15">
                  <c:v>0.06</c:v>
                </c:pt>
                <c:pt idx="16">
                  <c:v>0.06</c:v>
                </c:pt>
                <c:pt idx="17">
                  <c:v>0.06</c:v>
                </c:pt>
                <c:pt idx="18">
                  <c:v>0.06</c:v>
                </c:pt>
                <c:pt idx="19">
                  <c:v>0.12</c:v>
                </c:pt>
                <c:pt idx="20">
                  <c:v>7.0000000000000007E-2</c:v>
                </c:pt>
                <c:pt idx="21">
                  <c:v>7.0000000000000007E-2</c:v>
                </c:pt>
                <c:pt idx="22">
                  <c:v>0.06</c:v>
                </c:pt>
                <c:pt idx="23">
                  <c:v>7.0000000000000007E-2</c:v>
                </c:pt>
                <c:pt idx="24">
                  <c:v>0.08</c:v>
                </c:pt>
                <c:pt idx="25">
                  <c:v>0.08</c:v>
                </c:pt>
                <c:pt idx="26">
                  <c:v>7.0000000000000007E-2</c:v>
                </c:pt>
                <c:pt idx="27">
                  <c:v>0.08</c:v>
                </c:pt>
                <c:pt idx="28">
                  <c:v>0.08</c:v>
                </c:pt>
                <c:pt idx="29">
                  <c:v>0.01</c:v>
                </c:pt>
                <c:pt idx="30">
                  <c:v>0.03</c:v>
                </c:pt>
                <c:pt idx="31">
                  <c:v>0.09</c:v>
                </c:pt>
                <c:pt idx="32">
                  <c:v>0.09</c:v>
                </c:pt>
                <c:pt idx="33">
                  <c:v>7.0000000000000007E-2</c:v>
                </c:pt>
                <c:pt idx="34">
                  <c:v>0.05</c:v>
                </c:pt>
                <c:pt idx="35">
                  <c:v>0.05</c:v>
                </c:pt>
                <c:pt idx="36">
                  <c:v>0.08</c:v>
                </c:pt>
                <c:pt idx="37">
                  <c:v>0.08</c:v>
                </c:pt>
                <c:pt idx="38">
                  <c:v>0.08</c:v>
                </c:pt>
                <c:pt idx="39">
                  <c:v>0.06</c:v>
                </c:pt>
                <c:pt idx="40">
                  <c:v>0.09</c:v>
                </c:pt>
                <c:pt idx="41">
                  <c:v>7.0000000000000007E-2</c:v>
                </c:pt>
                <c:pt idx="42">
                  <c:v>0.15</c:v>
                </c:pt>
                <c:pt idx="43">
                  <c:v>0.14000000000000001</c:v>
                </c:pt>
                <c:pt idx="44">
                  <c:v>0.14000000000000001</c:v>
                </c:pt>
                <c:pt idx="45">
                  <c:v>0.15</c:v>
                </c:pt>
                <c:pt idx="46">
                  <c:v>0.2</c:v>
                </c:pt>
                <c:pt idx="47">
                  <c:v>0.19</c:v>
                </c:pt>
                <c:pt idx="48">
                  <c:v>0.12</c:v>
                </c:pt>
                <c:pt idx="49">
                  <c:v>0.08</c:v>
                </c:pt>
                <c:pt idx="50">
                  <c:v>0.09</c:v>
                </c:pt>
                <c:pt idx="51">
                  <c:v>0.1</c:v>
                </c:pt>
                <c:pt idx="52">
                  <c:v>0.11</c:v>
                </c:pt>
                <c:pt idx="53">
                  <c:v>0.05</c:v>
                </c:pt>
                <c:pt idx="54">
                  <c:v>0.04</c:v>
                </c:pt>
                <c:pt idx="55">
                  <c:v>0.05</c:v>
                </c:pt>
                <c:pt idx="56">
                  <c:v>0.08</c:v>
                </c:pt>
                <c:pt idx="57">
                  <c:v>0.16</c:v>
                </c:pt>
                <c:pt idx="58">
                  <c:v>0.21</c:v>
                </c:pt>
                <c:pt idx="59">
                  <c:v>0.24</c:v>
                </c:pt>
                <c:pt idx="60">
                  <c:v>0.21</c:v>
                </c:pt>
                <c:pt idx="61">
                  <c:v>0.21</c:v>
                </c:pt>
                <c:pt idx="62">
                  <c:v>0.15</c:v>
                </c:pt>
                <c:pt idx="63">
                  <c:v>0.12</c:v>
                </c:pt>
                <c:pt idx="64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C61F-45BA-A2D7-B8BC35CEA125}"/>
            </c:ext>
          </c:extLst>
        </c:ser>
        <c:ser>
          <c:idx val="25"/>
          <c:order val="25"/>
          <c:tx>
            <c:strRef>
              <c:f>섹터!$B$78</c:f>
              <c:strCache>
                <c:ptCount val="1"/>
                <c:pt idx="0">
                  <c:v>증권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섹터!$C$78:$BO$78</c:f>
              <c:numCache>
                <c:formatCode>0.00%</c:formatCode>
                <c:ptCount val="6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0.08</c:v>
                </c:pt>
                <c:pt idx="4">
                  <c:v>0.08</c:v>
                </c:pt>
                <c:pt idx="5">
                  <c:v>0.11</c:v>
                </c:pt>
                <c:pt idx="6">
                  <c:v>0.1</c:v>
                </c:pt>
                <c:pt idx="7">
                  <c:v>0.1</c:v>
                </c:pt>
                <c:pt idx="8">
                  <c:v>0.08</c:v>
                </c:pt>
                <c:pt idx="9">
                  <c:v>0.04</c:v>
                </c:pt>
                <c:pt idx="10">
                  <c:v>0.05</c:v>
                </c:pt>
                <c:pt idx="11">
                  <c:v>0.06</c:v>
                </c:pt>
                <c:pt idx="12">
                  <c:v>0.06</c:v>
                </c:pt>
                <c:pt idx="13">
                  <c:v>0.04</c:v>
                </c:pt>
                <c:pt idx="14">
                  <c:v>0.04</c:v>
                </c:pt>
                <c:pt idx="15">
                  <c:v>0.05</c:v>
                </c:pt>
                <c:pt idx="16">
                  <c:v>0.04</c:v>
                </c:pt>
                <c:pt idx="17">
                  <c:v>0.05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0.04</c:v>
                </c:pt>
                <c:pt idx="22">
                  <c:v>0.04</c:v>
                </c:pt>
                <c:pt idx="23">
                  <c:v>0.05</c:v>
                </c:pt>
                <c:pt idx="24">
                  <c:v>0.04</c:v>
                </c:pt>
                <c:pt idx="25">
                  <c:v>0.02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</c:v>
                </c:pt>
                <c:pt idx="30">
                  <c:v>0.01</c:v>
                </c:pt>
                <c:pt idx="31">
                  <c:v>0.04</c:v>
                </c:pt>
                <c:pt idx="32">
                  <c:v>0.04</c:v>
                </c:pt>
                <c:pt idx="33">
                  <c:v>0.04</c:v>
                </c:pt>
                <c:pt idx="34">
                  <c:v>0.03</c:v>
                </c:pt>
                <c:pt idx="35">
                  <c:v>0.02</c:v>
                </c:pt>
                <c:pt idx="36">
                  <c:v>0.02</c:v>
                </c:pt>
                <c:pt idx="37">
                  <c:v>0.03</c:v>
                </c:pt>
                <c:pt idx="38">
                  <c:v>0.02</c:v>
                </c:pt>
                <c:pt idx="39">
                  <c:v>0.01</c:v>
                </c:pt>
                <c:pt idx="40">
                  <c:v>0.03</c:v>
                </c:pt>
                <c:pt idx="41">
                  <c:v>0.02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0.04</c:v>
                </c:pt>
                <c:pt idx="50">
                  <c:v>0.04</c:v>
                </c:pt>
                <c:pt idx="51">
                  <c:v>0.05</c:v>
                </c:pt>
                <c:pt idx="52">
                  <c:v>0.03</c:v>
                </c:pt>
                <c:pt idx="53">
                  <c:v>0.02</c:v>
                </c:pt>
                <c:pt idx="54">
                  <c:v>0.04</c:v>
                </c:pt>
                <c:pt idx="55">
                  <c:v>0.04</c:v>
                </c:pt>
                <c:pt idx="56">
                  <c:v>0.04</c:v>
                </c:pt>
                <c:pt idx="57">
                  <c:v>0.06</c:v>
                </c:pt>
                <c:pt idx="58">
                  <c:v>0.02</c:v>
                </c:pt>
                <c:pt idx="59">
                  <c:v>0.05</c:v>
                </c:pt>
                <c:pt idx="60">
                  <c:v>0.02</c:v>
                </c:pt>
                <c:pt idx="61">
                  <c:v>0.02</c:v>
                </c:pt>
                <c:pt idx="62">
                  <c:v>0</c:v>
                </c:pt>
                <c:pt idx="63">
                  <c:v>0.01</c:v>
                </c:pt>
                <c:pt idx="64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C61F-45BA-A2D7-B8BC35CEA125}"/>
            </c:ext>
          </c:extLst>
        </c:ser>
        <c:ser>
          <c:idx val="26"/>
          <c:order val="26"/>
          <c:tx>
            <c:strRef>
              <c:f>섹터!$B$79</c:f>
              <c:strCache>
                <c:ptCount val="1"/>
                <c:pt idx="0">
                  <c:v>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섹터!$C$79:$BO$79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0.02</c:v>
                </c:pt>
                <c:pt idx="3">
                  <c:v>0.02</c:v>
                </c:pt>
                <c:pt idx="4">
                  <c:v>0.01</c:v>
                </c:pt>
                <c:pt idx="5">
                  <c:v>0.02</c:v>
                </c:pt>
                <c:pt idx="6">
                  <c:v>0.02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0.02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0.01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C61F-45BA-A2D7-B8BC35CEA125}"/>
            </c:ext>
          </c:extLst>
        </c:ser>
        <c:ser>
          <c:idx val="27"/>
          <c:order val="27"/>
          <c:tx>
            <c:strRef>
              <c:f>섹터!$B$80</c:f>
              <c:strCache>
                <c:ptCount val="1"/>
                <c:pt idx="0">
                  <c:v>호텔,레스토랑,레저등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섹터!$C$2:$BO$2</c:f>
              <c:numCache>
                <c:formatCode>General</c:formatCode>
                <c:ptCount val="65"/>
                <c:pt idx="0">
                  <c:v>20010228</c:v>
                </c:pt>
                <c:pt idx="1">
                  <c:v>20010531</c:v>
                </c:pt>
                <c:pt idx="2">
                  <c:v>20010831</c:v>
                </c:pt>
                <c:pt idx="3">
                  <c:v>20011130</c:v>
                </c:pt>
                <c:pt idx="4">
                  <c:v>20020228</c:v>
                </c:pt>
                <c:pt idx="5">
                  <c:v>20020531</c:v>
                </c:pt>
                <c:pt idx="6">
                  <c:v>20020830</c:v>
                </c:pt>
                <c:pt idx="7">
                  <c:v>20021129</c:v>
                </c:pt>
                <c:pt idx="8">
                  <c:v>20030228</c:v>
                </c:pt>
                <c:pt idx="9">
                  <c:v>20030530</c:v>
                </c:pt>
                <c:pt idx="10">
                  <c:v>20030829</c:v>
                </c:pt>
                <c:pt idx="11">
                  <c:v>20031128</c:v>
                </c:pt>
                <c:pt idx="12">
                  <c:v>20040227</c:v>
                </c:pt>
                <c:pt idx="13">
                  <c:v>20040531</c:v>
                </c:pt>
                <c:pt idx="14">
                  <c:v>20040831</c:v>
                </c:pt>
                <c:pt idx="15">
                  <c:v>20041130</c:v>
                </c:pt>
                <c:pt idx="16">
                  <c:v>20050228</c:v>
                </c:pt>
                <c:pt idx="17">
                  <c:v>20050531</c:v>
                </c:pt>
                <c:pt idx="18">
                  <c:v>20050831</c:v>
                </c:pt>
                <c:pt idx="19">
                  <c:v>20051130</c:v>
                </c:pt>
                <c:pt idx="20">
                  <c:v>20060228</c:v>
                </c:pt>
                <c:pt idx="21">
                  <c:v>20060530</c:v>
                </c:pt>
                <c:pt idx="22">
                  <c:v>20060831</c:v>
                </c:pt>
                <c:pt idx="23">
                  <c:v>20061130</c:v>
                </c:pt>
                <c:pt idx="24">
                  <c:v>20070228</c:v>
                </c:pt>
                <c:pt idx="25">
                  <c:v>20070531</c:v>
                </c:pt>
                <c:pt idx="26">
                  <c:v>20070831</c:v>
                </c:pt>
                <c:pt idx="27">
                  <c:v>20071130</c:v>
                </c:pt>
                <c:pt idx="28">
                  <c:v>20080229</c:v>
                </c:pt>
                <c:pt idx="29">
                  <c:v>20080530</c:v>
                </c:pt>
                <c:pt idx="30">
                  <c:v>20080829</c:v>
                </c:pt>
                <c:pt idx="31">
                  <c:v>20081128</c:v>
                </c:pt>
                <c:pt idx="32">
                  <c:v>20090227</c:v>
                </c:pt>
                <c:pt idx="33">
                  <c:v>20090529</c:v>
                </c:pt>
                <c:pt idx="34">
                  <c:v>20090831</c:v>
                </c:pt>
                <c:pt idx="35">
                  <c:v>20091130</c:v>
                </c:pt>
                <c:pt idx="36">
                  <c:v>20100226</c:v>
                </c:pt>
                <c:pt idx="37">
                  <c:v>20100531</c:v>
                </c:pt>
                <c:pt idx="38">
                  <c:v>20100831</c:v>
                </c:pt>
                <c:pt idx="39">
                  <c:v>20101130</c:v>
                </c:pt>
                <c:pt idx="40">
                  <c:v>20110228</c:v>
                </c:pt>
                <c:pt idx="41">
                  <c:v>20110531</c:v>
                </c:pt>
                <c:pt idx="42">
                  <c:v>20110831</c:v>
                </c:pt>
                <c:pt idx="43">
                  <c:v>20111130</c:v>
                </c:pt>
                <c:pt idx="44">
                  <c:v>20120229</c:v>
                </c:pt>
                <c:pt idx="45">
                  <c:v>20120531</c:v>
                </c:pt>
                <c:pt idx="46">
                  <c:v>20120831</c:v>
                </c:pt>
                <c:pt idx="47">
                  <c:v>20121130</c:v>
                </c:pt>
                <c:pt idx="48">
                  <c:v>20130228</c:v>
                </c:pt>
                <c:pt idx="49">
                  <c:v>20130531</c:v>
                </c:pt>
                <c:pt idx="50">
                  <c:v>20130830</c:v>
                </c:pt>
                <c:pt idx="51">
                  <c:v>20131129</c:v>
                </c:pt>
                <c:pt idx="52">
                  <c:v>20140228</c:v>
                </c:pt>
                <c:pt idx="53">
                  <c:v>20140530</c:v>
                </c:pt>
                <c:pt idx="54">
                  <c:v>20140829</c:v>
                </c:pt>
                <c:pt idx="55">
                  <c:v>20141128</c:v>
                </c:pt>
                <c:pt idx="56">
                  <c:v>20150227</c:v>
                </c:pt>
                <c:pt idx="57">
                  <c:v>20150529</c:v>
                </c:pt>
                <c:pt idx="58">
                  <c:v>20150831</c:v>
                </c:pt>
                <c:pt idx="59">
                  <c:v>20151130</c:v>
                </c:pt>
                <c:pt idx="60">
                  <c:v>20160229</c:v>
                </c:pt>
                <c:pt idx="61">
                  <c:v>20160531</c:v>
                </c:pt>
                <c:pt idx="62">
                  <c:v>20160831</c:v>
                </c:pt>
                <c:pt idx="63">
                  <c:v>20161130</c:v>
                </c:pt>
                <c:pt idx="64">
                  <c:v>20170228</c:v>
                </c:pt>
              </c:numCache>
            </c:numRef>
          </c:cat>
          <c:val>
            <c:numRef>
              <c:f>섹터!$C$80:$BO$80</c:f>
              <c:numCache>
                <c:formatCode>0.00%</c:formatCode>
                <c:ptCount val="65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0.03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0.01</c:v>
                </c:pt>
                <c:pt idx="17">
                  <c:v>0.02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</c:v>
                </c:pt>
                <c:pt idx="45">
                  <c:v>0.01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0.01</c:v>
                </c:pt>
                <c:pt idx="50">
                  <c:v>0</c:v>
                </c:pt>
                <c:pt idx="51">
                  <c:v>0.01</c:v>
                </c:pt>
                <c:pt idx="52">
                  <c:v>0.01</c:v>
                </c:pt>
                <c:pt idx="53">
                  <c:v>0.02</c:v>
                </c:pt>
                <c:pt idx="54">
                  <c:v>0</c:v>
                </c:pt>
                <c:pt idx="55">
                  <c:v>0</c:v>
                </c:pt>
                <c:pt idx="56">
                  <c:v>0.01</c:v>
                </c:pt>
                <c:pt idx="57">
                  <c:v>0</c:v>
                </c:pt>
                <c:pt idx="58">
                  <c:v>0.01</c:v>
                </c:pt>
                <c:pt idx="59">
                  <c:v>0</c:v>
                </c:pt>
                <c:pt idx="60">
                  <c:v>0.01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C61F-45BA-A2D7-B8BC35CEA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3977680"/>
        <c:axId val="1203978512"/>
      </c:lineChart>
      <c:catAx>
        <c:axId val="120397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8512"/>
        <c:crosses val="autoZero"/>
        <c:auto val="1"/>
        <c:lblAlgn val="ctr"/>
        <c:lblOffset val="100"/>
        <c:noMultiLvlLbl val="0"/>
      </c:catAx>
      <c:valAx>
        <c:axId val="1203978512"/>
        <c:scaling>
          <c:orientation val="minMax"/>
          <c:max val="0.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0397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results'!$G$1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results'!$G$2:$G$39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40-4218-8DA8-09980802CB60}"/>
            </c:ext>
          </c:extLst>
        </c:ser>
        <c:ser>
          <c:idx val="1"/>
          <c:order val="1"/>
          <c:tx>
            <c:strRef>
              <c:f>'Quarter results'!$H$1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results'!$H$2:$H$39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640-4218-8DA8-09980802CB60}"/>
            </c:ext>
          </c:extLst>
        </c:ser>
        <c:ser>
          <c:idx val="2"/>
          <c:order val="2"/>
          <c:tx>
            <c:strRef>
              <c:f>'Quarter results'!$I$1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results'!$I$2:$I$39</c:f>
              <c:numCache>
                <c:formatCode>0.00</c:formatCode>
                <c:ptCount val="38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640-4218-8DA8-09980802C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74495"/>
        <c:axId val="1007565759"/>
      </c:lineChart>
      <c:catAx>
        <c:axId val="1007574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5759"/>
        <c:crosses val="autoZero"/>
        <c:auto val="1"/>
        <c:lblAlgn val="ctr"/>
        <c:lblOffset val="100"/>
        <c:noMultiLvlLbl val="0"/>
      </c:catAx>
      <c:valAx>
        <c:axId val="100756575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74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20080229~20090227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results'!$L$1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results'!$L$2:$L$6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E-4E75-AAC6-72ED1CB81889}"/>
            </c:ext>
          </c:extLst>
        </c:ser>
        <c:ser>
          <c:idx val="1"/>
          <c:order val="1"/>
          <c:tx>
            <c:strRef>
              <c:f>'Quarter results'!$M$1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results'!$M$2:$M$6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E-4E75-AAC6-72ED1CB81889}"/>
            </c:ext>
          </c:extLst>
        </c:ser>
        <c:ser>
          <c:idx val="2"/>
          <c:order val="2"/>
          <c:tx>
            <c:strRef>
              <c:f>'Quarter results'!$N$1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results'!$N$2:$N$6</c:f>
              <c:numCache>
                <c:formatCode>0.00</c:formatCode>
                <c:ptCount val="5"/>
                <c:pt idx="0" formatCode="General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E-4E75-AAC6-72ED1CB81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60767"/>
        <c:axId val="1007561599"/>
      </c:lineChart>
      <c:catAx>
        <c:axId val="100756076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1599"/>
        <c:crosses val="autoZero"/>
        <c:auto val="1"/>
        <c:lblAlgn val="ctr"/>
        <c:lblOffset val="100"/>
        <c:noMultiLvlLbl val="0"/>
      </c:catAx>
      <c:valAx>
        <c:axId val="1007561599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60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results'!$O$5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results'!$O$6:$O$20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107.23201648620899</c:v>
                </c:pt>
                <c:pt idx="2">
                  <c:v>101.1549841894867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A-42F7-AB0A-19476B6150FF}"/>
            </c:ext>
          </c:extLst>
        </c:ser>
        <c:ser>
          <c:idx val="1"/>
          <c:order val="1"/>
          <c:tx>
            <c:strRef>
              <c:f>'Quarter results'!$P$5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results'!$P$6:$P$20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109.09626459197601</c:v>
                </c:pt>
                <c:pt idx="2">
                  <c:v>102.62172553412347</c:v>
                </c:pt>
                <c:pt idx="3">
                  <c:v>100.4576308562622</c:v>
                </c:pt>
                <c:pt idx="4">
                  <c:v>100.28296125036324</c:v>
                </c:pt>
                <c:pt idx="5">
                  <c:v>108.93555896556414</c:v>
                </c:pt>
                <c:pt idx="6">
                  <c:v>121.29354949721859</c:v>
                </c:pt>
                <c:pt idx="7">
                  <c:v>114.22677064644562</c:v>
                </c:pt>
                <c:pt idx="8">
                  <c:v>118.47885983702081</c:v>
                </c:pt>
                <c:pt idx="9">
                  <c:v>123.11204015263495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1A-42F7-AB0A-19476B6150FF}"/>
            </c:ext>
          </c:extLst>
        </c:ser>
        <c:ser>
          <c:idx val="2"/>
          <c:order val="2"/>
          <c:tx>
            <c:strRef>
              <c:f>'Quarter results'!$Q$5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'Quarter results'!$Q$6:$Q$20</c:f>
              <c:numCache>
                <c:formatCode>0.00</c:formatCode>
                <c:ptCount val="15"/>
                <c:pt idx="0" formatCode="General">
                  <c:v>100</c:v>
                </c:pt>
                <c:pt idx="1">
                  <c:v>105.74100201872001</c:v>
                </c:pt>
                <c:pt idx="2">
                  <c:v>100.38876288017153</c:v>
                </c:pt>
                <c:pt idx="3">
                  <c:v>101.42936780822565</c:v>
                </c:pt>
                <c:pt idx="4">
                  <c:v>100.06205732354869</c:v>
                </c:pt>
                <c:pt idx="5">
                  <c:v>109.52435433251468</c:v>
                </c:pt>
                <c:pt idx="6">
                  <c:v>124.89923534692299</c:v>
                </c:pt>
                <c:pt idx="7">
                  <c:v>117.23727278525844</c:v>
                </c:pt>
                <c:pt idx="8">
                  <c:v>121.62309524353209</c:v>
                </c:pt>
                <c:pt idx="9">
                  <c:v>129.04011752656521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1A-42F7-AB0A-19476B61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1541599"/>
        <c:axId val="951542431"/>
      </c:lineChart>
      <c:catAx>
        <c:axId val="9515415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2431"/>
        <c:crosses val="autoZero"/>
        <c:auto val="1"/>
        <c:lblAlgn val="ctr"/>
        <c:lblOffset val="100"/>
        <c:noMultiLvlLbl val="0"/>
      </c:catAx>
      <c:valAx>
        <c:axId val="951542431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51541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'Quarter results'!$J$1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results'!$J$2:$J$39</c:f>
              <c:numCache>
                <c:formatCode>General</c:formatCode>
                <c:ptCount val="38"/>
                <c:pt idx="0">
                  <c:v>100</c:v>
                </c:pt>
                <c:pt idx="1">
                  <c:v>109.47915365224486</c:v>
                </c:pt>
                <c:pt idx="2">
                  <c:v>86.981413568315602</c:v>
                </c:pt>
                <c:pt idx="3">
                  <c:v>64.545407777051011</c:v>
                </c:pt>
                <c:pt idx="4">
                  <c:v>63.0505559761</c:v>
                </c:pt>
                <c:pt idx="5">
                  <c:v>81.429736820830911</c:v>
                </c:pt>
                <c:pt idx="6">
                  <c:v>95.323627330653267</c:v>
                </c:pt>
                <c:pt idx="7">
                  <c:v>94.418191038238504</c:v>
                </c:pt>
                <c:pt idx="8">
                  <c:v>96.152630689292749</c:v>
                </c:pt>
                <c:pt idx="9">
                  <c:v>99.420138608185653</c:v>
                </c:pt>
                <c:pt idx="10">
                  <c:v>104.79543166234281</c:v>
                </c:pt>
                <c:pt idx="11">
                  <c:v>114.88384398862324</c:v>
                </c:pt>
                <c:pt idx="12">
                  <c:v>118.30274791095562</c:v>
                </c:pt>
                <c:pt idx="13">
                  <c:v>129.27528350004039</c:v>
                </c:pt>
                <c:pt idx="14">
                  <c:v>110.59698530870817</c:v>
                </c:pt>
                <c:pt idx="15">
                  <c:v>110.8527416640331</c:v>
                </c:pt>
                <c:pt idx="16">
                  <c:v>122.3110673418242</c:v>
                </c:pt>
                <c:pt idx="17">
                  <c:v>113.11265773479238</c:v>
                </c:pt>
                <c:pt idx="18">
                  <c:v>115.49457252676986</c:v>
                </c:pt>
                <c:pt idx="19">
                  <c:v>117.12244702977208</c:v>
                </c:pt>
                <c:pt idx="20">
                  <c:v>123.42963393034312</c:v>
                </c:pt>
                <c:pt idx="21">
                  <c:v>120.24149867344761</c:v>
                </c:pt>
                <c:pt idx="22">
                  <c:v>116.41470746029528</c:v>
                </c:pt>
                <c:pt idx="23">
                  <c:v>124.72972873657828</c:v>
                </c:pt>
                <c:pt idx="24">
                  <c:v>119.26109931136864</c:v>
                </c:pt>
                <c:pt idx="25">
                  <c:v>119.97912792962289</c:v>
                </c:pt>
                <c:pt idx="26">
                  <c:v>122.27579060315871</c:v>
                </c:pt>
                <c:pt idx="27">
                  <c:v>116.49995957873693</c:v>
                </c:pt>
                <c:pt idx="28">
                  <c:v>115.15650378122541</c:v>
                </c:pt>
                <c:pt idx="29">
                  <c:v>117.92793256263455</c:v>
                </c:pt>
                <c:pt idx="30">
                  <c:v>104.94829752989334</c:v>
                </c:pt>
                <c:pt idx="31">
                  <c:v>111.14524462213465</c:v>
                </c:pt>
                <c:pt idx="32">
                  <c:v>106.8466270293311</c:v>
                </c:pt>
                <c:pt idx="33">
                  <c:v>110.82775397414507</c:v>
                </c:pt>
                <c:pt idx="34">
                  <c:v>117.34807117082025</c:v>
                </c:pt>
                <c:pt idx="35">
                  <c:v>116.25081761191177</c:v>
                </c:pt>
                <c:pt idx="36">
                  <c:v>123.67289644072405</c:v>
                </c:pt>
                <c:pt idx="37">
                  <c:v>139.82229342897247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6-45EF-A34D-8B686B024E4A}"/>
            </c:ext>
          </c:extLst>
        </c:ser>
        <c:ser>
          <c:idx val="1"/>
          <c:order val="1"/>
          <c:tx>
            <c:strRef>
              <c:f>'Quarter results'!$K$1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'Quarter results'!$A$2:$A$39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'Quarter results'!$K$2:$K$39</c:f>
              <c:numCache>
                <c:formatCode>General</c:formatCode>
                <c:ptCount val="38"/>
                <c:pt idx="0">
                  <c:v>100</c:v>
                </c:pt>
                <c:pt idx="1">
                  <c:v>101.39429389996417</c:v>
                </c:pt>
                <c:pt idx="2">
                  <c:v>78.469619195416016</c:v>
                </c:pt>
                <c:pt idx="3">
                  <c:v>52.749194222275271</c:v>
                </c:pt>
                <c:pt idx="4">
                  <c:v>58.7059806613346</c:v>
                </c:pt>
                <c:pt idx="5">
                  <c:v>84.19123791333412</c:v>
                </c:pt>
                <c:pt idx="6">
                  <c:v>84.661573355616554</c:v>
                </c:pt>
                <c:pt idx="7">
                  <c:v>77.061000358123408</c:v>
                </c:pt>
                <c:pt idx="8">
                  <c:v>78.834905097290175</c:v>
                </c:pt>
                <c:pt idx="9">
                  <c:v>78.074489674107653</c:v>
                </c:pt>
                <c:pt idx="10">
                  <c:v>80.238748955473298</c:v>
                </c:pt>
                <c:pt idx="11">
                  <c:v>86.702876924913426</c:v>
                </c:pt>
                <c:pt idx="12">
                  <c:v>86.708845648800278</c:v>
                </c:pt>
                <c:pt idx="13">
                  <c:v>92.305121165094903</c:v>
                </c:pt>
                <c:pt idx="14">
                  <c:v>91.229557120687602</c:v>
                </c:pt>
                <c:pt idx="15">
                  <c:v>87.013250567028763</c:v>
                </c:pt>
                <c:pt idx="16">
                  <c:v>92.083084636504708</c:v>
                </c:pt>
                <c:pt idx="17">
                  <c:v>78.557956308941158</c:v>
                </c:pt>
                <c:pt idx="18">
                  <c:v>84.474155425570018</c:v>
                </c:pt>
                <c:pt idx="19">
                  <c:v>84.143488122239475</c:v>
                </c:pt>
                <c:pt idx="20">
                  <c:v>87.7557598185508</c:v>
                </c:pt>
                <c:pt idx="21">
                  <c:v>92.801718992479408</c:v>
                </c:pt>
                <c:pt idx="22">
                  <c:v>83.435597469261083</c:v>
                </c:pt>
                <c:pt idx="23">
                  <c:v>86.337591023039295</c:v>
                </c:pt>
                <c:pt idx="24">
                  <c:v>88.158051808523368</c:v>
                </c:pt>
                <c:pt idx="25">
                  <c:v>89.438939954637732</c:v>
                </c:pt>
                <c:pt idx="26">
                  <c:v>95.900680434523139</c:v>
                </c:pt>
                <c:pt idx="27">
                  <c:v>91.982810075205961</c:v>
                </c:pt>
                <c:pt idx="28">
                  <c:v>99.666945207114765</c:v>
                </c:pt>
                <c:pt idx="29">
                  <c:v>116.75062671600817</c:v>
                </c:pt>
                <c:pt idx="30">
                  <c:v>115.11280888146119</c:v>
                </c:pt>
                <c:pt idx="31">
                  <c:v>109.99045004178112</c:v>
                </c:pt>
                <c:pt idx="32">
                  <c:v>104.39536827026386</c:v>
                </c:pt>
                <c:pt idx="33">
                  <c:v>108.9363734033664</c:v>
                </c:pt>
                <c:pt idx="34">
                  <c:v>101.72137996896268</c:v>
                </c:pt>
                <c:pt idx="35">
                  <c:v>91.939835263220758</c:v>
                </c:pt>
                <c:pt idx="36">
                  <c:v>95.751462337352308</c:v>
                </c:pt>
                <c:pt idx="37">
                  <c:v>104.80124149456849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86-45EF-A34D-8B686B024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542159"/>
        <c:axId val="1007540911"/>
      </c:lineChart>
      <c:catAx>
        <c:axId val="1007542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0911"/>
        <c:crosses val="autoZero"/>
        <c:auto val="1"/>
        <c:lblAlgn val="ctr"/>
        <c:lblOffset val="100"/>
        <c:noMultiLvlLbl val="0"/>
      </c:catAx>
      <c:valAx>
        <c:axId val="1007540911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42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중소형주비중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'2008~Q'!$A$33</c:f>
              <c:strCache>
                <c:ptCount val="1"/>
                <c:pt idx="0">
                  <c:v>2+3(50)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'2008~Q'!$B$33:$AL$33</c:f>
              <c:numCache>
                <c:formatCode>General</c:formatCode>
                <c:ptCount val="37"/>
                <c:pt idx="0">
                  <c:v>0.78</c:v>
                </c:pt>
                <c:pt idx="1">
                  <c:v>0.84</c:v>
                </c:pt>
                <c:pt idx="2">
                  <c:v>0.84</c:v>
                </c:pt>
                <c:pt idx="3">
                  <c:v>0.62</c:v>
                </c:pt>
                <c:pt idx="4">
                  <c:v>0.72</c:v>
                </c:pt>
                <c:pt idx="5">
                  <c:v>0.89999999999999991</c:v>
                </c:pt>
                <c:pt idx="6">
                  <c:v>0.86</c:v>
                </c:pt>
                <c:pt idx="7">
                  <c:v>0.88</c:v>
                </c:pt>
                <c:pt idx="8">
                  <c:v>0.84</c:v>
                </c:pt>
                <c:pt idx="9">
                  <c:v>0.78</c:v>
                </c:pt>
                <c:pt idx="10">
                  <c:v>0.91999999999999993</c:v>
                </c:pt>
                <c:pt idx="11">
                  <c:v>0.91999999999999993</c:v>
                </c:pt>
                <c:pt idx="12">
                  <c:v>0.88</c:v>
                </c:pt>
                <c:pt idx="13">
                  <c:v>0.84000000000000008</c:v>
                </c:pt>
                <c:pt idx="14">
                  <c:v>0.82000000000000006</c:v>
                </c:pt>
                <c:pt idx="15">
                  <c:v>0.82000000000000006</c:v>
                </c:pt>
                <c:pt idx="16">
                  <c:v>0.82000000000000006</c:v>
                </c:pt>
                <c:pt idx="17">
                  <c:v>0.8600000000000001</c:v>
                </c:pt>
                <c:pt idx="18">
                  <c:v>0.8600000000000001</c:v>
                </c:pt>
                <c:pt idx="19">
                  <c:v>0.84000000000000008</c:v>
                </c:pt>
                <c:pt idx="20">
                  <c:v>0.78</c:v>
                </c:pt>
                <c:pt idx="21">
                  <c:v>0.84000000000000008</c:v>
                </c:pt>
                <c:pt idx="22">
                  <c:v>0.8</c:v>
                </c:pt>
                <c:pt idx="23">
                  <c:v>0.82000000000000006</c:v>
                </c:pt>
                <c:pt idx="24">
                  <c:v>0.86</c:v>
                </c:pt>
                <c:pt idx="25">
                  <c:v>0.84</c:v>
                </c:pt>
                <c:pt idx="26">
                  <c:v>0.78</c:v>
                </c:pt>
                <c:pt idx="27">
                  <c:v>0.78</c:v>
                </c:pt>
                <c:pt idx="28">
                  <c:v>0.89999999999999991</c:v>
                </c:pt>
                <c:pt idx="29">
                  <c:v>0.74</c:v>
                </c:pt>
                <c:pt idx="30">
                  <c:v>0.7</c:v>
                </c:pt>
                <c:pt idx="31">
                  <c:v>0.72</c:v>
                </c:pt>
                <c:pt idx="32">
                  <c:v>0.64</c:v>
                </c:pt>
                <c:pt idx="33">
                  <c:v>0.62</c:v>
                </c:pt>
                <c:pt idx="34">
                  <c:v>0.74</c:v>
                </c:pt>
                <c:pt idx="35">
                  <c:v>0.76</c:v>
                </c:pt>
                <c:pt idx="36">
                  <c:v>0.64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6B-48C2-80FA-8CD35CCC0BF0}"/>
            </c:ext>
          </c:extLst>
        </c:ser>
        <c:ser>
          <c:idx val="0"/>
          <c:order val="1"/>
          <c:tx>
            <c:strRef>
              <c:f>'2008~Q'!$A$9</c:f>
              <c:strCache>
                <c:ptCount val="1"/>
                <c:pt idx="0">
                  <c:v>2+3(200)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'2008~Q'!$B$9:$AL$9</c:f>
              <c:numCache>
                <c:formatCode>General</c:formatCode>
                <c:ptCount val="37"/>
                <c:pt idx="0">
                  <c:v>0.71</c:v>
                </c:pt>
                <c:pt idx="1">
                  <c:v>0.72500000000000009</c:v>
                </c:pt>
                <c:pt idx="2">
                  <c:v>0.7</c:v>
                </c:pt>
                <c:pt idx="3">
                  <c:v>0.59500000000000008</c:v>
                </c:pt>
                <c:pt idx="4">
                  <c:v>0.60499999999999998</c:v>
                </c:pt>
                <c:pt idx="5">
                  <c:v>0.68500000000000005</c:v>
                </c:pt>
                <c:pt idx="6">
                  <c:v>0.73</c:v>
                </c:pt>
                <c:pt idx="7">
                  <c:v>0.77500000000000002</c:v>
                </c:pt>
                <c:pt idx="8">
                  <c:v>0.74</c:v>
                </c:pt>
                <c:pt idx="9">
                  <c:v>0.72499999999999998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0.745</c:v>
                </c:pt>
                <c:pt idx="13">
                  <c:v>0.72499999999999998</c:v>
                </c:pt>
                <c:pt idx="14">
                  <c:v>0.7</c:v>
                </c:pt>
                <c:pt idx="15">
                  <c:v>0.69</c:v>
                </c:pt>
                <c:pt idx="16">
                  <c:v>0.71</c:v>
                </c:pt>
                <c:pt idx="17">
                  <c:v>0.70500000000000007</c:v>
                </c:pt>
                <c:pt idx="18">
                  <c:v>0.71</c:v>
                </c:pt>
                <c:pt idx="19">
                  <c:v>0.69</c:v>
                </c:pt>
                <c:pt idx="20">
                  <c:v>0.67500000000000004</c:v>
                </c:pt>
                <c:pt idx="21">
                  <c:v>0.73</c:v>
                </c:pt>
                <c:pt idx="22">
                  <c:v>0.72</c:v>
                </c:pt>
                <c:pt idx="23">
                  <c:v>0.69500000000000006</c:v>
                </c:pt>
                <c:pt idx="24">
                  <c:v>0.70500000000000007</c:v>
                </c:pt>
                <c:pt idx="25">
                  <c:v>0.68500000000000005</c:v>
                </c:pt>
                <c:pt idx="26">
                  <c:v>0.69500000000000006</c:v>
                </c:pt>
                <c:pt idx="27">
                  <c:v>0.68500000000000005</c:v>
                </c:pt>
                <c:pt idx="28">
                  <c:v>0.67500000000000004</c:v>
                </c:pt>
                <c:pt idx="29">
                  <c:v>0.62</c:v>
                </c:pt>
                <c:pt idx="30">
                  <c:v>0.61</c:v>
                </c:pt>
                <c:pt idx="31">
                  <c:v>0.64500000000000002</c:v>
                </c:pt>
                <c:pt idx="32">
                  <c:v>0.60499999999999998</c:v>
                </c:pt>
                <c:pt idx="33">
                  <c:v>0.65500000000000003</c:v>
                </c:pt>
                <c:pt idx="34">
                  <c:v>0.64</c:v>
                </c:pt>
                <c:pt idx="35">
                  <c:v>0.68500000000000005</c:v>
                </c:pt>
                <c:pt idx="36">
                  <c:v>0.71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76B-48C2-80FA-8CD35CCC0BF0}"/>
            </c:ext>
          </c:extLst>
        </c:ser>
        <c:ser>
          <c:idx val="1"/>
          <c:order val="2"/>
          <c:tx>
            <c:strRef>
              <c:f>'2008~Q'!$A$50</c:f>
              <c:strCache>
                <c:ptCount val="1"/>
                <c:pt idx="0">
                  <c:v>2+3(25)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'2008~Q'!$B$50:$AL$50</c:f>
              <c:numCache>
                <c:formatCode>General</c:formatCode>
                <c:ptCount val="37"/>
                <c:pt idx="0">
                  <c:v>0.8</c:v>
                </c:pt>
                <c:pt idx="1">
                  <c:v>0.88</c:v>
                </c:pt>
                <c:pt idx="2">
                  <c:v>0.8</c:v>
                </c:pt>
                <c:pt idx="3">
                  <c:v>0.68</c:v>
                </c:pt>
                <c:pt idx="4">
                  <c:v>0.8</c:v>
                </c:pt>
                <c:pt idx="5">
                  <c:v>0.96</c:v>
                </c:pt>
                <c:pt idx="6">
                  <c:v>0.96</c:v>
                </c:pt>
                <c:pt idx="7">
                  <c:v>0.96000000000000008</c:v>
                </c:pt>
                <c:pt idx="8">
                  <c:v>0.84000000000000008</c:v>
                </c:pt>
                <c:pt idx="9">
                  <c:v>0.84000000000000008</c:v>
                </c:pt>
                <c:pt idx="10">
                  <c:v>0.88000000000000012</c:v>
                </c:pt>
                <c:pt idx="11">
                  <c:v>0.88</c:v>
                </c:pt>
                <c:pt idx="12">
                  <c:v>0.84</c:v>
                </c:pt>
                <c:pt idx="13">
                  <c:v>0.88000000000000012</c:v>
                </c:pt>
                <c:pt idx="14">
                  <c:v>0.84000000000000008</c:v>
                </c:pt>
                <c:pt idx="15">
                  <c:v>0.88</c:v>
                </c:pt>
                <c:pt idx="16">
                  <c:v>0.88</c:v>
                </c:pt>
                <c:pt idx="17">
                  <c:v>0.88</c:v>
                </c:pt>
                <c:pt idx="18">
                  <c:v>0.88</c:v>
                </c:pt>
                <c:pt idx="19">
                  <c:v>0.88</c:v>
                </c:pt>
                <c:pt idx="20">
                  <c:v>0.84</c:v>
                </c:pt>
                <c:pt idx="21">
                  <c:v>0.88</c:v>
                </c:pt>
                <c:pt idx="22">
                  <c:v>0.84000000000000008</c:v>
                </c:pt>
                <c:pt idx="23">
                  <c:v>0.8</c:v>
                </c:pt>
                <c:pt idx="24">
                  <c:v>0.92</c:v>
                </c:pt>
                <c:pt idx="25">
                  <c:v>0.84</c:v>
                </c:pt>
                <c:pt idx="26">
                  <c:v>0.88</c:v>
                </c:pt>
                <c:pt idx="27">
                  <c:v>0.8</c:v>
                </c:pt>
                <c:pt idx="28">
                  <c:v>0.91999999999999993</c:v>
                </c:pt>
                <c:pt idx="29">
                  <c:v>0.72</c:v>
                </c:pt>
                <c:pt idx="30">
                  <c:v>0.56000000000000005</c:v>
                </c:pt>
                <c:pt idx="31">
                  <c:v>0.52</c:v>
                </c:pt>
                <c:pt idx="32">
                  <c:v>0.6</c:v>
                </c:pt>
                <c:pt idx="33">
                  <c:v>0.6</c:v>
                </c:pt>
                <c:pt idx="34">
                  <c:v>0.68</c:v>
                </c:pt>
                <c:pt idx="35">
                  <c:v>0.76</c:v>
                </c:pt>
                <c:pt idx="36">
                  <c:v>0.52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76B-48C2-80FA-8CD35CCC0BF0}"/>
            </c:ext>
          </c:extLst>
        </c:ser>
        <c:ser>
          <c:idx val="2"/>
          <c:order val="3"/>
          <c:tx>
            <c:v>2+3(100)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'2008~Q'!$B$57:$AL$57</c:f>
              <c:numCache>
                <c:formatCode>General</c:formatCode>
                <c:ptCount val="37"/>
                <c:pt idx="0">
                  <c:v>0.72</c:v>
                </c:pt>
                <c:pt idx="1">
                  <c:v>0.78</c:v>
                </c:pt>
                <c:pt idx="2">
                  <c:v>0.73</c:v>
                </c:pt>
                <c:pt idx="3">
                  <c:v>0.66</c:v>
                </c:pt>
                <c:pt idx="4">
                  <c:v>0.6399999999999999</c:v>
                </c:pt>
                <c:pt idx="5">
                  <c:v>0.77999999999999992</c:v>
                </c:pt>
                <c:pt idx="6">
                  <c:v>0.82</c:v>
                </c:pt>
                <c:pt idx="7">
                  <c:v>0.82</c:v>
                </c:pt>
                <c:pt idx="8">
                  <c:v>0.78</c:v>
                </c:pt>
                <c:pt idx="9">
                  <c:v>0.75</c:v>
                </c:pt>
                <c:pt idx="10">
                  <c:v>0.77</c:v>
                </c:pt>
                <c:pt idx="11">
                  <c:v>0.8</c:v>
                </c:pt>
                <c:pt idx="12">
                  <c:v>0.84</c:v>
                </c:pt>
                <c:pt idx="13">
                  <c:v>0.82000000000000006</c:v>
                </c:pt>
                <c:pt idx="14">
                  <c:v>0.77</c:v>
                </c:pt>
                <c:pt idx="15">
                  <c:v>0.75</c:v>
                </c:pt>
                <c:pt idx="16">
                  <c:v>0.83000000000000007</c:v>
                </c:pt>
                <c:pt idx="17">
                  <c:v>0.8</c:v>
                </c:pt>
                <c:pt idx="18">
                  <c:v>0.79</c:v>
                </c:pt>
                <c:pt idx="19">
                  <c:v>0.81</c:v>
                </c:pt>
                <c:pt idx="20">
                  <c:v>0.79</c:v>
                </c:pt>
                <c:pt idx="21">
                  <c:v>0.77</c:v>
                </c:pt>
                <c:pt idx="22">
                  <c:v>0.79</c:v>
                </c:pt>
                <c:pt idx="23">
                  <c:v>0.79</c:v>
                </c:pt>
                <c:pt idx="24">
                  <c:v>0.81</c:v>
                </c:pt>
                <c:pt idx="25">
                  <c:v>0.8</c:v>
                </c:pt>
                <c:pt idx="26">
                  <c:v>0.79</c:v>
                </c:pt>
                <c:pt idx="27">
                  <c:v>0.79</c:v>
                </c:pt>
                <c:pt idx="28">
                  <c:v>0.78</c:v>
                </c:pt>
                <c:pt idx="29">
                  <c:v>0.69000000000000006</c:v>
                </c:pt>
                <c:pt idx="30">
                  <c:v>0.67999999999999994</c:v>
                </c:pt>
                <c:pt idx="31">
                  <c:v>0.65999999999999992</c:v>
                </c:pt>
                <c:pt idx="32">
                  <c:v>0.64999999999999991</c:v>
                </c:pt>
                <c:pt idx="33">
                  <c:v>0.67</c:v>
                </c:pt>
                <c:pt idx="34">
                  <c:v>0.68</c:v>
                </c:pt>
                <c:pt idx="35">
                  <c:v>0.72</c:v>
                </c:pt>
                <c:pt idx="36">
                  <c:v>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72-4155-AB24-DF5C0719C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대형주비중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'2008~Q'!$A$29</c:f>
              <c:strCache>
                <c:ptCount val="1"/>
                <c:pt idx="0">
                  <c:v>1(50)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'2008~Q'!$B$29:$AL$29</c:f>
              <c:numCache>
                <c:formatCode>General</c:formatCode>
                <c:ptCount val="37"/>
                <c:pt idx="0">
                  <c:v>0.08</c:v>
                </c:pt>
                <c:pt idx="1">
                  <c:v>0.06</c:v>
                </c:pt>
                <c:pt idx="2">
                  <c:v>0.06</c:v>
                </c:pt>
                <c:pt idx="3">
                  <c:v>0.32</c:v>
                </c:pt>
                <c:pt idx="4">
                  <c:v>0.16</c:v>
                </c:pt>
                <c:pt idx="5">
                  <c:v>0.02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0.08</c:v>
                </c:pt>
                <c:pt idx="10">
                  <c:v>0</c:v>
                </c:pt>
                <c:pt idx="11">
                  <c:v>0.02</c:v>
                </c:pt>
                <c:pt idx="12">
                  <c:v>0.06</c:v>
                </c:pt>
                <c:pt idx="13">
                  <c:v>0.06</c:v>
                </c:pt>
                <c:pt idx="14">
                  <c:v>0.1</c:v>
                </c:pt>
                <c:pt idx="15">
                  <c:v>0.06</c:v>
                </c:pt>
                <c:pt idx="16">
                  <c:v>0.1</c:v>
                </c:pt>
                <c:pt idx="17">
                  <c:v>0.08</c:v>
                </c:pt>
                <c:pt idx="18">
                  <c:v>0.06</c:v>
                </c:pt>
                <c:pt idx="19">
                  <c:v>0.1</c:v>
                </c:pt>
                <c:pt idx="20">
                  <c:v>0.06</c:v>
                </c:pt>
                <c:pt idx="21">
                  <c:v>0.06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0.06</c:v>
                </c:pt>
                <c:pt idx="26">
                  <c:v>0.04</c:v>
                </c:pt>
                <c:pt idx="27">
                  <c:v>0.08</c:v>
                </c:pt>
                <c:pt idx="28">
                  <c:v>0.06</c:v>
                </c:pt>
                <c:pt idx="29">
                  <c:v>0.1</c:v>
                </c:pt>
                <c:pt idx="30">
                  <c:v>0.12</c:v>
                </c:pt>
                <c:pt idx="31">
                  <c:v>0.1</c:v>
                </c:pt>
                <c:pt idx="32">
                  <c:v>0.16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D7-4DCB-9DB2-5A5AE8837085}"/>
            </c:ext>
          </c:extLst>
        </c:ser>
        <c:ser>
          <c:idx val="0"/>
          <c:order val="1"/>
          <c:tx>
            <c:strRef>
              <c:f>'2008~Q'!$A$5</c:f>
              <c:strCache>
                <c:ptCount val="1"/>
                <c:pt idx="0">
                  <c:v>1(200)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'2008~Q'!$B$5:$AL$5</c:f>
              <c:numCache>
                <c:formatCode>General</c:formatCode>
                <c:ptCount val="37"/>
                <c:pt idx="0">
                  <c:v>0.14000000000000001</c:v>
                </c:pt>
                <c:pt idx="1">
                  <c:v>0.11</c:v>
                </c:pt>
                <c:pt idx="2">
                  <c:v>0.16500000000000001</c:v>
                </c:pt>
                <c:pt idx="3">
                  <c:v>0.28999999999999998</c:v>
                </c:pt>
                <c:pt idx="4">
                  <c:v>0.30499999999999999</c:v>
                </c:pt>
                <c:pt idx="5">
                  <c:v>0.17</c:v>
                </c:pt>
                <c:pt idx="6">
                  <c:v>0.13</c:v>
                </c:pt>
                <c:pt idx="7">
                  <c:v>0.12</c:v>
                </c:pt>
                <c:pt idx="8">
                  <c:v>0.125</c:v>
                </c:pt>
                <c:pt idx="9">
                  <c:v>0.16</c:v>
                </c:pt>
                <c:pt idx="10">
                  <c:v>0.125</c:v>
                </c:pt>
                <c:pt idx="11">
                  <c:v>0.11</c:v>
                </c:pt>
                <c:pt idx="12">
                  <c:v>0.12</c:v>
                </c:pt>
                <c:pt idx="13">
                  <c:v>0.12</c:v>
                </c:pt>
                <c:pt idx="14">
                  <c:v>0.13500000000000001</c:v>
                </c:pt>
                <c:pt idx="15">
                  <c:v>0.155</c:v>
                </c:pt>
                <c:pt idx="16">
                  <c:v>0.16</c:v>
                </c:pt>
                <c:pt idx="17">
                  <c:v>0.16</c:v>
                </c:pt>
                <c:pt idx="18">
                  <c:v>0.16</c:v>
                </c:pt>
                <c:pt idx="19">
                  <c:v>0.18</c:v>
                </c:pt>
                <c:pt idx="20">
                  <c:v>0.155</c:v>
                </c:pt>
                <c:pt idx="21">
                  <c:v>0.14499999999999999</c:v>
                </c:pt>
                <c:pt idx="22">
                  <c:v>0.125</c:v>
                </c:pt>
                <c:pt idx="23">
                  <c:v>0.14499999999999999</c:v>
                </c:pt>
                <c:pt idx="24">
                  <c:v>0.14499999999999999</c:v>
                </c:pt>
                <c:pt idx="25">
                  <c:v>0.125</c:v>
                </c:pt>
                <c:pt idx="26">
                  <c:v>0.115</c:v>
                </c:pt>
                <c:pt idx="27">
                  <c:v>0.13500000000000001</c:v>
                </c:pt>
                <c:pt idx="28">
                  <c:v>0.15</c:v>
                </c:pt>
                <c:pt idx="29">
                  <c:v>0.15</c:v>
                </c:pt>
                <c:pt idx="30">
                  <c:v>0.16500000000000001</c:v>
                </c:pt>
                <c:pt idx="31">
                  <c:v>0.14499999999999999</c:v>
                </c:pt>
                <c:pt idx="32">
                  <c:v>0.155</c:v>
                </c:pt>
                <c:pt idx="33">
                  <c:v>0.14000000000000001</c:v>
                </c:pt>
                <c:pt idx="34">
                  <c:v>0.13500000000000001</c:v>
                </c:pt>
                <c:pt idx="35">
                  <c:v>0.125</c:v>
                </c:pt>
                <c:pt idx="36">
                  <c:v>0.13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D7-4DCB-9DB2-5A5AE8837085}"/>
            </c:ext>
          </c:extLst>
        </c:ser>
        <c:ser>
          <c:idx val="1"/>
          <c:order val="2"/>
          <c:tx>
            <c:strRef>
              <c:f>'2008~Q'!$A$46</c:f>
              <c:strCache>
                <c:ptCount val="1"/>
                <c:pt idx="0">
                  <c:v>1(25)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'2008~Q'!$B$46:$AL$46</c:f>
              <c:numCache>
                <c:formatCode>General</c:formatCode>
                <c:ptCount val="37"/>
                <c:pt idx="0">
                  <c:v>0.04</c:v>
                </c:pt>
                <c:pt idx="1">
                  <c:v>0.04</c:v>
                </c:pt>
                <c:pt idx="2">
                  <c:v>0.08</c:v>
                </c:pt>
                <c:pt idx="3">
                  <c:v>0.28000000000000003</c:v>
                </c:pt>
                <c:pt idx="4">
                  <c:v>0.12</c:v>
                </c:pt>
                <c:pt idx="5">
                  <c:v>0.04</c:v>
                </c:pt>
                <c:pt idx="6">
                  <c:v>0</c:v>
                </c:pt>
                <c:pt idx="7">
                  <c:v>0.04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0.12</c:v>
                </c:pt>
                <c:pt idx="15">
                  <c:v>0.04</c:v>
                </c:pt>
                <c:pt idx="16">
                  <c:v>0.12</c:v>
                </c:pt>
                <c:pt idx="17">
                  <c:v>0.08</c:v>
                </c:pt>
                <c:pt idx="18">
                  <c:v>0.04</c:v>
                </c:pt>
                <c:pt idx="19">
                  <c:v>0.08</c:v>
                </c:pt>
                <c:pt idx="20">
                  <c:v>0.04</c:v>
                </c:pt>
                <c:pt idx="21">
                  <c:v>0.04</c:v>
                </c:pt>
                <c:pt idx="22">
                  <c:v>0.08</c:v>
                </c:pt>
                <c:pt idx="23">
                  <c:v>0.08</c:v>
                </c:pt>
                <c:pt idx="24">
                  <c:v>0.04</c:v>
                </c:pt>
                <c:pt idx="25">
                  <c:v>0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0.16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0.16</c:v>
                </c:pt>
                <c:pt idx="34">
                  <c:v>0.12</c:v>
                </c:pt>
                <c:pt idx="35">
                  <c:v>0.12</c:v>
                </c:pt>
                <c:pt idx="3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DCB-9DB2-5A5AE8837085}"/>
            </c:ext>
          </c:extLst>
        </c:ser>
        <c:ser>
          <c:idx val="2"/>
          <c:order val="3"/>
          <c:tx>
            <c:v>1(100)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'2008~Q'!$B$53:$AL$53</c:f>
              <c:numCache>
                <c:formatCode>General</c:formatCode>
                <c:ptCount val="37"/>
                <c:pt idx="0">
                  <c:v>0.12</c:v>
                </c:pt>
                <c:pt idx="1">
                  <c:v>0.11</c:v>
                </c:pt>
                <c:pt idx="2">
                  <c:v>0.15</c:v>
                </c:pt>
                <c:pt idx="3">
                  <c:v>0.26</c:v>
                </c:pt>
                <c:pt idx="4">
                  <c:v>0.26</c:v>
                </c:pt>
                <c:pt idx="5">
                  <c:v>0.1</c:v>
                </c:pt>
                <c:pt idx="6">
                  <c:v>0.08</c:v>
                </c:pt>
                <c:pt idx="7">
                  <c:v>0.09</c:v>
                </c:pt>
                <c:pt idx="8">
                  <c:v>0.09</c:v>
                </c:pt>
                <c:pt idx="9">
                  <c:v>0.12</c:v>
                </c:pt>
                <c:pt idx="10">
                  <c:v>0.08</c:v>
                </c:pt>
                <c:pt idx="11">
                  <c:v>0.08</c:v>
                </c:pt>
                <c:pt idx="12">
                  <c:v>0.06</c:v>
                </c:pt>
                <c:pt idx="13">
                  <c:v>7.0000000000000007E-2</c:v>
                </c:pt>
                <c:pt idx="14">
                  <c:v>0.12</c:v>
                </c:pt>
                <c:pt idx="15">
                  <c:v>0.15</c:v>
                </c:pt>
                <c:pt idx="16">
                  <c:v>0.09</c:v>
                </c:pt>
                <c:pt idx="17">
                  <c:v>0.09</c:v>
                </c:pt>
                <c:pt idx="18">
                  <c:v>7.0000000000000007E-2</c:v>
                </c:pt>
                <c:pt idx="19">
                  <c:v>0.1</c:v>
                </c:pt>
                <c:pt idx="20">
                  <c:v>0.08</c:v>
                </c:pt>
                <c:pt idx="21">
                  <c:v>0.1</c:v>
                </c:pt>
                <c:pt idx="22">
                  <c:v>0.08</c:v>
                </c:pt>
                <c:pt idx="23">
                  <c:v>0.09</c:v>
                </c:pt>
                <c:pt idx="24">
                  <c:v>0.12</c:v>
                </c:pt>
                <c:pt idx="25">
                  <c:v>0.1</c:v>
                </c:pt>
                <c:pt idx="26">
                  <c:v>0.06</c:v>
                </c:pt>
                <c:pt idx="27">
                  <c:v>0.09</c:v>
                </c:pt>
                <c:pt idx="28">
                  <c:v>0.13</c:v>
                </c:pt>
                <c:pt idx="29">
                  <c:v>0.15</c:v>
                </c:pt>
                <c:pt idx="30">
                  <c:v>0.16</c:v>
                </c:pt>
                <c:pt idx="31">
                  <c:v>0.15</c:v>
                </c:pt>
                <c:pt idx="32">
                  <c:v>0.15</c:v>
                </c:pt>
                <c:pt idx="33">
                  <c:v>0.15</c:v>
                </c:pt>
                <c:pt idx="34">
                  <c:v>0.16</c:v>
                </c:pt>
                <c:pt idx="35">
                  <c:v>0.13</c:v>
                </c:pt>
                <c:pt idx="36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02-4159-AC29-116D2B21E3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9077727"/>
        <c:axId val="1009077311"/>
      </c:lineChart>
      <c:catAx>
        <c:axId val="1009077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311"/>
        <c:crosses val="autoZero"/>
        <c:auto val="1"/>
        <c:lblAlgn val="ctr"/>
        <c:lblOffset val="100"/>
        <c:noMultiLvlLbl val="0"/>
      </c:catAx>
      <c:valAx>
        <c:axId val="100907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90777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누적수익률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'2008~Q'!$A$2</c:f>
              <c:strCache>
                <c:ptCount val="1"/>
                <c:pt idx="0">
                  <c:v>kospi+kosdaq_fwd(200)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'2008~Q'!$A$35:$AL$35</c:f>
              <c:numCache>
                <c:formatCode>General</c:formatCode>
                <c:ptCount val="38"/>
                <c:pt idx="0">
                  <c:v>100</c:v>
                </c:pt>
                <c:pt idx="1">
                  <c:v>107.006054402041</c:v>
                </c:pt>
                <c:pt idx="2">
                  <c:v>87.352009428061848</c:v>
                </c:pt>
                <c:pt idx="3">
                  <c:v>57.780224321713398</c:v>
                </c:pt>
                <c:pt idx="4">
                  <c:v>61.446758984221866</c:v>
                </c:pt>
                <c:pt idx="5">
                  <c:v>86.348061629379643</c:v>
                </c:pt>
                <c:pt idx="6">
                  <c:v>92.592767681938284</c:v>
                </c:pt>
                <c:pt idx="7">
                  <c:v>87.34536808912722</c:v>
                </c:pt>
                <c:pt idx="8">
                  <c:v>88.545114731248972</c:v>
                </c:pt>
                <c:pt idx="9">
                  <c:v>89.501928061368758</c:v>
                </c:pt>
                <c:pt idx="10">
                  <c:v>94.934777857184898</c:v>
                </c:pt>
                <c:pt idx="11">
                  <c:v>105.88326231048192</c:v>
                </c:pt>
                <c:pt idx="12">
                  <c:v>103.03946554145125</c:v>
                </c:pt>
                <c:pt idx="13">
                  <c:v>109.62100838778692</c:v>
                </c:pt>
                <c:pt idx="14">
                  <c:v>107.95942315493073</c:v>
                </c:pt>
                <c:pt idx="15">
                  <c:v>98.492858141038155</c:v>
                </c:pt>
                <c:pt idx="16">
                  <c:v>114.80288764236745</c:v>
                </c:pt>
                <c:pt idx="17">
                  <c:v>96.695489793309591</c:v>
                </c:pt>
                <c:pt idx="18">
                  <c:v>102.28839866568491</c:v>
                </c:pt>
                <c:pt idx="19">
                  <c:v>108.96497319117633</c:v>
                </c:pt>
                <c:pt idx="20">
                  <c:v>117.9527675266613</c:v>
                </c:pt>
                <c:pt idx="21">
                  <c:v>130.78641124187271</c:v>
                </c:pt>
                <c:pt idx="22">
                  <c:v>126.41393559527151</c:v>
                </c:pt>
                <c:pt idx="23">
                  <c:v>131.67816190054475</c:v>
                </c:pt>
                <c:pt idx="24">
                  <c:v>136.89414368749595</c:v>
                </c:pt>
                <c:pt idx="25">
                  <c:v>145.73946208491097</c:v>
                </c:pt>
                <c:pt idx="26">
                  <c:v>158.33855094955658</c:v>
                </c:pt>
                <c:pt idx="27">
                  <c:v>149.60079984333555</c:v>
                </c:pt>
                <c:pt idx="28">
                  <c:v>158.78379750286493</c:v>
                </c:pt>
                <c:pt idx="29">
                  <c:v>181.95239112249979</c:v>
                </c:pt>
                <c:pt idx="30">
                  <c:v>168.00476068867169</c:v>
                </c:pt>
                <c:pt idx="31">
                  <c:v>167.45127672527676</c:v>
                </c:pt>
                <c:pt idx="32">
                  <c:v>162.44819821988972</c:v>
                </c:pt>
                <c:pt idx="33">
                  <c:v>172.6631314206993</c:v>
                </c:pt>
                <c:pt idx="34">
                  <c:v>175.2658225226017</c:v>
                </c:pt>
                <c:pt idx="35">
                  <c:v>172.94978988303393</c:v>
                </c:pt>
                <c:pt idx="36">
                  <c:v>178.28697912541892</c:v>
                </c:pt>
                <c:pt idx="37">
                  <c:v>192.14841740301662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6-4BDC-B002-DAC4B5172A6E}"/>
            </c:ext>
          </c:extLst>
        </c:ser>
        <c:ser>
          <c:idx val="1"/>
          <c:order val="1"/>
          <c:tx>
            <c:strRef>
              <c:f>'2008~Q'!$A$26</c:f>
              <c:strCache>
                <c:ptCount val="1"/>
                <c:pt idx="0">
                  <c:v>kospi+kosdaq_fwd(50)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'2008~Q'!$B$1:$AL$1</c:f>
              <c:numCache>
                <c:formatCode>General</c:formatCode>
                <c:ptCount val="37"/>
                <c:pt idx="0">
                  <c:v>20080530</c:v>
                </c:pt>
                <c:pt idx="1">
                  <c:v>20080829</c:v>
                </c:pt>
                <c:pt idx="2">
                  <c:v>20081128</c:v>
                </c:pt>
                <c:pt idx="3">
                  <c:v>20090227</c:v>
                </c:pt>
                <c:pt idx="4">
                  <c:v>20090529</c:v>
                </c:pt>
                <c:pt idx="5">
                  <c:v>20090831</c:v>
                </c:pt>
                <c:pt idx="6">
                  <c:v>20091130</c:v>
                </c:pt>
                <c:pt idx="7">
                  <c:v>20100226</c:v>
                </c:pt>
                <c:pt idx="8">
                  <c:v>20100531</c:v>
                </c:pt>
                <c:pt idx="9">
                  <c:v>20100831</c:v>
                </c:pt>
                <c:pt idx="10">
                  <c:v>20101130</c:v>
                </c:pt>
                <c:pt idx="11">
                  <c:v>20110228</c:v>
                </c:pt>
                <c:pt idx="12">
                  <c:v>20110531</c:v>
                </c:pt>
                <c:pt idx="13">
                  <c:v>20110831</c:v>
                </c:pt>
                <c:pt idx="14">
                  <c:v>20111130</c:v>
                </c:pt>
                <c:pt idx="15">
                  <c:v>20120229</c:v>
                </c:pt>
                <c:pt idx="16">
                  <c:v>20120531</c:v>
                </c:pt>
                <c:pt idx="17">
                  <c:v>20120831</c:v>
                </c:pt>
                <c:pt idx="18">
                  <c:v>20121130</c:v>
                </c:pt>
                <c:pt idx="19">
                  <c:v>20130228</c:v>
                </c:pt>
                <c:pt idx="20">
                  <c:v>20130531</c:v>
                </c:pt>
                <c:pt idx="21">
                  <c:v>20130830</c:v>
                </c:pt>
                <c:pt idx="22">
                  <c:v>20131129</c:v>
                </c:pt>
                <c:pt idx="23">
                  <c:v>20140228</c:v>
                </c:pt>
                <c:pt idx="24">
                  <c:v>20140530</c:v>
                </c:pt>
                <c:pt idx="25">
                  <c:v>20140829</c:v>
                </c:pt>
                <c:pt idx="26">
                  <c:v>20141128</c:v>
                </c:pt>
                <c:pt idx="27">
                  <c:v>20150227</c:v>
                </c:pt>
                <c:pt idx="28">
                  <c:v>20150529</c:v>
                </c:pt>
                <c:pt idx="29">
                  <c:v>20150831</c:v>
                </c:pt>
                <c:pt idx="30">
                  <c:v>20151130</c:v>
                </c:pt>
                <c:pt idx="31">
                  <c:v>20160229</c:v>
                </c:pt>
                <c:pt idx="32">
                  <c:v>20160531</c:v>
                </c:pt>
                <c:pt idx="33">
                  <c:v>20160831</c:v>
                </c:pt>
                <c:pt idx="34">
                  <c:v>20161130</c:v>
                </c:pt>
                <c:pt idx="35">
                  <c:v>20170228</c:v>
                </c:pt>
                <c:pt idx="36">
                  <c:v>20170531</c:v>
                </c:pt>
              </c:numCache>
            </c:numRef>
          </c:cat>
          <c:val>
            <c:numRef>
              <c:f>'2008~Q'!$A$38:$AL$38</c:f>
              <c:numCache>
                <c:formatCode>General</c:formatCode>
                <c:ptCount val="38"/>
                <c:pt idx="0">
                  <c:v>100</c:v>
                </c:pt>
                <c:pt idx="1">
                  <c:v>111.57648362065001</c:v>
                </c:pt>
                <c:pt idx="2">
                  <c:v>89.91318975969665</c:v>
                </c:pt>
                <c:pt idx="3">
                  <c:v>58.371701955889947</c:v>
                </c:pt>
                <c:pt idx="4">
                  <c:v>60.75642849181547</c:v>
                </c:pt>
                <c:pt idx="5">
                  <c:v>87.391099568490148</c:v>
                </c:pt>
                <c:pt idx="6">
                  <c:v>95.340425215077218</c:v>
                </c:pt>
                <c:pt idx="7">
                  <c:v>89.682254340428514</c:v>
                </c:pt>
                <c:pt idx="8">
                  <c:v>87.791028205742364</c:v>
                </c:pt>
                <c:pt idx="9">
                  <c:v>87.638382516535316</c:v>
                </c:pt>
                <c:pt idx="10">
                  <c:v>95.19998280108743</c:v>
                </c:pt>
                <c:pt idx="11">
                  <c:v>105.99976661127016</c:v>
                </c:pt>
                <c:pt idx="12">
                  <c:v>99.824030869506146</c:v>
                </c:pt>
                <c:pt idx="13">
                  <c:v>103.53997836778272</c:v>
                </c:pt>
                <c:pt idx="14">
                  <c:v>107.58896559058876</c:v>
                </c:pt>
                <c:pt idx="15">
                  <c:v>99.992844504657981</c:v>
                </c:pt>
                <c:pt idx="16">
                  <c:v>119.76414268456617</c:v>
                </c:pt>
                <c:pt idx="17">
                  <c:v>102.89999152154188</c:v>
                </c:pt>
                <c:pt idx="18">
                  <c:v>109.06158926155003</c:v>
                </c:pt>
                <c:pt idx="19">
                  <c:v>116.1942786138714</c:v>
                </c:pt>
                <c:pt idx="20">
                  <c:v>127.8894027638063</c:v>
                </c:pt>
                <c:pt idx="21">
                  <c:v>144.77849762601383</c:v>
                </c:pt>
                <c:pt idx="22">
                  <c:v>143.3779536543405</c:v>
                </c:pt>
                <c:pt idx="23">
                  <c:v>146.44624689200543</c:v>
                </c:pt>
                <c:pt idx="24">
                  <c:v>151.62454190936924</c:v>
                </c:pt>
                <c:pt idx="25">
                  <c:v>162.41773055471162</c:v>
                </c:pt>
                <c:pt idx="26">
                  <c:v>183.20304916074005</c:v>
                </c:pt>
                <c:pt idx="27">
                  <c:v>178.27355079672532</c:v>
                </c:pt>
                <c:pt idx="28">
                  <c:v>184.47411448879157</c:v>
                </c:pt>
                <c:pt idx="29">
                  <c:v>205.75614364038938</c:v>
                </c:pt>
                <c:pt idx="30">
                  <c:v>198.71798392954867</c:v>
                </c:pt>
                <c:pt idx="31">
                  <c:v>196.30012028727205</c:v>
                </c:pt>
                <c:pt idx="32">
                  <c:v>185.98121154231112</c:v>
                </c:pt>
                <c:pt idx="33">
                  <c:v>196.48387592194177</c:v>
                </c:pt>
                <c:pt idx="34">
                  <c:v>200.18709937052515</c:v>
                </c:pt>
                <c:pt idx="35">
                  <c:v>197.88662056172419</c:v>
                </c:pt>
                <c:pt idx="36">
                  <c:v>200.80231964425204</c:v>
                </c:pt>
                <c:pt idx="37">
                  <c:v>219.91212505533636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36-4BDC-B002-DAC4B5172A6E}"/>
            </c:ext>
          </c:extLst>
        </c:ser>
        <c:ser>
          <c:idx val="2"/>
          <c:order val="2"/>
          <c:tx>
            <c:strRef>
              <c:f>'2008~Q'!$A$10</c:f>
              <c:strCache>
                <c:ptCount val="1"/>
                <c:pt idx="0">
                  <c:v>kospi+kosdaq_fwd(100)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'2008~Q'!$A$36:$AL$36</c:f>
              <c:numCache>
                <c:formatCode>General</c:formatCode>
                <c:ptCount val="38"/>
                <c:pt idx="0">
                  <c:v>100</c:v>
                </c:pt>
                <c:pt idx="1">
                  <c:v>108.14631029820301</c:v>
                </c:pt>
                <c:pt idx="2">
                  <c:v>89.4926992054625</c:v>
                </c:pt>
                <c:pt idx="3">
                  <c:v>56.820772118209497</c:v>
                </c:pt>
                <c:pt idx="4">
                  <c:v>59.808923871242776</c:v>
                </c:pt>
                <c:pt idx="5">
                  <c:v>85.438672397674154</c:v>
                </c:pt>
                <c:pt idx="6">
                  <c:v>90.176595624193595</c:v>
                </c:pt>
                <c:pt idx="7">
                  <c:v>85.34474655170844</c:v>
                </c:pt>
                <c:pt idx="8">
                  <c:v>84.916388163841376</c:v>
                </c:pt>
                <c:pt idx="9">
                  <c:v>84.123855988648586</c:v>
                </c:pt>
                <c:pt idx="10">
                  <c:v>90.437614804413187</c:v>
                </c:pt>
                <c:pt idx="11">
                  <c:v>102.15633851443998</c:v>
                </c:pt>
                <c:pt idx="12">
                  <c:v>97.488214750926915</c:v>
                </c:pt>
                <c:pt idx="13">
                  <c:v>102.24032295568979</c:v>
                </c:pt>
                <c:pt idx="14">
                  <c:v>102.07137831565989</c:v>
                </c:pt>
                <c:pt idx="15">
                  <c:v>92.365285006088243</c:v>
                </c:pt>
                <c:pt idx="16">
                  <c:v>108.03805942464044</c:v>
                </c:pt>
                <c:pt idx="17">
                  <c:v>91.728760242903078</c:v>
                </c:pt>
                <c:pt idx="18">
                  <c:v>97.768109905205989</c:v>
                </c:pt>
                <c:pt idx="19">
                  <c:v>104.19178538387251</c:v>
                </c:pt>
                <c:pt idx="20">
                  <c:v>112.94266736355479</c:v>
                </c:pt>
                <c:pt idx="21">
                  <c:v>128.00784218283562</c:v>
                </c:pt>
                <c:pt idx="22">
                  <c:v>125.03891441153209</c:v>
                </c:pt>
                <c:pt idx="23">
                  <c:v>127.48816558281806</c:v>
                </c:pt>
                <c:pt idx="24">
                  <c:v>131.57822573058266</c:v>
                </c:pt>
                <c:pt idx="25">
                  <c:v>138.80363956028305</c:v>
                </c:pt>
                <c:pt idx="26">
                  <c:v>155.43675909910519</c:v>
                </c:pt>
                <c:pt idx="27">
                  <c:v>147.52424915149669</c:v>
                </c:pt>
                <c:pt idx="28">
                  <c:v>155.05830603234199</c:v>
                </c:pt>
                <c:pt idx="29">
                  <c:v>172.9048894312977</c:v>
                </c:pt>
                <c:pt idx="30">
                  <c:v>160.30875943504478</c:v>
                </c:pt>
                <c:pt idx="31">
                  <c:v>158.24423760848128</c:v>
                </c:pt>
                <c:pt idx="32">
                  <c:v>153.99835328077424</c:v>
                </c:pt>
                <c:pt idx="33">
                  <c:v>162.56049481480969</c:v>
                </c:pt>
                <c:pt idx="34">
                  <c:v>165.04295489662113</c:v>
                </c:pt>
                <c:pt idx="35">
                  <c:v>164.6844956076304</c:v>
                </c:pt>
                <c:pt idx="36">
                  <c:v>169.24240385082166</c:v>
                </c:pt>
                <c:pt idx="37">
                  <c:v>184.4784186576054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36-4BDC-B002-DAC4B5172A6E}"/>
            </c:ext>
          </c:extLst>
        </c:ser>
        <c:ser>
          <c:idx val="3"/>
          <c:order val="3"/>
          <c:tx>
            <c:strRef>
              <c:f>'2008~Q'!$A$18</c:f>
              <c:strCache>
                <c:ptCount val="1"/>
                <c:pt idx="0">
                  <c:v>kospi+kosdaq_fwd(75)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'2008~Q'!$A$37:$AL$37</c:f>
              <c:numCache>
                <c:formatCode>General</c:formatCode>
                <c:ptCount val="38"/>
                <c:pt idx="0">
                  <c:v>100</c:v>
                </c:pt>
                <c:pt idx="1">
                  <c:v>110.956436321372</c:v>
                </c:pt>
                <c:pt idx="2">
                  <c:v>90.25224057877756</c:v>
                </c:pt>
                <c:pt idx="3">
                  <c:v>57.508706530537367</c:v>
                </c:pt>
                <c:pt idx="4">
                  <c:v>60.673413405476943</c:v>
                </c:pt>
                <c:pt idx="5">
                  <c:v>85.613272868543334</c:v>
                </c:pt>
                <c:pt idx="6">
                  <c:v>90.780521455484291</c:v>
                </c:pt>
                <c:pt idx="7">
                  <c:v>86.534698955725403</c:v>
                </c:pt>
                <c:pt idx="8">
                  <c:v>84.619328321198708</c:v>
                </c:pt>
                <c:pt idx="9">
                  <c:v>83.256459728580111</c:v>
                </c:pt>
                <c:pt idx="10">
                  <c:v>89.558917298445564</c:v>
                </c:pt>
                <c:pt idx="11">
                  <c:v>98.849561848127593</c:v>
                </c:pt>
                <c:pt idx="12">
                  <c:v>95.081713476436306</c:v>
                </c:pt>
                <c:pt idx="13">
                  <c:v>98.605948788192336</c:v>
                </c:pt>
                <c:pt idx="14">
                  <c:v>99.767520183612831</c:v>
                </c:pt>
                <c:pt idx="15">
                  <c:v>91.040076454032643</c:v>
                </c:pt>
                <c:pt idx="16">
                  <c:v>107.57345010029357</c:v>
                </c:pt>
                <c:pt idx="17">
                  <c:v>91.132105916719013</c:v>
                </c:pt>
                <c:pt idx="18">
                  <c:v>96.075021207330423</c:v>
                </c:pt>
                <c:pt idx="19">
                  <c:v>103.85364111064581</c:v>
                </c:pt>
                <c:pt idx="20">
                  <c:v>113.29119211851435</c:v>
                </c:pt>
                <c:pt idx="21">
                  <c:v>128.84515920820911</c:v>
                </c:pt>
                <c:pt idx="22">
                  <c:v>126.27040638774022</c:v>
                </c:pt>
                <c:pt idx="23">
                  <c:v>129.46752251486745</c:v>
                </c:pt>
                <c:pt idx="24">
                  <c:v>133.75062530759686</c:v>
                </c:pt>
                <c:pt idx="25">
                  <c:v>141.13547605015387</c:v>
                </c:pt>
                <c:pt idx="26">
                  <c:v>160.70829859397162</c:v>
                </c:pt>
                <c:pt idx="27">
                  <c:v>152.94520164678764</c:v>
                </c:pt>
                <c:pt idx="28">
                  <c:v>160.26942639984281</c:v>
                </c:pt>
                <c:pt idx="29">
                  <c:v>174.74981383741869</c:v>
                </c:pt>
                <c:pt idx="30">
                  <c:v>163.7039172070443</c:v>
                </c:pt>
                <c:pt idx="31">
                  <c:v>161.31100295379596</c:v>
                </c:pt>
                <c:pt idx="32">
                  <c:v>156.16541813624397</c:v>
                </c:pt>
                <c:pt idx="33">
                  <c:v>164.82930231926534</c:v>
                </c:pt>
                <c:pt idx="34">
                  <c:v>168.86747584015134</c:v>
                </c:pt>
                <c:pt idx="35">
                  <c:v>168.35299465064062</c:v>
                </c:pt>
                <c:pt idx="36">
                  <c:v>173.2028680977684</c:v>
                </c:pt>
                <c:pt idx="37">
                  <c:v>187.90902919372434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36-4BDC-B002-DAC4B5172A6E}"/>
            </c:ext>
          </c:extLst>
        </c:ser>
        <c:ser>
          <c:idx val="4"/>
          <c:order val="4"/>
          <c:tx>
            <c:strRef>
              <c:f>'2008~Q'!$A$43</c:f>
              <c:strCache>
                <c:ptCount val="1"/>
                <c:pt idx="0">
                  <c:v>kospi+kosdaq_fwd(25)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'2008~Q'!$A$45:$AL$45</c:f>
              <c:numCache>
                <c:formatCode>General</c:formatCode>
                <c:ptCount val="38"/>
                <c:pt idx="0">
                  <c:v>100</c:v>
                </c:pt>
                <c:pt idx="1">
                  <c:v>110.941348963682</c:v>
                </c:pt>
                <c:pt idx="2">
                  <c:v>88.974850975288348</c:v>
                </c:pt>
                <c:pt idx="3">
                  <c:v>59.470811638904529</c:v>
                </c:pt>
                <c:pt idx="4">
                  <c:v>62.565502768471177</c:v>
                </c:pt>
                <c:pt idx="5">
                  <c:v>96.722265135231481</c:v>
                </c:pt>
                <c:pt idx="6">
                  <c:v>102.27509232919684</c:v>
                </c:pt>
                <c:pt idx="7">
                  <c:v>97.098285398938344</c:v>
                </c:pt>
                <c:pt idx="8">
                  <c:v>98.104782056461147</c:v>
                </c:pt>
                <c:pt idx="9">
                  <c:v>96.782288384250066</c:v>
                </c:pt>
                <c:pt idx="10">
                  <c:v>105.93443638514522</c:v>
                </c:pt>
                <c:pt idx="11">
                  <c:v>120.80536956412759</c:v>
                </c:pt>
                <c:pt idx="12">
                  <c:v>113.39454582067223</c:v>
                </c:pt>
                <c:pt idx="13">
                  <c:v>117.6366126471242</c:v>
                </c:pt>
                <c:pt idx="14">
                  <c:v>124.8105246048587</c:v>
                </c:pt>
                <c:pt idx="15">
                  <c:v>114.95260030511042</c:v>
                </c:pt>
                <c:pt idx="16">
                  <c:v>134.16732306247269</c:v>
                </c:pt>
                <c:pt idx="17">
                  <c:v>115.56307885255404</c:v>
                </c:pt>
                <c:pt idx="18">
                  <c:v>122.02999256839027</c:v>
                </c:pt>
                <c:pt idx="19">
                  <c:v>123.24091820109265</c:v>
                </c:pt>
                <c:pt idx="20">
                  <c:v>135.355759506216</c:v>
                </c:pt>
                <c:pt idx="21">
                  <c:v>156.58136447210561</c:v>
                </c:pt>
                <c:pt idx="22">
                  <c:v>154.71683720286046</c:v>
                </c:pt>
                <c:pt idx="23">
                  <c:v>160.02614640622943</c:v>
                </c:pt>
                <c:pt idx="24">
                  <c:v>173.42017782725503</c:v>
                </c:pt>
                <c:pt idx="25">
                  <c:v>185.57607599457623</c:v>
                </c:pt>
                <c:pt idx="26">
                  <c:v>194.35725270265968</c:v>
                </c:pt>
                <c:pt idx="27">
                  <c:v>188.8957217550826</c:v>
                </c:pt>
                <c:pt idx="28">
                  <c:v>194.49490783126998</c:v>
                </c:pt>
                <c:pt idx="29">
                  <c:v>215.19375328989364</c:v>
                </c:pt>
                <c:pt idx="30">
                  <c:v>203.49397320302657</c:v>
                </c:pt>
                <c:pt idx="31">
                  <c:v>205.61906699605322</c:v>
                </c:pt>
                <c:pt idx="32">
                  <c:v>197.46154707335657</c:v>
                </c:pt>
                <c:pt idx="33">
                  <c:v>210.7459901513958</c:v>
                </c:pt>
                <c:pt idx="34">
                  <c:v>213.30262668983357</c:v>
                </c:pt>
                <c:pt idx="35">
                  <c:v>206.87883055810224</c:v>
                </c:pt>
                <c:pt idx="36">
                  <c:v>202.53722423663783</c:v>
                </c:pt>
                <c:pt idx="37">
                  <c:v>223.23941961480068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36-4BDC-B002-DAC4B5172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230559"/>
        <c:axId val="342230975"/>
      </c:lineChart>
      <c:catAx>
        <c:axId val="342230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975"/>
        <c:crosses val="autoZero"/>
        <c:auto val="1"/>
        <c:lblAlgn val="ctr"/>
        <c:lblOffset val="100"/>
        <c:noMultiLvlLbl val="0"/>
      </c:catAx>
      <c:valAx>
        <c:axId val="342230975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42230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61-47D5-8316-E84AA54CCBC8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61-47D5-8316-E84AA54CC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B9-42C7-B4A6-1BF9B73E019C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B9-42C7-B4A6-1BF9B73E019C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B9-42C7-B4A6-1BF9B73E019C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B9-42C7-B4A6-1BF9B73E0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2A-474E-854C-48685B289E64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2A-474E-854C-48685B289E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1A-434C-98BB-ECE7FD59F19B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1A-434C-98BB-ECE7FD59F19B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1A-434C-98BB-ECE7FD59F19B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1A-434C-98BB-ECE7FD59F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12-4730-BD0F-96B6F48A7A1D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12-4730-BD0F-96B6F48A7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D-4557-83EF-1933708E87DD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D-4557-83EF-1933708E87DD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D-4557-83EF-1933708E87DD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FD-4557-83EF-1933708E8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A-4138-9742-D489E5CE478A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A-4138-9742-D489E5CE4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F-44F9-9879-D6CE7820CB3F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F-44F9-9879-D6CE7820CB3F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F-44F9-9879-D6CE7820CB3F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9F-44F9-9879-D6CE7820CB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0-4861-9A40-CBBA2605806F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0-4861-9A40-CBBA2605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0-4A60-8ED1-822A29946DBC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0-4A60-8ED1-822A29946DBC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B0-4A60-8ED1-822A29946DBC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B0-4A60-8ED1-822A29946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7E-428D-AC39-0103806549E0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7E-428D-AC39-010380654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DB-4972-867C-8ABE225D07FB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DB-4972-867C-8ABE225D07FB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DB-4972-867C-8ABE225D07FB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DB-4972-867C-8ABE225D0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effectLst/>
              <a:latin typeface="+mn-lt"/>
              <a:ea typeface="+mn-ea"/>
              <a:cs typeface="+mn-cs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A91-8B59-3BE53743C4AA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A91-8B59-3BE53743C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99-423B-8338-16CE239750EE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99-423B-8338-16CE239750EE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99-423B-8338-16CE239750EE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99-423B-8338-16CE23975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B4-4080-B049-A9944E2C6DFC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B4-4080-B049-A9944E2C6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9F-46C9-9988-5D6D73B0F687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9F-46C9-9988-5D6D73B0F687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9F-46C9-9988-5D6D73B0F687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9F-46C9-9988-5D6D73B0F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D9-4F53-916A-37CB72C9B2F5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D9-4F53-916A-37CB72C9B2F5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D9-4F53-916A-37CB72C9B2F5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D9-4F53-916A-37CB72C9B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E2-4F9D-AEAE-3DDF87C52563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E2-4F9D-AEAE-3DDF87C52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BM_monthly!$H$23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BM_monthly!$H$24:$H$32</c:f>
              <c:numCache>
                <c:formatCode>General</c:formatCode>
                <c:ptCount val="9"/>
                <c:pt idx="0">
                  <c:v>100</c:v>
                </c:pt>
                <c:pt idx="1">
                  <c:v>100.68716147192191</c:v>
                </c:pt>
                <c:pt idx="2">
                  <c:v>108.59209066121836</c:v>
                </c:pt>
                <c:pt idx="3">
                  <c:v>109.47915365224486</c:v>
                </c:pt>
                <c:pt idx="4">
                  <c:v>98.150176016227306</c:v>
                </c:pt>
                <c:pt idx="5">
                  <c:v>93.865522132478858</c:v>
                </c:pt>
                <c:pt idx="6">
                  <c:v>86.981413568315602</c:v>
                </c:pt>
                <c:pt idx="7">
                  <c:v>85.810666803853977</c:v>
                </c:pt>
                <c:pt idx="8">
                  <c:v>68.017961739437183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11-48CA-B1AA-2266CFF9C966}"/>
            </c:ext>
          </c:extLst>
        </c:ser>
        <c:ser>
          <c:idx val="1"/>
          <c:order val="1"/>
          <c:tx>
            <c:strRef>
              <c:f>BM_monthly!$I$23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BM_monthly!$I$24:$I$32</c:f>
              <c:numCache>
                <c:formatCode>General</c:formatCode>
                <c:ptCount val="9"/>
                <c:pt idx="0">
                  <c:v>100</c:v>
                </c:pt>
                <c:pt idx="1">
                  <c:v>96.060642234690221</c:v>
                </c:pt>
                <c:pt idx="2">
                  <c:v>99.58815805180852</c:v>
                </c:pt>
                <c:pt idx="3">
                  <c:v>101.39429389996418</c:v>
                </c:pt>
                <c:pt idx="4">
                  <c:v>94.207950340217252</c:v>
                </c:pt>
                <c:pt idx="5">
                  <c:v>86.405634475349174</c:v>
                </c:pt>
                <c:pt idx="6">
                  <c:v>78.469619195416016</c:v>
                </c:pt>
                <c:pt idx="7">
                  <c:v>74.860928733436793</c:v>
                </c:pt>
                <c:pt idx="8">
                  <c:v>50.563447534917039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11-48CA-B1AA-2266CFF9C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0704"/>
        <c:axId val="1003191968"/>
      </c:lineChart>
      <c:catAx>
        <c:axId val="100320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1968"/>
        <c:crosses val="autoZero"/>
        <c:auto val="1"/>
        <c:lblAlgn val="ctr"/>
        <c:lblOffset val="100"/>
        <c:noMultiLvlLbl val="0"/>
      </c:catAx>
      <c:valAx>
        <c:axId val="10031919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20080229~20081031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BM_monthly!$J$23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BM_monthly!$J$24:$J$32</c:f>
              <c:numCache>
                <c:formatCode>General</c:formatCode>
                <c:ptCount val="9"/>
                <c:pt idx="0">
                  <c:v>100</c:v>
                </c:pt>
                <c:pt idx="1">
                  <c:v>99.628888438084601</c:v>
                </c:pt>
                <c:pt idx="2">
                  <c:v>107.8459281456677</c:v>
                </c:pt>
                <c:pt idx="3">
                  <c:v>111.66134896368102</c:v>
                </c:pt>
                <c:pt idx="4">
                  <c:v>105.15781963424423</c:v>
                </c:pt>
                <c:pt idx="5">
                  <c:v>97.093852500334066</c:v>
                </c:pt>
                <c:pt idx="6">
                  <c:v>89.998935651452115</c:v>
                </c:pt>
                <c:pt idx="7">
                  <c:v>90.593956661608814</c:v>
                </c:pt>
                <c:pt idx="8">
                  <c:v>60.771865315118298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E3-4197-898C-4B708CE84BF6}"/>
            </c:ext>
          </c:extLst>
        </c:ser>
        <c:ser>
          <c:idx val="1"/>
          <c:order val="1"/>
          <c:tx>
            <c:strRef>
              <c:f>BM_monthly!$K$23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BM_monthly!$K$24:$K$32</c:f>
              <c:numCache>
                <c:formatCode>General</c:formatCode>
                <c:ptCount val="9"/>
                <c:pt idx="0">
                  <c:v>100</c:v>
                </c:pt>
                <c:pt idx="1">
                  <c:v>97.980980933451903</c:v>
                </c:pt>
                <c:pt idx="2">
                  <c:v>106.23043432651028</c:v>
                </c:pt>
                <c:pt idx="3">
                  <c:v>112.01648362064991</c:v>
                </c:pt>
                <c:pt idx="4">
                  <c:v>105.62285322534463</c:v>
                </c:pt>
                <c:pt idx="5">
                  <c:v>97.898226516775409</c:v>
                </c:pt>
                <c:pt idx="6">
                  <c:v>90.626213669686109</c:v>
                </c:pt>
                <c:pt idx="7">
                  <c:v>88.035000217130332</c:v>
                </c:pt>
                <c:pt idx="8">
                  <c:v>58.976845968264449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E3-4197-898C-4B708CE84BF6}"/>
            </c:ext>
          </c:extLst>
        </c:ser>
        <c:ser>
          <c:idx val="2"/>
          <c:order val="2"/>
          <c:tx>
            <c:strRef>
              <c:f>BM_monthly!$L$23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BM_monthly!$L$24:$L$32</c:f>
              <c:numCache>
                <c:formatCode>General</c:formatCode>
                <c:ptCount val="9"/>
                <c:pt idx="0">
                  <c:v>100</c:v>
                </c:pt>
                <c:pt idx="1">
                  <c:v>98.178749676487499</c:v>
                </c:pt>
                <c:pt idx="2">
                  <c:v>105.12894404401111</c:v>
                </c:pt>
                <c:pt idx="3">
                  <c:v>111.3297696547038</c:v>
                </c:pt>
                <c:pt idx="4">
                  <c:v>105.16260433109379</c:v>
                </c:pt>
                <c:pt idx="5">
                  <c:v>98.048048208439354</c:v>
                </c:pt>
                <c:pt idx="6">
                  <c:v>90.897322131930608</c:v>
                </c:pt>
                <c:pt idx="7">
                  <c:v>87.505285389434889</c:v>
                </c:pt>
                <c:pt idx="8">
                  <c:v>58.676852277839416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E3-4197-898C-4B708CE84BF6}"/>
            </c:ext>
          </c:extLst>
        </c:ser>
        <c:ser>
          <c:idx val="3"/>
          <c:order val="3"/>
          <c:tx>
            <c:strRef>
              <c:f>BM_monthly!$M$23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BM_monthly!$A$24:$A$32</c:f>
              <c:numCache>
                <c:formatCode>General</c:formatCode>
                <c:ptCount val="9"/>
                <c:pt idx="0">
                  <c:v>20080229</c:v>
                </c:pt>
                <c:pt idx="1">
                  <c:v>20080331</c:v>
                </c:pt>
                <c:pt idx="2">
                  <c:v>20080430</c:v>
                </c:pt>
                <c:pt idx="3">
                  <c:v>20080530</c:v>
                </c:pt>
                <c:pt idx="4">
                  <c:v>20080630</c:v>
                </c:pt>
                <c:pt idx="5">
                  <c:v>20080731</c:v>
                </c:pt>
                <c:pt idx="6">
                  <c:v>20080829</c:v>
                </c:pt>
                <c:pt idx="7">
                  <c:v>20080930</c:v>
                </c:pt>
                <c:pt idx="8">
                  <c:v>20081031</c:v>
                </c:pt>
              </c:numCache>
            </c:numRef>
          </c:cat>
          <c:val>
            <c:numRef>
              <c:f>BM_monthly!$M$24:$M$32</c:f>
              <c:numCache>
                <c:formatCode>General</c:formatCode>
                <c:ptCount val="9"/>
                <c:pt idx="0">
                  <c:v>100</c:v>
                </c:pt>
                <c:pt idx="1">
                  <c:v>97.711197214797593</c:v>
                </c:pt>
                <c:pt idx="2">
                  <c:v>103.53178177179706</c:v>
                </c:pt>
                <c:pt idx="3">
                  <c:v>108.47631029820157</c:v>
                </c:pt>
                <c:pt idx="4">
                  <c:v>102.63317742342407</c:v>
                </c:pt>
                <c:pt idx="5">
                  <c:v>95.833687753365496</c:v>
                </c:pt>
                <c:pt idx="6">
                  <c:v>89.982731792044248</c:v>
                </c:pt>
                <c:pt idx="7">
                  <c:v>85.975762969426185</c:v>
                </c:pt>
                <c:pt idx="8">
                  <c:v>57.824271849669593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E3-4197-898C-4B708CE84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8608"/>
        <c:axId val="1005184016"/>
      </c:lineChart>
      <c:catAx>
        <c:axId val="100517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84016"/>
        <c:crosses val="autoZero"/>
        <c:auto val="1"/>
        <c:lblAlgn val="ctr"/>
        <c:lblOffset val="100"/>
        <c:noMultiLvlLbl val="0"/>
      </c:catAx>
      <c:valAx>
        <c:axId val="10051840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BM_monthly!$N$31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BM_monthly!$N$32:$N$39</c:f>
              <c:numCache>
                <c:formatCode>General</c:formatCode>
                <c:ptCount val="8"/>
                <c:pt idx="0">
                  <c:v>100</c:v>
                </c:pt>
                <c:pt idx="1">
                  <c:v>94.894651539708263</c:v>
                </c:pt>
                <c:pt idx="2">
                  <c:v>98.45380875202595</c:v>
                </c:pt>
                <c:pt idx="3">
                  <c:v>101.94921663965425</c:v>
                </c:pt>
                <c:pt idx="4">
                  <c:v>92.696920583468412</c:v>
                </c:pt>
                <c:pt idx="5">
                  <c:v>105.42301458670991</c:v>
                </c:pt>
                <c:pt idx="6">
                  <c:v>117.78498109130201</c:v>
                </c:pt>
                <c:pt idx="7">
                  <c:v>119.71799027552676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BA-4423-896E-316B43912A98}"/>
            </c:ext>
          </c:extLst>
        </c:ser>
        <c:ser>
          <c:idx val="1"/>
          <c:order val="1"/>
          <c:tx>
            <c:strRef>
              <c:f>BM_monthly!$O$31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BM_monthly!$O$32:$O$39</c:f>
              <c:numCache>
                <c:formatCode>General</c:formatCode>
                <c:ptCount val="8"/>
                <c:pt idx="0">
                  <c:v>100</c:v>
                </c:pt>
                <c:pt idx="1">
                  <c:v>104.3227801780107</c:v>
                </c:pt>
                <c:pt idx="2">
                  <c:v>112.11842198455979</c:v>
                </c:pt>
                <c:pt idx="3">
                  <c:v>117.91439431498924</c:v>
                </c:pt>
                <c:pt idx="4">
                  <c:v>116.10359562764123</c:v>
                </c:pt>
                <c:pt idx="5">
                  <c:v>134.21394338598105</c:v>
                </c:pt>
                <c:pt idx="6">
                  <c:v>159.99952782302807</c:v>
                </c:pt>
                <c:pt idx="7">
                  <c:v>166.50612649621075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BA-4423-896E-316B43912A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112"/>
        <c:axId val="1007502848"/>
      </c:lineChart>
      <c:catAx>
        <c:axId val="10074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502848"/>
        <c:crosses val="autoZero"/>
        <c:auto val="1"/>
        <c:lblAlgn val="ctr"/>
        <c:lblOffset val="100"/>
        <c:noMultiLvlLbl val="0"/>
      </c:catAx>
      <c:valAx>
        <c:axId val="100750284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20081031~20090529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BM_monthly!$P$31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BM_monthly!$P$32:$P$39</c:f>
              <c:numCache>
                <c:formatCode>General</c:formatCode>
                <c:ptCount val="8"/>
                <c:pt idx="0">
                  <c:v>100</c:v>
                </c:pt>
                <c:pt idx="1">
                  <c:v>99.814780747826106</c:v>
                </c:pt>
                <c:pt idx="2">
                  <c:v>109.47506482605449</c:v>
                </c:pt>
                <c:pt idx="3">
                  <c:v>117.46177976805188</c:v>
                </c:pt>
                <c:pt idx="4">
                  <c:v>105.68759727617704</c:v>
                </c:pt>
                <c:pt idx="5">
                  <c:v>128.02771646113604</c:v>
                </c:pt>
                <c:pt idx="6">
                  <c:v>161.2284974843555</c:v>
                </c:pt>
                <c:pt idx="7">
                  <c:v>163.89356530811884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7B-4B72-B172-695275D66081}"/>
            </c:ext>
          </c:extLst>
        </c:ser>
        <c:ser>
          <c:idx val="1"/>
          <c:order val="1"/>
          <c:tx>
            <c:strRef>
              <c:f>BM_monthly!$Q$31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BM_monthly!$Q$32:$Q$39</c:f>
              <c:numCache>
                <c:formatCode>General</c:formatCode>
                <c:ptCount val="8"/>
                <c:pt idx="0">
                  <c:v>100</c:v>
                </c:pt>
                <c:pt idx="1">
                  <c:v>100.25053130679599</c:v>
                </c:pt>
                <c:pt idx="2">
                  <c:v>108.53003066985333</c:v>
                </c:pt>
                <c:pt idx="3">
                  <c:v>116.77264220113811</c:v>
                </c:pt>
                <c:pt idx="4">
                  <c:v>104.94768519929826</c:v>
                </c:pt>
                <c:pt idx="5">
                  <c:v>123.27147729823712</c:v>
                </c:pt>
                <c:pt idx="6">
                  <c:v>150.90061885992441</c:v>
                </c:pt>
                <c:pt idx="7">
                  <c:v>151.33292595507422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B-4B72-B172-695275D66081}"/>
            </c:ext>
          </c:extLst>
        </c:ser>
        <c:ser>
          <c:idx val="2"/>
          <c:order val="2"/>
          <c:tx>
            <c:strRef>
              <c:f>BM_monthly!$R$31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BM_monthly!$R$32:$R$39</c:f>
              <c:numCache>
                <c:formatCode>General</c:formatCode>
                <c:ptCount val="8"/>
                <c:pt idx="0">
                  <c:v>100</c:v>
                </c:pt>
                <c:pt idx="1">
                  <c:v>99.205430277871997</c:v>
                </c:pt>
                <c:pt idx="2">
                  <c:v>107.36321898074139</c:v>
                </c:pt>
                <c:pt idx="3">
                  <c:v>114.5143200614157</c:v>
                </c:pt>
                <c:pt idx="4">
                  <c:v>105.19380548597327</c:v>
                </c:pt>
                <c:pt idx="5">
                  <c:v>122.04254730764856</c:v>
                </c:pt>
                <c:pt idx="6">
                  <c:v>147.64885718312743</c:v>
                </c:pt>
                <c:pt idx="7">
                  <c:v>148.84056029876481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B-4B72-B172-695275D66081}"/>
            </c:ext>
          </c:extLst>
        </c:ser>
        <c:ser>
          <c:idx val="3"/>
          <c:order val="3"/>
          <c:tx>
            <c:strRef>
              <c:f>BM_monthly!$S$31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BM_monthly!$A$32:$A$39</c:f>
              <c:numCache>
                <c:formatCode>General</c:formatCode>
                <c:ptCount val="8"/>
                <c:pt idx="0">
                  <c:v>20081031</c:v>
                </c:pt>
                <c:pt idx="1">
                  <c:v>20081128</c:v>
                </c:pt>
                <c:pt idx="2">
                  <c:v>20081230</c:v>
                </c:pt>
                <c:pt idx="3">
                  <c:v>20090130</c:v>
                </c:pt>
                <c:pt idx="4">
                  <c:v>20090227</c:v>
                </c:pt>
                <c:pt idx="5">
                  <c:v>20090331</c:v>
                </c:pt>
                <c:pt idx="6">
                  <c:v>20090430</c:v>
                </c:pt>
                <c:pt idx="7">
                  <c:v>20090529</c:v>
                </c:pt>
              </c:numCache>
            </c:numRef>
          </c:cat>
          <c:val>
            <c:numRef>
              <c:f>BM_monthly!$S$32:$S$39</c:f>
              <c:numCache>
                <c:formatCode>General</c:formatCode>
                <c:ptCount val="8"/>
                <c:pt idx="0">
                  <c:v>100</c:v>
                </c:pt>
                <c:pt idx="1">
                  <c:v>99.238354053302402</c:v>
                </c:pt>
                <c:pt idx="2">
                  <c:v>107.41358040452141</c:v>
                </c:pt>
                <c:pt idx="3">
                  <c:v>114.161814513198</c:v>
                </c:pt>
                <c:pt idx="4">
                  <c:v>104.92362739832855</c:v>
                </c:pt>
                <c:pt idx="5">
                  <c:v>122.46875545521043</c:v>
                </c:pt>
                <c:pt idx="6">
                  <c:v>149.12351266504692</c:v>
                </c:pt>
                <c:pt idx="7">
                  <c:v>150.25348457630469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7B-4B72-B172-695275D660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7494944"/>
        <c:axId val="1007491616"/>
      </c:lineChart>
      <c:catAx>
        <c:axId val="100749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1616"/>
        <c:crosses val="autoZero"/>
        <c:auto val="1"/>
        <c:lblAlgn val="ctr"/>
        <c:lblOffset val="100"/>
        <c:noMultiLvlLbl val="0"/>
      </c:catAx>
      <c:valAx>
        <c:axId val="100749161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749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solidFill>
                  <a:srgbClr val="FF0000"/>
                </a:solidFill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BM_monthly!$T$38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BM_monthly!$T$39:$T$53</c:f>
              <c:numCache>
                <c:formatCode>General</c:formatCode>
                <c:ptCount val="15"/>
                <c:pt idx="0">
                  <c:v>100</c:v>
                </c:pt>
                <c:pt idx="1">
                  <c:v>100.33664563759601</c:v>
                </c:pt>
                <c:pt idx="2">
                  <c:v>114.35031002084857</c:v>
                </c:pt>
                <c:pt idx="3">
                  <c:v>117.0624283612668</c:v>
                </c:pt>
                <c:pt idx="4">
                  <c:v>124.11393604635421</c:v>
                </c:pt>
                <c:pt idx="5">
                  <c:v>116.99564075488044</c:v>
                </c:pt>
                <c:pt idx="6">
                  <c:v>115.95050496845639</c:v>
                </c:pt>
                <c:pt idx="7">
                  <c:v>125.57243296419641</c:v>
                </c:pt>
                <c:pt idx="8">
                  <c:v>119.5299596566756</c:v>
                </c:pt>
                <c:pt idx="9">
                  <c:v>118.08048809104774</c:v>
                </c:pt>
                <c:pt idx="10">
                  <c:v>125.76738057202682</c:v>
                </c:pt>
                <c:pt idx="11">
                  <c:v>129.83961949115061</c:v>
                </c:pt>
                <c:pt idx="12">
                  <c:v>122.0931596855567</c:v>
                </c:pt>
                <c:pt idx="13">
                  <c:v>125.54355183711041</c:v>
                </c:pt>
                <c:pt idx="14">
                  <c:v>130.34052653904814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E-4943-95C7-1C1DC59A359C}"/>
            </c:ext>
          </c:extLst>
        </c:ser>
        <c:ser>
          <c:idx val="1"/>
          <c:order val="1"/>
          <c:tx>
            <c:strRef>
              <c:f>BM_monthly!$U$38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BM_monthly!$U$39:$U$53</c:f>
              <c:numCache>
                <c:formatCode>General</c:formatCode>
                <c:ptCount val="15"/>
                <c:pt idx="0">
                  <c:v>100</c:v>
                </c:pt>
                <c:pt idx="1">
                  <c:v>94.022147546329776</c:v>
                </c:pt>
                <c:pt idx="2">
                  <c:v>97.457711231159706</c:v>
                </c:pt>
                <c:pt idx="3">
                  <c:v>100.55865129666654</c:v>
                </c:pt>
                <c:pt idx="4">
                  <c:v>100.17440129312179</c:v>
                </c:pt>
                <c:pt idx="5">
                  <c:v>95.849816382378393</c:v>
                </c:pt>
                <c:pt idx="6">
                  <c:v>91.530903058403169</c:v>
                </c:pt>
                <c:pt idx="7">
                  <c:v>99.269783203595807</c:v>
                </c:pt>
                <c:pt idx="8">
                  <c:v>92.487983325534913</c:v>
                </c:pt>
                <c:pt idx="9">
                  <c:v>93.637897542785055</c:v>
                </c:pt>
                <c:pt idx="10">
                  <c:v>96.673614360457705</c:v>
                </c:pt>
                <c:pt idx="11">
                  <c:v>97.29465311157432</c:v>
                </c:pt>
                <c:pt idx="12">
                  <c:v>92.734697349951105</c:v>
                </c:pt>
                <c:pt idx="13">
                  <c:v>96.921746281565945</c:v>
                </c:pt>
                <c:pt idx="14">
                  <c:v>96.809732442894244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E-4943-95C7-1C1DC59A3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201536"/>
        <c:axId val="1003194464"/>
      </c:lineChart>
      <c:catAx>
        <c:axId val="100320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4464"/>
        <c:crosses val="autoZero"/>
        <c:auto val="1"/>
        <c:lblAlgn val="ctr"/>
        <c:lblOffset val="100"/>
        <c:noMultiLvlLbl val="0"/>
      </c:catAx>
      <c:valAx>
        <c:axId val="10031944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20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20090529~20100730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BM_monthly!$V$38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BM_monthly!$V$39:$V$53</c:f>
              <c:numCache>
                <c:formatCode>General</c:formatCode>
                <c:ptCount val="15"/>
                <c:pt idx="0">
                  <c:v>100</c:v>
                </c:pt>
                <c:pt idx="1">
                  <c:v>97.844368222847095</c:v>
                </c:pt>
                <c:pt idx="2">
                  <c:v>101.14879631065786</c:v>
                </c:pt>
                <c:pt idx="3">
                  <c:v>106.26100201871905</c:v>
                </c:pt>
                <c:pt idx="4">
                  <c:v>105.49293500796502</c:v>
                </c:pt>
                <c:pt idx="5">
                  <c:v>102.68582798997099</c:v>
                </c:pt>
                <c:pt idx="6">
                  <c:v>101.17997310724974</c:v>
                </c:pt>
                <c:pt idx="7">
                  <c:v>111.38738257116205</c:v>
                </c:pt>
                <c:pt idx="8">
                  <c:v>103.66957721238776</c:v>
                </c:pt>
                <c:pt idx="9">
                  <c:v>102.5120834482764</c:v>
                </c:pt>
                <c:pt idx="10">
                  <c:v>107.00876389236764</c:v>
                </c:pt>
                <c:pt idx="11">
                  <c:v>108.13648821032299</c:v>
                </c:pt>
                <c:pt idx="12">
                  <c:v>101.70424516927365</c:v>
                </c:pt>
                <c:pt idx="13">
                  <c:v>108.52653844846631</c:v>
                </c:pt>
                <c:pt idx="14">
                  <c:v>109.39161109233157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0-4EAF-893E-68C428A2DE54}"/>
            </c:ext>
          </c:extLst>
        </c:ser>
        <c:ser>
          <c:idx val="1"/>
          <c:order val="1"/>
          <c:tx>
            <c:strRef>
              <c:f>BM_monthly!$W$38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BM_monthly!$W$39:$W$53</c:f>
              <c:numCache>
                <c:formatCode>General</c:formatCode>
                <c:ptCount val="15"/>
                <c:pt idx="0">
                  <c:v>100</c:v>
                </c:pt>
                <c:pt idx="1">
                  <c:v>98.594805972955498</c:v>
                </c:pt>
                <c:pt idx="2">
                  <c:v>105.24581521511934</c:v>
                </c:pt>
                <c:pt idx="3">
                  <c:v>109.45626459197459</c:v>
                </c:pt>
                <c:pt idx="4">
                  <c:v>110.21187243535074</c:v>
                </c:pt>
                <c:pt idx="5">
                  <c:v>105.73757039337531</c:v>
                </c:pt>
                <c:pt idx="6">
                  <c:v>103.3106206507739</c:v>
                </c:pt>
                <c:pt idx="7">
                  <c:v>111.19450489969815</c:v>
                </c:pt>
                <c:pt idx="8">
                  <c:v>102.58439676272232</c:v>
                </c:pt>
                <c:pt idx="9">
                  <c:v>101.3799439903638</c:v>
                </c:pt>
                <c:pt idx="10">
                  <c:v>106.03627517828912</c:v>
                </c:pt>
                <c:pt idx="11">
                  <c:v>106.98253132923487</c:v>
                </c:pt>
                <c:pt idx="12">
                  <c:v>101.629466487359</c:v>
                </c:pt>
                <c:pt idx="13">
                  <c:v>108.35433141462104</c:v>
                </c:pt>
                <c:pt idx="14">
                  <c:v>110.2586940016667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0-4EAF-893E-68C428A2DE54}"/>
            </c:ext>
          </c:extLst>
        </c:ser>
        <c:ser>
          <c:idx val="2"/>
          <c:order val="2"/>
          <c:tx>
            <c:strRef>
              <c:f>BM_monthly!$X$38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BM_monthly!$X$39:$X$53</c:f>
              <c:numCache>
                <c:formatCode>General</c:formatCode>
                <c:ptCount val="15"/>
                <c:pt idx="0">
                  <c:v>100</c:v>
                </c:pt>
                <c:pt idx="1">
                  <c:v>97.891503409203494</c:v>
                </c:pt>
                <c:pt idx="2">
                  <c:v>103.23024517281652</c:v>
                </c:pt>
                <c:pt idx="3">
                  <c:v>106.39556950202675</c:v>
                </c:pt>
                <c:pt idx="4">
                  <c:v>106.91390663501367</c:v>
                </c:pt>
                <c:pt idx="5">
                  <c:v>103.65784500213927</c:v>
                </c:pt>
                <c:pt idx="6">
                  <c:v>101.68896363577406</c:v>
                </c:pt>
                <c:pt idx="7">
                  <c:v>109.09183783548444</c:v>
                </c:pt>
                <c:pt idx="8">
                  <c:v>100.6861110578685</c:v>
                </c:pt>
                <c:pt idx="9">
                  <c:v>99.655102929768816</c:v>
                </c:pt>
                <c:pt idx="10">
                  <c:v>103.44701878483644</c:v>
                </c:pt>
                <c:pt idx="11">
                  <c:v>103.96683941749419</c:v>
                </c:pt>
                <c:pt idx="12">
                  <c:v>98.342391618399162</c:v>
                </c:pt>
                <c:pt idx="13">
                  <c:v>103.51617916004189</c:v>
                </c:pt>
                <c:pt idx="14">
                  <c:v>105.01859911969319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0-4EAF-893E-68C428A2DE54}"/>
            </c:ext>
          </c:extLst>
        </c:ser>
        <c:ser>
          <c:idx val="3"/>
          <c:order val="3"/>
          <c:tx>
            <c:strRef>
              <c:f>BM_monthly!$Y$38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BM_monthly!$A$39:$A$53</c:f>
              <c:numCache>
                <c:formatCode>General</c:formatCode>
                <c:ptCount val="15"/>
                <c:pt idx="0">
                  <c:v>20090529</c:v>
                </c:pt>
                <c:pt idx="1">
                  <c:v>20090630</c:v>
                </c:pt>
                <c:pt idx="2">
                  <c:v>20090731</c:v>
                </c:pt>
                <c:pt idx="3">
                  <c:v>20090831</c:v>
                </c:pt>
                <c:pt idx="4">
                  <c:v>20090930</c:v>
                </c:pt>
                <c:pt idx="5">
                  <c:v>20091030</c:v>
                </c:pt>
                <c:pt idx="6">
                  <c:v>20091130</c:v>
                </c:pt>
                <c:pt idx="7">
                  <c:v>20091230</c:v>
                </c:pt>
                <c:pt idx="8">
                  <c:v>20100129</c:v>
                </c:pt>
                <c:pt idx="9">
                  <c:v>20100226</c:v>
                </c:pt>
                <c:pt idx="10">
                  <c:v>20100331</c:v>
                </c:pt>
                <c:pt idx="11">
                  <c:v>20100430</c:v>
                </c:pt>
                <c:pt idx="12">
                  <c:v>20100531</c:v>
                </c:pt>
                <c:pt idx="13">
                  <c:v>20100630</c:v>
                </c:pt>
                <c:pt idx="14">
                  <c:v>20100730</c:v>
                </c:pt>
              </c:numCache>
            </c:numRef>
          </c:cat>
          <c:val>
            <c:numRef>
              <c:f>BM_monthly!$Y$39:$Y$53</c:f>
              <c:numCache>
                <c:formatCode>General</c:formatCode>
                <c:ptCount val="15"/>
                <c:pt idx="0">
                  <c:v>100</c:v>
                </c:pt>
                <c:pt idx="1">
                  <c:v>97.546841899244399</c:v>
                </c:pt>
                <c:pt idx="2">
                  <c:v>103.19961723286542</c:v>
                </c:pt>
                <c:pt idx="3">
                  <c:v>105.89540829528148</c:v>
                </c:pt>
                <c:pt idx="4">
                  <c:v>106.74335674065306</c:v>
                </c:pt>
                <c:pt idx="5">
                  <c:v>103.27411531451</c:v>
                </c:pt>
                <c:pt idx="6">
                  <c:v>100.44369298729808</c:v>
                </c:pt>
                <c:pt idx="7">
                  <c:v>108.64307766338955</c:v>
                </c:pt>
                <c:pt idx="8">
                  <c:v>101.03160584364279</c:v>
                </c:pt>
                <c:pt idx="9">
                  <c:v>100.11030494686332</c:v>
                </c:pt>
                <c:pt idx="10">
                  <c:v>104.19446712956591</c:v>
                </c:pt>
                <c:pt idx="11">
                  <c:v>104.48315837057457</c:v>
                </c:pt>
                <c:pt idx="12">
                  <c:v>99.446264423353568</c:v>
                </c:pt>
                <c:pt idx="13">
                  <c:v>104.69258130856454</c:v>
                </c:pt>
                <c:pt idx="14">
                  <c:v>106.31073568135413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90-4EAF-893E-68C428A2DE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5712"/>
        <c:axId val="1003189472"/>
      </c:lineChart>
      <c:catAx>
        <c:axId val="100319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472"/>
        <c:crosses val="autoZero"/>
        <c:auto val="1"/>
        <c:lblAlgn val="ctr"/>
        <c:lblOffset val="100"/>
        <c:noMultiLvlLbl val="0"/>
      </c:catAx>
      <c:valAx>
        <c:axId val="100318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BM_monthly!$Z$52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BM_monthly!$Z$53:$Z$56</c:f>
              <c:numCache>
                <c:formatCode>General</c:formatCode>
                <c:ptCount val="4"/>
                <c:pt idx="0">
                  <c:v>100</c:v>
                </c:pt>
                <c:pt idx="1">
                  <c:v>98.736982051850205</c:v>
                </c:pt>
                <c:pt idx="2">
                  <c:v>105.30619875914024</c:v>
                </c:pt>
                <c:pt idx="3">
                  <c:v>105.15732328827829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28-44BD-9C47-D8D38517D22D}"/>
            </c:ext>
          </c:extLst>
        </c:ser>
        <c:ser>
          <c:idx val="1"/>
          <c:order val="1"/>
          <c:tx>
            <c:strRef>
              <c:f>BM_monthly!$AA$52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BM_monthly!$AA$53:$AA$56</c:f>
              <c:numCache>
                <c:formatCode>General</c:formatCode>
                <c:ptCount val="4"/>
                <c:pt idx="0">
                  <c:v>100</c:v>
                </c:pt>
                <c:pt idx="1">
                  <c:v>98.446036000410103</c:v>
                </c:pt>
                <c:pt idx="2">
                  <c:v>107.54133895748204</c:v>
                </c:pt>
                <c:pt idx="3">
                  <c:v>112.70413169881515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28-44BD-9C47-D8D38517D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9040"/>
        <c:axId val="1003189888"/>
      </c:lineChart>
      <c:catAx>
        <c:axId val="1003199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9888"/>
        <c:crosses val="autoZero"/>
        <c:auto val="1"/>
        <c:lblAlgn val="ctr"/>
        <c:lblOffset val="100"/>
        <c:noMultiLvlLbl val="0"/>
      </c:catAx>
      <c:valAx>
        <c:axId val="100318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9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20100730~20101029</a:t>
            </a:r>
            <a:r>
              <a:rPr lang="ko-KR" altLang="en-US" sz="1400" b="0" i="0" u="none" strike="noStrike" baseline="0"/>
              <a:t> 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BM_monthly!$AB$52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BM_monthly!$AB$53:$AB$56</c:f>
              <c:numCache>
                <c:formatCode>General</c:formatCode>
                <c:ptCount val="4"/>
                <c:pt idx="0">
                  <c:v>100</c:v>
                </c:pt>
                <c:pt idx="1">
                  <c:v>101.98764198986601</c:v>
                </c:pt>
                <c:pt idx="2">
                  <c:v>110.47679599239098</c:v>
                </c:pt>
                <c:pt idx="3">
                  <c:v>122.28677874081305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8-45D4-B1D3-AEB3370FE1C7}"/>
            </c:ext>
          </c:extLst>
        </c:ser>
        <c:ser>
          <c:idx val="1"/>
          <c:order val="1"/>
          <c:tx>
            <c:strRef>
              <c:f>BM_monthly!$AC$52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BM_monthly!$AC$53:$AC$56</c:f>
              <c:numCache>
                <c:formatCode>General</c:formatCode>
                <c:ptCount val="4"/>
                <c:pt idx="0">
                  <c:v>100</c:v>
                </c:pt>
                <c:pt idx="1">
                  <c:v>100.40308616419699</c:v>
                </c:pt>
                <c:pt idx="2">
                  <c:v>108.07264663949894</c:v>
                </c:pt>
                <c:pt idx="3">
                  <c:v>117.15652241986265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98-45D4-B1D3-AEB3370FE1C7}"/>
            </c:ext>
          </c:extLst>
        </c:ser>
        <c:ser>
          <c:idx val="2"/>
          <c:order val="2"/>
          <c:tx>
            <c:strRef>
              <c:f>BM_monthly!$AD$52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BM_monthly!$AD$53:$AD$56</c:f>
              <c:numCache>
                <c:formatCode>General</c:formatCode>
                <c:ptCount val="4"/>
                <c:pt idx="0">
                  <c:v>100</c:v>
                </c:pt>
                <c:pt idx="1">
                  <c:v>100.968760728685</c:v>
                </c:pt>
                <c:pt idx="2">
                  <c:v>108.6106099596994</c:v>
                </c:pt>
                <c:pt idx="3">
                  <c:v>117.50498079012887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98-45D4-B1D3-AEB3370FE1C7}"/>
            </c:ext>
          </c:extLst>
        </c:ser>
        <c:ser>
          <c:idx val="3"/>
          <c:order val="3"/>
          <c:tx>
            <c:strRef>
              <c:f>BM_monthly!$AE$52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BM_monthly!$A$53:$A$56</c:f>
              <c:numCache>
                <c:formatCode>General</c:formatCode>
                <c:ptCount val="4"/>
                <c:pt idx="0">
                  <c:v>20100730</c:v>
                </c:pt>
                <c:pt idx="1">
                  <c:v>20100831</c:v>
                </c:pt>
                <c:pt idx="2">
                  <c:v>20100930</c:v>
                </c:pt>
                <c:pt idx="3">
                  <c:v>20101029</c:v>
                </c:pt>
              </c:numCache>
            </c:numRef>
          </c:cat>
          <c:val>
            <c:numRef>
              <c:f>BM_monthly!$AE$53:$AE$56</c:f>
              <c:numCache>
                <c:formatCode>General</c:formatCode>
                <c:ptCount val="4"/>
                <c:pt idx="0">
                  <c:v>100</c:v>
                </c:pt>
                <c:pt idx="1">
                  <c:v>100.788211388367</c:v>
                </c:pt>
                <c:pt idx="2">
                  <c:v>108.46485084455057</c:v>
                </c:pt>
                <c:pt idx="3">
                  <c:v>116.74651380268131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98-45D4-B1D3-AEB3370FE1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87808"/>
        <c:axId val="1003185728"/>
      </c:lineChart>
      <c:catAx>
        <c:axId val="100318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5728"/>
        <c:crosses val="autoZero"/>
        <c:auto val="1"/>
        <c:lblAlgn val="ctr"/>
        <c:lblOffset val="100"/>
        <c:noMultiLvlLbl val="0"/>
      </c:catAx>
      <c:valAx>
        <c:axId val="1003185728"/>
        <c:scaling>
          <c:orientation val="minMax"/>
          <c:min val="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8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BM_monthly!$AF$55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BM_monthly!$AF$56:$AF$62</c:f>
              <c:numCache>
                <c:formatCode>General</c:formatCode>
                <c:ptCount val="7"/>
                <c:pt idx="0">
                  <c:v>100</c:v>
                </c:pt>
                <c:pt idx="1">
                  <c:v>102.93354580414054</c:v>
                </c:pt>
                <c:pt idx="2">
                  <c:v>111.78817889690775</c:v>
                </c:pt>
                <c:pt idx="3">
                  <c:v>112.68964336511614</c:v>
                </c:pt>
                <c:pt idx="4">
                  <c:v>105.99681293789179</c:v>
                </c:pt>
                <c:pt idx="5">
                  <c:v>114.9120265500711</c:v>
                </c:pt>
                <c:pt idx="6">
                  <c:v>119.31135753042196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B7-49E3-9A82-D25517966AAD}"/>
            </c:ext>
          </c:extLst>
        </c:ser>
        <c:ser>
          <c:idx val="1"/>
          <c:order val="1"/>
          <c:tx>
            <c:strRef>
              <c:f>BM_monthly!$AG$55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BM_monthly!$AG$56:$AG$62</c:f>
              <c:numCache>
                <c:formatCode>General</c:formatCode>
                <c:ptCount val="7"/>
                <c:pt idx="0">
                  <c:v>100</c:v>
                </c:pt>
                <c:pt idx="1">
                  <c:v>94.386037868253808</c:v>
                </c:pt>
                <c:pt idx="2">
                  <c:v>97.980533066496861</c:v>
                </c:pt>
                <c:pt idx="3">
                  <c:v>100.08316980935921</c:v>
                </c:pt>
                <c:pt idx="4">
                  <c:v>94.392535509610013</c:v>
                </c:pt>
                <c:pt idx="5">
                  <c:v>100.38855895310002</c:v>
                </c:pt>
                <c:pt idx="6">
                  <c:v>102.5483749398968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B7-49E3-9A82-D25517966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288"/>
        <c:axId val="1005169040"/>
      </c:lineChart>
      <c:catAx>
        <c:axId val="1005170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69040"/>
        <c:crosses val="autoZero"/>
        <c:auto val="1"/>
        <c:lblAlgn val="ctr"/>
        <c:lblOffset val="100"/>
        <c:noMultiLvlLbl val="0"/>
      </c:catAx>
      <c:valAx>
        <c:axId val="10051690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20101029~20110429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BM_monthly!$AH$55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BM_monthly!$AH$56:$AH$62</c:f>
              <c:numCache>
                <c:formatCode>General</c:formatCode>
                <c:ptCount val="7"/>
                <c:pt idx="0">
                  <c:v>100</c:v>
                </c:pt>
                <c:pt idx="1">
                  <c:v>95.341537406996707</c:v>
                </c:pt>
                <c:pt idx="2">
                  <c:v>97.897827613178379</c:v>
                </c:pt>
                <c:pt idx="3">
                  <c:v>96.342084580538071</c:v>
                </c:pt>
                <c:pt idx="4">
                  <c:v>89.797889234289954</c:v>
                </c:pt>
                <c:pt idx="5">
                  <c:v>93.411421041415181</c:v>
                </c:pt>
                <c:pt idx="6">
                  <c:v>95.795824232585716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15-4815-8905-E2949C5E01F1}"/>
            </c:ext>
          </c:extLst>
        </c:ser>
        <c:ser>
          <c:idx val="1"/>
          <c:order val="1"/>
          <c:tx>
            <c:strRef>
              <c:f>BM_monthly!$AI$55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BM_monthly!$AI$56:$AI$62</c:f>
              <c:numCache>
                <c:formatCode>General</c:formatCode>
                <c:ptCount val="7"/>
                <c:pt idx="0">
                  <c:v>100</c:v>
                </c:pt>
                <c:pt idx="1">
                  <c:v>95.696265008449103</c:v>
                </c:pt>
                <c:pt idx="2">
                  <c:v>99.246153900850786</c:v>
                </c:pt>
                <c:pt idx="3">
                  <c:v>97.349065057749044</c:v>
                </c:pt>
                <c:pt idx="4">
                  <c:v>90.331361457413166</c:v>
                </c:pt>
                <c:pt idx="5">
                  <c:v>93.717451048571931</c:v>
                </c:pt>
                <c:pt idx="6">
                  <c:v>95.451307482132009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15-4815-8905-E2949C5E01F1}"/>
            </c:ext>
          </c:extLst>
        </c:ser>
        <c:ser>
          <c:idx val="2"/>
          <c:order val="2"/>
          <c:tx>
            <c:strRef>
              <c:f>BM_monthly!$AJ$55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BM_monthly!$AJ$56:$AJ$62</c:f>
              <c:numCache>
                <c:formatCode>General</c:formatCode>
                <c:ptCount val="7"/>
                <c:pt idx="0">
                  <c:v>100</c:v>
                </c:pt>
                <c:pt idx="1">
                  <c:v>95.058800100556297</c:v>
                </c:pt>
                <c:pt idx="2">
                  <c:v>98.174086526168153</c:v>
                </c:pt>
                <c:pt idx="3">
                  <c:v>97.95949979990344</c:v>
                </c:pt>
                <c:pt idx="4">
                  <c:v>91.612887273449473</c:v>
                </c:pt>
                <c:pt idx="5">
                  <c:v>95.875535938827369</c:v>
                </c:pt>
                <c:pt idx="6">
                  <c:v>97.727194100808006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15-4815-8905-E2949C5E01F1}"/>
            </c:ext>
          </c:extLst>
        </c:ser>
        <c:ser>
          <c:idx val="3"/>
          <c:order val="3"/>
          <c:tx>
            <c:strRef>
              <c:f>BM_monthly!$AK$55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BM_monthly!$AK$56:$AK$62</c:f>
              <c:numCache>
                <c:formatCode>General</c:formatCode>
                <c:ptCount val="7"/>
                <c:pt idx="0">
                  <c:v>100</c:v>
                </c:pt>
                <c:pt idx="1">
                  <c:v>97.672778049197788</c:v>
                </c:pt>
                <c:pt idx="2">
                  <c:v>101.37992003514427</c:v>
                </c:pt>
                <c:pt idx="3">
                  <c:v>100.12141096091541</c:v>
                </c:pt>
                <c:pt idx="4">
                  <c:v>93.375578248373799</c:v>
                </c:pt>
                <c:pt idx="5">
                  <c:v>98.175424510711011</c:v>
                </c:pt>
                <c:pt idx="6">
                  <c:v>100.29550579460955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15-4815-8905-E2949C5E01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6528"/>
        <c:axId val="1005176944"/>
      </c:lineChart>
      <c:catAx>
        <c:axId val="10051765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944"/>
        <c:crosses val="autoZero"/>
        <c:auto val="1"/>
        <c:lblAlgn val="ctr"/>
        <c:lblOffset val="100"/>
        <c:noMultiLvlLbl val="0"/>
      </c:catAx>
      <c:valAx>
        <c:axId val="1005176944"/>
        <c:scaling>
          <c:orientation val="minMax"/>
          <c:min val="8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20110429~20120229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BM_monthly!$AL$61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BM_monthly!$AL$62:$AL$72</c:f>
              <c:numCache>
                <c:formatCode>General</c:formatCode>
                <c:ptCount val="11"/>
                <c:pt idx="0">
                  <c:v>100</c:v>
                </c:pt>
                <c:pt idx="1">
                  <c:v>97.08042893962724</c:v>
                </c:pt>
                <c:pt idx="2">
                  <c:v>94.471027810432091</c:v>
                </c:pt>
                <c:pt idx="3">
                  <c:v>94.884403750738187</c:v>
                </c:pt>
                <c:pt idx="4">
                  <c:v>83.053794062619005</c:v>
                </c:pt>
                <c:pt idx="5">
                  <c:v>79.662345259974302</c:v>
                </c:pt>
                <c:pt idx="6">
                  <c:v>86.095335861052732</c:v>
                </c:pt>
                <c:pt idx="7">
                  <c:v>83.245856582280595</c:v>
                </c:pt>
                <c:pt idx="8">
                  <c:v>82.35011672765205</c:v>
                </c:pt>
                <c:pt idx="9">
                  <c:v>88.436511747272235</c:v>
                </c:pt>
                <c:pt idx="10">
                  <c:v>91.850588605394321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38-4937-937F-86B4B0BF4DDA}"/>
            </c:ext>
          </c:extLst>
        </c:ser>
        <c:ser>
          <c:idx val="1"/>
          <c:order val="1"/>
          <c:tx>
            <c:strRef>
              <c:f>BM_monthly!$AM$61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BM_monthly!$AM$62:$AM$72</c:f>
              <c:numCache>
                <c:formatCode>General</c:formatCode>
                <c:ptCount val="11"/>
                <c:pt idx="0">
                  <c:v>100</c:v>
                </c:pt>
                <c:pt idx="1">
                  <c:v>97.98763179237632</c:v>
                </c:pt>
                <c:pt idx="2">
                  <c:v>98.916514598540161</c:v>
                </c:pt>
                <c:pt idx="3">
                  <c:v>107.28406326034064</c:v>
                </c:pt>
                <c:pt idx="4">
                  <c:v>96.845853609083548</c:v>
                </c:pt>
                <c:pt idx="5">
                  <c:v>86.723185320356862</c:v>
                </c:pt>
                <c:pt idx="6">
                  <c:v>93.885594079480938</c:v>
                </c:pt>
                <c:pt idx="7">
                  <c:v>92.36998175182481</c:v>
                </c:pt>
                <c:pt idx="8">
                  <c:v>91.646390916463915</c:v>
                </c:pt>
                <c:pt idx="9">
                  <c:v>95.268146796431466</c:v>
                </c:pt>
                <c:pt idx="10">
                  <c:v>97.751926196269267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38-4937-937F-86B4B0BF4D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197376"/>
        <c:axId val="1003192800"/>
      </c:lineChart>
      <c:catAx>
        <c:axId val="100319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2800"/>
        <c:crosses val="autoZero"/>
        <c:auto val="1"/>
        <c:lblAlgn val="ctr"/>
        <c:lblOffset val="100"/>
        <c:noMultiLvlLbl val="0"/>
      </c:catAx>
      <c:valAx>
        <c:axId val="100319280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197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baseline="0">
                <a:effectLst/>
              </a:rPr>
              <a:t>20110429~20120229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BM_monthly!$AN$61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BM_monthly!$AN$62:$AN$72</c:f>
              <c:numCache>
                <c:formatCode>General</c:formatCode>
                <c:ptCount val="11"/>
                <c:pt idx="0">
                  <c:v>100</c:v>
                </c:pt>
                <c:pt idx="1">
                  <c:v>97.583045087525704</c:v>
                </c:pt>
                <c:pt idx="2">
                  <c:v>101.22583459653518</c:v>
                </c:pt>
                <c:pt idx="3">
                  <c:v>113.59577435643368</c:v>
                </c:pt>
                <c:pt idx="4">
                  <c:v>103.84628271268927</c:v>
                </c:pt>
                <c:pt idx="5">
                  <c:v>93.832021463204342</c:v>
                </c:pt>
                <c:pt idx="6">
                  <c:v>99.294182027115383</c:v>
                </c:pt>
                <c:pt idx="7">
                  <c:v>96.05956471936075</c:v>
                </c:pt>
                <c:pt idx="8">
                  <c:v>94.725016604936755</c:v>
                </c:pt>
                <c:pt idx="9">
                  <c:v>101.62066851381049</c:v>
                </c:pt>
                <c:pt idx="10">
                  <c:v>112.30837068647254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60-420C-823D-BD5296C1D58F}"/>
            </c:ext>
          </c:extLst>
        </c:ser>
        <c:ser>
          <c:idx val="1"/>
          <c:order val="1"/>
          <c:tx>
            <c:strRef>
              <c:f>BM_monthly!$AO$61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BM_monthly!$AO$62:$AO$72</c:f>
              <c:numCache>
                <c:formatCode>General</c:formatCode>
                <c:ptCount val="11"/>
                <c:pt idx="0">
                  <c:v>100</c:v>
                </c:pt>
                <c:pt idx="1">
                  <c:v>98.423871628488698</c:v>
                </c:pt>
                <c:pt idx="2">
                  <c:v>101.50588590123891</c:v>
                </c:pt>
                <c:pt idx="3">
                  <c:v>112.05315165646641</c:v>
                </c:pt>
                <c:pt idx="4">
                  <c:v>102.56806232685328</c:v>
                </c:pt>
                <c:pt idx="5">
                  <c:v>92.823799750782314</c:v>
                </c:pt>
                <c:pt idx="6">
                  <c:v>97.856282445071542</c:v>
                </c:pt>
                <c:pt idx="7">
                  <c:v>95.613623458169627</c:v>
                </c:pt>
                <c:pt idx="8">
                  <c:v>100.08015662390525</c:v>
                </c:pt>
                <c:pt idx="9">
                  <c:v>108.49557431914701</c:v>
                </c:pt>
                <c:pt idx="10">
                  <c:v>114.71025807515689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60-420C-823D-BD5296C1D58F}"/>
            </c:ext>
          </c:extLst>
        </c:ser>
        <c:ser>
          <c:idx val="2"/>
          <c:order val="2"/>
          <c:tx>
            <c:strRef>
              <c:f>BM_monthly!$AP$61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BM_monthly!$AP$62:$AP$72</c:f>
              <c:numCache>
                <c:formatCode>General</c:formatCode>
                <c:ptCount val="11"/>
                <c:pt idx="0">
                  <c:v>100</c:v>
                </c:pt>
                <c:pt idx="1">
                  <c:v>97.468111407712399</c:v>
                </c:pt>
                <c:pt idx="2">
                  <c:v>99.842059180700943</c:v>
                </c:pt>
                <c:pt idx="3">
                  <c:v>108.4599040204326</c:v>
                </c:pt>
                <c:pt idx="4">
                  <c:v>98.837206875078039</c:v>
                </c:pt>
                <c:pt idx="5">
                  <c:v>88.500963162322492</c:v>
                </c:pt>
                <c:pt idx="6">
                  <c:v>92.972829766711527</c:v>
                </c:pt>
                <c:pt idx="7">
                  <c:v>90.428354208690237</c:v>
                </c:pt>
                <c:pt idx="8">
                  <c:v>93.653440966074044</c:v>
                </c:pt>
                <c:pt idx="9">
                  <c:v>100.88132479143214</c:v>
                </c:pt>
                <c:pt idx="10">
                  <c:v>107.05560670024472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60-420C-823D-BD5296C1D58F}"/>
            </c:ext>
          </c:extLst>
        </c:ser>
        <c:ser>
          <c:idx val="3"/>
          <c:order val="3"/>
          <c:tx>
            <c:strRef>
              <c:f>BM_monthly!$AQ$61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BM_monthly!$A$62:$A$72</c:f>
              <c:numCache>
                <c:formatCode>General</c:formatCode>
                <c:ptCount val="11"/>
                <c:pt idx="0">
                  <c:v>20110429</c:v>
                </c:pt>
                <c:pt idx="1">
                  <c:v>20110531</c:v>
                </c:pt>
                <c:pt idx="2">
                  <c:v>20110630</c:v>
                </c:pt>
                <c:pt idx="3">
                  <c:v>20110729</c:v>
                </c:pt>
                <c:pt idx="4">
                  <c:v>20110831</c:v>
                </c:pt>
                <c:pt idx="5">
                  <c:v>20110930</c:v>
                </c:pt>
                <c:pt idx="6">
                  <c:v>20111031</c:v>
                </c:pt>
                <c:pt idx="7">
                  <c:v>20111130</c:v>
                </c:pt>
                <c:pt idx="8">
                  <c:v>20111229</c:v>
                </c:pt>
                <c:pt idx="9">
                  <c:v>20120131</c:v>
                </c:pt>
                <c:pt idx="10">
                  <c:v>20120229</c:v>
                </c:pt>
              </c:numCache>
            </c:numRef>
          </c:cat>
          <c:val>
            <c:numRef>
              <c:f>BM_monthly!$AQ$62:$AQ$72</c:f>
              <c:numCache>
                <c:formatCode>General</c:formatCode>
                <c:ptCount val="11"/>
                <c:pt idx="0">
                  <c:v>100</c:v>
                </c:pt>
                <c:pt idx="1">
                  <c:v>97.880747304349399</c:v>
                </c:pt>
                <c:pt idx="2">
                  <c:v>99.728892824690504</c:v>
                </c:pt>
                <c:pt idx="3">
                  <c:v>108.2296190893192</c:v>
                </c:pt>
                <c:pt idx="4">
                  <c:v>97.963708411810273</c:v>
                </c:pt>
                <c:pt idx="5">
                  <c:v>86.814423465532073</c:v>
                </c:pt>
                <c:pt idx="6">
                  <c:v>91.443111486825558</c:v>
                </c:pt>
                <c:pt idx="7">
                  <c:v>88.883331402023742</c:v>
                </c:pt>
                <c:pt idx="8">
                  <c:v>91.816954521358667</c:v>
                </c:pt>
                <c:pt idx="9">
                  <c:v>98.583629372990245</c:v>
                </c:pt>
                <c:pt idx="10">
                  <c:v>104.10749248505597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60-420C-823D-BD5296C1D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38016"/>
        <c:axId val="948342176"/>
      </c:lineChart>
      <c:catAx>
        <c:axId val="94833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2176"/>
        <c:crosses val="autoZero"/>
        <c:auto val="1"/>
        <c:lblAlgn val="ctr"/>
        <c:lblOffset val="100"/>
        <c:noMultiLvlLbl val="0"/>
      </c:catAx>
      <c:valAx>
        <c:axId val="948342176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kern="1200" spc="0" baseline="0">
                <a:solidFill>
                  <a:srgbClr val="FF0000"/>
                </a:solidFill>
                <a:effectLst/>
                <a:latin typeface="+mn-lt"/>
                <a:ea typeface="+mn-ea"/>
                <a:cs typeface="+mn-cs"/>
              </a:rPr>
              <a:t>20120229~20120731</a:t>
            </a:r>
            <a:endParaRPr lang="ko-KR" altLang="ko-KR" sz="1400" b="0" i="0" u="none" strike="noStrike" kern="1200" spc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BM_monthly!$AR$71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BM_monthly!$AR$72:$AR$77</c:f>
              <c:numCache>
                <c:formatCode>General</c:formatCode>
                <c:ptCount val="6"/>
                <c:pt idx="0">
                  <c:v>100</c:v>
                </c:pt>
                <c:pt idx="1">
                  <c:v>100.11116118371639</c:v>
                </c:pt>
                <c:pt idx="2">
                  <c:v>99.686946071804115</c:v>
                </c:pt>
                <c:pt idx="3">
                  <c:v>92.479495268138791</c:v>
                </c:pt>
                <c:pt idx="4">
                  <c:v>92.409794201592305</c:v>
                </c:pt>
                <c:pt idx="5">
                  <c:v>94.442541685443885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9D-453D-AB2C-E1E5A1ACC765}"/>
            </c:ext>
          </c:extLst>
        </c:ser>
        <c:ser>
          <c:idx val="1"/>
          <c:order val="1"/>
          <c:tx>
            <c:strRef>
              <c:f>BM_monthly!$AS$71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BM_monthly!$AS$72:$AS$77</c:f>
              <c:numCache>
                <c:formatCode>General</c:formatCode>
                <c:ptCount val="6"/>
                <c:pt idx="0">
                  <c:v>100</c:v>
                </c:pt>
                <c:pt idx="1">
                  <c:v>95.368041691513909</c:v>
                </c:pt>
                <c:pt idx="2">
                  <c:v>89.472114910938828</c:v>
                </c:pt>
                <c:pt idx="3">
                  <c:v>85.312038165365962</c:v>
                </c:pt>
                <c:pt idx="4">
                  <c:v>88.051284710518814</c:v>
                </c:pt>
                <c:pt idx="5">
                  <c:v>85.415748398973264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9D-453D-AB2C-E1E5A1ACC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0704"/>
        <c:axId val="1005173200"/>
      </c:lineChart>
      <c:catAx>
        <c:axId val="100517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3200"/>
        <c:crosses val="autoZero"/>
        <c:auto val="1"/>
        <c:lblAlgn val="ctr"/>
        <c:lblOffset val="100"/>
        <c:noMultiLvlLbl val="0"/>
      </c:catAx>
      <c:valAx>
        <c:axId val="1005173200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20120229~20120731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BM_monthly!$AT$71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BM_monthly!$AT$72:$AT$77</c:f>
              <c:numCache>
                <c:formatCode>General</c:formatCode>
                <c:ptCount val="6"/>
                <c:pt idx="0">
                  <c:v>100</c:v>
                </c:pt>
                <c:pt idx="1">
                  <c:v>98.133616156917299</c:v>
                </c:pt>
                <c:pt idx="2">
                  <c:v>93.447386938402602</c:v>
                </c:pt>
                <c:pt idx="3">
                  <c:v>86.573550416552564</c:v>
                </c:pt>
                <c:pt idx="4">
                  <c:v>86.626371991048643</c:v>
                </c:pt>
                <c:pt idx="5">
                  <c:v>86.912918001754349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41-4642-A92C-84F484224F8A}"/>
            </c:ext>
          </c:extLst>
        </c:ser>
        <c:ser>
          <c:idx val="1"/>
          <c:order val="1"/>
          <c:tx>
            <c:strRef>
              <c:f>BM_monthly!$AU$71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BM_monthly!$AU$72:$AU$77</c:f>
              <c:numCache>
                <c:formatCode>General</c:formatCode>
                <c:ptCount val="6"/>
                <c:pt idx="0">
                  <c:v>100</c:v>
                </c:pt>
                <c:pt idx="1">
                  <c:v>96.756468119555294</c:v>
                </c:pt>
                <c:pt idx="2">
                  <c:v>92.55143029525361</c:v>
                </c:pt>
                <c:pt idx="3">
                  <c:v>86.278864540749083</c:v>
                </c:pt>
                <c:pt idx="4">
                  <c:v>87.816234299228526</c:v>
                </c:pt>
                <c:pt idx="5">
                  <c:v>87.665051395765715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41-4642-A92C-84F484224F8A}"/>
            </c:ext>
          </c:extLst>
        </c:ser>
        <c:ser>
          <c:idx val="2"/>
          <c:order val="2"/>
          <c:tx>
            <c:strRef>
              <c:f>BM_monthly!$AV$71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BM_monthly!$AV$72:$AV$77</c:f>
              <c:numCache>
                <c:formatCode>General</c:formatCode>
                <c:ptCount val="6"/>
                <c:pt idx="0">
                  <c:v>100</c:v>
                </c:pt>
                <c:pt idx="1">
                  <c:v>96.007044122823302</c:v>
                </c:pt>
                <c:pt idx="2">
                  <c:v>90.885729005637188</c:v>
                </c:pt>
                <c:pt idx="3">
                  <c:v>85.009502454760693</c:v>
                </c:pt>
                <c:pt idx="4">
                  <c:v>86.555222590660094</c:v>
                </c:pt>
                <c:pt idx="5">
                  <c:v>86.284323865824319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41-4642-A92C-84F484224F8A}"/>
            </c:ext>
          </c:extLst>
        </c:ser>
        <c:ser>
          <c:idx val="3"/>
          <c:order val="3"/>
          <c:tx>
            <c:strRef>
              <c:f>BM_monthly!$AW$71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BM_monthly!$A$72:$A$77</c:f>
              <c:numCache>
                <c:formatCode>General</c:formatCode>
                <c:ptCount val="6"/>
                <c:pt idx="0">
                  <c:v>20120229</c:v>
                </c:pt>
                <c:pt idx="1">
                  <c:v>20120330</c:v>
                </c:pt>
                <c:pt idx="2">
                  <c:v>20120430</c:v>
                </c:pt>
                <c:pt idx="3">
                  <c:v>20120531</c:v>
                </c:pt>
                <c:pt idx="4">
                  <c:v>20120629</c:v>
                </c:pt>
                <c:pt idx="5">
                  <c:v>20120731</c:v>
                </c:pt>
              </c:numCache>
            </c:numRef>
          </c:cat>
          <c:val>
            <c:numRef>
              <c:f>BM_monthly!$AW$72:$AW$77</c:f>
              <c:numCache>
                <c:formatCode>General</c:formatCode>
                <c:ptCount val="6"/>
                <c:pt idx="0">
                  <c:v>100</c:v>
                </c:pt>
                <c:pt idx="1">
                  <c:v>96.480043868564309</c:v>
                </c:pt>
                <c:pt idx="2">
                  <c:v>91.336645491002741</c:v>
                </c:pt>
                <c:pt idx="3">
                  <c:v>85.13411687455978</c:v>
                </c:pt>
                <c:pt idx="4">
                  <c:v>87.235193276430479</c:v>
                </c:pt>
                <c:pt idx="5">
                  <c:v>86.877952257120768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41-4642-A92C-84F484224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5175280"/>
        <c:axId val="1005172368"/>
      </c:lineChart>
      <c:catAx>
        <c:axId val="100517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2368"/>
        <c:crosses val="autoZero"/>
        <c:auto val="1"/>
        <c:lblAlgn val="ctr"/>
        <c:lblOffset val="100"/>
        <c:noMultiLvlLbl val="0"/>
      </c:catAx>
      <c:valAx>
        <c:axId val="1005172368"/>
        <c:scaling>
          <c:orientation val="minMax"/>
          <c:min val="8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5175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BM_monthly!$AX$76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BM_monthly!$AX$77:$AX$114</c:f>
              <c:numCache>
                <c:formatCode>General</c:formatCode>
                <c:ptCount val="38"/>
                <c:pt idx="0">
                  <c:v>100</c:v>
                </c:pt>
                <c:pt idx="1">
                  <c:v>99.983458034305499</c:v>
                </c:pt>
                <c:pt idx="2">
                  <c:v>104.61457219931798</c:v>
                </c:pt>
                <c:pt idx="3">
                  <c:v>99.743599531735143</c:v>
                </c:pt>
                <c:pt idx="4">
                  <c:v>101.39270626558765</c:v>
                </c:pt>
                <c:pt idx="5">
                  <c:v>105.29788262839112</c:v>
                </c:pt>
                <c:pt idx="6">
                  <c:v>102.95274087646972</c:v>
                </c:pt>
                <c:pt idx="7">
                  <c:v>106.85282740367488</c:v>
                </c:pt>
                <c:pt idx="8">
                  <c:v>104.90469282842166</c:v>
                </c:pt>
                <c:pt idx="9">
                  <c:v>101.4117931490813</c:v>
                </c:pt>
                <c:pt idx="10">
                  <c:v>104.09286405049119</c:v>
                </c:pt>
                <c:pt idx="11">
                  <c:v>96.868478648139686</c:v>
                </c:pt>
                <c:pt idx="12">
                  <c:v>99.222527612358135</c:v>
                </c:pt>
                <c:pt idx="13">
                  <c:v>100.78001730544106</c:v>
                </c:pt>
                <c:pt idx="14">
                  <c:v>104.22010994044894</c:v>
                </c:pt>
                <c:pt idx="15">
                  <c:v>106.87127805771875</c:v>
                </c:pt>
                <c:pt idx="16">
                  <c:v>107.97831730035121</c:v>
                </c:pt>
                <c:pt idx="17">
                  <c:v>105.74960553774113</c:v>
                </c:pt>
                <c:pt idx="18">
                  <c:v>101.03578154425611</c:v>
                </c:pt>
                <c:pt idx="19">
                  <c:v>103.24413396447295</c:v>
                </c:pt>
                <c:pt idx="20">
                  <c:v>102.96864661271442</c:v>
                </c:pt>
                <c:pt idx="21">
                  <c:v>101.82025245584568</c:v>
                </c:pt>
                <c:pt idx="22">
                  <c:v>103.86573013691658</c:v>
                </c:pt>
                <c:pt idx="23">
                  <c:v>104.03051356441188</c:v>
                </c:pt>
                <c:pt idx="24">
                  <c:v>107.80144551330993</c:v>
                </c:pt>
                <c:pt idx="25">
                  <c:v>105.85394716750649</c:v>
                </c:pt>
                <c:pt idx="26">
                  <c:v>102.15872652313331</c:v>
                </c:pt>
                <c:pt idx="27">
                  <c:v>99.63098691912252</c:v>
                </c:pt>
                <c:pt idx="28">
                  <c:v>100.85381992161655</c:v>
                </c:pt>
                <c:pt idx="29">
                  <c:v>97.080979284369135</c:v>
                </c:pt>
                <c:pt idx="30">
                  <c:v>98.800707487148173</c:v>
                </c:pt>
                <c:pt idx="31">
                  <c:v>99.690792487402675</c:v>
                </c:pt>
                <c:pt idx="32">
                  <c:v>101.54031149793863</c:v>
                </c:pt>
                <c:pt idx="33">
                  <c:v>104.82707283554744</c:v>
                </c:pt>
                <c:pt idx="34">
                  <c:v>102.09001374255614</c:v>
                </c:pt>
                <c:pt idx="35">
                  <c:v>98.665190614343175</c:v>
                </c:pt>
                <c:pt idx="36">
                  <c:v>95.487860742098036</c:v>
                </c:pt>
                <c:pt idx="37">
                  <c:v>90.853565429836621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6-46E2-A0B5-9ECB298E50CF}"/>
            </c:ext>
          </c:extLst>
        </c:ser>
        <c:ser>
          <c:idx val="1"/>
          <c:order val="1"/>
          <c:tx>
            <c:strRef>
              <c:f>BM_monthly!$AY$76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BM_monthly!$AY$77:$AY$114</c:f>
              <c:numCache>
                <c:formatCode>General</c:formatCode>
                <c:ptCount val="38"/>
                <c:pt idx="0">
                  <c:v>100</c:v>
                </c:pt>
                <c:pt idx="1">
                  <c:v>107.40043710539095</c:v>
                </c:pt>
                <c:pt idx="2">
                  <c:v>111.58632831471586</c:v>
                </c:pt>
                <c:pt idx="3">
                  <c:v>108.13653472559493</c:v>
                </c:pt>
                <c:pt idx="4">
                  <c:v>106.98002671199609</c:v>
                </c:pt>
                <c:pt idx="5">
                  <c:v>107.3017848470131</c:v>
                </c:pt>
                <c:pt idx="6">
                  <c:v>107.48542982030112</c:v>
                </c:pt>
                <c:pt idx="7">
                  <c:v>111.57266877124817</c:v>
                </c:pt>
                <c:pt idx="8">
                  <c:v>115.25012141816416</c:v>
                </c:pt>
                <c:pt idx="9">
                  <c:v>118.18692326372025</c:v>
                </c:pt>
                <c:pt idx="10">
                  <c:v>117.98810101991256</c:v>
                </c:pt>
                <c:pt idx="11">
                  <c:v>107.07109033511412</c:v>
                </c:pt>
                <c:pt idx="12">
                  <c:v>111.83371782418648</c:v>
                </c:pt>
                <c:pt idx="13">
                  <c:v>106.08001457017969</c:v>
                </c:pt>
                <c:pt idx="14">
                  <c:v>111.72747693054878</c:v>
                </c:pt>
                <c:pt idx="15">
                  <c:v>111.09610247693053</c:v>
                </c:pt>
                <c:pt idx="16">
                  <c:v>109.76960903351139</c:v>
                </c:pt>
                <c:pt idx="17">
                  <c:v>108.16385381253032</c:v>
                </c:pt>
                <c:pt idx="18">
                  <c:v>109.78933948518696</c:v>
                </c:pt>
                <c:pt idx="19">
                  <c:v>112.08414278776101</c:v>
                </c:pt>
                <c:pt idx="20">
                  <c:v>113.94335842642055</c:v>
                </c:pt>
                <c:pt idx="21">
                  <c:v>115.50661728994652</c:v>
                </c:pt>
                <c:pt idx="22">
                  <c:v>113.71266391452156</c:v>
                </c:pt>
                <c:pt idx="23">
                  <c:v>113.79462117532776</c:v>
                </c:pt>
                <c:pt idx="24">
                  <c:v>115.57036182612913</c:v>
                </c:pt>
                <c:pt idx="25">
                  <c:v>121.92812044681878</c:v>
                </c:pt>
                <c:pt idx="26">
                  <c:v>122.32121175327823</c:v>
                </c:pt>
                <c:pt idx="27">
                  <c:v>118.52082321515293</c:v>
                </c:pt>
                <c:pt idx="28">
                  <c:v>116.94694026226318</c:v>
                </c:pt>
                <c:pt idx="29">
                  <c:v>115.60982272948029</c:v>
                </c:pt>
                <c:pt idx="30">
                  <c:v>121.94633317144239</c:v>
                </c:pt>
                <c:pt idx="31">
                  <c:v>126.71654929577457</c:v>
                </c:pt>
                <c:pt idx="32">
                  <c:v>133.6449732880038</c:v>
                </c:pt>
                <c:pt idx="33">
                  <c:v>141.99854298203002</c:v>
                </c:pt>
                <c:pt idx="34">
                  <c:v>148.43674113647393</c:v>
                </c:pt>
                <c:pt idx="35">
                  <c:v>155.050995628946</c:v>
                </c:pt>
                <c:pt idx="36">
                  <c:v>151.61637931034474</c:v>
                </c:pt>
                <c:pt idx="37">
                  <c:v>146.35441962117525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6-46E2-A0B5-9ECB298E5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3152"/>
        <c:axId val="1003527312"/>
      </c:lineChart>
      <c:catAx>
        <c:axId val="100352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7312"/>
        <c:crosses val="autoZero"/>
        <c:auto val="1"/>
        <c:lblAlgn val="ctr"/>
        <c:lblOffset val="100"/>
        <c:noMultiLvlLbl val="0"/>
      </c:catAx>
      <c:valAx>
        <c:axId val="10035273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20120731~20150831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BM_monthly!$AZ$76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BM_monthly!$AZ$77:$AZ$114</c:f>
              <c:numCache>
                <c:formatCode>General</c:formatCode>
                <c:ptCount val="38"/>
                <c:pt idx="0">
                  <c:v>100</c:v>
                </c:pt>
                <c:pt idx="1">
                  <c:v>105.582122282265</c:v>
                </c:pt>
                <c:pt idx="2">
                  <c:v>113.36094606318656</c:v>
                </c:pt>
                <c:pt idx="3">
                  <c:v>109.2431364607239</c:v>
                </c:pt>
                <c:pt idx="4">
                  <c:v>107.0099283708369</c:v>
                </c:pt>
                <c:pt idx="5">
                  <c:v>113.64305703048566</c:v>
                </c:pt>
                <c:pt idx="6">
                  <c:v>112.99447529068908</c:v>
                </c:pt>
                <c:pt idx="7">
                  <c:v>117.82885705839327</c:v>
                </c:pt>
                <c:pt idx="8">
                  <c:v>124.95503634255894</c:v>
                </c:pt>
                <c:pt idx="9">
                  <c:v>132.90695447679889</c:v>
                </c:pt>
                <c:pt idx="10">
                  <c:v>136.82445478112291</c:v>
                </c:pt>
                <c:pt idx="11">
                  <c:v>126.56726214301237</c:v>
                </c:pt>
                <c:pt idx="12">
                  <c:v>136.64818527427639</c:v>
                </c:pt>
                <c:pt idx="13">
                  <c:v>135.68775532600503</c:v>
                </c:pt>
                <c:pt idx="14">
                  <c:v>142.13799597290526</c:v>
                </c:pt>
                <c:pt idx="15">
                  <c:v>141.13863519140367</c:v>
                </c:pt>
                <c:pt idx="16">
                  <c:v>140.56115727972985</c:v>
                </c:pt>
                <c:pt idx="17">
                  <c:v>138.2541837325831</c:v>
                </c:pt>
                <c:pt idx="18">
                  <c:v>141.75610500542734</c:v>
                </c:pt>
                <c:pt idx="19">
                  <c:v>152.60711052636202</c:v>
                </c:pt>
                <c:pt idx="20">
                  <c:v>160.68646266962102</c:v>
                </c:pt>
                <c:pt idx="21">
                  <c:v>162.75073346480977</c:v>
                </c:pt>
                <c:pt idx="22">
                  <c:v>163.97558673107361</c:v>
                </c:pt>
                <c:pt idx="23">
                  <c:v>158.38923632511472</c:v>
                </c:pt>
                <c:pt idx="24">
                  <c:v>168.93326275121262</c:v>
                </c:pt>
                <c:pt idx="25">
                  <c:v>172.39056359867624</c:v>
                </c:pt>
                <c:pt idx="26">
                  <c:v>173.50645693314476</c:v>
                </c:pt>
                <c:pt idx="27">
                  <c:v>173.57664443745651</c:v>
                </c:pt>
                <c:pt idx="28">
                  <c:v>167.96004438217344</c:v>
                </c:pt>
                <c:pt idx="29">
                  <c:v>159.07864043038262</c:v>
                </c:pt>
                <c:pt idx="30">
                  <c:v>160.94105153285611</c:v>
                </c:pt>
                <c:pt idx="31">
                  <c:v>173.40894998450329</c:v>
                </c:pt>
                <c:pt idx="32">
                  <c:v>183.5728323727042</c:v>
                </c:pt>
                <c:pt idx="33">
                  <c:v>196.34294356759088</c:v>
                </c:pt>
                <c:pt idx="34">
                  <c:v>192.62675158468204</c:v>
                </c:pt>
                <c:pt idx="35">
                  <c:v>187.75809271498153</c:v>
                </c:pt>
                <c:pt idx="36">
                  <c:v>188.4710513406344</c:v>
                </c:pt>
                <c:pt idx="37">
                  <c:v>183.46376938203042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52-4D1F-AAEC-EC47A8DC3CCA}"/>
            </c:ext>
          </c:extLst>
        </c:ser>
        <c:ser>
          <c:idx val="1"/>
          <c:order val="1"/>
          <c:tx>
            <c:strRef>
              <c:f>BM_monthly!$BA$76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BM_monthly!$BA$77:$BA$114</c:f>
              <c:numCache>
                <c:formatCode>General</c:formatCode>
                <c:ptCount val="38"/>
                <c:pt idx="0">
                  <c:v>100</c:v>
                </c:pt>
                <c:pt idx="1">
                  <c:v>104.607289921291</c:v>
                </c:pt>
                <c:pt idx="2">
                  <c:v>112.41424243639536</c:v>
                </c:pt>
                <c:pt idx="3">
                  <c:v>110.68061005824522</c:v>
                </c:pt>
                <c:pt idx="4">
                  <c:v>111.69972308427046</c:v>
                </c:pt>
                <c:pt idx="5">
                  <c:v>118.03122858277746</c:v>
                </c:pt>
                <c:pt idx="6">
                  <c:v>119.56110256860279</c:v>
                </c:pt>
                <c:pt idx="7">
                  <c:v>123.27756281327927</c:v>
                </c:pt>
                <c:pt idx="8">
                  <c:v>130.45993275539828</c:v>
                </c:pt>
                <c:pt idx="9">
                  <c:v>137.1014558543111</c:v>
                </c:pt>
                <c:pt idx="10">
                  <c:v>139.97676107194459</c:v>
                </c:pt>
                <c:pt idx="11">
                  <c:v>132.40799393523295</c:v>
                </c:pt>
                <c:pt idx="12">
                  <c:v>141.09746328691011</c:v>
                </c:pt>
                <c:pt idx="13">
                  <c:v>139.01460259744547</c:v>
                </c:pt>
                <c:pt idx="14">
                  <c:v>144.07324854719403</c:v>
                </c:pt>
                <c:pt idx="15">
                  <c:v>143.00837453070091</c:v>
                </c:pt>
                <c:pt idx="16">
                  <c:v>142.29535209514904</c:v>
                </c:pt>
                <c:pt idx="17">
                  <c:v>138.45689764441721</c:v>
                </c:pt>
                <c:pt idx="18">
                  <c:v>137.12952756268928</c:v>
                </c:pt>
                <c:pt idx="19">
                  <c:v>147.46916807946442</c:v>
                </c:pt>
                <c:pt idx="20">
                  <c:v>155.13944330344611</c:v>
                </c:pt>
                <c:pt idx="21">
                  <c:v>157.17540028475602</c:v>
                </c:pt>
                <c:pt idx="22">
                  <c:v>158.52694487833833</c:v>
                </c:pt>
                <c:pt idx="23">
                  <c:v>162.76176695593057</c:v>
                </c:pt>
                <c:pt idx="24">
                  <c:v>175.1013893638673</c:v>
                </c:pt>
                <c:pt idx="25">
                  <c:v>179.32162857808879</c:v>
                </c:pt>
                <c:pt idx="26">
                  <c:v>180.36847026806069</c:v>
                </c:pt>
                <c:pt idx="27">
                  <c:v>179.62243602272113</c:v>
                </c:pt>
                <c:pt idx="28">
                  <c:v>174.9986693000873</c:v>
                </c:pt>
                <c:pt idx="29">
                  <c:v>168.77300338474328</c:v>
                </c:pt>
                <c:pt idx="30">
                  <c:v>168.8893711909719</c:v>
                </c:pt>
                <c:pt idx="31">
                  <c:v>181.61032477133665</c:v>
                </c:pt>
                <c:pt idx="32">
                  <c:v>189.06417019382476</c:v>
                </c:pt>
                <c:pt idx="33">
                  <c:v>202.24828712050294</c:v>
                </c:pt>
                <c:pt idx="34">
                  <c:v>203.28841143662717</c:v>
                </c:pt>
                <c:pt idx="35">
                  <c:v>203.40928254731145</c:v>
                </c:pt>
                <c:pt idx="36">
                  <c:v>205.22351979850205</c:v>
                </c:pt>
                <c:pt idx="37">
                  <c:v>197.22913276418166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52-4D1F-AAEC-EC47A8DC3CCA}"/>
            </c:ext>
          </c:extLst>
        </c:ser>
        <c:ser>
          <c:idx val="2"/>
          <c:order val="2"/>
          <c:tx>
            <c:strRef>
              <c:f>BM_monthly!$BB$76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BM_monthly!$BB$77:$BB$114</c:f>
              <c:numCache>
                <c:formatCode>General</c:formatCode>
                <c:ptCount val="38"/>
                <c:pt idx="0">
                  <c:v>100</c:v>
                </c:pt>
                <c:pt idx="1">
                  <c:v>104.10275305017799</c:v>
                </c:pt>
                <c:pt idx="2">
                  <c:v>111.47638134308026</c:v>
                </c:pt>
                <c:pt idx="3">
                  <c:v>110.65310558293911</c:v>
                </c:pt>
                <c:pt idx="4">
                  <c:v>112.72565553105588</c:v>
                </c:pt>
                <c:pt idx="5">
                  <c:v>117.85722436615963</c:v>
                </c:pt>
                <c:pt idx="6">
                  <c:v>120.00703058874987</c:v>
                </c:pt>
                <c:pt idx="7">
                  <c:v>123.23997972564575</c:v>
                </c:pt>
                <c:pt idx="8">
                  <c:v>129.9356140233526</c:v>
                </c:pt>
                <c:pt idx="9">
                  <c:v>138.91710434138827</c:v>
                </c:pt>
                <c:pt idx="10">
                  <c:v>140.52133906659955</c:v>
                </c:pt>
                <c:pt idx="11">
                  <c:v>132.65084936192133</c:v>
                </c:pt>
                <c:pt idx="12">
                  <c:v>140.0934324063588</c:v>
                </c:pt>
                <c:pt idx="13">
                  <c:v>138.03177255400212</c:v>
                </c:pt>
                <c:pt idx="14">
                  <c:v>143.5469625721947</c:v>
                </c:pt>
                <c:pt idx="15">
                  <c:v>142.66901697569807</c:v>
                </c:pt>
                <c:pt idx="16">
                  <c:v>141.71072412624622</c:v>
                </c:pt>
                <c:pt idx="17">
                  <c:v>139.43546582213341</c:v>
                </c:pt>
                <c:pt idx="18">
                  <c:v>137.78903065257876</c:v>
                </c:pt>
                <c:pt idx="19">
                  <c:v>146.58780965180136</c:v>
                </c:pt>
                <c:pt idx="20">
                  <c:v>153.51831544691387</c:v>
                </c:pt>
                <c:pt idx="21">
                  <c:v>155.2448799874536</c:v>
                </c:pt>
                <c:pt idx="22">
                  <c:v>155.15052827964976</c:v>
                </c:pt>
                <c:pt idx="23">
                  <c:v>157.05273621754526</c:v>
                </c:pt>
                <c:pt idx="24">
                  <c:v>171.27025358780838</c:v>
                </c:pt>
                <c:pt idx="25">
                  <c:v>177.01864816195823</c:v>
                </c:pt>
                <c:pt idx="26">
                  <c:v>177.11609751136118</c:v>
                </c:pt>
                <c:pt idx="27">
                  <c:v>172.10463803415007</c:v>
                </c:pt>
                <c:pt idx="28">
                  <c:v>168.96332361230162</c:v>
                </c:pt>
                <c:pt idx="29">
                  <c:v>163.53524767722629</c:v>
                </c:pt>
                <c:pt idx="30">
                  <c:v>164.15920602080311</c:v>
                </c:pt>
                <c:pt idx="31">
                  <c:v>177.50519147539791</c:v>
                </c:pt>
                <c:pt idx="32">
                  <c:v>183.88691363177313</c:v>
                </c:pt>
                <c:pt idx="33">
                  <c:v>194.97597568827376</c:v>
                </c:pt>
                <c:pt idx="34">
                  <c:v>194.13451907298537</c:v>
                </c:pt>
                <c:pt idx="35">
                  <c:v>190.07128178673119</c:v>
                </c:pt>
                <c:pt idx="36">
                  <c:v>189.95726958055749</c:v>
                </c:pt>
                <c:pt idx="37">
                  <c:v>182.51043462579892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2-4D1F-AAEC-EC47A8DC3CCA}"/>
            </c:ext>
          </c:extLst>
        </c:ser>
        <c:ser>
          <c:idx val="3"/>
          <c:order val="3"/>
          <c:tx>
            <c:strRef>
              <c:f>BM_monthly!$BC$76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BM_monthly!$A$77:$A$114</c:f>
              <c:numCache>
                <c:formatCode>General</c:formatCode>
                <c:ptCount val="38"/>
                <c:pt idx="0">
                  <c:v>20120731</c:v>
                </c:pt>
                <c:pt idx="1">
                  <c:v>20120831</c:v>
                </c:pt>
                <c:pt idx="2">
                  <c:v>20120928</c:v>
                </c:pt>
                <c:pt idx="3">
                  <c:v>20121031</c:v>
                </c:pt>
                <c:pt idx="4">
                  <c:v>20121130</c:v>
                </c:pt>
                <c:pt idx="5">
                  <c:v>20121228</c:v>
                </c:pt>
                <c:pt idx="6">
                  <c:v>20130131</c:v>
                </c:pt>
                <c:pt idx="7">
                  <c:v>20130228</c:v>
                </c:pt>
                <c:pt idx="8">
                  <c:v>20130329</c:v>
                </c:pt>
                <c:pt idx="9">
                  <c:v>20130430</c:v>
                </c:pt>
                <c:pt idx="10">
                  <c:v>20130531</c:v>
                </c:pt>
                <c:pt idx="11">
                  <c:v>20130628</c:v>
                </c:pt>
                <c:pt idx="12">
                  <c:v>20130731</c:v>
                </c:pt>
                <c:pt idx="13">
                  <c:v>20130830</c:v>
                </c:pt>
                <c:pt idx="14">
                  <c:v>20130930</c:v>
                </c:pt>
                <c:pt idx="15">
                  <c:v>20131031</c:v>
                </c:pt>
                <c:pt idx="16">
                  <c:v>20131129</c:v>
                </c:pt>
                <c:pt idx="17">
                  <c:v>20131230</c:v>
                </c:pt>
                <c:pt idx="18">
                  <c:v>20140129</c:v>
                </c:pt>
                <c:pt idx="19">
                  <c:v>20140228</c:v>
                </c:pt>
                <c:pt idx="20">
                  <c:v>20140331</c:v>
                </c:pt>
                <c:pt idx="21">
                  <c:v>20140430</c:v>
                </c:pt>
                <c:pt idx="22">
                  <c:v>20140530</c:v>
                </c:pt>
                <c:pt idx="23">
                  <c:v>20140630</c:v>
                </c:pt>
                <c:pt idx="24">
                  <c:v>20140731</c:v>
                </c:pt>
                <c:pt idx="25">
                  <c:v>20140829</c:v>
                </c:pt>
                <c:pt idx="26">
                  <c:v>20140930</c:v>
                </c:pt>
                <c:pt idx="27">
                  <c:v>20141031</c:v>
                </c:pt>
                <c:pt idx="28">
                  <c:v>20141128</c:v>
                </c:pt>
                <c:pt idx="29">
                  <c:v>20141230</c:v>
                </c:pt>
                <c:pt idx="30">
                  <c:v>20150130</c:v>
                </c:pt>
                <c:pt idx="31">
                  <c:v>20150227</c:v>
                </c:pt>
                <c:pt idx="32">
                  <c:v>20150331</c:v>
                </c:pt>
                <c:pt idx="33">
                  <c:v>20150430</c:v>
                </c:pt>
                <c:pt idx="34">
                  <c:v>20150529</c:v>
                </c:pt>
                <c:pt idx="35">
                  <c:v>20150630</c:v>
                </c:pt>
                <c:pt idx="36">
                  <c:v>20150731</c:v>
                </c:pt>
                <c:pt idx="37">
                  <c:v>20150831</c:v>
                </c:pt>
              </c:numCache>
            </c:numRef>
          </c:cat>
          <c:val>
            <c:numRef>
              <c:f>BM_monthly!$BC$77:$BC$114</c:f>
              <c:numCache>
                <c:formatCode>General</c:formatCode>
                <c:ptCount val="38"/>
                <c:pt idx="0">
                  <c:v>100</c:v>
                </c:pt>
                <c:pt idx="1">
                  <c:v>104.66012731915899</c:v>
                </c:pt>
                <c:pt idx="2">
                  <c:v>111.41426454794517</c:v>
                </c:pt>
                <c:pt idx="3">
                  <c:v>110.32046516576079</c:v>
                </c:pt>
                <c:pt idx="4">
                  <c:v>111.73548448319382</c:v>
                </c:pt>
                <c:pt idx="5">
                  <c:v>116.09338967402252</c:v>
                </c:pt>
                <c:pt idx="6">
                  <c:v>118.1798800774708</c:v>
                </c:pt>
                <c:pt idx="7">
                  <c:v>121.33224569855426</c:v>
                </c:pt>
                <c:pt idx="8">
                  <c:v>127.69220816928296</c:v>
                </c:pt>
                <c:pt idx="9">
                  <c:v>136.15763065670694</c:v>
                </c:pt>
                <c:pt idx="10">
                  <c:v>137.85621826919513</c:v>
                </c:pt>
                <c:pt idx="11">
                  <c:v>130.37640022370766</c:v>
                </c:pt>
                <c:pt idx="12">
                  <c:v>137.00679537537113</c:v>
                </c:pt>
                <c:pt idx="13">
                  <c:v>134.96215756886218</c:v>
                </c:pt>
                <c:pt idx="14">
                  <c:v>139.89057060054529</c:v>
                </c:pt>
                <c:pt idx="15">
                  <c:v>139.42454816736029</c:v>
                </c:pt>
                <c:pt idx="16">
                  <c:v>137.79473136805433</c:v>
                </c:pt>
                <c:pt idx="17">
                  <c:v>136.04680245576506</c:v>
                </c:pt>
                <c:pt idx="18">
                  <c:v>134.4222860345607</c:v>
                </c:pt>
                <c:pt idx="19">
                  <c:v>142.39457868288014</c:v>
                </c:pt>
                <c:pt idx="20">
                  <c:v>148.04930033491209</c:v>
                </c:pt>
                <c:pt idx="21">
                  <c:v>150.21008345711769</c:v>
                </c:pt>
                <c:pt idx="22">
                  <c:v>150.58418163389919</c:v>
                </c:pt>
                <c:pt idx="23">
                  <c:v>151.97167097147613</c:v>
                </c:pt>
                <c:pt idx="24">
                  <c:v>163.78101674267415</c:v>
                </c:pt>
                <c:pt idx="25">
                  <c:v>168.9301556067806</c:v>
                </c:pt>
                <c:pt idx="26">
                  <c:v>169.22829823695884</c:v>
                </c:pt>
                <c:pt idx="27">
                  <c:v>163.53035836427711</c:v>
                </c:pt>
                <c:pt idx="28">
                  <c:v>160.66862447135725</c:v>
                </c:pt>
                <c:pt idx="29">
                  <c:v>155.95108113339811</c:v>
                </c:pt>
                <c:pt idx="30">
                  <c:v>157.89274348651188</c:v>
                </c:pt>
                <c:pt idx="31">
                  <c:v>169.25956871729301</c:v>
                </c:pt>
                <c:pt idx="32">
                  <c:v>177.73513319405589</c:v>
                </c:pt>
                <c:pt idx="33">
                  <c:v>189.37397631969944</c:v>
                </c:pt>
                <c:pt idx="34">
                  <c:v>189.21458676162266</c:v>
                </c:pt>
                <c:pt idx="35">
                  <c:v>186.4875106763416</c:v>
                </c:pt>
                <c:pt idx="36">
                  <c:v>183.95985479290712</c:v>
                </c:pt>
                <c:pt idx="37">
                  <c:v>176.09254553832693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52-4D1F-AAEC-EC47A8DC3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9392"/>
        <c:axId val="1003529808"/>
      </c:lineChart>
      <c:catAx>
        <c:axId val="100352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808"/>
        <c:crosses val="autoZero"/>
        <c:auto val="1"/>
        <c:lblAlgn val="ctr"/>
        <c:lblOffset val="100"/>
        <c:noMultiLvlLbl val="0"/>
      </c:catAx>
      <c:valAx>
        <c:axId val="1003529808"/>
        <c:scaling>
          <c:orientation val="minMax"/>
          <c:max val="21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 sz="1400" b="0" i="0" u="none" strike="noStrike" baseline="0">
                <a:effectLst/>
              </a:rPr>
              <a:t>20150831~20170531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BM_monthly!$BF$113</c:f>
              <c:strCache>
                <c:ptCount val="1"/>
                <c:pt idx="0">
                  <c:v>25 port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BM_monthly!$BF$114:$BF$135</c:f>
              <c:numCache>
                <c:formatCode>General</c:formatCode>
                <c:ptCount val="22"/>
                <c:pt idx="0">
                  <c:v>100</c:v>
                </c:pt>
                <c:pt idx="1">
                  <c:v>102.39275618356901</c:v>
                </c:pt>
                <c:pt idx="2">
                  <c:v>104.40436534120244</c:v>
                </c:pt>
                <c:pt idx="3">
                  <c:v>101.40430306194068</c:v>
                </c:pt>
                <c:pt idx="4">
                  <c:v>99.267225838773612</c:v>
                </c:pt>
                <c:pt idx="5">
                  <c:v>95.234413980671718</c:v>
                </c:pt>
                <c:pt idx="6">
                  <c:v>97.786909983557649</c:v>
                </c:pt>
                <c:pt idx="7">
                  <c:v>106.69948577208284</c:v>
                </c:pt>
                <c:pt idx="8">
                  <c:v>110.75843643291878</c:v>
                </c:pt>
                <c:pt idx="9">
                  <c:v>104.87412399431481</c:v>
                </c:pt>
                <c:pt idx="10">
                  <c:v>102.46417546983282</c:v>
                </c:pt>
                <c:pt idx="11">
                  <c:v>109.27248244316816</c:v>
                </c:pt>
                <c:pt idx="12">
                  <c:v>106.3141888747258</c:v>
                </c:pt>
                <c:pt idx="13">
                  <c:v>105.74723750922563</c:v>
                </c:pt>
                <c:pt idx="14">
                  <c:v>103.65413880750449</c:v>
                </c:pt>
                <c:pt idx="15">
                  <c:v>103.32507198641844</c:v>
                </c:pt>
                <c:pt idx="16">
                  <c:v>103.79207007580327</c:v>
                </c:pt>
                <c:pt idx="17">
                  <c:v>101.00515138283377</c:v>
                </c:pt>
                <c:pt idx="18">
                  <c:v>101.52863871925395</c:v>
                </c:pt>
                <c:pt idx="19">
                  <c:v>103.27201512778561</c:v>
                </c:pt>
                <c:pt idx="20">
                  <c:v>106.66930565690848</c:v>
                </c:pt>
                <c:pt idx="21">
                  <c:v>112.31242939350318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D3-4D92-84B5-73CA6C8CB1B6}"/>
            </c:ext>
          </c:extLst>
        </c:ser>
        <c:ser>
          <c:idx val="1"/>
          <c:order val="1"/>
          <c:tx>
            <c:strRef>
              <c:f>BM_monthly!$BG$113</c:f>
              <c:strCache>
                <c:ptCount val="1"/>
                <c:pt idx="0">
                  <c:v>50 port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BM_monthly!$BG$114:$BG$135</c:f>
              <c:numCache>
                <c:formatCode>General</c:formatCode>
                <c:ptCount val="22"/>
                <c:pt idx="0">
                  <c:v>100</c:v>
                </c:pt>
                <c:pt idx="1">
                  <c:v>102.38674747127502</c:v>
                </c:pt>
                <c:pt idx="2">
                  <c:v>102.47107036959427</c:v>
                </c:pt>
                <c:pt idx="3">
                  <c:v>99.143268834321731</c:v>
                </c:pt>
                <c:pt idx="4">
                  <c:v>97.453424235984656</c:v>
                </c:pt>
                <c:pt idx="5">
                  <c:v>91.832420486230859</c:v>
                </c:pt>
                <c:pt idx="6">
                  <c:v>94.18937695793889</c:v>
                </c:pt>
                <c:pt idx="7">
                  <c:v>102.46983110334922</c:v>
                </c:pt>
                <c:pt idx="8">
                  <c:v>106.36136570647618</c:v>
                </c:pt>
                <c:pt idx="9">
                  <c:v>99.809811731207475</c:v>
                </c:pt>
                <c:pt idx="10">
                  <c:v>97.402063434015076</c:v>
                </c:pt>
                <c:pt idx="11">
                  <c:v>103.35819428152881</c:v>
                </c:pt>
                <c:pt idx="12">
                  <c:v>101.93051745344559</c:v>
                </c:pt>
                <c:pt idx="13">
                  <c:v>101.96303758400285</c:v>
                </c:pt>
                <c:pt idx="14">
                  <c:v>100.69018317487014</c:v>
                </c:pt>
                <c:pt idx="15">
                  <c:v>100.96302930496708</c:v>
                </c:pt>
                <c:pt idx="16">
                  <c:v>102.02194856716531</c:v>
                </c:pt>
                <c:pt idx="17">
                  <c:v>100.94447775066266</c:v>
                </c:pt>
                <c:pt idx="18">
                  <c:v>102.73333425230334</c:v>
                </c:pt>
                <c:pt idx="19">
                  <c:v>104.28152785312719</c:v>
                </c:pt>
                <c:pt idx="20">
                  <c:v>107.694114344185</c:v>
                </c:pt>
                <c:pt idx="21">
                  <c:v>112.92111693184809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D3-4D92-84B5-73CA6C8CB1B6}"/>
            </c:ext>
          </c:extLst>
        </c:ser>
        <c:ser>
          <c:idx val="2"/>
          <c:order val="2"/>
          <c:tx>
            <c:strRef>
              <c:f>BM_monthly!$BH$113</c:f>
              <c:strCache>
                <c:ptCount val="1"/>
                <c:pt idx="0">
                  <c:v>75 port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BM_monthly!$BH$114:$BH$135</c:f>
              <c:numCache>
                <c:formatCode>General</c:formatCode>
                <c:ptCount val="22"/>
                <c:pt idx="0">
                  <c:v>100</c:v>
                </c:pt>
                <c:pt idx="1">
                  <c:v>102.174415297018</c:v>
                </c:pt>
                <c:pt idx="2">
                  <c:v>101.91523323649531</c:v>
                </c:pt>
                <c:pt idx="3">
                  <c:v>98.778266955320916</c:v>
                </c:pt>
                <c:pt idx="4">
                  <c:v>97.594189503788414</c:v>
                </c:pt>
                <c:pt idx="5">
                  <c:v>92.594979662910958</c:v>
                </c:pt>
                <c:pt idx="6">
                  <c:v>95.86445270215502</c:v>
                </c:pt>
                <c:pt idx="7">
                  <c:v>103.22916986779782</c:v>
                </c:pt>
                <c:pt idx="8">
                  <c:v>107.48568140841809</c:v>
                </c:pt>
                <c:pt idx="9">
                  <c:v>101.46410860196316</c:v>
                </c:pt>
                <c:pt idx="10">
                  <c:v>99.017141515641825</c:v>
                </c:pt>
                <c:pt idx="11">
                  <c:v>104.84933864937869</c:v>
                </c:pt>
                <c:pt idx="12">
                  <c:v>104.1934042435873</c:v>
                </c:pt>
                <c:pt idx="13">
                  <c:v>104.53252391896071</c:v>
                </c:pt>
                <c:pt idx="14">
                  <c:v>103.62054055202215</c:v>
                </c:pt>
                <c:pt idx="15">
                  <c:v>104.08434954187318</c:v>
                </c:pt>
                <c:pt idx="16">
                  <c:v>105.88651739253817</c:v>
                </c:pt>
                <c:pt idx="17">
                  <c:v>105.52765507486417</c:v>
                </c:pt>
                <c:pt idx="18">
                  <c:v>107.40197899193423</c:v>
                </c:pt>
                <c:pt idx="19">
                  <c:v>109.29921870172682</c:v>
                </c:pt>
                <c:pt idx="20">
                  <c:v>111.95661115891528</c:v>
                </c:pt>
                <c:pt idx="21">
                  <c:v>116.96510261250447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D3-4D92-84B5-73CA6C8CB1B6}"/>
            </c:ext>
          </c:extLst>
        </c:ser>
        <c:ser>
          <c:idx val="3"/>
          <c:order val="3"/>
          <c:tx>
            <c:strRef>
              <c:f>BM_monthly!$BI$113</c:f>
              <c:strCache>
                <c:ptCount val="1"/>
                <c:pt idx="0">
                  <c:v>100 port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BM_monthly!$BI$114:$BI$135</c:f>
              <c:numCache>
                <c:formatCode>General</c:formatCode>
                <c:ptCount val="22"/>
                <c:pt idx="0">
                  <c:v>100</c:v>
                </c:pt>
                <c:pt idx="1">
                  <c:v>102.73920376718399</c:v>
                </c:pt>
                <c:pt idx="2">
                  <c:v>102.10830651835136</c:v>
                </c:pt>
                <c:pt idx="3">
                  <c:v>98.942159064894156</c:v>
                </c:pt>
                <c:pt idx="4">
                  <c:v>97.957789718856887</c:v>
                </c:pt>
                <c:pt idx="5">
                  <c:v>92.879722764753623</c:v>
                </c:pt>
                <c:pt idx="6">
                  <c:v>96.505093993908744</c:v>
                </c:pt>
                <c:pt idx="7">
                  <c:v>103.84271479793256</c:v>
                </c:pt>
                <c:pt idx="8">
                  <c:v>107.55348662592841</c:v>
                </c:pt>
                <c:pt idx="9">
                  <c:v>102.14088688782243</c:v>
                </c:pt>
                <c:pt idx="10">
                  <c:v>99.911728834287302</c:v>
                </c:pt>
                <c:pt idx="11">
                  <c:v>105.16422515359503</c:v>
                </c:pt>
                <c:pt idx="12">
                  <c:v>103.96624590172348</c:v>
                </c:pt>
                <c:pt idx="13">
                  <c:v>104.40882622473572</c:v>
                </c:pt>
                <c:pt idx="14">
                  <c:v>103.75316039986107</c:v>
                </c:pt>
                <c:pt idx="15">
                  <c:v>103.96916578138828</c:v>
                </c:pt>
                <c:pt idx="16">
                  <c:v>105.73624511637516</c:v>
                </c:pt>
                <c:pt idx="17">
                  <c:v>105.3836090883357</c:v>
                </c:pt>
                <c:pt idx="18">
                  <c:v>107.116999467043</c:v>
                </c:pt>
                <c:pt idx="19">
                  <c:v>109.42287611746191</c:v>
                </c:pt>
                <c:pt idx="20">
                  <c:v>112.07215313228876</c:v>
                </c:pt>
                <c:pt idx="21">
                  <c:v>117.18865470879206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D3-4D92-84B5-73CA6C8C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8340512"/>
        <c:axId val="948335104"/>
      </c:lineChart>
      <c:catAx>
        <c:axId val="948340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35104"/>
        <c:crosses val="autoZero"/>
        <c:auto val="1"/>
        <c:lblAlgn val="ctr"/>
        <c:lblOffset val="100"/>
        <c:noMultiLvlLbl val="0"/>
      </c:catAx>
      <c:valAx>
        <c:axId val="9483351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48340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>
                <a:solidFill>
                  <a:srgbClr val="FF0000"/>
                </a:solidFill>
              </a:rPr>
              <a:t>20150831~20170531</a:t>
            </a:r>
            <a:endParaRPr lang="ko-KR" altLang="en-US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BM_monthly!$BD$113</c:f>
              <c:strCache>
                <c:ptCount val="1"/>
                <c:pt idx="0">
                  <c:v>WMI500대형주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BM_monthly!$BD$114:$BD$135</c:f>
              <c:numCache>
                <c:formatCode>General</c:formatCode>
                <c:ptCount val="22"/>
                <c:pt idx="0">
                  <c:v>100</c:v>
                </c:pt>
                <c:pt idx="1">
                  <c:v>101.90966386554621</c:v>
                </c:pt>
                <c:pt idx="2">
                  <c:v>107.98389355742296</c:v>
                </c:pt>
                <c:pt idx="3">
                  <c:v>105.90476190476188</c:v>
                </c:pt>
                <c:pt idx="4">
                  <c:v>104.22198879551819</c:v>
                </c:pt>
                <c:pt idx="5">
                  <c:v>101.22619047619045</c:v>
                </c:pt>
                <c:pt idx="6">
                  <c:v>101.80882352941173</c:v>
                </c:pt>
                <c:pt idx="7">
                  <c:v>106.5819327731092</c:v>
                </c:pt>
                <c:pt idx="8">
                  <c:v>106.00140056022406</c:v>
                </c:pt>
                <c:pt idx="9">
                  <c:v>105.60224089635851</c:v>
                </c:pt>
                <c:pt idx="10">
                  <c:v>105.73179271708678</c:v>
                </c:pt>
                <c:pt idx="11">
                  <c:v>109.10504201680666</c:v>
                </c:pt>
                <c:pt idx="12">
                  <c:v>111.8151260504201</c:v>
                </c:pt>
                <c:pt idx="13">
                  <c:v>112.07072829131646</c:v>
                </c:pt>
                <c:pt idx="14">
                  <c:v>111.88865546218481</c:v>
                </c:pt>
                <c:pt idx="15">
                  <c:v>110.76960784313719</c:v>
                </c:pt>
                <c:pt idx="16">
                  <c:v>113.37535014005597</c:v>
                </c:pt>
                <c:pt idx="17">
                  <c:v>117.26960784313718</c:v>
                </c:pt>
                <c:pt idx="18">
                  <c:v>117.84173669467779</c:v>
                </c:pt>
                <c:pt idx="19">
                  <c:v>122.47268907563019</c:v>
                </c:pt>
                <c:pt idx="20">
                  <c:v>125.50910364145651</c:v>
                </c:pt>
                <c:pt idx="21">
                  <c:v>133.22969187675062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F-4E3C-A988-0F9B43ED6F4E}"/>
            </c:ext>
          </c:extLst>
        </c:ser>
        <c:ser>
          <c:idx val="1"/>
          <c:order val="1"/>
          <c:tx>
            <c:strRef>
              <c:f>BM_monthly!$BE$113</c:f>
              <c:strCache>
                <c:ptCount val="1"/>
                <c:pt idx="0">
                  <c:v>WMI500중소형주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BM_monthly!$BE$114:$BE$135</c:f>
              <c:numCache>
                <c:formatCode>General</c:formatCode>
                <c:ptCount val="22"/>
                <c:pt idx="0">
                  <c:v>100</c:v>
                </c:pt>
                <c:pt idx="1">
                  <c:v>98.180026962563531</c:v>
                </c:pt>
                <c:pt idx="2">
                  <c:v>95.806284351342967</c:v>
                </c:pt>
                <c:pt idx="3">
                  <c:v>95.550139997925982</c:v>
                </c:pt>
                <c:pt idx="4">
                  <c:v>94.409416156797704</c:v>
                </c:pt>
                <c:pt idx="5">
                  <c:v>93.046769677486282</c:v>
                </c:pt>
                <c:pt idx="6">
                  <c:v>90.689619413045747</c:v>
                </c:pt>
                <c:pt idx="7">
                  <c:v>93.655501399979272</c:v>
                </c:pt>
                <c:pt idx="8">
                  <c:v>95.106294721559692</c:v>
                </c:pt>
                <c:pt idx="9">
                  <c:v>94.634449860002078</c:v>
                </c:pt>
                <c:pt idx="10">
                  <c:v>91.916416053095517</c:v>
                </c:pt>
                <c:pt idx="11">
                  <c:v>92.769884890594213</c:v>
                </c:pt>
                <c:pt idx="12">
                  <c:v>88.36669086383904</c:v>
                </c:pt>
                <c:pt idx="13">
                  <c:v>88.958830239551986</c:v>
                </c:pt>
                <c:pt idx="14">
                  <c:v>81.853157730996557</c:v>
                </c:pt>
                <c:pt idx="15">
                  <c:v>79.869335269107097</c:v>
                </c:pt>
                <c:pt idx="16">
                  <c:v>82.965881986933496</c:v>
                </c:pt>
                <c:pt idx="17">
                  <c:v>80.379549932593562</c:v>
                </c:pt>
                <c:pt idx="18">
                  <c:v>83.180545473400358</c:v>
                </c:pt>
                <c:pt idx="19">
                  <c:v>84.46334128383279</c:v>
                </c:pt>
                <c:pt idx="20">
                  <c:v>86.073835943171176</c:v>
                </c:pt>
                <c:pt idx="21">
                  <c:v>91.04220678212171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F-4E3C-A988-0F9B43ED6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526064"/>
        <c:axId val="1003526480"/>
      </c:lineChart>
      <c:catAx>
        <c:axId val="1003526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480"/>
        <c:crosses val="autoZero"/>
        <c:auto val="1"/>
        <c:lblAlgn val="ctr"/>
        <c:lblOffset val="100"/>
        <c:noMultiLvlLbl val="0"/>
      </c:catAx>
      <c:valAx>
        <c:axId val="100352648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352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25-KOSPI(</a:t>
            </a:r>
            <a:r>
              <a:rPr lang="ko-KR" altLang="en-US"/>
              <a:t>승률</a:t>
            </a:r>
            <a:r>
              <a:rPr lang="en-US" altLang="ko-KR"/>
              <a:t>77%)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'12개월롤링초과수익률'!$D$26</c:f>
              <c:strCache>
                <c:ptCount val="1"/>
                <c:pt idx="0">
                  <c:v>25-KOSPI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'12개월롤링초과수익률'!$E$26:$CZ$26</c:f>
              <c:numCache>
                <c:formatCode>0.0%</c:formatCode>
                <c:ptCount val="100"/>
                <c:pt idx="0">
                  <c:v>2.1216650830916839E-2</c:v>
                </c:pt>
                <c:pt idx="1">
                  <c:v>7.3043281485670186E-2</c:v>
                </c:pt>
                <c:pt idx="2">
                  <c:v>0.15839176152288559</c:v>
                </c:pt>
                <c:pt idx="3">
                  <c:v>0.13828115161401278</c:v>
                </c:pt>
                <c:pt idx="4">
                  <c:v>9.6809577542300906E-2</c:v>
                </c:pt>
                <c:pt idx="5">
                  <c:v>6.1048929504437632E-2</c:v>
                </c:pt>
                <c:pt idx="6">
                  <c:v>9.6206191642878025E-2</c:v>
                </c:pt>
                <c:pt idx="7">
                  <c:v>4.3791739250960138E-3</c:v>
                </c:pt>
                <c:pt idx="8">
                  <c:v>0.26282455377030711</c:v>
                </c:pt>
                <c:pt idx="9">
                  <c:v>0.2157209359600738</c:v>
                </c:pt>
                <c:pt idx="10">
                  <c:v>0.17106411694342993</c:v>
                </c:pt>
                <c:pt idx="11">
                  <c:v>6.7597049620715888E-2</c:v>
                </c:pt>
                <c:pt idx="12">
                  <c:v>8.9658891174992261E-2</c:v>
                </c:pt>
                <c:pt idx="13">
                  <c:v>-3.3523965598162953E-2</c:v>
                </c:pt>
                <c:pt idx="14">
                  <c:v>-0.17256622666962373</c:v>
                </c:pt>
                <c:pt idx="15">
                  <c:v>-0.15873071094901903</c:v>
                </c:pt>
                <c:pt idx="16">
                  <c:v>-0.11255472519935084</c:v>
                </c:pt>
                <c:pt idx="17">
                  <c:v>-4.8246227991194601E-2</c:v>
                </c:pt>
                <c:pt idx="18">
                  <c:v>-4.487184944117284E-2</c:v>
                </c:pt>
                <c:pt idx="19">
                  <c:v>2.6258104532050242E-2</c:v>
                </c:pt>
                <c:pt idx="20">
                  <c:v>0.11150551013236343</c:v>
                </c:pt>
                <c:pt idx="21">
                  <c:v>3.6153969753482285E-2</c:v>
                </c:pt>
                <c:pt idx="22">
                  <c:v>-4.3112730485334261E-2</c:v>
                </c:pt>
                <c:pt idx="23">
                  <c:v>-4.8456146450714721E-2</c:v>
                </c:pt>
                <c:pt idx="24">
                  <c:v>-4.437935469415466E-2</c:v>
                </c:pt>
                <c:pt idx="25">
                  <c:v>-7.6734768159214317E-2</c:v>
                </c:pt>
                <c:pt idx="26">
                  <c:v>-7.3795207390440654E-2</c:v>
                </c:pt>
                <c:pt idx="27">
                  <c:v>-7.5841469219638524E-2</c:v>
                </c:pt>
                <c:pt idx="28">
                  <c:v>-4.1675602252416288E-2</c:v>
                </c:pt>
                <c:pt idx="29">
                  <c:v>0.11821211031222179</c:v>
                </c:pt>
                <c:pt idx="30">
                  <c:v>0.1139871412880975</c:v>
                </c:pt>
                <c:pt idx="31">
                  <c:v>5.0044067305372586E-2</c:v>
                </c:pt>
                <c:pt idx="32">
                  <c:v>-6.2653805881876301E-2</c:v>
                </c:pt>
                <c:pt idx="33">
                  <c:v>-4.8371949111130075E-3</c:v>
                </c:pt>
                <c:pt idx="34">
                  <c:v>3.6740730710685621E-2</c:v>
                </c:pt>
                <c:pt idx="35">
                  <c:v>6.5495444332064667E-2</c:v>
                </c:pt>
                <c:pt idx="36">
                  <c:v>0.15120027922991808</c:v>
                </c:pt>
                <c:pt idx="37">
                  <c:v>0.17423872062009227</c:v>
                </c:pt>
                <c:pt idx="38">
                  <c:v>0.14544833333462492</c:v>
                </c:pt>
                <c:pt idx="39">
                  <c:v>0.13593392985826169</c:v>
                </c:pt>
                <c:pt idx="40">
                  <c:v>7.8533193876813012E-2</c:v>
                </c:pt>
                <c:pt idx="41">
                  <c:v>-2.295465175418876E-2</c:v>
                </c:pt>
                <c:pt idx="42">
                  <c:v>-2.0881539687045647E-2</c:v>
                </c:pt>
                <c:pt idx="43">
                  <c:v>5.1232727163582403E-2</c:v>
                </c:pt>
                <c:pt idx="44">
                  <c:v>7.2320159478422852E-2</c:v>
                </c:pt>
                <c:pt idx="45">
                  <c:v>4.1157469712379768E-2</c:v>
                </c:pt>
                <c:pt idx="46">
                  <c:v>7.7217496398421348E-2</c:v>
                </c:pt>
                <c:pt idx="47">
                  <c:v>8.2210012663632925E-2</c:v>
                </c:pt>
                <c:pt idx="48">
                  <c:v>2.5936967847002501E-2</c:v>
                </c:pt>
                <c:pt idx="49">
                  <c:v>0.11121860278228402</c:v>
                </c:pt>
                <c:pt idx="50">
                  <c:v>0.24523403864449866</c:v>
                </c:pt>
                <c:pt idx="51">
                  <c:v>0.28812795483425191</c:v>
                </c:pt>
                <c:pt idx="52">
                  <c:v>0.264837713617041</c:v>
                </c:pt>
                <c:pt idx="53">
                  <c:v>0.34945732020008302</c:v>
                </c:pt>
                <c:pt idx="54">
                  <c:v>0.27399059113741209</c:v>
                </c:pt>
                <c:pt idx="55">
                  <c:v>0.25347758503056927</c:v>
                </c:pt>
                <c:pt idx="56">
                  <c:v>0.23023875333686417</c:v>
                </c:pt>
                <c:pt idx="57">
                  <c:v>0.25560529344878646</c:v>
                </c:pt>
                <c:pt idx="58">
                  <c:v>0.20940960444319301</c:v>
                </c:pt>
                <c:pt idx="59">
                  <c:v>0.26513679570386017</c:v>
                </c:pt>
                <c:pt idx="60">
                  <c:v>0.31810512880805586</c:v>
                </c:pt>
                <c:pt idx="61">
                  <c:v>0.2955707587031865</c:v>
                </c:pt>
                <c:pt idx="62">
                  <c:v>0.22564623054308419</c:v>
                </c:pt>
                <c:pt idx="63">
                  <c:v>0.20148111565756455</c:v>
                </c:pt>
                <c:pt idx="64">
                  <c:v>0.17688442725310005</c:v>
                </c:pt>
                <c:pt idx="65">
                  <c:v>0.15157903113968541</c:v>
                </c:pt>
                <c:pt idx="66">
                  <c:v>0.19668702769617363</c:v>
                </c:pt>
                <c:pt idx="67">
                  <c:v>0.20910758178550637</c:v>
                </c:pt>
                <c:pt idx="68">
                  <c:v>0.26217422063103557</c:v>
                </c:pt>
                <c:pt idx="69">
                  <c:v>0.22626687073219232</c:v>
                </c:pt>
                <c:pt idx="70">
                  <c:v>0.19822950253179383</c:v>
                </c:pt>
                <c:pt idx="71">
                  <c:v>0.13115977351701824</c:v>
                </c:pt>
                <c:pt idx="72">
                  <c:v>0.13337540730241426</c:v>
                </c:pt>
                <c:pt idx="73">
                  <c:v>0.11451791724346605</c:v>
                </c:pt>
                <c:pt idx="74">
                  <c:v>0.12210225627497673</c:v>
                </c:pt>
                <c:pt idx="75">
                  <c:v>0.11465685512879897</c:v>
                </c:pt>
                <c:pt idx="76">
                  <c:v>0.14946677736877256</c:v>
                </c:pt>
                <c:pt idx="77">
                  <c:v>0.13779133634555096</c:v>
                </c:pt>
                <c:pt idx="78">
                  <c:v>0.12565337983518932</c:v>
                </c:pt>
                <c:pt idx="79">
                  <c:v>0.11104462022021677</c:v>
                </c:pt>
                <c:pt idx="80">
                  <c:v>7.0404737808802631E-2</c:v>
                </c:pt>
                <c:pt idx="81">
                  <c:v>0.1019960279810781</c:v>
                </c:pt>
                <c:pt idx="82">
                  <c:v>0.12097144497880108</c:v>
                </c:pt>
                <c:pt idx="83">
                  <c:v>0.10470305475909536</c:v>
                </c:pt>
                <c:pt idx="84">
                  <c:v>6.9386358075958499E-2</c:v>
                </c:pt>
                <c:pt idx="85">
                  <c:v>8.8496824668047314E-2</c:v>
                </c:pt>
                <c:pt idx="86">
                  <c:v>9.7465825268270523E-2</c:v>
                </c:pt>
                <c:pt idx="87">
                  <c:v>6.0987637143475326E-2</c:v>
                </c:pt>
                <c:pt idx="88">
                  <c:v>5.1274079676484119E-2</c:v>
                </c:pt>
                <c:pt idx="89">
                  <c:v>7.0574640509367237E-2</c:v>
                </c:pt>
                <c:pt idx="90">
                  <c:v>1.5158123700824255E-2</c:v>
                </c:pt>
                <c:pt idx="91">
                  <c:v>-8.4147372076028848E-3</c:v>
                </c:pt>
                <c:pt idx="92">
                  <c:v>3.2997187676303552E-3</c:v>
                </c:pt>
                <c:pt idx="93">
                  <c:v>2.3203802886242242E-2</c:v>
                </c:pt>
                <c:pt idx="94">
                  <c:v>1.2364864487855565E-2</c:v>
                </c:pt>
                <c:pt idx="95">
                  <c:v>-2.0736044859445579E-2</c:v>
                </c:pt>
                <c:pt idx="96">
                  <c:v>-5.3030124111334898E-2</c:v>
                </c:pt>
                <c:pt idx="97">
                  <c:v>-0.1144835526857878</c:v>
                </c:pt>
                <c:pt idx="98">
                  <c:v>-0.14287427983569967</c:v>
                </c:pt>
                <c:pt idx="99">
                  <c:v>-0.11258712793863013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78-4053-A91B-73BC3F3E2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50-KOSPI(</a:t>
            </a:r>
            <a:r>
              <a:rPr lang="ko-KR" altLang="en-US"/>
              <a:t>승률</a:t>
            </a:r>
            <a:r>
              <a:rPr lang="en-US" altLang="ko-KR"/>
              <a:t>69%)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'12개월롤링초과수익률'!$D$27</c:f>
              <c:strCache>
                <c:ptCount val="1"/>
                <c:pt idx="0">
                  <c:v>50-KOSPI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'12개월롤링초과수익률'!$E$27:$CZ$27</c:f>
              <c:numCache>
                <c:formatCode>0.0%</c:formatCode>
                <c:ptCount val="100"/>
                <c:pt idx="0">
                  <c:v>-2.1182454112204097E-3</c:v>
                </c:pt>
                <c:pt idx="1">
                  <c:v>3.4094145688955302E-2</c:v>
                </c:pt>
                <c:pt idx="2">
                  <c:v>8.7626630218470947E-2</c:v>
                </c:pt>
                <c:pt idx="3">
                  <c:v>4.305795298810644E-2</c:v>
                </c:pt>
                <c:pt idx="4">
                  <c:v>3.1946409037363344E-3</c:v>
                </c:pt>
                <c:pt idx="5">
                  <c:v>-1.705940213655821E-2</c:v>
                </c:pt>
                <c:pt idx="6">
                  <c:v>-1.8188984719120782E-3</c:v>
                </c:pt>
                <c:pt idx="7">
                  <c:v>-3.8088764044264201E-2</c:v>
                </c:pt>
                <c:pt idx="8">
                  <c:v>0.18002749928206163</c:v>
                </c:pt>
                <c:pt idx="9">
                  <c:v>0.11389189734088689</c:v>
                </c:pt>
                <c:pt idx="10">
                  <c:v>5.3981783467338618E-2</c:v>
                </c:pt>
                <c:pt idx="11">
                  <c:v>-4.9442039218660305E-2</c:v>
                </c:pt>
                <c:pt idx="12">
                  <c:v>-3.8149937234979614E-2</c:v>
                </c:pt>
                <c:pt idx="13">
                  <c:v>-0.10164420670688945</c:v>
                </c:pt>
                <c:pt idx="14">
                  <c:v>-0.19891560859940238</c:v>
                </c:pt>
                <c:pt idx="15">
                  <c:v>-0.15947849776816536</c:v>
                </c:pt>
                <c:pt idx="16">
                  <c:v>-0.12274363831974311</c:v>
                </c:pt>
                <c:pt idx="17">
                  <c:v>-8.2108003244068861E-2</c:v>
                </c:pt>
                <c:pt idx="18">
                  <c:v>-8.3403901233608968E-2</c:v>
                </c:pt>
                <c:pt idx="19">
                  <c:v>-3.8152895372125739E-2</c:v>
                </c:pt>
                <c:pt idx="20">
                  <c:v>3.0438682215129242E-2</c:v>
                </c:pt>
                <c:pt idx="21">
                  <c:v>-2.7824200371947549E-2</c:v>
                </c:pt>
                <c:pt idx="22">
                  <c:v>-6.5875842728298828E-2</c:v>
                </c:pt>
                <c:pt idx="23">
                  <c:v>-6.5790883683656043E-2</c:v>
                </c:pt>
                <c:pt idx="24">
                  <c:v>-6.5207491560430597E-2</c:v>
                </c:pt>
                <c:pt idx="25">
                  <c:v>-0.10278694810081479</c:v>
                </c:pt>
                <c:pt idx="26">
                  <c:v>-0.10632876692062543</c:v>
                </c:pt>
                <c:pt idx="27">
                  <c:v>-0.11128561574827245</c:v>
                </c:pt>
                <c:pt idx="28">
                  <c:v>-8.1879958468176861E-2</c:v>
                </c:pt>
                <c:pt idx="29">
                  <c:v>4.0548906861640921E-2</c:v>
                </c:pt>
                <c:pt idx="30">
                  <c:v>6.3569540066739538E-2</c:v>
                </c:pt>
                <c:pt idx="31">
                  <c:v>1.5570927172611326E-2</c:v>
                </c:pt>
                <c:pt idx="32">
                  <c:v>-7.9799596288379626E-2</c:v>
                </c:pt>
                <c:pt idx="33">
                  <c:v>-1.6321148460104351E-2</c:v>
                </c:pt>
                <c:pt idx="34">
                  <c:v>7.2363558383969018E-2</c:v>
                </c:pt>
                <c:pt idx="35">
                  <c:v>0.11885588573923334</c:v>
                </c:pt>
                <c:pt idx="36">
                  <c:v>0.16522153828845898</c:v>
                </c:pt>
                <c:pt idx="37">
                  <c:v>0.17441348900671383</c:v>
                </c:pt>
                <c:pt idx="38">
                  <c:v>0.1576158015779342</c:v>
                </c:pt>
                <c:pt idx="39">
                  <c:v>0.14511448107059943</c:v>
                </c:pt>
                <c:pt idx="40">
                  <c:v>0.10982599291168926</c:v>
                </c:pt>
                <c:pt idx="41">
                  <c:v>1.5204632979151311E-2</c:v>
                </c:pt>
                <c:pt idx="42">
                  <c:v>1.2298853194025572E-2</c:v>
                </c:pt>
                <c:pt idx="43">
                  <c:v>8.9816114375253386E-2</c:v>
                </c:pt>
                <c:pt idx="44">
                  <c:v>0.13580850100198072</c:v>
                </c:pt>
                <c:pt idx="45">
                  <c:v>0.12857327225163062</c:v>
                </c:pt>
                <c:pt idx="46">
                  <c:v>9.2150467088396359E-2</c:v>
                </c:pt>
                <c:pt idx="47">
                  <c:v>0.10502612333282446</c:v>
                </c:pt>
                <c:pt idx="48">
                  <c:v>8.2565376668432E-2</c:v>
                </c:pt>
                <c:pt idx="49">
                  <c:v>0.18655986888663023</c:v>
                </c:pt>
                <c:pt idx="50">
                  <c:v>0.30773193956668154</c:v>
                </c:pt>
                <c:pt idx="51">
                  <c:v>0.33677667385232901</c:v>
                </c:pt>
                <c:pt idx="52">
                  <c:v>0.31677887844201091</c:v>
                </c:pt>
                <c:pt idx="53">
                  <c:v>0.39395010032642119</c:v>
                </c:pt>
                <c:pt idx="54">
                  <c:v>0.3177699763324402</c:v>
                </c:pt>
                <c:pt idx="55">
                  <c:v>0.28125235778495483</c:v>
                </c:pt>
                <c:pt idx="56">
                  <c:v>0.23035231855864224</c:v>
                </c:pt>
                <c:pt idx="57">
                  <c:v>0.21598112153050986</c:v>
                </c:pt>
                <c:pt idx="58">
                  <c:v>0.16589753758118486</c:v>
                </c:pt>
                <c:pt idx="59">
                  <c:v>0.15753762942043559</c:v>
                </c:pt>
                <c:pt idx="60">
                  <c:v>0.21918296701481332</c:v>
                </c:pt>
                <c:pt idx="61">
                  <c:v>0.19878959261568874</c:v>
                </c:pt>
                <c:pt idx="62">
                  <c:v>0.14751653672634135</c:v>
                </c:pt>
                <c:pt idx="63">
                  <c:v>0.13556671297153799</c:v>
                </c:pt>
                <c:pt idx="64">
                  <c:v>0.15470526835736464</c:v>
                </c:pt>
                <c:pt idx="65">
                  <c:v>0.15631081983902151</c:v>
                </c:pt>
                <c:pt idx="66">
                  <c:v>0.21614054810157457</c:v>
                </c:pt>
                <c:pt idx="67">
                  <c:v>0.24033939999478049</c:v>
                </c:pt>
                <c:pt idx="68">
                  <c:v>0.28837078792758719</c:v>
                </c:pt>
                <c:pt idx="69">
                  <c:v>0.26116886901639169</c:v>
                </c:pt>
                <c:pt idx="70">
                  <c:v>0.26656207055417747</c:v>
                </c:pt>
                <c:pt idx="71">
                  <c:v>0.22742676814886797</c:v>
                </c:pt>
                <c:pt idx="72">
                  <c:v>0.22857950417876105</c:v>
                </c:pt>
                <c:pt idx="73">
                  <c:v>0.19076166216093005</c:v>
                </c:pt>
                <c:pt idx="74">
                  <c:v>0.20246751185958711</c:v>
                </c:pt>
                <c:pt idx="75">
                  <c:v>0.2222873484300083</c:v>
                </c:pt>
                <c:pt idx="76">
                  <c:v>0.21378099450985322</c:v>
                </c:pt>
                <c:pt idx="77">
                  <c:v>0.19416424154547429</c:v>
                </c:pt>
                <c:pt idx="78">
                  <c:v>0.16128262121185766</c:v>
                </c:pt>
                <c:pt idx="79">
                  <c:v>0.1479327448208857</c:v>
                </c:pt>
                <c:pt idx="80">
                  <c:v>9.2044608353190061E-2</c:v>
                </c:pt>
                <c:pt idx="81">
                  <c:v>0.1117272600912127</c:v>
                </c:pt>
                <c:pt idx="82">
                  <c:v>0.114979175425999</c:v>
                </c:pt>
                <c:pt idx="83">
                  <c:v>9.1503851865020969E-2</c:v>
                </c:pt>
                <c:pt idx="84">
                  <c:v>5.7715495852921017E-2</c:v>
                </c:pt>
                <c:pt idx="85">
                  <c:v>9.1087016915784913E-2</c:v>
                </c:pt>
                <c:pt idx="86">
                  <c:v>9.975196360467109E-2</c:v>
                </c:pt>
                <c:pt idx="87">
                  <c:v>3.0482024308181366E-2</c:v>
                </c:pt>
                <c:pt idx="88">
                  <c:v>-5.5053737351035137E-3</c:v>
                </c:pt>
                <c:pt idx="89">
                  <c:v>2.0046862789158126E-4</c:v>
                </c:pt>
                <c:pt idx="90">
                  <c:v>-2.8678590511978408E-2</c:v>
                </c:pt>
                <c:pt idx="91">
                  <c:v>-4.5313988871209299E-2</c:v>
                </c:pt>
                <c:pt idx="92">
                  <c:v>-6.8939181745962808E-3</c:v>
                </c:pt>
                <c:pt idx="93">
                  <c:v>2.2616968863563791E-2</c:v>
                </c:pt>
                <c:pt idx="94">
                  <c:v>1.3661459574834556E-2</c:v>
                </c:pt>
                <c:pt idx="95">
                  <c:v>1.789371060348155E-2</c:v>
                </c:pt>
                <c:pt idx="96">
                  <c:v>-5.8381747930402739E-4</c:v>
                </c:pt>
                <c:pt idx="97">
                  <c:v>-6.4680604770088745E-2</c:v>
                </c:pt>
                <c:pt idx="98">
                  <c:v>-9.3424535238934014E-2</c:v>
                </c:pt>
                <c:pt idx="99">
                  <c:v>-5.2150270411068123E-2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2-4746-97E6-3388FBBD0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75-KOSPI(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'12개월롤링초과수익률'!$D$28</c:f>
              <c:strCache>
                <c:ptCount val="1"/>
                <c:pt idx="0">
                  <c:v>75-KOSPI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'12개월롤링초과수익률'!$E$28:$CZ$28</c:f>
              <c:numCache>
                <c:formatCode>0.0%</c:formatCode>
                <c:ptCount val="100"/>
                <c:pt idx="0">
                  <c:v>-3.8224533792898807E-3</c:v>
                </c:pt>
                <c:pt idx="1">
                  <c:v>2.1488077892415136E-2</c:v>
                </c:pt>
                <c:pt idx="2">
                  <c:v>7.3948848379190801E-2</c:v>
                </c:pt>
                <c:pt idx="3">
                  <c:v>3.0758657105516396E-2</c:v>
                </c:pt>
                <c:pt idx="4">
                  <c:v>-1.6967323231541265E-2</c:v>
                </c:pt>
                <c:pt idx="5">
                  <c:v>-5.7050147080359936E-2</c:v>
                </c:pt>
                <c:pt idx="6">
                  <c:v>-5.7518602138884711E-2</c:v>
                </c:pt>
                <c:pt idx="7">
                  <c:v>-8.8377569101068199E-2</c:v>
                </c:pt>
                <c:pt idx="8">
                  <c:v>0.12271908112914276</c:v>
                </c:pt>
                <c:pt idx="9">
                  <c:v>8.0035857732279281E-2</c:v>
                </c:pt>
                <c:pt idx="10">
                  <c:v>1.5869344288718112E-2</c:v>
                </c:pt>
                <c:pt idx="11">
                  <c:v>-7.0224241528424214E-2</c:v>
                </c:pt>
                <c:pt idx="12">
                  <c:v>-8.9995395625157126E-2</c:v>
                </c:pt>
                <c:pt idx="13">
                  <c:v>-0.14176893676071955</c:v>
                </c:pt>
                <c:pt idx="14">
                  <c:v>-0.2237460437716976</c:v>
                </c:pt>
                <c:pt idx="15">
                  <c:v>-0.19234924645776375</c:v>
                </c:pt>
                <c:pt idx="16">
                  <c:v>-0.16427157791785674</c:v>
                </c:pt>
                <c:pt idx="17">
                  <c:v>-0.1124142651216411</c:v>
                </c:pt>
                <c:pt idx="18">
                  <c:v>-9.8175123379755314E-2</c:v>
                </c:pt>
                <c:pt idx="19">
                  <c:v>-5.2486246554706684E-2</c:v>
                </c:pt>
                <c:pt idx="20">
                  <c:v>-7.4517707214383222E-4</c:v>
                </c:pt>
                <c:pt idx="21">
                  <c:v>-7.0807853125457454E-2</c:v>
                </c:pt>
                <c:pt idx="22">
                  <c:v>-0.10830187648033052</c:v>
                </c:pt>
                <c:pt idx="23">
                  <c:v>-9.1016424535168117E-2</c:v>
                </c:pt>
                <c:pt idx="24">
                  <c:v>-8.1747557658757852E-2</c:v>
                </c:pt>
                <c:pt idx="25">
                  <c:v>-0.10076885715089112</c:v>
                </c:pt>
                <c:pt idx="26">
                  <c:v>-9.8888198262576443E-2</c:v>
                </c:pt>
                <c:pt idx="27">
                  <c:v>-0.11013654536208883</c:v>
                </c:pt>
                <c:pt idx="28">
                  <c:v>-7.3774140826510903E-2</c:v>
                </c:pt>
                <c:pt idx="29">
                  <c:v>3.2979221738397069E-2</c:v>
                </c:pt>
                <c:pt idx="30">
                  <c:v>4.5282546314811656E-2</c:v>
                </c:pt>
                <c:pt idx="31">
                  <c:v>-9.1936829980077128E-3</c:v>
                </c:pt>
                <c:pt idx="32">
                  <c:v>-0.10525322868938836</c:v>
                </c:pt>
                <c:pt idx="33">
                  <c:v>-4.0342252795707245E-2</c:v>
                </c:pt>
                <c:pt idx="34">
                  <c:v>4.2100618563159053E-2</c:v>
                </c:pt>
                <c:pt idx="35">
                  <c:v>6.1471560192579155E-2</c:v>
                </c:pt>
                <c:pt idx="36">
                  <c:v>9.5107346573907181E-2</c:v>
                </c:pt>
                <c:pt idx="37">
                  <c:v>9.1642946049461105E-2</c:v>
                </c:pt>
                <c:pt idx="38">
                  <c:v>6.8938642047842058E-2</c:v>
                </c:pt>
                <c:pt idx="39">
                  <c:v>7.3273556788411187E-2</c:v>
                </c:pt>
                <c:pt idx="40">
                  <c:v>4.5516099722599956E-2</c:v>
                </c:pt>
                <c:pt idx="41">
                  <c:v>-3.0562341953035754E-2</c:v>
                </c:pt>
                <c:pt idx="42">
                  <c:v>-4.0369112451730804E-2</c:v>
                </c:pt>
                <c:pt idx="43">
                  <c:v>3.5500926054044646E-2</c:v>
                </c:pt>
                <c:pt idx="44">
                  <c:v>9.7795446953791831E-2</c:v>
                </c:pt>
                <c:pt idx="45">
                  <c:v>0.10526915072873511</c:v>
                </c:pt>
                <c:pt idx="46">
                  <c:v>6.8618230203644215E-2</c:v>
                </c:pt>
                <c:pt idx="47">
                  <c:v>9.5702499432247734E-2</c:v>
                </c:pt>
                <c:pt idx="48">
                  <c:v>6.5219821057869831E-2</c:v>
                </c:pt>
                <c:pt idx="49">
                  <c:v>0.17231227521437364</c:v>
                </c:pt>
                <c:pt idx="50">
                  <c:v>0.32794140613996769</c:v>
                </c:pt>
                <c:pt idx="51">
                  <c:v>0.3408061832646041</c:v>
                </c:pt>
                <c:pt idx="52">
                  <c:v>0.31733526719977978</c:v>
                </c:pt>
                <c:pt idx="53">
                  <c:v>0.38390979152090776</c:v>
                </c:pt>
                <c:pt idx="54">
                  <c:v>0.31476965731644047</c:v>
                </c:pt>
                <c:pt idx="55">
                  <c:v>0.28731375948805393</c:v>
                </c:pt>
                <c:pt idx="56">
                  <c:v>0.2276066249042763</c:v>
                </c:pt>
                <c:pt idx="57">
                  <c:v>0.19920079609137975</c:v>
                </c:pt>
                <c:pt idx="58">
                  <c:v>0.17593242825848954</c:v>
                </c:pt>
                <c:pt idx="59">
                  <c:v>0.15877130690513241</c:v>
                </c:pt>
                <c:pt idx="60">
                  <c:v>0.2123962071196952</c:v>
                </c:pt>
                <c:pt idx="61">
                  <c:v>0.19111177364763987</c:v>
                </c:pt>
                <c:pt idx="62">
                  <c:v>0.11863593137727757</c:v>
                </c:pt>
                <c:pt idx="63">
                  <c:v>0.10714993372160164</c:v>
                </c:pt>
                <c:pt idx="64">
                  <c:v>0.10941675790045036</c:v>
                </c:pt>
                <c:pt idx="65">
                  <c:v>0.1378578673194002</c:v>
                </c:pt>
                <c:pt idx="66">
                  <c:v>0.20864096589096248</c:v>
                </c:pt>
                <c:pt idx="67">
                  <c:v>0.22227211583278805</c:v>
                </c:pt>
                <c:pt idx="68">
                  <c:v>0.23866444135454024</c:v>
                </c:pt>
                <c:pt idx="69">
                  <c:v>0.22365332849666675</c:v>
                </c:pt>
                <c:pt idx="70">
                  <c:v>0.22044332887433205</c:v>
                </c:pt>
                <c:pt idx="71">
                  <c:v>0.18720286751127979</c:v>
                </c:pt>
                <c:pt idx="72">
                  <c:v>0.20797937254658527</c:v>
                </c:pt>
                <c:pt idx="73">
                  <c:v>0.16990660882996256</c:v>
                </c:pt>
                <c:pt idx="74">
                  <c:v>0.17162475847768577</c:v>
                </c:pt>
                <c:pt idx="75">
                  <c:v>0.1911942215073803</c:v>
                </c:pt>
                <c:pt idx="76">
                  <c:v>0.17428331898832794</c:v>
                </c:pt>
                <c:pt idx="77">
                  <c:v>0.13124580582389078</c:v>
                </c:pt>
                <c:pt idx="78">
                  <c:v>9.2443905675446025E-2</c:v>
                </c:pt>
                <c:pt idx="79">
                  <c:v>8.1218080043243046E-2</c:v>
                </c:pt>
                <c:pt idx="80">
                  <c:v>4.7663515285752966E-2</c:v>
                </c:pt>
                <c:pt idx="81">
                  <c:v>6.1331641345649057E-2</c:v>
                </c:pt>
                <c:pt idx="82">
                  <c:v>6.5314259639447814E-2</c:v>
                </c:pt>
                <c:pt idx="83">
                  <c:v>4.854516183160229E-2</c:v>
                </c:pt>
                <c:pt idx="84">
                  <c:v>2.0493327008365259E-2</c:v>
                </c:pt>
                <c:pt idx="85">
                  <c:v>4.6700397951392469E-2</c:v>
                </c:pt>
                <c:pt idx="86">
                  <c:v>6.867099955301148E-2</c:v>
                </c:pt>
                <c:pt idx="87">
                  <c:v>1.6021522049449066E-2</c:v>
                </c:pt>
                <c:pt idx="88">
                  <c:v>8.5087377714532231E-4</c:v>
                </c:pt>
                <c:pt idx="89">
                  <c:v>1.4270861839783322E-2</c:v>
                </c:pt>
                <c:pt idx="90">
                  <c:v>-6.0497226105609148E-3</c:v>
                </c:pt>
                <c:pt idx="91">
                  <c:v>-1.8096413893499363E-2</c:v>
                </c:pt>
                <c:pt idx="92">
                  <c:v>2.7218100961104108E-2</c:v>
                </c:pt>
                <c:pt idx="93">
                  <c:v>5.7979217875197886E-2</c:v>
                </c:pt>
                <c:pt idx="94">
                  <c:v>5.1749839978289636E-2</c:v>
                </c:pt>
                <c:pt idx="95">
                  <c:v>5.8338163948238098E-2</c:v>
                </c:pt>
                <c:pt idx="96">
                  <c:v>2.9058266761204044E-2</c:v>
                </c:pt>
                <c:pt idx="97">
                  <c:v>-2.3559216727212062E-2</c:v>
                </c:pt>
                <c:pt idx="98">
                  <c:v>-6.4359333571042843E-2</c:v>
                </c:pt>
                <c:pt idx="99">
                  <c:v>-3.0739984311476176E-2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22-4466-8FA3-93C883F76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100-KOSPI(</a:t>
            </a:r>
            <a:r>
              <a:rPr lang="ko-KR" altLang="en-US"/>
              <a:t>승률</a:t>
            </a:r>
            <a:r>
              <a:rPr lang="en-US" altLang="ko-KR"/>
              <a:t>67%)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'12개월롤링초과수익률'!$D$29</c:f>
              <c:strCache>
                <c:ptCount val="1"/>
                <c:pt idx="0">
                  <c:v>100-KOSPI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'12개월롤링초과수익률'!$E$29:$CZ$29</c:f>
              <c:numCache>
                <c:formatCode>0.0%</c:formatCode>
                <c:ptCount val="100"/>
                <c:pt idx="0">
                  <c:v>-1.4353356470273582E-2</c:v>
                </c:pt>
                <c:pt idx="1">
                  <c:v>1.6851655121072229E-2</c:v>
                </c:pt>
                <c:pt idx="2">
                  <c:v>8.2739278044881237E-2</c:v>
                </c:pt>
                <c:pt idx="3">
                  <c:v>4.7227536674035453E-2</c:v>
                </c:pt>
                <c:pt idx="4">
                  <c:v>-4.1601539168463209E-3</c:v>
                </c:pt>
                <c:pt idx="5">
                  <c:v>-4.0949938467304769E-2</c:v>
                </c:pt>
                <c:pt idx="6">
                  <c:v>-5.7301739559035392E-2</c:v>
                </c:pt>
                <c:pt idx="7">
                  <c:v>-7.6738370133754064E-2</c:v>
                </c:pt>
                <c:pt idx="8">
                  <c:v>0.13159947743507372</c:v>
                </c:pt>
                <c:pt idx="9">
                  <c:v>7.5153620416015698E-2</c:v>
                </c:pt>
                <c:pt idx="10">
                  <c:v>2.3232865365875321E-2</c:v>
                </c:pt>
                <c:pt idx="11">
                  <c:v>-4.9174726131917312E-2</c:v>
                </c:pt>
                <c:pt idx="12">
                  <c:v>-6.6426163984062647E-2</c:v>
                </c:pt>
                <c:pt idx="13">
                  <c:v>-0.12505460680376568</c:v>
                </c:pt>
                <c:pt idx="14">
                  <c:v>-0.21905709267743045</c:v>
                </c:pt>
                <c:pt idx="15">
                  <c:v>-0.18131051840821955</c:v>
                </c:pt>
                <c:pt idx="16">
                  <c:v>-0.14847539958778566</c:v>
                </c:pt>
                <c:pt idx="17">
                  <c:v>-9.9591590643748784E-2</c:v>
                </c:pt>
                <c:pt idx="18">
                  <c:v>-8.2960283101350507E-2</c:v>
                </c:pt>
                <c:pt idx="19">
                  <c:v>-3.9085962036110367E-2</c:v>
                </c:pt>
                <c:pt idx="20">
                  <c:v>1.0572408403291433E-2</c:v>
                </c:pt>
                <c:pt idx="21">
                  <c:v>-1.7468279919373941E-2</c:v>
                </c:pt>
                <c:pt idx="22">
                  <c:v>-6.0657411796652294E-2</c:v>
                </c:pt>
                <c:pt idx="23">
                  <c:v>-6.1660277003580122E-2</c:v>
                </c:pt>
                <c:pt idx="24">
                  <c:v>-5.8536880329521201E-2</c:v>
                </c:pt>
                <c:pt idx="25">
                  <c:v>-7.5026074586835856E-2</c:v>
                </c:pt>
                <c:pt idx="26">
                  <c:v>-6.7452149073766288E-2</c:v>
                </c:pt>
                <c:pt idx="27">
                  <c:v>-8.017696514207362E-2</c:v>
                </c:pt>
                <c:pt idx="28">
                  <c:v>-5.1154702602470792E-2</c:v>
                </c:pt>
                <c:pt idx="29">
                  <c:v>5.4764196972168611E-2</c:v>
                </c:pt>
                <c:pt idx="30">
                  <c:v>5.9283216973541997E-2</c:v>
                </c:pt>
                <c:pt idx="31">
                  <c:v>-7.7256803279524E-3</c:v>
                </c:pt>
                <c:pt idx="32">
                  <c:v>-9.6717294960264044E-2</c:v>
                </c:pt>
                <c:pt idx="33">
                  <c:v>-5.7309490402767338E-2</c:v>
                </c:pt>
                <c:pt idx="34">
                  <c:v>1.8177660653460936E-2</c:v>
                </c:pt>
                <c:pt idx="35">
                  <c:v>4.2601161330149129E-2</c:v>
                </c:pt>
                <c:pt idx="36">
                  <c:v>7.1329099614537261E-2</c:v>
                </c:pt>
                <c:pt idx="37">
                  <c:v>7.0103507468994963E-2</c:v>
                </c:pt>
                <c:pt idx="38">
                  <c:v>4.6838869545069106E-2</c:v>
                </c:pt>
                <c:pt idx="39">
                  <c:v>4.5058318503405248E-2</c:v>
                </c:pt>
                <c:pt idx="40">
                  <c:v>2.808065045155439E-2</c:v>
                </c:pt>
                <c:pt idx="41">
                  <c:v>-4.6543380158503567E-2</c:v>
                </c:pt>
                <c:pt idx="42">
                  <c:v>-4.7012148807379361E-2</c:v>
                </c:pt>
                <c:pt idx="43">
                  <c:v>3.2729447596127947E-2</c:v>
                </c:pt>
                <c:pt idx="44">
                  <c:v>8.9593444901955754E-2</c:v>
                </c:pt>
                <c:pt idx="45">
                  <c:v>9.0785983213820032E-2</c:v>
                </c:pt>
                <c:pt idx="46">
                  <c:v>4.977488221943549E-2</c:v>
                </c:pt>
                <c:pt idx="47">
                  <c:v>8.1107671496701617E-2</c:v>
                </c:pt>
                <c:pt idx="48">
                  <c:v>5.596169357616998E-2</c:v>
                </c:pt>
                <c:pt idx="49">
                  <c:v>0.15438064063294765</c:v>
                </c:pt>
                <c:pt idx="50">
                  <c:v>0.30421150787932771</c:v>
                </c:pt>
                <c:pt idx="51">
                  <c:v>0.32131971053195318</c:v>
                </c:pt>
                <c:pt idx="52">
                  <c:v>0.29340334792180522</c:v>
                </c:pt>
                <c:pt idx="53">
                  <c:v>0.35304342121103049</c:v>
                </c:pt>
                <c:pt idx="54">
                  <c:v>0.27837902822451221</c:v>
                </c:pt>
                <c:pt idx="55">
                  <c:v>0.25521369722884546</c:v>
                </c:pt>
                <c:pt idx="56">
                  <c:v>0.2020847637883656</c:v>
                </c:pt>
                <c:pt idx="57">
                  <c:v>0.1752941585810639</c:v>
                </c:pt>
                <c:pt idx="58">
                  <c:v>0.16471825196227696</c:v>
                </c:pt>
                <c:pt idx="59">
                  <c:v>0.14803465093882484</c:v>
                </c:pt>
                <c:pt idx="60">
                  <c:v>0.19653829173003756</c:v>
                </c:pt>
                <c:pt idx="61">
                  <c:v>0.16903962287719521</c:v>
                </c:pt>
                <c:pt idx="62">
                  <c:v>0.1043070609213379</c:v>
                </c:pt>
                <c:pt idx="63">
                  <c:v>9.5371216834791661E-2</c:v>
                </c:pt>
                <c:pt idx="64">
                  <c:v>9.1098886718985472E-2</c:v>
                </c:pt>
                <c:pt idx="65">
                  <c:v>0.11073738652188214</c:v>
                </c:pt>
                <c:pt idx="66">
                  <c:v>0.17787775561246444</c:v>
                </c:pt>
                <c:pt idx="67">
                  <c:v>0.19813651639657315</c:v>
                </c:pt>
                <c:pt idx="68">
                  <c:v>0.20523841474023041</c:v>
                </c:pt>
                <c:pt idx="69">
                  <c:v>0.19734161125772764</c:v>
                </c:pt>
                <c:pt idx="70">
                  <c:v>0.19390972082677738</c:v>
                </c:pt>
                <c:pt idx="71">
                  <c:v>0.17042449174188778</c:v>
                </c:pt>
                <c:pt idx="72">
                  <c:v>0.18573146233313698</c:v>
                </c:pt>
                <c:pt idx="73">
                  <c:v>0.17260234040032696</c:v>
                </c:pt>
                <c:pt idx="74">
                  <c:v>0.17642689334068984</c:v>
                </c:pt>
                <c:pt idx="75">
                  <c:v>0.19646555985016323</c:v>
                </c:pt>
                <c:pt idx="76">
                  <c:v>0.19116495294195013</c:v>
                </c:pt>
                <c:pt idx="77">
                  <c:v>0.14534365691598627</c:v>
                </c:pt>
                <c:pt idx="78">
                  <c:v>0.10381866006795692</c:v>
                </c:pt>
                <c:pt idx="79">
                  <c:v>9.7420340852097387E-2</c:v>
                </c:pt>
                <c:pt idx="80">
                  <c:v>6.6412483337028316E-2</c:v>
                </c:pt>
                <c:pt idx="81">
                  <c:v>7.8755130176191068E-2</c:v>
                </c:pt>
                <c:pt idx="82">
                  <c:v>8.2225463558779355E-2</c:v>
                </c:pt>
                <c:pt idx="83">
                  <c:v>5.4940940536161054E-2</c:v>
                </c:pt>
                <c:pt idx="84">
                  <c:v>3.8827066250254894E-2</c:v>
                </c:pt>
                <c:pt idx="85">
                  <c:v>5.0966122954384296E-2</c:v>
                </c:pt>
                <c:pt idx="86">
                  <c:v>6.263779536989067E-2</c:v>
                </c:pt>
                <c:pt idx="87">
                  <c:v>1.2707646915953386E-2</c:v>
                </c:pt>
                <c:pt idx="88">
                  <c:v>-6.5068239675959427E-3</c:v>
                </c:pt>
                <c:pt idx="89">
                  <c:v>1.3548480676376817E-2</c:v>
                </c:pt>
                <c:pt idx="90">
                  <c:v>-8.3213060291984497E-3</c:v>
                </c:pt>
                <c:pt idx="91">
                  <c:v>-2.4924586894392808E-2</c:v>
                </c:pt>
                <c:pt idx="92">
                  <c:v>2.6594409754176596E-2</c:v>
                </c:pt>
                <c:pt idx="93">
                  <c:v>5.5069642396772922E-2</c:v>
                </c:pt>
                <c:pt idx="94">
                  <c:v>4.6188601099838023E-2</c:v>
                </c:pt>
                <c:pt idx="95">
                  <c:v>5.3293371152234537E-2</c:v>
                </c:pt>
                <c:pt idx="96">
                  <c:v>1.8667897149458934E-2</c:v>
                </c:pt>
                <c:pt idx="97">
                  <c:v>-2.8624232500173319E-2</c:v>
                </c:pt>
                <c:pt idx="98">
                  <c:v>-6.394171476933419E-2</c:v>
                </c:pt>
                <c:pt idx="99">
                  <c:v>-3.6189513623120506E-2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32-4423-B2E1-AC72A03CD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405232"/>
        <c:axId val="1199403568"/>
      </c:areaChart>
      <c:catAx>
        <c:axId val="1199405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3568"/>
        <c:crosses val="autoZero"/>
        <c:auto val="1"/>
        <c:lblAlgn val="ctr"/>
        <c:lblOffset val="100"/>
        <c:noMultiLvlLbl val="0"/>
      </c:catAx>
      <c:valAx>
        <c:axId val="1199403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9405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대분류 섹터표준화 </a:t>
            </a:r>
            <a:r>
              <a:rPr lang="en-US" altLang="ko-KR"/>
              <a:t>25 PORT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'12개월롤링초과수익률'!$B$48:$CW$48</c:f>
              <c:numCache>
                <c:formatCode>0.0%</c:formatCode>
                <c:ptCount val="100"/>
                <c:pt idx="0">
                  <c:v>-0.17948461264396576</c:v>
                </c:pt>
                <c:pt idx="1">
                  <c:v>-0.16624048777662581</c:v>
                </c:pt>
                <c:pt idx="2">
                  <c:v>-0.13082255157961153</c:v>
                </c:pt>
                <c:pt idx="3">
                  <c:v>-0.14839898257269446</c:v>
                </c:pt>
                <c:pt idx="4">
                  <c:v>-0.1860259331402776</c:v>
                </c:pt>
                <c:pt idx="5">
                  <c:v>-0.21062299309190025</c:v>
                </c:pt>
                <c:pt idx="6">
                  <c:v>-0.16722826219338716</c:v>
                </c:pt>
                <c:pt idx="7">
                  <c:v>-0.21280050069958223</c:v>
                </c:pt>
                <c:pt idx="8">
                  <c:v>8.1276412755807659E-2</c:v>
                </c:pt>
                <c:pt idx="9">
                  <c:v>-1.0300766506826653E-2</c:v>
                </c:pt>
                <c:pt idx="10">
                  <c:v>-0.10493254780833383</c:v>
                </c:pt>
                <c:pt idx="11">
                  <c:v>-0.15582774769157037</c:v>
                </c:pt>
                <c:pt idx="12">
                  <c:v>-0.23565708754957937</c:v>
                </c:pt>
                <c:pt idx="13">
                  <c:v>-0.28140897173872781</c:v>
                </c:pt>
                <c:pt idx="14">
                  <c:v>-0.35243993191696077</c:v>
                </c:pt>
                <c:pt idx="15">
                  <c:v>-0.31916137927505073</c:v>
                </c:pt>
                <c:pt idx="16">
                  <c:v>-0.2582510019853137</c:v>
                </c:pt>
                <c:pt idx="17">
                  <c:v>-0.20338540437678021</c:v>
                </c:pt>
                <c:pt idx="18">
                  <c:v>-0.21924471784145905</c:v>
                </c:pt>
                <c:pt idx="19">
                  <c:v>-0.12551478740703215</c:v>
                </c:pt>
                <c:pt idx="20">
                  <c:v>-6.6445495364397589E-2</c:v>
                </c:pt>
                <c:pt idx="21">
                  <c:v>-0.12550893848057521</c:v>
                </c:pt>
                <c:pt idx="22">
                  <c:v>-0.15040213584260598</c:v>
                </c:pt>
                <c:pt idx="23">
                  <c:v>-0.13919956418081569</c:v>
                </c:pt>
                <c:pt idx="24">
                  <c:v>-0.10972000020520878</c:v>
                </c:pt>
                <c:pt idx="25">
                  <c:v>-0.15626428676927606</c:v>
                </c:pt>
                <c:pt idx="26">
                  <c:v>-0.1252500160559642</c:v>
                </c:pt>
                <c:pt idx="27">
                  <c:v>-7.2403104500478488E-2</c:v>
                </c:pt>
                <c:pt idx="28">
                  <c:v>-9.5252011162110461E-2</c:v>
                </c:pt>
                <c:pt idx="29">
                  <c:v>6.6143245371234949E-2</c:v>
                </c:pt>
                <c:pt idx="30">
                  <c:v>3.9291857142079278E-2</c:v>
                </c:pt>
                <c:pt idx="31">
                  <c:v>-4.0354337761097536E-2</c:v>
                </c:pt>
                <c:pt idx="32">
                  <c:v>-9.7192767160903304E-2</c:v>
                </c:pt>
                <c:pt idx="33">
                  <c:v>2.8206507961753391E-2</c:v>
                </c:pt>
                <c:pt idx="34">
                  <c:v>6.4770205960988925E-2</c:v>
                </c:pt>
                <c:pt idx="35">
                  <c:v>8.0034931185752112E-2</c:v>
                </c:pt>
                <c:pt idx="36">
                  <c:v>0.15229248513220783</c:v>
                </c:pt>
                <c:pt idx="37">
                  <c:v>0.17114756093876105</c:v>
                </c:pt>
                <c:pt idx="38">
                  <c:v>0.14986341410003756</c:v>
                </c:pt>
                <c:pt idx="39">
                  <c:v>0.13611066910605996</c:v>
                </c:pt>
                <c:pt idx="40">
                  <c:v>0.15879423133526294</c:v>
                </c:pt>
                <c:pt idx="41">
                  <c:v>4.1687053312345013E-2</c:v>
                </c:pt>
                <c:pt idx="42">
                  <c:v>0.10472168711520347</c:v>
                </c:pt>
                <c:pt idx="43">
                  <c:v>0.22226755270207188</c:v>
                </c:pt>
                <c:pt idx="44">
                  <c:v>0.33005907014021685</c:v>
                </c:pt>
                <c:pt idx="45">
                  <c:v>0.3754751656652946</c:v>
                </c:pt>
                <c:pt idx="46">
                  <c:v>0.38976674959456648</c:v>
                </c:pt>
                <c:pt idx="47">
                  <c:v>0.44795863343358611</c:v>
                </c:pt>
                <c:pt idx="48">
                  <c:v>0.43206539488035967</c:v>
                </c:pt>
                <c:pt idx="49">
                  <c:v>0.56568993630540565</c:v>
                </c:pt>
                <c:pt idx="50">
                  <c:v>0.71060175243795376</c:v>
                </c:pt>
                <c:pt idx="51">
                  <c:v>0.75114701201612077</c:v>
                </c:pt>
                <c:pt idx="52">
                  <c:v>0.68328753174731305</c:v>
                </c:pt>
                <c:pt idx="53">
                  <c:v>0.79497615798873933</c:v>
                </c:pt>
                <c:pt idx="54">
                  <c:v>0.66495628694280584</c:v>
                </c:pt>
                <c:pt idx="55">
                  <c:v>0.59763529856234254</c:v>
                </c:pt>
                <c:pt idx="56">
                  <c:v>0.45309632116012555</c:v>
                </c:pt>
                <c:pt idx="57">
                  <c:v>0.34431316254608424</c:v>
                </c:pt>
                <c:pt idx="58">
                  <c:v>0.34389761225267979</c:v>
                </c:pt>
                <c:pt idx="59">
                  <c:v>0.300213101138741</c:v>
                </c:pt>
                <c:pt idx="60">
                  <c:v>0.31334031710133647</c:v>
                </c:pt>
                <c:pt idx="61">
                  <c:v>0.29806899348519444</c:v>
                </c:pt>
                <c:pt idx="62">
                  <c:v>0.2814158114326164</c:v>
                </c:pt>
                <c:pt idx="63">
                  <c:v>0.25078675767956982</c:v>
                </c:pt>
                <c:pt idx="64">
                  <c:v>0.22291867533358967</c:v>
                </c:pt>
                <c:pt idx="65">
                  <c:v>0.1934312133053</c:v>
                </c:pt>
                <c:pt idx="66">
                  <c:v>0.279232719983737</c:v>
                </c:pt>
                <c:pt idx="67">
                  <c:v>0.30557062800825596</c:v>
                </c:pt>
                <c:pt idx="68">
                  <c:v>0.26570746169413995</c:v>
                </c:pt>
                <c:pt idx="69">
                  <c:v>0.24865872709796066</c:v>
                </c:pt>
                <c:pt idx="70">
                  <c:v>0.25058236923352395</c:v>
                </c:pt>
                <c:pt idx="71">
                  <c:v>0.29818084386650034</c:v>
                </c:pt>
                <c:pt idx="72">
                  <c:v>0.36356149156331385</c:v>
                </c:pt>
                <c:pt idx="73">
                  <c:v>0.36370337474621439</c:v>
                </c:pt>
                <c:pt idx="74">
                  <c:v>0.31527299963517996</c:v>
                </c:pt>
                <c:pt idx="75">
                  <c:v>0.35096156744629425</c:v>
                </c:pt>
                <c:pt idx="76">
                  <c:v>0.34458892865958557</c:v>
                </c:pt>
                <c:pt idx="77">
                  <c:v>0.33383466892159253</c:v>
                </c:pt>
                <c:pt idx="78">
                  <c:v>0.27303323267186741</c:v>
                </c:pt>
                <c:pt idx="79">
                  <c:v>0.25199445828943257</c:v>
                </c:pt>
                <c:pt idx="80">
                  <c:v>0.24992948654937841</c:v>
                </c:pt>
                <c:pt idx="81">
                  <c:v>0.26963095610059118</c:v>
                </c:pt>
                <c:pt idx="82">
                  <c:v>0.31347552126120326</c:v>
                </c:pt>
                <c:pt idx="83">
                  <c:v>0.26338832681972646</c:v>
                </c:pt>
                <c:pt idx="84">
                  <c:v>0.14128624416327529</c:v>
                </c:pt>
                <c:pt idx="85">
                  <c:v>0.12929706330325064</c:v>
                </c:pt>
                <c:pt idx="86">
                  <c:v>0.16293956030707002</c:v>
                </c:pt>
                <c:pt idx="87">
                  <c:v>0.14317522078577594</c:v>
                </c:pt>
                <c:pt idx="88">
                  <c:v>0.15763033893604916</c:v>
                </c:pt>
                <c:pt idx="89">
                  <c:v>0.16756702169655346</c:v>
                </c:pt>
                <c:pt idx="90">
                  <c:v>0.13545441705354078</c:v>
                </c:pt>
                <c:pt idx="91">
                  <c:v>0.11681544886140793</c:v>
                </c:pt>
                <c:pt idx="92">
                  <c:v>9.8673715056212252E-2</c:v>
                </c:pt>
                <c:pt idx="93">
                  <c:v>0.13961262352597714</c:v>
                </c:pt>
                <c:pt idx="94">
                  <c:v>0.1044383136146938</c:v>
                </c:pt>
                <c:pt idx="95">
                  <c:v>3.0037340250486766E-2</c:v>
                </c:pt>
                <c:pt idx="96">
                  <c:v>3.7727716812105738E-2</c:v>
                </c:pt>
                <c:pt idx="97">
                  <c:v>-1.9588539012589834E-2</c:v>
                </c:pt>
                <c:pt idx="98">
                  <c:v>-4.4410478026418287E-2</c:v>
                </c:pt>
                <c:pt idx="99">
                  <c:v>-4.8952412179560589E-2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B-4656-8892-C5302F646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50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'12개월롤링초과수익률'!$B$49:$CW$49</c:f>
              <c:numCache>
                <c:formatCode>0.0%</c:formatCode>
                <c:ptCount val="100"/>
                <c:pt idx="0">
                  <c:v>-6.1790937825546566E-2</c:v>
                </c:pt>
                <c:pt idx="1">
                  <c:v>-1.2688071432873871E-2</c:v>
                </c:pt>
                <c:pt idx="2">
                  <c:v>5.1493771666291432E-2</c:v>
                </c:pt>
                <c:pt idx="3">
                  <c:v>-4.3197855004428742E-3</c:v>
                </c:pt>
                <c:pt idx="4">
                  <c:v>-4.2124540119548581E-2</c:v>
                </c:pt>
                <c:pt idx="5">
                  <c:v>-8.6444855487746941E-2</c:v>
                </c:pt>
                <c:pt idx="6">
                  <c:v>-6.2218948199785684E-2</c:v>
                </c:pt>
                <c:pt idx="7">
                  <c:v>-0.12069461831893791</c:v>
                </c:pt>
                <c:pt idx="8">
                  <c:v>0.1092449644346658</c:v>
                </c:pt>
                <c:pt idx="9">
                  <c:v>-6.736757431166529E-3</c:v>
                </c:pt>
                <c:pt idx="10">
                  <c:v>-8.053512748691305E-2</c:v>
                </c:pt>
                <c:pt idx="11">
                  <c:v>-0.14208790057612419</c:v>
                </c:pt>
                <c:pt idx="12">
                  <c:v>-0.21097890100116357</c:v>
                </c:pt>
                <c:pt idx="13">
                  <c:v>-0.26257365465931093</c:v>
                </c:pt>
                <c:pt idx="14">
                  <c:v>-0.34383908885586167</c:v>
                </c:pt>
                <c:pt idx="15">
                  <c:v>-0.29957424235016461</c:v>
                </c:pt>
                <c:pt idx="16">
                  <c:v>-0.26244901285526534</c:v>
                </c:pt>
                <c:pt idx="17">
                  <c:v>-0.19362811193730489</c:v>
                </c:pt>
                <c:pt idx="18">
                  <c:v>-0.18940634796493672</c:v>
                </c:pt>
                <c:pt idx="19">
                  <c:v>-0.11680019794562591</c:v>
                </c:pt>
                <c:pt idx="20">
                  <c:v>-3.6445831945440155E-2</c:v>
                </c:pt>
                <c:pt idx="21">
                  <c:v>-8.6789681056054002E-2</c:v>
                </c:pt>
                <c:pt idx="22">
                  <c:v>-0.11898307772408545</c:v>
                </c:pt>
                <c:pt idx="23">
                  <c:v>-0.11619054557964903</c:v>
                </c:pt>
                <c:pt idx="24">
                  <c:v>-0.10446193066188392</c:v>
                </c:pt>
                <c:pt idx="25">
                  <c:v>-0.12711682536794333</c:v>
                </c:pt>
                <c:pt idx="26">
                  <c:v>-0.11054163207184997</c:v>
                </c:pt>
                <c:pt idx="27">
                  <c:v>-9.1198022787416066E-2</c:v>
                </c:pt>
                <c:pt idx="28">
                  <c:v>-6.9019367064642401E-2</c:v>
                </c:pt>
                <c:pt idx="29">
                  <c:v>5.3972688495112608E-2</c:v>
                </c:pt>
                <c:pt idx="30">
                  <c:v>3.9100585156531364E-2</c:v>
                </c:pt>
                <c:pt idx="31">
                  <c:v>-1.1004863693569011E-2</c:v>
                </c:pt>
                <c:pt idx="32">
                  <c:v>-9.4070416738812446E-2</c:v>
                </c:pt>
                <c:pt idx="33">
                  <c:v>-3.144099824887725E-4</c:v>
                </c:pt>
                <c:pt idx="34">
                  <c:v>3.9712489527745642E-2</c:v>
                </c:pt>
                <c:pt idx="35">
                  <c:v>5.0841384139161727E-2</c:v>
                </c:pt>
                <c:pt idx="36">
                  <c:v>9.59821264184062E-2</c:v>
                </c:pt>
                <c:pt idx="37">
                  <c:v>8.5862072808947532E-2</c:v>
                </c:pt>
                <c:pt idx="38">
                  <c:v>7.1864190772663594E-2</c:v>
                </c:pt>
                <c:pt idx="39">
                  <c:v>8.1595587731780217E-2</c:v>
                </c:pt>
                <c:pt idx="40">
                  <c:v>7.4408940570384385E-2</c:v>
                </c:pt>
                <c:pt idx="41">
                  <c:v>-2.2778840225141428E-2</c:v>
                </c:pt>
                <c:pt idx="42">
                  <c:v>9.7272915596253728E-3</c:v>
                </c:pt>
                <c:pt idx="43">
                  <c:v>8.3531808149309494E-2</c:v>
                </c:pt>
                <c:pt idx="44">
                  <c:v>0.15731558022011205</c:v>
                </c:pt>
                <c:pt idx="45">
                  <c:v>0.19205381289941381</c:v>
                </c:pt>
                <c:pt idx="46">
                  <c:v>0.17185226787951313</c:v>
                </c:pt>
                <c:pt idx="47">
                  <c:v>0.22738672826526396</c:v>
                </c:pt>
                <c:pt idx="48">
                  <c:v>0.23184642915151055</c:v>
                </c:pt>
                <c:pt idx="49">
                  <c:v>0.36802667608927131</c:v>
                </c:pt>
                <c:pt idx="50">
                  <c:v>0.55272350738419518</c:v>
                </c:pt>
                <c:pt idx="51">
                  <c:v>0.56091389496419164</c:v>
                </c:pt>
                <c:pt idx="52">
                  <c:v>0.50151254727719907</c:v>
                </c:pt>
                <c:pt idx="53">
                  <c:v>0.61784970518725468</c:v>
                </c:pt>
                <c:pt idx="54">
                  <c:v>0.5330475566366919</c:v>
                </c:pt>
                <c:pt idx="55">
                  <c:v>0.49748980001725429</c:v>
                </c:pt>
                <c:pt idx="56">
                  <c:v>0.4098320153641728</c:v>
                </c:pt>
                <c:pt idx="57">
                  <c:v>0.31380706420316007</c:v>
                </c:pt>
                <c:pt idx="58">
                  <c:v>0.33333154997660919</c:v>
                </c:pt>
                <c:pt idx="59">
                  <c:v>0.31541943571132713</c:v>
                </c:pt>
                <c:pt idx="60">
                  <c:v>0.3292669500376415</c:v>
                </c:pt>
                <c:pt idx="61">
                  <c:v>0.29887502791141307</c:v>
                </c:pt>
                <c:pt idx="62">
                  <c:v>0.23558710655014603</c:v>
                </c:pt>
                <c:pt idx="63">
                  <c:v>0.22280415307834678</c:v>
                </c:pt>
                <c:pt idx="64">
                  <c:v>0.20295702830628004</c:v>
                </c:pt>
                <c:pt idx="65">
                  <c:v>0.18408634342417884</c:v>
                </c:pt>
                <c:pt idx="66">
                  <c:v>0.26317643152841863</c:v>
                </c:pt>
                <c:pt idx="67">
                  <c:v>0.28220327303717041</c:v>
                </c:pt>
                <c:pt idx="68">
                  <c:v>0.24147040486836313</c:v>
                </c:pt>
                <c:pt idx="69">
                  <c:v>0.24879484543914188</c:v>
                </c:pt>
                <c:pt idx="70">
                  <c:v>0.25738672316276634</c:v>
                </c:pt>
                <c:pt idx="71">
                  <c:v>0.27751694179021458</c:v>
                </c:pt>
                <c:pt idx="72">
                  <c:v>0.31409368273755089</c:v>
                </c:pt>
                <c:pt idx="73">
                  <c:v>0.32139918589752026</c:v>
                </c:pt>
                <c:pt idx="74">
                  <c:v>0.27633073878637915</c:v>
                </c:pt>
                <c:pt idx="75">
                  <c:v>0.30974652258091506</c:v>
                </c:pt>
                <c:pt idx="76">
                  <c:v>0.34555693052227299</c:v>
                </c:pt>
                <c:pt idx="77">
                  <c:v>0.31159320172885097</c:v>
                </c:pt>
                <c:pt idx="78">
                  <c:v>0.22533605027897563</c:v>
                </c:pt>
                <c:pt idx="79">
                  <c:v>0.18775669862005551</c:v>
                </c:pt>
                <c:pt idx="80">
                  <c:v>0.18574456089153224</c:v>
                </c:pt>
                <c:pt idx="81">
                  <c:v>0.21058798194369799</c:v>
                </c:pt>
                <c:pt idx="82">
                  <c:v>0.2226611258741158</c:v>
                </c:pt>
                <c:pt idx="83">
                  <c:v>0.19130555267590854</c:v>
                </c:pt>
                <c:pt idx="84">
                  <c:v>0.12094235349561677</c:v>
                </c:pt>
                <c:pt idx="85">
                  <c:v>0.10489131818064901</c:v>
                </c:pt>
                <c:pt idx="86">
                  <c:v>0.13505321363080225</c:v>
                </c:pt>
                <c:pt idx="87">
                  <c:v>0.12465255139364428</c:v>
                </c:pt>
                <c:pt idx="88">
                  <c:v>0.11331095021248472</c:v>
                </c:pt>
                <c:pt idx="89">
                  <c:v>0.11616875584470021</c:v>
                </c:pt>
                <c:pt idx="90">
                  <c:v>7.5830394673979562E-2</c:v>
                </c:pt>
                <c:pt idx="91">
                  <c:v>8.0845968177073457E-2</c:v>
                </c:pt>
                <c:pt idx="92">
                  <c:v>8.6118425350060646E-2</c:v>
                </c:pt>
                <c:pt idx="93">
                  <c:v>8.8587430479001972E-2</c:v>
                </c:pt>
                <c:pt idx="94">
                  <c:v>9.3404320278417607E-2</c:v>
                </c:pt>
                <c:pt idx="95">
                  <c:v>4.8707234106206254E-2</c:v>
                </c:pt>
                <c:pt idx="96">
                  <c:v>3.0030926404438496E-2</c:v>
                </c:pt>
                <c:pt idx="97">
                  <c:v>-3.0851231583077565E-2</c:v>
                </c:pt>
                <c:pt idx="98">
                  <c:v>-6.1056701529227819E-2</c:v>
                </c:pt>
                <c:pt idx="99">
                  <c:v>-9.0737521310831681E-2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AB-412F-BBA1-EEC2F8FF2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75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'12개월롤링초과수익률'!$B$50:$CW$50</c:f>
              <c:numCache>
                <c:formatCode>0.0%</c:formatCode>
                <c:ptCount val="100"/>
                <c:pt idx="0">
                  <c:v>-6.9380742577255128E-2</c:v>
                </c:pt>
                <c:pt idx="1">
                  <c:v>-4.1628352337110042E-2</c:v>
                </c:pt>
                <c:pt idx="2">
                  <c:v>1.0952772368909569E-2</c:v>
                </c:pt>
                <c:pt idx="3">
                  <c:v>-3.3855506078968034E-2</c:v>
                </c:pt>
                <c:pt idx="4">
                  <c:v>-7.3884274600168887E-2</c:v>
                </c:pt>
                <c:pt idx="5">
                  <c:v>-0.12143445502821304</c:v>
                </c:pt>
                <c:pt idx="6">
                  <c:v>-0.11534311738080083</c:v>
                </c:pt>
                <c:pt idx="7">
                  <c:v>-0.17708155750885279</c:v>
                </c:pt>
                <c:pt idx="8">
                  <c:v>9.6958549672510053E-4</c:v>
                </c:pt>
                <c:pt idx="9">
                  <c:v>-6.4891079218534209E-2</c:v>
                </c:pt>
                <c:pt idx="10">
                  <c:v>-0.1174046944837408</c:v>
                </c:pt>
                <c:pt idx="11">
                  <c:v>-0.14842929823121298</c:v>
                </c:pt>
                <c:pt idx="12">
                  <c:v>-0.21003619084560476</c:v>
                </c:pt>
                <c:pt idx="13">
                  <c:v>-0.25045455517881399</c:v>
                </c:pt>
                <c:pt idx="14">
                  <c:v>-0.31872121756575766</c:v>
                </c:pt>
                <c:pt idx="15">
                  <c:v>-0.28257856889988264</c:v>
                </c:pt>
                <c:pt idx="16">
                  <c:v>-0.24779175253824726</c:v>
                </c:pt>
                <c:pt idx="17">
                  <c:v>-0.17802752295319524</c:v>
                </c:pt>
                <c:pt idx="18">
                  <c:v>-0.15565389116301021</c:v>
                </c:pt>
                <c:pt idx="19">
                  <c:v>-7.9413614282739742E-2</c:v>
                </c:pt>
                <c:pt idx="20">
                  <c:v>1.9539311254357372E-4</c:v>
                </c:pt>
                <c:pt idx="21">
                  <c:v>-6.700823546725676E-2</c:v>
                </c:pt>
                <c:pt idx="22">
                  <c:v>-9.6987425509814207E-2</c:v>
                </c:pt>
                <c:pt idx="23">
                  <c:v>-0.11106290138952679</c:v>
                </c:pt>
                <c:pt idx="24">
                  <c:v>-0.10543138955095444</c:v>
                </c:pt>
                <c:pt idx="25">
                  <c:v>-0.11556227881465042</c:v>
                </c:pt>
                <c:pt idx="26">
                  <c:v>-8.5205445428644611E-2</c:v>
                </c:pt>
                <c:pt idx="27">
                  <c:v>-7.8951538149126366E-2</c:v>
                </c:pt>
                <c:pt idx="28">
                  <c:v>-5.6097249746320577E-2</c:v>
                </c:pt>
                <c:pt idx="29">
                  <c:v>7.8621392964304926E-2</c:v>
                </c:pt>
                <c:pt idx="30">
                  <c:v>8.1249419828783864E-2</c:v>
                </c:pt>
                <c:pt idx="31">
                  <c:v>1.9839369353980008E-2</c:v>
                </c:pt>
                <c:pt idx="32">
                  <c:v>-8.0833883799277917E-2</c:v>
                </c:pt>
                <c:pt idx="33">
                  <c:v>1.442075023112821E-2</c:v>
                </c:pt>
                <c:pt idx="34">
                  <c:v>5.7505732011565502E-2</c:v>
                </c:pt>
                <c:pt idx="35">
                  <c:v>6.7431598217195687E-2</c:v>
                </c:pt>
                <c:pt idx="36">
                  <c:v>9.4525642565900903E-2</c:v>
                </c:pt>
                <c:pt idx="37">
                  <c:v>8.1387861918114646E-2</c:v>
                </c:pt>
                <c:pt idx="38">
                  <c:v>5.0606390584950089E-2</c:v>
                </c:pt>
                <c:pt idx="39">
                  <c:v>6.3136586382002813E-2</c:v>
                </c:pt>
                <c:pt idx="40">
                  <c:v>6.1917556994457446E-2</c:v>
                </c:pt>
                <c:pt idx="41">
                  <c:v>-3.7973779585813938E-2</c:v>
                </c:pt>
                <c:pt idx="42">
                  <c:v>-2.2791355610324304E-2</c:v>
                </c:pt>
                <c:pt idx="43">
                  <c:v>6.2196855885291003E-2</c:v>
                </c:pt>
                <c:pt idx="44">
                  <c:v>0.12712981500002618</c:v>
                </c:pt>
                <c:pt idx="45">
                  <c:v>0.1321799324054358</c:v>
                </c:pt>
                <c:pt idx="46">
                  <c:v>0.1047599525527465</c:v>
                </c:pt>
                <c:pt idx="47">
                  <c:v>0.16885181750928702</c:v>
                </c:pt>
                <c:pt idx="48">
                  <c:v>0.19519855879131853</c:v>
                </c:pt>
                <c:pt idx="49">
                  <c:v>0.31588174961373616</c:v>
                </c:pt>
                <c:pt idx="50">
                  <c:v>0.49650548882476264</c:v>
                </c:pt>
                <c:pt idx="51">
                  <c:v>0.52972967598116383</c:v>
                </c:pt>
                <c:pt idx="52">
                  <c:v>0.46842058704165646</c:v>
                </c:pt>
                <c:pt idx="53">
                  <c:v>0.56448528331928349</c:v>
                </c:pt>
                <c:pt idx="54">
                  <c:v>0.46669714778821336</c:v>
                </c:pt>
                <c:pt idx="55">
                  <c:v>0.41641603573056996</c:v>
                </c:pt>
                <c:pt idx="56">
                  <c:v>0.35200428441289344</c:v>
                </c:pt>
                <c:pt idx="57">
                  <c:v>0.28597333453317098</c:v>
                </c:pt>
                <c:pt idx="58">
                  <c:v>0.28800364920333776</c:v>
                </c:pt>
                <c:pt idx="59">
                  <c:v>0.29208317844871057</c:v>
                </c:pt>
                <c:pt idx="60">
                  <c:v>0.2869790917567121</c:v>
                </c:pt>
                <c:pt idx="61">
                  <c:v>0.24865180019482958</c:v>
                </c:pt>
                <c:pt idx="62">
                  <c:v>0.1825884593280116</c:v>
                </c:pt>
                <c:pt idx="63">
                  <c:v>0.16669715011220754</c:v>
                </c:pt>
                <c:pt idx="64">
                  <c:v>0.13513181528959106</c:v>
                </c:pt>
                <c:pt idx="65">
                  <c:v>0.11005405091774434</c:v>
                </c:pt>
                <c:pt idx="66">
                  <c:v>0.17643431374525953</c:v>
                </c:pt>
                <c:pt idx="67">
                  <c:v>0.19729296498454807</c:v>
                </c:pt>
                <c:pt idx="68">
                  <c:v>0.17070449615381533</c:v>
                </c:pt>
                <c:pt idx="69">
                  <c:v>0.17940035434365187</c:v>
                </c:pt>
                <c:pt idx="70">
                  <c:v>0.20902752413346304</c:v>
                </c:pt>
                <c:pt idx="71">
                  <c:v>0.18799670501542587</c:v>
                </c:pt>
                <c:pt idx="72">
                  <c:v>0.23206444391997572</c:v>
                </c:pt>
                <c:pt idx="73">
                  <c:v>0.25044560942166538</c:v>
                </c:pt>
                <c:pt idx="74">
                  <c:v>0.23100476778205659</c:v>
                </c:pt>
                <c:pt idx="75">
                  <c:v>0.26597328066491843</c:v>
                </c:pt>
                <c:pt idx="76">
                  <c:v>0.30564139152065462</c:v>
                </c:pt>
                <c:pt idx="77">
                  <c:v>0.27365681663402563</c:v>
                </c:pt>
                <c:pt idx="78">
                  <c:v>0.20206333607730032</c:v>
                </c:pt>
                <c:pt idx="79">
                  <c:v>0.18370050176290087</c:v>
                </c:pt>
                <c:pt idx="80">
                  <c:v>0.17785128272429107</c:v>
                </c:pt>
                <c:pt idx="81">
                  <c:v>0.20597547062078148</c:v>
                </c:pt>
                <c:pt idx="82">
                  <c:v>0.20162686798143725</c:v>
                </c:pt>
                <c:pt idx="83">
                  <c:v>0.19721767378307276</c:v>
                </c:pt>
                <c:pt idx="84">
                  <c:v>0.11185632738075368</c:v>
                </c:pt>
                <c:pt idx="85">
                  <c:v>9.7928419940229716E-2</c:v>
                </c:pt>
                <c:pt idx="86">
                  <c:v>0.11323978613057406</c:v>
                </c:pt>
                <c:pt idx="87">
                  <c:v>8.5886897382205341E-2</c:v>
                </c:pt>
                <c:pt idx="88">
                  <c:v>7.5574880491950713E-2</c:v>
                </c:pt>
                <c:pt idx="89">
                  <c:v>9.0241918849450542E-2</c:v>
                </c:pt>
                <c:pt idx="90">
                  <c:v>5.5711706414280249E-2</c:v>
                </c:pt>
                <c:pt idx="91">
                  <c:v>5.2107605449911665E-2</c:v>
                </c:pt>
                <c:pt idx="92">
                  <c:v>5.0975211668116582E-2</c:v>
                </c:pt>
                <c:pt idx="93">
                  <c:v>4.9667593909009433E-2</c:v>
                </c:pt>
                <c:pt idx="94">
                  <c:v>5.7560651440984767E-2</c:v>
                </c:pt>
                <c:pt idx="95">
                  <c:v>-7.8066481274370325E-3</c:v>
                </c:pt>
                <c:pt idx="96">
                  <c:v>-4.9653938715894519E-3</c:v>
                </c:pt>
                <c:pt idx="97">
                  <c:v>-6.8878518344058781E-2</c:v>
                </c:pt>
                <c:pt idx="98">
                  <c:v>-0.10408880733046777</c:v>
                </c:pt>
                <c:pt idx="99">
                  <c:v>-0.12240784523902604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B27-8C5C-AA8DDF06E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대분류 섹터표준화 </a:t>
            </a:r>
            <a:r>
              <a:rPr lang="en-US" altLang="ko-KR" sz="1800" b="0" i="0" baseline="0">
                <a:effectLst/>
              </a:rPr>
              <a:t>100 PORT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'12개월롤링초과수익률'!$B$51:$CW$51</c:f>
              <c:numCache>
                <c:formatCode>0.0%</c:formatCode>
                <c:ptCount val="100"/>
                <c:pt idx="0">
                  <c:v>-6.0019259424995308E-2</c:v>
                </c:pt>
                <c:pt idx="1">
                  <c:v>-4.0996135526426114E-2</c:v>
                </c:pt>
                <c:pt idx="2">
                  <c:v>1.7877249768321835E-2</c:v>
                </c:pt>
                <c:pt idx="3">
                  <c:v>-2.7577069780626795E-2</c:v>
                </c:pt>
                <c:pt idx="4">
                  <c:v>-7.5457825139111367E-2</c:v>
                </c:pt>
                <c:pt idx="5">
                  <c:v>-0.11570580668662711</c:v>
                </c:pt>
                <c:pt idx="6">
                  <c:v>-0.11634404460370362</c:v>
                </c:pt>
                <c:pt idx="7">
                  <c:v>-0.18082367042625469</c:v>
                </c:pt>
                <c:pt idx="8">
                  <c:v>-3.2935175858102461E-2</c:v>
                </c:pt>
                <c:pt idx="9">
                  <c:v>-0.10566063713279195</c:v>
                </c:pt>
                <c:pt idx="10">
                  <c:v>-0.13881451796971289</c:v>
                </c:pt>
                <c:pt idx="11">
                  <c:v>-0.1860305096745154</c:v>
                </c:pt>
                <c:pt idx="12">
                  <c:v>-0.230414366551003</c:v>
                </c:pt>
                <c:pt idx="13">
                  <c:v>-0.26272003835710422</c:v>
                </c:pt>
                <c:pt idx="14">
                  <c:v>-0.3207993732982527</c:v>
                </c:pt>
                <c:pt idx="15">
                  <c:v>-0.27217363587513987</c:v>
                </c:pt>
                <c:pt idx="16">
                  <c:v>-0.23947985641324421</c:v>
                </c:pt>
                <c:pt idx="17">
                  <c:v>-0.17712937893881986</c:v>
                </c:pt>
                <c:pt idx="18">
                  <c:v>-0.15516306615800346</c:v>
                </c:pt>
                <c:pt idx="19">
                  <c:v>-7.8234896386034203E-2</c:v>
                </c:pt>
                <c:pt idx="20">
                  <c:v>-2.4516815465025488E-4</c:v>
                </c:pt>
                <c:pt idx="21">
                  <c:v>-6.1877320512947032E-2</c:v>
                </c:pt>
                <c:pt idx="22">
                  <c:v>-0.10596196907767363</c:v>
                </c:pt>
                <c:pt idx="23">
                  <c:v>-0.10594193285391285</c:v>
                </c:pt>
                <c:pt idx="24">
                  <c:v>-9.8903398198319614E-2</c:v>
                </c:pt>
                <c:pt idx="25">
                  <c:v>-9.8409841038415991E-2</c:v>
                </c:pt>
                <c:pt idx="26">
                  <c:v>-8.2057237126490268E-2</c:v>
                </c:pt>
                <c:pt idx="27">
                  <c:v>-9.1705870947210055E-2</c:v>
                </c:pt>
                <c:pt idx="28">
                  <c:v>-6.5669686152661999E-2</c:v>
                </c:pt>
                <c:pt idx="29">
                  <c:v>6.805599995485645E-2</c:v>
                </c:pt>
                <c:pt idx="30">
                  <c:v>8.2197684635734847E-2</c:v>
                </c:pt>
                <c:pt idx="31">
                  <c:v>2.189752347748819E-2</c:v>
                </c:pt>
                <c:pt idx="32">
                  <c:v>-7.3029665324053417E-2</c:v>
                </c:pt>
                <c:pt idx="33">
                  <c:v>1.7269204101158064E-2</c:v>
                </c:pt>
                <c:pt idx="34">
                  <c:v>6.7275283728539748E-2</c:v>
                </c:pt>
                <c:pt idx="35">
                  <c:v>7.5286336006122334E-2</c:v>
                </c:pt>
                <c:pt idx="36">
                  <c:v>0.11086164716281677</c:v>
                </c:pt>
                <c:pt idx="37">
                  <c:v>8.8910487901439628E-2</c:v>
                </c:pt>
                <c:pt idx="38">
                  <c:v>5.7920192370776946E-2</c:v>
                </c:pt>
                <c:pt idx="39">
                  <c:v>7.7853108837298901E-2</c:v>
                </c:pt>
                <c:pt idx="40">
                  <c:v>8.1731282949754958E-2</c:v>
                </c:pt>
                <c:pt idx="41">
                  <c:v>-1.9521967215807456E-2</c:v>
                </c:pt>
                <c:pt idx="42">
                  <c:v>-1.3680320063434115E-2</c:v>
                </c:pt>
                <c:pt idx="43">
                  <c:v>8.1533724431146259E-2</c:v>
                </c:pt>
                <c:pt idx="44">
                  <c:v>0.15134818496086666</c:v>
                </c:pt>
                <c:pt idx="45">
                  <c:v>0.15786655148992912</c:v>
                </c:pt>
                <c:pt idx="46">
                  <c:v>0.12475399637523488</c:v>
                </c:pt>
                <c:pt idx="47">
                  <c:v>0.17998090865968885</c:v>
                </c:pt>
                <c:pt idx="48">
                  <c:v>0.18427008765300967</c:v>
                </c:pt>
                <c:pt idx="49">
                  <c:v>0.29967938220482659</c:v>
                </c:pt>
                <c:pt idx="50">
                  <c:v>0.48087638457949189</c:v>
                </c:pt>
                <c:pt idx="51">
                  <c:v>0.49413442017458076</c:v>
                </c:pt>
                <c:pt idx="52">
                  <c:v>0.42571323343716871</c:v>
                </c:pt>
                <c:pt idx="53">
                  <c:v>0.50955535426945664</c:v>
                </c:pt>
                <c:pt idx="54">
                  <c:v>0.41261678925413348</c:v>
                </c:pt>
                <c:pt idx="55">
                  <c:v>0.35659686197704565</c:v>
                </c:pt>
                <c:pt idx="56">
                  <c:v>0.28029878935370833</c:v>
                </c:pt>
                <c:pt idx="57">
                  <c:v>0.22911028451269089</c:v>
                </c:pt>
                <c:pt idx="58">
                  <c:v>0.2391608980049178</c:v>
                </c:pt>
                <c:pt idx="59">
                  <c:v>0.2338152949033192</c:v>
                </c:pt>
                <c:pt idx="60">
                  <c:v>0.22853709267339495</c:v>
                </c:pt>
                <c:pt idx="61">
                  <c:v>0.20153852797820282</c:v>
                </c:pt>
                <c:pt idx="62">
                  <c:v>0.13806077427539232</c:v>
                </c:pt>
                <c:pt idx="63">
                  <c:v>0.12818457354845025</c:v>
                </c:pt>
                <c:pt idx="64">
                  <c:v>9.9497912743942818E-2</c:v>
                </c:pt>
                <c:pt idx="65">
                  <c:v>7.0873590314333379E-2</c:v>
                </c:pt>
                <c:pt idx="66">
                  <c:v>0.14292118363713135</c:v>
                </c:pt>
                <c:pt idx="67">
                  <c:v>0.16682659030622027</c:v>
                </c:pt>
                <c:pt idx="68">
                  <c:v>0.15567745596716676</c:v>
                </c:pt>
                <c:pt idx="69">
                  <c:v>0.15195938551287458</c:v>
                </c:pt>
                <c:pt idx="70">
                  <c:v>0.17681788380846519</c:v>
                </c:pt>
                <c:pt idx="71">
                  <c:v>0.16121437290921792</c:v>
                </c:pt>
                <c:pt idx="72">
                  <c:v>0.19297318624087278</c:v>
                </c:pt>
                <c:pt idx="73">
                  <c:v>0.19641380665453134</c:v>
                </c:pt>
                <c:pt idx="74">
                  <c:v>0.17637873486365496</c:v>
                </c:pt>
                <c:pt idx="75">
                  <c:v>0.22065718326473638</c:v>
                </c:pt>
                <c:pt idx="76">
                  <c:v>0.29568780635015779</c:v>
                </c:pt>
                <c:pt idx="77">
                  <c:v>0.25018404229483582</c:v>
                </c:pt>
                <c:pt idx="78">
                  <c:v>0.18811566120354262</c:v>
                </c:pt>
                <c:pt idx="79">
                  <c:v>0.16427271650538133</c:v>
                </c:pt>
                <c:pt idx="80">
                  <c:v>0.14905008424807709</c:v>
                </c:pt>
                <c:pt idx="81">
                  <c:v>0.17530612903051246</c:v>
                </c:pt>
                <c:pt idx="82">
                  <c:v>0.16997402914842175</c:v>
                </c:pt>
                <c:pt idx="83">
                  <c:v>0.16232970786405543</c:v>
                </c:pt>
                <c:pt idx="84">
                  <c:v>0.10677642205239601</c:v>
                </c:pt>
                <c:pt idx="85">
                  <c:v>9.5760312388078583E-2</c:v>
                </c:pt>
                <c:pt idx="86">
                  <c:v>0.11001878883927896</c:v>
                </c:pt>
                <c:pt idx="87">
                  <c:v>7.345382525421007E-2</c:v>
                </c:pt>
                <c:pt idx="88">
                  <c:v>3.2737493453710576E-2</c:v>
                </c:pt>
                <c:pt idx="89">
                  <c:v>6.7022701867058609E-2</c:v>
                </c:pt>
                <c:pt idx="90">
                  <c:v>3.9480426314182138E-2</c:v>
                </c:pt>
                <c:pt idx="91">
                  <c:v>3.621864066483127E-2</c:v>
                </c:pt>
                <c:pt idx="92">
                  <c:v>3.1618423390074701E-2</c:v>
                </c:pt>
                <c:pt idx="93">
                  <c:v>3.7080728302730126E-2</c:v>
                </c:pt>
                <c:pt idx="94">
                  <c:v>4.7398824789357752E-2</c:v>
                </c:pt>
                <c:pt idx="95">
                  <c:v>-1.6319701489793115E-2</c:v>
                </c:pt>
                <c:pt idx="96">
                  <c:v>-1.3323150843179477E-2</c:v>
                </c:pt>
                <c:pt idx="97">
                  <c:v>-7.0343870470453318E-2</c:v>
                </c:pt>
                <c:pt idx="98">
                  <c:v>-0.1012291747388232</c:v>
                </c:pt>
                <c:pt idx="99">
                  <c:v>-0.12182658897165322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D1-427B-8016-9CF12514A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시가총액 중분류 표준화 </a:t>
            </a:r>
            <a:r>
              <a:rPr lang="en-US" altLang="ko-KR"/>
              <a:t>100PORT </a:t>
            </a:r>
            <a:r>
              <a:rPr lang="ko-KR" altLang="en-US"/>
              <a:t>승률 </a:t>
            </a:r>
            <a:r>
              <a:rPr lang="en-US" altLang="ko-KR"/>
              <a:t>69%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'12개월롤링초과수익률'!$E$25:$CZ$25</c:f>
              <c:numCache>
                <c:formatCode>General</c:formatCode>
                <c:ptCount val="100"/>
                <c:pt idx="0">
                  <c:v>20090227</c:v>
                </c:pt>
                <c:pt idx="1">
                  <c:v>20090331</c:v>
                </c:pt>
                <c:pt idx="2">
                  <c:v>20090430</c:v>
                </c:pt>
                <c:pt idx="3">
                  <c:v>20090529</c:v>
                </c:pt>
                <c:pt idx="4">
                  <c:v>20090630</c:v>
                </c:pt>
                <c:pt idx="5">
                  <c:v>20090731</c:v>
                </c:pt>
                <c:pt idx="6">
                  <c:v>20090831</c:v>
                </c:pt>
                <c:pt idx="7">
                  <c:v>20090930</c:v>
                </c:pt>
                <c:pt idx="8">
                  <c:v>20091030</c:v>
                </c:pt>
                <c:pt idx="9">
                  <c:v>20091130</c:v>
                </c:pt>
                <c:pt idx="10">
                  <c:v>20091230</c:v>
                </c:pt>
                <c:pt idx="11">
                  <c:v>20100129</c:v>
                </c:pt>
                <c:pt idx="12">
                  <c:v>20100226</c:v>
                </c:pt>
                <c:pt idx="13">
                  <c:v>20100331</c:v>
                </c:pt>
                <c:pt idx="14">
                  <c:v>20100430</c:v>
                </c:pt>
                <c:pt idx="15">
                  <c:v>20100531</c:v>
                </c:pt>
                <c:pt idx="16">
                  <c:v>20100630</c:v>
                </c:pt>
                <c:pt idx="17">
                  <c:v>20100730</c:v>
                </c:pt>
                <c:pt idx="18">
                  <c:v>20100831</c:v>
                </c:pt>
                <c:pt idx="19">
                  <c:v>20100930</c:v>
                </c:pt>
                <c:pt idx="20">
                  <c:v>20101029</c:v>
                </c:pt>
                <c:pt idx="21">
                  <c:v>20101130</c:v>
                </c:pt>
                <c:pt idx="22">
                  <c:v>20101230</c:v>
                </c:pt>
                <c:pt idx="23">
                  <c:v>20110131</c:v>
                </c:pt>
                <c:pt idx="24">
                  <c:v>20110228</c:v>
                </c:pt>
                <c:pt idx="25">
                  <c:v>20110331</c:v>
                </c:pt>
                <c:pt idx="26">
                  <c:v>20110429</c:v>
                </c:pt>
                <c:pt idx="27">
                  <c:v>20110531</c:v>
                </c:pt>
                <c:pt idx="28">
                  <c:v>20110630</c:v>
                </c:pt>
                <c:pt idx="29">
                  <c:v>20110729</c:v>
                </c:pt>
                <c:pt idx="30">
                  <c:v>20110831</c:v>
                </c:pt>
                <c:pt idx="31">
                  <c:v>20110930</c:v>
                </c:pt>
                <c:pt idx="32">
                  <c:v>20111031</c:v>
                </c:pt>
                <c:pt idx="33">
                  <c:v>20111130</c:v>
                </c:pt>
                <c:pt idx="34">
                  <c:v>20111229</c:v>
                </c:pt>
                <c:pt idx="35">
                  <c:v>20120131</c:v>
                </c:pt>
                <c:pt idx="36">
                  <c:v>20120229</c:v>
                </c:pt>
                <c:pt idx="37">
                  <c:v>20120330</c:v>
                </c:pt>
                <c:pt idx="38">
                  <c:v>20120430</c:v>
                </c:pt>
                <c:pt idx="39">
                  <c:v>20120531</c:v>
                </c:pt>
                <c:pt idx="40">
                  <c:v>20120629</c:v>
                </c:pt>
                <c:pt idx="41">
                  <c:v>20120731</c:v>
                </c:pt>
                <c:pt idx="42">
                  <c:v>20120831</c:v>
                </c:pt>
                <c:pt idx="43">
                  <c:v>20120928</c:v>
                </c:pt>
                <c:pt idx="44">
                  <c:v>20121031</c:v>
                </c:pt>
                <c:pt idx="45">
                  <c:v>20121130</c:v>
                </c:pt>
                <c:pt idx="46">
                  <c:v>20121228</c:v>
                </c:pt>
                <c:pt idx="47">
                  <c:v>20130131</c:v>
                </c:pt>
                <c:pt idx="48">
                  <c:v>20130228</c:v>
                </c:pt>
                <c:pt idx="49">
                  <c:v>20130329</c:v>
                </c:pt>
                <c:pt idx="50">
                  <c:v>20130430</c:v>
                </c:pt>
                <c:pt idx="51">
                  <c:v>20130531</c:v>
                </c:pt>
                <c:pt idx="52">
                  <c:v>20130628</c:v>
                </c:pt>
                <c:pt idx="53">
                  <c:v>20130731</c:v>
                </c:pt>
                <c:pt idx="54">
                  <c:v>20130830</c:v>
                </c:pt>
                <c:pt idx="55">
                  <c:v>20130930</c:v>
                </c:pt>
                <c:pt idx="56">
                  <c:v>20131031</c:v>
                </c:pt>
                <c:pt idx="57">
                  <c:v>20131129</c:v>
                </c:pt>
                <c:pt idx="58">
                  <c:v>20131230</c:v>
                </c:pt>
                <c:pt idx="59">
                  <c:v>20140129</c:v>
                </c:pt>
                <c:pt idx="60">
                  <c:v>20140228</c:v>
                </c:pt>
                <c:pt idx="61">
                  <c:v>20140331</c:v>
                </c:pt>
                <c:pt idx="62">
                  <c:v>20140430</c:v>
                </c:pt>
                <c:pt idx="63">
                  <c:v>20140530</c:v>
                </c:pt>
                <c:pt idx="64">
                  <c:v>20140630</c:v>
                </c:pt>
                <c:pt idx="65">
                  <c:v>20140731</c:v>
                </c:pt>
                <c:pt idx="66">
                  <c:v>20140829</c:v>
                </c:pt>
                <c:pt idx="67">
                  <c:v>20140930</c:v>
                </c:pt>
                <c:pt idx="68">
                  <c:v>20141031</c:v>
                </c:pt>
                <c:pt idx="69">
                  <c:v>20141128</c:v>
                </c:pt>
                <c:pt idx="70">
                  <c:v>20141230</c:v>
                </c:pt>
                <c:pt idx="71">
                  <c:v>20150130</c:v>
                </c:pt>
                <c:pt idx="72">
                  <c:v>20150227</c:v>
                </c:pt>
                <c:pt idx="73">
                  <c:v>20150331</c:v>
                </c:pt>
                <c:pt idx="74">
                  <c:v>20150430</c:v>
                </c:pt>
                <c:pt idx="75">
                  <c:v>20150529</c:v>
                </c:pt>
                <c:pt idx="76">
                  <c:v>20150630</c:v>
                </c:pt>
                <c:pt idx="77">
                  <c:v>20150731</c:v>
                </c:pt>
                <c:pt idx="78">
                  <c:v>20150831</c:v>
                </c:pt>
                <c:pt idx="79">
                  <c:v>20150930</c:v>
                </c:pt>
                <c:pt idx="80">
                  <c:v>20151030</c:v>
                </c:pt>
                <c:pt idx="81">
                  <c:v>20151130</c:v>
                </c:pt>
                <c:pt idx="82">
                  <c:v>20151230</c:v>
                </c:pt>
                <c:pt idx="83">
                  <c:v>20160129</c:v>
                </c:pt>
                <c:pt idx="84">
                  <c:v>20160229</c:v>
                </c:pt>
                <c:pt idx="85">
                  <c:v>20160331</c:v>
                </c:pt>
                <c:pt idx="86">
                  <c:v>20160429</c:v>
                </c:pt>
                <c:pt idx="87">
                  <c:v>20160531</c:v>
                </c:pt>
                <c:pt idx="88">
                  <c:v>20160630</c:v>
                </c:pt>
                <c:pt idx="89">
                  <c:v>20160729</c:v>
                </c:pt>
                <c:pt idx="90">
                  <c:v>20160831</c:v>
                </c:pt>
                <c:pt idx="91">
                  <c:v>20160930</c:v>
                </c:pt>
                <c:pt idx="92">
                  <c:v>20161031</c:v>
                </c:pt>
                <c:pt idx="93">
                  <c:v>20161130</c:v>
                </c:pt>
                <c:pt idx="94">
                  <c:v>20161229</c:v>
                </c:pt>
                <c:pt idx="95">
                  <c:v>20170131</c:v>
                </c:pt>
                <c:pt idx="96">
                  <c:v>20170228</c:v>
                </c:pt>
                <c:pt idx="97">
                  <c:v>20170331</c:v>
                </c:pt>
                <c:pt idx="98">
                  <c:v>20170428</c:v>
                </c:pt>
                <c:pt idx="99">
                  <c:v>20170531</c:v>
                </c:pt>
              </c:numCache>
            </c:numRef>
          </c:cat>
          <c:val>
            <c:numRef>
              <c:f>'12개월롤링초과수익률'!$B$55:$CW$55</c:f>
              <c:numCache>
                <c:formatCode>0.0%</c:formatCode>
                <c:ptCount val="100"/>
                <c:pt idx="0">
                  <c:v>-3.7093475983973612E-4</c:v>
                </c:pt>
                <c:pt idx="1">
                  <c:v>3.162354919104271E-2</c:v>
                </c:pt>
                <c:pt idx="2">
                  <c:v>8.3556529164544147E-2</c:v>
                </c:pt>
                <c:pt idx="3">
                  <c:v>3.8642190542450439E-2</c:v>
                </c:pt>
                <c:pt idx="4">
                  <c:v>4.8971304455475151E-3</c:v>
                </c:pt>
                <c:pt idx="5">
                  <c:v>2.9104618327880916E-3</c:v>
                </c:pt>
                <c:pt idx="6">
                  <c:v>2.7469452357854696E-2</c:v>
                </c:pt>
                <c:pt idx="7">
                  <c:v>-6.1332120632107134E-3</c:v>
                </c:pt>
                <c:pt idx="8">
                  <c:v>0.153932764183077</c:v>
                </c:pt>
                <c:pt idx="9">
                  <c:v>7.923006056139692E-2</c:v>
                </c:pt>
                <c:pt idx="10">
                  <c:v>5.2001984851009597E-2</c:v>
                </c:pt>
                <c:pt idx="11">
                  <c:v>2.5429652087537002E-2</c:v>
                </c:pt>
                <c:pt idx="12">
                  <c:v>-4.439039558539859E-3</c:v>
                </c:pt>
                <c:pt idx="13">
                  <c:v>-3.4580921533399867E-2</c:v>
                </c:pt>
                <c:pt idx="14">
                  <c:v>-8.4358815356708527E-2</c:v>
                </c:pt>
                <c:pt idx="15">
                  <c:v>-5.2013495403065546E-2</c:v>
                </c:pt>
                <c:pt idx="16">
                  <c:v>-3.2012620956607618E-2</c:v>
                </c:pt>
                <c:pt idx="17">
                  <c:v>-2.4294115228020052E-2</c:v>
                </c:pt>
                <c:pt idx="18">
                  <c:v>-4.568267844680074E-2</c:v>
                </c:pt>
                <c:pt idx="19">
                  <c:v>-7.539947702241756E-3</c:v>
                </c:pt>
                <c:pt idx="20">
                  <c:v>5.6840344917917784E-2</c:v>
                </c:pt>
                <c:pt idx="21">
                  <c:v>2.9853968142937948E-2</c:v>
                </c:pt>
                <c:pt idx="22">
                  <c:v>-1.8398782903957356E-2</c:v>
                </c:pt>
                <c:pt idx="23">
                  <c:v>-3.3142479016244675E-2</c:v>
                </c:pt>
                <c:pt idx="24">
                  <c:v>-2.0529035980134891E-2</c:v>
                </c:pt>
                <c:pt idx="25">
                  <c:v>-4.1136870305889861E-2</c:v>
                </c:pt>
                <c:pt idx="26">
                  <c:v>-7.7391432575530272E-2</c:v>
                </c:pt>
                <c:pt idx="27">
                  <c:v>-0.10810446501287818</c:v>
                </c:pt>
                <c:pt idx="28">
                  <c:v>-8.0331707590976187E-2</c:v>
                </c:pt>
                <c:pt idx="29">
                  <c:v>4.0071407499238099E-2</c:v>
                </c:pt>
                <c:pt idx="30">
                  <c:v>4.0787335737866304E-2</c:v>
                </c:pt>
                <c:pt idx="31">
                  <c:v>-1.6400991718829805E-2</c:v>
                </c:pt>
                <c:pt idx="32">
                  <c:v>-9.3702302752162847E-2</c:v>
                </c:pt>
                <c:pt idx="33">
                  <c:v>-4.0753619331390323E-2</c:v>
                </c:pt>
                <c:pt idx="34">
                  <c:v>9.841349456170545E-3</c:v>
                </c:pt>
                <c:pt idx="35">
                  <c:v>2.1897444072907613E-2</c:v>
                </c:pt>
                <c:pt idx="36">
                  <c:v>4.7486778449692402E-2</c:v>
                </c:pt>
                <c:pt idx="37">
                  <c:v>2.7000558276467412E-2</c:v>
                </c:pt>
                <c:pt idx="38">
                  <c:v>-1.4034489963088426E-3</c:v>
                </c:pt>
                <c:pt idx="39">
                  <c:v>1.9122682802813484E-2</c:v>
                </c:pt>
                <c:pt idx="40">
                  <c:v>1.7792361945180857E-2</c:v>
                </c:pt>
                <c:pt idx="41">
                  <c:v>-5.1361301901327594E-2</c:v>
                </c:pt>
                <c:pt idx="42">
                  <c:v>-3.2909711632964633E-2</c:v>
                </c:pt>
                <c:pt idx="43">
                  <c:v>4.4125293579487579E-2</c:v>
                </c:pt>
                <c:pt idx="44">
                  <c:v>9.2043964052053173E-2</c:v>
                </c:pt>
                <c:pt idx="45">
                  <c:v>7.1227945300879503E-2</c:v>
                </c:pt>
                <c:pt idx="46">
                  <c:v>4.7843736201478748E-2</c:v>
                </c:pt>
                <c:pt idx="47">
                  <c:v>8.1990370611687569E-2</c:v>
                </c:pt>
                <c:pt idx="48">
                  <c:v>5.8720336202133794E-2</c:v>
                </c:pt>
                <c:pt idx="49">
                  <c:v>0.16774707108691145</c:v>
                </c:pt>
                <c:pt idx="50">
                  <c:v>0.31813274581341577</c:v>
                </c:pt>
                <c:pt idx="51">
                  <c:v>0.34476102090682925</c:v>
                </c:pt>
                <c:pt idx="52">
                  <c:v>0.28874107763263934</c:v>
                </c:pt>
                <c:pt idx="53">
                  <c:v>0.35065456729783717</c:v>
                </c:pt>
                <c:pt idx="54">
                  <c:v>0.28086339620414358</c:v>
                </c:pt>
                <c:pt idx="55">
                  <c:v>0.2592683593476719</c:v>
                </c:pt>
                <c:pt idx="56">
                  <c:v>0.22978415826985232</c:v>
                </c:pt>
                <c:pt idx="57">
                  <c:v>0.21828930356236942</c:v>
                </c:pt>
                <c:pt idx="58">
                  <c:v>0.22289369961944039</c:v>
                </c:pt>
                <c:pt idx="59">
                  <c:v>0.23609513237765678</c:v>
                </c:pt>
                <c:pt idx="60">
                  <c:v>0.25400209682167718</c:v>
                </c:pt>
                <c:pt idx="61">
                  <c:v>0.22328371876464026</c:v>
                </c:pt>
                <c:pt idx="62">
                  <c:v>0.18723437204118798</c:v>
                </c:pt>
                <c:pt idx="63">
                  <c:v>0.1748837651307108</c:v>
                </c:pt>
                <c:pt idx="64">
                  <c:v>0.18806954559558831</c:v>
                </c:pt>
                <c:pt idx="65">
                  <c:v>0.16831457010427986</c:v>
                </c:pt>
                <c:pt idx="66">
                  <c:v>0.24225307826763731</c:v>
                </c:pt>
                <c:pt idx="67">
                  <c:v>0.26440162138066259</c:v>
                </c:pt>
                <c:pt idx="68">
                  <c:v>0.25019571845665345</c:v>
                </c:pt>
                <c:pt idx="69">
                  <c:v>0.2438153073128736</c:v>
                </c:pt>
                <c:pt idx="70">
                  <c:v>0.24503696051435797</c:v>
                </c:pt>
                <c:pt idx="71">
                  <c:v>0.221326853326548</c:v>
                </c:pt>
                <c:pt idx="72">
                  <c:v>0.2446646940816577</c:v>
                </c:pt>
                <c:pt idx="73">
                  <c:v>0.23101004295172278</c:v>
                </c:pt>
                <c:pt idx="74">
                  <c:v>0.2361484113228145</c:v>
                </c:pt>
                <c:pt idx="75">
                  <c:v>0.26271959426616975</c:v>
                </c:pt>
                <c:pt idx="76">
                  <c:v>0.27563832146835465</c:v>
                </c:pt>
                <c:pt idx="77">
                  <c:v>0.28106156469402399</c:v>
                </c:pt>
                <c:pt idx="78">
                  <c:v>0.21526432411374596</c:v>
                </c:pt>
                <c:pt idx="79">
                  <c:v>0.20031314810913836</c:v>
                </c:pt>
                <c:pt idx="80">
                  <c:v>0.16990107051184755</c:v>
                </c:pt>
                <c:pt idx="81">
                  <c:v>0.16915358305744865</c:v>
                </c:pt>
                <c:pt idx="82">
                  <c:v>0.17406778304203496</c:v>
                </c:pt>
                <c:pt idx="83">
                  <c:v>0.12097965013887724</c:v>
                </c:pt>
                <c:pt idx="84">
                  <c:v>9.6386041088263652E-2</c:v>
                </c:pt>
                <c:pt idx="85">
                  <c:v>9.8984860345566972E-2</c:v>
                </c:pt>
                <c:pt idx="86">
                  <c:v>8.9033882932051167E-2</c:v>
                </c:pt>
                <c:pt idx="87">
                  <c:v>4.3498439508227738E-2</c:v>
                </c:pt>
                <c:pt idx="88">
                  <c:v>2.306310034350445E-3</c:v>
                </c:pt>
                <c:pt idx="89">
                  <c:v>-5.0843094463315364E-4</c:v>
                </c:pt>
                <c:pt idx="90">
                  <c:v>-1.3543894270357626E-2</c:v>
                </c:pt>
                <c:pt idx="91">
                  <c:v>-2.8330642667865114E-2</c:v>
                </c:pt>
                <c:pt idx="92">
                  <c:v>-3.8787398494292136E-3</c:v>
                </c:pt>
                <c:pt idx="93">
                  <c:v>1.8629000775992832E-2</c:v>
                </c:pt>
                <c:pt idx="94">
                  <c:v>2.5032760716590996E-2</c:v>
                </c:pt>
                <c:pt idx="95">
                  <c:v>1.8160869009857805E-2</c:v>
                </c:pt>
                <c:pt idx="96">
                  <c:v>-7.0234346872883879E-3</c:v>
                </c:pt>
                <c:pt idx="97">
                  <c:v>-5.4219796802471576E-2</c:v>
                </c:pt>
                <c:pt idx="98">
                  <c:v>-7.0256301863094839E-2</c:v>
                </c:pt>
                <c:pt idx="99">
                  <c:v>-6.1144408399689265E-2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C6-4897-AF4A-4AEE60C7E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046911"/>
        <c:axId val="991041919"/>
      </c:areaChart>
      <c:catAx>
        <c:axId val="991046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1919"/>
        <c:crosses val="autoZero"/>
        <c:auto val="1"/>
        <c:lblAlgn val="ctr"/>
        <c:lblOffset val="100"/>
        <c:noMultiLvlLbl val="0"/>
      </c:catAx>
      <c:valAx>
        <c:axId val="99104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91046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u="none" strike="noStrike" baseline="0">
                <a:effectLst/>
              </a:rPr>
              <a:t>시가총액 중분류 표준화 </a:t>
            </a:r>
            <a:r>
              <a:rPr lang="en-US" altLang="ko-KR" sz="1400" b="0" i="0" u="none" strike="noStrike" baseline="0">
                <a:effectLst/>
              </a:rPr>
              <a:t>100PORT (</a:t>
            </a:r>
            <a:r>
              <a:rPr lang="ko-KR" altLang="en-US" sz="1400" b="0" i="0" u="none" strike="noStrike" baseline="0">
                <a:effectLst/>
              </a:rPr>
              <a:t>대</a:t>
            </a:r>
            <a:r>
              <a:rPr lang="en-US" altLang="ko-KR" sz="1400" b="0" i="0" u="none" strike="noStrike" baseline="0">
                <a:effectLst/>
              </a:rPr>
              <a:t>50</a:t>
            </a:r>
            <a:r>
              <a:rPr lang="ko-KR" altLang="en-US" sz="1400" b="0" i="0" u="none" strike="noStrike" baseline="0">
                <a:effectLst/>
              </a:rPr>
              <a:t>중소</a:t>
            </a:r>
            <a:r>
              <a:rPr lang="en-US" altLang="ko-KR" sz="1400" b="0" i="0" u="none" strike="noStrike" baseline="0">
                <a:effectLst/>
              </a:rPr>
              <a:t>50)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'12개월롤링초과수익률'!$B$59:$CW$59</c:f>
              <c:numCache>
                <c:formatCode>0.0%</c:formatCode>
                <c:ptCount val="100"/>
                <c:pt idx="0">
                  <c:v>-3.1925555094350577E-2</c:v>
                </c:pt>
                <c:pt idx="1">
                  <c:v>8.8931086314240071E-3</c:v>
                </c:pt>
                <c:pt idx="2">
                  <c:v>4.9501940986067416E-2</c:v>
                </c:pt>
                <c:pt idx="3">
                  <c:v>4.2898151762540859E-2</c:v>
                </c:pt>
                <c:pt idx="4">
                  <c:v>2.8571596036830904E-2</c:v>
                </c:pt>
                <c:pt idx="5">
                  <c:v>9.3199081031284381E-3</c:v>
                </c:pt>
                <c:pt idx="6">
                  <c:v>2.0153291921445327E-2</c:v>
                </c:pt>
                <c:pt idx="7">
                  <c:v>-4.4135414467982859E-3</c:v>
                </c:pt>
                <c:pt idx="8">
                  <c:v>0.19317505719018069</c:v>
                </c:pt>
                <c:pt idx="9">
                  <c:v>0.13828252425072241</c:v>
                </c:pt>
                <c:pt idx="10">
                  <c:v>4.5436807153684589E-2</c:v>
                </c:pt>
                <c:pt idx="11">
                  <c:v>2.7207323310058928E-3</c:v>
                </c:pt>
                <c:pt idx="12">
                  <c:v>-4.2035329063621063E-3</c:v>
                </c:pt>
                <c:pt idx="13">
                  <c:v>-6.6960889632587728E-2</c:v>
                </c:pt>
                <c:pt idx="14">
                  <c:v>-0.14237263895580887</c:v>
                </c:pt>
                <c:pt idx="15">
                  <c:v>-0.1205192326615665</c:v>
                </c:pt>
                <c:pt idx="16">
                  <c:v>-9.5574544968537456E-2</c:v>
                </c:pt>
                <c:pt idx="17">
                  <c:v>-5.0092785925742733E-2</c:v>
                </c:pt>
                <c:pt idx="18">
                  <c:v>-2.5235224514429166E-2</c:v>
                </c:pt>
                <c:pt idx="19">
                  <c:v>4.0331290951845622E-2</c:v>
                </c:pt>
                <c:pt idx="20">
                  <c:v>5.8008464377931279E-2</c:v>
                </c:pt>
                <c:pt idx="21">
                  <c:v>3.9149534779013617E-2</c:v>
                </c:pt>
                <c:pt idx="22">
                  <c:v>2.7007368196370063E-2</c:v>
                </c:pt>
                <c:pt idx="23">
                  <c:v>9.3760804176254986E-3</c:v>
                </c:pt>
                <c:pt idx="24">
                  <c:v>1.0600222088759104E-3</c:v>
                </c:pt>
                <c:pt idx="25">
                  <c:v>1.2582495068339083E-2</c:v>
                </c:pt>
                <c:pt idx="26">
                  <c:v>1.1013700289969952E-2</c:v>
                </c:pt>
                <c:pt idx="27">
                  <c:v>-2.8225060790765255E-3</c:v>
                </c:pt>
                <c:pt idx="28">
                  <c:v>6.0565704300648004E-3</c:v>
                </c:pt>
                <c:pt idx="29">
                  <c:v>9.098714331002955E-2</c:v>
                </c:pt>
                <c:pt idx="30">
                  <c:v>7.2035529558488021E-2</c:v>
                </c:pt>
                <c:pt idx="31">
                  <c:v>-1.4655507958511449E-2</c:v>
                </c:pt>
                <c:pt idx="32">
                  <c:v>-5.0496083336547093E-2</c:v>
                </c:pt>
                <c:pt idx="33">
                  <c:v>-3.0262202701873631E-2</c:v>
                </c:pt>
                <c:pt idx="34">
                  <c:v>7.0147160041134082E-4</c:v>
                </c:pt>
                <c:pt idx="35">
                  <c:v>3.294394215220009E-2</c:v>
                </c:pt>
                <c:pt idx="36">
                  <c:v>6.6278909468364011E-2</c:v>
                </c:pt>
                <c:pt idx="37">
                  <c:v>4.1257206081318332E-2</c:v>
                </c:pt>
                <c:pt idx="38">
                  <c:v>2.4871812953133232E-2</c:v>
                </c:pt>
                <c:pt idx="39">
                  <c:v>4.8907513218825027E-2</c:v>
                </c:pt>
                <c:pt idx="40">
                  <c:v>5.2557026967639975E-2</c:v>
                </c:pt>
                <c:pt idx="41">
                  <c:v>-1.4466977113398172E-2</c:v>
                </c:pt>
                <c:pt idx="42">
                  <c:v>8.8627979238296017E-3</c:v>
                </c:pt>
                <c:pt idx="43">
                  <c:v>9.2552829386952862E-2</c:v>
                </c:pt>
                <c:pt idx="44">
                  <c:v>0.12961399968116161</c:v>
                </c:pt>
                <c:pt idx="45">
                  <c:v>0.15209160390751197</c:v>
                </c:pt>
                <c:pt idx="46">
                  <c:v>0.1433302986735101</c:v>
                </c:pt>
                <c:pt idx="47">
                  <c:v>0.15710608487334254</c:v>
                </c:pt>
                <c:pt idx="48">
                  <c:v>0.12796828238879399</c:v>
                </c:pt>
                <c:pt idx="49">
                  <c:v>0.19420205692590409</c:v>
                </c:pt>
                <c:pt idx="50">
                  <c:v>0.30415687986753825</c:v>
                </c:pt>
                <c:pt idx="51">
                  <c:v>0.29315554476962347</c:v>
                </c:pt>
                <c:pt idx="52">
                  <c:v>0.25523460071608994</c:v>
                </c:pt>
                <c:pt idx="53">
                  <c:v>0.31045926286250336</c:v>
                </c:pt>
                <c:pt idx="54">
                  <c:v>0.24140601393244077</c:v>
                </c:pt>
                <c:pt idx="55">
                  <c:v>0.22663115773535369</c:v>
                </c:pt>
                <c:pt idx="56">
                  <c:v>0.18383716498514779</c:v>
                </c:pt>
                <c:pt idx="57">
                  <c:v>0.15115269226957739</c:v>
                </c:pt>
                <c:pt idx="58">
                  <c:v>0.16486538668620287</c:v>
                </c:pt>
                <c:pt idx="59">
                  <c:v>0.1593556198092303</c:v>
                </c:pt>
                <c:pt idx="60">
                  <c:v>0.17931995053369132</c:v>
                </c:pt>
                <c:pt idx="61">
                  <c:v>0.18024770166753579</c:v>
                </c:pt>
                <c:pt idx="62">
                  <c:v>0.14136778689032381</c:v>
                </c:pt>
                <c:pt idx="63">
                  <c:v>0.15233334788232622</c:v>
                </c:pt>
                <c:pt idx="64">
                  <c:v>0.16323257032834992</c:v>
                </c:pt>
                <c:pt idx="65">
                  <c:v>0.15677183291650865</c:v>
                </c:pt>
                <c:pt idx="66">
                  <c:v>0.23045464129060922</c:v>
                </c:pt>
                <c:pt idx="67">
                  <c:v>0.22403869468738113</c:v>
                </c:pt>
                <c:pt idx="68">
                  <c:v>0.20395717578397421</c:v>
                </c:pt>
                <c:pt idx="69">
                  <c:v>0.1970719283151775</c:v>
                </c:pt>
                <c:pt idx="70">
                  <c:v>0.17870362086732039</c:v>
                </c:pt>
                <c:pt idx="71">
                  <c:v>0.15633084827651711</c:v>
                </c:pt>
                <c:pt idx="72">
                  <c:v>0.18000724743675423</c:v>
                </c:pt>
                <c:pt idx="73">
                  <c:v>0.16642956735710701</c:v>
                </c:pt>
                <c:pt idx="74">
                  <c:v>0.18324839981007446</c:v>
                </c:pt>
                <c:pt idx="75">
                  <c:v>0.17606638633113647</c:v>
                </c:pt>
                <c:pt idx="76">
                  <c:v>0.1735445710601744</c:v>
                </c:pt>
                <c:pt idx="77">
                  <c:v>0.15909617774544538</c:v>
                </c:pt>
                <c:pt idx="78">
                  <c:v>0.10145743993867207</c:v>
                </c:pt>
                <c:pt idx="79">
                  <c:v>0.10328350358356009</c:v>
                </c:pt>
                <c:pt idx="80">
                  <c:v>9.2207791256608385E-2</c:v>
                </c:pt>
                <c:pt idx="81">
                  <c:v>9.8089815420454363E-2</c:v>
                </c:pt>
                <c:pt idx="82">
                  <c:v>0.10305543764750502</c:v>
                </c:pt>
                <c:pt idx="83">
                  <c:v>0.10328613481311255</c:v>
                </c:pt>
                <c:pt idx="84">
                  <c:v>8.0211205953241049E-2</c:v>
                </c:pt>
                <c:pt idx="85">
                  <c:v>8.3653186806736057E-2</c:v>
                </c:pt>
                <c:pt idx="86">
                  <c:v>8.3645234790335143E-2</c:v>
                </c:pt>
                <c:pt idx="87">
                  <c:v>6.566473265927586E-2</c:v>
                </c:pt>
                <c:pt idx="88">
                  <c:v>3.4416890654764276E-2</c:v>
                </c:pt>
                <c:pt idx="89">
                  <c:v>3.2543420129839129E-2</c:v>
                </c:pt>
                <c:pt idx="90">
                  <c:v>9.6485247424442644E-3</c:v>
                </c:pt>
                <c:pt idx="91">
                  <c:v>6.7617799470962581E-3</c:v>
                </c:pt>
                <c:pt idx="92">
                  <c:v>2.3525646717042603E-2</c:v>
                </c:pt>
                <c:pt idx="93">
                  <c:v>3.1968176358403211E-2</c:v>
                </c:pt>
                <c:pt idx="94">
                  <c:v>3.7234559576019066E-2</c:v>
                </c:pt>
                <c:pt idx="95">
                  <c:v>-8.9071935848845651E-3</c:v>
                </c:pt>
                <c:pt idx="96">
                  <c:v>-1.136789458128562E-2</c:v>
                </c:pt>
                <c:pt idx="97">
                  <c:v>-5.6250237753508348E-2</c:v>
                </c:pt>
                <c:pt idx="98">
                  <c:v>-7.4502671720252156E-2</c:v>
                </c:pt>
                <c:pt idx="99">
                  <c:v>-5.7318627238431841E-2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AD-4B4E-86A7-EDFAA68EE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01920"/>
        <c:axId val="1368610240"/>
      </c:areaChart>
      <c:catAx>
        <c:axId val="136860192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10240"/>
        <c:crosses val="autoZero"/>
        <c:auto val="1"/>
        <c:lblAlgn val="ctr"/>
        <c:lblOffset val="100"/>
        <c:noMultiLvlLbl val="0"/>
      </c:catAx>
      <c:valAx>
        <c:axId val="136861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0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75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25)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'12개월롤링초과수익률'!$B$63:$CW$63</c:f>
              <c:numCache>
                <c:formatCode>0.0%</c:formatCode>
                <c:ptCount val="100"/>
                <c:pt idx="0">
                  <c:v>-5.7923725874068799E-2</c:v>
                </c:pt>
                <c:pt idx="1">
                  <c:v>-3.5565953638810988E-2</c:v>
                </c:pt>
                <c:pt idx="2">
                  <c:v>8.9187162745417714E-3</c:v>
                </c:pt>
                <c:pt idx="3">
                  <c:v>2.9459298518008659E-4</c:v>
                </c:pt>
                <c:pt idx="4">
                  <c:v>-3.8288858140000936E-3</c:v>
                </c:pt>
                <c:pt idx="5">
                  <c:v>-2.6055016555775357E-2</c:v>
                </c:pt>
                <c:pt idx="6">
                  <c:v>-1.1250716809621863E-2</c:v>
                </c:pt>
                <c:pt idx="7">
                  <c:v>-1.4044737991965039E-2</c:v>
                </c:pt>
                <c:pt idx="8">
                  <c:v>0.16901913112257816</c:v>
                </c:pt>
                <c:pt idx="9">
                  <c:v>0.14749386974301903</c:v>
                </c:pt>
                <c:pt idx="10">
                  <c:v>8.6956716260527145E-2</c:v>
                </c:pt>
                <c:pt idx="11">
                  <c:v>2.7163041034646396E-2</c:v>
                </c:pt>
                <c:pt idx="12">
                  <c:v>4.5685191837507411E-2</c:v>
                </c:pt>
                <c:pt idx="13">
                  <c:v>5.0724898312237698E-4</c:v>
                </c:pt>
                <c:pt idx="14">
                  <c:v>-8.7727613087757783E-2</c:v>
                </c:pt>
                <c:pt idx="15">
                  <c:v>-7.5737547616909318E-2</c:v>
                </c:pt>
                <c:pt idx="16">
                  <c:v>-4.6656139660684159E-2</c:v>
                </c:pt>
                <c:pt idx="17">
                  <c:v>-1.3721642458149219E-2</c:v>
                </c:pt>
                <c:pt idx="18">
                  <c:v>1.2725447435020243E-2</c:v>
                </c:pt>
                <c:pt idx="19">
                  <c:v>5.8235883360752361E-2</c:v>
                </c:pt>
                <c:pt idx="20">
                  <c:v>6.2984756960567045E-2</c:v>
                </c:pt>
                <c:pt idx="21">
                  <c:v>7.0845668471559042E-2</c:v>
                </c:pt>
                <c:pt idx="22">
                  <c:v>6.6298098800508409E-2</c:v>
                </c:pt>
                <c:pt idx="23">
                  <c:v>6.9815790324664562E-2</c:v>
                </c:pt>
                <c:pt idx="24">
                  <c:v>4.2227867905122229E-2</c:v>
                </c:pt>
                <c:pt idx="25">
                  <c:v>4.0183567992038594E-2</c:v>
                </c:pt>
                <c:pt idx="26">
                  <c:v>5.0507880823216666E-2</c:v>
                </c:pt>
                <c:pt idx="27">
                  <c:v>3.6860041235905916E-2</c:v>
                </c:pt>
                <c:pt idx="28">
                  <c:v>2.519879885561771E-2</c:v>
                </c:pt>
                <c:pt idx="29">
                  <c:v>7.3374906254831007E-2</c:v>
                </c:pt>
                <c:pt idx="30">
                  <c:v>3.8236904563751839E-2</c:v>
                </c:pt>
                <c:pt idx="31">
                  <c:v>-3.2656670026269041E-2</c:v>
                </c:pt>
                <c:pt idx="32">
                  <c:v>-5.1748578713772364E-2</c:v>
                </c:pt>
                <c:pt idx="33">
                  <c:v>-5.2280129569667211E-2</c:v>
                </c:pt>
                <c:pt idx="34">
                  <c:v>-3.8991177717406234E-2</c:v>
                </c:pt>
                <c:pt idx="35">
                  <c:v>-1.6592187490596988E-2</c:v>
                </c:pt>
                <c:pt idx="36">
                  <c:v>1.0694334695376284E-2</c:v>
                </c:pt>
                <c:pt idx="37">
                  <c:v>-7.3432789437800627E-3</c:v>
                </c:pt>
                <c:pt idx="38">
                  <c:v>-3.1112533651428298E-2</c:v>
                </c:pt>
                <c:pt idx="39">
                  <c:v>-8.4481621965504239E-4</c:v>
                </c:pt>
                <c:pt idx="40">
                  <c:v>5.8986478533998854E-3</c:v>
                </c:pt>
                <c:pt idx="41">
                  <c:v>-2.9223900414258375E-2</c:v>
                </c:pt>
                <c:pt idx="42">
                  <c:v>-2.1108084354723999E-3</c:v>
                </c:pt>
                <c:pt idx="43">
                  <c:v>5.8375756445361526E-2</c:v>
                </c:pt>
                <c:pt idx="44">
                  <c:v>8.8944671256649954E-2</c:v>
                </c:pt>
                <c:pt idx="45">
                  <c:v>9.2699159857403846E-2</c:v>
                </c:pt>
                <c:pt idx="46">
                  <c:v>0.10327906641060847</c:v>
                </c:pt>
                <c:pt idx="47">
                  <c:v>9.6150989342979942E-2</c:v>
                </c:pt>
                <c:pt idx="48">
                  <c:v>7.7871976699521728E-2</c:v>
                </c:pt>
                <c:pt idx="49">
                  <c:v>0.12151354381870194</c:v>
                </c:pt>
                <c:pt idx="50">
                  <c:v>0.18273898623427676</c:v>
                </c:pt>
                <c:pt idx="51">
                  <c:v>0.18480185869111798</c:v>
                </c:pt>
                <c:pt idx="52">
                  <c:v>0.16206120124131917</c:v>
                </c:pt>
                <c:pt idx="53">
                  <c:v>0.20665036649534274</c:v>
                </c:pt>
                <c:pt idx="54">
                  <c:v>0.16198428515624386</c:v>
                </c:pt>
                <c:pt idx="55">
                  <c:v>0.16239611288900235</c:v>
                </c:pt>
                <c:pt idx="56">
                  <c:v>0.12518748164811444</c:v>
                </c:pt>
                <c:pt idx="57">
                  <c:v>0.11690752962508633</c:v>
                </c:pt>
                <c:pt idx="58">
                  <c:v>0.12992532967860804</c:v>
                </c:pt>
                <c:pt idx="59">
                  <c:v>0.12216326237553332</c:v>
                </c:pt>
                <c:pt idx="60">
                  <c:v>0.13611573381749675</c:v>
                </c:pt>
                <c:pt idx="61">
                  <c:v>0.13744566312258433</c:v>
                </c:pt>
                <c:pt idx="62">
                  <c:v>0.12338327493840362</c:v>
                </c:pt>
                <c:pt idx="63">
                  <c:v>9.8038296068562736E-2</c:v>
                </c:pt>
                <c:pt idx="64">
                  <c:v>0.10497833509072141</c:v>
                </c:pt>
                <c:pt idx="65">
                  <c:v>9.3900722252437951E-2</c:v>
                </c:pt>
                <c:pt idx="66">
                  <c:v>0.13125922597353168</c:v>
                </c:pt>
                <c:pt idx="67">
                  <c:v>0.12343043939887011</c:v>
                </c:pt>
                <c:pt idx="68">
                  <c:v>0.11570550312332184</c:v>
                </c:pt>
                <c:pt idx="69">
                  <c:v>0.1149535285032125</c:v>
                </c:pt>
                <c:pt idx="70">
                  <c:v>7.8376120813240857E-2</c:v>
                </c:pt>
                <c:pt idx="71">
                  <c:v>7.0743225506407992E-2</c:v>
                </c:pt>
                <c:pt idx="72">
                  <c:v>8.1703862472032984E-2</c:v>
                </c:pt>
                <c:pt idx="73">
                  <c:v>5.6389367491508136E-2</c:v>
                </c:pt>
                <c:pt idx="74">
                  <c:v>8.8726765931151252E-2</c:v>
                </c:pt>
                <c:pt idx="75">
                  <c:v>9.1172305628700601E-2</c:v>
                </c:pt>
                <c:pt idx="76">
                  <c:v>7.7052633922862102E-2</c:v>
                </c:pt>
                <c:pt idx="77">
                  <c:v>5.5806137815857859E-2</c:v>
                </c:pt>
                <c:pt idx="78">
                  <c:v>2.5044984364873679E-2</c:v>
                </c:pt>
                <c:pt idx="79">
                  <c:v>3.221556490254629E-2</c:v>
                </c:pt>
                <c:pt idx="80">
                  <c:v>1.8516485503262015E-2</c:v>
                </c:pt>
                <c:pt idx="81">
                  <c:v>2.5828666090216501E-2</c:v>
                </c:pt>
                <c:pt idx="82">
                  <c:v>4.202452108678667E-2</c:v>
                </c:pt>
                <c:pt idx="83">
                  <c:v>3.9595354842817065E-2</c:v>
                </c:pt>
                <c:pt idx="84">
                  <c:v>3.8953220846482561E-2</c:v>
                </c:pt>
                <c:pt idx="85">
                  <c:v>5.8723759054776448E-2</c:v>
                </c:pt>
                <c:pt idx="86">
                  <c:v>6.035844132658208E-2</c:v>
                </c:pt>
                <c:pt idx="87">
                  <c:v>4.834946192043732E-2</c:v>
                </c:pt>
                <c:pt idx="88">
                  <c:v>2.2126656824614344E-2</c:v>
                </c:pt>
                <c:pt idx="89">
                  <c:v>2.6445061358991939E-2</c:v>
                </c:pt>
                <c:pt idx="90">
                  <c:v>1.9495743593590742E-2</c:v>
                </c:pt>
                <c:pt idx="91">
                  <c:v>8.5619954731974701E-3</c:v>
                </c:pt>
                <c:pt idx="92">
                  <c:v>2.1682104315943196E-2</c:v>
                </c:pt>
                <c:pt idx="93">
                  <c:v>1.1736626926438065E-2</c:v>
                </c:pt>
                <c:pt idx="94">
                  <c:v>2.0674715504091834E-2</c:v>
                </c:pt>
                <c:pt idx="95">
                  <c:v>-2.3068657759171884E-2</c:v>
                </c:pt>
                <c:pt idx="96">
                  <c:v>-2.2376018088107408E-2</c:v>
                </c:pt>
                <c:pt idx="97">
                  <c:v>-5.0744155987468398E-2</c:v>
                </c:pt>
                <c:pt idx="98">
                  <c:v>-8.288490625249767E-2</c:v>
                </c:pt>
                <c:pt idx="99">
                  <c:v>-4.6556050628684842E-2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2-4A3B-8ADE-9754EC602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60160"/>
        <c:axId val="1213943104"/>
      </c:areaChart>
      <c:catAx>
        <c:axId val="121396016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43104"/>
        <c:crosses val="autoZero"/>
        <c:auto val="1"/>
        <c:lblAlgn val="ctr"/>
        <c:lblOffset val="100"/>
        <c:noMultiLvlLbl val="0"/>
      </c:catAx>
      <c:valAx>
        <c:axId val="12139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60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800" b="0" i="0" baseline="0">
                <a:effectLst/>
              </a:rPr>
              <a:t>시가총액 중분류 표준화 </a:t>
            </a:r>
            <a:r>
              <a:rPr lang="en-US" altLang="ko-KR" sz="1800" b="0" i="0" baseline="0">
                <a:effectLst/>
              </a:rPr>
              <a:t>100PORT (</a:t>
            </a:r>
            <a:r>
              <a:rPr lang="ko-KR" altLang="ko-KR" sz="1800" b="0" i="0" baseline="0">
                <a:effectLst/>
              </a:rPr>
              <a:t>대</a:t>
            </a:r>
            <a:r>
              <a:rPr lang="en-US" altLang="ko-KR" sz="1800" b="0" i="0" baseline="0">
                <a:effectLst/>
              </a:rPr>
              <a:t>25</a:t>
            </a:r>
            <a:r>
              <a:rPr lang="ko-KR" altLang="ko-KR" sz="1800" b="0" i="0" baseline="0">
                <a:effectLst/>
              </a:rPr>
              <a:t>중소</a:t>
            </a:r>
            <a:r>
              <a:rPr lang="en-US" altLang="ko-KR" sz="1800" b="0" i="0" baseline="0">
                <a:effectLst/>
              </a:rPr>
              <a:t>75)</a:t>
            </a:r>
            <a:endParaRPr lang="ko-KR" altLang="ko-K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'12개월롤링초과수익률'!$B$68:$CW$68</c:f>
              <c:numCache>
                <c:formatCode>0.0%</c:formatCode>
                <c:ptCount val="100"/>
                <c:pt idx="0">
                  <c:v>-1.4510698568390601E-2</c:v>
                </c:pt>
                <c:pt idx="1">
                  <c:v>1.8156869599968761E-2</c:v>
                </c:pt>
                <c:pt idx="2">
                  <c:v>6.63930592912928E-2</c:v>
                </c:pt>
                <c:pt idx="3">
                  <c:v>4.2746090556132321E-2</c:v>
                </c:pt>
                <c:pt idx="4">
                  <c:v>1.5204519842679898E-2</c:v>
                </c:pt>
                <c:pt idx="5">
                  <c:v>-9.8838806158810799E-3</c:v>
                </c:pt>
                <c:pt idx="6">
                  <c:v>5.5894773545395182E-3</c:v>
                </c:pt>
                <c:pt idx="7">
                  <c:v>-2.3075540664680538E-2</c:v>
                </c:pt>
                <c:pt idx="8">
                  <c:v>0.19210541938943426</c:v>
                </c:pt>
                <c:pt idx="9">
                  <c:v>0.1031377418897681</c:v>
                </c:pt>
                <c:pt idx="10">
                  <c:v>3.5343152332371286E-2</c:v>
                </c:pt>
                <c:pt idx="11">
                  <c:v>1.8809830765917912E-3</c:v>
                </c:pt>
                <c:pt idx="12">
                  <c:v>-2.689230383351493E-2</c:v>
                </c:pt>
                <c:pt idx="13">
                  <c:v>-6.5051164115832227E-2</c:v>
                </c:pt>
                <c:pt idx="14">
                  <c:v>-0.13380367251997072</c:v>
                </c:pt>
                <c:pt idx="15">
                  <c:v>-0.11950954421428794</c:v>
                </c:pt>
                <c:pt idx="16">
                  <c:v>-9.0812566593305721E-2</c:v>
                </c:pt>
                <c:pt idx="17">
                  <c:v>-4.5407214227538573E-2</c:v>
                </c:pt>
                <c:pt idx="18">
                  <c:v>-4.4400908102046222E-2</c:v>
                </c:pt>
                <c:pt idx="19">
                  <c:v>1.21065232704618E-2</c:v>
                </c:pt>
                <c:pt idx="20">
                  <c:v>5.8920086813006201E-2</c:v>
                </c:pt>
                <c:pt idx="21">
                  <c:v>3.8286991625241962E-2</c:v>
                </c:pt>
                <c:pt idx="22">
                  <c:v>1.8431126748988724E-2</c:v>
                </c:pt>
                <c:pt idx="23">
                  <c:v>-2.5428965043672314E-4</c:v>
                </c:pt>
                <c:pt idx="24">
                  <c:v>-8.3825160204678006E-3</c:v>
                </c:pt>
                <c:pt idx="25">
                  <c:v>-6.8981741191738166E-3</c:v>
                </c:pt>
                <c:pt idx="26">
                  <c:v>-3.2032336905323699E-2</c:v>
                </c:pt>
                <c:pt idx="27">
                  <c:v>-4.8794743162178245E-2</c:v>
                </c:pt>
                <c:pt idx="28">
                  <c:v>-3.8025329611013792E-2</c:v>
                </c:pt>
                <c:pt idx="29">
                  <c:v>7.8155212323152368E-2</c:v>
                </c:pt>
                <c:pt idx="30">
                  <c:v>7.7918120926404155E-2</c:v>
                </c:pt>
                <c:pt idx="31">
                  <c:v>-6.1668931241543046E-4</c:v>
                </c:pt>
                <c:pt idx="32">
                  <c:v>-6.0560563039198434E-2</c:v>
                </c:pt>
                <c:pt idx="33">
                  <c:v>-3.0114418972198131E-2</c:v>
                </c:pt>
                <c:pt idx="34">
                  <c:v>1.5432275899643577E-2</c:v>
                </c:pt>
                <c:pt idx="35">
                  <c:v>3.7300966989064821E-2</c:v>
                </c:pt>
                <c:pt idx="36">
                  <c:v>7.1733589600325498E-2</c:v>
                </c:pt>
                <c:pt idx="37">
                  <c:v>4.8900101796142903E-2</c:v>
                </c:pt>
                <c:pt idx="38">
                  <c:v>4.5363308162120086E-2</c:v>
                </c:pt>
                <c:pt idx="39">
                  <c:v>7.0391474063567716E-2</c:v>
                </c:pt>
                <c:pt idx="40">
                  <c:v>8.1849108744037169E-2</c:v>
                </c:pt>
                <c:pt idx="41">
                  <c:v>-2.3454432548205562E-3</c:v>
                </c:pt>
                <c:pt idx="42">
                  <c:v>1.5518156385406545E-2</c:v>
                </c:pt>
                <c:pt idx="43">
                  <c:v>0.11971381501172851</c:v>
                </c:pt>
                <c:pt idx="44">
                  <c:v>0.176828806311778</c:v>
                </c:pt>
                <c:pt idx="45">
                  <c:v>0.20293225983551011</c:v>
                </c:pt>
                <c:pt idx="46">
                  <c:v>0.17294731114968021</c:v>
                </c:pt>
                <c:pt idx="47">
                  <c:v>0.21015148615754287</c:v>
                </c:pt>
                <c:pt idx="48">
                  <c:v>0.18909481331827993</c:v>
                </c:pt>
                <c:pt idx="49">
                  <c:v>0.28377549206146624</c:v>
                </c:pt>
                <c:pt idx="50">
                  <c:v>0.43896488171542747</c:v>
                </c:pt>
                <c:pt idx="51">
                  <c:v>0.44884434532240913</c:v>
                </c:pt>
                <c:pt idx="52">
                  <c:v>0.3738335685426073</c:v>
                </c:pt>
                <c:pt idx="53">
                  <c:v>0.44328255054161247</c:v>
                </c:pt>
                <c:pt idx="54">
                  <c:v>0.35998626118991628</c:v>
                </c:pt>
                <c:pt idx="55">
                  <c:v>0.31746733022297247</c:v>
                </c:pt>
                <c:pt idx="56">
                  <c:v>0.24720783387857415</c:v>
                </c:pt>
                <c:pt idx="57">
                  <c:v>0.21739384266608153</c:v>
                </c:pt>
                <c:pt idx="58">
                  <c:v>0.2293616705644328</c:v>
                </c:pt>
                <c:pt idx="59">
                  <c:v>0.22087940885321289</c:v>
                </c:pt>
                <c:pt idx="60">
                  <c:v>0.23590566716241756</c:v>
                </c:pt>
                <c:pt idx="61">
                  <c:v>0.22092320482582906</c:v>
                </c:pt>
                <c:pt idx="62">
                  <c:v>0.16107701330504853</c:v>
                </c:pt>
                <c:pt idx="63">
                  <c:v>0.16615567766277517</c:v>
                </c:pt>
                <c:pt idx="64">
                  <c:v>0.17892052395279023</c:v>
                </c:pt>
                <c:pt idx="65">
                  <c:v>0.15806287552650744</c:v>
                </c:pt>
                <c:pt idx="66">
                  <c:v>0.24102295668925211</c:v>
                </c:pt>
                <c:pt idx="67">
                  <c:v>0.27038542012819655</c:v>
                </c:pt>
                <c:pt idx="68">
                  <c:v>0.26688447178085295</c:v>
                </c:pt>
                <c:pt idx="69">
                  <c:v>0.23638547143145627</c:v>
                </c:pt>
                <c:pt idx="70">
                  <c:v>0.24698387509331077</c:v>
                </c:pt>
                <c:pt idx="71">
                  <c:v>0.22272110462998507</c:v>
                </c:pt>
                <c:pt idx="72">
                  <c:v>0.25892015376364186</c:v>
                </c:pt>
                <c:pt idx="73">
                  <c:v>0.26540472279348748</c:v>
                </c:pt>
                <c:pt idx="74">
                  <c:v>0.27219865436727364</c:v>
                </c:pt>
                <c:pt idx="75">
                  <c:v>0.27686258415148224</c:v>
                </c:pt>
                <c:pt idx="76">
                  <c:v>0.29453243258240036</c:v>
                </c:pt>
                <c:pt idx="77">
                  <c:v>0.29486682405881304</c:v>
                </c:pt>
                <c:pt idx="78">
                  <c:v>0.20594107160136765</c:v>
                </c:pt>
                <c:pt idx="79">
                  <c:v>0.18002880979723501</c:v>
                </c:pt>
                <c:pt idx="80">
                  <c:v>0.14318253802206105</c:v>
                </c:pt>
                <c:pt idx="81">
                  <c:v>0.16897587414829807</c:v>
                </c:pt>
                <c:pt idx="82">
                  <c:v>0.1569649125574939</c:v>
                </c:pt>
                <c:pt idx="83">
                  <c:v>0.14042588508202247</c:v>
                </c:pt>
                <c:pt idx="84">
                  <c:v>9.5348087218784516E-2</c:v>
                </c:pt>
                <c:pt idx="85">
                  <c:v>8.9344754166222451E-2</c:v>
                </c:pt>
                <c:pt idx="86">
                  <c:v>9.4630916232911089E-2</c:v>
                </c:pt>
                <c:pt idx="87">
                  <c:v>6.0915896451511853E-2</c:v>
                </c:pt>
                <c:pt idx="88">
                  <c:v>2.7192547471829753E-2</c:v>
                </c:pt>
                <c:pt idx="89">
                  <c:v>1.907051865735454E-2</c:v>
                </c:pt>
                <c:pt idx="90">
                  <c:v>-8.9653925447663596E-4</c:v>
                </c:pt>
                <c:pt idx="91">
                  <c:v>-2.928225718252131E-3</c:v>
                </c:pt>
                <c:pt idx="92">
                  <c:v>1.5408223521378384E-2</c:v>
                </c:pt>
                <c:pt idx="93">
                  <c:v>2.567608347053052E-2</c:v>
                </c:pt>
                <c:pt idx="94">
                  <c:v>3.3677943505697305E-2</c:v>
                </c:pt>
                <c:pt idx="95">
                  <c:v>-1.2427030908768844E-2</c:v>
                </c:pt>
                <c:pt idx="96">
                  <c:v>-1.5409937556685405E-2</c:v>
                </c:pt>
                <c:pt idx="97">
                  <c:v>-7.1527905350937004E-2</c:v>
                </c:pt>
                <c:pt idx="98">
                  <c:v>-9.0545628849465487E-2</c:v>
                </c:pt>
                <c:pt idx="99">
                  <c:v>-8.3887482698080662E-2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B1-4F6C-A09E-D03BC970F6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3958496"/>
        <c:axId val="1213952672"/>
      </c:areaChart>
      <c:catAx>
        <c:axId val="1213958496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2672"/>
        <c:crosses val="autoZero"/>
        <c:auto val="1"/>
        <c:lblAlgn val="ctr"/>
        <c:lblOffset val="100"/>
        <c:noMultiLvlLbl val="0"/>
      </c:catAx>
      <c:valAx>
        <c:axId val="121395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1395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100)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'12개월롤링초과수익률'!$B$73:$CW$73</c:f>
              <c:numCache>
                <c:formatCode>0.0%</c:formatCode>
                <c:ptCount val="100"/>
                <c:pt idx="0">
                  <c:v>1.7889433897108176E-2</c:v>
                </c:pt>
                <c:pt idx="1">
                  <c:v>4.0575530623773948E-2</c:v>
                </c:pt>
                <c:pt idx="2">
                  <c:v>9.4572886864162209E-2</c:v>
                </c:pt>
                <c:pt idx="3">
                  <c:v>4.9259778804854992E-2</c:v>
                </c:pt>
                <c:pt idx="4">
                  <c:v>2.1366104864357638E-3</c:v>
                </c:pt>
                <c:pt idx="5">
                  <c:v>-2.8282148991914946E-2</c:v>
                </c:pt>
                <c:pt idx="6">
                  <c:v>-2.2735715711231563E-2</c:v>
                </c:pt>
                <c:pt idx="7">
                  <c:v>-5.9445184251240235E-2</c:v>
                </c:pt>
                <c:pt idx="8">
                  <c:v>0.12320720082669978</c:v>
                </c:pt>
                <c:pt idx="9">
                  <c:v>5.5893123486729035E-2</c:v>
                </c:pt>
                <c:pt idx="10">
                  <c:v>3.9762350530119006E-2</c:v>
                </c:pt>
                <c:pt idx="11">
                  <c:v>1.3786068311614663E-2</c:v>
                </c:pt>
                <c:pt idx="12">
                  <c:v>-8.826987900206329E-2</c:v>
                </c:pt>
                <c:pt idx="13">
                  <c:v>-0.10526010289252552</c:v>
                </c:pt>
                <c:pt idx="14">
                  <c:v>-0.15444809937549842</c:v>
                </c:pt>
                <c:pt idx="15">
                  <c:v>-0.12639227975402489</c:v>
                </c:pt>
                <c:pt idx="16">
                  <c:v>-9.9824769019634108E-2</c:v>
                </c:pt>
                <c:pt idx="17">
                  <c:v>-6.4961811045914031E-2</c:v>
                </c:pt>
                <c:pt idx="18">
                  <c:v>-7.6957477674609143E-2</c:v>
                </c:pt>
                <c:pt idx="19">
                  <c:v>-1.7907074270391066E-2</c:v>
                </c:pt>
                <c:pt idx="20">
                  <c:v>4.7096244454941205E-2</c:v>
                </c:pt>
                <c:pt idx="21">
                  <c:v>7.6022627985405933E-4</c:v>
                </c:pt>
                <c:pt idx="22">
                  <c:v>-6.2743957683159213E-2</c:v>
                </c:pt>
                <c:pt idx="23">
                  <c:v>-6.5275511066198888E-2</c:v>
                </c:pt>
                <c:pt idx="24">
                  <c:v>-6.7188055289984394E-2</c:v>
                </c:pt>
                <c:pt idx="25">
                  <c:v>-8.0319389766931426E-2</c:v>
                </c:pt>
                <c:pt idx="26">
                  <c:v>-9.8413846795783577E-2</c:v>
                </c:pt>
                <c:pt idx="27">
                  <c:v>-0.12502155604431087</c:v>
                </c:pt>
                <c:pt idx="28">
                  <c:v>-0.10140627243371458</c:v>
                </c:pt>
                <c:pt idx="29">
                  <c:v>4.3143569898828726E-2</c:v>
                </c:pt>
                <c:pt idx="30">
                  <c:v>6.9138249703767363E-2</c:v>
                </c:pt>
                <c:pt idx="31">
                  <c:v>1.0969323502462047E-2</c:v>
                </c:pt>
                <c:pt idx="32">
                  <c:v>-7.948081561525544E-2</c:v>
                </c:pt>
                <c:pt idx="33">
                  <c:v>-4.2475245425344088E-3</c:v>
                </c:pt>
                <c:pt idx="34">
                  <c:v>6.9646636301245235E-2</c:v>
                </c:pt>
                <c:pt idx="35">
                  <c:v>7.9303062802747237E-2</c:v>
                </c:pt>
                <c:pt idx="36">
                  <c:v>0.10707297941021432</c:v>
                </c:pt>
                <c:pt idx="37">
                  <c:v>8.9867629980118102E-2</c:v>
                </c:pt>
                <c:pt idx="38">
                  <c:v>8.492402477178429E-2</c:v>
                </c:pt>
                <c:pt idx="39">
                  <c:v>0.11180025432771901</c:v>
                </c:pt>
                <c:pt idx="40">
                  <c:v>0.1091285820377812</c:v>
                </c:pt>
                <c:pt idx="41">
                  <c:v>9.604148831081627E-3</c:v>
                </c:pt>
                <c:pt idx="42">
                  <c:v>1.9642581670359593E-2</c:v>
                </c:pt>
                <c:pt idx="43">
                  <c:v>0.11808284991454143</c:v>
                </c:pt>
                <c:pt idx="44">
                  <c:v>0.18636138966654414</c:v>
                </c:pt>
                <c:pt idx="45">
                  <c:v>0.17450001357912526</c:v>
                </c:pt>
                <c:pt idx="46">
                  <c:v>0.11572564015649411</c:v>
                </c:pt>
                <c:pt idx="47">
                  <c:v>0.16913544372291112</c:v>
                </c:pt>
                <c:pt idx="48">
                  <c:v>0.16244028877601924</c:v>
                </c:pt>
                <c:pt idx="49">
                  <c:v>0.28081710447541364</c:v>
                </c:pt>
                <c:pt idx="50">
                  <c:v>0.44282637722272877</c:v>
                </c:pt>
                <c:pt idx="51">
                  <c:v>0.44668662335033504</c:v>
                </c:pt>
                <c:pt idx="52">
                  <c:v>0.39239761135779583</c:v>
                </c:pt>
                <c:pt idx="53">
                  <c:v>0.48116034863149149</c:v>
                </c:pt>
                <c:pt idx="54">
                  <c:v>0.37350732144103516</c:v>
                </c:pt>
                <c:pt idx="55">
                  <c:v>0.32608144275193407</c:v>
                </c:pt>
                <c:pt idx="56">
                  <c:v>0.2567030410514024</c:v>
                </c:pt>
                <c:pt idx="57">
                  <c:v>0.21562337572800017</c:v>
                </c:pt>
                <c:pt idx="58">
                  <c:v>0.22888045630988652</c:v>
                </c:pt>
                <c:pt idx="59">
                  <c:v>0.2277586511356311</c:v>
                </c:pt>
                <c:pt idx="60">
                  <c:v>0.2539245380498818</c:v>
                </c:pt>
                <c:pt idx="61">
                  <c:v>0.22079980309296843</c:v>
                </c:pt>
                <c:pt idx="62">
                  <c:v>0.15328542656991262</c:v>
                </c:pt>
                <c:pt idx="63">
                  <c:v>0.16082962295932901</c:v>
                </c:pt>
                <c:pt idx="64">
                  <c:v>0.17053446287026719</c:v>
                </c:pt>
                <c:pt idx="65">
                  <c:v>0.14459952747266391</c:v>
                </c:pt>
                <c:pt idx="66">
                  <c:v>0.24084770234032615</c:v>
                </c:pt>
                <c:pt idx="67">
                  <c:v>0.29540193948575277</c:v>
                </c:pt>
                <c:pt idx="68">
                  <c:v>0.29086308363095403</c:v>
                </c:pt>
                <c:pt idx="69">
                  <c:v>0.26264556902941305</c:v>
                </c:pt>
                <c:pt idx="70">
                  <c:v>0.29878496584282821</c:v>
                </c:pt>
                <c:pt idx="71">
                  <c:v>0.28759731399331478</c:v>
                </c:pt>
                <c:pt idx="72">
                  <c:v>0.32438475168346015</c:v>
                </c:pt>
                <c:pt idx="73">
                  <c:v>0.33142404502169276</c:v>
                </c:pt>
                <c:pt idx="74">
                  <c:v>0.31922273878051022</c:v>
                </c:pt>
                <c:pt idx="75">
                  <c:v>0.3581890433559185</c:v>
                </c:pt>
                <c:pt idx="76">
                  <c:v>0.39533129235904929</c:v>
                </c:pt>
                <c:pt idx="77">
                  <c:v>0.39284388591256425</c:v>
                </c:pt>
                <c:pt idx="78">
                  <c:v>0.28709835107639359</c:v>
                </c:pt>
                <c:pt idx="79">
                  <c:v>0.24839725060211826</c:v>
                </c:pt>
                <c:pt idx="80">
                  <c:v>0.20852819665460109</c:v>
                </c:pt>
                <c:pt idx="81">
                  <c:v>0.23646802856635585</c:v>
                </c:pt>
                <c:pt idx="82">
                  <c:v>0.21301072335302362</c:v>
                </c:pt>
                <c:pt idx="83">
                  <c:v>0.16255133869295568</c:v>
                </c:pt>
                <c:pt idx="84">
                  <c:v>0.10166480165644065</c:v>
                </c:pt>
                <c:pt idx="85">
                  <c:v>8.5032967368060097E-2</c:v>
                </c:pt>
                <c:pt idx="86">
                  <c:v>9.1022758182860874E-2</c:v>
                </c:pt>
                <c:pt idx="87">
                  <c:v>4.7099734518706748E-2</c:v>
                </c:pt>
                <c:pt idx="88">
                  <c:v>-3.4909809053873531E-4</c:v>
                </c:pt>
                <c:pt idx="89">
                  <c:v>-6.0032893658704678E-3</c:v>
                </c:pt>
                <c:pt idx="90">
                  <c:v>-1.6838605198918888E-2</c:v>
                </c:pt>
                <c:pt idx="91">
                  <c:v>-2.864430664514539E-2</c:v>
                </c:pt>
                <c:pt idx="92">
                  <c:v>-7.0434045750069618E-3</c:v>
                </c:pt>
                <c:pt idx="93">
                  <c:v>1.137618712832289E-2</c:v>
                </c:pt>
                <c:pt idx="94">
                  <c:v>2.1478024350767289E-2</c:v>
                </c:pt>
                <c:pt idx="95">
                  <c:v>-1.7566445007301645E-2</c:v>
                </c:pt>
                <c:pt idx="96">
                  <c:v>-2.484449708738512E-2</c:v>
                </c:pt>
                <c:pt idx="97">
                  <c:v>-7.4273831544314772E-2</c:v>
                </c:pt>
                <c:pt idx="98">
                  <c:v>-8.926746057639634E-2</c:v>
                </c:pt>
                <c:pt idx="99">
                  <c:v>-0.10630862006330988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16-4BB1-8B33-0368EFC6D1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627712"/>
        <c:axId val="1368628128"/>
      </c:areaChart>
      <c:catAx>
        <c:axId val="13686277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8128"/>
        <c:crosses val="autoZero"/>
        <c:auto val="1"/>
        <c:lblAlgn val="ctr"/>
        <c:lblOffset val="100"/>
        <c:noMultiLvlLbl val="0"/>
      </c:catAx>
      <c:valAx>
        <c:axId val="13686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62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100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0)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'12개월롤링초과수익률'!$B$78:$CW$78</c:f>
              <c:numCache>
                <c:formatCode>0.0%</c:formatCode>
                <c:ptCount val="100"/>
                <c:pt idx="0">
                  <c:v>-3.4766488490535541E-2</c:v>
                </c:pt>
                <c:pt idx="1">
                  <c:v>-1.8783271092765452E-2</c:v>
                </c:pt>
                <c:pt idx="2">
                  <c:v>3.3958407127045565E-2</c:v>
                </c:pt>
                <c:pt idx="3">
                  <c:v>4.4217846993634735E-2</c:v>
                </c:pt>
                <c:pt idx="4">
                  <c:v>5.2842790315043908E-2</c:v>
                </c:pt>
                <c:pt idx="5">
                  <c:v>3.0301648191252806E-2</c:v>
                </c:pt>
                <c:pt idx="6">
                  <c:v>4.1868319945783883E-2</c:v>
                </c:pt>
                <c:pt idx="7">
                  <c:v>4.580712472482662E-2</c:v>
                </c:pt>
                <c:pt idx="8">
                  <c:v>0.18168837006831029</c:v>
                </c:pt>
                <c:pt idx="9">
                  <c:v>0.17403495725121587</c:v>
                </c:pt>
                <c:pt idx="10">
                  <c:v>0.11017534465478862</c:v>
                </c:pt>
                <c:pt idx="11">
                  <c:v>7.0502990216550154E-2</c:v>
                </c:pt>
                <c:pt idx="12">
                  <c:v>0.15467469056710503</c:v>
                </c:pt>
                <c:pt idx="13">
                  <c:v>0.10221707231030375</c:v>
                </c:pt>
                <c:pt idx="14">
                  <c:v>8.6314307562540549E-4</c:v>
                </c:pt>
                <c:pt idx="15">
                  <c:v>-7.4445813497892033E-4</c:v>
                </c:pt>
                <c:pt idx="16">
                  <c:v>2.6789891936467303E-2</c:v>
                </c:pt>
                <c:pt idx="17">
                  <c:v>5.7868279984400361E-2</c:v>
                </c:pt>
                <c:pt idx="18">
                  <c:v>9.5643061488619008E-2</c:v>
                </c:pt>
                <c:pt idx="19">
                  <c:v>0.12202782778937959</c:v>
                </c:pt>
                <c:pt idx="20">
                  <c:v>0.10522063589638497</c:v>
                </c:pt>
                <c:pt idx="21">
                  <c:v>0.11077232450045837</c:v>
                </c:pt>
                <c:pt idx="22">
                  <c:v>0.12305356234233678</c:v>
                </c:pt>
                <c:pt idx="23">
                  <c:v>0.11666047973568849</c:v>
                </c:pt>
                <c:pt idx="24">
                  <c:v>6.8801969985268885E-2</c:v>
                </c:pt>
                <c:pt idx="25">
                  <c:v>8.1133084339808814E-2</c:v>
                </c:pt>
                <c:pt idx="26">
                  <c:v>9.404203495950858E-2</c:v>
                </c:pt>
                <c:pt idx="27">
                  <c:v>7.8417062514594571E-2</c:v>
                </c:pt>
                <c:pt idx="28">
                  <c:v>6.2935353266930338E-2</c:v>
                </c:pt>
                <c:pt idx="29">
                  <c:v>4.8717094567655828E-2</c:v>
                </c:pt>
                <c:pt idx="30">
                  <c:v>4.7560718277610547E-3</c:v>
                </c:pt>
                <c:pt idx="31">
                  <c:v>-6.0265687456275363E-2</c:v>
                </c:pt>
                <c:pt idx="32">
                  <c:v>-4.9916924374585614E-2</c:v>
                </c:pt>
                <c:pt idx="33">
                  <c:v>-5.9218266654580631E-2</c:v>
                </c:pt>
                <c:pt idx="34">
                  <c:v>-5.8880679125228319E-2</c:v>
                </c:pt>
                <c:pt idx="35">
                  <c:v>-4.0632026947285182E-2</c:v>
                </c:pt>
                <c:pt idx="36">
                  <c:v>-2.3441643173242488E-2</c:v>
                </c:pt>
                <c:pt idx="37">
                  <c:v>-4.4310131083473037E-2</c:v>
                </c:pt>
                <c:pt idx="38">
                  <c:v>-7.5370204040882127E-2</c:v>
                </c:pt>
                <c:pt idx="39">
                  <c:v>-4.6282041430266929E-2</c:v>
                </c:pt>
                <c:pt idx="40">
                  <c:v>-4.6622278840413922E-2</c:v>
                </c:pt>
                <c:pt idx="41">
                  <c:v>-4.9891866514087502E-2</c:v>
                </c:pt>
                <c:pt idx="42">
                  <c:v>-3.087361017745005E-2</c:v>
                </c:pt>
                <c:pt idx="43">
                  <c:v>8.3029190636227934E-3</c:v>
                </c:pt>
                <c:pt idx="44">
                  <c:v>-6.1312218174105482E-3</c:v>
                </c:pt>
                <c:pt idx="45">
                  <c:v>-6.0435877926132697E-3</c:v>
                </c:pt>
                <c:pt idx="46">
                  <c:v>1.0248613071376811E-2</c:v>
                </c:pt>
                <c:pt idx="47">
                  <c:v>-4.7532656001031404E-3</c:v>
                </c:pt>
                <c:pt idx="48">
                  <c:v>-1.9573027403160692E-2</c:v>
                </c:pt>
                <c:pt idx="49">
                  <c:v>-1.7363710237505936E-2</c:v>
                </c:pt>
                <c:pt idx="50">
                  <c:v>6.0365119216839735E-3</c:v>
                </c:pt>
                <c:pt idx="51">
                  <c:v>-3.6373590738278949E-3</c:v>
                </c:pt>
                <c:pt idx="52">
                  <c:v>-4.5309723699737958E-3</c:v>
                </c:pt>
                <c:pt idx="53">
                  <c:v>3.0587468653828997E-2</c:v>
                </c:pt>
                <c:pt idx="54">
                  <c:v>1.0637837669384975E-2</c:v>
                </c:pt>
                <c:pt idx="55">
                  <c:v>3.6013587510844935E-2</c:v>
                </c:pt>
                <c:pt idx="56">
                  <c:v>4.3958432055972496E-2</c:v>
                </c:pt>
                <c:pt idx="57">
                  <c:v>5.0302816636458081E-2</c:v>
                </c:pt>
                <c:pt idx="58">
                  <c:v>5.8369282874342288E-2</c:v>
                </c:pt>
                <c:pt idx="59">
                  <c:v>5.0641228733422805E-2</c:v>
                </c:pt>
                <c:pt idx="60">
                  <c:v>5.3263956567374704E-2</c:v>
                </c:pt>
                <c:pt idx="61">
                  <c:v>7.6521408557297277E-2</c:v>
                </c:pt>
                <c:pt idx="62">
                  <c:v>8.81872002108961E-2</c:v>
                </c:pt>
                <c:pt idx="63">
                  <c:v>6.2889069819965004E-2</c:v>
                </c:pt>
                <c:pt idx="64">
                  <c:v>7.090432497161725E-2</c:v>
                </c:pt>
                <c:pt idx="65">
                  <c:v>5.5715290481654911E-2</c:v>
                </c:pt>
                <c:pt idx="66">
                  <c:v>7.915089518805396E-2</c:v>
                </c:pt>
                <c:pt idx="67">
                  <c:v>5.1990742163799286E-2</c:v>
                </c:pt>
                <c:pt idx="68">
                  <c:v>4.0840409177871573E-2</c:v>
                </c:pt>
                <c:pt idx="69">
                  <c:v>3.870604091937857E-2</c:v>
                </c:pt>
                <c:pt idx="70">
                  <c:v>4.757550787866105E-4</c:v>
                </c:pt>
                <c:pt idx="71">
                  <c:v>-1.1682508099747024E-2</c:v>
                </c:pt>
                <c:pt idx="72">
                  <c:v>-2.8500109775251303E-3</c:v>
                </c:pt>
                <c:pt idx="73">
                  <c:v>-3.4366728781999201E-2</c:v>
                </c:pt>
                <c:pt idx="74">
                  <c:v>7.2025932736368148E-3</c:v>
                </c:pt>
                <c:pt idx="75">
                  <c:v>9.1972499384151973E-3</c:v>
                </c:pt>
                <c:pt idx="76">
                  <c:v>-1.0115569723053053E-2</c:v>
                </c:pt>
                <c:pt idx="77">
                  <c:v>-3.301932899282467E-2</c:v>
                </c:pt>
                <c:pt idx="78">
                  <c:v>-4.6115569519447841E-2</c:v>
                </c:pt>
                <c:pt idx="79">
                  <c:v>-2.3000609838483621E-2</c:v>
                </c:pt>
                <c:pt idx="80">
                  <c:v>-3.0790902774421758E-2</c:v>
                </c:pt>
                <c:pt idx="81">
                  <c:v>-2.0148675180664433E-2</c:v>
                </c:pt>
                <c:pt idx="82">
                  <c:v>-7.0562841864292292E-3</c:v>
                </c:pt>
                <c:pt idx="83">
                  <c:v>8.7659056726994145E-3</c:v>
                </c:pt>
                <c:pt idx="84">
                  <c:v>2.5514822046897256E-2</c:v>
                </c:pt>
                <c:pt idx="85">
                  <c:v>6.0590787336025853E-2</c:v>
                </c:pt>
                <c:pt idx="86">
                  <c:v>5.1146877344984687E-2</c:v>
                </c:pt>
                <c:pt idx="87">
                  <c:v>2.9335602539517613E-2</c:v>
                </c:pt>
                <c:pt idx="88">
                  <c:v>9.152119807430692E-4</c:v>
                </c:pt>
                <c:pt idx="89">
                  <c:v>5.7406137660913625E-3</c:v>
                </c:pt>
                <c:pt idx="90">
                  <c:v>-1.1340333109248979E-2</c:v>
                </c:pt>
                <c:pt idx="91">
                  <c:v>-2.6100085803413275E-2</c:v>
                </c:pt>
                <c:pt idx="92">
                  <c:v>-1.8368763838644275E-3</c:v>
                </c:pt>
                <c:pt idx="93">
                  <c:v>-2.4011400148039375E-2</c:v>
                </c:pt>
                <c:pt idx="94">
                  <c:v>-1.3441596074738049E-2</c:v>
                </c:pt>
                <c:pt idx="95">
                  <c:v>-4.360478776703669E-2</c:v>
                </c:pt>
                <c:pt idx="96">
                  <c:v>-3.8943715868224205E-2</c:v>
                </c:pt>
                <c:pt idx="97">
                  <c:v>-6.0135491074183589E-2</c:v>
                </c:pt>
                <c:pt idx="98">
                  <c:v>-9.480849757351506E-2</c:v>
                </c:pt>
                <c:pt idx="99">
                  <c:v>-3.6156475856909731E-2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48-4A6E-9AC9-0F1ED6DD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583232"/>
        <c:axId val="1184584896"/>
      </c:areaChart>
      <c:catAx>
        <c:axId val="1184583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4896"/>
        <c:crosses val="autoZero"/>
        <c:auto val="1"/>
        <c:lblAlgn val="ctr"/>
        <c:lblOffset val="100"/>
        <c:noMultiLvlLbl val="0"/>
      </c:catAx>
      <c:valAx>
        <c:axId val="118458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84583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ko-KR" sz="1400" b="0" i="0" baseline="0">
                <a:effectLst/>
              </a:rPr>
              <a:t>시가총액 중분류 표준화 </a:t>
            </a:r>
            <a:r>
              <a:rPr lang="en-US" altLang="ko-KR" sz="1400" b="0" i="0" baseline="0">
                <a:effectLst/>
              </a:rPr>
              <a:t>100PORT (</a:t>
            </a:r>
            <a:r>
              <a:rPr lang="ko-KR" altLang="ko-KR" sz="1400" b="0" i="0" baseline="0">
                <a:effectLst/>
              </a:rPr>
              <a:t>대</a:t>
            </a:r>
            <a:r>
              <a:rPr lang="en-US" altLang="ko-KR" sz="1400" b="0" i="0" baseline="0">
                <a:effectLst/>
              </a:rPr>
              <a:t>85</a:t>
            </a:r>
            <a:r>
              <a:rPr lang="ko-KR" altLang="ko-KR" sz="1400" b="0" i="0" baseline="0">
                <a:effectLst/>
              </a:rPr>
              <a:t>중소</a:t>
            </a:r>
            <a:r>
              <a:rPr lang="en-US" altLang="ko-KR" sz="1400" b="0" i="0" baseline="0">
                <a:effectLst/>
              </a:rPr>
              <a:t>15)</a:t>
            </a:r>
            <a:endParaRPr lang="ko-KR" altLang="ko-KR" sz="1100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val>
            <c:numRef>
              <c:f>'12개월롤링초과수익률'!$B$83:$CW$83</c:f>
              <c:numCache>
                <c:formatCode>0.0%</c:formatCode>
                <c:ptCount val="100"/>
                <c:pt idx="0">
                  <c:v>-6.6459719945984985E-2</c:v>
                </c:pt>
                <c:pt idx="1">
                  <c:v>-5.1400498679926021E-2</c:v>
                </c:pt>
                <c:pt idx="2">
                  <c:v>-1.6427636032417814E-3</c:v>
                </c:pt>
                <c:pt idx="3">
                  <c:v>-5.9901675617688444E-3</c:v>
                </c:pt>
                <c:pt idx="4">
                  <c:v>-3.6684601668602879E-3</c:v>
                </c:pt>
                <c:pt idx="5">
                  <c:v>-2.3522275447366958E-2</c:v>
                </c:pt>
                <c:pt idx="6">
                  <c:v>-8.0873146882372016E-3</c:v>
                </c:pt>
                <c:pt idx="7">
                  <c:v>-2.8135634071126958E-3</c:v>
                </c:pt>
                <c:pt idx="8">
                  <c:v>0.18169343780234604</c:v>
                </c:pt>
                <c:pt idx="9">
                  <c:v>0.15754366209469439</c:v>
                </c:pt>
                <c:pt idx="10">
                  <c:v>9.608534107248623E-2</c:v>
                </c:pt>
                <c:pt idx="11">
                  <c:v>4.2140340006006305E-2</c:v>
                </c:pt>
                <c:pt idx="12">
                  <c:v>7.1954577699208322E-2</c:v>
                </c:pt>
                <c:pt idx="13">
                  <c:v>2.9280533498147632E-2</c:v>
                </c:pt>
                <c:pt idx="14">
                  <c:v>-7.6229442449442741E-2</c:v>
                </c:pt>
                <c:pt idx="15">
                  <c:v>-7.1048364383354601E-2</c:v>
                </c:pt>
                <c:pt idx="16">
                  <c:v>-4.1294306507087875E-2</c:v>
                </c:pt>
                <c:pt idx="17">
                  <c:v>-1.0901219863324263E-2</c:v>
                </c:pt>
                <c:pt idx="18">
                  <c:v>1.4938010788524414E-2</c:v>
                </c:pt>
                <c:pt idx="19">
                  <c:v>5.4911349695987433E-2</c:v>
                </c:pt>
                <c:pt idx="20">
                  <c:v>5.425229386579411E-2</c:v>
                </c:pt>
                <c:pt idx="21">
                  <c:v>4.2005209163186175E-2</c:v>
                </c:pt>
                <c:pt idx="22">
                  <c:v>4.1690544774741767E-2</c:v>
                </c:pt>
                <c:pt idx="23">
                  <c:v>4.2956335434654491E-2</c:v>
                </c:pt>
                <c:pt idx="24">
                  <c:v>1.5082915215029136E-2</c:v>
                </c:pt>
                <c:pt idx="25">
                  <c:v>1.7798266422706543E-2</c:v>
                </c:pt>
                <c:pt idx="26">
                  <c:v>3.7047965033912833E-2</c:v>
                </c:pt>
                <c:pt idx="27">
                  <c:v>2.3184862000025008E-2</c:v>
                </c:pt>
                <c:pt idx="28">
                  <c:v>1.2800529017085394E-2</c:v>
                </c:pt>
                <c:pt idx="29">
                  <c:v>4.1651376389061801E-2</c:v>
                </c:pt>
                <c:pt idx="30">
                  <c:v>4.2733659834437443E-3</c:v>
                </c:pt>
                <c:pt idx="31">
                  <c:v>-6.4986418340984287E-2</c:v>
                </c:pt>
                <c:pt idx="32">
                  <c:v>-8.0004727580687662E-2</c:v>
                </c:pt>
                <c:pt idx="33">
                  <c:v>-6.1427066666548513E-2</c:v>
                </c:pt>
                <c:pt idx="34">
                  <c:v>-5.3309111754717642E-2</c:v>
                </c:pt>
                <c:pt idx="35">
                  <c:v>-3.369398709816851E-2</c:v>
                </c:pt>
                <c:pt idx="36">
                  <c:v>-1.1680038349667132E-2</c:v>
                </c:pt>
                <c:pt idx="37">
                  <c:v>-2.7471794443372111E-2</c:v>
                </c:pt>
                <c:pt idx="38">
                  <c:v>-5.5268257207796267E-2</c:v>
                </c:pt>
                <c:pt idx="39">
                  <c:v>-2.2600628162356862E-2</c:v>
                </c:pt>
                <c:pt idx="40">
                  <c:v>-1.9075997239130449E-2</c:v>
                </c:pt>
                <c:pt idx="41">
                  <c:v>-4.3970599232545426E-2</c:v>
                </c:pt>
                <c:pt idx="42">
                  <c:v>-1.6677239512467135E-2</c:v>
                </c:pt>
                <c:pt idx="43">
                  <c:v>3.721565017593198E-2</c:v>
                </c:pt>
                <c:pt idx="44">
                  <c:v>5.7737860396204876E-2</c:v>
                </c:pt>
                <c:pt idx="45">
                  <c:v>6.4895859279226364E-2</c:v>
                </c:pt>
                <c:pt idx="46">
                  <c:v>8.2201501792183551E-2</c:v>
                </c:pt>
                <c:pt idx="47">
                  <c:v>7.2454312880870786E-2</c:v>
                </c:pt>
                <c:pt idx="48">
                  <c:v>5.5751954226115563E-2</c:v>
                </c:pt>
                <c:pt idx="49">
                  <c:v>8.1442627747566942E-2</c:v>
                </c:pt>
                <c:pt idx="50">
                  <c:v>0.12764359210406551</c:v>
                </c:pt>
                <c:pt idx="51">
                  <c:v>0.12875315308135549</c:v>
                </c:pt>
                <c:pt idx="52">
                  <c:v>0.11526248055511989</c:v>
                </c:pt>
                <c:pt idx="53">
                  <c:v>0.15929469957964892</c:v>
                </c:pt>
                <c:pt idx="54">
                  <c:v>0.11702893427605643</c:v>
                </c:pt>
                <c:pt idx="55">
                  <c:v>0.12802659656565241</c:v>
                </c:pt>
                <c:pt idx="56">
                  <c:v>0.10593171310106198</c:v>
                </c:pt>
                <c:pt idx="57">
                  <c:v>9.5005021749312357E-2</c:v>
                </c:pt>
                <c:pt idx="58">
                  <c:v>0.10595493982251236</c:v>
                </c:pt>
                <c:pt idx="59">
                  <c:v>9.6109769854668681E-2</c:v>
                </c:pt>
                <c:pt idx="60">
                  <c:v>0.11000708440360141</c:v>
                </c:pt>
                <c:pt idx="61">
                  <c:v>0.11954760975601786</c:v>
                </c:pt>
                <c:pt idx="62">
                  <c:v>0.11081513586765013</c:v>
                </c:pt>
                <c:pt idx="63">
                  <c:v>8.4599557048316121E-2</c:v>
                </c:pt>
                <c:pt idx="64">
                  <c:v>9.3124104500801552E-2</c:v>
                </c:pt>
                <c:pt idx="65">
                  <c:v>7.9167270715171822E-2</c:v>
                </c:pt>
                <c:pt idx="66">
                  <c:v>0.11407979161162674</c:v>
                </c:pt>
                <c:pt idx="67">
                  <c:v>0.10067221000453319</c:v>
                </c:pt>
                <c:pt idx="68">
                  <c:v>9.1740154124713591E-2</c:v>
                </c:pt>
                <c:pt idx="69">
                  <c:v>9.0438269790922621E-2</c:v>
                </c:pt>
                <c:pt idx="70">
                  <c:v>4.8761705928436538E-2</c:v>
                </c:pt>
                <c:pt idx="71">
                  <c:v>3.8147709617774472E-2</c:v>
                </c:pt>
                <c:pt idx="72">
                  <c:v>4.2114203552541696E-2</c:v>
                </c:pt>
                <c:pt idx="73">
                  <c:v>1.4037674461662375E-2</c:v>
                </c:pt>
                <c:pt idx="74">
                  <c:v>5.8317001771960308E-2</c:v>
                </c:pt>
                <c:pt idx="75">
                  <c:v>5.9872113633818502E-2</c:v>
                </c:pt>
                <c:pt idx="76">
                  <c:v>4.0018651217716306E-2</c:v>
                </c:pt>
                <c:pt idx="77">
                  <c:v>1.9062961889686147E-2</c:v>
                </c:pt>
                <c:pt idx="78">
                  <c:v>-7.0089669567627855E-3</c:v>
                </c:pt>
                <c:pt idx="79">
                  <c:v>2.6866746657479013E-3</c:v>
                </c:pt>
                <c:pt idx="80">
                  <c:v>-6.5981823827552244E-3</c:v>
                </c:pt>
                <c:pt idx="81">
                  <c:v>1.3494894365246868E-3</c:v>
                </c:pt>
                <c:pt idx="82">
                  <c:v>1.5768472608132855E-2</c:v>
                </c:pt>
                <c:pt idx="83">
                  <c:v>2.469089798341273E-2</c:v>
                </c:pt>
                <c:pt idx="84">
                  <c:v>3.3221686289635732E-2</c:v>
                </c:pt>
                <c:pt idx="85">
                  <c:v>6.183534199480234E-2</c:v>
                </c:pt>
                <c:pt idx="86">
                  <c:v>5.3577635815903024E-2</c:v>
                </c:pt>
                <c:pt idx="87">
                  <c:v>3.4787684251908146E-2</c:v>
                </c:pt>
                <c:pt idx="88">
                  <c:v>1.1347761786852817E-2</c:v>
                </c:pt>
                <c:pt idx="89">
                  <c:v>1.5752718663534004E-2</c:v>
                </c:pt>
                <c:pt idx="90">
                  <c:v>1.0666989632288404E-2</c:v>
                </c:pt>
                <c:pt idx="91">
                  <c:v>-2.8125691640448203E-3</c:v>
                </c:pt>
                <c:pt idx="92">
                  <c:v>7.035184841388098E-3</c:v>
                </c:pt>
                <c:pt idx="93">
                  <c:v>-9.7971801707142925E-3</c:v>
                </c:pt>
                <c:pt idx="94">
                  <c:v>-2.192610750083146E-3</c:v>
                </c:pt>
                <c:pt idx="95">
                  <c:v>-4.4803510019260084E-2</c:v>
                </c:pt>
                <c:pt idx="96">
                  <c:v>-4.0547697794925064E-2</c:v>
                </c:pt>
                <c:pt idx="97">
                  <c:v>-7.0162521016424506E-2</c:v>
                </c:pt>
                <c:pt idx="98">
                  <c:v>-0.10051299591006391</c:v>
                </c:pt>
                <c:pt idx="99">
                  <c:v>-5.4713428935325714E-2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E-427D-86C8-00C7F131B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211328"/>
        <c:axId val="1367199680"/>
      </c:areaChart>
      <c:catAx>
        <c:axId val="136721132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199680"/>
        <c:crosses val="autoZero"/>
        <c:auto val="1"/>
        <c:lblAlgn val="ctr"/>
        <c:lblOffset val="100"/>
        <c:noMultiLvlLbl val="0"/>
      </c:catAx>
      <c:valAx>
        <c:axId val="1367199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211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18" Type="http://schemas.openxmlformats.org/officeDocument/2006/relationships/chart" Target="../charts/chart3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17" Type="http://schemas.openxmlformats.org/officeDocument/2006/relationships/chart" Target="../charts/chart30.xml"/><Relationship Id="rId2" Type="http://schemas.openxmlformats.org/officeDocument/2006/relationships/chart" Target="../charts/chart15.xml"/><Relationship Id="rId16" Type="http://schemas.openxmlformats.org/officeDocument/2006/relationships/chart" Target="../charts/chart29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9.xml"/><Relationship Id="rId13" Type="http://schemas.openxmlformats.org/officeDocument/2006/relationships/chart" Target="../charts/chart44.xml"/><Relationship Id="rId18" Type="http://schemas.openxmlformats.org/officeDocument/2006/relationships/chart" Target="../charts/chart49.xml"/><Relationship Id="rId3" Type="http://schemas.openxmlformats.org/officeDocument/2006/relationships/chart" Target="../charts/chart34.xml"/><Relationship Id="rId7" Type="http://schemas.openxmlformats.org/officeDocument/2006/relationships/chart" Target="../charts/chart38.xml"/><Relationship Id="rId12" Type="http://schemas.openxmlformats.org/officeDocument/2006/relationships/chart" Target="../charts/chart43.xml"/><Relationship Id="rId17" Type="http://schemas.openxmlformats.org/officeDocument/2006/relationships/chart" Target="../charts/chart48.xml"/><Relationship Id="rId2" Type="http://schemas.openxmlformats.org/officeDocument/2006/relationships/chart" Target="../charts/chart33.xml"/><Relationship Id="rId16" Type="http://schemas.openxmlformats.org/officeDocument/2006/relationships/chart" Target="../charts/chart47.xml"/><Relationship Id="rId1" Type="http://schemas.openxmlformats.org/officeDocument/2006/relationships/chart" Target="../charts/chart32.xml"/><Relationship Id="rId6" Type="http://schemas.openxmlformats.org/officeDocument/2006/relationships/chart" Target="../charts/chart37.xml"/><Relationship Id="rId11" Type="http://schemas.openxmlformats.org/officeDocument/2006/relationships/chart" Target="../charts/chart42.xml"/><Relationship Id="rId5" Type="http://schemas.openxmlformats.org/officeDocument/2006/relationships/chart" Target="../charts/chart36.xml"/><Relationship Id="rId15" Type="http://schemas.openxmlformats.org/officeDocument/2006/relationships/chart" Target="../charts/chart46.xml"/><Relationship Id="rId10" Type="http://schemas.openxmlformats.org/officeDocument/2006/relationships/chart" Target="../charts/chart41.xml"/><Relationship Id="rId4" Type="http://schemas.openxmlformats.org/officeDocument/2006/relationships/chart" Target="../charts/chart35.xml"/><Relationship Id="rId9" Type="http://schemas.openxmlformats.org/officeDocument/2006/relationships/chart" Target="../charts/chart40.xml"/><Relationship Id="rId14" Type="http://schemas.openxmlformats.org/officeDocument/2006/relationships/chart" Target="../charts/chart4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5" Type="http://schemas.openxmlformats.org/officeDocument/2006/relationships/chart" Target="../charts/chart6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Relationship Id="rId14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0</xdr:row>
      <xdr:rowOff>0</xdr:rowOff>
    </xdr:from>
    <xdr:to>
      <xdr:col>7</xdr:col>
      <xdr:colOff>609600</xdr:colOff>
      <xdr:row>12</xdr:row>
      <xdr:rowOff>91440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12</xdr:row>
      <xdr:rowOff>91440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22860</xdr:colOff>
      <xdr:row>12</xdr:row>
      <xdr:rowOff>83820</xdr:rowOff>
    </xdr:from>
    <xdr:to>
      <xdr:col>7</xdr:col>
      <xdr:colOff>571500</xdr:colOff>
      <xdr:row>24</xdr:row>
      <xdr:rowOff>175260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617220</xdr:colOff>
      <xdr:row>12</xdr:row>
      <xdr:rowOff>68580</xdr:rowOff>
    </xdr:from>
    <xdr:to>
      <xdr:col>14</xdr:col>
      <xdr:colOff>495300</xdr:colOff>
      <xdr:row>24</xdr:row>
      <xdr:rowOff>160020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31</xdr:row>
      <xdr:rowOff>30480</xdr:rowOff>
    </xdr:from>
    <xdr:to>
      <xdr:col>17</xdr:col>
      <xdr:colOff>137160</xdr:colOff>
      <xdr:row>49</xdr:row>
      <xdr:rowOff>152400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80</xdr:row>
      <xdr:rowOff>91440</xdr:rowOff>
    </xdr:from>
    <xdr:to>
      <xdr:col>17</xdr:col>
      <xdr:colOff>137160</xdr:colOff>
      <xdr:row>98</xdr:row>
      <xdr:rowOff>213360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</xdr:row>
      <xdr:rowOff>129540</xdr:rowOff>
    </xdr:from>
    <xdr:to>
      <xdr:col>5</xdr:col>
      <xdr:colOff>213360</xdr:colOff>
      <xdr:row>44</xdr:row>
      <xdr:rowOff>30480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358140</xdr:colOff>
      <xdr:row>2</xdr:row>
      <xdr:rowOff>38100</xdr:rowOff>
    </xdr:from>
    <xdr:to>
      <xdr:col>6</xdr:col>
      <xdr:colOff>144780</xdr:colOff>
      <xdr:row>14</xdr:row>
      <xdr:rowOff>129540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342900</xdr:colOff>
      <xdr:row>21</xdr:row>
      <xdr:rowOff>156210</xdr:rowOff>
    </xdr:from>
    <xdr:to>
      <xdr:col>19</xdr:col>
      <xdr:colOff>220980</xdr:colOff>
      <xdr:row>34</xdr:row>
      <xdr:rowOff>26670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228600</xdr:colOff>
      <xdr:row>21</xdr:row>
      <xdr:rowOff>118110</xdr:rowOff>
    </xdr:from>
    <xdr:to>
      <xdr:col>12</xdr:col>
      <xdr:colOff>99060</xdr:colOff>
      <xdr:row>43</xdr:row>
      <xdr:rowOff>198120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16</xdr:row>
      <xdr:rowOff>99060</xdr:rowOff>
    </xdr:from>
    <xdr:to>
      <xdr:col>5</xdr:col>
      <xdr:colOff>160020</xdr:colOff>
      <xdr:row>28</xdr:row>
      <xdr:rowOff>190500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167640</xdr:colOff>
      <xdr:row>16</xdr:row>
      <xdr:rowOff>91440</xdr:rowOff>
    </xdr:from>
    <xdr:to>
      <xdr:col>12</xdr:col>
      <xdr:colOff>45720</xdr:colOff>
      <xdr:row>28</xdr:row>
      <xdr:rowOff>182880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335280</xdr:colOff>
      <xdr:row>28</xdr:row>
      <xdr:rowOff>198120</xdr:rowOff>
    </xdr:from>
    <xdr:to>
      <xdr:col>18</xdr:col>
      <xdr:colOff>198120</xdr:colOff>
      <xdr:row>41</xdr:row>
      <xdr:rowOff>68580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1093470</xdr:colOff>
      <xdr:row>23</xdr:row>
      <xdr:rowOff>57150</xdr:rowOff>
    </xdr:from>
    <xdr:to>
      <xdr:col>6</xdr:col>
      <xdr:colOff>64770</xdr:colOff>
      <xdr:row>35</xdr:row>
      <xdr:rowOff>148590</xdr:rowOff>
    </xdr:to>
    <xdr:graphicFrame macro="">
      <xdr:nvGraphicFramePr>
        <xdr:cNvPr id="11" name="차트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41910</xdr:colOff>
      <xdr:row>23</xdr:row>
      <xdr:rowOff>41910</xdr:rowOff>
    </xdr:from>
    <xdr:to>
      <xdr:col>10</xdr:col>
      <xdr:colOff>133350</xdr:colOff>
      <xdr:row>35</xdr:row>
      <xdr:rowOff>133350</xdr:rowOff>
    </xdr:to>
    <xdr:graphicFrame macro="">
      <xdr:nvGraphicFramePr>
        <xdr:cNvPr id="12" name="차트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156210</xdr:colOff>
      <xdr:row>23</xdr:row>
      <xdr:rowOff>57150</xdr:rowOff>
    </xdr:from>
    <xdr:to>
      <xdr:col>15</xdr:col>
      <xdr:colOff>247650</xdr:colOff>
      <xdr:row>35</xdr:row>
      <xdr:rowOff>190500</xdr:rowOff>
    </xdr:to>
    <xdr:graphicFrame macro="">
      <xdr:nvGraphicFramePr>
        <xdr:cNvPr id="13" name="차트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240030</xdr:colOff>
      <xdr:row>23</xdr:row>
      <xdr:rowOff>64770</xdr:rowOff>
    </xdr:from>
    <xdr:to>
      <xdr:col>19</xdr:col>
      <xdr:colOff>331470</xdr:colOff>
      <xdr:row>35</xdr:row>
      <xdr:rowOff>205740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1078230</xdr:colOff>
      <xdr:row>40</xdr:row>
      <xdr:rowOff>3810</xdr:rowOff>
    </xdr:from>
    <xdr:to>
      <xdr:col>21</xdr:col>
      <xdr:colOff>49530</xdr:colOff>
      <xdr:row>52</xdr:row>
      <xdr:rowOff>95250</xdr:rowOff>
    </xdr:to>
    <xdr:graphicFrame macro="">
      <xdr:nvGraphicFramePr>
        <xdr:cNvPr id="19" name="차트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34290</xdr:colOff>
      <xdr:row>40</xdr:row>
      <xdr:rowOff>3810</xdr:rowOff>
    </xdr:from>
    <xdr:to>
      <xdr:col>25</xdr:col>
      <xdr:colOff>125730</xdr:colOff>
      <xdr:row>52</xdr:row>
      <xdr:rowOff>95250</xdr:rowOff>
    </xdr:to>
    <xdr:graphicFrame macro="">
      <xdr:nvGraphicFramePr>
        <xdr:cNvPr id="20" name="차트 1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590550</xdr:colOff>
      <xdr:row>57</xdr:row>
      <xdr:rowOff>95250</xdr:rowOff>
    </xdr:from>
    <xdr:to>
      <xdr:col>27</xdr:col>
      <xdr:colOff>681990</xdr:colOff>
      <xdr:row>69</xdr:row>
      <xdr:rowOff>186690</xdr:rowOff>
    </xdr:to>
    <xdr:graphicFrame macro="">
      <xdr:nvGraphicFramePr>
        <xdr:cNvPr id="21" name="차트 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720090</xdr:colOff>
      <xdr:row>57</xdr:row>
      <xdr:rowOff>102870</xdr:rowOff>
    </xdr:from>
    <xdr:to>
      <xdr:col>31</xdr:col>
      <xdr:colOff>811530</xdr:colOff>
      <xdr:row>69</xdr:row>
      <xdr:rowOff>194310</xdr:rowOff>
    </xdr:to>
    <xdr:graphicFrame macro="">
      <xdr:nvGraphicFramePr>
        <xdr:cNvPr id="23" name="차트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29</xdr:col>
      <xdr:colOff>125730</xdr:colOff>
      <xdr:row>69</xdr:row>
      <xdr:rowOff>217170</xdr:rowOff>
    </xdr:from>
    <xdr:to>
      <xdr:col>33</xdr:col>
      <xdr:colOff>217170</xdr:colOff>
      <xdr:row>82</xdr:row>
      <xdr:rowOff>87630</xdr:rowOff>
    </xdr:to>
    <xdr:graphicFrame macro="">
      <xdr:nvGraphicFramePr>
        <xdr:cNvPr id="31" name="차트 3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33</xdr:col>
      <xdr:colOff>224790</xdr:colOff>
      <xdr:row>70</xdr:row>
      <xdr:rowOff>11430</xdr:rowOff>
    </xdr:from>
    <xdr:to>
      <xdr:col>37</xdr:col>
      <xdr:colOff>316230</xdr:colOff>
      <xdr:row>82</xdr:row>
      <xdr:rowOff>102870</xdr:rowOff>
    </xdr:to>
    <xdr:graphicFrame macro="">
      <xdr:nvGraphicFramePr>
        <xdr:cNvPr id="32" name="차트 3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331470</xdr:colOff>
      <xdr:row>54</xdr:row>
      <xdr:rowOff>140970</xdr:rowOff>
    </xdr:from>
    <xdr:to>
      <xdr:col>39</xdr:col>
      <xdr:colOff>422910</xdr:colOff>
      <xdr:row>67</xdr:row>
      <xdr:rowOff>11430</xdr:rowOff>
    </xdr:to>
    <xdr:graphicFrame macro="">
      <xdr:nvGraphicFramePr>
        <xdr:cNvPr id="36" name="차트 3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39</xdr:col>
      <xdr:colOff>438150</xdr:colOff>
      <xdr:row>54</xdr:row>
      <xdr:rowOff>133350</xdr:rowOff>
    </xdr:from>
    <xdr:to>
      <xdr:col>43</xdr:col>
      <xdr:colOff>529590</xdr:colOff>
      <xdr:row>67</xdr:row>
      <xdr:rowOff>3810</xdr:rowOff>
    </xdr:to>
    <xdr:graphicFrame macro="">
      <xdr:nvGraphicFramePr>
        <xdr:cNvPr id="37" name="차트 3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956310</xdr:colOff>
      <xdr:row>77</xdr:row>
      <xdr:rowOff>80010</xdr:rowOff>
    </xdr:from>
    <xdr:to>
      <xdr:col>44</xdr:col>
      <xdr:colOff>1047750</xdr:colOff>
      <xdr:row>89</xdr:row>
      <xdr:rowOff>171450</xdr:rowOff>
    </xdr:to>
    <xdr:graphicFrame macro="">
      <xdr:nvGraphicFramePr>
        <xdr:cNvPr id="42" name="차트 4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44</xdr:col>
      <xdr:colOff>1009650</xdr:colOff>
      <xdr:row>77</xdr:row>
      <xdr:rowOff>87630</xdr:rowOff>
    </xdr:from>
    <xdr:to>
      <xdr:col>48</xdr:col>
      <xdr:colOff>1101090</xdr:colOff>
      <xdr:row>89</xdr:row>
      <xdr:rowOff>179070</xdr:rowOff>
    </xdr:to>
    <xdr:graphicFrame macro="">
      <xdr:nvGraphicFramePr>
        <xdr:cNvPr id="43" name="차트 4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46</xdr:col>
      <xdr:colOff>704850</xdr:colOff>
      <xdr:row>94</xdr:row>
      <xdr:rowOff>11430</xdr:rowOff>
    </xdr:from>
    <xdr:to>
      <xdr:col>50</xdr:col>
      <xdr:colOff>796290</xdr:colOff>
      <xdr:row>106</xdr:row>
      <xdr:rowOff>102870</xdr:rowOff>
    </xdr:to>
    <xdr:graphicFrame macro="">
      <xdr:nvGraphicFramePr>
        <xdr:cNvPr id="49" name="차트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50</xdr:col>
      <xdr:colOff>712470</xdr:colOff>
      <xdr:row>94</xdr:row>
      <xdr:rowOff>3810</xdr:rowOff>
    </xdr:from>
    <xdr:to>
      <xdr:col>54</xdr:col>
      <xdr:colOff>803910</xdr:colOff>
      <xdr:row>106</xdr:row>
      <xdr:rowOff>95250</xdr:rowOff>
    </xdr:to>
    <xdr:graphicFrame macro="">
      <xdr:nvGraphicFramePr>
        <xdr:cNvPr id="50" name="차트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57</xdr:col>
      <xdr:colOff>781050</xdr:colOff>
      <xdr:row>116</xdr:row>
      <xdr:rowOff>72390</xdr:rowOff>
    </xdr:from>
    <xdr:to>
      <xdr:col>61</xdr:col>
      <xdr:colOff>872490</xdr:colOff>
      <xdr:row>128</xdr:row>
      <xdr:rowOff>163830</xdr:rowOff>
    </xdr:to>
    <xdr:graphicFrame macro="">
      <xdr:nvGraphicFramePr>
        <xdr:cNvPr id="53" name="차트 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53</xdr:col>
      <xdr:colOff>662940</xdr:colOff>
      <xdr:row>116</xdr:row>
      <xdr:rowOff>102870</xdr:rowOff>
    </xdr:from>
    <xdr:to>
      <xdr:col>57</xdr:col>
      <xdr:colOff>754380</xdr:colOff>
      <xdr:row>128</xdr:row>
      <xdr:rowOff>194310</xdr:rowOff>
    </xdr:to>
    <xdr:graphicFrame macro="">
      <xdr:nvGraphicFramePr>
        <xdr:cNvPr id="54" name="차트 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15240</xdr:rowOff>
    </xdr:from>
    <xdr:to>
      <xdr:col>6</xdr:col>
      <xdr:colOff>548640</xdr:colOff>
      <xdr:row>12</xdr:row>
      <xdr:rowOff>106680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12</xdr:row>
      <xdr:rowOff>121920</xdr:rowOff>
    </xdr:from>
    <xdr:to>
      <xdr:col>6</xdr:col>
      <xdr:colOff>548640</xdr:colOff>
      <xdr:row>24</xdr:row>
      <xdr:rowOff>213360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556260</xdr:colOff>
      <xdr:row>0</xdr:row>
      <xdr:rowOff>0</xdr:rowOff>
    </xdr:from>
    <xdr:to>
      <xdr:col>13</xdr:col>
      <xdr:colOff>434340</xdr:colOff>
      <xdr:row>12</xdr:row>
      <xdr:rowOff>133350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556260</xdr:colOff>
      <xdr:row>12</xdr:row>
      <xdr:rowOff>114300</xdr:rowOff>
    </xdr:from>
    <xdr:to>
      <xdr:col>13</xdr:col>
      <xdr:colOff>434340</xdr:colOff>
      <xdr:row>25</xdr:row>
      <xdr:rowOff>34290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449580</xdr:colOff>
      <xdr:row>0</xdr:row>
      <xdr:rowOff>0</xdr:rowOff>
    </xdr:from>
    <xdr:to>
      <xdr:col>20</xdr:col>
      <xdr:colOff>327660</xdr:colOff>
      <xdr:row>12</xdr:row>
      <xdr:rowOff>91440</xdr:rowOff>
    </xdr:to>
    <xdr:graphicFrame macro="">
      <xdr:nvGraphicFramePr>
        <xdr:cNvPr id="6" name="차트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449580</xdr:colOff>
      <xdr:row>12</xdr:row>
      <xdr:rowOff>91440</xdr:rowOff>
    </xdr:from>
    <xdr:to>
      <xdr:col>20</xdr:col>
      <xdr:colOff>327660</xdr:colOff>
      <xdr:row>24</xdr:row>
      <xdr:rowOff>182880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327660</xdr:colOff>
      <xdr:row>0</xdr:row>
      <xdr:rowOff>0</xdr:rowOff>
    </xdr:from>
    <xdr:to>
      <xdr:col>27</xdr:col>
      <xdr:colOff>205740</xdr:colOff>
      <xdr:row>12</xdr:row>
      <xdr:rowOff>91440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320040</xdr:colOff>
      <xdr:row>12</xdr:row>
      <xdr:rowOff>83820</xdr:rowOff>
    </xdr:from>
    <xdr:to>
      <xdr:col>27</xdr:col>
      <xdr:colOff>198120</xdr:colOff>
      <xdr:row>24</xdr:row>
      <xdr:rowOff>175260</xdr:rowOff>
    </xdr:to>
    <xdr:graphicFrame macro="">
      <xdr:nvGraphicFramePr>
        <xdr:cNvPr id="9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213360</xdr:colOff>
      <xdr:row>0</xdr:row>
      <xdr:rowOff>0</xdr:rowOff>
    </xdr:from>
    <xdr:to>
      <xdr:col>34</xdr:col>
      <xdr:colOff>91440</xdr:colOff>
      <xdr:row>12</xdr:row>
      <xdr:rowOff>91440</xdr:rowOff>
    </xdr:to>
    <xdr:graphicFrame macro="">
      <xdr:nvGraphicFramePr>
        <xdr:cNvPr id="10" name="차트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213360</xdr:colOff>
      <xdr:row>12</xdr:row>
      <xdr:rowOff>83820</xdr:rowOff>
    </xdr:from>
    <xdr:to>
      <xdr:col>34</xdr:col>
      <xdr:colOff>91440</xdr:colOff>
      <xdr:row>24</xdr:row>
      <xdr:rowOff>175260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34</xdr:col>
      <xdr:colOff>91440</xdr:colOff>
      <xdr:row>0</xdr:row>
      <xdr:rowOff>7620</xdr:rowOff>
    </xdr:from>
    <xdr:to>
      <xdr:col>40</xdr:col>
      <xdr:colOff>640080</xdr:colOff>
      <xdr:row>12</xdr:row>
      <xdr:rowOff>99060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99060</xdr:colOff>
      <xdr:row>12</xdr:row>
      <xdr:rowOff>83820</xdr:rowOff>
    </xdr:from>
    <xdr:to>
      <xdr:col>40</xdr:col>
      <xdr:colOff>647700</xdr:colOff>
      <xdr:row>24</xdr:row>
      <xdr:rowOff>175260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40</xdr:col>
      <xdr:colOff>647700</xdr:colOff>
      <xdr:row>0</xdr:row>
      <xdr:rowOff>7620</xdr:rowOff>
    </xdr:from>
    <xdr:to>
      <xdr:col>47</xdr:col>
      <xdr:colOff>525780</xdr:colOff>
      <xdr:row>12</xdr:row>
      <xdr:rowOff>99060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647700</xdr:colOff>
      <xdr:row>12</xdr:row>
      <xdr:rowOff>83820</xdr:rowOff>
    </xdr:from>
    <xdr:to>
      <xdr:col>47</xdr:col>
      <xdr:colOff>525780</xdr:colOff>
      <xdr:row>24</xdr:row>
      <xdr:rowOff>175260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47</xdr:col>
      <xdr:colOff>533400</xdr:colOff>
      <xdr:row>0</xdr:row>
      <xdr:rowOff>7620</xdr:rowOff>
    </xdr:from>
    <xdr:to>
      <xdr:col>54</xdr:col>
      <xdr:colOff>411480</xdr:colOff>
      <xdr:row>12</xdr:row>
      <xdr:rowOff>99060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47</xdr:col>
      <xdr:colOff>533400</xdr:colOff>
      <xdr:row>12</xdr:row>
      <xdr:rowOff>83820</xdr:rowOff>
    </xdr:from>
    <xdr:to>
      <xdr:col>54</xdr:col>
      <xdr:colOff>411480</xdr:colOff>
      <xdr:row>24</xdr:row>
      <xdr:rowOff>175260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392430</xdr:colOff>
      <xdr:row>12</xdr:row>
      <xdr:rowOff>83820</xdr:rowOff>
    </xdr:from>
    <xdr:to>
      <xdr:col>61</xdr:col>
      <xdr:colOff>270510</xdr:colOff>
      <xdr:row>24</xdr:row>
      <xdr:rowOff>175260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403860</xdr:colOff>
      <xdr:row>0</xdr:row>
      <xdr:rowOff>0</xdr:rowOff>
    </xdr:from>
    <xdr:to>
      <xdr:col>61</xdr:col>
      <xdr:colOff>281940</xdr:colOff>
      <xdr:row>12</xdr:row>
      <xdr:rowOff>91440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7620</xdr:rowOff>
    </xdr:from>
    <xdr:to>
      <xdr:col>11</xdr:col>
      <xdr:colOff>91440</xdr:colOff>
      <xdr:row>12</xdr:row>
      <xdr:rowOff>129540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99060</xdr:colOff>
      <xdr:row>0</xdr:row>
      <xdr:rowOff>0</xdr:rowOff>
    </xdr:from>
    <xdr:to>
      <xdr:col>15</xdr:col>
      <xdr:colOff>190500</xdr:colOff>
      <xdr:row>12</xdr:row>
      <xdr:rowOff>121920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12</xdr:row>
      <xdr:rowOff>129540</xdr:rowOff>
    </xdr:from>
    <xdr:to>
      <xdr:col>11</xdr:col>
      <xdr:colOff>91440</xdr:colOff>
      <xdr:row>25</xdr:row>
      <xdr:rowOff>0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91440</xdr:colOff>
      <xdr:row>12</xdr:row>
      <xdr:rowOff>114300</xdr:rowOff>
    </xdr:from>
    <xdr:to>
      <xdr:col>15</xdr:col>
      <xdr:colOff>182880</xdr:colOff>
      <xdr:row>24</xdr:row>
      <xdr:rowOff>205740</xdr:rowOff>
    </xdr:to>
    <xdr:graphicFrame macro="">
      <xdr:nvGraphicFramePr>
        <xdr:cNvPr id="18" name="차트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845820</xdr:colOff>
      <xdr:row>31</xdr:row>
      <xdr:rowOff>34290</xdr:rowOff>
    </xdr:from>
    <xdr:to>
      <xdr:col>8</xdr:col>
      <xdr:colOff>937260</xdr:colOff>
      <xdr:row>43</xdr:row>
      <xdr:rowOff>125730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952500</xdr:colOff>
      <xdr:row>31</xdr:row>
      <xdr:rowOff>38100</xdr:rowOff>
    </xdr:from>
    <xdr:to>
      <xdr:col>12</xdr:col>
      <xdr:colOff>1043940</xdr:colOff>
      <xdr:row>43</xdr:row>
      <xdr:rowOff>129540</xdr:rowOff>
    </xdr:to>
    <xdr:graphicFrame macro="">
      <xdr:nvGraphicFramePr>
        <xdr:cNvPr id="19" name="차트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845820</xdr:colOff>
      <xdr:row>43</xdr:row>
      <xdr:rowOff>129540</xdr:rowOff>
    </xdr:from>
    <xdr:to>
      <xdr:col>8</xdr:col>
      <xdr:colOff>937260</xdr:colOff>
      <xdr:row>56</xdr:row>
      <xdr:rowOff>0</xdr:rowOff>
    </xdr:to>
    <xdr:graphicFrame macro="">
      <xdr:nvGraphicFramePr>
        <xdr:cNvPr id="20" name="차트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929640</xdr:colOff>
      <xdr:row>43</xdr:row>
      <xdr:rowOff>99060</xdr:rowOff>
    </xdr:from>
    <xdr:to>
      <xdr:col>12</xdr:col>
      <xdr:colOff>1021080</xdr:colOff>
      <xdr:row>55</xdr:row>
      <xdr:rowOff>190500</xdr:rowOff>
    </xdr:to>
    <xdr:graphicFrame macro="">
      <xdr:nvGraphicFramePr>
        <xdr:cNvPr id="21" name="차트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15</xdr:col>
      <xdr:colOff>182880</xdr:colOff>
      <xdr:row>12</xdr:row>
      <xdr:rowOff>121920</xdr:rowOff>
    </xdr:from>
    <xdr:to>
      <xdr:col>19</xdr:col>
      <xdr:colOff>274320</xdr:colOff>
      <xdr:row>24</xdr:row>
      <xdr:rowOff>213360</xdr:rowOff>
    </xdr:to>
    <xdr:graphicFrame macro="">
      <xdr:nvGraphicFramePr>
        <xdr:cNvPr id="11" name="차트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289560</xdr:colOff>
      <xdr:row>12</xdr:row>
      <xdr:rowOff>152400</xdr:rowOff>
    </xdr:from>
    <xdr:to>
      <xdr:col>23</xdr:col>
      <xdr:colOff>381000</xdr:colOff>
      <xdr:row>25</xdr:row>
      <xdr:rowOff>22860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19</xdr:col>
      <xdr:colOff>228600</xdr:colOff>
      <xdr:row>0</xdr:row>
      <xdr:rowOff>38100</xdr:rowOff>
    </xdr:from>
    <xdr:to>
      <xdr:col>23</xdr:col>
      <xdr:colOff>320040</xdr:colOff>
      <xdr:row>12</xdr:row>
      <xdr:rowOff>160020</xdr:rowOff>
    </xdr:to>
    <xdr:graphicFrame macro="">
      <xdr:nvGraphicFramePr>
        <xdr:cNvPr id="14" name="차트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411480</xdr:colOff>
      <xdr:row>13</xdr:row>
      <xdr:rowOff>190500</xdr:rowOff>
    </xdr:from>
    <xdr:to>
      <xdr:col>27</xdr:col>
      <xdr:colOff>502920</xdr:colOff>
      <xdr:row>26</xdr:row>
      <xdr:rowOff>60960</xdr:rowOff>
    </xdr:to>
    <xdr:graphicFrame macro="">
      <xdr:nvGraphicFramePr>
        <xdr:cNvPr id="22" name="차트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327660</xdr:colOff>
      <xdr:row>0</xdr:row>
      <xdr:rowOff>0</xdr:rowOff>
    </xdr:from>
    <xdr:to>
      <xdr:col>27</xdr:col>
      <xdr:colOff>419100</xdr:colOff>
      <xdr:row>12</xdr:row>
      <xdr:rowOff>121920</xdr:rowOff>
    </xdr:to>
    <xdr:graphicFrame macro="">
      <xdr:nvGraphicFramePr>
        <xdr:cNvPr id="23" name="차트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502920</xdr:colOff>
      <xdr:row>12</xdr:row>
      <xdr:rowOff>160020</xdr:rowOff>
    </xdr:from>
    <xdr:to>
      <xdr:col>31</xdr:col>
      <xdr:colOff>594360</xdr:colOff>
      <xdr:row>25</xdr:row>
      <xdr:rowOff>30480</xdr:rowOff>
    </xdr:to>
    <xdr:graphicFrame macro="">
      <xdr:nvGraphicFramePr>
        <xdr:cNvPr id="24" name="차트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27</xdr:col>
      <xdr:colOff>502920</xdr:colOff>
      <xdr:row>0</xdr:row>
      <xdr:rowOff>0</xdr:rowOff>
    </xdr:from>
    <xdr:to>
      <xdr:col>31</xdr:col>
      <xdr:colOff>594360</xdr:colOff>
      <xdr:row>12</xdr:row>
      <xdr:rowOff>121920</xdr:rowOff>
    </xdr:to>
    <xdr:graphicFrame macro="">
      <xdr:nvGraphicFramePr>
        <xdr:cNvPr id="25" name="차트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104"/>
  <sheetViews>
    <sheetView topLeftCell="BP93" workbookViewId="0">
      <selection activeCell="GN104" sqref="CH104:GN104"/>
    </sheetView>
  </sheetViews>
  <sheetFormatPr defaultRowHeight="17.399999999999999" x14ac:dyDescent="0.4"/>
  <cols>
    <col min="1" max="1" width="26.5" bestFit="1" customWidth="1"/>
  </cols>
  <sheetData>
    <row r="1" spans="1:70" x14ac:dyDescent="0.4">
      <c r="B1" s="1">
        <v>20010531</v>
      </c>
      <c r="C1" s="1">
        <v>20010831</v>
      </c>
      <c r="D1" s="1">
        <v>20011130</v>
      </c>
      <c r="E1" s="1">
        <v>20020228</v>
      </c>
      <c r="F1" s="1">
        <v>20020531</v>
      </c>
      <c r="G1" s="1">
        <v>20020830</v>
      </c>
      <c r="H1" s="1">
        <v>20021129</v>
      </c>
      <c r="I1" s="1">
        <v>20030228</v>
      </c>
      <c r="J1" s="1">
        <v>20030530</v>
      </c>
      <c r="K1" s="1">
        <v>20030829</v>
      </c>
      <c r="L1" s="1">
        <v>20031128</v>
      </c>
      <c r="M1" s="1">
        <v>20040227</v>
      </c>
      <c r="N1" s="1">
        <v>20040531</v>
      </c>
      <c r="O1" s="1">
        <v>20040831</v>
      </c>
      <c r="P1" s="1">
        <v>20041130</v>
      </c>
      <c r="Q1" s="1">
        <v>20050228</v>
      </c>
      <c r="R1" s="1">
        <v>20050531</v>
      </c>
      <c r="S1" s="1">
        <v>20050831</v>
      </c>
      <c r="T1" s="1">
        <v>20051130</v>
      </c>
      <c r="U1" s="1">
        <v>20060228</v>
      </c>
      <c r="V1" s="1">
        <v>20060530</v>
      </c>
      <c r="W1" s="1">
        <v>20060831</v>
      </c>
      <c r="X1" s="1">
        <v>20061130</v>
      </c>
      <c r="Y1" s="1">
        <v>20070228</v>
      </c>
      <c r="Z1" s="1">
        <v>20070531</v>
      </c>
      <c r="AA1" s="1">
        <v>20070831</v>
      </c>
      <c r="AB1" s="1">
        <v>20071130</v>
      </c>
      <c r="AC1" s="1">
        <v>20080229</v>
      </c>
      <c r="AD1" s="1">
        <v>20080530</v>
      </c>
      <c r="AE1" s="1">
        <v>20080829</v>
      </c>
      <c r="AF1" s="1">
        <v>20081128</v>
      </c>
      <c r="AG1" s="1">
        <v>20090227</v>
      </c>
      <c r="AH1" s="1">
        <v>20090529</v>
      </c>
      <c r="AI1" s="1">
        <v>20090831</v>
      </c>
      <c r="AJ1" s="1">
        <v>20091130</v>
      </c>
      <c r="AK1" s="1">
        <v>20100226</v>
      </c>
      <c r="AL1" s="1">
        <v>20100531</v>
      </c>
      <c r="AM1" s="1">
        <v>20100831</v>
      </c>
      <c r="AN1" s="1">
        <v>20101130</v>
      </c>
      <c r="AO1" s="1">
        <v>20110228</v>
      </c>
      <c r="AP1" s="1">
        <v>20110531</v>
      </c>
      <c r="AQ1" s="1">
        <v>20110831</v>
      </c>
      <c r="AR1" s="1">
        <v>20111130</v>
      </c>
      <c r="AS1" s="1">
        <v>20120229</v>
      </c>
      <c r="AT1" s="1">
        <v>20120531</v>
      </c>
      <c r="AU1" s="1">
        <v>20120831</v>
      </c>
      <c r="AV1" s="1">
        <v>20121130</v>
      </c>
      <c r="AW1" s="1">
        <v>20130228</v>
      </c>
      <c r="AX1" s="1">
        <v>20130531</v>
      </c>
      <c r="AY1" s="1">
        <v>20130830</v>
      </c>
      <c r="AZ1" s="1">
        <v>20131129</v>
      </c>
      <c r="BA1" s="1">
        <v>20140228</v>
      </c>
      <c r="BB1" s="1">
        <v>20140530</v>
      </c>
      <c r="BC1" s="1">
        <v>20140829</v>
      </c>
      <c r="BD1" s="1">
        <v>20141128</v>
      </c>
      <c r="BE1" s="1">
        <v>20150227</v>
      </c>
      <c r="BF1" s="1">
        <v>20150529</v>
      </c>
      <c r="BG1" s="1">
        <v>20150831</v>
      </c>
      <c r="BH1" s="1">
        <v>20151130</v>
      </c>
      <c r="BI1" s="1">
        <v>20160229</v>
      </c>
      <c r="BJ1" s="1">
        <v>20160531</v>
      </c>
      <c r="BK1" s="1">
        <v>20160831</v>
      </c>
      <c r="BL1" s="1">
        <v>20161130</v>
      </c>
      <c r="BM1" s="1">
        <v>20170228</v>
      </c>
      <c r="BN1" s="1">
        <v>20170531</v>
      </c>
      <c r="BO1" t="s">
        <v>0</v>
      </c>
      <c r="BP1" t="s">
        <v>1</v>
      </c>
    </row>
    <row r="2" spans="1:70" x14ac:dyDescent="0.4">
      <c r="A2" t="s">
        <v>4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0.91083760955440296</v>
      </c>
      <c r="G2">
        <v>0.93504650857243998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0.95172788475760495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0.97943603745903696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0.986842456229026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0.96841781384944603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7.9794322092197447</v>
      </c>
      <c r="BP2">
        <f>AVERAGE(B2:BO2)/_xlfn.STDEV.S(B2:BN2)</f>
        <v>8.7339039801718332</v>
      </c>
      <c r="BQ2">
        <f>PRODUCT(AD2:BN2)</f>
        <v>2.0656359780438902</v>
      </c>
      <c r="BR2">
        <f>AVERAGE(AD2:BN2)/_xlfn.STDEV.S(AD2:BN2)</f>
        <v>8.9042540088050295</v>
      </c>
    </row>
    <row r="3" spans="1:70" x14ac:dyDescent="0.4">
      <c r="A3" t="s">
        <v>2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0.90858760955440299</v>
      </c>
      <c r="G3">
        <v>0.93369650857244002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0.94977788475760505</v>
      </c>
      <c r="S3">
        <v>1.1753492114936499</v>
      </c>
      <c r="T3">
        <v>1.3168291473479401</v>
      </c>
      <c r="U3">
        <v>0.94525980604817705</v>
      </c>
      <c r="V3">
        <v>0.96684379540712595</v>
      </c>
      <c r="W3">
        <v>0.97763603745903704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0.66146416894161897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0.984842456229026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0.96656781384944601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7.057662394193061</v>
      </c>
      <c r="BP3">
        <f>AVERAGE(B3:BO3)/_xlfn.STDEV.S(B3:BN3)</f>
        <v>8.6084572524058647</v>
      </c>
      <c r="BQ3">
        <f>PRODUCT(AD3:BN3)</f>
        <v>1.9214841740301656</v>
      </c>
      <c r="BR3">
        <f>AVERAGE(AD3:BN3)/_xlfn.STDEV.S(AD3:BN3)</f>
        <v>8.8834913166988017</v>
      </c>
    </row>
    <row r="5" spans="1:70" x14ac:dyDescent="0.4">
      <c r="A5">
        <v>1</v>
      </c>
      <c r="B5">
        <v>0.44444444444444398</v>
      </c>
      <c r="C5">
        <v>0.41237113402061798</v>
      </c>
      <c r="D5">
        <v>0.47058823529411697</v>
      </c>
      <c r="E5">
        <v>0.41206030150753697</v>
      </c>
      <c r="F5">
        <v>0.37</v>
      </c>
      <c r="G5">
        <v>0.41</v>
      </c>
      <c r="H5">
        <v>0.41</v>
      </c>
      <c r="I5">
        <v>0.42424242424242398</v>
      </c>
      <c r="J5">
        <v>0.51308900523560197</v>
      </c>
      <c r="K5">
        <v>0.46</v>
      </c>
      <c r="L5">
        <v>0.47</v>
      </c>
      <c r="M5">
        <v>0.46500000000000002</v>
      </c>
      <c r="N5">
        <v>0.42</v>
      </c>
      <c r="O5">
        <v>0.45</v>
      </c>
      <c r="P5">
        <v>0.44500000000000001</v>
      </c>
      <c r="Q5">
        <v>0.39500000000000002</v>
      </c>
      <c r="R5">
        <v>0.31</v>
      </c>
      <c r="S5">
        <v>0.34</v>
      </c>
      <c r="T5">
        <v>0.28499999999999998</v>
      </c>
      <c r="U5">
        <v>0.22</v>
      </c>
      <c r="V5">
        <v>0.19500000000000001</v>
      </c>
      <c r="W5">
        <v>0.22500000000000001</v>
      </c>
      <c r="X5">
        <v>0.2</v>
      </c>
      <c r="Y5">
        <v>0.18</v>
      </c>
      <c r="Z5">
        <v>0.19</v>
      </c>
      <c r="AA5">
        <v>0.155</v>
      </c>
      <c r="AB5">
        <v>0.13500000000000001</v>
      </c>
      <c r="AC5">
        <v>0.125</v>
      </c>
      <c r="AD5">
        <v>0.14000000000000001</v>
      </c>
      <c r="AE5">
        <v>0.11</v>
      </c>
      <c r="AF5">
        <v>0.16500000000000001</v>
      </c>
      <c r="AG5">
        <v>0.28999999999999998</v>
      </c>
      <c r="AH5">
        <v>0.30499999999999999</v>
      </c>
      <c r="AI5">
        <v>0.17</v>
      </c>
      <c r="AJ5">
        <v>0.13</v>
      </c>
      <c r="AK5">
        <v>0.12</v>
      </c>
      <c r="AL5">
        <v>0.125</v>
      </c>
      <c r="AM5">
        <v>0.16</v>
      </c>
      <c r="AN5">
        <v>0.125</v>
      </c>
      <c r="AO5">
        <v>0.11</v>
      </c>
      <c r="AP5">
        <v>0.12</v>
      </c>
      <c r="AQ5">
        <v>0.12</v>
      </c>
      <c r="AR5">
        <v>0.13500000000000001</v>
      </c>
      <c r="AS5">
        <v>0.155</v>
      </c>
      <c r="AT5">
        <v>0.16</v>
      </c>
      <c r="AU5">
        <v>0.16</v>
      </c>
      <c r="AV5">
        <v>0.16</v>
      </c>
      <c r="AW5">
        <v>0.18</v>
      </c>
      <c r="AX5">
        <v>0.155</v>
      </c>
      <c r="AY5">
        <v>0.14499999999999999</v>
      </c>
      <c r="AZ5">
        <v>0.125</v>
      </c>
      <c r="BA5">
        <v>0.14499999999999999</v>
      </c>
      <c r="BB5">
        <v>0.14499999999999999</v>
      </c>
      <c r="BC5">
        <v>0.125</v>
      </c>
      <c r="BD5">
        <v>0.115</v>
      </c>
      <c r="BE5">
        <v>0.13500000000000001</v>
      </c>
      <c r="BF5">
        <v>0.15</v>
      </c>
      <c r="BG5">
        <v>0.15</v>
      </c>
      <c r="BH5">
        <v>0.16500000000000001</v>
      </c>
      <c r="BI5">
        <v>0.14499999999999999</v>
      </c>
      <c r="BJ5">
        <v>0.155</v>
      </c>
      <c r="BK5">
        <v>0.14000000000000001</v>
      </c>
      <c r="BL5">
        <v>0.13500000000000001</v>
      </c>
      <c r="BM5">
        <v>0.125</v>
      </c>
      <c r="BN5">
        <v>0.13</v>
      </c>
    </row>
    <row r="6" spans="1:70" x14ac:dyDescent="0.4">
      <c r="A6">
        <v>2</v>
      </c>
      <c r="B6">
        <v>0.286549707602339</v>
      </c>
      <c r="C6">
        <v>0.298969072164948</v>
      </c>
      <c r="D6">
        <v>0.29411764705882298</v>
      </c>
      <c r="E6">
        <v>0.34673366834170799</v>
      </c>
      <c r="F6">
        <v>0.42499999999999999</v>
      </c>
      <c r="G6">
        <v>0.40500000000000003</v>
      </c>
      <c r="H6">
        <v>0.39500000000000002</v>
      </c>
      <c r="I6">
        <v>0.40404040404040398</v>
      </c>
      <c r="J6">
        <v>0.33507853403141302</v>
      </c>
      <c r="K6">
        <v>0.33500000000000002</v>
      </c>
      <c r="L6">
        <v>0.39500000000000002</v>
      </c>
      <c r="M6">
        <v>0.41</v>
      </c>
      <c r="N6">
        <v>0.435</v>
      </c>
      <c r="O6">
        <v>0.39500000000000002</v>
      </c>
      <c r="P6">
        <v>0.43</v>
      </c>
      <c r="Q6">
        <v>0.495</v>
      </c>
      <c r="R6">
        <v>0.60499999999999998</v>
      </c>
      <c r="S6">
        <v>0.57999999999999996</v>
      </c>
      <c r="T6">
        <v>0.63500000000000001</v>
      </c>
      <c r="U6">
        <v>0.56499999999999995</v>
      </c>
      <c r="V6">
        <v>0.59</v>
      </c>
      <c r="W6">
        <v>0.56999999999999995</v>
      </c>
      <c r="X6">
        <v>0.56999999999999995</v>
      </c>
      <c r="Y6">
        <v>0.51500000000000001</v>
      </c>
      <c r="Z6">
        <v>0.59</v>
      </c>
      <c r="AA6">
        <v>0.43</v>
      </c>
      <c r="AB6">
        <v>0.38500000000000001</v>
      </c>
      <c r="AC6">
        <v>0.47</v>
      </c>
      <c r="AD6">
        <v>0.505</v>
      </c>
      <c r="AE6">
        <v>0.46500000000000002</v>
      </c>
      <c r="AF6">
        <v>0.51</v>
      </c>
      <c r="AG6">
        <v>0.54500000000000004</v>
      </c>
      <c r="AH6">
        <v>0.54</v>
      </c>
      <c r="AI6">
        <v>0.51</v>
      </c>
      <c r="AJ6">
        <v>0.53</v>
      </c>
      <c r="AK6">
        <v>0.56000000000000005</v>
      </c>
      <c r="AL6">
        <v>0.52</v>
      </c>
      <c r="AM6">
        <v>0.48499999999999999</v>
      </c>
      <c r="AN6">
        <v>0.51500000000000001</v>
      </c>
      <c r="AO6">
        <v>0.495</v>
      </c>
      <c r="AP6">
        <v>0.505</v>
      </c>
      <c r="AQ6">
        <v>0.42</v>
      </c>
      <c r="AR6">
        <v>0.41499999999999998</v>
      </c>
      <c r="AS6">
        <v>0.45</v>
      </c>
      <c r="AT6">
        <v>0.4</v>
      </c>
      <c r="AU6">
        <v>0.43</v>
      </c>
      <c r="AV6">
        <v>0.41499999999999998</v>
      </c>
      <c r="AW6">
        <v>0.39500000000000002</v>
      </c>
      <c r="AX6">
        <v>0.35</v>
      </c>
      <c r="AY6">
        <v>0.35499999999999998</v>
      </c>
      <c r="AZ6">
        <v>0.36499999999999999</v>
      </c>
      <c r="BA6">
        <v>0.33500000000000002</v>
      </c>
      <c r="BB6">
        <v>0.32500000000000001</v>
      </c>
      <c r="BC6">
        <v>0.315</v>
      </c>
      <c r="BD6">
        <v>0.3</v>
      </c>
      <c r="BE6">
        <v>0.32500000000000001</v>
      </c>
      <c r="BF6">
        <v>0.30499999999999999</v>
      </c>
      <c r="BG6">
        <v>0.245</v>
      </c>
      <c r="BH6">
        <v>0.28499999999999998</v>
      </c>
      <c r="BI6">
        <v>0.29499999999999998</v>
      </c>
      <c r="BJ6">
        <v>0.27</v>
      </c>
      <c r="BK6">
        <v>0.23499999999999999</v>
      </c>
      <c r="BL6">
        <v>0.23499999999999999</v>
      </c>
      <c r="BM6">
        <v>0.23</v>
      </c>
      <c r="BN6">
        <v>0.23499999999999999</v>
      </c>
    </row>
    <row r="7" spans="1:70" x14ac:dyDescent="0.4">
      <c r="A7">
        <v>3</v>
      </c>
      <c r="B7">
        <v>5.84795321637426E-3</v>
      </c>
      <c r="C7">
        <v>0</v>
      </c>
      <c r="D7">
        <v>1.1764705882352899E-2</v>
      </c>
      <c r="E7">
        <v>1.00502512562814E-2</v>
      </c>
      <c r="F7">
        <v>5.0000000000000001E-3</v>
      </c>
      <c r="G7">
        <v>0</v>
      </c>
      <c r="H7">
        <v>0</v>
      </c>
      <c r="I7">
        <v>5.0505050505050501E-3</v>
      </c>
      <c r="J7">
        <v>5.2356020942408302E-3</v>
      </c>
      <c r="K7">
        <v>5.0000000000000001E-3</v>
      </c>
      <c r="L7">
        <v>5.0000000000000001E-3</v>
      </c>
      <c r="M7">
        <v>0.01</v>
      </c>
      <c r="N7">
        <v>0</v>
      </c>
      <c r="O7">
        <v>5.0000000000000001E-3</v>
      </c>
      <c r="P7">
        <v>5.0000000000000001E-3</v>
      </c>
      <c r="Q7">
        <v>0.02</v>
      </c>
      <c r="R7">
        <v>5.0000000000000001E-3</v>
      </c>
      <c r="S7">
        <v>0.01</v>
      </c>
      <c r="T7">
        <v>0</v>
      </c>
      <c r="U7">
        <v>0.12</v>
      </c>
      <c r="V7">
        <v>7.0000000000000007E-2</v>
      </c>
      <c r="W7">
        <v>7.4999999999999997E-2</v>
      </c>
      <c r="X7">
        <v>9.5000000000000001E-2</v>
      </c>
      <c r="Y7">
        <v>0.17</v>
      </c>
      <c r="Z7">
        <v>9.5000000000000001E-2</v>
      </c>
      <c r="AA7">
        <v>0.26500000000000001</v>
      </c>
      <c r="AB7">
        <v>0.30499999999999999</v>
      </c>
      <c r="AC7">
        <v>0.25</v>
      </c>
      <c r="AD7">
        <v>0.20499999999999999</v>
      </c>
      <c r="AE7">
        <v>0.26</v>
      </c>
      <c r="AF7">
        <v>0.19</v>
      </c>
      <c r="AG7">
        <v>0.05</v>
      </c>
      <c r="AH7">
        <v>6.5000000000000002E-2</v>
      </c>
      <c r="AI7">
        <v>0.17499999999999999</v>
      </c>
      <c r="AJ7">
        <v>0.2</v>
      </c>
      <c r="AK7">
        <v>0.215</v>
      </c>
      <c r="AL7">
        <v>0.22</v>
      </c>
      <c r="AM7">
        <v>0.24</v>
      </c>
      <c r="AN7">
        <v>0.23499999999999999</v>
      </c>
      <c r="AO7">
        <v>0.28000000000000003</v>
      </c>
      <c r="AP7">
        <v>0.24</v>
      </c>
      <c r="AQ7">
        <v>0.30499999999999999</v>
      </c>
      <c r="AR7">
        <v>0.28499999999999998</v>
      </c>
      <c r="AS7">
        <v>0.24</v>
      </c>
      <c r="AT7">
        <v>0.31</v>
      </c>
      <c r="AU7">
        <v>0.27500000000000002</v>
      </c>
      <c r="AV7">
        <v>0.29499999999999998</v>
      </c>
      <c r="AW7">
        <v>0.29499999999999998</v>
      </c>
      <c r="AX7">
        <v>0.32500000000000001</v>
      </c>
      <c r="AY7">
        <v>0.375</v>
      </c>
      <c r="AZ7">
        <v>0.35499999999999998</v>
      </c>
      <c r="BA7">
        <v>0.36</v>
      </c>
      <c r="BB7">
        <v>0.38</v>
      </c>
      <c r="BC7">
        <v>0.37</v>
      </c>
      <c r="BD7">
        <v>0.39500000000000002</v>
      </c>
      <c r="BE7">
        <v>0.36</v>
      </c>
      <c r="BF7">
        <v>0.37</v>
      </c>
      <c r="BG7">
        <v>0.375</v>
      </c>
      <c r="BH7">
        <v>0.32500000000000001</v>
      </c>
      <c r="BI7">
        <v>0.35</v>
      </c>
      <c r="BJ7">
        <v>0.33500000000000002</v>
      </c>
      <c r="BK7">
        <v>0.42</v>
      </c>
      <c r="BL7">
        <v>0.40500000000000003</v>
      </c>
      <c r="BM7">
        <v>0.45500000000000002</v>
      </c>
      <c r="BN7">
        <v>0.47499999999999998</v>
      </c>
    </row>
    <row r="8" spans="1:70" x14ac:dyDescent="0.4">
      <c r="A8" t="s">
        <v>6</v>
      </c>
      <c r="B8">
        <v>0.26315789473684198</v>
      </c>
      <c r="C8">
        <v>0.28865979381443202</v>
      </c>
      <c r="D8">
        <v>0.223529411764705</v>
      </c>
      <c r="E8">
        <v>0.231155778894472</v>
      </c>
      <c r="F8">
        <v>0.2</v>
      </c>
      <c r="G8">
        <v>0.185</v>
      </c>
      <c r="H8">
        <v>0.19500000000000001</v>
      </c>
      <c r="I8">
        <v>0.16666666666666599</v>
      </c>
      <c r="J8">
        <v>0.146596858638743</v>
      </c>
      <c r="K8">
        <v>0.2</v>
      </c>
      <c r="L8">
        <v>0.13</v>
      </c>
      <c r="M8">
        <v>0.115</v>
      </c>
      <c r="N8">
        <v>0.14499999999999999</v>
      </c>
      <c r="O8">
        <v>0.15</v>
      </c>
      <c r="P8">
        <v>0.12</v>
      </c>
      <c r="Q8">
        <v>0.09</v>
      </c>
      <c r="R8">
        <v>0.08</v>
      </c>
      <c r="S8">
        <v>7.0000000000000007E-2</v>
      </c>
      <c r="T8">
        <v>0.08</v>
      </c>
      <c r="U8">
        <v>9.5000000000000001E-2</v>
      </c>
      <c r="V8">
        <v>0.14499999999999999</v>
      </c>
      <c r="W8">
        <v>0.13</v>
      </c>
      <c r="X8">
        <v>0.13500000000000001</v>
      </c>
      <c r="Y8">
        <v>0.13500000000000001</v>
      </c>
      <c r="Z8">
        <v>0.125</v>
      </c>
      <c r="AA8">
        <v>0.15</v>
      </c>
      <c r="AB8">
        <v>0.17499999999999999</v>
      </c>
      <c r="AC8">
        <v>0.155</v>
      </c>
      <c r="AD8">
        <v>0.15</v>
      </c>
      <c r="AE8">
        <v>0.16500000000000001</v>
      </c>
      <c r="AF8">
        <v>0.13500000000000001</v>
      </c>
      <c r="AG8">
        <v>0.115</v>
      </c>
      <c r="AH8">
        <v>0.09</v>
      </c>
      <c r="AI8">
        <v>0.14499999999999999</v>
      </c>
      <c r="AJ8">
        <v>0.14000000000000001</v>
      </c>
      <c r="AK8">
        <v>0.105</v>
      </c>
      <c r="AL8">
        <v>0.13500000000000001</v>
      </c>
      <c r="AM8">
        <v>0.115</v>
      </c>
      <c r="AN8">
        <v>0.125</v>
      </c>
      <c r="AO8">
        <v>0.115</v>
      </c>
      <c r="AP8">
        <v>0.13500000000000001</v>
      </c>
      <c r="AQ8">
        <v>0.155</v>
      </c>
      <c r="AR8">
        <v>0.16500000000000001</v>
      </c>
      <c r="AS8">
        <v>0.155</v>
      </c>
      <c r="AT8">
        <v>0.13</v>
      </c>
      <c r="AU8">
        <v>0.13500000000000001</v>
      </c>
      <c r="AV8">
        <v>0.13</v>
      </c>
      <c r="AW8">
        <v>0.13</v>
      </c>
      <c r="AX8">
        <v>0.17</v>
      </c>
      <c r="AY8">
        <v>0.125</v>
      </c>
      <c r="AZ8">
        <v>0.155</v>
      </c>
      <c r="BA8">
        <v>0.16</v>
      </c>
      <c r="BB8">
        <v>0.15</v>
      </c>
      <c r="BC8">
        <v>0.19</v>
      </c>
      <c r="BD8">
        <v>0.19</v>
      </c>
      <c r="BE8">
        <v>0.18</v>
      </c>
      <c r="BF8">
        <v>0.17499999999999999</v>
      </c>
      <c r="BG8">
        <v>0.23</v>
      </c>
      <c r="BH8">
        <v>0.22500000000000001</v>
      </c>
      <c r="BI8">
        <v>0.21</v>
      </c>
      <c r="BJ8">
        <v>0.24</v>
      </c>
      <c r="BK8">
        <v>0.20499999999999999</v>
      </c>
      <c r="BL8">
        <v>0.22500000000000001</v>
      </c>
      <c r="BM8">
        <v>0.19</v>
      </c>
      <c r="BN8">
        <v>0.16</v>
      </c>
    </row>
    <row r="10" spans="1:70" x14ac:dyDescent="0.4">
      <c r="A10" t="s">
        <v>5</v>
      </c>
      <c r="B10">
        <v>1.13331769839247</v>
      </c>
      <c r="C10">
        <v>0.92920029256546599</v>
      </c>
      <c r="D10">
        <v>1.22774690308128</v>
      </c>
      <c r="E10">
        <v>1.3377166167938399</v>
      </c>
      <c r="F10">
        <v>0.940098223696197</v>
      </c>
      <c r="G10">
        <v>0.96835466908685197</v>
      </c>
      <c r="H10">
        <v>0.97838042635089295</v>
      </c>
      <c r="I10">
        <v>0.83203912465456897</v>
      </c>
      <c r="J10">
        <v>1.1900380158097801</v>
      </c>
      <c r="K10">
        <v>1.16615029158998</v>
      </c>
      <c r="L10">
        <v>1.06181983879521</v>
      </c>
      <c r="M10">
        <v>1.0516065512414301</v>
      </c>
      <c r="N10">
        <v>0.93730639589045095</v>
      </c>
      <c r="O10">
        <v>1.0862572401150099</v>
      </c>
      <c r="P10">
        <v>1.24005550665538</v>
      </c>
      <c r="Q10">
        <v>1.27204188458457</v>
      </c>
      <c r="R10">
        <v>0.95458122102043996</v>
      </c>
      <c r="S10">
        <v>1.1744839767961801</v>
      </c>
      <c r="T10">
        <v>1.28095096911925</v>
      </c>
      <c r="U10">
        <v>0.95184620594193903</v>
      </c>
      <c r="V10">
        <v>1.02405312351546</v>
      </c>
      <c r="W10">
        <v>0.988702347770266</v>
      </c>
      <c r="X10">
        <v>1.2228497605740301</v>
      </c>
      <c r="Y10">
        <v>0.95381014338609105</v>
      </c>
      <c r="Z10">
        <v>1.46731100845426</v>
      </c>
      <c r="AA10">
        <v>1.0972848218219999</v>
      </c>
      <c r="AB10">
        <v>0.92482843171909501</v>
      </c>
      <c r="AC10">
        <v>0.97643227154930501</v>
      </c>
      <c r="AD10">
        <v>1.0847631029820299</v>
      </c>
      <c r="AE10">
        <v>0.829515048444048</v>
      </c>
      <c r="AF10">
        <v>0.63772075468365397</v>
      </c>
      <c r="AG10">
        <v>1.0572890733553699</v>
      </c>
      <c r="AH10">
        <v>1.4320271639664901</v>
      </c>
      <c r="AI10">
        <v>1.0589540829528199</v>
      </c>
      <c r="AJ10">
        <v>0.94851792541579605</v>
      </c>
      <c r="AK10">
        <v>0.996680846447209</v>
      </c>
      <c r="AL10">
        <v>0.99336691138978195</v>
      </c>
      <c r="AM10">
        <v>1.0774531313806699</v>
      </c>
      <c r="AN10">
        <v>1.1313779829595301</v>
      </c>
      <c r="AO10">
        <v>0.95600412022007597</v>
      </c>
      <c r="AP10">
        <v>1.05134546340708</v>
      </c>
      <c r="AQ10">
        <v>1.0008475732945099</v>
      </c>
      <c r="AR10">
        <v>0.90730876610331301</v>
      </c>
      <c r="AS10">
        <v>1.1712825210631801</v>
      </c>
      <c r="AT10">
        <v>0.85134116874559795</v>
      </c>
      <c r="AU10">
        <v>1.0680392160355201</v>
      </c>
      <c r="AV10">
        <v>1.0676031774971899</v>
      </c>
      <c r="AW10">
        <v>1.0858882141134401</v>
      </c>
      <c r="AX10">
        <v>1.1361878079113099</v>
      </c>
      <c r="AY10">
        <v>0.97900667277350895</v>
      </c>
      <c r="AZ10">
        <v>1.02098791135394</v>
      </c>
      <c r="BA10">
        <v>1.0333818809264901</v>
      </c>
      <c r="BB10">
        <v>1.0575134462756399</v>
      </c>
      <c r="BC10">
        <v>1.12183201298982</v>
      </c>
      <c r="BD10">
        <v>0.95109498889793798</v>
      </c>
      <c r="BE10">
        <v>1.05346995578136</v>
      </c>
      <c r="BF10">
        <v>1.11789595232669</v>
      </c>
      <c r="BG10">
        <v>0.93064994909812604</v>
      </c>
      <c r="BH10">
        <v>0.98942159064894997</v>
      </c>
      <c r="BI10">
        <v>0.97536879027082202</v>
      </c>
      <c r="BJ10">
        <v>1.05839891616779</v>
      </c>
      <c r="BK10">
        <v>1.01787099240587</v>
      </c>
      <c r="BL10">
        <v>1.0000280848812</v>
      </c>
      <c r="BM10">
        <v>1.0302766080885399</v>
      </c>
      <c r="BN10">
        <v>1.09402480737755</v>
      </c>
      <c r="BO10">
        <f>PRODUCT(B10:BN10)</f>
        <v>15.113045817073123</v>
      </c>
      <c r="BP10">
        <f>AVERAGE(B10:BO10)/_xlfn.STDEV.S(B10:BN10)</f>
        <v>9.2025961271562409</v>
      </c>
      <c r="BQ10">
        <f>PRODUCT(AD10:BN10)</f>
        <v>2.0186235935030519</v>
      </c>
      <c r="BR10">
        <f>AVERAGE(AD10:BN10)/_xlfn.STDEV.S(AD10:BN10)</f>
        <v>8.5460804529406573</v>
      </c>
    </row>
    <row r="11" spans="1:70" x14ac:dyDescent="0.4">
      <c r="A11" t="s">
        <v>2</v>
      </c>
      <c r="B11">
        <v>1.12331769839247</v>
      </c>
      <c r="C11">
        <v>0.92780029256546603</v>
      </c>
      <c r="D11">
        <v>1.2263469030812799</v>
      </c>
      <c r="E11">
        <v>1.3361166167938401</v>
      </c>
      <c r="F11">
        <v>0.93739822369619696</v>
      </c>
      <c r="G11">
        <v>0.96685466908685203</v>
      </c>
      <c r="H11">
        <v>0.97708042635089298</v>
      </c>
      <c r="I11">
        <v>0.83113912465456896</v>
      </c>
      <c r="J11">
        <v>1.1876380158097799</v>
      </c>
      <c r="K11">
        <v>1.1644502915899799</v>
      </c>
      <c r="L11">
        <v>1.05991983879521</v>
      </c>
      <c r="M11">
        <v>1.05010655124143</v>
      </c>
      <c r="N11">
        <v>0.93420639589045096</v>
      </c>
      <c r="O11">
        <v>1.08375724011501</v>
      </c>
      <c r="P11">
        <v>1.23835550665538</v>
      </c>
      <c r="Q11">
        <v>1.26994188458457</v>
      </c>
      <c r="R11">
        <v>0.95188122102044004</v>
      </c>
      <c r="S11">
        <v>1.1726839767961801</v>
      </c>
      <c r="T11">
        <v>1.27915096911925</v>
      </c>
      <c r="U11">
        <v>0.94934620594193897</v>
      </c>
      <c r="V11">
        <v>1.02175312351546</v>
      </c>
      <c r="W11">
        <v>0.98600234777026596</v>
      </c>
      <c r="X11">
        <v>1.22094976057403</v>
      </c>
      <c r="Y11">
        <v>0.95101014338609102</v>
      </c>
      <c r="Z11">
        <v>1.4643110084542601</v>
      </c>
      <c r="AA11">
        <v>1.092884821822</v>
      </c>
      <c r="AB11">
        <v>0.92252843171909504</v>
      </c>
      <c r="AC11">
        <v>0.97353227154930499</v>
      </c>
      <c r="AD11">
        <v>1.0814631029820301</v>
      </c>
      <c r="AE11">
        <v>0.827515048444048</v>
      </c>
      <c r="AF11">
        <v>0.63492075468365405</v>
      </c>
      <c r="AG11">
        <v>1.05258907335537</v>
      </c>
      <c r="AH11">
        <v>1.42852716396649</v>
      </c>
      <c r="AI11">
        <v>1.0554540829528201</v>
      </c>
      <c r="AJ11">
        <v>0.94641792541579595</v>
      </c>
      <c r="AK11">
        <v>0.99498084644720897</v>
      </c>
      <c r="AL11">
        <v>0.99066691138978202</v>
      </c>
      <c r="AM11">
        <v>1.0750531313806699</v>
      </c>
      <c r="AN11">
        <v>1.12957798295953</v>
      </c>
      <c r="AO11">
        <v>0.95430412022007605</v>
      </c>
      <c r="AP11">
        <v>1.0487454634070801</v>
      </c>
      <c r="AQ11">
        <v>0.99834757329450996</v>
      </c>
      <c r="AR11">
        <v>0.90490876610331294</v>
      </c>
      <c r="AS11">
        <v>1.16968252106318</v>
      </c>
      <c r="AT11">
        <v>0.84904116874559799</v>
      </c>
      <c r="AU11">
        <v>1.0658392160355199</v>
      </c>
      <c r="AV11">
        <v>1.0657031774971899</v>
      </c>
      <c r="AW11">
        <v>1.08398821411344</v>
      </c>
      <c r="AX11">
        <v>1.13338780791131</v>
      </c>
      <c r="AY11">
        <v>0.97680667277350897</v>
      </c>
      <c r="AZ11">
        <v>1.0195879113539399</v>
      </c>
      <c r="BA11">
        <v>1.03208188092649</v>
      </c>
      <c r="BB11">
        <v>1.05491344627564</v>
      </c>
      <c r="BC11">
        <v>1.11983201298982</v>
      </c>
      <c r="BD11">
        <v>0.94909498889793797</v>
      </c>
      <c r="BE11">
        <v>1.0510699557813601</v>
      </c>
      <c r="BF11">
        <v>1.1150959523266899</v>
      </c>
      <c r="BG11">
        <v>0.92714994909812598</v>
      </c>
      <c r="BH11">
        <v>0.98712159064895</v>
      </c>
      <c r="BI11">
        <v>0.97316879027082204</v>
      </c>
      <c r="BJ11">
        <v>1.0555989161677899</v>
      </c>
      <c r="BK11">
        <v>1.01527099240587</v>
      </c>
      <c r="BL11">
        <v>0.997828084881204</v>
      </c>
      <c r="BM11">
        <v>1.02767660808854</v>
      </c>
      <c r="BN11">
        <v>1.09002480737755</v>
      </c>
      <c r="BO11">
        <f>PRODUCT(B11:BN11)</f>
        <v>12.951500442526376</v>
      </c>
      <c r="BP11">
        <f>AVERAGE(B11:BO11)/_xlfn.STDEV.S(B11:BN11)</f>
        <v>8.9522327229878336</v>
      </c>
      <c r="BQ11">
        <f>PRODUCT(AD11:BN11)</f>
        <v>1.8447841865760544</v>
      </c>
      <c r="BR11">
        <f>AVERAGE(AD11:BN11)/_xlfn.STDEV.S(AD11:BN11)</f>
        <v>8.5338458621981967</v>
      </c>
    </row>
    <row r="13" spans="1:70" x14ac:dyDescent="0.4">
      <c r="A13">
        <v>1</v>
      </c>
      <c r="B13">
        <v>0.55000000000000004</v>
      </c>
      <c r="C13">
        <v>0.49</v>
      </c>
      <c r="D13">
        <v>0.52</v>
      </c>
      <c r="E13">
        <v>0.46</v>
      </c>
      <c r="F13">
        <v>0.35</v>
      </c>
      <c r="G13">
        <v>0.37</v>
      </c>
      <c r="H13">
        <v>0.39</v>
      </c>
      <c r="I13">
        <v>0.39</v>
      </c>
      <c r="J13">
        <v>0.54</v>
      </c>
      <c r="K13">
        <v>0.51</v>
      </c>
      <c r="L13">
        <v>0.38</v>
      </c>
      <c r="M13">
        <v>0.38</v>
      </c>
      <c r="N13">
        <v>0.42</v>
      </c>
      <c r="O13">
        <v>0.42</v>
      </c>
      <c r="P13">
        <v>0.38</v>
      </c>
      <c r="Q13">
        <v>0.3</v>
      </c>
      <c r="R13">
        <v>0.2</v>
      </c>
      <c r="S13">
        <v>0.2</v>
      </c>
      <c r="T13">
        <v>0.17</v>
      </c>
      <c r="U13">
        <v>0.19</v>
      </c>
      <c r="V13">
        <v>0.17</v>
      </c>
      <c r="W13">
        <v>0.16</v>
      </c>
      <c r="X13">
        <v>0.13</v>
      </c>
      <c r="Y13">
        <v>0.1</v>
      </c>
      <c r="Z13">
        <v>0.1</v>
      </c>
      <c r="AA13">
        <v>0.08</v>
      </c>
      <c r="AB13">
        <v>0.1</v>
      </c>
      <c r="AC13">
        <v>0.1</v>
      </c>
      <c r="AD13">
        <v>0.12</v>
      </c>
      <c r="AE13">
        <v>0.11</v>
      </c>
      <c r="AF13">
        <v>0.15</v>
      </c>
      <c r="AG13">
        <v>0.26</v>
      </c>
      <c r="AH13">
        <v>0.26</v>
      </c>
      <c r="AI13">
        <v>0.1</v>
      </c>
      <c r="AJ13">
        <v>0.08</v>
      </c>
      <c r="AK13">
        <v>0.09</v>
      </c>
      <c r="AL13">
        <v>0.09</v>
      </c>
      <c r="AM13">
        <v>0.12</v>
      </c>
      <c r="AN13">
        <v>0.08</v>
      </c>
      <c r="AO13">
        <v>0.08</v>
      </c>
      <c r="AP13">
        <v>0.06</v>
      </c>
      <c r="AQ13">
        <v>7.0000000000000007E-2</v>
      </c>
      <c r="AR13">
        <v>0.12</v>
      </c>
      <c r="AS13">
        <v>0.15</v>
      </c>
      <c r="AT13">
        <v>0.09</v>
      </c>
      <c r="AU13">
        <v>0.09</v>
      </c>
      <c r="AV13">
        <v>7.0000000000000007E-2</v>
      </c>
      <c r="AW13">
        <v>0.1</v>
      </c>
      <c r="AX13">
        <v>0.08</v>
      </c>
      <c r="AY13">
        <v>0.1</v>
      </c>
      <c r="AZ13">
        <v>0.08</v>
      </c>
      <c r="BA13">
        <v>0.09</v>
      </c>
      <c r="BB13">
        <v>0.12</v>
      </c>
      <c r="BC13">
        <v>0.1</v>
      </c>
      <c r="BD13">
        <v>0.06</v>
      </c>
      <c r="BE13">
        <v>0.09</v>
      </c>
      <c r="BF13">
        <v>0.13</v>
      </c>
      <c r="BG13">
        <v>0.15</v>
      </c>
      <c r="BH13">
        <v>0.16</v>
      </c>
      <c r="BI13">
        <v>0.15</v>
      </c>
      <c r="BJ13">
        <v>0.15</v>
      </c>
      <c r="BK13">
        <v>0.15</v>
      </c>
      <c r="BL13">
        <v>0.16</v>
      </c>
      <c r="BM13">
        <v>0.13</v>
      </c>
      <c r="BN13">
        <v>0.12</v>
      </c>
    </row>
    <row r="14" spans="1:70" x14ac:dyDescent="0.4">
      <c r="A14">
        <v>2</v>
      </c>
      <c r="B14">
        <v>0.35</v>
      </c>
      <c r="C14">
        <v>0.41</v>
      </c>
      <c r="D14">
        <v>0.39</v>
      </c>
      <c r="E14">
        <v>0.46</v>
      </c>
      <c r="F14">
        <v>0.57999999999999996</v>
      </c>
      <c r="G14">
        <v>0.56999999999999995</v>
      </c>
      <c r="H14">
        <v>0.55000000000000004</v>
      </c>
      <c r="I14">
        <v>0.56999999999999995</v>
      </c>
      <c r="J14">
        <v>0.45</v>
      </c>
      <c r="K14">
        <v>0.49</v>
      </c>
      <c r="L14">
        <v>0.61</v>
      </c>
      <c r="M14">
        <v>0.62</v>
      </c>
      <c r="N14">
        <v>0.52</v>
      </c>
      <c r="O14">
        <v>0.54</v>
      </c>
      <c r="P14">
        <v>0.6</v>
      </c>
      <c r="Q14">
        <v>0.67</v>
      </c>
      <c r="R14">
        <v>0.76</v>
      </c>
      <c r="S14">
        <v>0.76</v>
      </c>
      <c r="T14">
        <v>0.79</v>
      </c>
      <c r="U14">
        <v>0.69</v>
      </c>
      <c r="V14">
        <v>0.73</v>
      </c>
      <c r="W14">
        <v>0.66</v>
      </c>
      <c r="X14">
        <v>0.7</v>
      </c>
      <c r="Y14">
        <v>0.54</v>
      </c>
      <c r="Z14">
        <v>0.64</v>
      </c>
      <c r="AA14">
        <v>0.44</v>
      </c>
      <c r="AB14">
        <v>0.41</v>
      </c>
      <c r="AC14">
        <v>0.51</v>
      </c>
      <c r="AD14">
        <v>0.49</v>
      </c>
      <c r="AE14">
        <v>0.46</v>
      </c>
      <c r="AF14">
        <v>0.53</v>
      </c>
      <c r="AG14">
        <v>0.63</v>
      </c>
      <c r="AH14">
        <v>0.57999999999999996</v>
      </c>
      <c r="AI14">
        <v>0.56999999999999995</v>
      </c>
      <c r="AJ14">
        <v>0.56999999999999995</v>
      </c>
      <c r="AK14">
        <v>0.59</v>
      </c>
      <c r="AL14">
        <v>0.56000000000000005</v>
      </c>
      <c r="AM14">
        <v>0.54</v>
      </c>
      <c r="AN14">
        <v>0.54</v>
      </c>
      <c r="AO14">
        <v>0.5</v>
      </c>
      <c r="AP14">
        <v>0.6</v>
      </c>
      <c r="AQ14">
        <v>0.5</v>
      </c>
      <c r="AR14">
        <v>0.45</v>
      </c>
      <c r="AS14">
        <v>0.48</v>
      </c>
      <c r="AT14">
        <v>0.44</v>
      </c>
      <c r="AU14">
        <v>0.43</v>
      </c>
      <c r="AV14">
        <v>0.43</v>
      </c>
      <c r="AW14">
        <v>0.47</v>
      </c>
      <c r="AX14">
        <v>0.39</v>
      </c>
      <c r="AY14">
        <v>0.33</v>
      </c>
      <c r="AZ14">
        <v>0.36</v>
      </c>
      <c r="BA14">
        <v>0.38</v>
      </c>
      <c r="BB14">
        <v>0.34</v>
      </c>
      <c r="BC14">
        <v>0.28999999999999998</v>
      </c>
      <c r="BD14">
        <v>0.24</v>
      </c>
      <c r="BE14">
        <v>0.3</v>
      </c>
      <c r="BF14">
        <v>0.3</v>
      </c>
      <c r="BG14">
        <v>0.23</v>
      </c>
      <c r="BH14">
        <v>0.26</v>
      </c>
      <c r="BI14">
        <v>0.28999999999999998</v>
      </c>
      <c r="BJ14">
        <v>0.28999999999999998</v>
      </c>
      <c r="BK14">
        <v>0.21</v>
      </c>
      <c r="BL14">
        <v>0.23</v>
      </c>
      <c r="BM14">
        <v>0.26</v>
      </c>
      <c r="BN14">
        <v>0.23</v>
      </c>
    </row>
    <row r="15" spans="1:70" x14ac:dyDescent="0.4">
      <c r="A15">
        <v>3</v>
      </c>
      <c r="B15">
        <v>0.1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0.01</v>
      </c>
      <c r="P15">
        <v>0</v>
      </c>
      <c r="Q15">
        <v>0.01</v>
      </c>
      <c r="R15">
        <v>0</v>
      </c>
      <c r="S15">
        <v>0.01</v>
      </c>
      <c r="T15">
        <v>0</v>
      </c>
      <c r="U15">
        <v>0.08</v>
      </c>
      <c r="V15">
        <v>0.05</v>
      </c>
      <c r="W15">
        <v>0.09</v>
      </c>
      <c r="X15">
        <v>0.11</v>
      </c>
      <c r="Y15">
        <v>0.25</v>
      </c>
      <c r="Z15">
        <v>0.14000000000000001</v>
      </c>
      <c r="AA15">
        <v>0.32</v>
      </c>
      <c r="AB15">
        <v>0.36</v>
      </c>
      <c r="AC15">
        <v>0.26</v>
      </c>
      <c r="AD15">
        <v>0.23</v>
      </c>
      <c r="AE15">
        <v>0.32</v>
      </c>
      <c r="AF15">
        <v>0.2</v>
      </c>
      <c r="AG15">
        <v>0.03</v>
      </c>
      <c r="AH15">
        <v>0.06</v>
      </c>
      <c r="AI15">
        <v>0.21</v>
      </c>
      <c r="AJ15">
        <v>0.25</v>
      </c>
      <c r="AK15">
        <v>0.23</v>
      </c>
      <c r="AL15">
        <v>0.22</v>
      </c>
      <c r="AM15">
        <v>0.21</v>
      </c>
      <c r="AN15">
        <v>0.23</v>
      </c>
      <c r="AO15">
        <v>0.3</v>
      </c>
      <c r="AP15">
        <v>0.24</v>
      </c>
      <c r="AQ15">
        <v>0.32</v>
      </c>
      <c r="AR15">
        <v>0.32</v>
      </c>
      <c r="AS15">
        <v>0.27</v>
      </c>
      <c r="AT15">
        <v>0.39</v>
      </c>
      <c r="AU15">
        <v>0.37</v>
      </c>
      <c r="AV15">
        <v>0.36</v>
      </c>
      <c r="AW15">
        <v>0.34</v>
      </c>
      <c r="AX15">
        <v>0.4</v>
      </c>
      <c r="AY15">
        <v>0.44</v>
      </c>
      <c r="AZ15">
        <v>0.43</v>
      </c>
      <c r="BA15">
        <v>0.41</v>
      </c>
      <c r="BB15">
        <v>0.47</v>
      </c>
      <c r="BC15">
        <v>0.51</v>
      </c>
      <c r="BD15">
        <v>0.55000000000000004</v>
      </c>
      <c r="BE15">
        <v>0.49</v>
      </c>
      <c r="BF15">
        <v>0.48</v>
      </c>
      <c r="BG15">
        <v>0.46</v>
      </c>
      <c r="BH15">
        <v>0.42</v>
      </c>
      <c r="BI15">
        <v>0.37</v>
      </c>
      <c r="BJ15">
        <v>0.36</v>
      </c>
      <c r="BK15">
        <v>0.46</v>
      </c>
      <c r="BL15">
        <v>0.45</v>
      </c>
      <c r="BM15">
        <v>0.46</v>
      </c>
      <c r="BN15">
        <v>0.45</v>
      </c>
    </row>
    <row r="16" spans="1:70" x14ac:dyDescent="0.4">
      <c r="A16" t="s">
        <v>6</v>
      </c>
      <c r="B16">
        <v>0</v>
      </c>
      <c r="C16">
        <v>0.1</v>
      </c>
      <c r="D16">
        <v>0.09</v>
      </c>
      <c r="E16">
        <v>0.08</v>
      </c>
      <c r="F16">
        <v>7.0000000000000007E-2</v>
      </c>
      <c r="G16">
        <v>0.06</v>
      </c>
      <c r="H16">
        <v>0.06</v>
      </c>
      <c r="I16">
        <v>0.04</v>
      </c>
      <c r="J16">
        <v>0.01</v>
      </c>
      <c r="K16">
        <v>0</v>
      </c>
      <c r="L16">
        <v>0.01</v>
      </c>
      <c r="M16">
        <v>0</v>
      </c>
      <c r="N16">
        <v>0.06</v>
      </c>
      <c r="O16">
        <v>0.03</v>
      </c>
      <c r="P16">
        <v>0.02</v>
      </c>
      <c r="Q16">
        <v>0.02</v>
      </c>
      <c r="R16">
        <v>0.04</v>
      </c>
      <c r="S16">
        <v>0.03</v>
      </c>
      <c r="T16">
        <v>0.04</v>
      </c>
      <c r="U16">
        <v>0.04</v>
      </c>
      <c r="V16">
        <v>0.05</v>
      </c>
      <c r="W16">
        <v>0.09</v>
      </c>
      <c r="X16">
        <v>0.06</v>
      </c>
      <c r="Y16">
        <v>0.11</v>
      </c>
      <c r="Z16">
        <v>0.12</v>
      </c>
      <c r="AA16">
        <v>0.16</v>
      </c>
      <c r="AB16">
        <v>0.13</v>
      </c>
      <c r="AC16">
        <v>0.13</v>
      </c>
      <c r="AD16">
        <v>0.16</v>
      </c>
      <c r="AE16">
        <v>0.11</v>
      </c>
      <c r="AF16">
        <v>0.12</v>
      </c>
      <c r="AG16">
        <v>0.08</v>
      </c>
      <c r="AH16">
        <v>0.1</v>
      </c>
      <c r="AI16">
        <v>0.12</v>
      </c>
      <c r="AJ16">
        <v>0.1</v>
      </c>
      <c r="AK16">
        <v>0.09</v>
      </c>
      <c r="AL16">
        <v>0.13</v>
      </c>
      <c r="AM16">
        <v>0.13</v>
      </c>
      <c r="AN16">
        <v>0.15</v>
      </c>
      <c r="AO16">
        <v>0.12</v>
      </c>
      <c r="AP16">
        <v>0.1</v>
      </c>
      <c r="AQ16">
        <v>0.11</v>
      </c>
      <c r="AR16">
        <v>0.11</v>
      </c>
      <c r="AS16">
        <v>0.1</v>
      </c>
      <c r="AT16">
        <v>0.08</v>
      </c>
      <c r="AU16">
        <v>0.11</v>
      </c>
      <c r="AV16">
        <v>0.14000000000000001</v>
      </c>
      <c r="AW16">
        <v>0.09</v>
      </c>
      <c r="AX16">
        <v>0.13</v>
      </c>
      <c r="AY16">
        <v>0.13</v>
      </c>
      <c r="AZ16">
        <v>0.13</v>
      </c>
      <c r="BA16">
        <v>0.12</v>
      </c>
      <c r="BB16">
        <v>7.0000000000000007E-2</v>
      </c>
      <c r="BC16">
        <v>0.1</v>
      </c>
      <c r="BD16">
        <v>0.15</v>
      </c>
      <c r="BE16">
        <v>0.12</v>
      </c>
      <c r="BF16">
        <v>0.09</v>
      </c>
      <c r="BG16">
        <v>0.16</v>
      </c>
      <c r="BH16">
        <v>0.16</v>
      </c>
      <c r="BI16">
        <v>0.19</v>
      </c>
      <c r="BJ16">
        <v>0.2</v>
      </c>
      <c r="BK16">
        <v>0.18</v>
      </c>
      <c r="BL16">
        <v>0.16</v>
      </c>
      <c r="BM16">
        <v>0.15</v>
      </c>
      <c r="BN16">
        <v>0.2</v>
      </c>
    </row>
    <row r="18" spans="1:70" x14ac:dyDescent="0.4">
      <c r="A18" t="s">
        <v>7</v>
      </c>
      <c r="B18">
        <v>1.15647367970569</v>
      </c>
      <c r="C18">
        <v>0.92837826300217896</v>
      </c>
      <c r="D18">
        <v>1.2028984034526999</v>
      </c>
      <c r="E18">
        <v>1.3354904624228801</v>
      </c>
      <c r="F18">
        <v>0.95214762158701605</v>
      </c>
      <c r="G18">
        <v>0.97696966039657096</v>
      </c>
      <c r="H18">
        <v>0.99356496673623595</v>
      </c>
      <c r="I18">
        <v>0.83665858749582001</v>
      </c>
      <c r="J18">
        <v>1.1993667282435001</v>
      </c>
      <c r="K18">
        <v>1.1629744458523501</v>
      </c>
      <c r="L18">
        <v>1.08646212742129</v>
      </c>
      <c r="M18">
        <v>1.04771701880086</v>
      </c>
      <c r="N18">
        <v>0.94550909609368305</v>
      </c>
      <c r="O18">
        <v>1.10321592502477</v>
      </c>
      <c r="P18">
        <v>1.26925204174552</v>
      </c>
      <c r="Q18">
        <v>1.2984992937273701</v>
      </c>
      <c r="R18">
        <v>0.95930443062093396</v>
      </c>
      <c r="S18">
        <v>1.1722689523826599</v>
      </c>
      <c r="T18">
        <v>1.2805030353640601</v>
      </c>
      <c r="U18">
        <v>0.949935982946021</v>
      </c>
      <c r="V18">
        <v>1.02416737140682</v>
      </c>
      <c r="W18">
        <v>0.99724783405707496</v>
      </c>
      <c r="X18">
        <v>1.2148280738927999</v>
      </c>
      <c r="Y18">
        <v>0.95259459249974299</v>
      </c>
      <c r="Z18">
        <v>1.5146233224148899</v>
      </c>
      <c r="AA18">
        <v>1.09869739654469</v>
      </c>
      <c r="AB18">
        <v>0.93591366539563703</v>
      </c>
      <c r="AC18">
        <v>0.97752307075282296</v>
      </c>
      <c r="AD18">
        <v>1.11329769654705</v>
      </c>
      <c r="AE18">
        <v>0.81646914759506295</v>
      </c>
      <c r="AF18">
        <v>0.64039976547662902</v>
      </c>
      <c r="AG18">
        <v>1.0603633812315401</v>
      </c>
      <c r="AH18">
        <v>1.4149175382633401</v>
      </c>
      <c r="AI18">
        <v>1.06395569502027</v>
      </c>
      <c r="AJ18">
        <v>0.955763140436382</v>
      </c>
      <c r="AK18">
        <v>0.97999919919245304</v>
      </c>
      <c r="AL18">
        <v>0.98682745516510495</v>
      </c>
      <c r="AM18">
        <v>1.07823265552901</v>
      </c>
      <c r="AN18">
        <v>1.10627112773656</v>
      </c>
      <c r="AO18">
        <v>0.96374967048331195</v>
      </c>
      <c r="AP18">
        <v>1.0397319990308</v>
      </c>
      <c r="AQ18">
        <v>1.0140465989090499</v>
      </c>
      <c r="AR18">
        <v>0.914922194462505</v>
      </c>
      <c r="AS18">
        <v>1.1838721122047999</v>
      </c>
      <c r="AT18">
        <v>0.85009502454760799</v>
      </c>
      <c r="AU18">
        <v>1.0566390109488799</v>
      </c>
      <c r="AV18">
        <v>1.08283068630012</v>
      </c>
      <c r="AW18">
        <v>1.0932735688699999</v>
      </c>
      <c r="AX18">
        <v>1.14022526926268</v>
      </c>
      <c r="AY18">
        <v>0.98228335618537699</v>
      </c>
      <c r="AZ18">
        <v>1.0266529329021301</v>
      </c>
      <c r="BA18">
        <v>1.0344157829664999</v>
      </c>
      <c r="BB18">
        <v>1.0584135791931699</v>
      </c>
      <c r="BC18">
        <v>1.14094776295505</v>
      </c>
      <c r="BD18">
        <v>0.95449448612733201</v>
      </c>
      <c r="BE18">
        <v>1.0505545681777599</v>
      </c>
      <c r="BF18">
        <v>1.0936836126277101</v>
      </c>
      <c r="BG18">
        <v>0.94012355709488205</v>
      </c>
      <c r="BH18">
        <v>0.98778266955321603</v>
      </c>
      <c r="BI18">
        <v>0.97050146410765403</v>
      </c>
      <c r="BJ18">
        <v>1.0584122241557701</v>
      </c>
      <c r="BK18">
        <v>1.0268991240275001</v>
      </c>
      <c r="BL18">
        <v>0.998953343520112</v>
      </c>
      <c r="BM18">
        <v>1.0318744313113699</v>
      </c>
      <c r="BN18">
        <v>1.08904047867953</v>
      </c>
      <c r="BO18">
        <f>PRODUCT(B18:BN18)</f>
        <v>18.61098975896741</v>
      </c>
      <c r="BP18">
        <f>AVERAGE(B18:BO18)/_xlfn.STDEV.S(B18:BN18)</f>
        <v>9.4688192353792608</v>
      </c>
      <c r="BQ18">
        <f>PRODUCT(AD18:BN18)</f>
        <v>2.0768797569524144</v>
      </c>
      <c r="BR18">
        <f>AVERAGE(AD18:BN18)/_xlfn.STDEV.S(AD18:BN18)</f>
        <v>8.627209742755694</v>
      </c>
    </row>
    <row r="19" spans="1:70" x14ac:dyDescent="0.4">
      <c r="A19" t="s">
        <v>2</v>
      </c>
      <c r="B19">
        <v>1.14647367970569</v>
      </c>
      <c r="C19">
        <v>0.927044929668846</v>
      </c>
      <c r="D19">
        <v>1.2012984034526999</v>
      </c>
      <c r="E19">
        <v>1.33362379575621</v>
      </c>
      <c r="F19">
        <v>0.94881428825368297</v>
      </c>
      <c r="G19">
        <v>0.97470299372990399</v>
      </c>
      <c r="H19">
        <v>0.99196496673623602</v>
      </c>
      <c r="I19">
        <v>0.83532525416248704</v>
      </c>
      <c r="J19">
        <v>1.1965667282435</v>
      </c>
      <c r="K19">
        <v>1.1607077791856799</v>
      </c>
      <c r="L19">
        <v>1.08419546075462</v>
      </c>
      <c r="M19">
        <v>1.04545035213419</v>
      </c>
      <c r="N19">
        <v>0.94177576276035002</v>
      </c>
      <c r="O19">
        <v>1.10054925835811</v>
      </c>
      <c r="P19">
        <v>1.26738537507886</v>
      </c>
      <c r="Q19">
        <v>1.2960992937273701</v>
      </c>
      <c r="R19">
        <v>0.95623776395426796</v>
      </c>
      <c r="S19">
        <v>1.17000228571599</v>
      </c>
      <c r="T19">
        <v>1.27876970203072</v>
      </c>
      <c r="U19">
        <v>0.94740264961268805</v>
      </c>
      <c r="V19">
        <v>1.0213673714068201</v>
      </c>
      <c r="W19">
        <v>0.99444783405707504</v>
      </c>
      <c r="X19">
        <v>1.2128280738927999</v>
      </c>
      <c r="Y19">
        <v>0.94979459249974296</v>
      </c>
      <c r="Z19">
        <v>1.5111566557482301</v>
      </c>
      <c r="AA19">
        <v>1.0936307298780199</v>
      </c>
      <c r="AB19">
        <v>0.93271366539563705</v>
      </c>
      <c r="AC19">
        <v>0.97378973741948904</v>
      </c>
      <c r="AD19">
        <v>1.10956436321372</v>
      </c>
      <c r="AE19">
        <v>0.81340248092839595</v>
      </c>
      <c r="AF19">
        <v>0.63719976547662904</v>
      </c>
      <c r="AG19">
        <v>1.05503004789821</v>
      </c>
      <c r="AH19">
        <v>1.4110508715966701</v>
      </c>
      <c r="AI19">
        <v>1.0603556950202699</v>
      </c>
      <c r="AJ19">
        <v>0.95322980710304805</v>
      </c>
      <c r="AK19">
        <v>0.97786586585912005</v>
      </c>
      <c r="AL19">
        <v>0.98389412183177105</v>
      </c>
      <c r="AM19">
        <v>1.0756993221956801</v>
      </c>
      <c r="AN19">
        <v>1.1037377944032301</v>
      </c>
      <c r="AO19">
        <v>0.96188300381664604</v>
      </c>
      <c r="AP19">
        <v>1.0370653323641399</v>
      </c>
      <c r="AQ19">
        <v>1.0117799322423799</v>
      </c>
      <c r="AR19">
        <v>0.91252219446250504</v>
      </c>
      <c r="AS19">
        <v>1.18160544553814</v>
      </c>
      <c r="AT19">
        <v>0.84716169121427398</v>
      </c>
      <c r="AU19">
        <v>1.05423901094888</v>
      </c>
      <c r="AV19">
        <v>1.08096401963346</v>
      </c>
      <c r="AW19">
        <v>1.09087356887</v>
      </c>
      <c r="AX19">
        <v>1.1372919359293501</v>
      </c>
      <c r="AY19">
        <v>0.98001668951871002</v>
      </c>
      <c r="AZ19">
        <v>1.0253195995688</v>
      </c>
      <c r="BA19">
        <v>1.0330824496331701</v>
      </c>
      <c r="BB19">
        <v>1.05521357919317</v>
      </c>
      <c r="BC19">
        <v>1.13868109628838</v>
      </c>
      <c r="BD19">
        <v>0.95169448612733198</v>
      </c>
      <c r="BE19">
        <v>1.04788790151109</v>
      </c>
      <c r="BF19">
        <v>1.09035027929438</v>
      </c>
      <c r="BG19">
        <v>0.93679022376154797</v>
      </c>
      <c r="BH19">
        <v>0.98538266955321596</v>
      </c>
      <c r="BI19">
        <v>0.96810146410765396</v>
      </c>
      <c r="BJ19">
        <v>1.05547889082244</v>
      </c>
      <c r="BK19">
        <v>1.0244991240275001</v>
      </c>
      <c r="BL19">
        <v>0.996953343520112</v>
      </c>
      <c r="BM19">
        <v>1.02880776464471</v>
      </c>
      <c r="BN19">
        <v>1.0849071453462</v>
      </c>
      <c r="BO19">
        <f>PRODUCT(B19:BN19)</f>
        <v>15.643833122902416</v>
      </c>
      <c r="BP19">
        <f>AVERAGE(B19:BO19)/_xlfn.STDEV.S(B19:BN19)</f>
        <v>9.1320335648447024</v>
      </c>
      <c r="BQ19">
        <f>PRODUCT(AD19:BN19)</f>
        <v>1.8790902919372423</v>
      </c>
      <c r="BR19">
        <f>AVERAGE(AD19:BN19)/_xlfn.STDEV.S(AD19:BN19)</f>
        <v>8.611364724817717</v>
      </c>
    </row>
    <row r="21" spans="1:70" x14ac:dyDescent="0.4">
      <c r="A21">
        <v>1</v>
      </c>
      <c r="B21">
        <v>0.54666666666666597</v>
      </c>
      <c r="C21">
        <v>0.52</v>
      </c>
      <c r="D21">
        <v>0.54666666666666597</v>
      </c>
      <c r="E21">
        <v>0.45333333333333298</v>
      </c>
      <c r="F21">
        <v>0.30666666666666598</v>
      </c>
      <c r="G21">
        <v>0.37333333333333302</v>
      </c>
      <c r="H21">
        <v>0.37333333333333302</v>
      </c>
      <c r="I21">
        <v>0.36</v>
      </c>
      <c r="J21">
        <v>0.50666666666666604</v>
      </c>
      <c r="K21">
        <v>0.413333333333333</v>
      </c>
      <c r="L21">
        <v>0.33333333333333298</v>
      </c>
      <c r="M21">
        <v>0.266666666666666</v>
      </c>
      <c r="N21">
        <v>0.37333333333333302</v>
      </c>
      <c r="O21">
        <v>0.37333333333333302</v>
      </c>
      <c r="P21">
        <v>0.30666666666666598</v>
      </c>
      <c r="Q21">
        <v>0.22666666666666599</v>
      </c>
      <c r="R21">
        <v>0.12</v>
      </c>
      <c r="S21">
        <v>0.146666666666666</v>
      </c>
      <c r="T21">
        <v>0.10666666666666599</v>
      </c>
      <c r="U21">
        <v>0.21333333333333299</v>
      </c>
      <c r="V21">
        <v>0.18666666666666601</v>
      </c>
      <c r="W21">
        <v>0.133333333333333</v>
      </c>
      <c r="X21">
        <v>9.3333333333333296E-2</v>
      </c>
      <c r="Y21">
        <v>6.6666666666666596E-2</v>
      </c>
      <c r="Z21">
        <v>6.6666666666666596E-2</v>
      </c>
      <c r="AA21">
        <v>0.08</v>
      </c>
      <c r="AB21">
        <v>0.12</v>
      </c>
      <c r="AC21">
        <v>0.12</v>
      </c>
      <c r="AD21">
        <v>0.10666666666666599</v>
      </c>
      <c r="AE21">
        <v>9.3333333333333296E-2</v>
      </c>
      <c r="AF21">
        <v>0.146666666666666</v>
      </c>
      <c r="AG21">
        <v>0.266666666666666</v>
      </c>
      <c r="AH21">
        <v>0.18666666666666601</v>
      </c>
      <c r="AI21">
        <v>5.3333333333333302E-2</v>
      </c>
      <c r="AJ21">
        <v>5.3333333333333302E-2</v>
      </c>
      <c r="AK21">
        <v>5.3333333333333302E-2</v>
      </c>
      <c r="AL21">
        <v>6.6666666666666596E-2</v>
      </c>
      <c r="AM21">
        <v>0.10666666666666599</v>
      </c>
      <c r="AN21">
        <v>6.6666666666666596E-2</v>
      </c>
      <c r="AO21">
        <v>0.04</v>
      </c>
      <c r="AP21">
        <v>5.3333333333333302E-2</v>
      </c>
      <c r="AQ21">
        <v>0.08</v>
      </c>
      <c r="AR21">
        <v>0.10666666666666599</v>
      </c>
      <c r="AS21">
        <v>9.3333333333333296E-2</v>
      </c>
      <c r="AT21">
        <v>9.3333333333333296E-2</v>
      </c>
      <c r="AU21">
        <v>9.3333333333333296E-2</v>
      </c>
      <c r="AV21">
        <v>6.6666666666666596E-2</v>
      </c>
      <c r="AW21">
        <v>6.6666666666666596E-2</v>
      </c>
      <c r="AX21">
        <v>5.3333333333333302E-2</v>
      </c>
      <c r="AY21">
        <v>5.3333333333333302E-2</v>
      </c>
      <c r="AZ21">
        <v>6.6666666666666596E-2</v>
      </c>
      <c r="BA21">
        <v>0.04</v>
      </c>
      <c r="BB21">
        <v>0.10666666666666599</v>
      </c>
      <c r="BC21">
        <v>0.08</v>
      </c>
      <c r="BD21">
        <v>5.3333333333333302E-2</v>
      </c>
      <c r="BE21">
        <v>9.3333333333333296E-2</v>
      </c>
      <c r="BF21">
        <v>9.3333333333333296E-2</v>
      </c>
      <c r="BG21">
        <v>0.12</v>
      </c>
      <c r="BH21">
        <v>0.146666666666666</v>
      </c>
      <c r="BI21">
        <v>0.133333333333333</v>
      </c>
      <c r="BJ21">
        <v>0.16</v>
      </c>
      <c r="BK21">
        <v>0.17333333333333301</v>
      </c>
      <c r="BL21">
        <v>0.21333333333333299</v>
      </c>
      <c r="BM21">
        <v>0.133333333333333</v>
      </c>
      <c r="BN21">
        <v>0.10666666666666599</v>
      </c>
    </row>
    <row r="22" spans="1:70" x14ac:dyDescent="0.4">
      <c r="A22">
        <v>2</v>
      </c>
      <c r="B22">
        <v>0.38666666666666599</v>
      </c>
      <c r="C22">
        <v>0.42666666666666597</v>
      </c>
      <c r="D22">
        <v>0.4</v>
      </c>
      <c r="E22">
        <v>0.49333333333333301</v>
      </c>
      <c r="F22">
        <v>0.61333333333333295</v>
      </c>
      <c r="G22">
        <v>0.6</v>
      </c>
      <c r="H22">
        <v>0.61333333333333295</v>
      </c>
      <c r="I22">
        <v>0.62666666666666604</v>
      </c>
      <c r="J22">
        <v>0.49333333333333301</v>
      </c>
      <c r="K22">
        <v>0.586666666666666</v>
      </c>
      <c r="L22">
        <v>0.66666666666666596</v>
      </c>
      <c r="M22">
        <v>0.73333333333333295</v>
      </c>
      <c r="N22">
        <v>0.6</v>
      </c>
      <c r="O22">
        <v>0.6</v>
      </c>
      <c r="P22">
        <v>0.69333333333333302</v>
      </c>
      <c r="Q22">
        <v>0.74666666666666603</v>
      </c>
      <c r="R22">
        <v>0.84</v>
      </c>
      <c r="S22">
        <v>0.81333333333333302</v>
      </c>
      <c r="T22">
        <v>0.86666666666666603</v>
      </c>
      <c r="U22">
        <v>0.706666666666666</v>
      </c>
      <c r="V22">
        <v>0.73333333333333295</v>
      </c>
      <c r="W22">
        <v>0.65333333333333299</v>
      </c>
      <c r="X22">
        <v>0.73333333333333295</v>
      </c>
      <c r="Y22">
        <v>0.53333333333333299</v>
      </c>
      <c r="Z22">
        <v>0.65333333333333299</v>
      </c>
      <c r="AA22">
        <v>0.413333333333333</v>
      </c>
      <c r="AB22">
        <v>0.38666666666666599</v>
      </c>
      <c r="AC22">
        <v>0.48</v>
      </c>
      <c r="AD22">
        <v>0.50666666666666604</v>
      </c>
      <c r="AE22">
        <v>0.44</v>
      </c>
      <c r="AF22">
        <v>0.54666666666666597</v>
      </c>
      <c r="AG22">
        <v>0.6</v>
      </c>
      <c r="AH22">
        <v>0.64</v>
      </c>
      <c r="AI22">
        <v>0.6</v>
      </c>
      <c r="AJ22">
        <v>0.586666666666666</v>
      </c>
      <c r="AK22">
        <v>0.6</v>
      </c>
      <c r="AL22">
        <v>0.57333333333333303</v>
      </c>
      <c r="AM22">
        <v>0.50666666666666604</v>
      </c>
      <c r="AN22">
        <v>0.6</v>
      </c>
      <c r="AO22">
        <v>0.54666666666666597</v>
      </c>
      <c r="AP22">
        <v>0.61333333333333295</v>
      </c>
      <c r="AQ22">
        <v>0.46666666666666601</v>
      </c>
      <c r="AR22">
        <v>0.48</v>
      </c>
      <c r="AS22">
        <v>0.53333333333333299</v>
      </c>
      <c r="AT22">
        <v>0.42666666666666597</v>
      </c>
      <c r="AU22">
        <v>0.413333333333333</v>
      </c>
      <c r="AV22">
        <v>0.413333333333333</v>
      </c>
      <c r="AW22">
        <v>0.49333333333333301</v>
      </c>
      <c r="AX22">
        <v>0.4</v>
      </c>
      <c r="AY22">
        <v>0.34666666666666601</v>
      </c>
      <c r="AZ22">
        <v>0.38666666666666599</v>
      </c>
      <c r="BA22">
        <v>0.38666666666666599</v>
      </c>
      <c r="BB22">
        <v>0.34666666666666601</v>
      </c>
      <c r="BC22">
        <v>0.266666666666666</v>
      </c>
      <c r="BD22">
        <v>0.24</v>
      </c>
      <c r="BE22">
        <v>0.266666666666666</v>
      </c>
      <c r="BF22">
        <v>0.293333333333333</v>
      </c>
      <c r="BG22">
        <v>0.24</v>
      </c>
      <c r="BH22">
        <v>0.28000000000000003</v>
      </c>
      <c r="BI22">
        <v>0.28000000000000003</v>
      </c>
      <c r="BJ22">
        <v>0.293333333333333</v>
      </c>
      <c r="BK22">
        <v>0.22666666666666599</v>
      </c>
      <c r="BL22">
        <v>0.25333333333333302</v>
      </c>
      <c r="BM22">
        <v>0.24</v>
      </c>
      <c r="BN22">
        <v>0.22666666666666599</v>
      </c>
    </row>
    <row r="23" spans="1:70" x14ac:dyDescent="0.4">
      <c r="A23">
        <v>3</v>
      </c>
      <c r="B23">
        <v>6.6666666666666596E-2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1.3333333333333299E-2</v>
      </c>
      <c r="P23">
        <v>0</v>
      </c>
      <c r="Q23">
        <v>0</v>
      </c>
      <c r="R23">
        <v>0</v>
      </c>
      <c r="S23">
        <v>1.3333333333333299E-2</v>
      </c>
      <c r="T23">
        <v>0</v>
      </c>
      <c r="U23">
        <v>5.3333333333333302E-2</v>
      </c>
      <c r="V23">
        <v>0.04</v>
      </c>
      <c r="W23">
        <v>0.12</v>
      </c>
      <c r="X23">
        <v>0.10666666666666599</v>
      </c>
      <c r="Y23">
        <v>0.28000000000000003</v>
      </c>
      <c r="Z23">
        <v>0.16</v>
      </c>
      <c r="AA23">
        <v>0.36</v>
      </c>
      <c r="AB23">
        <v>0.38666666666666599</v>
      </c>
      <c r="AC23">
        <v>0.28000000000000003</v>
      </c>
      <c r="AD23">
        <v>0.24</v>
      </c>
      <c r="AE23">
        <v>0.34666666666666601</v>
      </c>
      <c r="AF23">
        <v>0.2</v>
      </c>
      <c r="AG23">
        <v>0.04</v>
      </c>
      <c r="AH23">
        <v>6.6666666666666596E-2</v>
      </c>
      <c r="AI23">
        <v>0.24</v>
      </c>
      <c r="AJ23">
        <v>0.28000000000000003</v>
      </c>
      <c r="AK23">
        <v>0.266666666666666</v>
      </c>
      <c r="AL23">
        <v>0.24</v>
      </c>
      <c r="AM23">
        <v>0.24</v>
      </c>
      <c r="AN23">
        <v>0.24</v>
      </c>
      <c r="AO23">
        <v>0.293333333333333</v>
      </c>
      <c r="AP23">
        <v>0.24</v>
      </c>
      <c r="AQ23">
        <v>0.34666666666666601</v>
      </c>
      <c r="AR23">
        <v>0.30666666666666598</v>
      </c>
      <c r="AS23">
        <v>0.28000000000000003</v>
      </c>
      <c r="AT23">
        <v>0.42666666666666597</v>
      </c>
      <c r="AU23">
        <v>0.42666666666666597</v>
      </c>
      <c r="AV23">
        <v>0.4</v>
      </c>
      <c r="AW23">
        <v>0.37333333333333302</v>
      </c>
      <c r="AX23">
        <v>0.413333333333333</v>
      </c>
      <c r="AY23">
        <v>0.46666666666666601</v>
      </c>
      <c r="AZ23">
        <v>0.413333333333333</v>
      </c>
      <c r="BA23">
        <v>0.44</v>
      </c>
      <c r="BB23">
        <v>0.46666666666666601</v>
      </c>
      <c r="BC23">
        <v>0.56000000000000005</v>
      </c>
      <c r="BD23">
        <v>0.54666666666666597</v>
      </c>
      <c r="BE23">
        <v>0.50666666666666604</v>
      </c>
      <c r="BF23">
        <v>0.53333333333333299</v>
      </c>
      <c r="BG23">
        <v>0.49333333333333301</v>
      </c>
      <c r="BH23">
        <v>0.45333333333333298</v>
      </c>
      <c r="BI23">
        <v>0.37333333333333302</v>
      </c>
      <c r="BJ23">
        <v>0.37333333333333302</v>
      </c>
      <c r="BK23">
        <v>0.38666666666666599</v>
      </c>
      <c r="BL23">
        <v>0.36</v>
      </c>
      <c r="BM23">
        <v>0.50666666666666604</v>
      </c>
      <c r="BN23">
        <v>0.45333333333333298</v>
      </c>
    </row>
    <row r="24" spans="1:70" x14ac:dyDescent="0.4">
      <c r="A24" t="s">
        <v>6</v>
      </c>
      <c r="B24">
        <v>0</v>
      </c>
      <c r="C24">
        <v>5.3333333333333302E-2</v>
      </c>
      <c r="D24">
        <v>5.3333333333333302E-2</v>
      </c>
      <c r="E24">
        <v>5.3333333333333302E-2</v>
      </c>
      <c r="F24">
        <v>0.08</v>
      </c>
      <c r="G24">
        <v>2.6666666666666599E-2</v>
      </c>
      <c r="H24">
        <v>1.3333333333333299E-2</v>
      </c>
      <c r="I24">
        <v>1.3333333333333299E-2</v>
      </c>
      <c r="J24">
        <v>0</v>
      </c>
      <c r="K24">
        <v>0</v>
      </c>
      <c r="L24">
        <v>0</v>
      </c>
      <c r="M24">
        <v>0</v>
      </c>
      <c r="N24">
        <v>2.6666666666666599E-2</v>
      </c>
      <c r="O24">
        <v>1.3333333333333299E-2</v>
      </c>
      <c r="P24">
        <v>0</v>
      </c>
      <c r="Q24">
        <v>2.6666666666666599E-2</v>
      </c>
      <c r="R24">
        <v>0.04</v>
      </c>
      <c r="S24">
        <v>2.6666666666666599E-2</v>
      </c>
      <c r="T24">
        <v>2.6666666666666599E-2</v>
      </c>
      <c r="U24">
        <v>2.6666666666666599E-2</v>
      </c>
      <c r="V24">
        <v>0.04</v>
      </c>
      <c r="W24">
        <v>9.3333333333333296E-2</v>
      </c>
      <c r="X24">
        <v>6.6666666666666596E-2</v>
      </c>
      <c r="Y24">
        <v>0.12</v>
      </c>
      <c r="Z24">
        <v>0.12</v>
      </c>
      <c r="AA24">
        <v>0.146666666666666</v>
      </c>
      <c r="AB24">
        <v>0.10666666666666599</v>
      </c>
      <c r="AC24">
        <v>0.12</v>
      </c>
      <c r="AD24">
        <v>0.146666666666666</v>
      </c>
      <c r="AE24">
        <v>0.12</v>
      </c>
      <c r="AF24">
        <v>0.10666666666666599</v>
      </c>
      <c r="AG24">
        <v>9.3333333333333296E-2</v>
      </c>
      <c r="AH24">
        <v>0.10666666666666599</v>
      </c>
      <c r="AI24">
        <v>0.10666666666666599</v>
      </c>
      <c r="AJ24">
        <v>0.08</v>
      </c>
      <c r="AK24">
        <v>0.08</v>
      </c>
      <c r="AL24">
        <v>0.12</v>
      </c>
      <c r="AM24">
        <v>0.146666666666666</v>
      </c>
      <c r="AN24">
        <v>9.3333333333333296E-2</v>
      </c>
      <c r="AO24">
        <v>0.12</v>
      </c>
      <c r="AP24">
        <v>9.3333333333333296E-2</v>
      </c>
      <c r="AQ24">
        <v>0.10666666666666599</v>
      </c>
      <c r="AR24">
        <v>0.10666666666666599</v>
      </c>
      <c r="AS24">
        <v>9.3333333333333296E-2</v>
      </c>
      <c r="AT24">
        <v>5.3333333333333302E-2</v>
      </c>
      <c r="AU24">
        <v>6.6666666666666596E-2</v>
      </c>
      <c r="AV24">
        <v>0.12</v>
      </c>
      <c r="AW24">
        <v>6.6666666666666596E-2</v>
      </c>
      <c r="AX24">
        <v>0.133333333333333</v>
      </c>
      <c r="AY24">
        <v>0.133333333333333</v>
      </c>
      <c r="AZ24">
        <v>0.133333333333333</v>
      </c>
      <c r="BA24">
        <v>0.133333333333333</v>
      </c>
      <c r="BB24">
        <v>0.08</v>
      </c>
      <c r="BC24">
        <v>9.3333333333333296E-2</v>
      </c>
      <c r="BD24">
        <v>0.16</v>
      </c>
      <c r="BE24">
        <v>0.133333333333333</v>
      </c>
      <c r="BF24">
        <v>0.08</v>
      </c>
      <c r="BG24">
        <v>0.146666666666666</v>
      </c>
      <c r="BH24">
        <v>0.12</v>
      </c>
      <c r="BI24">
        <v>0.21333333333333299</v>
      </c>
      <c r="BJ24">
        <v>0.17333333333333301</v>
      </c>
      <c r="BK24">
        <v>0.21333333333333299</v>
      </c>
      <c r="BL24">
        <v>0.17333333333333301</v>
      </c>
      <c r="BM24">
        <v>0.12</v>
      </c>
      <c r="BN24">
        <v>0.21333333333333299</v>
      </c>
    </row>
    <row r="26" spans="1:70" x14ac:dyDescent="0.4">
      <c r="A26" t="s">
        <v>9</v>
      </c>
      <c r="B26">
        <v>1.18064533425231</v>
      </c>
      <c r="C26">
        <v>0.92867802769116203</v>
      </c>
      <c r="D26">
        <v>1.23172195584096</v>
      </c>
      <c r="E26">
        <v>1.3246452647118001</v>
      </c>
      <c r="F26">
        <v>0.944300305096479</v>
      </c>
      <c r="G26">
        <v>0.993357878574742</v>
      </c>
      <c r="H26">
        <v>1.0077949152825101</v>
      </c>
      <c r="I26">
        <v>0.83524210843627</v>
      </c>
      <c r="J26">
        <v>1.2018223738792799</v>
      </c>
      <c r="K26">
        <v>1.1773286895133199</v>
      </c>
      <c r="L26">
        <v>1.0847084378824301</v>
      </c>
      <c r="M26">
        <v>1.0330414446271701</v>
      </c>
      <c r="N26">
        <v>0.96431274184010596</v>
      </c>
      <c r="O26">
        <v>1.11157200689984</v>
      </c>
      <c r="P26">
        <v>1.2956762320080899</v>
      </c>
      <c r="Q26">
        <v>1.3249771733045499</v>
      </c>
      <c r="R26">
        <v>0.98086285527858097</v>
      </c>
      <c r="S26">
        <v>1.1784254813736099</v>
      </c>
      <c r="T26">
        <v>1.24431809664371</v>
      </c>
      <c r="U26">
        <v>0.96973173958485603</v>
      </c>
      <c r="V26">
        <v>1.0451672528996701</v>
      </c>
      <c r="W26">
        <v>1.0008360115200401</v>
      </c>
      <c r="X26">
        <v>1.2158871745837201</v>
      </c>
      <c r="Y26">
        <v>0.95825659070387004</v>
      </c>
      <c r="Z26">
        <v>1.54237258190732</v>
      </c>
      <c r="AA26">
        <v>1.1276080187078501</v>
      </c>
      <c r="AB26">
        <v>0.96413855772310897</v>
      </c>
      <c r="AC26">
        <v>0.94594226762091405</v>
      </c>
      <c r="AD26">
        <v>1.1201648362065</v>
      </c>
      <c r="AE26">
        <v>0.80904355091699598</v>
      </c>
      <c r="AF26">
        <v>0.65240065801129998</v>
      </c>
      <c r="AG26">
        <v>1.04685415459922</v>
      </c>
      <c r="AH26">
        <v>1.4419844103058601</v>
      </c>
      <c r="AI26">
        <v>1.0945626459197599</v>
      </c>
      <c r="AJ26">
        <v>0.94385297210617103</v>
      </c>
      <c r="AK26">
        <v>0.98131192467679096</v>
      </c>
      <c r="AL26">
        <v>1.0024612609474199</v>
      </c>
      <c r="AM26">
        <v>1.0892818329985201</v>
      </c>
      <c r="AN26">
        <v>1.1166431277445501</v>
      </c>
      <c r="AO26">
        <v>0.94393821377916698</v>
      </c>
      <c r="AP26">
        <v>1.0400249794554399</v>
      </c>
      <c r="AQ26">
        <v>1.0421055444151599</v>
      </c>
      <c r="AR26">
        <v>0.93219683875355297</v>
      </c>
      <c r="AS26">
        <v>1.1997271301546699</v>
      </c>
      <c r="AT26">
        <v>0.86278864540749101</v>
      </c>
      <c r="AU26">
        <v>1.0628794776257899</v>
      </c>
      <c r="AV26">
        <v>1.06780056311866</v>
      </c>
      <c r="AW26">
        <v>1.1036514631309799</v>
      </c>
      <c r="AX26">
        <v>1.1354601589906499</v>
      </c>
      <c r="AY26">
        <v>0.99312629848604195</v>
      </c>
      <c r="AZ26">
        <v>1.0236000350783501</v>
      </c>
      <c r="BA26">
        <v>1.03635969768609</v>
      </c>
      <c r="BB26">
        <v>1.0749836521279901</v>
      </c>
      <c r="BC26">
        <v>1.1311744430305699</v>
      </c>
      <c r="BD26">
        <v>0.97589270568040798</v>
      </c>
      <c r="BE26">
        <v>1.03778117569519</v>
      </c>
      <c r="BF26">
        <v>1.1193659374410001</v>
      </c>
      <c r="BG26">
        <v>0.97019368379326898</v>
      </c>
      <c r="BH26">
        <v>0.99143268834322595</v>
      </c>
      <c r="BI26">
        <v>0.95003299836057198</v>
      </c>
      <c r="BJ26">
        <v>1.0596716419069101</v>
      </c>
      <c r="BK26">
        <v>1.02124746741282</v>
      </c>
      <c r="BL26">
        <v>0.99050835635245904</v>
      </c>
      <c r="BM26">
        <v>1.0175341900844601</v>
      </c>
      <c r="BN26">
        <v>1.09916725426748</v>
      </c>
      <c r="BO26">
        <f>PRODUCT(B26:BN26)</f>
        <v>27.387123460581282</v>
      </c>
      <c r="BP26">
        <f>AVERAGE(B26:BO26)/_xlfn.STDEV.S(B26:BN26)</f>
        <v>10.26123748075284</v>
      </c>
      <c r="BQ26">
        <f>PRODUCT(AD26:BN26)</f>
        <v>2.4646266985284391</v>
      </c>
      <c r="BR26">
        <f>AVERAGE(AD26:BN26)/_xlfn.STDEV.S(AD26:BN26)</f>
        <v>8.4904697755783776</v>
      </c>
    </row>
    <row r="27" spans="1:70" x14ac:dyDescent="0.4">
      <c r="A27" t="s">
        <v>2</v>
      </c>
      <c r="B27">
        <v>1.17064533425231</v>
      </c>
      <c r="C27">
        <v>0.92727802769116197</v>
      </c>
      <c r="D27">
        <v>1.22992195584096</v>
      </c>
      <c r="E27">
        <v>1.3220452647118</v>
      </c>
      <c r="F27">
        <v>0.94050030509647897</v>
      </c>
      <c r="G27">
        <v>0.990357878574742</v>
      </c>
      <c r="H27">
        <v>1.0055949152825101</v>
      </c>
      <c r="I27">
        <v>0.83364210843626996</v>
      </c>
      <c r="J27">
        <v>1.1980223738792799</v>
      </c>
      <c r="K27">
        <v>1.1741286895133201</v>
      </c>
      <c r="L27">
        <v>1.0825084378824299</v>
      </c>
      <c r="M27">
        <v>1.0308414446271701</v>
      </c>
      <c r="N27">
        <v>0.95971274184010602</v>
      </c>
      <c r="O27">
        <v>1.1085720068998399</v>
      </c>
      <c r="P27">
        <v>1.2932762320080899</v>
      </c>
      <c r="Q27">
        <v>1.3225771733045499</v>
      </c>
      <c r="R27">
        <v>0.97666285527858099</v>
      </c>
      <c r="S27">
        <v>1.17602548137361</v>
      </c>
      <c r="T27">
        <v>1.24191809664371</v>
      </c>
      <c r="U27">
        <v>0.96653173958485605</v>
      </c>
      <c r="V27">
        <v>1.0409672528996701</v>
      </c>
      <c r="W27">
        <v>0.997636011520046</v>
      </c>
      <c r="X27">
        <v>1.21308717458372</v>
      </c>
      <c r="Y27">
        <v>0.95485659070386997</v>
      </c>
      <c r="Z27">
        <v>1.53837258190732</v>
      </c>
      <c r="AA27">
        <v>1.1216080187078501</v>
      </c>
      <c r="AB27">
        <v>0.95993855772310899</v>
      </c>
      <c r="AC27">
        <v>0.94194226762091404</v>
      </c>
      <c r="AD27">
        <v>1.1157648362065</v>
      </c>
      <c r="AE27">
        <v>0.805843550916996</v>
      </c>
      <c r="AF27">
        <v>0.6492006580113</v>
      </c>
      <c r="AG27">
        <v>1.04085415459922</v>
      </c>
      <c r="AH27">
        <v>1.4383844103058601</v>
      </c>
      <c r="AI27">
        <v>1.0909626459197601</v>
      </c>
      <c r="AJ27">
        <v>0.94065297210617105</v>
      </c>
      <c r="AK27">
        <v>0.978911924676791</v>
      </c>
      <c r="AL27">
        <v>0.99826126094742496</v>
      </c>
      <c r="AM27">
        <v>1.08628183299852</v>
      </c>
      <c r="AN27">
        <v>1.11344312774455</v>
      </c>
      <c r="AO27">
        <v>0.941738213779167</v>
      </c>
      <c r="AP27">
        <v>1.03722497945544</v>
      </c>
      <c r="AQ27">
        <v>1.03910554441516</v>
      </c>
      <c r="AR27">
        <v>0.92939683875355295</v>
      </c>
      <c r="AS27">
        <v>1.1977271301546699</v>
      </c>
      <c r="AT27">
        <v>0.85918864540749096</v>
      </c>
      <c r="AU27">
        <v>1.05987947762579</v>
      </c>
      <c r="AV27">
        <v>1.06540056311866</v>
      </c>
      <c r="AW27">
        <v>1.1006514631309801</v>
      </c>
      <c r="AX27">
        <v>1.13206015899065</v>
      </c>
      <c r="AY27">
        <v>0.99032629848604203</v>
      </c>
      <c r="AZ27">
        <v>1.0214000350783501</v>
      </c>
      <c r="BA27">
        <v>1.0353596976860899</v>
      </c>
      <c r="BB27">
        <v>1.07118365212799</v>
      </c>
      <c r="BC27">
        <v>1.12797444303057</v>
      </c>
      <c r="BD27">
        <v>0.97309270568040795</v>
      </c>
      <c r="BE27">
        <v>1.0347811756951899</v>
      </c>
      <c r="BF27">
        <v>1.1153659374410001</v>
      </c>
      <c r="BG27">
        <v>0.96579368379326902</v>
      </c>
      <c r="BH27">
        <v>0.98783268834322602</v>
      </c>
      <c r="BI27">
        <v>0.94743299836057204</v>
      </c>
      <c r="BJ27">
        <v>1.05647164190691</v>
      </c>
      <c r="BK27">
        <v>1.0188474674128201</v>
      </c>
      <c r="BL27">
        <v>0.98850835635245904</v>
      </c>
      <c r="BM27">
        <v>1.01473419008446</v>
      </c>
      <c r="BN27">
        <v>1.09516725426748</v>
      </c>
      <c r="BO27">
        <f>PRODUCT(B27:BN27)</f>
        <v>22.400805552250731</v>
      </c>
      <c r="BP27">
        <f>AVERAGE(B27:BO27)/_xlfn.STDEV.S(B27:BN27)</f>
        <v>9.7147954936974212</v>
      </c>
      <c r="BQ27">
        <f>PRODUCT(AD27:BN27)</f>
        <v>2.1991212505533637</v>
      </c>
      <c r="BR27">
        <f>AVERAGE(AD27:BN27)/_xlfn.STDEV.S(AD27:BN27)</f>
        <v>8.4703421514880706</v>
      </c>
    </row>
    <row r="29" spans="1:70" x14ac:dyDescent="0.4">
      <c r="A29">
        <v>1</v>
      </c>
      <c r="B29">
        <v>0.56000000000000005</v>
      </c>
      <c r="C29">
        <v>0.48</v>
      </c>
      <c r="D29">
        <v>0.57999999999999996</v>
      </c>
      <c r="E29">
        <v>0.4</v>
      </c>
      <c r="F29">
        <v>0.28000000000000003</v>
      </c>
      <c r="G29">
        <v>0.32</v>
      </c>
      <c r="H29">
        <v>0.38</v>
      </c>
      <c r="I29">
        <v>0.34</v>
      </c>
      <c r="J29">
        <v>0.46</v>
      </c>
      <c r="K29">
        <v>0.36</v>
      </c>
      <c r="L29">
        <v>0.24</v>
      </c>
      <c r="M29">
        <v>0.22</v>
      </c>
      <c r="N29">
        <v>0.3</v>
      </c>
      <c r="O29">
        <v>0.32</v>
      </c>
      <c r="P29">
        <v>0.16</v>
      </c>
      <c r="Q29">
        <v>0.16</v>
      </c>
      <c r="R29">
        <v>0.06</v>
      </c>
      <c r="S29">
        <v>0.1</v>
      </c>
      <c r="T29">
        <v>0.08</v>
      </c>
      <c r="U29">
        <v>0.22</v>
      </c>
      <c r="V29">
        <v>0.12</v>
      </c>
      <c r="W29">
        <v>0.14000000000000001</v>
      </c>
      <c r="X29">
        <v>0.08</v>
      </c>
      <c r="Y29">
        <v>0.06</v>
      </c>
      <c r="Z29">
        <v>0.04</v>
      </c>
      <c r="AA29">
        <v>0.08</v>
      </c>
      <c r="AB29">
        <v>0.12</v>
      </c>
      <c r="AC29">
        <v>0.12</v>
      </c>
      <c r="AD29">
        <v>0.08</v>
      </c>
      <c r="AE29">
        <v>0.06</v>
      </c>
      <c r="AF29">
        <v>0.06</v>
      </c>
      <c r="AG29">
        <v>0.32</v>
      </c>
      <c r="AH29">
        <v>0.16</v>
      </c>
      <c r="AI29">
        <v>0.02</v>
      </c>
      <c r="AJ29">
        <v>0.04</v>
      </c>
      <c r="AK29">
        <v>0.04</v>
      </c>
      <c r="AL29">
        <v>0.02</v>
      </c>
      <c r="AM29">
        <v>0.08</v>
      </c>
      <c r="AN29">
        <v>0</v>
      </c>
      <c r="AO29">
        <v>0.02</v>
      </c>
      <c r="AP29">
        <v>0.06</v>
      </c>
      <c r="AQ29">
        <v>0.06</v>
      </c>
      <c r="AR29">
        <v>0.1</v>
      </c>
      <c r="AS29">
        <v>0.06</v>
      </c>
      <c r="AT29">
        <v>0.1</v>
      </c>
      <c r="AU29">
        <v>0.08</v>
      </c>
      <c r="AV29">
        <v>0.06</v>
      </c>
      <c r="AW29">
        <v>0.1</v>
      </c>
      <c r="AX29">
        <v>0.06</v>
      </c>
      <c r="AY29">
        <v>0.06</v>
      </c>
      <c r="AZ29">
        <v>0.06</v>
      </c>
      <c r="BA29">
        <v>0.06</v>
      </c>
      <c r="BB29">
        <v>0.06</v>
      </c>
      <c r="BC29">
        <v>0.06</v>
      </c>
      <c r="BD29">
        <v>0.04</v>
      </c>
      <c r="BE29">
        <v>0.08</v>
      </c>
      <c r="BF29">
        <v>0.06</v>
      </c>
      <c r="BG29">
        <v>0.1</v>
      </c>
      <c r="BH29">
        <v>0.12</v>
      </c>
      <c r="BI29">
        <v>0.1</v>
      </c>
      <c r="BJ29">
        <v>0.16</v>
      </c>
      <c r="BK29">
        <v>0.16</v>
      </c>
      <c r="BL29">
        <v>0.12</v>
      </c>
      <c r="BM29">
        <v>0.12</v>
      </c>
      <c r="BN29">
        <v>0.14000000000000001</v>
      </c>
    </row>
    <row r="30" spans="1:70" x14ac:dyDescent="0.4">
      <c r="A30">
        <v>2</v>
      </c>
      <c r="B30">
        <v>0.42</v>
      </c>
      <c r="C30">
        <v>0.48</v>
      </c>
      <c r="D30">
        <v>0.42</v>
      </c>
      <c r="E30">
        <v>0.57999999999999996</v>
      </c>
      <c r="F30">
        <v>0.68</v>
      </c>
      <c r="G30">
        <v>0.66</v>
      </c>
      <c r="H30">
        <v>0.6</v>
      </c>
      <c r="I30">
        <v>0.66</v>
      </c>
      <c r="J30">
        <v>0.54</v>
      </c>
      <c r="K30">
        <v>0.64</v>
      </c>
      <c r="L30">
        <v>0.76</v>
      </c>
      <c r="M30">
        <v>0.78</v>
      </c>
      <c r="N30">
        <v>0.7</v>
      </c>
      <c r="O30">
        <v>0.66</v>
      </c>
      <c r="P30">
        <v>0.84</v>
      </c>
      <c r="Q30">
        <v>0.84</v>
      </c>
      <c r="R30">
        <v>0.9</v>
      </c>
      <c r="S30">
        <v>0.84</v>
      </c>
      <c r="T30">
        <v>0.9</v>
      </c>
      <c r="U30">
        <v>0.68</v>
      </c>
      <c r="V30">
        <v>0.82</v>
      </c>
      <c r="W30">
        <v>0.66</v>
      </c>
      <c r="X30">
        <v>0.72</v>
      </c>
      <c r="Y30">
        <v>0.54</v>
      </c>
      <c r="Z30">
        <v>0.66</v>
      </c>
      <c r="AA30">
        <v>0.38</v>
      </c>
      <c r="AB30">
        <v>0.42</v>
      </c>
      <c r="AC30">
        <v>0.46</v>
      </c>
      <c r="AD30">
        <v>0.56000000000000005</v>
      </c>
      <c r="AE30">
        <v>0.48</v>
      </c>
      <c r="AF30">
        <v>0.57999999999999996</v>
      </c>
      <c r="AG30">
        <v>0.6</v>
      </c>
      <c r="AH30">
        <v>0.66</v>
      </c>
      <c r="AI30">
        <v>0.7</v>
      </c>
      <c r="AJ30">
        <v>0.64</v>
      </c>
      <c r="AK30">
        <v>0.62</v>
      </c>
      <c r="AL30">
        <v>0.62</v>
      </c>
      <c r="AM30">
        <v>0.52</v>
      </c>
      <c r="AN30">
        <v>0.6</v>
      </c>
      <c r="AO30">
        <v>0.62</v>
      </c>
      <c r="AP30">
        <v>0.62</v>
      </c>
      <c r="AQ30">
        <v>0.46</v>
      </c>
      <c r="AR30">
        <v>0.48</v>
      </c>
      <c r="AS30">
        <v>0.52</v>
      </c>
      <c r="AT30">
        <v>0.48</v>
      </c>
      <c r="AU30">
        <v>0.46</v>
      </c>
      <c r="AV30">
        <v>0.46</v>
      </c>
      <c r="AW30">
        <v>0.44</v>
      </c>
      <c r="AX30">
        <v>0.38</v>
      </c>
      <c r="AY30">
        <v>0.3</v>
      </c>
      <c r="AZ30">
        <v>0.3</v>
      </c>
      <c r="BA30">
        <v>0.34</v>
      </c>
      <c r="BB30">
        <v>0.36</v>
      </c>
      <c r="BC30">
        <v>0.26</v>
      </c>
      <c r="BD30">
        <v>0.2</v>
      </c>
      <c r="BE30">
        <v>0.32</v>
      </c>
      <c r="BF30">
        <v>0.32</v>
      </c>
      <c r="BG30">
        <v>0.2</v>
      </c>
      <c r="BH30">
        <v>0.24</v>
      </c>
      <c r="BI30">
        <v>0.3</v>
      </c>
      <c r="BJ30">
        <v>0.3</v>
      </c>
      <c r="BK30">
        <v>0.26</v>
      </c>
      <c r="BL30">
        <v>0.3</v>
      </c>
      <c r="BM30">
        <v>0.3</v>
      </c>
      <c r="BN30">
        <v>0.2</v>
      </c>
    </row>
    <row r="31" spans="1:70" x14ac:dyDescent="0.4">
      <c r="A31">
        <v>3</v>
      </c>
      <c r="B31">
        <v>0.02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0.02</v>
      </c>
      <c r="P31">
        <v>0</v>
      </c>
      <c r="Q31">
        <v>0</v>
      </c>
      <c r="R31">
        <v>0</v>
      </c>
      <c r="S31">
        <v>0.02</v>
      </c>
      <c r="T31">
        <v>0</v>
      </c>
      <c r="U31">
        <v>0.08</v>
      </c>
      <c r="V31">
        <v>0.02</v>
      </c>
      <c r="W31">
        <v>0.12</v>
      </c>
      <c r="X31">
        <v>0.12</v>
      </c>
      <c r="Y31">
        <v>0.28000000000000003</v>
      </c>
      <c r="Z31">
        <v>0.18</v>
      </c>
      <c r="AA31">
        <v>0.42</v>
      </c>
      <c r="AB31">
        <v>0.38</v>
      </c>
      <c r="AC31">
        <v>0.34</v>
      </c>
      <c r="AD31">
        <v>0.22</v>
      </c>
      <c r="AE31">
        <v>0.36</v>
      </c>
      <c r="AF31">
        <v>0.26</v>
      </c>
      <c r="AG31">
        <v>0.02</v>
      </c>
      <c r="AH31">
        <v>0.06</v>
      </c>
      <c r="AI31">
        <v>0.2</v>
      </c>
      <c r="AJ31">
        <v>0.22</v>
      </c>
      <c r="AK31">
        <v>0.26</v>
      </c>
      <c r="AL31">
        <v>0.22</v>
      </c>
      <c r="AM31">
        <v>0.26</v>
      </c>
      <c r="AN31">
        <v>0.32</v>
      </c>
      <c r="AO31">
        <v>0.3</v>
      </c>
      <c r="AP31">
        <v>0.26</v>
      </c>
      <c r="AQ31">
        <v>0.38</v>
      </c>
      <c r="AR31">
        <v>0.34</v>
      </c>
      <c r="AS31">
        <v>0.3</v>
      </c>
      <c r="AT31">
        <v>0.34</v>
      </c>
      <c r="AU31">
        <v>0.4</v>
      </c>
      <c r="AV31">
        <v>0.4</v>
      </c>
      <c r="AW31">
        <v>0.4</v>
      </c>
      <c r="AX31">
        <v>0.4</v>
      </c>
      <c r="AY31">
        <v>0.54</v>
      </c>
      <c r="AZ31">
        <v>0.5</v>
      </c>
      <c r="BA31">
        <v>0.48</v>
      </c>
      <c r="BB31">
        <v>0.5</v>
      </c>
      <c r="BC31">
        <v>0.57999999999999996</v>
      </c>
      <c r="BD31">
        <v>0.57999999999999996</v>
      </c>
      <c r="BE31">
        <v>0.46</v>
      </c>
      <c r="BF31">
        <v>0.57999999999999996</v>
      </c>
      <c r="BG31">
        <v>0.54</v>
      </c>
      <c r="BH31">
        <v>0.46</v>
      </c>
      <c r="BI31">
        <v>0.42</v>
      </c>
      <c r="BJ31">
        <v>0.34</v>
      </c>
      <c r="BK31">
        <v>0.36</v>
      </c>
      <c r="BL31">
        <v>0.44</v>
      </c>
      <c r="BM31">
        <v>0.46</v>
      </c>
      <c r="BN31">
        <v>0.44</v>
      </c>
    </row>
    <row r="32" spans="1:70" x14ac:dyDescent="0.4">
      <c r="A32" t="s">
        <v>6</v>
      </c>
      <c r="B32">
        <v>0</v>
      </c>
      <c r="C32">
        <v>0.04</v>
      </c>
      <c r="D32">
        <v>0</v>
      </c>
      <c r="E32">
        <v>0.02</v>
      </c>
      <c r="F32">
        <v>0.04</v>
      </c>
      <c r="G32">
        <v>0.02</v>
      </c>
      <c r="H32">
        <v>0.02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0.04</v>
      </c>
      <c r="S32">
        <v>0.04</v>
      </c>
      <c r="T32">
        <v>0.02</v>
      </c>
      <c r="U32">
        <v>0.02</v>
      </c>
      <c r="V32">
        <v>0.04</v>
      </c>
      <c r="W32">
        <v>0.08</v>
      </c>
      <c r="X32">
        <v>0.08</v>
      </c>
      <c r="Y32">
        <v>0.12</v>
      </c>
      <c r="Z32">
        <v>0.12</v>
      </c>
      <c r="AA32">
        <v>0.12</v>
      </c>
      <c r="AB32">
        <v>0.08</v>
      </c>
      <c r="AC32">
        <v>0.08</v>
      </c>
      <c r="AD32">
        <v>0.14000000000000001</v>
      </c>
      <c r="AE32">
        <v>0.1</v>
      </c>
      <c r="AF32">
        <v>0.1</v>
      </c>
      <c r="AG32">
        <v>0.06</v>
      </c>
      <c r="AH32">
        <v>0.12</v>
      </c>
      <c r="AI32">
        <v>0.08</v>
      </c>
      <c r="AJ32">
        <v>0.1</v>
      </c>
      <c r="AK32">
        <v>0.08</v>
      </c>
      <c r="AL32">
        <v>0.14000000000000001</v>
      </c>
      <c r="AM32">
        <v>0.14000000000000001</v>
      </c>
      <c r="AN32">
        <v>0.08</v>
      </c>
      <c r="AO32">
        <v>0.06</v>
      </c>
      <c r="AP32">
        <v>0.06</v>
      </c>
      <c r="AQ32">
        <v>0.1</v>
      </c>
      <c r="AR32">
        <v>0.08</v>
      </c>
      <c r="AS32">
        <v>0.12</v>
      </c>
      <c r="AT32">
        <v>0.08</v>
      </c>
      <c r="AU32">
        <v>0.06</v>
      </c>
      <c r="AV32">
        <v>0.08</v>
      </c>
      <c r="AW32">
        <v>0.06</v>
      </c>
      <c r="AX32">
        <v>0.16</v>
      </c>
      <c r="AY32">
        <v>0.1</v>
      </c>
      <c r="AZ32">
        <v>0.14000000000000001</v>
      </c>
      <c r="BA32">
        <v>0.12</v>
      </c>
      <c r="BB32">
        <v>0.08</v>
      </c>
      <c r="BC32">
        <v>0.1</v>
      </c>
      <c r="BD32">
        <v>0.18</v>
      </c>
      <c r="BE32">
        <v>0.14000000000000001</v>
      </c>
      <c r="BF32">
        <v>0.04</v>
      </c>
      <c r="BG32">
        <v>0.16</v>
      </c>
      <c r="BH32">
        <v>0.18</v>
      </c>
      <c r="BI32">
        <v>0.18</v>
      </c>
      <c r="BJ32">
        <v>0.2</v>
      </c>
      <c r="BK32">
        <v>0.22</v>
      </c>
      <c r="BL32">
        <v>0.14000000000000001</v>
      </c>
      <c r="BM32">
        <v>0.12</v>
      </c>
      <c r="BN32">
        <v>0.22</v>
      </c>
    </row>
    <row r="34" spans="1:196" x14ac:dyDescent="0.4"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  <c r="R34">
        <v>16</v>
      </c>
      <c r="S34">
        <v>17</v>
      </c>
      <c r="T34">
        <v>18</v>
      </c>
      <c r="U34">
        <v>19</v>
      </c>
      <c r="V34">
        <v>20</v>
      </c>
      <c r="W34">
        <v>21</v>
      </c>
      <c r="X34">
        <v>22</v>
      </c>
      <c r="Y34">
        <v>23</v>
      </c>
      <c r="Z34">
        <v>24</v>
      </c>
      <c r="AA34">
        <v>25</v>
      </c>
      <c r="AB34">
        <v>26</v>
      </c>
      <c r="AC34">
        <v>27</v>
      </c>
      <c r="AD34">
        <v>28</v>
      </c>
      <c r="AE34">
        <v>29</v>
      </c>
      <c r="AF34">
        <v>30</v>
      </c>
      <c r="AG34">
        <v>31</v>
      </c>
      <c r="AH34">
        <v>32</v>
      </c>
      <c r="AI34">
        <v>33</v>
      </c>
      <c r="AJ34">
        <v>34</v>
      </c>
      <c r="AK34">
        <v>35</v>
      </c>
      <c r="AL34">
        <v>36</v>
      </c>
      <c r="AM34">
        <v>37</v>
      </c>
      <c r="AN34">
        <v>38</v>
      </c>
      <c r="AO34">
        <v>39</v>
      </c>
      <c r="AP34">
        <v>40</v>
      </c>
      <c r="AQ34">
        <v>41</v>
      </c>
      <c r="AR34">
        <v>42</v>
      </c>
      <c r="AS34">
        <v>43</v>
      </c>
      <c r="AT34">
        <v>44</v>
      </c>
      <c r="AU34">
        <v>45</v>
      </c>
      <c r="AV34">
        <v>46</v>
      </c>
      <c r="AW34">
        <v>47</v>
      </c>
      <c r="AX34">
        <v>48</v>
      </c>
      <c r="AY34">
        <v>49</v>
      </c>
      <c r="AZ34">
        <v>50</v>
      </c>
      <c r="BA34">
        <v>51</v>
      </c>
      <c r="BB34">
        <v>52</v>
      </c>
      <c r="BC34">
        <v>53</v>
      </c>
      <c r="BD34">
        <v>54</v>
      </c>
      <c r="BE34">
        <v>55</v>
      </c>
      <c r="BF34">
        <v>56</v>
      </c>
      <c r="BG34">
        <v>57</v>
      </c>
      <c r="BH34">
        <v>58</v>
      </c>
      <c r="BI34">
        <v>59</v>
      </c>
      <c r="BJ34">
        <v>60</v>
      </c>
      <c r="BK34">
        <v>61</v>
      </c>
      <c r="BL34">
        <v>62</v>
      </c>
      <c r="BM34">
        <v>63</v>
      </c>
      <c r="BN34">
        <v>64</v>
      </c>
    </row>
    <row r="35" spans="1:196" x14ac:dyDescent="0.4">
      <c r="A35" t="s">
        <v>15</v>
      </c>
      <c r="B35">
        <v>1.18463913611885</v>
      </c>
      <c r="C35">
        <v>0.95176976829451299</v>
      </c>
      <c r="D35">
        <v>1.2409361930318701</v>
      </c>
      <c r="E35">
        <v>1.36115019719715</v>
      </c>
      <c r="F35">
        <v>0.90986261826672998</v>
      </c>
      <c r="G35">
        <v>0.986162382626109</v>
      </c>
      <c r="H35">
        <v>1.02423344884614</v>
      </c>
      <c r="I35">
        <v>0.81121277650732704</v>
      </c>
      <c r="J35">
        <v>1.17795065667742</v>
      </c>
      <c r="K35">
        <v>1.1657055829296401</v>
      </c>
      <c r="L35">
        <v>1.07610877269949</v>
      </c>
      <c r="M35">
        <v>1.05286862307075</v>
      </c>
      <c r="N35">
        <v>0.97852326058989703</v>
      </c>
      <c r="O35">
        <v>1.1323350478279399</v>
      </c>
      <c r="P35">
        <v>1.3410482069461001</v>
      </c>
      <c r="Q35">
        <v>1.3782591702809699</v>
      </c>
      <c r="R35">
        <v>1.0393374312810899</v>
      </c>
      <c r="S35">
        <v>1.18956535000338</v>
      </c>
      <c r="T35">
        <v>1.2409351518784999</v>
      </c>
      <c r="U35">
        <v>0.93166957238252901</v>
      </c>
      <c r="V35">
        <v>1.12817397224356</v>
      </c>
      <c r="W35">
        <v>0.98192268333649602</v>
      </c>
      <c r="X35">
        <v>1.2347303852178699</v>
      </c>
      <c r="Y35">
        <v>0.97379536048624404</v>
      </c>
      <c r="Z35">
        <v>1.5269732063505499</v>
      </c>
      <c r="AA35">
        <v>1.1294126438682599</v>
      </c>
      <c r="AB35">
        <v>1.04523012296903</v>
      </c>
      <c r="AC35">
        <v>0.96721323267957904</v>
      </c>
      <c r="AD35">
        <v>1.1166134896368201</v>
      </c>
      <c r="AE35">
        <v>0.80599900043053696</v>
      </c>
      <c r="AF35">
        <v>0.67400023879806004</v>
      </c>
      <c r="AG35">
        <v>1.05883714299978</v>
      </c>
      <c r="AH35">
        <v>1.5507360327233399</v>
      </c>
      <c r="AI35">
        <v>1.0626100201872</v>
      </c>
      <c r="AJ35">
        <v>0.95218350274379904</v>
      </c>
      <c r="AK35">
        <v>1.0131657510880601</v>
      </c>
      <c r="AL35">
        <v>0.99211957993801003</v>
      </c>
      <c r="AM35">
        <v>1.09696428602472</v>
      </c>
      <c r="AN35">
        <v>1.14317865010124</v>
      </c>
      <c r="AO35">
        <v>0.94185484812310905</v>
      </c>
      <c r="AP35">
        <v>1.0410097959981299</v>
      </c>
      <c r="AQ35">
        <v>1.0641836665329201</v>
      </c>
      <c r="AR35">
        <v>0.92501688274320004</v>
      </c>
      <c r="AS35">
        <v>1.1691534415608</v>
      </c>
      <c r="AT35">
        <v>0.86573550416552703</v>
      </c>
      <c r="AU35">
        <v>1.0599600330836401</v>
      </c>
      <c r="AV35">
        <v>1.01352318041832</v>
      </c>
      <c r="AW35">
        <v>1.1011021019476299</v>
      </c>
      <c r="AX35">
        <v>1.16121345990242</v>
      </c>
      <c r="AY35">
        <v>0.99169227857011499</v>
      </c>
      <c r="AZ35">
        <v>1.0359162987258299</v>
      </c>
      <c r="BA35">
        <v>1.08569901870301</v>
      </c>
      <c r="BB35">
        <v>1.0744950622910201</v>
      </c>
      <c r="BC35">
        <v>1.05131847389822</v>
      </c>
      <c r="BD35">
        <v>0.974299525890436</v>
      </c>
      <c r="BE35">
        <v>1.0324416775571399</v>
      </c>
      <c r="BF35">
        <v>1.1108235855294499</v>
      </c>
      <c r="BG35">
        <v>0.95243141397926201</v>
      </c>
      <c r="BH35">
        <v>1.0140430306194199</v>
      </c>
      <c r="BI35">
        <v>0.96432702588397001</v>
      </c>
      <c r="BJ35">
        <v>1.07247610147359</v>
      </c>
      <c r="BK35">
        <v>1.0137313650456701</v>
      </c>
      <c r="BL35">
        <v>0.97188412083142195</v>
      </c>
      <c r="BM35">
        <v>0.98261377192749999</v>
      </c>
      <c r="BN35">
        <v>1.1062142742213901</v>
      </c>
      <c r="BO35">
        <f>PRODUCT(B35:BN35)</f>
        <v>38.549223988634431</v>
      </c>
      <c r="BP35">
        <f>AVERAGE(B35:BO35)/_xlfn.STDEV.S(B35:BN35)</f>
        <v>10.901621162644318</v>
      </c>
      <c r="BQ35">
        <f>PRODUCT(AD35:BN35)</f>
        <v>2.5671376906105254</v>
      </c>
      <c r="BR35">
        <f>AVERAGE(AD35:BN35)/_xlfn.STDEV.S(AD35:BN35)</f>
        <v>7.9229342486337364</v>
      </c>
    </row>
    <row r="36" spans="1:196" x14ac:dyDescent="0.4">
      <c r="A36" t="s">
        <v>2</v>
      </c>
      <c r="B36">
        <v>1.17463913611885</v>
      </c>
      <c r="C36">
        <v>0.94816976829451305</v>
      </c>
      <c r="D36">
        <v>1.2389361930318701</v>
      </c>
      <c r="E36">
        <v>1.3579501971971499</v>
      </c>
      <c r="F36">
        <v>0.90506261826672996</v>
      </c>
      <c r="G36">
        <v>0.98296238262610902</v>
      </c>
      <c r="H36">
        <v>1.0214334488461401</v>
      </c>
      <c r="I36">
        <v>0.80921277650732704</v>
      </c>
      <c r="J36">
        <v>1.1731506566774199</v>
      </c>
      <c r="K36">
        <v>1.16250558292964</v>
      </c>
      <c r="L36">
        <v>1.0717087726994901</v>
      </c>
      <c r="M36">
        <v>1.0500686230707501</v>
      </c>
      <c r="N36">
        <v>0.97252326058989702</v>
      </c>
      <c r="O36">
        <v>1.1283350478279399</v>
      </c>
      <c r="P36">
        <v>1.3378482069461</v>
      </c>
      <c r="Q36">
        <v>1.3746591702809701</v>
      </c>
      <c r="R36">
        <v>1.03413743128109</v>
      </c>
      <c r="S36">
        <v>1.18396535000338</v>
      </c>
      <c r="T36">
        <v>1.2373351518785001</v>
      </c>
      <c r="U36">
        <v>0.92766957238252901</v>
      </c>
      <c r="V36">
        <v>1.1229739722435601</v>
      </c>
      <c r="W36">
        <v>0.97752268333649595</v>
      </c>
      <c r="X36">
        <v>1.23193038521787</v>
      </c>
      <c r="Y36">
        <v>0.970195360486244</v>
      </c>
      <c r="Z36">
        <v>1.52217320635055</v>
      </c>
      <c r="AA36">
        <v>1.1238126438682601</v>
      </c>
      <c r="AB36">
        <v>1.04083012296903</v>
      </c>
      <c r="AC36">
        <v>0.96081323267957897</v>
      </c>
      <c r="AD36">
        <v>1.10941348963682</v>
      </c>
      <c r="AE36">
        <v>0.80199900043053696</v>
      </c>
      <c r="AF36">
        <v>0.66840023879805999</v>
      </c>
      <c r="AG36">
        <v>1.0520371429997799</v>
      </c>
      <c r="AH36">
        <v>1.54593603272334</v>
      </c>
      <c r="AI36">
        <v>1.0574100201872001</v>
      </c>
      <c r="AJ36">
        <v>0.94938350274379901</v>
      </c>
      <c r="AK36">
        <v>1.0103657510880599</v>
      </c>
      <c r="AL36">
        <v>0.98651957993800998</v>
      </c>
      <c r="AM36">
        <v>1.09456428602472</v>
      </c>
      <c r="AN36">
        <v>1.1403786501012401</v>
      </c>
      <c r="AO36">
        <v>0.93865484812310895</v>
      </c>
      <c r="AP36">
        <v>1.0374097959981301</v>
      </c>
      <c r="AQ36">
        <v>1.06098366653292</v>
      </c>
      <c r="AR36">
        <v>0.92101688274320004</v>
      </c>
      <c r="AS36">
        <v>1.1671534415608</v>
      </c>
      <c r="AT36">
        <v>0.86133550416552696</v>
      </c>
      <c r="AU36">
        <v>1.0559600330836401</v>
      </c>
      <c r="AV36">
        <v>1.00992318041832</v>
      </c>
      <c r="AW36">
        <v>1.09830210194763</v>
      </c>
      <c r="AX36">
        <v>1.15681345990242</v>
      </c>
      <c r="AY36">
        <v>0.98809227857011495</v>
      </c>
      <c r="AZ36">
        <v>1.0343162987258301</v>
      </c>
      <c r="BA36">
        <v>1.08369901870301</v>
      </c>
      <c r="BB36">
        <v>1.0700950622910199</v>
      </c>
      <c r="BC36">
        <v>1.04731847389822</v>
      </c>
      <c r="BD36">
        <v>0.97189952589043604</v>
      </c>
      <c r="BE36">
        <v>1.02964167755714</v>
      </c>
      <c r="BF36">
        <v>1.10642358552945</v>
      </c>
      <c r="BG36">
        <v>0.94563141397926198</v>
      </c>
      <c r="BH36">
        <v>1.0104430306194201</v>
      </c>
      <c r="BI36">
        <v>0.96032702588397001</v>
      </c>
      <c r="BJ36">
        <v>1.0672761014735901</v>
      </c>
      <c r="BK36">
        <v>1.01213136504567</v>
      </c>
      <c r="BL36">
        <v>0.96988412083142195</v>
      </c>
      <c r="BM36">
        <v>0.97901377192750005</v>
      </c>
      <c r="BN36">
        <v>1.1022142742213901</v>
      </c>
      <c r="BO36">
        <f>PRODUCT(B36:BN36)</f>
        <v>30.052627416371795</v>
      </c>
      <c r="BP36">
        <f>AVERAGE(B36:BO36)/_xlfn.STDEV.S(B36:BN36)</f>
        <v>10.019469055369409</v>
      </c>
      <c r="BQ36">
        <f>PRODUCT(AD36:BN36)</f>
        <v>2.2323941961480087</v>
      </c>
      <c r="BR36">
        <f>AVERAGE(AD36:BN36)/_xlfn.STDEV.S(AD36:BN36)</f>
        <v>7.8904834497613558</v>
      </c>
    </row>
    <row r="38" spans="1:196" x14ac:dyDescent="0.4">
      <c r="A38">
        <v>1</v>
      </c>
      <c r="B38">
        <v>0.6</v>
      </c>
      <c r="C38">
        <v>0.44</v>
      </c>
      <c r="D38">
        <v>0.52</v>
      </c>
      <c r="E38">
        <v>0.28000000000000003</v>
      </c>
      <c r="F38">
        <v>0.24</v>
      </c>
      <c r="G38">
        <v>0.36</v>
      </c>
      <c r="H38">
        <v>0.28000000000000003</v>
      </c>
      <c r="I38">
        <v>0.24</v>
      </c>
      <c r="J38">
        <v>0.44</v>
      </c>
      <c r="K38">
        <v>0.28000000000000003</v>
      </c>
      <c r="L38">
        <v>0.12</v>
      </c>
      <c r="M38">
        <v>0.08</v>
      </c>
      <c r="N38">
        <v>0.32</v>
      </c>
      <c r="O38">
        <v>0.2</v>
      </c>
      <c r="P38">
        <v>0.04</v>
      </c>
      <c r="Q38">
        <v>0.04</v>
      </c>
      <c r="R38">
        <v>0.04</v>
      </c>
      <c r="S38">
        <v>0.08</v>
      </c>
      <c r="T38">
        <v>0.08</v>
      </c>
      <c r="U38">
        <v>0.2</v>
      </c>
      <c r="V38">
        <v>0.04</v>
      </c>
      <c r="W38">
        <v>0.08</v>
      </c>
      <c r="X38">
        <v>0.12</v>
      </c>
      <c r="Y38">
        <v>0.04</v>
      </c>
      <c r="Z38">
        <v>0</v>
      </c>
      <c r="AA38">
        <v>0.12</v>
      </c>
      <c r="AB38">
        <v>0.2</v>
      </c>
      <c r="AC38">
        <v>0.16</v>
      </c>
      <c r="AD38">
        <v>0.04</v>
      </c>
      <c r="AE38">
        <v>0.04</v>
      </c>
      <c r="AF38">
        <v>0.08</v>
      </c>
      <c r="AG38">
        <v>0.28000000000000003</v>
      </c>
      <c r="AH38">
        <v>0.12</v>
      </c>
      <c r="AI38">
        <v>0.04</v>
      </c>
      <c r="AJ38">
        <v>0</v>
      </c>
      <c r="AK38">
        <v>0.04</v>
      </c>
      <c r="AL38">
        <v>0</v>
      </c>
      <c r="AM38">
        <v>0</v>
      </c>
      <c r="AN38">
        <v>0</v>
      </c>
      <c r="AO38">
        <v>0.04</v>
      </c>
      <c r="AP38">
        <v>0.04</v>
      </c>
      <c r="AQ38">
        <v>0.04</v>
      </c>
      <c r="AR38">
        <v>0.12</v>
      </c>
      <c r="AS38">
        <v>0.04</v>
      </c>
      <c r="AT38">
        <v>0.12</v>
      </c>
      <c r="AU38">
        <v>0.08</v>
      </c>
      <c r="AV38">
        <v>0.04</v>
      </c>
      <c r="AW38">
        <v>0.08</v>
      </c>
      <c r="AX38">
        <v>0.04</v>
      </c>
      <c r="AY38">
        <v>0.04</v>
      </c>
      <c r="AZ38">
        <v>0.08</v>
      </c>
      <c r="BA38">
        <v>0.08</v>
      </c>
      <c r="BB38">
        <v>0.04</v>
      </c>
      <c r="BC38">
        <v>0</v>
      </c>
      <c r="BD38">
        <v>0.04</v>
      </c>
      <c r="BE38">
        <v>0.04</v>
      </c>
      <c r="BF38">
        <v>0.04</v>
      </c>
      <c r="BG38">
        <v>0.16</v>
      </c>
      <c r="BH38">
        <v>0.2</v>
      </c>
      <c r="BI38">
        <v>0.2</v>
      </c>
      <c r="BJ38">
        <v>0.2</v>
      </c>
      <c r="BK38">
        <v>0.16</v>
      </c>
      <c r="BL38">
        <v>0.12</v>
      </c>
      <c r="BM38">
        <v>0.12</v>
      </c>
      <c r="BN38">
        <v>0.2</v>
      </c>
    </row>
    <row r="39" spans="1:196" x14ac:dyDescent="0.4">
      <c r="A39">
        <v>2</v>
      </c>
      <c r="B39">
        <v>0.4</v>
      </c>
      <c r="C39">
        <v>0.56000000000000005</v>
      </c>
      <c r="D39">
        <v>0.48</v>
      </c>
      <c r="E39">
        <v>0.72</v>
      </c>
      <c r="F39">
        <v>0.72</v>
      </c>
      <c r="G39">
        <v>0.64</v>
      </c>
      <c r="H39">
        <v>0.72</v>
      </c>
      <c r="I39">
        <v>0.76</v>
      </c>
      <c r="J39">
        <v>0.56000000000000005</v>
      </c>
      <c r="K39">
        <v>0.72</v>
      </c>
      <c r="L39">
        <v>0.88</v>
      </c>
      <c r="M39">
        <v>0.92</v>
      </c>
      <c r="N39">
        <v>0.68</v>
      </c>
      <c r="O39">
        <v>0.76</v>
      </c>
      <c r="P39">
        <v>0.96</v>
      </c>
      <c r="Q39">
        <v>0.96</v>
      </c>
      <c r="R39">
        <v>0.88</v>
      </c>
      <c r="S39">
        <v>0.88</v>
      </c>
      <c r="T39">
        <v>0.92</v>
      </c>
      <c r="U39">
        <v>0.76</v>
      </c>
      <c r="V39">
        <v>0.92</v>
      </c>
      <c r="W39">
        <v>0.72</v>
      </c>
      <c r="X39">
        <v>0.64</v>
      </c>
      <c r="Y39">
        <v>0.52</v>
      </c>
      <c r="Z39">
        <v>0.6</v>
      </c>
      <c r="AA39">
        <v>0.4</v>
      </c>
      <c r="AB39">
        <v>0.28000000000000003</v>
      </c>
      <c r="AC39">
        <v>0.52</v>
      </c>
      <c r="AD39">
        <v>0.68</v>
      </c>
      <c r="AE39">
        <v>0.48</v>
      </c>
      <c r="AF39">
        <v>0.64</v>
      </c>
      <c r="AG39">
        <v>0.64</v>
      </c>
      <c r="AH39">
        <v>0.68</v>
      </c>
      <c r="AI39">
        <v>0.72</v>
      </c>
      <c r="AJ39">
        <v>0.76</v>
      </c>
      <c r="AK39">
        <v>0.68</v>
      </c>
      <c r="AL39">
        <v>0.64</v>
      </c>
      <c r="AM39">
        <v>0.56000000000000005</v>
      </c>
      <c r="AN39">
        <v>0.56000000000000005</v>
      </c>
      <c r="AO39">
        <v>0.48</v>
      </c>
      <c r="AP39">
        <v>0.48</v>
      </c>
      <c r="AQ39">
        <v>0.32</v>
      </c>
      <c r="AR39">
        <v>0.44</v>
      </c>
      <c r="AS39">
        <v>0.44</v>
      </c>
      <c r="AT39">
        <v>0.48</v>
      </c>
      <c r="AU39">
        <v>0.52</v>
      </c>
      <c r="AV39">
        <v>0.44</v>
      </c>
      <c r="AW39">
        <v>0.52</v>
      </c>
      <c r="AX39">
        <v>0.36</v>
      </c>
      <c r="AY39">
        <v>0.28000000000000003</v>
      </c>
      <c r="AZ39">
        <v>0.28000000000000003</v>
      </c>
      <c r="BA39">
        <v>0.28000000000000003</v>
      </c>
      <c r="BB39">
        <v>0.36</v>
      </c>
      <c r="BC39">
        <v>0.24</v>
      </c>
      <c r="BD39">
        <v>0.28000000000000003</v>
      </c>
      <c r="BE39">
        <v>0.32</v>
      </c>
      <c r="BF39">
        <v>0.32</v>
      </c>
      <c r="BG39">
        <v>0.12</v>
      </c>
      <c r="BH39">
        <v>0.28000000000000003</v>
      </c>
      <c r="BI39">
        <v>0.2</v>
      </c>
      <c r="BJ39">
        <v>0.44</v>
      </c>
      <c r="BK39">
        <v>0.36</v>
      </c>
      <c r="BL39">
        <v>0.4</v>
      </c>
      <c r="BM39">
        <v>0.44</v>
      </c>
      <c r="BN39">
        <v>0.2</v>
      </c>
    </row>
    <row r="40" spans="1:196" x14ac:dyDescent="0.4">
      <c r="A40">
        <v>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0.04</v>
      </c>
      <c r="P40">
        <v>0</v>
      </c>
      <c r="Q40">
        <v>0</v>
      </c>
      <c r="R40">
        <v>0</v>
      </c>
      <c r="S40">
        <v>0</v>
      </c>
      <c r="T40">
        <v>0</v>
      </c>
      <c r="U40">
        <v>0.04</v>
      </c>
      <c r="V40">
        <v>0</v>
      </c>
      <c r="W40">
        <v>0.12</v>
      </c>
      <c r="X40">
        <v>0.12</v>
      </c>
      <c r="Y40">
        <v>0.28000000000000003</v>
      </c>
      <c r="Z40">
        <v>0.28000000000000003</v>
      </c>
      <c r="AA40">
        <v>0.32</v>
      </c>
      <c r="AB40">
        <v>0.44</v>
      </c>
      <c r="AC40">
        <v>0.24</v>
      </c>
      <c r="AD40">
        <v>0.12</v>
      </c>
      <c r="AE40">
        <v>0.4</v>
      </c>
      <c r="AF40">
        <v>0.16</v>
      </c>
      <c r="AG40">
        <v>0.04</v>
      </c>
      <c r="AH40">
        <v>0.12</v>
      </c>
      <c r="AI40">
        <v>0.24</v>
      </c>
      <c r="AJ40">
        <v>0.2</v>
      </c>
      <c r="AK40">
        <v>0.28000000000000003</v>
      </c>
      <c r="AL40">
        <v>0.2</v>
      </c>
      <c r="AM40">
        <v>0.28000000000000003</v>
      </c>
      <c r="AN40">
        <v>0.32</v>
      </c>
      <c r="AO40">
        <v>0.4</v>
      </c>
      <c r="AP40">
        <v>0.36</v>
      </c>
      <c r="AQ40">
        <v>0.56000000000000005</v>
      </c>
      <c r="AR40">
        <v>0.4</v>
      </c>
      <c r="AS40">
        <v>0.44</v>
      </c>
      <c r="AT40">
        <v>0.4</v>
      </c>
      <c r="AU40">
        <v>0.36</v>
      </c>
      <c r="AV40">
        <v>0.44</v>
      </c>
      <c r="AW40">
        <v>0.36</v>
      </c>
      <c r="AX40">
        <v>0.48</v>
      </c>
      <c r="AY40">
        <v>0.6</v>
      </c>
      <c r="AZ40">
        <v>0.56000000000000005</v>
      </c>
      <c r="BA40">
        <v>0.52</v>
      </c>
      <c r="BB40">
        <v>0.56000000000000005</v>
      </c>
      <c r="BC40">
        <v>0.6</v>
      </c>
      <c r="BD40">
        <v>0.6</v>
      </c>
      <c r="BE40">
        <v>0.48</v>
      </c>
      <c r="BF40">
        <v>0.6</v>
      </c>
      <c r="BG40">
        <v>0.6</v>
      </c>
      <c r="BH40">
        <v>0.28000000000000003</v>
      </c>
      <c r="BI40">
        <v>0.32</v>
      </c>
      <c r="BJ40">
        <v>0.16</v>
      </c>
      <c r="BK40">
        <v>0.24</v>
      </c>
      <c r="BL40">
        <v>0.28000000000000003</v>
      </c>
      <c r="BM40">
        <v>0.32</v>
      </c>
      <c r="BN40">
        <v>0.32</v>
      </c>
    </row>
    <row r="41" spans="1:196" x14ac:dyDescent="0.4">
      <c r="A41" t="s">
        <v>6</v>
      </c>
      <c r="B41">
        <v>0</v>
      </c>
      <c r="C41">
        <v>0</v>
      </c>
      <c r="D41">
        <v>0</v>
      </c>
      <c r="E41">
        <v>0</v>
      </c>
      <c r="F41">
        <v>0.04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0.08</v>
      </c>
      <c r="S41">
        <v>0.04</v>
      </c>
      <c r="T41">
        <v>0</v>
      </c>
      <c r="U41">
        <v>0</v>
      </c>
      <c r="V41">
        <v>0.04</v>
      </c>
      <c r="W41">
        <v>0.08</v>
      </c>
      <c r="X41">
        <v>0.12</v>
      </c>
      <c r="Y41">
        <v>0.16</v>
      </c>
      <c r="Z41">
        <v>0.12</v>
      </c>
      <c r="AA41">
        <v>0.16</v>
      </c>
      <c r="AB41">
        <v>0.08</v>
      </c>
      <c r="AC41">
        <v>0.08</v>
      </c>
      <c r="AD41">
        <v>0.16</v>
      </c>
      <c r="AE41">
        <v>0.08</v>
      </c>
      <c r="AF41">
        <v>0.12</v>
      </c>
      <c r="AG41">
        <v>0.04</v>
      </c>
      <c r="AH41">
        <v>0.08</v>
      </c>
      <c r="AI41">
        <v>0</v>
      </c>
      <c r="AJ41">
        <v>0.04</v>
      </c>
      <c r="AK41">
        <v>0</v>
      </c>
      <c r="AL41">
        <v>0.16</v>
      </c>
      <c r="AM41">
        <v>0.16</v>
      </c>
      <c r="AN41">
        <v>0.12</v>
      </c>
      <c r="AO41">
        <v>0.08</v>
      </c>
      <c r="AP41">
        <v>0.12</v>
      </c>
      <c r="AQ41">
        <v>0.08</v>
      </c>
      <c r="AR41">
        <v>0.04</v>
      </c>
      <c r="AS41">
        <v>0.08</v>
      </c>
      <c r="AT41">
        <v>0</v>
      </c>
      <c r="AU41">
        <v>0.04</v>
      </c>
      <c r="AV41">
        <v>0.08</v>
      </c>
      <c r="AW41">
        <v>0.04</v>
      </c>
      <c r="AX41">
        <v>0.12</v>
      </c>
      <c r="AY41">
        <v>0.08</v>
      </c>
      <c r="AZ41">
        <v>0.08</v>
      </c>
      <c r="BA41">
        <v>0.12</v>
      </c>
      <c r="BB41">
        <v>0.04</v>
      </c>
      <c r="BC41">
        <v>0.16</v>
      </c>
      <c r="BD41">
        <v>0.08</v>
      </c>
      <c r="BE41">
        <v>0.16</v>
      </c>
      <c r="BF41">
        <v>0.04</v>
      </c>
      <c r="BG41">
        <v>0.12</v>
      </c>
      <c r="BH41">
        <v>0.24</v>
      </c>
      <c r="BI41">
        <v>0.28000000000000003</v>
      </c>
      <c r="BJ41">
        <v>0.2</v>
      </c>
      <c r="BK41">
        <v>0.24</v>
      </c>
      <c r="BL41">
        <v>0.2</v>
      </c>
      <c r="BM41">
        <v>0.12</v>
      </c>
      <c r="BN41">
        <v>0.28000000000000003</v>
      </c>
    </row>
    <row r="44" spans="1:196" s="17" customFormat="1" x14ac:dyDescent="0.4">
      <c r="A44" s="17" t="s">
        <v>100</v>
      </c>
    </row>
    <row r="45" spans="1:196" x14ac:dyDescent="0.4">
      <c r="A45" t="s">
        <v>102</v>
      </c>
      <c r="B45">
        <v>1.16845544893286</v>
      </c>
      <c r="C45">
        <v>0.94099771023831202</v>
      </c>
      <c r="D45">
        <v>1.2184939752966899</v>
      </c>
      <c r="E45">
        <v>1.27344282667388</v>
      </c>
      <c r="F45">
        <v>0.89802387050201804</v>
      </c>
      <c r="G45">
        <v>0.95168975337982198</v>
      </c>
      <c r="H45">
        <v>0.99770995111325</v>
      </c>
      <c r="I45">
        <v>0.85974002647400105</v>
      </c>
      <c r="J45">
        <v>1.28567808092791</v>
      </c>
      <c r="K45">
        <v>1.1250905907701501</v>
      </c>
      <c r="L45">
        <v>1.0624745673245399</v>
      </c>
      <c r="M45">
        <v>1.0193848966406001</v>
      </c>
      <c r="N45">
        <v>0.95766440711807999</v>
      </c>
      <c r="O45">
        <v>1.0937062152202</v>
      </c>
      <c r="P45">
        <v>1.27165740212997</v>
      </c>
      <c r="Q45">
        <v>1.3457437188907899</v>
      </c>
      <c r="R45">
        <v>0.951577752679167</v>
      </c>
      <c r="S45">
        <v>1.2373707500589299</v>
      </c>
      <c r="T45">
        <v>1.3291600996583199</v>
      </c>
      <c r="U45">
        <v>0.92659170539435198</v>
      </c>
      <c r="V45">
        <v>1.06974582208647</v>
      </c>
      <c r="W45">
        <v>0.96791497756574596</v>
      </c>
      <c r="X45">
        <v>1.2062289835428399</v>
      </c>
      <c r="Y45">
        <v>0.93082487527133995</v>
      </c>
      <c r="Z45">
        <v>1.5017145841647399</v>
      </c>
      <c r="AA45">
        <v>1.0530157211311</v>
      </c>
      <c r="AB45">
        <v>0.91783019724409198</v>
      </c>
      <c r="AC45">
        <v>0.95282434252638903</v>
      </c>
      <c r="AD45">
        <v>1.03275558711864</v>
      </c>
      <c r="AE45">
        <v>0.70268810790458602</v>
      </c>
      <c r="AF45">
        <v>0.57356942358837504</v>
      </c>
      <c r="AG45">
        <v>1.0608773894852901</v>
      </c>
      <c r="AH45">
        <v>1.41568405950947</v>
      </c>
      <c r="AI45">
        <v>1.0593473839389</v>
      </c>
      <c r="AJ45">
        <v>0.90215644658778704</v>
      </c>
      <c r="AK45">
        <v>0.93452213059877298</v>
      </c>
      <c r="AL45">
        <v>0.95912276335701396</v>
      </c>
      <c r="AM45">
        <v>1.0827685357615</v>
      </c>
      <c r="AN45">
        <v>1.1322527272092799</v>
      </c>
      <c r="AO45">
        <v>0.94098657378286998</v>
      </c>
      <c r="AP45">
        <v>1.06879827553672</v>
      </c>
      <c r="AQ45">
        <v>0.98188791320048496</v>
      </c>
      <c r="AR45">
        <v>1.01084281620977</v>
      </c>
      <c r="AS45">
        <v>1.1304387050065501</v>
      </c>
      <c r="AT45">
        <v>0.88819322564150704</v>
      </c>
      <c r="AU45">
        <v>1.1015724378827101</v>
      </c>
      <c r="AV45">
        <v>1.28540100205915</v>
      </c>
      <c r="AW45">
        <v>1.1372126788327299</v>
      </c>
      <c r="AX45">
        <v>1.1405848608787299</v>
      </c>
      <c r="AY45">
        <v>1.0052945800662101</v>
      </c>
      <c r="AZ45">
        <v>1.0753757278850899</v>
      </c>
      <c r="BA45">
        <v>1.0465048400563099</v>
      </c>
      <c r="BB45">
        <v>1.10288556759222</v>
      </c>
      <c r="BC45">
        <v>1.0901313078383501</v>
      </c>
      <c r="BD45">
        <v>0.96750482026381901</v>
      </c>
      <c r="BE45">
        <v>1.17475124398116</v>
      </c>
      <c r="BF45">
        <v>1.1388310277034299</v>
      </c>
      <c r="BG45">
        <v>0.93606416239557899</v>
      </c>
      <c r="BH45">
        <v>1.01834470456361</v>
      </c>
      <c r="BI45">
        <v>1.0192472500504399</v>
      </c>
      <c r="BJ45">
        <v>1.11265997253663</v>
      </c>
      <c r="BK45">
        <v>1.0247283572208801</v>
      </c>
      <c r="BL45">
        <v>0.97696542019310095</v>
      </c>
      <c r="BM45">
        <v>1.01356585815467</v>
      </c>
      <c r="BN45">
        <v>1.11811850296725</v>
      </c>
      <c r="BO45">
        <f>PRODUCT(B45:BN45)</f>
        <v>21.368675987466318</v>
      </c>
      <c r="BP45">
        <f>AVERAGE(B45:BO45)/_xlfn.STDEV.S(B45:BN45)</f>
        <v>8.8725418684282413</v>
      </c>
      <c r="BQ45">
        <f>PRODUCT(AD45:BN45)</f>
        <v>2.6095974921052303</v>
      </c>
      <c r="BR45">
        <f>AVERAGE(AD45:BN45)/_xlfn.STDEV.S(AD45:BN45)</f>
        <v>7.3326290064498103</v>
      </c>
    </row>
    <row r="46" spans="1:196" x14ac:dyDescent="0.4">
      <c r="A46" t="s">
        <v>2</v>
      </c>
      <c r="B46">
        <v>1.15845544893286</v>
      </c>
      <c r="C46">
        <v>0.93779771023831204</v>
      </c>
      <c r="D46">
        <v>1.21569397529669</v>
      </c>
      <c r="E46">
        <v>1.2718428266738799</v>
      </c>
      <c r="F46">
        <v>0.89602387050201804</v>
      </c>
      <c r="G46">
        <v>0.94968975337982198</v>
      </c>
      <c r="H46">
        <v>0.99570995111325</v>
      </c>
      <c r="I46">
        <v>0.85734002647400098</v>
      </c>
      <c r="J46">
        <v>1.2824780809279099</v>
      </c>
      <c r="K46">
        <v>1.1230905907701501</v>
      </c>
      <c r="L46">
        <v>1.0592745673245401</v>
      </c>
      <c r="M46">
        <v>1.0149848966406001</v>
      </c>
      <c r="N46">
        <v>0.95526440711808003</v>
      </c>
      <c r="O46">
        <v>1.0893062152202</v>
      </c>
      <c r="P46">
        <v>1.26805740212997</v>
      </c>
      <c r="Q46">
        <v>1.34294371889079</v>
      </c>
      <c r="R46">
        <v>0.94677775267916697</v>
      </c>
      <c r="S46">
        <v>1.23457075005893</v>
      </c>
      <c r="T46">
        <v>1.32676009965832</v>
      </c>
      <c r="U46">
        <v>0.92219170539435202</v>
      </c>
      <c r="V46">
        <v>1.06494582208647</v>
      </c>
      <c r="W46">
        <v>0.963514977565746</v>
      </c>
      <c r="X46">
        <v>1.20302898354284</v>
      </c>
      <c r="Y46">
        <v>0.92602487527134003</v>
      </c>
      <c r="Z46">
        <v>1.4977145841647399</v>
      </c>
      <c r="AA46">
        <v>1.0478157211311001</v>
      </c>
      <c r="AB46">
        <v>0.91503019724409196</v>
      </c>
      <c r="AC46">
        <v>0.94922434252638899</v>
      </c>
      <c r="AD46">
        <v>1.02875558711864</v>
      </c>
      <c r="AE46">
        <v>0.69748810790458604</v>
      </c>
      <c r="AF46">
        <v>0.56916942358837497</v>
      </c>
      <c r="AG46">
        <v>1.05567738948529</v>
      </c>
      <c r="AH46">
        <v>1.41168405950947</v>
      </c>
      <c r="AI46">
        <v>1.0541473839389</v>
      </c>
      <c r="AJ46">
        <v>0.89975644658778697</v>
      </c>
      <c r="AK46">
        <v>0.93212213059877302</v>
      </c>
      <c r="AL46">
        <v>0.95432276335701305</v>
      </c>
      <c r="AM46">
        <v>1.0795685357614999</v>
      </c>
      <c r="AN46">
        <v>1.1282527272092799</v>
      </c>
      <c r="AO46">
        <v>0.93818657378286996</v>
      </c>
      <c r="AP46">
        <v>1.0619982755367201</v>
      </c>
      <c r="AQ46">
        <v>0.97668791320048498</v>
      </c>
      <c r="AR46">
        <v>1.00724281620977</v>
      </c>
      <c r="AS46">
        <v>1.1264387050065501</v>
      </c>
      <c r="AT46">
        <v>0.88379322564150797</v>
      </c>
      <c r="AU46">
        <v>1.09837243788271</v>
      </c>
      <c r="AV46">
        <v>1.2826010020591501</v>
      </c>
      <c r="AW46">
        <v>1.13201267883273</v>
      </c>
      <c r="AX46">
        <v>1.1349848608787301</v>
      </c>
      <c r="AY46">
        <v>1.0004945800662099</v>
      </c>
      <c r="AZ46">
        <v>1.0721757278850901</v>
      </c>
      <c r="BA46">
        <v>1.0429048400563099</v>
      </c>
      <c r="BB46">
        <v>1.09688556759222</v>
      </c>
      <c r="BC46">
        <v>1.08493130783835</v>
      </c>
      <c r="BD46">
        <v>0.96310482026381905</v>
      </c>
      <c r="BE46">
        <v>1.16915124398116</v>
      </c>
      <c r="BF46">
        <v>1.1328310277034299</v>
      </c>
      <c r="BG46">
        <v>0.93006416239557899</v>
      </c>
      <c r="BH46">
        <v>1.01434470456361</v>
      </c>
      <c r="BI46">
        <v>1.0156472500504401</v>
      </c>
      <c r="BJ46">
        <v>1.1094599725366301</v>
      </c>
      <c r="BK46">
        <v>1.0203283572208799</v>
      </c>
      <c r="BL46">
        <v>0.97416542019310104</v>
      </c>
      <c r="BM46">
        <v>1.0087658581546699</v>
      </c>
      <c r="BN46">
        <v>1.11411850296725</v>
      </c>
      <c r="BO46">
        <f>PRODUCT(B46:BN46)</f>
        <v>16.623298867749899</v>
      </c>
      <c r="BP46">
        <f>AVERAGE(B46:BO46)/_xlfn.STDEV.S(B46:BN46)</f>
        <v>8.3771133500633823</v>
      </c>
      <c r="BQ46">
        <f>PRODUCT(AD46:BN46)</f>
        <v>2.2279216766974179</v>
      </c>
      <c r="BR46">
        <f>AVERAGE(AD46:BN46)/_xlfn.STDEV.S(AD46:BN46)</f>
        <v>7.3028556599607244</v>
      </c>
    </row>
    <row r="47" spans="1:196" x14ac:dyDescent="0.4">
      <c r="A47" t="s">
        <v>101</v>
      </c>
      <c r="B47">
        <v>0.90416307353162195</v>
      </c>
      <c r="C47">
        <v>1.0547929023245199</v>
      </c>
      <c r="D47">
        <v>1.22517518850219</v>
      </c>
      <c r="E47">
        <v>1.0658434426988099</v>
      </c>
      <c r="F47">
        <v>0.89988213176973297</v>
      </c>
      <c r="G47">
        <v>0.98109151678065898</v>
      </c>
      <c r="H47">
        <v>0.95055588642433897</v>
      </c>
      <c r="I47">
        <v>1.05838762352032</v>
      </c>
      <c r="J47">
        <v>1.21115849015816</v>
      </c>
      <c r="K47">
        <v>1.01362134783953</v>
      </c>
      <c r="L47">
        <v>1.0980884171746099</v>
      </c>
      <c r="M47">
        <v>1.14410633987666</v>
      </c>
      <c r="N47">
        <v>1.1376349452977601</v>
      </c>
      <c r="O47">
        <v>0.90038526526391005</v>
      </c>
      <c r="P47">
        <v>0.87671124629997998</v>
      </c>
      <c r="Q47">
        <v>0.93853152120852501</v>
      </c>
      <c r="R47">
        <v>0.97503253122503097</v>
      </c>
      <c r="S47">
        <v>1.0399858354426399</v>
      </c>
      <c r="T47">
        <v>0.84118799709411496</v>
      </c>
      <c r="U47">
        <v>1.07885006344757</v>
      </c>
      <c r="V47">
        <v>1.09938585601115</v>
      </c>
      <c r="W47">
        <v>0.86319442788183698</v>
      </c>
      <c r="X47">
        <v>0.96116718821421598</v>
      </c>
      <c r="Y47">
        <v>1.0362381604167401</v>
      </c>
      <c r="Z47">
        <v>0.95653631521892302</v>
      </c>
      <c r="AA47">
        <v>1.1850034962093099</v>
      </c>
      <c r="AB47">
        <v>1.13425615686502</v>
      </c>
      <c r="AC47">
        <v>1.0148510566244</v>
      </c>
      <c r="AD47">
        <v>1.01488915979703</v>
      </c>
      <c r="AE47">
        <v>1.0923619666604301</v>
      </c>
      <c r="AF47">
        <v>0.93584976277161402</v>
      </c>
      <c r="AG47">
        <v>1.07963081024088</v>
      </c>
      <c r="AH47">
        <v>1.0515674597325899</v>
      </c>
      <c r="AI47">
        <v>1.01701221135186</v>
      </c>
      <c r="AJ47">
        <v>0.974669203003935</v>
      </c>
      <c r="AK47">
        <v>1.0283827505585601</v>
      </c>
      <c r="AL47">
        <v>1.0406768960484301</v>
      </c>
      <c r="AM47">
        <v>1.0346693808265</v>
      </c>
      <c r="AN47">
        <v>0.88939736107401102</v>
      </c>
      <c r="AO47">
        <v>1.0188459312654601</v>
      </c>
      <c r="AP47">
        <v>0.96163920215322596</v>
      </c>
      <c r="AQ47">
        <v>1.11629763640931</v>
      </c>
      <c r="AR47">
        <v>1.0692736981666899</v>
      </c>
      <c r="AS47">
        <v>1.0660682105294901</v>
      </c>
      <c r="AT47">
        <v>1.11556850887143</v>
      </c>
      <c r="AU47">
        <v>1.0360009798135299</v>
      </c>
      <c r="AV47">
        <v>1.10104245767496</v>
      </c>
      <c r="AW47">
        <v>1.1797721205524201</v>
      </c>
      <c r="AX47">
        <v>0.95818155803379601</v>
      </c>
      <c r="AY47">
        <v>0.957533678640619</v>
      </c>
      <c r="AZ47">
        <v>1.03715201178633</v>
      </c>
      <c r="BA47">
        <v>1.15042149316151</v>
      </c>
      <c r="BB47">
        <v>1.0845849282381601</v>
      </c>
      <c r="BC47">
        <v>0.99169767169090095</v>
      </c>
      <c r="BD47">
        <v>1.16606489233071</v>
      </c>
      <c r="BE47">
        <v>1.0462489189725499</v>
      </c>
      <c r="BF47">
        <v>1.0894807308067</v>
      </c>
      <c r="BG47">
        <v>0.99284656760489598</v>
      </c>
      <c r="BH47">
        <v>0.95127182671784205</v>
      </c>
      <c r="BI47">
        <v>0.98107370270529803</v>
      </c>
      <c r="BJ47">
        <v>1.05271736855085</v>
      </c>
      <c r="BK47">
        <v>1.08240206236161</v>
      </c>
      <c r="BL47">
        <v>0.93881538835869704</v>
      </c>
      <c r="BM47">
        <v>0.96598722601585796</v>
      </c>
      <c r="BN47">
        <v>0.95530063953842903</v>
      </c>
      <c r="BO47">
        <v>1.0488798886306701</v>
      </c>
      <c r="BP47">
        <v>1.0413440625497701</v>
      </c>
      <c r="BQ47">
        <v>1.0431208094145901</v>
      </c>
      <c r="BR47">
        <v>1.11045484966249</v>
      </c>
      <c r="BS47">
        <v>0.96183952683862906</v>
      </c>
      <c r="BT47">
        <v>0.93873294372793703</v>
      </c>
      <c r="BU47">
        <v>1.0309160502407999</v>
      </c>
      <c r="BV47">
        <v>1.09859020595158</v>
      </c>
      <c r="BW47">
        <v>1.12255907651892</v>
      </c>
      <c r="BX47">
        <v>1.2177060670484701</v>
      </c>
      <c r="BY47">
        <v>1.03505478147386</v>
      </c>
      <c r="BZ47">
        <v>1.09252740507864</v>
      </c>
      <c r="CA47">
        <v>0.93119187829934602</v>
      </c>
      <c r="CB47">
        <v>0.97409671637303097</v>
      </c>
      <c r="CC47">
        <v>0.99609713443413594</v>
      </c>
      <c r="CD47">
        <v>0.94592906959524703</v>
      </c>
      <c r="CE47">
        <v>1.0571078274631101</v>
      </c>
      <c r="CF47">
        <v>0.85292694867639096</v>
      </c>
      <c r="CG47">
        <v>1.05677302460143</v>
      </c>
      <c r="CH47">
        <v>0.96698990252106498</v>
      </c>
      <c r="CI47">
        <v>1.0542882078476099</v>
      </c>
      <c r="CJ47">
        <v>1.0130159071481</v>
      </c>
      <c r="CK47">
        <v>0.89963096128650799</v>
      </c>
      <c r="CL47">
        <v>0.87803104469939297</v>
      </c>
      <c r="CM47">
        <v>0.889586817502242</v>
      </c>
      <c r="CN47">
        <v>0.95628707290969295</v>
      </c>
      <c r="CO47">
        <v>0.60565416304312603</v>
      </c>
      <c r="CP47">
        <v>0.99031418474510002</v>
      </c>
      <c r="CQ47">
        <v>1.10852497915809</v>
      </c>
      <c r="CR47">
        <v>1.0364352150905001</v>
      </c>
      <c r="CS47">
        <v>0.923373802736972</v>
      </c>
      <c r="CT47">
        <v>1.18614982676656</v>
      </c>
      <c r="CU47">
        <v>1.2054368273407801</v>
      </c>
      <c r="CV47">
        <v>0.99010746911303005</v>
      </c>
      <c r="CW47">
        <v>0.95698889585326397</v>
      </c>
      <c r="CX47">
        <v>1.0444314883158301</v>
      </c>
      <c r="CY47">
        <v>1.0598674218820801</v>
      </c>
      <c r="CZ47">
        <v>0.98781574169470199</v>
      </c>
      <c r="DA47">
        <v>0.96467143066453498</v>
      </c>
      <c r="DB47">
        <v>0.94673078043041603</v>
      </c>
      <c r="DC47">
        <v>1.07472693793963</v>
      </c>
      <c r="DD47">
        <v>0.91093789640629796</v>
      </c>
      <c r="DE47">
        <v>0.95455880087141698</v>
      </c>
      <c r="DF47">
        <v>1.05256237540637</v>
      </c>
      <c r="DG47">
        <v>0.98775299553533502</v>
      </c>
      <c r="DH47">
        <v>0.922524696361819</v>
      </c>
      <c r="DI47">
        <v>1.0763785511430899</v>
      </c>
      <c r="DJ47">
        <v>1.00418606919634</v>
      </c>
      <c r="DK47">
        <v>1.0017431925334299</v>
      </c>
      <c r="DL47">
        <v>1.1212540378367</v>
      </c>
      <c r="DM47">
        <v>1.0917812768195101</v>
      </c>
      <c r="DN47">
        <v>0.92491902599192899</v>
      </c>
      <c r="DO47">
        <v>1.0449559862711499</v>
      </c>
      <c r="DP47">
        <v>0.98255510388399803</v>
      </c>
      <c r="DQ47">
        <v>0.91649165024393497</v>
      </c>
      <c r="DR47">
        <v>1.0351945349712299</v>
      </c>
      <c r="DS47">
        <v>1.0289560205691499</v>
      </c>
      <c r="DT47">
        <v>1.0034066182043699</v>
      </c>
      <c r="DU47">
        <v>0.99668035621363504</v>
      </c>
      <c r="DV47">
        <v>1.1246538211208501</v>
      </c>
      <c r="DW47">
        <v>0.87596580324361395</v>
      </c>
      <c r="DX47">
        <v>0.90710636629737196</v>
      </c>
      <c r="DY47">
        <v>1.10637981458046</v>
      </c>
      <c r="DZ47">
        <v>1.00721264723</v>
      </c>
      <c r="EA47">
        <v>0.99965411430656703</v>
      </c>
      <c r="EB47">
        <v>1.0546239838673499</v>
      </c>
      <c r="EC47">
        <v>1.07225879571229</v>
      </c>
      <c r="ED47">
        <v>0.97301784347095599</v>
      </c>
      <c r="EE47">
        <v>0.96208213476312698</v>
      </c>
      <c r="EF47">
        <v>0.94879961920992895</v>
      </c>
      <c r="EG47">
        <v>1.0415001487650599</v>
      </c>
      <c r="EH47">
        <v>0.99781535881729899</v>
      </c>
      <c r="EI47">
        <v>1.0599943251506101</v>
      </c>
      <c r="EJ47">
        <v>1.09555711458478</v>
      </c>
      <c r="EK47">
        <v>1.0911014793022</v>
      </c>
      <c r="EL47">
        <v>1.07532183882952</v>
      </c>
      <c r="EM47">
        <v>1.04318081464072</v>
      </c>
      <c r="EN47">
        <v>1.03152539055876</v>
      </c>
      <c r="EO47">
        <v>1.0568228124569801</v>
      </c>
      <c r="EP47">
        <v>1.0620958482293399</v>
      </c>
      <c r="EQ47">
        <v>1.0485769302577801</v>
      </c>
      <c r="ER47">
        <v>1.0241500560497601</v>
      </c>
      <c r="ES47">
        <v>0.95739311810764305</v>
      </c>
      <c r="ET47">
        <v>1.07091890993695</v>
      </c>
      <c r="EU47">
        <v>0.98049741374006205</v>
      </c>
      <c r="EV47">
        <v>1.0445122067708801</v>
      </c>
      <c r="EW47">
        <v>1.0343035146192301</v>
      </c>
      <c r="EX47">
        <v>0.99540245989853204</v>
      </c>
      <c r="EY47">
        <v>1.0050997481242001</v>
      </c>
      <c r="EZ47">
        <v>0.98461862327526195</v>
      </c>
      <c r="FA47">
        <v>1.0574602014991901</v>
      </c>
      <c r="FB47">
        <v>1.0604976501243899</v>
      </c>
      <c r="FC47">
        <v>1.0419552148576701</v>
      </c>
      <c r="FD47">
        <v>0.99809456439844602</v>
      </c>
      <c r="FE47">
        <v>0.99553889755296898</v>
      </c>
      <c r="FF47">
        <v>1.05495467021842</v>
      </c>
      <c r="FG47">
        <v>1.03797472876454</v>
      </c>
      <c r="FH47">
        <v>1.0168083055107</v>
      </c>
      <c r="FI47">
        <v>0.96850750381898298</v>
      </c>
      <c r="FJ47">
        <v>0.98245136988781701</v>
      </c>
      <c r="FK47">
        <v>0.99326000458837804</v>
      </c>
      <c r="FL47">
        <v>1.0659608616313001</v>
      </c>
      <c r="FM47">
        <v>1.1095367876359601</v>
      </c>
      <c r="FN47">
        <v>1.0799912651344199</v>
      </c>
      <c r="FO47">
        <v>1.0479147012309</v>
      </c>
      <c r="FP47">
        <v>1.006266732434</v>
      </c>
      <c r="FQ47">
        <v>0.97402789324902095</v>
      </c>
      <c r="FR47">
        <v>1.0023446625616099</v>
      </c>
      <c r="FS47">
        <v>0.95877597365849598</v>
      </c>
      <c r="FT47">
        <v>1.0269009045337201</v>
      </c>
      <c r="FU47">
        <v>1.0155216998032299</v>
      </c>
      <c r="FV47">
        <v>0.97651083199224098</v>
      </c>
      <c r="FW47">
        <v>1.0415978458838899</v>
      </c>
      <c r="FX47">
        <v>0.99180217293703099</v>
      </c>
      <c r="FY47">
        <v>0.98663023435077302</v>
      </c>
      <c r="FZ47">
        <v>1.0806668411695799</v>
      </c>
      <c r="GA47">
        <v>1.0415207874947401</v>
      </c>
      <c r="GB47">
        <v>0.98855923249698197</v>
      </c>
      <c r="GC47">
        <v>0.997923685008552</v>
      </c>
      <c r="GD47">
        <v>1.0504209440547301</v>
      </c>
      <c r="GE47">
        <v>0.97757041952050105</v>
      </c>
      <c r="GF47">
        <v>1.0048198009668601</v>
      </c>
      <c r="GG47">
        <v>0.95430676443851603</v>
      </c>
      <c r="GH47">
        <v>1.0188330042937499</v>
      </c>
      <c r="GI47">
        <v>1.0437128723461699</v>
      </c>
      <c r="GJ47">
        <v>0.96888492889353695</v>
      </c>
      <c r="GK47">
        <v>1.0023023134031701</v>
      </c>
      <c r="GL47">
        <v>1.01725467042365</v>
      </c>
      <c r="GM47">
        <v>1.0403174216692199</v>
      </c>
      <c r="GN47">
        <v>1.0565553913143</v>
      </c>
    </row>
    <row r="49" spans="1:196" x14ac:dyDescent="0.4">
      <c r="A49" t="s">
        <v>9</v>
      </c>
      <c r="B49">
        <v>1.1373085937693901</v>
      </c>
      <c r="C49">
        <v>0.93465039802426297</v>
      </c>
      <c r="D49">
        <v>1.2239834802060101</v>
      </c>
      <c r="E49">
        <v>1.3285617419031699</v>
      </c>
      <c r="F49">
        <v>0.90240614254713503</v>
      </c>
      <c r="G49">
        <v>0.99776486298109301</v>
      </c>
      <c r="H49">
        <v>0.97095412328698205</v>
      </c>
      <c r="I49">
        <v>0.83733511417691198</v>
      </c>
      <c r="J49">
        <v>1.2274433012585899</v>
      </c>
      <c r="K49">
        <v>1.17802744623083</v>
      </c>
      <c r="L49">
        <v>1.0555216364028299</v>
      </c>
      <c r="M49">
        <v>1.03639637446523</v>
      </c>
      <c r="N49">
        <v>0.92435898499121905</v>
      </c>
      <c r="O49">
        <v>1.0704856533866201</v>
      </c>
      <c r="P49">
        <v>1.2598360274025899</v>
      </c>
      <c r="Q49">
        <v>1.31618228840707</v>
      </c>
      <c r="R49">
        <v>0.956064236906637</v>
      </c>
      <c r="S49">
        <v>1.19656285462888</v>
      </c>
      <c r="T49">
        <v>1.3080788168734201</v>
      </c>
      <c r="U49">
        <v>0.94107607762960899</v>
      </c>
      <c r="V49">
        <v>1.0071483126138301</v>
      </c>
      <c r="W49">
        <v>0.97691080319012202</v>
      </c>
      <c r="X49">
        <v>1.1935608166477001</v>
      </c>
      <c r="Y49">
        <v>0.94533671969250399</v>
      </c>
      <c r="Z49">
        <v>1.4184994327749401</v>
      </c>
      <c r="AA49">
        <v>1.08375770612792</v>
      </c>
      <c r="AB49">
        <v>0.90899239258136999</v>
      </c>
      <c r="AC49">
        <v>0.92579681321348894</v>
      </c>
      <c r="AD49">
        <v>1.0622828343349699</v>
      </c>
      <c r="AE49">
        <v>0.75971226083827503</v>
      </c>
      <c r="AF49">
        <v>0.636209423426224</v>
      </c>
      <c r="AG49">
        <v>1.0892724454699101</v>
      </c>
      <c r="AH49">
        <v>1.4233887224564401</v>
      </c>
      <c r="AI49">
        <v>1.03157053940371</v>
      </c>
      <c r="AJ49">
        <v>0.89964229290990505</v>
      </c>
      <c r="AK49">
        <v>0.97584042206644495</v>
      </c>
      <c r="AL49">
        <v>0.96750922675978601</v>
      </c>
      <c r="AM49">
        <v>1.06593675693165</v>
      </c>
      <c r="AN49">
        <v>1.1303598394743599</v>
      </c>
      <c r="AO49">
        <v>0.95365721116922497</v>
      </c>
      <c r="AP49">
        <v>1.0566876045112299</v>
      </c>
      <c r="AQ49">
        <v>0.98141915843290495</v>
      </c>
      <c r="AR49">
        <v>0.98048723610130595</v>
      </c>
      <c r="AS49">
        <v>1.12397779269423</v>
      </c>
      <c r="AT49">
        <v>0.87099121138311397</v>
      </c>
      <c r="AU49">
        <v>1.0657977429205401</v>
      </c>
      <c r="AV49">
        <v>1.18677947270785</v>
      </c>
      <c r="AW49">
        <v>1.1164635619291601</v>
      </c>
      <c r="AX49">
        <v>1.16585461927209</v>
      </c>
      <c r="AY49">
        <v>0.99963988412504001</v>
      </c>
      <c r="AZ49">
        <v>1.05423607197292</v>
      </c>
      <c r="BA49">
        <v>1.06322216122849</v>
      </c>
      <c r="BB49">
        <v>1.08860214785507</v>
      </c>
      <c r="BC49">
        <v>1.0957087749225201</v>
      </c>
      <c r="BD49">
        <v>0.95998369625409496</v>
      </c>
      <c r="BE49">
        <v>1.1501827178812001</v>
      </c>
      <c r="BF49">
        <v>1.1322361137150101</v>
      </c>
      <c r="BG49">
        <v>0.93100906519090498</v>
      </c>
      <c r="BH49">
        <v>1.00313771232704</v>
      </c>
      <c r="BI49">
        <v>1.02713706256473</v>
      </c>
      <c r="BJ49">
        <v>1.10762779065147</v>
      </c>
      <c r="BK49">
        <v>0.98471759491477096</v>
      </c>
      <c r="BL49">
        <v>0.96788922759748697</v>
      </c>
      <c r="BM49">
        <v>1.0621854979410601</v>
      </c>
      <c r="BN49">
        <v>1.07942701360823</v>
      </c>
      <c r="BO49">
        <f>PRODUCT(B49:BN49)</f>
        <v>16.926168765137568</v>
      </c>
      <c r="BP49">
        <f>AVERAGE(B49:BO49)/_xlfn.STDEV.S(B49:BN49)</f>
        <v>9.0907503147356827</v>
      </c>
      <c r="BQ49">
        <f>PRODUCT(AD49:BN49)</f>
        <v>2.548274318201234</v>
      </c>
      <c r="BR49">
        <f>AVERAGE(AD49:BN49)/_xlfn.STDEV.S(AD49:BN49)</f>
        <v>8.106611206126324</v>
      </c>
    </row>
    <row r="50" spans="1:196" x14ac:dyDescent="0.4">
      <c r="A50" t="s">
        <v>2</v>
      </c>
      <c r="B50">
        <v>1.1273085937693901</v>
      </c>
      <c r="C50">
        <v>0.93285039802426295</v>
      </c>
      <c r="D50">
        <v>1.2221834802060101</v>
      </c>
      <c r="E50">
        <v>1.32536174190317</v>
      </c>
      <c r="F50">
        <v>0.89940614254713502</v>
      </c>
      <c r="G50">
        <v>0.99496486298109299</v>
      </c>
      <c r="H50">
        <v>0.968354123286982</v>
      </c>
      <c r="I50">
        <v>0.83533511417691197</v>
      </c>
      <c r="J50">
        <v>1.22264330125859</v>
      </c>
      <c r="K50">
        <v>1.1754274462308301</v>
      </c>
      <c r="L50">
        <v>1.0523216364028201</v>
      </c>
      <c r="M50">
        <v>1.03279637446523</v>
      </c>
      <c r="N50">
        <v>0.92055898499121902</v>
      </c>
      <c r="O50">
        <v>1.06688565338662</v>
      </c>
      <c r="P50">
        <v>1.25743602740259</v>
      </c>
      <c r="Q50">
        <v>1.3133822884070701</v>
      </c>
      <c r="R50">
        <v>0.95166423690663704</v>
      </c>
      <c r="S50">
        <v>1.1935628546288799</v>
      </c>
      <c r="T50">
        <v>1.3058788168734199</v>
      </c>
      <c r="U50">
        <v>0.93767607762960903</v>
      </c>
      <c r="V50">
        <v>1.0027483126138299</v>
      </c>
      <c r="W50">
        <v>0.97331080319012198</v>
      </c>
      <c r="X50">
        <v>1.1911608166476999</v>
      </c>
      <c r="Y50">
        <v>0.94153671969250397</v>
      </c>
      <c r="Z50">
        <v>1.41489943277494</v>
      </c>
      <c r="AA50">
        <v>1.0789577061279201</v>
      </c>
      <c r="AB50">
        <v>0.90599239258136999</v>
      </c>
      <c r="AC50">
        <v>0.92179681321348905</v>
      </c>
      <c r="AD50">
        <v>1.0590828343349701</v>
      </c>
      <c r="AE50">
        <v>0.75571226083827503</v>
      </c>
      <c r="AF50">
        <v>0.63300942342622402</v>
      </c>
      <c r="AG50">
        <v>1.08447244546991</v>
      </c>
      <c r="AH50">
        <v>1.4193887224564401</v>
      </c>
      <c r="AI50">
        <v>1.02737053940371</v>
      </c>
      <c r="AJ50">
        <v>0.89724229290990498</v>
      </c>
      <c r="AK50">
        <v>0.97364042206644497</v>
      </c>
      <c r="AL50">
        <v>0.96390922675978596</v>
      </c>
      <c r="AM50">
        <v>1.06213675693165</v>
      </c>
      <c r="AN50">
        <v>1.1263598394743599</v>
      </c>
      <c r="AO50">
        <v>0.95125721116922501</v>
      </c>
      <c r="AP50">
        <v>1.0506876045112299</v>
      </c>
      <c r="AQ50">
        <v>0.97761915843290503</v>
      </c>
      <c r="AR50">
        <v>0.97668723610130603</v>
      </c>
      <c r="AS50">
        <v>1.1211777926942299</v>
      </c>
      <c r="AT50">
        <v>0.86659121138311401</v>
      </c>
      <c r="AU50">
        <v>1.06259774292054</v>
      </c>
      <c r="AV50">
        <v>1.18437947270785</v>
      </c>
      <c r="AW50">
        <v>1.11286356192916</v>
      </c>
      <c r="AX50">
        <v>1.16145461927209</v>
      </c>
      <c r="AY50">
        <v>0.99503988412503996</v>
      </c>
      <c r="AZ50">
        <v>1.05023607197292</v>
      </c>
      <c r="BA50">
        <v>1.0602221612284899</v>
      </c>
      <c r="BB50">
        <v>1.0840021478550701</v>
      </c>
      <c r="BC50">
        <v>1.0917087749225201</v>
      </c>
      <c r="BD50">
        <v>0.95638369625409503</v>
      </c>
      <c r="BE50">
        <v>1.1455827178811999</v>
      </c>
      <c r="BF50">
        <v>1.1262361137150101</v>
      </c>
      <c r="BG50">
        <v>0.92560906519090502</v>
      </c>
      <c r="BH50">
        <v>0.998737712327046</v>
      </c>
      <c r="BI50">
        <v>1.0241370625647299</v>
      </c>
      <c r="BJ50">
        <v>1.1042277906514699</v>
      </c>
      <c r="BK50">
        <v>0.98151759491477097</v>
      </c>
      <c r="BL50">
        <v>0.96428922759748703</v>
      </c>
      <c r="BM50">
        <v>1.05858549794106</v>
      </c>
      <c r="BN50">
        <v>1.0744270136082299</v>
      </c>
      <c r="BO50">
        <f>PRODUCT(B50:BN50)</f>
        <v>13.440136419610386</v>
      </c>
      <c r="BP50">
        <f>AVERAGE(B50:BO50)/_xlfn.STDEV.S(B50:BN50)</f>
        <v>8.6961130574720613</v>
      </c>
      <c r="BQ50">
        <f>PRODUCT(AD50:BN50)</f>
        <v>2.2166058619985591</v>
      </c>
      <c r="BR50">
        <f>AVERAGE(AD50:BN50)/_xlfn.STDEV.S(AD50:BN50)</f>
        <v>8.0850346399955626</v>
      </c>
    </row>
    <row r="51" spans="1:196" x14ac:dyDescent="0.4">
      <c r="A51" t="s">
        <v>101</v>
      </c>
      <c r="B51">
        <v>0.89755403337970796</v>
      </c>
      <c r="C51">
        <v>1.0603845512632299</v>
      </c>
      <c r="D51">
        <v>1.1949626361029699</v>
      </c>
      <c r="E51">
        <v>1.0447391973759499</v>
      </c>
      <c r="F51">
        <v>0.89230009249601006</v>
      </c>
      <c r="G51">
        <v>1.0026061587089701</v>
      </c>
      <c r="H51">
        <v>0.94628365306784001</v>
      </c>
      <c r="I51">
        <v>1.07451004016003</v>
      </c>
      <c r="J51">
        <v>1.20377062331839</v>
      </c>
      <c r="K51">
        <v>1.0281221048642999</v>
      </c>
      <c r="L51">
        <v>1.139395341795</v>
      </c>
      <c r="M51">
        <v>1.1341293921792199</v>
      </c>
      <c r="N51">
        <v>1.14912999763917</v>
      </c>
      <c r="O51">
        <v>0.87358218974013502</v>
      </c>
      <c r="P51">
        <v>0.89893669669551601</v>
      </c>
      <c r="Q51">
        <v>0.95999171196406796</v>
      </c>
      <c r="R51">
        <v>0.99415832096802004</v>
      </c>
      <c r="S51">
        <v>1.0454545821211101</v>
      </c>
      <c r="T51">
        <v>0.86444151118798596</v>
      </c>
      <c r="U51">
        <v>1.02499415156316</v>
      </c>
      <c r="V51">
        <v>1.0958262740873901</v>
      </c>
      <c r="W51">
        <v>0.87615145555613005</v>
      </c>
      <c r="X51">
        <v>0.94474248805809502</v>
      </c>
      <c r="Y51">
        <v>1.0115949900410199</v>
      </c>
      <c r="Z51">
        <v>0.93198475631482303</v>
      </c>
      <c r="AA51">
        <v>1.16686356055999</v>
      </c>
      <c r="AB51">
        <v>1.12868448020307</v>
      </c>
      <c r="AC51">
        <v>1.0303237126451099</v>
      </c>
      <c r="AD51">
        <v>1.01008667064835</v>
      </c>
      <c r="AE51">
        <v>1.13193913117081</v>
      </c>
      <c r="AF51">
        <v>0.92943407294014302</v>
      </c>
      <c r="AG51">
        <v>1.0817169590723701</v>
      </c>
      <c r="AH51">
        <v>1.04986851540364</v>
      </c>
      <c r="AI51">
        <v>1.03331238291025</v>
      </c>
      <c r="AJ51">
        <v>0.97761742412478303</v>
      </c>
      <c r="AK51">
        <v>1.0259479257597</v>
      </c>
      <c r="AL51">
        <v>1.0084923942740101</v>
      </c>
      <c r="AM51">
        <v>1.0207699409794899</v>
      </c>
      <c r="AN51">
        <v>0.89792521442334805</v>
      </c>
      <c r="AO51">
        <v>0.995598103611532</v>
      </c>
      <c r="AP51">
        <v>0.967102324645011</v>
      </c>
      <c r="AQ51">
        <v>1.1117940957213099</v>
      </c>
      <c r="AR51">
        <v>1.0772928861394</v>
      </c>
      <c r="AS51">
        <v>1.0601496680248299</v>
      </c>
      <c r="AT51">
        <v>1.10309534011092</v>
      </c>
      <c r="AU51">
        <v>1.0175008682600299</v>
      </c>
      <c r="AV51">
        <v>1.1143132737369901</v>
      </c>
      <c r="AW51">
        <v>1.1608442376691299</v>
      </c>
      <c r="AX51">
        <v>0.97530327154010399</v>
      </c>
      <c r="AY51">
        <v>0.955819847245027</v>
      </c>
      <c r="AZ51">
        <v>1.02558426193361</v>
      </c>
      <c r="BA51">
        <v>1.1294255286174799</v>
      </c>
      <c r="BB51">
        <v>1.06265541717693</v>
      </c>
      <c r="BC51">
        <v>0.99697772754141301</v>
      </c>
      <c r="BD51">
        <v>1.15219903245136</v>
      </c>
      <c r="BE51">
        <v>1.0340273706560501</v>
      </c>
      <c r="BF51">
        <v>1.09792929186233</v>
      </c>
      <c r="BG51">
        <v>0.99197442068814301</v>
      </c>
      <c r="BH51">
        <v>0.97029950411144605</v>
      </c>
      <c r="BI51">
        <v>0.97772889643925798</v>
      </c>
      <c r="BJ51">
        <v>1.0163434068083901</v>
      </c>
      <c r="BK51">
        <v>1.0614163996701</v>
      </c>
      <c r="BL51">
        <v>0.93361358341559997</v>
      </c>
      <c r="BM51">
        <v>0.95706387307391105</v>
      </c>
      <c r="BN51">
        <v>0.97574557612486901</v>
      </c>
      <c r="BO51">
        <v>1.0461101078616899</v>
      </c>
      <c r="BP51">
        <v>1.0423052502324099</v>
      </c>
      <c r="BQ51">
        <v>1.0296729900925801</v>
      </c>
      <c r="BR51">
        <v>1.11211655797319</v>
      </c>
      <c r="BS51">
        <v>0.98657597695259003</v>
      </c>
      <c r="BT51">
        <v>0.930779564385673</v>
      </c>
      <c r="BU51">
        <v>1.0294592297146601</v>
      </c>
      <c r="BV51">
        <v>1.08313278871634</v>
      </c>
      <c r="BW51">
        <v>1.1010422378985201</v>
      </c>
      <c r="BX51">
        <v>1.18944258657757</v>
      </c>
      <c r="BY51">
        <v>1.023696104336</v>
      </c>
      <c r="BZ51">
        <v>1.1239768165542701</v>
      </c>
      <c r="CA51">
        <v>0.941897826073964</v>
      </c>
      <c r="CB51">
        <v>0.98350887946722798</v>
      </c>
      <c r="CC51">
        <v>0.98929935292195903</v>
      </c>
      <c r="CD51">
        <v>0.93423092305889799</v>
      </c>
      <c r="CE51">
        <v>1.0209828756913299</v>
      </c>
      <c r="CF51">
        <v>0.85902465074908096</v>
      </c>
      <c r="CG51">
        <v>1.0555810787470901</v>
      </c>
      <c r="CH51">
        <v>0.95377187832863897</v>
      </c>
      <c r="CI51">
        <v>1.0590186922049301</v>
      </c>
      <c r="CJ51">
        <v>1.0517003652277199</v>
      </c>
      <c r="CK51">
        <v>0.91871054511990102</v>
      </c>
      <c r="CL51">
        <v>0.91446799505835197</v>
      </c>
      <c r="CM51">
        <v>0.90427791375106703</v>
      </c>
      <c r="CN51">
        <v>0.96906973063554802</v>
      </c>
      <c r="CO51">
        <v>0.64607143829281999</v>
      </c>
      <c r="CP51">
        <v>1.0161656896604301</v>
      </c>
      <c r="CQ51">
        <v>1.09911611309837</v>
      </c>
      <c r="CR51">
        <v>1.06012138981272</v>
      </c>
      <c r="CS51">
        <v>0.93484012711731201</v>
      </c>
      <c r="CT51">
        <v>1.1855989955711399</v>
      </c>
      <c r="CU51">
        <v>1.22112741353201</v>
      </c>
      <c r="CV51">
        <v>0.98316116808334197</v>
      </c>
      <c r="CW51">
        <v>0.96580537016210999</v>
      </c>
      <c r="CX51">
        <v>1.0332233889936699</v>
      </c>
      <c r="CY51">
        <v>1.03374896100077</v>
      </c>
      <c r="CZ51">
        <v>0.98543410823466604</v>
      </c>
      <c r="DA51">
        <v>0.95491104459165099</v>
      </c>
      <c r="DB51">
        <v>0.95604725116937295</v>
      </c>
      <c r="DC51">
        <v>1.08160178998344</v>
      </c>
      <c r="DD51">
        <v>0.92598854844721201</v>
      </c>
      <c r="DE51">
        <v>0.974329362422098</v>
      </c>
      <c r="DF51">
        <v>1.0492559055106401</v>
      </c>
      <c r="DG51">
        <v>0.99329594616776096</v>
      </c>
      <c r="DH51">
        <v>0.92831427789169296</v>
      </c>
      <c r="DI51">
        <v>1.0573838357990899</v>
      </c>
      <c r="DJ51">
        <v>1.0082666184484199</v>
      </c>
      <c r="DK51">
        <v>0.99982359702429502</v>
      </c>
      <c r="DL51">
        <v>1.0911723135006299</v>
      </c>
      <c r="DM51">
        <v>1.09991497919723</v>
      </c>
      <c r="DN51">
        <v>0.94181209729089499</v>
      </c>
      <c r="DO51">
        <v>1.0457192115042899</v>
      </c>
      <c r="DP51">
        <v>0.98962867844713998</v>
      </c>
      <c r="DQ51">
        <v>0.92152036672075899</v>
      </c>
      <c r="DR51">
        <v>1.05457162295353</v>
      </c>
      <c r="DS51">
        <v>1.0208133821477801</v>
      </c>
      <c r="DT51">
        <v>0.98157655646802799</v>
      </c>
      <c r="DU51">
        <v>1.01709261248578</v>
      </c>
      <c r="DV51">
        <v>1.0933536985910699</v>
      </c>
      <c r="DW51">
        <v>0.882537876446577</v>
      </c>
      <c r="DX51">
        <v>0.91156825936974295</v>
      </c>
      <c r="DY51">
        <v>1.08327108424884</v>
      </c>
      <c r="DZ51">
        <v>0.99292306458913904</v>
      </c>
      <c r="EA51">
        <v>1.00278556372651</v>
      </c>
      <c r="EB51">
        <v>1.05977086720129</v>
      </c>
      <c r="EC51">
        <v>1.05763954524752</v>
      </c>
      <c r="ED51">
        <v>0.96137400635596704</v>
      </c>
      <c r="EE51">
        <v>0.95617684609012399</v>
      </c>
      <c r="EF51">
        <v>0.94750863019523501</v>
      </c>
      <c r="EG51">
        <v>1.03322705816391</v>
      </c>
      <c r="EH51">
        <v>0.98193006678839301</v>
      </c>
      <c r="EI51">
        <v>1.05050582975929</v>
      </c>
      <c r="EJ51">
        <v>1.07955518149634</v>
      </c>
      <c r="EK51">
        <v>1.03619205357164</v>
      </c>
      <c r="EL51">
        <v>1.0609255834912701</v>
      </c>
      <c r="EM51">
        <v>1.02498284484581</v>
      </c>
      <c r="EN51">
        <v>1.0303381263558899</v>
      </c>
      <c r="EO51">
        <v>1.0571781689800599</v>
      </c>
      <c r="EP51">
        <v>1.06571023242425</v>
      </c>
      <c r="EQ51">
        <v>1.08250309250101</v>
      </c>
      <c r="ER51">
        <v>1.0105926059486701</v>
      </c>
      <c r="ES51">
        <v>0.945455216615956</v>
      </c>
      <c r="ET51">
        <v>1.06557971346055</v>
      </c>
      <c r="EU51">
        <v>0.99223985965508099</v>
      </c>
      <c r="EV51">
        <v>1.04716499219405</v>
      </c>
      <c r="EW51">
        <v>1.0179953147876</v>
      </c>
      <c r="EX51">
        <v>0.98895601887670104</v>
      </c>
      <c r="EY51">
        <v>1.0016334929300299</v>
      </c>
      <c r="EZ51">
        <v>1.0029254704208499</v>
      </c>
      <c r="FA51">
        <v>1.0583919334183201</v>
      </c>
      <c r="FB51">
        <v>1.05179060459787</v>
      </c>
      <c r="FC51">
        <v>1.0365153760552801</v>
      </c>
      <c r="FD51">
        <v>0.99853697450554602</v>
      </c>
      <c r="FE51">
        <v>0.99020670939125499</v>
      </c>
      <c r="FF51">
        <v>1.0583024805408301</v>
      </c>
      <c r="FG51">
        <v>1.0455852810403199</v>
      </c>
      <c r="FH51">
        <v>1.01333093881359</v>
      </c>
      <c r="FI51">
        <v>0.95138280048713397</v>
      </c>
      <c r="FJ51">
        <v>0.99576592088452398</v>
      </c>
      <c r="FK51">
        <v>0.99532204855193995</v>
      </c>
      <c r="FL51">
        <v>1.0625425211388999</v>
      </c>
      <c r="FM51">
        <v>1.0875691859954599</v>
      </c>
      <c r="FN51">
        <v>1.07757127484996</v>
      </c>
      <c r="FO51">
        <v>1.0452121901050699</v>
      </c>
      <c r="FP51">
        <v>1.00527881646609</v>
      </c>
      <c r="FQ51">
        <v>0.99866022121700304</v>
      </c>
      <c r="FR51">
        <v>0.98778296856544501</v>
      </c>
      <c r="FS51">
        <v>0.94378837706333696</v>
      </c>
      <c r="FT51">
        <v>1.00940060940597</v>
      </c>
      <c r="FU51">
        <v>1.0001678765208599</v>
      </c>
      <c r="FV51">
        <v>0.99362862274710995</v>
      </c>
      <c r="FW51">
        <v>1.0201111867964101</v>
      </c>
      <c r="FX51">
        <v>0.99920308451495599</v>
      </c>
      <c r="FY51">
        <v>1.00769040681925</v>
      </c>
      <c r="FZ51">
        <v>1.0742280977955501</v>
      </c>
      <c r="GA51">
        <v>1.03533110031126</v>
      </c>
      <c r="GB51">
        <v>0.99590537446801197</v>
      </c>
      <c r="GC51">
        <v>0.99934111953985305</v>
      </c>
      <c r="GD51">
        <v>1.03055920053493</v>
      </c>
      <c r="GE51">
        <v>0.95614772383401303</v>
      </c>
      <c r="GF51">
        <v>1.00779057363715</v>
      </c>
      <c r="GG51">
        <v>0.95881708005304001</v>
      </c>
      <c r="GH51">
        <v>1.00165831971693</v>
      </c>
      <c r="GI51">
        <v>1.0599029638372801</v>
      </c>
      <c r="GJ51">
        <v>1.0022331397406099</v>
      </c>
      <c r="GK51">
        <v>0.99992056884231995</v>
      </c>
      <c r="GL51">
        <v>1.00734494598076</v>
      </c>
      <c r="GM51">
        <v>1.02882137366227</v>
      </c>
      <c r="GN51">
        <v>1.0415379350704901</v>
      </c>
    </row>
    <row r="53" spans="1:196" x14ac:dyDescent="0.4">
      <c r="A53" t="s">
        <v>103</v>
      </c>
      <c r="B53">
        <v>1.1454127728036001</v>
      </c>
      <c r="C53">
        <v>0.91084835977975198</v>
      </c>
      <c r="D53">
        <v>1.2138013818772999</v>
      </c>
      <c r="E53">
        <v>1.3223578433132299</v>
      </c>
      <c r="F53">
        <v>0.93414180001266101</v>
      </c>
      <c r="G53">
        <v>0.98229491504347</v>
      </c>
      <c r="H53">
        <v>0.96765247002875399</v>
      </c>
      <c r="I53">
        <v>0.83483129573710102</v>
      </c>
      <c r="J53">
        <v>1.1955999050394199</v>
      </c>
      <c r="K53">
        <v>1.1629271788494899</v>
      </c>
      <c r="L53">
        <v>1.0505846916788699</v>
      </c>
      <c r="M53">
        <v>1.06028348579544</v>
      </c>
      <c r="N53">
        <v>0.92839948754121004</v>
      </c>
      <c r="O53">
        <v>1.06000067885833</v>
      </c>
      <c r="P53">
        <v>1.2310599554991599</v>
      </c>
      <c r="Q53">
        <v>1.29565196726827</v>
      </c>
      <c r="R53">
        <v>0.96141234007749998</v>
      </c>
      <c r="S53">
        <v>1.2133323821791899</v>
      </c>
      <c r="T53">
        <v>1.3249607485800401</v>
      </c>
      <c r="U53">
        <v>0.93267535168217597</v>
      </c>
      <c r="V53">
        <v>0.98681198733600595</v>
      </c>
      <c r="W53">
        <v>0.97273696962299205</v>
      </c>
      <c r="X53">
        <v>1.20450635396401</v>
      </c>
      <c r="Y53">
        <v>0.93148392321444196</v>
      </c>
      <c r="Z53">
        <v>1.4375104092153499</v>
      </c>
      <c r="AA53">
        <v>1.09772937489101</v>
      </c>
      <c r="AB53">
        <v>0.92878885173629</v>
      </c>
      <c r="AC53">
        <v>0.93968019195673103</v>
      </c>
      <c r="AD53">
        <v>1.07036126564935</v>
      </c>
      <c r="AE53">
        <v>0.75627603468790305</v>
      </c>
      <c r="AF53">
        <v>0.63757199119687902</v>
      </c>
      <c r="AG53">
        <v>1.0689364625453399</v>
      </c>
      <c r="AH53">
        <v>1.3966402859305</v>
      </c>
      <c r="AI53">
        <v>1.0132267271589199</v>
      </c>
      <c r="AJ53">
        <v>0.91278552393228796</v>
      </c>
      <c r="AK53">
        <v>0.99868531651350401</v>
      </c>
      <c r="AL53">
        <v>0.96703465986057102</v>
      </c>
      <c r="AM53">
        <v>1.0653481866238099</v>
      </c>
      <c r="AN53">
        <v>1.1248817262709301</v>
      </c>
      <c r="AO53">
        <v>0.95846489739807195</v>
      </c>
      <c r="AP53">
        <v>1.06775306937155</v>
      </c>
      <c r="AQ53">
        <v>1.0076954851238</v>
      </c>
      <c r="AR53">
        <v>0.95457220369152096</v>
      </c>
      <c r="AS53">
        <v>1.1113173067575199</v>
      </c>
      <c r="AT53">
        <v>0.86396753491801204</v>
      </c>
      <c r="AU53">
        <v>1.0807246144853699</v>
      </c>
      <c r="AV53">
        <v>1.1356428822676701</v>
      </c>
      <c r="AW53">
        <v>1.1254140675713</v>
      </c>
      <c r="AX53">
        <v>1.1693910583029401</v>
      </c>
      <c r="AY53">
        <v>0.98881558811484505</v>
      </c>
      <c r="AZ53">
        <v>1.03271416693357</v>
      </c>
      <c r="BA53">
        <v>1.0585300922921901</v>
      </c>
      <c r="BB53">
        <v>1.07652749114558</v>
      </c>
      <c r="BC53">
        <v>1.0623939390730901</v>
      </c>
      <c r="BD53">
        <v>0.94830950508230605</v>
      </c>
      <c r="BE53">
        <v>1.13869056863796</v>
      </c>
      <c r="BF53">
        <v>1.15589062033681</v>
      </c>
      <c r="BG53">
        <v>0.91385491200778102</v>
      </c>
      <c r="BH53">
        <v>1.00732224831359</v>
      </c>
      <c r="BI53">
        <v>1.0122063646777</v>
      </c>
      <c r="BJ53">
        <v>1.0987037344131301</v>
      </c>
      <c r="BK53">
        <v>0.98521535078813105</v>
      </c>
      <c r="BL53">
        <v>0.954122062907654</v>
      </c>
      <c r="BM53">
        <v>1.05183011002671</v>
      </c>
      <c r="BN53">
        <v>1.0731928783198399</v>
      </c>
      <c r="BO53">
        <f>PRODUCT(B53:BN53)</f>
        <v>13.618350592318972</v>
      </c>
      <c r="BP53">
        <f>AVERAGE(B53:BO53)/_xlfn.STDEV.S(B53:BN53)</f>
        <v>8.8247120970968886</v>
      </c>
      <c r="BQ53">
        <f>PRODUCT(AD53:BN53)</f>
        <v>2.1106015620826346</v>
      </c>
      <c r="BR53">
        <f>AVERAGE(AD53:BN53)/_xlfn.STDEV.S(AD53:BN53)</f>
        <v>8.2889074327195562</v>
      </c>
    </row>
    <row r="54" spans="1:196" x14ac:dyDescent="0.4">
      <c r="A54" t="s">
        <v>2</v>
      </c>
      <c r="B54">
        <v>1.1354127728036001</v>
      </c>
      <c r="C54">
        <v>0.90884835977975198</v>
      </c>
      <c r="D54">
        <v>1.21126804854397</v>
      </c>
      <c r="E54">
        <v>1.3200911766465599</v>
      </c>
      <c r="F54">
        <v>0.93094180001266102</v>
      </c>
      <c r="G54">
        <v>0.97976158171013605</v>
      </c>
      <c r="H54">
        <v>0.96578580336208697</v>
      </c>
      <c r="I54">
        <v>0.83309796240376799</v>
      </c>
      <c r="J54">
        <v>1.1918665717060899</v>
      </c>
      <c r="K54">
        <v>1.1609271788494899</v>
      </c>
      <c r="L54">
        <v>1.04791802501221</v>
      </c>
      <c r="M54">
        <v>1.0573501524621101</v>
      </c>
      <c r="N54">
        <v>0.92493282087454298</v>
      </c>
      <c r="O54">
        <v>1.0573340121916599</v>
      </c>
      <c r="P54">
        <v>1.22865995549916</v>
      </c>
      <c r="Q54">
        <v>1.2929853006016001</v>
      </c>
      <c r="R54">
        <v>0.95767900674416695</v>
      </c>
      <c r="S54">
        <v>1.21106571551253</v>
      </c>
      <c r="T54">
        <v>1.3226940819133699</v>
      </c>
      <c r="U54">
        <v>0.92974201834884296</v>
      </c>
      <c r="V54">
        <v>0.98374532066933995</v>
      </c>
      <c r="W54">
        <v>0.96993696962299203</v>
      </c>
      <c r="X54">
        <v>1.20237302063067</v>
      </c>
      <c r="Y54">
        <v>0.92855058988110895</v>
      </c>
      <c r="Z54">
        <v>1.43471040921535</v>
      </c>
      <c r="AA54">
        <v>1.0943960415576699</v>
      </c>
      <c r="AB54">
        <v>0.925722185069623</v>
      </c>
      <c r="AC54">
        <v>0.93621352529006496</v>
      </c>
      <c r="AD54">
        <v>1.0667612656493499</v>
      </c>
      <c r="AE54">
        <v>0.75227603468790305</v>
      </c>
      <c r="AF54">
        <v>0.63477199119687899</v>
      </c>
      <c r="AG54">
        <v>1.0636031292120001</v>
      </c>
      <c r="AH54">
        <v>1.3934402859305</v>
      </c>
      <c r="AI54">
        <v>1.00896006049225</v>
      </c>
      <c r="AJ54">
        <v>0.91065219059895497</v>
      </c>
      <c r="AK54">
        <v>0.996685316513504</v>
      </c>
      <c r="AL54">
        <v>0.96410132652723801</v>
      </c>
      <c r="AM54">
        <v>1.0621481866238101</v>
      </c>
      <c r="AN54">
        <v>1.12181505960426</v>
      </c>
      <c r="AO54">
        <v>0.95633156406473796</v>
      </c>
      <c r="AP54">
        <v>1.06215306937155</v>
      </c>
      <c r="AQ54">
        <v>1.00422881845714</v>
      </c>
      <c r="AR54">
        <v>0.95150553702485396</v>
      </c>
      <c r="AS54">
        <v>1.10838397342419</v>
      </c>
      <c r="AT54">
        <v>0.86050086825134497</v>
      </c>
      <c r="AU54">
        <v>1.0773912811520401</v>
      </c>
      <c r="AV54">
        <v>1.13270954893433</v>
      </c>
      <c r="AW54">
        <v>1.1223474009046399</v>
      </c>
      <c r="AX54">
        <v>1.1652577249696101</v>
      </c>
      <c r="AY54">
        <v>0.98508225478151101</v>
      </c>
      <c r="AZ54">
        <v>1.0296475002669001</v>
      </c>
      <c r="BA54">
        <v>1.0561300922921899</v>
      </c>
      <c r="BB54">
        <v>1.07226082447891</v>
      </c>
      <c r="BC54">
        <v>1.0587939390730901</v>
      </c>
      <c r="BD54">
        <v>0.94577617174897299</v>
      </c>
      <c r="BE54">
        <v>1.1354905686379599</v>
      </c>
      <c r="BF54">
        <v>1.1509572870034801</v>
      </c>
      <c r="BG54">
        <v>0.90878824534111402</v>
      </c>
      <c r="BH54">
        <v>1.0039889149802601</v>
      </c>
      <c r="BI54">
        <v>1.0092730313443701</v>
      </c>
      <c r="BJ54">
        <v>1.09483706774647</v>
      </c>
      <c r="BK54">
        <v>0.98188201745479797</v>
      </c>
      <c r="BL54">
        <v>0.95158872957431995</v>
      </c>
      <c r="BM54">
        <v>1.0488967766933699</v>
      </c>
      <c r="BN54">
        <v>1.0691928783198399</v>
      </c>
      <c r="BO54">
        <f>PRODUCT(B54:BN54)</f>
        <v>11.11336257445978</v>
      </c>
      <c r="BP54">
        <f>AVERAGE(B54:BO54)/_xlfn.STDEV.S(B54:BN54)</f>
        <v>8.5337988567782563</v>
      </c>
      <c r="BQ54">
        <f>PRODUCT(AD54:BN54)</f>
        <v>1.8635237893015146</v>
      </c>
      <c r="BR54">
        <f>AVERAGE(AD54:BN54)/_xlfn.STDEV.S(AD54:BN54)</f>
        <v>8.2700616874726425</v>
      </c>
    </row>
    <row r="55" spans="1:196" x14ac:dyDescent="0.4">
      <c r="A55" t="s">
        <v>101</v>
      </c>
      <c r="B55">
        <v>0.91532994439858495</v>
      </c>
      <c r="C55">
        <v>1.05424145454485</v>
      </c>
      <c r="D55">
        <v>1.1869823524343399</v>
      </c>
      <c r="E55">
        <v>1.0360832179956401</v>
      </c>
      <c r="F55">
        <v>0.88758778881489997</v>
      </c>
      <c r="G55">
        <v>0.99046725586606599</v>
      </c>
      <c r="H55">
        <v>0.93154555776572601</v>
      </c>
      <c r="I55">
        <v>1.07560091992261</v>
      </c>
      <c r="J55">
        <v>1.2114133725062</v>
      </c>
      <c r="K55">
        <v>1.03388809932604</v>
      </c>
      <c r="L55">
        <v>1.14331957537724</v>
      </c>
      <c r="M55">
        <v>1.1186850127743899</v>
      </c>
      <c r="N55">
        <v>1.16662467810732</v>
      </c>
      <c r="O55">
        <v>0.88809131638652705</v>
      </c>
      <c r="P55">
        <v>0.90162100990890204</v>
      </c>
      <c r="Q55">
        <v>0.95222794318688397</v>
      </c>
      <c r="R55">
        <v>0.98786786409685201</v>
      </c>
      <c r="S55">
        <v>1.0442443071921199</v>
      </c>
      <c r="T55">
        <v>0.86908796211382999</v>
      </c>
      <c r="U55">
        <v>1.0265063663093601</v>
      </c>
      <c r="V55">
        <v>1.0846610072559399</v>
      </c>
      <c r="W55">
        <v>0.87416909950157096</v>
      </c>
      <c r="X55">
        <v>0.94620392196567205</v>
      </c>
      <c r="Y55">
        <v>1.0092959409456099</v>
      </c>
      <c r="Z55">
        <v>0.94218322111502195</v>
      </c>
      <c r="AA55">
        <v>1.1474003616533801</v>
      </c>
      <c r="AB55">
        <v>1.1059500780526501</v>
      </c>
      <c r="AC55">
        <v>1.0278390563536299</v>
      </c>
      <c r="AD55">
        <v>1.0090672122573301</v>
      </c>
      <c r="AE55">
        <v>1.1212625306689299</v>
      </c>
      <c r="AF55">
        <v>0.91778417165178805</v>
      </c>
      <c r="AG55">
        <v>1.0877488318328801</v>
      </c>
      <c r="AH55">
        <v>1.0523540560276601</v>
      </c>
      <c r="AI55">
        <v>1.0427930404366399</v>
      </c>
      <c r="AJ55">
        <v>0.99855609038989501</v>
      </c>
      <c r="AK55">
        <v>1.01824294168703</v>
      </c>
      <c r="AL55">
        <v>1.0052457357584199</v>
      </c>
      <c r="AM55">
        <v>1.0282728037498801</v>
      </c>
      <c r="AN55">
        <v>0.89816122718264402</v>
      </c>
      <c r="AO55">
        <v>0.99683521037804601</v>
      </c>
      <c r="AP55">
        <v>0.95798821520809896</v>
      </c>
      <c r="AQ55">
        <v>1.1099990497645</v>
      </c>
      <c r="AR55">
        <v>1.07425971641648</v>
      </c>
      <c r="AS55">
        <v>1.04273293817627</v>
      </c>
      <c r="AT55">
        <v>1.09899779673717</v>
      </c>
      <c r="AU55">
        <v>1.02157277720757</v>
      </c>
      <c r="AV55">
        <v>1.08885530561148</v>
      </c>
      <c r="AW55">
        <v>1.1647933319853701</v>
      </c>
      <c r="AX55">
        <v>0.980550087627857</v>
      </c>
      <c r="AY55">
        <v>0.94522360458995003</v>
      </c>
      <c r="AZ55">
        <v>1.0373023237852399</v>
      </c>
      <c r="BA55">
        <v>1.1460728670670399</v>
      </c>
      <c r="BB55">
        <v>1.0598921338915701</v>
      </c>
      <c r="BC55">
        <v>0.99886291346966505</v>
      </c>
      <c r="BD55">
        <v>1.17840276963879</v>
      </c>
      <c r="BE55">
        <v>1.0119981913067999</v>
      </c>
      <c r="BF55">
        <v>1.1110395573140801</v>
      </c>
      <c r="BG55">
        <v>0.98766317433780904</v>
      </c>
      <c r="BH55">
        <v>0.96218036977038301</v>
      </c>
      <c r="BI55">
        <v>0.98144314548344902</v>
      </c>
      <c r="BJ55">
        <v>1.00490333291074</v>
      </c>
      <c r="BK55">
        <v>1.07306864913232</v>
      </c>
      <c r="BL55">
        <v>0.91512964270040797</v>
      </c>
      <c r="BM55">
        <v>0.94666514140695002</v>
      </c>
      <c r="BN55">
        <v>0.97399589216608096</v>
      </c>
      <c r="BO55">
        <v>1.05497437540177</v>
      </c>
      <c r="BP55">
        <v>1.0401143728550999</v>
      </c>
      <c r="BQ55">
        <v>1.0313268536438001</v>
      </c>
      <c r="BR55">
        <v>1.1228756692769699</v>
      </c>
      <c r="BS55">
        <v>0.97887312458706599</v>
      </c>
      <c r="BT55">
        <v>0.91916994756181103</v>
      </c>
      <c r="BU55">
        <v>1.03526883897001</v>
      </c>
      <c r="BV55">
        <v>1.08362104825832</v>
      </c>
      <c r="BW55">
        <v>1.10124815185959</v>
      </c>
      <c r="BX55">
        <v>1.20461529582169</v>
      </c>
      <c r="BY55">
        <v>1.0262328497764599</v>
      </c>
      <c r="BZ55">
        <v>1.1408852554132201</v>
      </c>
      <c r="CA55">
        <v>0.93757799565021405</v>
      </c>
      <c r="CB55">
        <v>1.02791457646382</v>
      </c>
      <c r="CC55">
        <v>0.96662048342479201</v>
      </c>
      <c r="CD55">
        <v>0.93476829829900299</v>
      </c>
      <c r="CE55">
        <v>1.0204268727283401</v>
      </c>
      <c r="CF55">
        <v>0.87205018326081396</v>
      </c>
      <c r="CG55">
        <v>1.0559824668301701</v>
      </c>
      <c r="CH55">
        <v>0.96882118463810596</v>
      </c>
      <c r="CI55">
        <v>1.0542337051078201</v>
      </c>
      <c r="CJ55">
        <v>1.0479724379561499</v>
      </c>
      <c r="CK55">
        <v>0.917626593162024</v>
      </c>
      <c r="CL55">
        <v>0.91132670619129297</v>
      </c>
      <c r="CM55">
        <v>0.90435771944431498</v>
      </c>
      <c r="CN55">
        <v>0.96565192825267399</v>
      </c>
      <c r="CO55">
        <v>0.66352713973174404</v>
      </c>
      <c r="CP55">
        <v>0.99506150826623796</v>
      </c>
      <c r="CQ55">
        <v>1.08469128991537</v>
      </c>
      <c r="CR55">
        <v>1.05007471222838</v>
      </c>
      <c r="CS55">
        <v>0.93848111725112704</v>
      </c>
      <c r="CT55">
        <v>1.17005212827788</v>
      </c>
      <c r="CU55">
        <v>1.2042639079766</v>
      </c>
      <c r="CV55">
        <v>0.99119176113985397</v>
      </c>
      <c r="CW55">
        <v>0.96376084501948101</v>
      </c>
      <c r="CX55">
        <v>1.0307524305331399</v>
      </c>
      <c r="CY55">
        <v>1.0199596506807</v>
      </c>
      <c r="CZ55">
        <v>0.97958992321175298</v>
      </c>
      <c r="DA55">
        <v>0.96380064177784996</v>
      </c>
      <c r="DB55">
        <v>0.96680129561811501</v>
      </c>
      <c r="DC55">
        <v>1.0833998617101801</v>
      </c>
      <c r="DD55">
        <v>0.93690587001765002</v>
      </c>
      <c r="DE55">
        <v>0.98388406956268204</v>
      </c>
      <c r="DF55">
        <v>1.0457324509572401</v>
      </c>
      <c r="DG55">
        <v>0.99551803717227405</v>
      </c>
      <c r="DH55">
        <v>0.92890718425249297</v>
      </c>
      <c r="DI55">
        <v>1.05088342636021</v>
      </c>
      <c r="DJ55">
        <v>1.0072283898030701</v>
      </c>
      <c r="DK55">
        <v>1.0064890859317299</v>
      </c>
      <c r="DL55">
        <v>1.08471402665157</v>
      </c>
      <c r="DM55">
        <v>1.1042020702300099</v>
      </c>
      <c r="DN55">
        <v>0.93916748522794302</v>
      </c>
      <c r="DO55">
        <v>1.0501446567998101</v>
      </c>
      <c r="DP55">
        <v>0.98594643773836999</v>
      </c>
      <c r="DQ55">
        <v>0.92570745828719203</v>
      </c>
      <c r="DR55">
        <v>1.06282584712031</v>
      </c>
      <c r="DS55">
        <v>1.0349679897889399</v>
      </c>
      <c r="DT55">
        <v>0.97069278838020101</v>
      </c>
      <c r="DU55">
        <v>1.01181867141937</v>
      </c>
      <c r="DV55">
        <v>1.1013001378463401</v>
      </c>
      <c r="DW55">
        <v>0.90431748881146801</v>
      </c>
      <c r="DX55">
        <v>0.90208963746945103</v>
      </c>
      <c r="DY55">
        <v>1.0678747854272299</v>
      </c>
      <c r="DZ55">
        <v>0.99092037386106202</v>
      </c>
      <c r="EA55">
        <v>1.0109368939879499</v>
      </c>
      <c r="EB55">
        <v>1.0532639637696799</v>
      </c>
      <c r="EC55">
        <v>1.0437026973477901</v>
      </c>
      <c r="ED55">
        <v>0.96596898433853495</v>
      </c>
      <c r="EE55">
        <v>0.95240839495651197</v>
      </c>
      <c r="EF55">
        <v>0.93909823959901695</v>
      </c>
      <c r="EG55">
        <v>1.03472802919651</v>
      </c>
      <c r="EH55">
        <v>0.984429917898065</v>
      </c>
      <c r="EI55">
        <v>1.06097225130193</v>
      </c>
      <c r="EJ55">
        <v>1.0839728432407501</v>
      </c>
      <c r="EK55">
        <v>1.0126919679286599</v>
      </c>
      <c r="EL55">
        <v>1.03453697177438</v>
      </c>
      <c r="EM55">
        <v>1.0282589861559699</v>
      </c>
      <c r="EN55">
        <v>1.02989436375918</v>
      </c>
      <c r="EO55">
        <v>1.06271581704605</v>
      </c>
      <c r="EP55">
        <v>1.06147911099213</v>
      </c>
      <c r="EQ55">
        <v>1.0802820559814099</v>
      </c>
      <c r="ER55">
        <v>1.0197909518702399</v>
      </c>
      <c r="ES55">
        <v>0.94390951507068999</v>
      </c>
      <c r="ET55">
        <v>1.05663163912318</v>
      </c>
      <c r="EU55">
        <v>0.99142834076894404</v>
      </c>
      <c r="EV55">
        <v>1.03919063638258</v>
      </c>
      <c r="EW55">
        <v>1.0105060123701499</v>
      </c>
      <c r="EX55">
        <v>0.98343578685719102</v>
      </c>
      <c r="EY55">
        <v>0.99096455873918898</v>
      </c>
      <c r="EZ55">
        <v>1.01902202038615</v>
      </c>
      <c r="FA55">
        <v>1.04824190535921</v>
      </c>
      <c r="FB55">
        <v>1.0404871462401799</v>
      </c>
      <c r="FC55">
        <v>1.0301086327779501</v>
      </c>
      <c r="FD55">
        <v>1.0043969345691399</v>
      </c>
      <c r="FE55">
        <v>0.98123672090176195</v>
      </c>
      <c r="FF55">
        <v>1.0435891111881901</v>
      </c>
      <c r="FG55">
        <v>1.0374860188960799</v>
      </c>
      <c r="FH55">
        <v>1.00480728089405</v>
      </c>
      <c r="FI55">
        <v>0.95156256472057499</v>
      </c>
      <c r="FJ55">
        <v>0.99181342398595296</v>
      </c>
      <c r="FK55">
        <v>1.00249984820371</v>
      </c>
      <c r="FL55">
        <v>1.0460037313696</v>
      </c>
      <c r="FM55">
        <v>1.0858958521930999</v>
      </c>
      <c r="FN55">
        <v>1.0770159688054901</v>
      </c>
      <c r="FO55">
        <v>1.0598823190264699</v>
      </c>
      <c r="FP55">
        <v>1.0125977305409299</v>
      </c>
      <c r="FQ55">
        <v>0.99274477514432402</v>
      </c>
      <c r="FR55">
        <v>0.97352059887488696</v>
      </c>
      <c r="FS55">
        <v>0.94557176422943701</v>
      </c>
      <c r="FT55">
        <v>1.0177585724636899</v>
      </c>
      <c r="FU55">
        <v>0.99736787907458102</v>
      </c>
      <c r="FV55">
        <v>0.99235778190911295</v>
      </c>
      <c r="FW55">
        <v>1.0139754302966599</v>
      </c>
      <c r="FX55">
        <v>1.00557967372358</v>
      </c>
      <c r="FY55">
        <v>0.99271628411021495</v>
      </c>
      <c r="FZ55">
        <v>1.0757694079287601</v>
      </c>
      <c r="GA55">
        <v>1.0351667909371001</v>
      </c>
      <c r="GB55">
        <v>0.98662264624955598</v>
      </c>
      <c r="GC55">
        <v>0.99444566964856496</v>
      </c>
      <c r="GD55">
        <v>1.0284411028589799</v>
      </c>
      <c r="GE55">
        <v>0.963320236612493</v>
      </c>
      <c r="GF55">
        <v>1.0081570920279199</v>
      </c>
      <c r="GG55">
        <v>0.94920598544347601</v>
      </c>
      <c r="GH55">
        <v>0.99704614993823204</v>
      </c>
      <c r="GI55">
        <v>1.05798406521735</v>
      </c>
      <c r="GJ55">
        <v>0.98967356760499703</v>
      </c>
      <c r="GK55">
        <v>1.0045568075458999</v>
      </c>
      <c r="GL55">
        <v>1.00363104024218</v>
      </c>
      <c r="GM55">
        <v>1.02330198018588</v>
      </c>
      <c r="GN55">
        <v>1.04496052071231</v>
      </c>
    </row>
    <row r="57" spans="1:196" x14ac:dyDescent="0.4"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  <c r="J57">
        <v>8</v>
      </c>
      <c r="K57">
        <v>9</v>
      </c>
      <c r="L57">
        <v>10</v>
      </c>
      <c r="M57">
        <v>11</v>
      </c>
      <c r="N57">
        <v>12</v>
      </c>
      <c r="O57">
        <v>13</v>
      </c>
      <c r="P57">
        <v>14</v>
      </c>
      <c r="Q57">
        <v>15</v>
      </c>
      <c r="R57">
        <v>16</v>
      </c>
      <c r="S57">
        <v>17</v>
      </c>
      <c r="T57">
        <v>18</v>
      </c>
      <c r="U57">
        <v>19</v>
      </c>
      <c r="V57">
        <v>20</v>
      </c>
      <c r="W57">
        <v>21</v>
      </c>
      <c r="X57">
        <v>22</v>
      </c>
      <c r="Y57">
        <v>23</v>
      </c>
      <c r="Z57">
        <v>24</v>
      </c>
      <c r="AA57">
        <v>25</v>
      </c>
      <c r="AB57">
        <v>26</v>
      </c>
      <c r="AC57">
        <v>27</v>
      </c>
      <c r="AD57">
        <v>28</v>
      </c>
      <c r="AE57">
        <v>29</v>
      </c>
      <c r="AF57">
        <v>30</v>
      </c>
      <c r="AG57">
        <v>31</v>
      </c>
      <c r="AH57">
        <v>32</v>
      </c>
      <c r="AI57">
        <v>33</v>
      </c>
      <c r="AJ57">
        <v>34</v>
      </c>
      <c r="AK57">
        <v>35</v>
      </c>
      <c r="AL57">
        <v>36</v>
      </c>
      <c r="AM57">
        <v>37</v>
      </c>
      <c r="AN57">
        <v>38</v>
      </c>
      <c r="AO57">
        <v>39</v>
      </c>
      <c r="AP57">
        <v>40</v>
      </c>
      <c r="AQ57">
        <v>41</v>
      </c>
      <c r="AR57">
        <v>42</v>
      </c>
      <c r="AS57">
        <v>43</v>
      </c>
      <c r="AT57">
        <v>44</v>
      </c>
      <c r="AU57">
        <v>45</v>
      </c>
      <c r="AV57">
        <v>46</v>
      </c>
      <c r="AW57">
        <v>47</v>
      </c>
      <c r="AX57">
        <v>48</v>
      </c>
      <c r="AY57">
        <v>49</v>
      </c>
      <c r="AZ57">
        <v>50</v>
      </c>
      <c r="BA57">
        <v>51</v>
      </c>
      <c r="BB57">
        <v>52</v>
      </c>
      <c r="BC57">
        <v>53</v>
      </c>
      <c r="BD57">
        <v>54</v>
      </c>
      <c r="BE57">
        <v>55</v>
      </c>
      <c r="BF57">
        <v>56</v>
      </c>
      <c r="BG57">
        <v>57</v>
      </c>
      <c r="BH57">
        <v>58</v>
      </c>
      <c r="BI57">
        <v>59</v>
      </c>
      <c r="BJ57">
        <v>60</v>
      </c>
      <c r="BK57">
        <v>61</v>
      </c>
      <c r="BL57">
        <v>62</v>
      </c>
      <c r="BM57">
        <v>63</v>
      </c>
      <c r="BN57">
        <v>64</v>
      </c>
    </row>
    <row r="58" spans="1:196" x14ac:dyDescent="0.4">
      <c r="A58" t="s">
        <v>104</v>
      </c>
      <c r="B58">
        <v>1.1296158181520699</v>
      </c>
      <c r="C58">
        <v>0.90978042757850897</v>
      </c>
      <c r="D58">
        <v>1.2300731484436001</v>
      </c>
      <c r="E58">
        <v>1.34618282771287</v>
      </c>
      <c r="F58">
        <v>0.94021102938497603</v>
      </c>
      <c r="G58">
        <v>0.96404586261487002</v>
      </c>
      <c r="H58">
        <v>0.96610947080637199</v>
      </c>
      <c r="I58">
        <v>0.83729394016078496</v>
      </c>
      <c r="J58">
        <v>1.1885672576508499</v>
      </c>
      <c r="K58">
        <v>1.1642905392721401</v>
      </c>
      <c r="L58">
        <v>1.0280572633785301</v>
      </c>
      <c r="M58">
        <v>1.05818732694608</v>
      </c>
      <c r="N58">
        <v>0.90585928675764604</v>
      </c>
      <c r="O58">
        <v>1.0713572517586201</v>
      </c>
      <c r="P58">
        <v>1.21279502549464</v>
      </c>
      <c r="Q58">
        <v>1.2875830991387101</v>
      </c>
      <c r="R58">
        <v>0.967857378599698</v>
      </c>
      <c r="S58">
        <v>1.22215959592777</v>
      </c>
      <c r="T58">
        <v>1.3363549874256</v>
      </c>
      <c r="U58">
        <v>0.92850448022752097</v>
      </c>
      <c r="V58">
        <v>0.97319401464905697</v>
      </c>
      <c r="W58">
        <v>0.97057776665469597</v>
      </c>
      <c r="X58">
        <v>1.18863732016973</v>
      </c>
      <c r="Y58">
        <v>0.92486893243928503</v>
      </c>
      <c r="Z58">
        <v>1.4196917047747699</v>
      </c>
      <c r="AA58">
        <v>1.0995687328331001</v>
      </c>
      <c r="AB58">
        <v>0.91187338880917901</v>
      </c>
      <c r="AC58">
        <v>0.95185384275413998</v>
      </c>
      <c r="AD58">
        <v>1.0676890444723</v>
      </c>
      <c r="AE58">
        <v>0.76251209025654798</v>
      </c>
      <c r="AF58">
        <v>0.64868060066767097</v>
      </c>
      <c r="AG58">
        <v>1.0623731133782099</v>
      </c>
      <c r="AH58">
        <v>1.38185575247432</v>
      </c>
      <c r="AI58">
        <v>1.0116974839402599</v>
      </c>
      <c r="AJ58">
        <v>0.902203891282092</v>
      </c>
      <c r="AK58">
        <v>1.00659596535263</v>
      </c>
      <c r="AL58">
        <v>0.983479798660153</v>
      </c>
      <c r="AM58">
        <v>1.0520408690793099</v>
      </c>
      <c r="AN58">
        <v>1.1161870848806601</v>
      </c>
      <c r="AO58">
        <v>0.96744560621825504</v>
      </c>
      <c r="AP58">
        <v>1.0683393382659101</v>
      </c>
      <c r="AQ58">
        <v>1.0063876578911799</v>
      </c>
      <c r="AR58">
        <v>0.94915879560163796</v>
      </c>
      <c r="AS58">
        <v>1.1345016887730499</v>
      </c>
      <c r="AT58">
        <v>0.86582450639068398</v>
      </c>
      <c r="AU58">
        <v>1.07216579725121</v>
      </c>
      <c r="AV58">
        <v>1.1433004197441401</v>
      </c>
      <c r="AW58">
        <v>1.1140864264005299</v>
      </c>
      <c r="AX58">
        <v>1.15667120066962</v>
      </c>
      <c r="AY58">
        <v>0.96638316506278499</v>
      </c>
      <c r="AZ58">
        <v>1.03350712193446</v>
      </c>
      <c r="BA58">
        <v>1.04358361132203</v>
      </c>
      <c r="BB58">
        <v>1.07948580821012</v>
      </c>
      <c r="BC58">
        <v>1.04504771377057</v>
      </c>
      <c r="BD58">
        <v>0.95186883721664695</v>
      </c>
      <c r="BE58">
        <v>1.1136980010958499</v>
      </c>
      <c r="BF58">
        <v>1.1560494909869701</v>
      </c>
      <c r="BG58">
        <v>0.91935998049725598</v>
      </c>
      <c r="BH58">
        <v>0.99770934750671902</v>
      </c>
      <c r="BI58">
        <v>1.01090932102074</v>
      </c>
      <c r="BJ58">
        <v>1.0906537160657599</v>
      </c>
      <c r="BK58">
        <v>0.98858004479919603</v>
      </c>
      <c r="BL58">
        <v>0.94757399422464195</v>
      </c>
      <c r="BM58">
        <v>1.05510396066318</v>
      </c>
      <c r="BN58">
        <v>1.0741776146847799</v>
      </c>
      <c r="BO58">
        <f>PRODUCT(B58:BN58)</f>
        <v>11.462019249216855</v>
      </c>
      <c r="BP58">
        <f>AVERAGE(B58:BO58)/_xlfn.STDEV.S(B58:BN58)</f>
        <v>8.6349849049168359</v>
      </c>
      <c r="BQ58">
        <f>PRODUCT(AD58:BN58)</f>
        <v>1.9497685536472127</v>
      </c>
      <c r="BR58">
        <f>AVERAGE(AD58:BN58)/_xlfn.STDEV.S(AD58:BN58)</f>
        <v>8.5153113969459557</v>
      </c>
    </row>
    <row r="59" spans="1:196" x14ac:dyDescent="0.4">
      <c r="A59" t="s">
        <v>2</v>
      </c>
      <c r="B59">
        <v>1.1196158181520699</v>
      </c>
      <c r="C59">
        <v>0.90798042757850905</v>
      </c>
      <c r="D59">
        <v>1.2283731484436</v>
      </c>
      <c r="E59">
        <v>1.34418282771287</v>
      </c>
      <c r="F59">
        <v>0.93701102938497605</v>
      </c>
      <c r="G59">
        <v>0.96144586261486997</v>
      </c>
      <c r="H59">
        <v>0.96440947080637196</v>
      </c>
      <c r="I59">
        <v>0.835893940160785</v>
      </c>
      <c r="J59">
        <v>1.1852672576508501</v>
      </c>
      <c r="K59">
        <v>1.1624905392721401</v>
      </c>
      <c r="L59">
        <v>1.0256572633785299</v>
      </c>
      <c r="M59">
        <v>1.05608732694608</v>
      </c>
      <c r="N59">
        <v>0.90275928675764605</v>
      </c>
      <c r="O59">
        <v>1.0691572517586201</v>
      </c>
      <c r="P59">
        <v>1.21079502549464</v>
      </c>
      <c r="Q59">
        <v>1.2848830991387099</v>
      </c>
      <c r="R59">
        <v>0.96465737859969802</v>
      </c>
      <c r="S59">
        <v>1.22045959592777</v>
      </c>
      <c r="T59">
        <v>1.3345549874256</v>
      </c>
      <c r="U59">
        <v>0.92550448022752096</v>
      </c>
      <c r="V59">
        <v>0.97019401464905697</v>
      </c>
      <c r="W59">
        <v>0.96817776665469601</v>
      </c>
      <c r="X59">
        <v>1.18653732016973</v>
      </c>
      <c r="Y59">
        <v>0.92216893243928499</v>
      </c>
      <c r="Z59">
        <v>1.41679170477477</v>
      </c>
      <c r="AA59">
        <v>1.0958687328331</v>
      </c>
      <c r="AB59">
        <v>0.90907338880917898</v>
      </c>
      <c r="AC59">
        <v>0.94855384275414001</v>
      </c>
      <c r="AD59">
        <v>1.0647890444723001</v>
      </c>
      <c r="AE59">
        <v>0.75841209025654799</v>
      </c>
      <c r="AF59">
        <v>0.64598060066767105</v>
      </c>
      <c r="AG59">
        <v>1.0570731133782101</v>
      </c>
      <c r="AH59">
        <v>1.3788557524743199</v>
      </c>
      <c r="AI59">
        <v>1.0076974839402599</v>
      </c>
      <c r="AJ59">
        <v>0.90000389128209202</v>
      </c>
      <c r="AK59">
        <v>1.0046959653526299</v>
      </c>
      <c r="AL59">
        <v>0.98007979866015305</v>
      </c>
      <c r="AM59">
        <v>1.04954086907931</v>
      </c>
      <c r="AN59">
        <v>1.1135870848806599</v>
      </c>
      <c r="AO59">
        <v>0.96554560621825503</v>
      </c>
      <c r="AP59">
        <v>1.0637393382659199</v>
      </c>
      <c r="AQ59">
        <v>1.00318765789118</v>
      </c>
      <c r="AR59">
        <v>0.94645879560163804</v>
      </c>
      <c r="AS59">
        <v>1.13180168877305</v>
      </c>
      <c r="AT59">
        <v>0.86242450639068402</v>
      </c>
      <c r="AU59">
        <v>1.0693657972512101</v>
      </c>
      <c r="AV59">
        <v>1.1411004197441399</v>
      </c>
      <c r="AW59">
        <v>1.11128642640053</v>
      </c>
      <c r="AX59">
        <v>1.15307120066962</v>
      </c>
      <c r="AY59">
        <v>0.96308316506278502</v>
      </c>
      <c r="AZ59">
        <v>1.0313071219344601</v>
      </c>
      <c r="BA59">
        <v>1.0412836113220301</v>
      </c>
      <c r="BB59">
        <v>1.0756858082101199</v>
      </c>
      <c r="BC59">
        <v>1.0419477137705699</v>
      </c>
      <c r="BD59">
        <v>0.94956883721664698</v>
      </c>
      <c r="BE59">
        <v>1.11119800109585</v>
      </c>
      <c r="BF59">
        <v>1.1521494909869701</v>
      </c>
      <c r="BG59">
        <v>0.91475998049725604</v>
      </c>
      <c r="BH59">
        <v>0.99430934750671895</v>
      </c>
      <c r="BI59">
        <v>1.0082093210207399</v>
      </c>
      <c r="BJ59">
        <v>1.0868537160657601</v>
      </c>
      <c r="BK59">
        <v>0.98578004479919601</v>
      </c>
      <c r="BL59">
        <v>0.94567399422464204</v>
      </c>
      <c r="BM59">
        <v>1.05290396066318</v>
      </c>
      <c r="BN59">
        <v>1.0699776146847799</v>
      </c>
      <c r="BO59">
        <f>PRODUCT(B59:BN59)</f>
        <v>9.5246895548656294</v>
      </c>
      <c r="BP59">
        <f>AVERAGE(B59:BO59)/_xlfn.STDEV.S(B59:BN59)</f>
        <v>8.4016602129482507</v>
      </c>
      <c r="BQ59">
        <f>PRODUCT(AD59:BN59)</f>
        <v>1.7423537017155728</v>
      </c>
      <c r="BR59">
        <f>AVERAGE(AD59:BN59)/_xlfn.STDEV.S(AD59:BN59)</f>
        <v>8.4911387631600999</v>
      </c>
    </row>
    <row r="60" spans="1:196" x14ac:dyDescent="0.4">
      <c r="A60" t="s">
        <v>101</v>
      </c>
      <c r="B60">
        <v>0.90861698112677303</v>
      </c>
      <c r="C60">
        <v>1.05601435381579</v>
      </c>
      <c r="D60">
        <v>1.1772808908782599</v>
      </c>
      <c r="E60">
        <v>1.0336150190868301</v>
      </c>
      <c r="F60">
        <v>0.88509281727670397</v>
      </c>
      <c r="G60">
        <v>0.99446376121032798</v>
      </c>
      <c r="H60">
        <v>0.92246112805746705</v>
      </c>
      <c r="I60">
        <v>1.08145339522922</v>
      </c>
      <c r="J60">
        <v>1.23303400970092</v>
      </c>
      <c r="K60">
        <v>1.0510414613558701</v>
      </c>
      <c r="L60">
        <v>1.1551065154007101</v>
      </c>
      <c r="M60">
        <v>1.1088228432246101</v>
      </c>
      <c r="N60">
        <v>1.17288999109994</v>
      </c>
      <c r="O60">
        <v>0.88263014870634504</v>
      </c>
      <c r="P60">
        <v>0.90821632364820404</v>
      </c>
      <c r="Q60">
        <v>0.94376060431228304</v>
      </c>
      <c r="R60">
        <v>0.98575859851594205</v>
      </c>
      <c r="S60">
        <v>1.0362517491158401</v>
      </c>
      <c r="T60">
        <v>0.86089621454323495</v>
      </c>
      <c r="U60">
        <v>1.0335449027868899</v>
      </c>
      <c r="V60">
        <v>1.08579088589676</v>
      </c>
      <c r="W60">
        <v>0.86643826366140597</v>
      </c>
      <c r="X60">
        <v>0.96181699776290497</v>
      </c>
      <c r="Y60">
        <v>1.0047265456199199</v>
      </c>
      <c r="Z60">
        <v>0.94243532301716104</v>
      </c>
      <c r="AA60">
        <v>1.1497549420825</v>
      </c>
      <c r="AB60">
        <v>1.0968997105615299</v>
      </c>
      <c r="AC60">
        <v>1.02856680223597</v>
      </c>
      <c r="AD60">
        <v>1.01363901099162</v>
      </c>
      <c r="AE60">
        <v>1.1167232263775999</v>
      </c>
      <c r="AF60">
        <v>0.90800196275748102</v>
      </c>
      <c r="AG60">
        <v>1.0762224698295699</v>
      </c>
      <c r="AH60">
        <v>1.05203082077138</v>
      </c>
      <c r="AI60">
        <v>1.0378036623520901</v>
      </c>
      <c r="AJ60">
        <v>1.00320857043255</v>
      </c>
      <c r="AK60">
        <v>1.0163800300166701</v>
      </c>
      <c r="AL60">
        <v>0.99948586451226995</v>
      </c>
      <c r="AM60">
        <v>1.01786177061608</v>
      </c>
      <c r="AN60">
        <v>0.89042076920626001</v>
      </c>
      <c r="AO60">
        <v>1.0058544000235301</v>
      </c>
      <c r="AP60">
        <v>0.95373526550573295</v>
      </c>
      <c r="AQ60">
        <v>1.1167895770860199</v>
      </c>
      <c r="AR60">
        <v>1.0667473162654899</v>
      </c>
      <c r="AS60">
        <v>1.0369354121382901</v>
      </c>
      <c r="AT60">
        <v>1.09641291300585</v>
      </c>
      <c r="AU60">
        <v>1.01063011689838</v>
      </c>
      <c r="AV60">
        <v>1.08944604777045</v>
      </c>
      <c r="AW60">
        <v>1.16943827426056</v>
      </c>
      <c r="AX60">
        <v>0.97066496551964798</v>
      </c>
      <c r="AY60">
        <v>0.95044236540396498</v>
      </c>
      <c r="AZ60">
        <v>1.0490983984362099</v>
      </c>
      <c r="BA60">
        <v>1.1468877975353799</v>
      </c>
      <c r="BB60">
        <v>1.0654611088258801</v>
      </c>
      <c r="BC60">
        <v>1.0001597849132999</v>
      </c>
      <c r="BD60">
        <v>1.1726196464276799</v>
      </c>
      <c r="BE60">
        <v>1.0140878531953801</v>
      </c>
      <c r="BF60">
        <v>1.12380016591015</v>
      </c>
      <c r="BG60">
        <v>0.98392744032600998</v>
      </c>
      <c r="BH60">
        <v>0.96053024707401902</v>
      </c>
      <c r="BI60">
        <v>0.98244870769249204</v>
      </c>
      <c r="BJ60">
        <v>1.00723064835112</v>
      </c>
      <c r="BK60">
        <v>1.0621422043930699</v>
      </c>
      <c r="BL60">
        <v>0.90967829212792595</v>
      </c>
      <c r="BM60">
        <v>0.94877299117473002</v>
      </c>
      <c r="BN60">
        <v>0.96711925245563002</v>
      </c>
      <c r="BO60">
        <v>1.05776208676129</v>
      </c>
      <c r="BP60">
        <v>1.03535762728535</v>
      </c>
      <c r="BQ60">
        <v>1.0250855611540799</v>
      </c>
      <c r="BR60">
        <v>1.1199505783244399</v>
      </c>
      <c r="BS60">
        <v>0.97644082277468303</v>
      </c>
      <c r="BT60">
        <v>0.91809320421507101</v>
      </c>
      <c r="BU60">
        <v>1.03168588895224</v>
      </c>
      <c r="BV60">
        <v>1.0797987374190801</v>
      </c>
      <c r="BW60">
        <v>1.095043047793</v>
      </c>
      <c r="BX60">
        <v>1.20065998565388</v>
      </c>
      <c r="BY60">
        <v>1.0262903816121101</v>
      </c>
      <c r="BZ60">
        <v>1.13772594758184</v>
      </c>
      <c r="CA60">
        <v>0.94170409759077101</v>
      </c>
      <c r="CB60">
        <v>1.02115492630106</v>
      </c>
      <c r="CC60">
        <v>0.96210307858842903</v>
      </c>
      <c r="CD60">
        <v>0.92815669295190895</v>
      </c>
      <c r="CE60">
        <v>1.0190975185831099</v>
      </c>
      <c r="CF60">
        <v>0.88271460629685505</v>
      </c>
      <c r="CG60">
        <v>1.0581182634238799</v>
      </c>
      <c r="CH60">
        <v>0.97610894000721005</v>
      </c>
      <c r="CI60">
        <v>1.04468766704845</v>
      </c>
      <c r="CJ60">
        <v>1.04703217668602</v>
      </c>
      <c r="CK60">
        <v>0.92247035528957699</v>
      </c>
      <c r="CL60">
        <v>0.91091406229485805</v>
      </c>
      <c r="CM60">
        <v>0.90743788974883199</v>
      </c>
      <c r="CN60">
        <v>0.96784390636777695</v>
      </c>
      <c r="CO60">
        <v>0.67213614524791299</v>
      </c>
      <c r="CP60">
        <v>0.99716801385756904</v>
      </c>
      <c r="CQ60">
        <v>1.0747705484992001</v>
      </c>
      <c r="CR60">
        <v>1.0609988280810101</v>
      </c>
      <c r="CS60">
        <v>0.93163631664083202</v>
      </c>
      <c r="CT60">
        <v>1.1602835004320899</v>
      </c>
      <c r="CU60">
        <v>1.2030750310588001</v>
      </c>
      <c r="CV60">
        <v>0.98993317986958496</v>
      </c>
      <c r="CW60">
        <v>0.95847209277151402</v>
      </c>
      <c r="CX60">
        <v>1.03935098033647</v>
      </c>
      <c r="CY60">
        <v>1.01556790539332</v>
      </c>
      <c r="CZ60">
        <v>0.97907431641341203</v>
      </c>
      <c r="DA60">
        <v>0.95667194781440401</v>
      </c>
      <c r="DB60">
        <v>0.96322112403640703</v>
      </c>
      <c r="DC60">
        <v>1.0889801588989201</v>
      </c>
      <c r="DD60">
        <v>0.93219632751830495</v>
      </c>
      <c r="DE60">
        <v>0.99158016462082399</v>
      </c>
      <c r="DF60">
        <v>1.0424370601439801</v>
      </c>
      <c r="DG60">
        <v>1.00303752358529</v>
      </c>
      <c r="DH60">
        <v>0.94058580580999895</v>
      </c>
      <c r="DI60">
        <v>1.0418987288164401</v>
      </c>
      <c r="DJ60">
        <v>1.00798669040897</v>
      </c>
      <c r="DK60">
        <v>1.00173374872806</v>
      </c>
      <c r="DL60">
        <v>1.08480497213767</v>
      </c>
      <c r="DM60">
        <v>1.09438916284587</v>
      </c>
      <c r="DN60">
        <v>0.94018548526953805</v>
      </c>
      <c r="DO60">
        <v>1.04248772882566</v>
      </c>
      <c r="DP60">
        <v>0.99319108005026002</v>
      </c>
      <c r="DQ60">
        <v>0.93437840905435798</v>
      </c>
      <c r="DR60">
        <v>1.06928979147218</v>
      </c>
      <c r="DS60">
        <v>1.02993399234497</v>
      </c>
      <c r="DT60">
        <v>0.970072978871655</v>
      </c>
      <c r="DU60">
        <v>1.00549248233532</v>
      </c>
      <c r="DV60">
        <v>1.1020441289043601</v>
      </c>
      <c r="DW60">
        <v>0.90821252926829399</v>
      </c>
      <c r="DX60">
        <v>0.90335147766423796</v>
      </c>
      <c r="DY60">
        <v>1.0649656385311701</v>
      </c>
      <c r="DZ60">
        <v>0.98661229199330003</v>
      </c>
      <c r="EA60">
        <v>1.0109862628883799</v>
      </c>
      <c r="EB60">
        <v>1.05832500833531</v>
      </c>
      <c r="EC60">
        <v>1.0603294736157001</v>
      </c>
      <c r="ED60">
        <v>0.96507891869318696</v>
      </c>
      <c r="EE60">
        <v>0.94816160366402702</v>
      </c>
      <c r="EF60">
        <v>0.94620378436543995</v>
      </c>
      <c r="EG60">
        <v>1.03336378300662</v>
      </c>
      <c r="EH60">
        <v>0.98594148479227794</v>
      </c>
      <c r="EI60">
        <v>1.0523436186531701</v>
      </c>
      <c r="EJ60">
        <v>1.09307002497311</v>
      </c>
      <c r="EK60">
        <v>1.0151108963887701</v>
      </c>
      <c r="EL60">
        <v>1.03038348320563</v>
      </c>
      <c r="EM60">
        <v>1.02315999602663</v>
      </c>
      <c r="EN60">
        <v>1.02752929834911</v>
      </c>
      <c r="EO60">
        <v>1.0596955668186101</v>
      </c>
      <c r="EP60">
        <v>1.05707847058396</v>
      </c>
      <c r="EQ60">
        <v>1.0774773456350799</v>
      </c>
      <c r="ER60">
        <v>1.0155341845336301</v>
      </c>
      <c r="ES60">
        <v>0.93596854624956705</v>
      </c>
      <c r="ET60">
        <v>1.0519898306123701</v>
      </c>
      <c r="EU60">
        <v>0.98146893896817</v>
      </c>
      <c r="EV60">
        <v>1.04179083139746</v>
      </c>
      <c r="EW60">
        <v>1.00393132209263</v>
      </c>
      <c r="EX60">
        <v>0.98816379654470998</v>
      </c>
      <c r="EY60">
        <v>0.99078687501446605</v>
      </c>
      <c r="EZ60">
        <v>1.00848623879222</v>
      </c>
      <c r="FA60">
        <v>1.04442444712682</v>
      </c>
      <c r="FB60">
        <v>1.04509333041234</v>
      </c>
      <c r="FC60">
        <v>1.02779345043014</v>
      </c>
      <c r="FD60">
        <v>1.0049767513783301</v>
      </c>
      <c r="FE60">
        <v>0.97664332769808504</v>
      </c>
      <c r="FF60">
        <v>1.0354326008127599</v>
      </c>
      <c r="FG60">
        <v>1.03342341494158</v>
      </c>
      <c r="FH60">
        <v>1.00898073322861</v>
      </c>
      <c r="FI60">
        <v>0.95701073472337095</v>
      </c>
      <c r="FJ60">
        <v>0.98577415193182405</v>
      </c>
      <c r="FK60">
        <v>0.998386323742674</v>
      </c>
      <c r="FL60">
        <v>1.04079771438246</v>
      </c>
      <c r="FM60">
        <v>1.0717721978110399</v>
      </c>
      <c r="FN60">
        <v>1.06992677295912</v>
      </c>
      <c r="FO60">
        <v>1.05831239379478</v>
      </c>
      <c r="FP60">
        <v>1.02095944126258</v>
      </c>
      <c r="FQ60">
        <v>1.01546913394573</v>
      </c>
      <c r="FR60">
        <v>0.95488010372472898</v>
      </c>
      <c r="FS60">
        <v>0.94813466149237302</v>
      </c>
      <c r="FT60">
        <v>1.0172392514334601</v>
      </c>
      <c r="FU60">
        <v>0.99596910631495195</v>
      </c>
      <c r="FV60">
        <v>0.98477057673248203</v>
      </c>
      <c r="FW60">
        <v>1.0092801617074001</v>
      </c>
      <c r="FX60">
        <v>0.99668800071728103</v>
      </c>
      <c r="FY60">
        <v>1.00494254846655</v>
      </c>
      <c r="FZ60">
        <v>1.0715888257994299</v>
      </c>
      <c r="GA60">
        <v>1.03254576425974</v>
      </c>
      <c r="GB60">
        <v>0.98571053386970597</v>
      </c>
      <c r="GC60">
        <v>0.98670130627196195</v>
      </c>
      <c r="GD60">
        <v>1.0301606848201701</v>
      </c>
      <c r="GE60">
        <v>0.97257066281209603</v>
      </c>
      <c r="GF60">
        <v>1.00781964322379</v>
      </c>
      <c r="GG60">
        <v>0.94395974337072397</v>
      </c>
      <c r="GH60">
        <v>0.99604014031074495</v>
      </c>
      <c r="GI60">
        <v>1.05598862903202</v>
      </c>
      <c r="GJ60">
        <v>0.98229500531981495</v>
      </c>
      <c r="GK60">
        <v>1.0171712483833</v>
      </c>
      <c r="GL60">
        <v>1.00602526312912</v>
      </c>
      <c r="GM60">
        <v>1.02510657575853</v>
      </c>
      <c r="GN60">
        <v>1.0415933331471201</v>
      </c>
    </row>
    <row r="62" spans="1:196" s="19" customFormat="1" x14ac:dyDescent="0.4">
      <c r="A62" s="19" t="s">
        <v>111</v>
      </c>
    </row>
    <row r="63" spans="1:196" x14ac:dyDescent="0.4">
      <c r="A63" t="s">
        <v>5</v>
      </c>
      <c r="B63">
        <v>1.1266463289495401</v>
      </c>
      <c r="C63">
        <v>0.88535652387205799</v>
      </c>
      <c r="D63">
        <v>1.2576658845870099</v>
      </c>
      <c r="E63">
        <v>1.30471383310601</v>
      </c>
      <c r="F63">
        <v>0.91805141551705005</v>
      </c>
      <c r="G63">
        <v>0.93599364072334201</v>
      </c>
      <c r="H63">
        <v>0.97622629323211596</v>
      </c>
      <c r="I63">
        <v>0.81860206529541002</v>
      </c>
      <c r="J63">
        <v>1.19888057497308</v>
      </c>
      <c r="K63">
        <v>1.20486761737181</v>
      </c>
      <c r="L63">
        <v>1.0221338375562199</v>
      </c>
      <c r="M63">
        <v>1.05347607127075</v>
      </c>
      <c r="N63">
        <v>0.90178045739540202</v>
      </c>
      <c r="O63">
        <v>1.0262796467867099</v>
      </c>
      <c r="P63">
        <v>1.1962239141359801</v>
      </c>
      <c r="Q63">
        <v>1.24840270304439</v>
      </c>
      <c r="R63">
        <v>0.96365963637223995</v>
      </c>
      <c r="S63">
        <v>1.14158501238773</v>
      </c>
      <c r="T63">
        <v>1.2884868477913101</v>
      </c>
      <c r="U63">
        <v>0.93537672798943305</v>
      </c>
      <c r="V63">
        <v>0.985128426777237</v>
      </c>
      <c r="W63">
        <v>0.96982337321495005</v>
      </c>
      <c r="X63">
        <v>1.1466781285968199</v>
      </c>
      <c r="Y63">
        <v>0.95223295386652695</v>
      </c>
      <c r="Z63">
        <v>1.3376881880851801</v>
      </c>
      <c r="AA63">
        <v>1.1099770088213501</v>
      </c>
      <c r="AB63">
        <v>0.89684121887947299</v>
      </c>
      <c r="AC63">
        <v>0.95718748903689299</v>
      </c>
      <c r="AD63">
        <v>1.0937331186240999</v>
      </c>
      <c r="AE63">
        <v>0.78979496873629196</v>
      </c>
      <c r="AF63">
        <v>0.68837697497369998</v>
      </c>
      <c r="AG63">
        <v>1.04382247961662</v>
      </c>
      <c r="AH63">
        <v>1.39621437356373</v>
      </c>
      <c r="AI63">
        <v>1.1036696337482601</v>
      </c>
      <c r="AJ63">
        <v>0.94800884811673003</v>
      </c>
      <c r="AK63">
        <v>1.0237881345347299</v>
      </c>
      <c r="AL63">
        <v>1.04908786761055</v>
      </c>
      <c r="AM63">
        <v>1.0303571546958299</v>
      </c>
      <c r="AN63">
        <v>1.13335340701447</v>
      </c>
      <c r="AO63">
        <v>0.97597849847039098</v>
      </c>
      <c r="AP63">
        <v>1.0505193212762101</v>
      </c>
      <c r="AQ63">
        <v>0.96350793399060297</v>
      </c>
      <c r="AR63">
        <v>0.94066703851843303</v>
      </c>
      <c r="AS63">
        <v>1.14940987217485</v>
      </c>
      <c r="AT63">
        <v>0.84430890190507202</v>
      </c>
      <c r="AU63">
        <v>1.0739593712363</v>
      </c>
      <c r="AV63">
        <v>1.0721677896691799</v>
      </c>
      <c r="AW63">
        <v>1.0870985467487599</v>
      </c>
      <c r="AX63">
        <v>1.14258820703439</v>
      </c>
      <c r="AY63">
        <v>0.97016418927714199</v>
      </c>
      <c r="AZ63">
        <v>1.0590608329834399</v>
      </c>
      <c r="BA63">
        <v>1.0486291624616899</v>
      </c>
      <c r="BB63">
        <v>1.08762798768659</v>
      </c>
      <c r="BC63">
        <v>1.0895638835947901</v>
      </c>
      <c r="BD63">
        <v>0.97570209311859302</v>
      </c>
      <c r="BE63">
        <v>1.0790081521372501</v>
      </c>
      <c r="BF63">
        <v>1.1531785653762801</v>
      </c>
      <c r="BG63">
        <v>0.950404851194529</v>
      </c>
      <c r="BH63">
        <v>0.99342496138849101</v>
      </c>
      <c r="BI63">
        <v>0.97500734623019603</v>
      </c>
      <c r="BJ63">
        <v>1.0660533081474299</v>
      </c>
      <c r="BK63">
        <v>1.0018054110397401</v>
      </c>
      <c r="BL63">
        <v>0.97414786050477398</v>
      </c>
      <c r="BM63">
        <v>1.04219883693131</v>
      </c>
      <c r="BN63">
        <v>1.10351115634384</v>
      </c>
      <c r="BO63">
        <f>PRODUCT(B63:BN63)</f>
        <v>10.668058485365675</v>
      </c>
      <c r="BP63">
        <f>AVERAGE(B63:BO63)/_xlfn.STDEV.S(B63:BN63)</f>
        <v>9.1715545942025312</v>
      </c>
      <c r="BQ63">
        <f>PRODUCT(AD63:BN63)</f>
        <v>2.504403084950372</v>
      </c>
      <c r="BR63">
        <f>AVERAGE(AD63:BN63)/_xlfn.STDEV.S(AD63:BN63)</f>
        <v>8.9936352989147341</v>
      </c>
    </row>
    <row r="64" spans="1:196" x14ac:dyDescent="0.4">
      <c r="A64" t="s">
        <v>2</v>
      </c>
      <c r="B64">
        <v>1.1166463289495401</v>
      </c>
      <c r="C64">
        <v>0.88335652387205799</v>
      </c>
      <c r="D64">
        <v>1.25585865567134</v>
      </c>
      <c r="E64">
        <v>1.30218509747383</v>
      </c>
      <c r="F64">
        <v>0.91504066282887797</v>
      </c>
      <c r="G64">
        <v>0.93374644971210596</v>
      </c>
      <c r="H64">
        <v>0.97390071183676696</v>
      </c>
      <c r="I64">
        <v>0.81738255310028796</v>
      </c>
      <c r="J64">
        <v>1.19570410438485</v>
      </c>
      <c r="K64">
        <v>1.2029787284829201</v>
      </c>
      <c r="L64">
        <v>1.02048548590787</v>
      </c>
      <c r="M64">
        <v>1.0515871823818601</v>
      </c>
      <c r="N64">
        <v>0.89936287497781897</v>
      </c>
      <c r="O64">
        <v>1.02447241787105</v>
      </c>
      <c r="P64">
        <v>1.19424589215796</v>
      </c>
      <c r="Q64">
        <v>1.2460371116465501</v>
      </c>
      <c r="R64">
        <v>0.95995963637224002</v>
      </c>
      <c r="S64">
        <v>1.1389850123877301</v>
      </c>
      <c r="T64">
        <v>1.2862868477913101</v>
      </c>
      <c r="U64">
        <v>0.93247672798943304</v>
      </c>
      <c r="V64">
        <v>0.98152842677723695</v>
      </c>
      <c r="W64">
        <v>0.96702337321495002</v>
      </c>
      <c r="X64">
        <v>1.1435781285968201</v>
      </c>
      <c r="Y64">
        <v>0.94953295386652703</v>
      </c>
      <c r="Z64">
        <v>1.33448818808518</v>
      </c>
      <c r="AA64">
        <v>1.1056770088213499</v>
      </c>
      <c r="AB64">
        <v>0.89384121887947299</v>
      </c>
      <c r="AC64">
        <v>0.95368748903689304</v>
      </c>
      <c r="AD64">
        <v>1.0903331186241001</v>
      </c>
      <c r="AE64">
        <v>0.78699496873629204</v>
      </c>
      <c r="AF64">
        <v>0.68457697497369996</v>
      </c>
      <c r="AG64">
        <v>1.0393224796166201</v>
      </c>
      <c r="AH64">
        <v>1.3931143735637299</v>
      </c>
      <c r="AI64">
        <v>1.0999696337482601</v>
      </c>
      <c r="AJ64">
        <v>0.94490884811673004</v>
      </c>
      <c r="AK64">
        <v>1.02108813453473</v>
      </c>
      <c r="AL64">
        <v>1.0460878676105501</v>
      </c>
      <c r="AM64">
        <v>1.02735715469583</v>
      </c>
      <c r="AN64">
        <v>1.13105340701447</v>
      </c>
      <c r="AO64">
        <v>0.97357849847039102</v>
      </c>
      <c r="AP64">
        <v>1.04731932127621</v>
      </c>
      <c r="AQ64">
        <v>0.96080793399060305</v>
      </c>
      <c r="AR64">
        <v>0.93796703851843299</v>
      </c>
      <c r="AS64">
        <v>1.1467098721748501</v>
      </c>
      <c r="AT64">
        <v>0.84060890190507198</v>
      </c>
      <c r="AU64">
        <v>1.0712593712363001</v>
      </c>
      <c r="AV64">
        <v>1.06936778966918</v>
      </c>
      <c r="AW64">
        <v>1.0840985467487601</v>
      </c>
      <c r="AX64">
        <v>1.13878820703439</v>
      </c>
      <c r="AY64">
        <v>0.96706418927714199</v>
      </c>
      <c r="AZ64">
        <v>1.05586083298344</v>
      </c>
      <c r="BA64">
        <v>1.04542916246169</v>
      </c>
      <c r="BB64">
        <v>1.08322798768659</v>
      </c>
      <c r="BC64">
        <v>1.08646388359479</v>
      </c>
      <c r="BD64">
        <v>0.97240209311859305</v>
      </c>
      <c r="BE64">
        <v>1.0753081521372501</v>
      </c>
      <c r="BF64">
        <v>1.14917856537628</v>
      </c>
      <c r="BG64">
        <v>0.94670485119452896</v>
      </c>
      <c r="BH64">
        <v>0.99072496138849098</v>
      </c>
      <c r="BI64">
        <v>0.97160734623019596</v>
      </c>
      <c r="BJ64">
        <v>1.0623533081474299</v>
      </c>
      <c r="BK64">
        <v>0.99890541103974195</v>
      </c>
      <c r="BL64">
        <v>0.97174786050477402</v>
      </c>
      <c r="BM64">
        <v>1.0388988369313099</v>
      </c>
      <c r="BN64">
        <v>1.09981115634384</v>
      </c>
      <c r="BO64">
        <f>PRODUCT(B64:BN64)</f>
        <v>8.7952376993714605</v>
      </c>
      <c r="BP64">
        <f>AVERAGE(B64:BO64)/_xlfn.STDEV.S(B64:BN64)</f>
        <v>8.932754444282935</v>
      </c>
      <c r="BQ64">
        <f>PRODUCT(AD64:BN64)</f>
        <v>2.227959338477433</v>
      </c>
      <c r="BR64">
        <f>AVERAGE(AD64:BN64)/_xlfn.STDEV.S(AD64:BN64)</f>
        <v>8.9671308280769306</v>
      </c>
    </row>
    <row r="65" spans="1:196" x14ac:dyDescent="0.4">
      <c r="A65" t="s">
        <v>101</v>
      </c>
      <c r="B65">
        <v>0.90404339252001498</v>
      </c>
      <c r="C65">
        <v>1.0895032560012401</v>
      </c>
      <c r="D65">
        <v>1.14385189787369</v>
      </c>
      <c r="E65">
        <v>1.0182737852036701</v>
      </c>
      <c r="F65">
        <v>0.87401669857566799</v>
      </c>
      <c r="G65">
        <v>0.99479569769682197</v>
      </c>
      <c r="H65">
        <v>0.91218178133375005</v>
      </c>
      <c r="I65">
        <v>1.10906153024384</v>
      </c>
      <c r="J65">
        <v>1.24316348464323</v>
      </c>
      <c r="K65">
        <v>1.05384039964924</v>
      </c>
      <c r="L65">
        <v>1.12318502193468</v>
      </c>
      <c r="M65">
        <v>1.10227287445658</v>
      </c>
      <c r="N65">
        <v>1.1546431648033</v>
      </c>
      <c r="O65">
        <v>0.858127471581419</v>
      </c>
      <c r="P65">
        <v>0.92654690594528599</v>
      </c>
      <c r="Q65">
        <v>0.928574201215145</v>
      </c>
      <c r="R65">
        <v>0.97898732012214795</v>
      </c>
      <c r="S65">
        <v>1.02962532920292</v>
      </c>
      <c r="T65">
        <v>0.86055005384054495</v>
      </c>
      <c r="U65">
        <v>1.0405574724906399</v>
      </c>
      <c r="V65">
        <v>1.0902053078128</v>
      </c>
      <c r="W65">
        <v>0.85453065252027305</v>
      </c>
      <c r="X65">
        <v>0.95488343556518196</v>
      </c>
      <c r="Y65">
        <v>1.0032168792618199</v>
      </c>
      <c r="Z65">
        <v>0.92648985022041797</v>
      </c>
      <c r="AA65">
        <v>1.15400995631435</v>
      </c>
      <c r="AB65">
        <v>1.1213100169802599</v>
      </c>
      <c r="AC65">
        <v>1.0612036726534</v>
      </c>
      <c r="AD65">
        <v>1.0203967101951901</v>
      </c>
      <c r="AE65">
        <v>1.11268321866666</v>
      </c>
      <c r="AF65">
        <v>0.90946152219237397</v>
      </c>
      <c r="AG65">
        <v>1.07595482718511</v>
      </c>
      <c r="AH65">
        <v>1.0445503957158</v>
      </c>
      <c r="AI65">
        <v>1.03079930486608</v>
      </c>
      <c r="AJ65">
        <v>0.99429370899011504</v>
      </c>
      <c r="AK65">
        <v>1.0278645001040401</v>
      </c>
      <c r="AL65">
        <v>1.0050762009233201</v>
      </c>
      <c r="AM65">
        <v>1.02386195581665</v>
      </c>
      <c r="AN65">
        <v>0.87631535976206998</v>
      </c>
      <c r="AO65">
        <v>1.00047598284199</v>
      </c>
      <c r="AP65">
        <v>0.92156878690620103</v>
      </c>
      <c r="AQ65">
        <v>1.11309258978963</v>
      </c>
      <c r="AR65">
        <v>1.0680106223486501</v>
      </c>
      <c r="AS65">
        <v>1.0352498209958501</v>
      </c>
      <c r="AT65">
        <v>1.08191151735058</v>
      </c>
      <c r="AU65">
        <v>1.0073370351637301</v>
      </c>
      <c r="AV65">
        <v>1.08432413629081</v>
      </c>
      <c r="AW65">
        <v>1.1429330046879</v>
      </c>
      <c r="AX65">
        <v>0.95612452841029805</v>
      </c>
      <c r="AY65">
        <v>0.95007863584637198</v>
      </c>
      <c r="AZ65">
        <v>1.0608394373938299</v>
      </c>
      <c r="BA65">
        <v>1.0959333902938</v>
      </c>
      <c r="BB65">
        <v>1.0736014224519901</v>
      </c>
      <c r="BC65">
        <v>0.97024412384869396</v>
      </c>
      <c r="BD65">
        <v>1.16773641905266</v>
      </c>
      <c r="BE65">
        <v>0.98532480449469595</v>
      </c>
      <c r="BF65">
        <v>1.1198394141105299</v>
      </c>
      <c r="BG65">
        <v>0.99866590869212901</v>
      </c>
      <c r="BH65">
        <v>0.96313070543463597</v>
      </c>
      <c r="BI65">
        <v>0.97248095992976902</v>
      </c>
      <c r="BJ65">
        <v>1.00095457789915</v>
      </c>
      <c r="BK65">
        <v>1.0510162926723201</v>
      </c>
      <c r="BL65">
        <v>0.936416446278315</v>
      </c>
      <c r="BM65">
        <v>0.96177812930093298</v>
      </c>
      <c r="BN65">
        <v>0.967882771337643</v>
      </c>
      <c r="BO65">
        <v>1.0418255170211601</v>
      </c>
      <c r="BP65">
        <v>1.0444998776702601</v>
      </c>
      <c r="BQ65">
        <v>1.0115258595409899</v>
      </c>
      <c r="BR65">
        <v>1.08531585019948</v>
      </c>
      <c r="BS65">
        <v>0.97979207513470001</v>
      </c>
      <c r="BT65">
        <v>0.94410967958818004</v>
      </c>
      <c r="BU65">
        <v>1.0294063295096301</v>
      </c>
      <c r="BV65">
        <v>1.06605003960985</v>
      </c>
      <c r="BW65">
        <v>1.0895072475829599</v>
      </c>
      <c r="BX65">
        <v>1.1517207145066799</v>
      </c>
      <c r="BY65">
        <v>1.05364287533889</v>
      </c>
      <c r="BZ65">
        <v>1.1259601411686</v>
      </c>
      <c r="CA65">
        <v>0.93561576627645104</v>
      </c>
      <c r="CB65">
        <v>0.99734345398722302</v>
      </c>
      <c r="CC65">
        <v>0.97385076989675601</v>
      </c>
      <c r="CD65">
        <v>0.92337562665617201</v>
      </c>
      <c r="CE65">
        <v>1.0256457297883801</v>
      </c>
      <c r="CF65">
        <v>0.88539947498483795</v>
      </c>
      <c r="CG65">
        <v>1.0540479724351699</v>
      </c>
      <c r="CH65">
        <v>0.97476605241611303</v>
      </c>
      <c r="CI65">
        <v>1.06213671723535</v>
      </c>
      <c r="CJ65">
        <v>1.05640523509217</v>
      </c>
      <c r="CK65">
        <v>0.93350493330581497</v>
      </c>
      <c r="CL65">
        <v>0.91410306229278704</v>
      </c>
      <c r="CM65">
        <v>0.92555574644641103</v>
      </c>
      <c r="CN65">
        <v>0.97958454186648702</v>
      </c>
      <c r="CO65">
        <v>0.69979991647640905</v>
      </c>
      <c r="CP65">
        <v>1.00417759202168</v>
      </c>
      <c r="CQ65">
        <v>1.0692588858399601</v>
      </c>
      <c r="CR65">
        <v>1.04520501214094</v>
      </c>
      <c r="CS65">
        <v>0.93399014503810796</v>
      </c>
      <c r="CT65">
        <v>1.16138332320763</v>
      </c>
      <c r="CU65">
        <v>1.1973884684946401</v>
      </c>
      <c r="CV65">
        <v>1.0040178817598799</v>
      </c>
      <c r="CW65">
        <v>0.98354640507551505</v>
      </c>
      <c r="CX65">
        <v>1.0724784165332699</v>
      </c>
      <c r="CY65">
        <v>1.04629867994924</v>
      </c>
      <c r="CZ65">
        <v>1.0167917961022399</v>
      </c>
      <c r="DA65">
        <v>0.95843279916476198</v>
      </c>
      <c r="DB65">
        <v>0.97278908652621099</v>
      </c>
      <c r="DC65">
        <v>1.0858368114514501</v>
      </c>
      <c r="DD65">
        <v>0.94788946522795303</v>
      </c>
      <c r="DE65">
        <v>0.99469018935179199</v>
      </c>
      <c r="DF65">
        <v>1.06292821237768</v>
      </c>
      <c r="DG65">
        <v>1.03874099847055</v>
      </c>
      <c r="DH65">
        <v>0.95016856210062195</v>
      </c>
      <c r="DI65">
        <v>1.0412743301684699</v>
      </c>
      <c r="DJ65">
        <v>0.99650984340442605</v>
      </c>
      <c r="DK65">
        <v>0.99298122261933497</v>
      </c>
      <c r="DL65">
        <v>1.0775464368260299</v>
      </c>
      <c r="DM65">
        <v>1.0758983781389699</v>
      </c>
      <c r="DN65">
        <v>0.97759305258654305</v>
      </c>
      <c r="DO65">
        <v>1.0392606154050601</v>
      </c>
      <c r="DP65">
        <v>0.99372910858366903</v>
      </c>
      <c r="DQ65">
        <v>0.94503473021928996</v>
      </c>
      <c r="DR65">
        <v>1.0697550028987599</v>
      </c>
      <c r="DS65">
        <v>1.01985757253958</v>
      </c>
      <c r="DT65">
        <v>0.962897797409897</v>
      </c>
      <c r="DU65">
        <v>1.00590185385575</v>
      </c>
      <c r="DV65">
        <v>1.07919670319899</v>
      </c>
      <c r="DW65">
        <v>0.88756276962203995</v>
      </c>
      <c r="DX65">
        <v>0.89363556609209105</v>
      </c>
      <c r="DY65">
        <v>1.06620248111489</v>
      </c>
      <c r="DZ65">
        <v>0.98726966377506198</v>
      </c>
      <c r="EA65">
        <v>1.0065544015677499</v>
      </c>
      <c r="EB65">
        <v>1.06752331780535</v>
      </c>
      <c r="EC65">
        <v>1.0696958245069901</v>
      </c>
      <c r="ED65">
        <v>0.960893376502853</v>
      </c>
      <c r="EE65">
        <v>0.93646882388038299</v>
      </c>
      <c r="EF65">
        <v>0.93828083286872799</v>
      </c>
      <c r="EG65">
        <v>1.02968966130415</v>
      </c>
      <c r="EH65">
        <v>0.995902325102071</v>
      </c>
      <c r="EI65">
        <v>1.04728468693258</v>
      </c>
      <c r="EJ65">
        <v>1.0684243892032199</v>
      </c>
      <c r="EK65">
        <v>0.99478023074102295</v>
      </c>
      <c r="EL65">
        <v>1.00876920686678</v>
      </c>
      <c r="EM65">
        <v>1.02837742313398</v>
      </c>
      <c r="EN65">
        <v>1.0146561992637899</v>
      </c>
      <c r="EO65">
        <v>1.0418314619249101</v>
      </c>
      <c r="EP65">
        <v>1.05757257926524</v>
      </c>
      <c r="EQ65">
        <v>1.05387065011134</v>
      </c>
      <c r="ER65">
        <v>1.0251614002943801</v>
      </c>
      <c r="ES65">
        <v>0.931433154997654</v>
      </c>
      <c r="ET65">
        <v>1.0528011620187701</v>
      </c>
      <c r="EU65">
        <v>0.98934369728721805</v>
      </c>
      <c r="EV65">
        <v>1.04165761215785</v>
      </c>
      <c r="EW65">
        <v>1.0199484283326601</v>
      </c>
      <c r="EX65">
        <v>0.99682220098068797</v>
      </c>
      <c r="EY65">
        <v>0.99117476459301401</v>
      </c>
      <c r="EZ65">
        <v>1.0109023064165099</v>
      </c>
      <c r="FA65">
        <v>1.0465560859896399</v>
      </c>
      <c r="FB65">
        <v>1.0426342632238701</v>
      </c>
      <c r="FC65">
        <v>1.02996303674014</v>
      </c>
      <c r="FD65">
        <v>1.0128071134013601</v>
      </c>
      <c r="FE65">
        <v>1.00357991892764</v>
      </c>
      <c r="FF65">
        <v>1.04478907302338</v>
      </c>
      <c r="FG65">
        <v>1.0391353385109401</v>
      </c>
      <c r="FH65">
        <v>1.0099372386890799</v>
      </c>
      <c r="FI65">
        <v>0.97348112806463905</v>
      </c>
      <c r="FJ65">
        <v>0.99241955696744599</v>
      </c>
      <c r="FK65">
        <v>0.97887854921811801</v>
      </c>
      <c r="FL65">
        <v>1.03460216580581</v>
      </c>
      <c r="FM65">
        <v>1.0654241360171599</v>
      </c>
      <c r="FN65">
        <v>1.0520960417613501</v>
      </c>
      <c r="FO65">
        <v>1.08030113448085</v>
      </c>
      <c r="FP65">
        <v>1.01460346819697</v>
      </c>
      <c r="FQ65">
        <v>0.99508464704288202</v>
      </c>
      <c r="FR65">
        <v>1.0028336287123101</v>
      </c>
      <c r="FS65">
        <v>0.95240075224061005</v>
      </c>
      <c r="FT65">
        <v>1.02579187911112</v>
      </c>
      <c r="FU65">
        <v>0.99927426549298703</v>
      </c>
      <c r="FV65">
        <v>0.96915024189127896</v>
      </c>
      <c r="FW65">
        <v>0.99815296947901699</v>
      </c>
      <c r="FX65">
        <v>0.95165710730061503</v>
      </c>
      <c r="FY65">
        <v>1.02643225115129</v>
      </c>
      <c r="FZ65">
        <v>1.0672398300772099</v>
      </c>
      <c r="GA65">
        <v>1.02979084224103</v>
      </c>
      <c r="GB65">
        <v>0.96999137311675498</v>
      </c>
      <c r="GC65">
        <v>0.96555136625689197</v>
      </c>
      <c r="GD65">
        <v>1.0453501919897801</v>
      </c>
      <c r="GE65">
        <v>0.99253581525318502</v>
      </c>
      <c r="GF65">
        <v>1.00437756160627</v>
      </c>
      <c r="GG65">
        <v>0.97242957788490902</v>
      </c>
      <c r="GH65">
        <v>0.99740081602484398</v>
      </c>
      <c r="GI65">
        <v>1.0413349907807401</v>
      </c>
      <c r="GJ65">
        <v>0.98874464822298502</v>
      </c>
      <c r="GK65">
        <v>1.0122224764921699</v>
      </c>
      <c r="GL65">
        <v>1.01199178213466</v>
      </c>
      <c r="GM65">
        <v>1.0373604831276</v>
      </c>
      <c r="GN65">
        <v>1.0511629432037699</v>
      </c>
    </row>
    <row r="67" spans="1:196" s="21" customFormat="1" x14ac:dyDescent="0.4">
      <c r="A67" s="21" t="s">
        <v>141</v>
      </c>
    </row>
    <row r="68" spans="1:196" x14ac:dyDescent="0.4">
      <c r="A68" t="s">
        <v>142</v>
      </c>
      <c r="B68">
        <v>1.10414582855879</v>
      </c>
      <c r="C68">
        <v>0.85030706444702298</v>
      </c>
      <c r="D68">
        <v>1.20467828818031</v>
      </c>
      <c r="E68">
        <v>1.2650804657402099</v>
      </c>
      <c r="F68">
        <v>0.88967493146106003</v>
      </c>
      <c r="G68">
        <v>0.93213517020726999</v>
      </c>
      <c r="H68">
        <v>0.94667319972166697</v>
      </c>
      <c r="I68">
        <v>0.81419063978343198</v>
      </c>
      <c r="J68">
        <v>1.1999541963717999</v>
      </c>
      <c r="K68">
        <v>1.15661433102127</v>
      </c>
      <c r="L68">
        <v>1.02010586474069</v>
      </c>
      <c r="M68">
        <v>1.0599689687095699</v>
      </c>
      <c r="N68">
        <v>0.90431980471645201</v>
      </c>
      <c r="O68">
        <v>1.0198106429806799</v>
      </c>
      <c r="P68">
        <v>1.1575203506765599</v>
      </c>
      <c r="Q68">
        <v>1.2458163304441401</v>
      </c>
      <c r="R68">
        <v>0.95477467892229095</v>
      </c>
      <c r="S68">
        <v>1.17046661730395</v>
      </c>
      <c r="T68">
        <v>1.3422483865556101</v>
      </c>
      <c r="U68">
        <v>0.95815851461206403</v>
      </c>
      <c r="V68">
        <v>0.956920135436097</v>
      </c>
      <c r="W68">
        <v>0.981339492580795</v>
      </c>
      <c r="X68">
        <v>1.1611526368829801</v>
      </c>
      <c r="Y68">
        <v>0.94283326495473396</v>
      </c>
      <c r="Z68">
        <v>1.3800623892855399</v>
      </c>
      <c r="AA68">
        <v>1.12518057822749</v>
      </c>
      <c r="AB68">
        <v>0.898373253369113</v>
      </c>
      <c r="AC68">
        <v>0.95698009637747194</v>
      </c>
      <c r="AD68">
        <v>1.05080183192509</v>
      </c>
      <c r="AE68">
        <v>0.76393051769239495</v>
      </c>
      <c r="AF68">
        <v>0.63957318662039098</v>
      </c>
      <c r="AG68">
        <v>1.07631879754631</v>
      </c>
      <c r="AH68">
        <v>1.39349507821302</v>
      </c>
      <c r="AI68">
        <v>1.0433848326734001</v>
      </c>
      <c r="AJ68">
        <v>0.92906893199027896</v>
      </c>
      <c r="AK68">
        <v>1.03306112983541</v>
      </c>
      <c r="AL68">
        <v>0.99799063998186699</v>
      </c>
      <c r="AM68">
        <v>1.04244751951338</v>
      </c>
      <c r="AN68">
        <v>1.13069578403694</v>
      </c>
      <c r="AO68">
        <v>0.97905506335772896</v>
      </c>
      <c r="AP68">
        <v>1.0669919734296001</v>
      </c>
      <c r="AQ68">
        <v>0.99140645598935095</v>
      </c>
      <c r="AR68">
        <v>0.94646356725274405</v>
      </c>
      <c r="AS68">
        <v>1.1395840887119599</v>
      </c>
      <c r="AT68">
        <v>0.86057404387957903</v>
      </c>
      <c r="AU68">
        <v>1.0778069066937901</v>
      </c>
      <c r="AV68">
        <v>1.1104923461493601</v>
      </c>
      <c r="AW68">
        <v>1.09257715113498</v>
      </c>
      <c r="AX68">
        <v>1.14034188007314</v>
      </c>
      <c r="AY68">
        <v>0.95129519797450302</v>
      </c>
      <c r="AZ68">
        <v>1.0449865493491699</v>
      </c>
      <c r="BA68">
        <v>1.05642622737752</v>
      </c>
      <c r="BB68">
        <v>1.0731073927409001</v>
      </c>
      <c r="BC68">
        <v>1.0709556897058701</v>
      </c>
      <c r="BD68">
        <v>0.98257428237147504</v>
      </c>
      <c r="BE68">
        <v>1.1020399504068401</v>
      </c>
      <c r="BF68">
        <v>1.1734470334634299</v>
      </c>
      <c r="BG68">
        <v>0.96503264850266102</v>
      </c>
      <c r="BH68">
        <v>0.98414933947942196</v>
      </c>
      <c r="BI68">
        <v>0.98039241539453204</v>
      </c>
      <c r="BJ68">
        <v>1.0823024109744901</v>
      </c>
      <c r="BK68">
        <v>0.984543507627611</v>
      </c>
      <c r="BL68">
        <v>0.94471328708911195</v>
      </c>
      <c r="BM68">
        <v>1.0474588045025699</v>
      </c>
      <c r="BN68">
        <v>1.08652425211558</v>
      </c>
      <c r="BO68">
        <f>PRODUCT(B68:BN68)</f>
        <v>7.6595144067425371</v>
      </c>
      <c r="BP68">
        <f>AVERAGE(B68:BO68)/_xlfn.STDEV.S(B68:BN68)</f>
        <v>8.4766638273618025</v>
      </c>
      <c r="BQ68">
        <f>PRODUCT(AD68:BN68)</f>
        <v>2.1272936855397182</v>
      </c>
      <c r="BR68">
        <f>AVERAGE(AD68:BN68)/_xlfn.STDEV.S(AD68:BN68)</f>
        <v>8.5492937813790064</v>
      </c>
    </row>
    <row r="69" spans="1:196" x14ac:dyDescent="0.4">
      <c r="A69" t="s">
        <v>2</v>
      </c>
      <c r="B69">
        <v>1.0941458285587899</v>
      </c>
      <c r="C69">
        <v>0.84864903335894004</v>
      </c>
      <c r="D69">
        <v>1.2041488764156001</v>
      </c>
      <c r="E69">
        <v>1.26337192302665</v>
      </c>
      <c r="F69">
        <v>0.88747493146106005</v>
      </c>
      <c r="G69">
        <v>0.93053517020726995</v>
      </c>
      <c r="H69">
        <v>0.94567319972166697</v>
      </c>
      <c r="I69">
        <v>0.81328154887434101</v>
      </c>
      <c r="J69">
        <v>1.1988430852606899</v>
      </c>
      <c r="K69">
        <v>1.1554143310212699</v>
      </c>
      <c r="L69">
        <v>1.01895586474069</v>
      </c>
      <c r="M69">
        <v>1.05916896870957</v>
      </c>
      <c r="N69">
        <v>0.90306980471645204</v>
      </c>
      <c r="O69">
        <v>1.0184106429806801</v>
      </c>
      <c r="P69">
        <v>1.15652035067656</v>
      </c>
      <c r="Q69">
        <v>1.2443663304441399</v>
      </c>
      <c r="R69">
        <v>0.952374678922291</v>
      </c>
      <c r="S69">
        <v>1.16881661730395</v>
      </c>
      <c r="T69">
        <v>1.3404983865556099</v>
      </c>
      <c r="U69">
        <v>0.95525851461206401</v>
      </c>
      <c r="V69">
        <v>0.95432013543609695</v>
      </c>
      <c r="W69">
        <v>0.979339492580795</v>
      </c>
      <c r="X69">
        <v>1.15910263688298</v>
      </c>
      <c r="Y69">
        <v>0.94098326495473406</v>
      </c>
      <c r="Z69">
        <v>1.3781623892855399</v>
      </c>
      <c r="AA69">
        <v>1.1220805782274901</v>
      </c>
      <c r="AB69">
        <v>0.89552325336911298</v>
      </c>
      <c r="AC69">
        <v>0.95398009637747205</v>
      </c>
      <c r="AD69">
        <v>1.0484018319250901</v>
      </c>
      <c r="AE69">
        <v>0.76068051769239498</v>
      </c>
      <c r="AF69">
        <v>0.63702318662039104</v>
      </c>
      <c r="AG69">
        <v>1.0720687975463099</v>
      </c>
      <c r="AH69">
        <v>1.3909450782130199</v>
      </c>
      <c r="AI69">
        <v>1.0397348326733999</v>
      </c>
      <c r="AJ69">
        <v>0.92731893199027904</v>
      </c>
      <c r="AK69">
        <v>1.0315611298354099</v>
      </c>
      <c r="AL69">
        <v>0.99569063998186702</v>
      </c>
      <c r="AM69">
        <v>1.04014751951338</v>
      </c>
      <c r="AN69">
        <v>1.12869578403694</v>
      </c>
      <c r="AO69">
        <v>0.97730506335772904</v>
      </c>
      <c r="AP69">
        <v>1.0638919734296</v>
      </c>
      <c r="AQ69">
        <v>0.98920645598935097</v>
      </c>
      <c r="AR69">
        <v>0.94426356725274396</v>
      </c>
      <c r="AS69">
        <v>1.1373340887119601</v>
      </c>
      <c r="AT69">
        <v>0.85772404387957901</v>
      </c>
      <c r="AU69">
        <v>1.07515690669379</v>
      </c>
      <c r="AV69">
        <v>1.10874234614936</v>
      </c>
      <c r="AW69">
        <v>1.0901271511349799</v>
      </c>
      <c r="AX69">
        <v>1.1374418800731401</v>
      </c>
      <c r="AY69">
        <v>0.94879519797450396</v>
      </c>
      <c r="AZ69">
        <v>1.04303654934917</v>
      </c>
      <c r="BA69">
        <v>1.05377622737752</v>
      </c>
      <c r="BB69">
        <v>1.0699073927409</v>
      </c>
      <c r="BC69">
        <v>1.06850568970587</v>
      </c>
      <c r="BD69">
        <v>0.98022428237147496</v>
      </c>
      <c r="BE69">
        <v>1.0994899504068401</v>
      </c>
      <c r="BF69">
        <v>1.1702970334634299</v>
      </c>
      <c r="BG69">
        <v>0.96188264850266103</v>
      </c>
      <c r="BH69">
        <v>0.981799339479422</v>
      </c>
      <c r="BI69">
        <v>0.97814241539453195</v>
      </c>
      <c r="BJ69">
        <v>1.0797024109744899</v>
      </c>
      <c r="BK69">
        <v>0.98234350762761102</v>
      </c>
      <c r="BL69">
        <v>0.94266328708911196</v>
      </c>
      <c r="BM69">
        <v>1.0453588045025699</v>
      </c>
      <c r="BN69">
        <v>1.08377425211558</v>
      </c>
      <c r="BO69">
        <f>PRODUCT(B69:BN69)</f>
        <v>6.6131746875569855</v>
      </c>
      <c r="BP69">
        <f>AVERAGE(B69:BO69)/_xlfn.STDEV.S(B69:BN69)</f>
        <v>8.3395903212657974</v>
      </c>
      <c r="BQ69">
        <f>PRODUCT(AD69:BN69)</f>
        <v>1.9406386491626304</v>
      </c>
      <c r="BR69">
        <f>AVERAGE(AD69:BN69)/_xlfn.STDEV.S(AD69:BN69)</f>
        <v>8.5297709858939097</v>
      </c>
    </row>
    <row r="70" spans="1:196" x14ac:dyDescent="0.4">
      <c r="A70" t="s">
        <v>101</v>
      </c>
      <c r="B70">
        <v>0.88496169002915603</v>
      </c>
      <c r="C70">
        <v>1.09035634185715</v>
      </c>
      <c r="D70">
        <v>1.14428317312373</v>
      </c>
      <c r="E70">
        <v>0.99852756259332998</v>
      </c>
      <c r="F70">
        <v>0.86546029669615798</v>
      </c>
      <c r="G70">
        <v>0.98393991945326498</v>
      </c>
      <c r="H70">
        <v>0.90187942996493298</v>
      </c>
      <c r="I70">
        <v>1.1065332086855999</v>
      </c>
      <c r="J70">
        <v>1.2071414125666799</v>
      </c>
      <c r="K70">
        <v>1.03913529580723</v>
      </c>
      <c r="L70">
        <v>1.1302446444941401</v>
      </c>
      <c r="M70">
        <v>1.07714357522893</v>
      </c>
      <c r="N70">
        <v>1.14464121217528</v>
      </c>
      <c r="O70">
        <v>0.85348906225085797</v>
      </c>
      <c r="P70">
        <v>0.91067625999688395</v>
      </c>
      <c r="Q70">
        <v>0.90803894411967401</v>
      </c>
      <c r="R70">
        <v>0.98979743516710295</v>
      </c>
      <c r="S70">
        <v>1.0371178175491</v>
      </c>
      <c r="T70">
        <v>0.84119559980589598</v>
      </c>
      <c r="U70">
        <v>1.0305420716306199</v>
      </c>
      <c r="V70">
        <v>1.09203702636648</v>
      </c>
      <c r="W70">
        <v>0.85287873820261695</v>
      </c>
      <c r="X70">
        <v>0.95431054340266297</v>
      </c>
      <c r="Y70">
        <v>1.0003433638488901</v>
      </c>
      <c r="Z70">
        <v>0.92865575626562502</v>
      </c>
      <c r="AA70">
        <v>1.14971141772537</v>
      </c>
      <c r="AB70">
        <v>1.1238829156075101</v>
      </c>
      <c r="AC70">
        <v>1.0451335377284201</v>
      </c>
      <c r="AD70">
        <v>1.0131207477248201</v>
      </c>
      <c r="AE70">
        <v>1.09233431140712</v>
      </c>
      <c r="AF70">
        <v>0.90063292062120204</v>
      </c>
      <c r="AG70">
        <v>1.0877317518732801</v>
      </c>
      <c r="AH70">
        <v>1.04129940599529</v>
      </c>
      <c r="AI70">
        <v>1.04323889509645</v>
      </c>
      <c r="AJ70">
        <v>0.99134250529535795</v>
      </c>
      <c r="AK70">
        <v>1.0249098172139</v>
      </c>
      <c r="AL70">
        <v>0.99620432109305901</v>
      </c>
      <c r="AM70">
        <v>1.0168132467462401</v>
      </c>
      <c r="AN70">
        <v>0.89275527592411497</v>
      </c>
      <c r="AO70">
        <v>0.99631213890250603</v>
      </c>
      <c r="AP70">
        <v>0.92748613209019204</v>
      </c>
      <c r="AQ70">
        <v>1.10361271037074</v>
      </c>
      <c r="AR70">
        <v>1.0636389461892199</v>
      </c>
      <c r="AS70">
        <v>1.01408325117194</v>
      </c>
      <c r="AT70">
        <v>1.07315090033709</v>
      </c>
      <c r="AU70">
        <v>1.0151420554020101</v>
      </c>
      <c r="AV70">
        <v>1.0839852413187301</v>
      </c>
      <c r="AW70">
        <v>1.13214963278503</v>
      </c>
      <c r="AX70">
        <v>0.95878011555793496</v>
      </c>
      <c r="AY70">
        <v>0.94280579910029805</v>
      </c>
      <c r="AZ70">
        <v>1.0562327496736099</v>
      </c>
      <c r="BA70">
        <v>1.10616555104023</v>
      </c>
      <c r="BB70">
        <v>1.0758948925137699</v>
      </c>
      <c r="BC70">
        <v>0.98348798057253095</v>
      </c>
      <c r="BD70">
        <v>1.1721320899015999</v>
      </c>
      <c r="BE70">
        <v>0.99787398247864501</v>
      </c>
      <c r="BF70">
        <v>1.1475738285421599</v>
      </c>
      <c r="BG70">
        <v>1.0057972414023499</v>
      </c>
      <c r="BH70">
        <v>0.96732725173232503</v>
      </c>
      <c r="BI70">
        <v>0.98481238163033702</v>
      </c>
      <c r="BJ70">
        <v>0.99575609917372099</v>
      </c>
      <c r="BK70">
        <v>1.05726707535354</v>
      </c>
      <c r="BL70">
        <v>0.90894584749899698</v>
      </c>
      <c r="BM70">
        <v>0.95104113299929005</v>
      </c>
      <c r="BN70">
        <v>0.98467400116691095</v>
      </c>
      <c r="BO70">
        <v>1.04791849346764</v>
      </c>
      <c r="BP70">
        <v>1.04303522950226</v>
      </c>
      <c r="BQ70">
        <v>1.0187691919333499</v>
      </c>
      <c r="BR70">
        <v>1.09273419114459</v>
      </c>
      <c r="BS70">
        <v>0.98739288357097499</v>
      </c>
      <c r="BT70">
        <v>0.93075567357217104</v>
      </c>
      <c r="BU70">
        <v>1.02590987891979</v>
      </c>
      <c r="BV70">
        <v>1.06865401933172</v>
      </c>
      <c r="BW70">
        <v>1.0947241573394</v>
      </c>
      <c r="BX70">
        <v>1.1796601123252899</v>
      </c>
      <c r="BY70">
        <v>1.0414337967815499</v>
      </c>
      <c r="BZ70">
        <v>1.1372402515036799</v>
      </c>
      <c r="CA70">
        <v>0.95003222574728596</v>
      </c>
      <c r="CB70">
        <v>1.00939696130861</v>
      </c>
      <c r="CC70">
        <v>0.97435108377360902</v>
      </c>
      <c r="CD70">
        <v>0.91343857457981303</v>
      </c>
      <c r="CE70">
        <v>1.0185848773609001</v>
      </c>
      <c r="CF70">
        <v>0.88054894611560297</v>
      </c>
      <c r="CG70">
        <v>1.06696992887148</v>
      </c>
      <c r="CH70">
        <v>0.97203479197717801</v>
      </c>
      <c r="CI70">
        <v>1.04257378693225</v>
      </c>
      <c r="CJ70">
        <v>1.0368888632737101</v>
      </c>
      <c r="CK70">
        <v>0.92599736738878802</v>
      </c>
      <c r="CL70">
        <v>0.91744612439266804</v>
      </c>
      <c r="CM70">
        <v>0.89921498851265003</v>
      </c>
      <c r="CN70">
        <v>0.96928794506708105</v>
      </c>
      <c r="CO70">
        <v>0.66107626168755196</v>
      </c>
      <c r="CP70">
        <v>0.99812716182975403</v>
      </c>
      <c r="CQ70">
        <v>1.0791399537749899</v>
      </c>
      <c r="CR70">
        <v>1.0622296462367999</v>
      </c>
      <c r="CS70">
        <v>0.93895490490214195</v>
      </c>
      <c r="CT70">
        <v>1.15146112426129</v>
      </c>
      <c r="CU70">
        <v>1.19668861763673</v>
      </c>
      <c r="CV70">
        <v>1.0112883379576201</v>
      </c>
      <c r="CW70">
        <v>0.96160789190763396</v>
      </c>
      <c r="CX70">
        <v>1.06377704131641</v>
      </c>
      <c r="CY70">
        <v>1.0199899373511001</v>
      </c>
      <c r="CZ70">
        <v>0.99990754051782404</v>
      </c>
      <c r="DA70">
        <v>0.95844094517070799</v>
      </c>
      <c r="DB70">
        <v>0.96944401827518101</v>
      </c>
      <c r="DC70">
        <v>1.09302877963196</v>
      </c>
      <c r="DD70">
        <v>0.94061549621570995</v>
      </c>
      <c r="DE70">
        <v>1.00480617323557</v>
      </c>
      <c r="DF70">
        <v>1.0449687637463101</v>
      </c>
      <c r="DG70">
        <v>1.00561580511102</v>
      </c>
      <c r="DH70">
        <v>0.94971012685613299</v>
      </c>
      <c r="DI70">
        <v>1.03677983931672</v>
      </c>
      <c r="DJ70">
        <v>1.0050944431079201</v>
      </c>
      <c r="DK70">
        <v>1.00037028930859</v>
      </c>
      <c r="DL70">
        <v>1.0883308447298801</v>
      </c>
      <c r="DM70">
        <v>1.07968108477721</v>
      </c>
      <c r="DN70">
        <v>0.96225315141680801</v>
      </c>
      <c r="DO70">
        <v>1.04846135137765</v>
      </c>
      <c r="DP70">
        <v>0.99917497059694105</v>
      </c>
      <c r="DQ70">
        <v>0.93457281782663104</v>
      </c>
      <c r="DR70">
        <v>1.06816794807656</v>
      </c>
      <c r="DS70">
        <v>1.0341085027116099</v>
      </c>
      <c r="DT70">
        <v>0.96595190025995303</v>
      </c>
      <c r="DU70">
        <v>1.00294292337036</v>
      </c>
      <c r="DV70">
        <v>1.09272237910203</v>
      </c>
      <c r="DW70">
        <v>0.904618961633184</v>
      </c>
      <c r="DX70">
        <v>0.88982270506744199</v>
      </c>
      <c r="DY70">
        <v>1.07165037964064</v>
      </c>
      <c r="DZ70">
        <v>0.99253834905995297</v>
      </c>
      <c r="EA70">
        <v>1.0193439212833799</v>
      </c>
      <c r="EB70">
        <v>1.06000045904014</v>
      </c>
      <c r="EC70">
        <v>1.0546772693261799</v>
      </c>
      <c r="ED70">
        <v>0.96005063256168199</v>
      </c>
      <c r="EE70">
        <v>0.94397588115253905</v>
      </c>
      <c r="EF70">
        <v>0.94958360302796796</v>
      </c>
      <c r="EG70">
        <v>1.0378459492168799</v>
      </c>
      <c r="EH70">
        <v>0.98243436382081695</v>
      </c>
      <c r="EI70">
        <v>1.05707188681607</v>
      </c>
      <c r="EJ70">
        <v>1.07831804818041</v>
      </c>
      <c r="EK70">
        <v>1.0097568339026299</v>
      </c>
      <c r="EL70">
        <v>1.01988662007449</v>
      </c>
      <c r="EM70">
        <v>1.0216156248213599</v>
      </c>
      <c r="EN70">
        <v>1.02558527603547</v>
      </c>
      <c r="EO70">
        <v>1.04278028144645</v>
      </c>
      <c r="EP70">
        <v>1.05528211449831</v>
      </c>
      <c r="EQ70">
        <v>1.06625641562815</v>
      </c>
      <c r="ER70">
        <v>1.0134558632814099</v>
      </c>
      <c r="ES70">
        <v>0.93331157423000399</v>
      </c>
      <c r="ET70">
        <v>1.04728575551599</v>
      </c>
      <c r="EU70">
        <v>0.97324785727753005</v>
      </c>
      <c r="EV70">
        <v>1.04183265564911</v>
      </c>
      <c r="EW70">
        <v>1.00580568052863</v>
      </c>
      <c r="EX70">
        <v>0.99723761257090904</v>
      </c>
      <c r="EY70">
        <v>0.990329597754814</v>
      </c>
      <c r="EZ70">
        <v>1.02138897831481</v>
      </c>
      <c r="FA70">
        <v>1.04440333189548</v>
      </c>
      <c r="FB70">
        <v>1.04270916897875</v>
      </c>
      <c r="FC70">
        <v>1.0198060528608699</v>
      </c>
      <c r="FD70">
        <v>1.00916553242556</v>
      </c>
      <c r="FE70">
        <v>0.99263645832305603</v>
      </c>
      <c r="FF70">
        <v>1.0344672006187601</v>
      </c>
      <c r="FG70">
        <v>1.0429525612502399</v>
      </c>
      <c r="FH70">
        <v>1.0250563851049499</v>
      </c>
      <c r="FI70">
        <v>0.97204391364777998</v>
      </c>
      <c r="FJ70">
        <v>0.986124507818949</v>
      </c>
      <c r="FK70">
        <v>1.00614104654284</v>
      </c>
      <c r="FL70">
        <v>1.03461316111612</v>
      </c>
      <c r="FM70">
        <v>1.0586696747208999</v>
      </c>
      <c r="FN70">
        <v>1.06672122454548</v>
      </c>
      <c r="FO70">
        <v>1.0626723641995599</v>
      </c>
      <c r="FP70">
        <v>1.03517355446974</v>
      </c>
      <c r="FQ70">
        <v>1.0292863422973</v>
      </c>
      <c r="FR70">
        <v>0.99271437490849601</v>
      </c>
      <c r="FS70">
        <v>0.94445546863566399</v>
      </c>
      <c r="FT70">
        <v>1.0251637433521601</v>
      </c>
      <c r="FU70">
        <v>0.98391556672615998</v>
      </c>
      <c r="FV70">
        <v>0.97568569002707695</v>
      </c>
      <c r="FW70">
        <v>0.99981035157471398</v>
      </c>
      <c r="FX70">
        <v>0.98198017111900004</v>
      </c>
      <c r="FY70">
        <v>0.99857248586075598</v>
      </c>
      <c r="FZ70">
        <v>1.0625365818057599</v>
      </c>
      <c r="GA70">
        <v>1.02925362620258</v>
      </c>
      <c r="GB70">
        <v>0.98965159502111799</v>
      </c>
      <c r="GC70">
        <v>0.97798861990804997</v>
      </c>
      <c r="GD70">
        <v>1.0355981871703299</v>
      </c>
      <c r="GE70">
        <v>0.97209750812925799</v>
      </c>
      <c r="GF70">
        <v>1.0108232123824099</v>
      </c>
      <c r="GG70">
        <v>0.94564073863842402</v>
      </c>
      <c r="GH70">
        <v>0.98832241141656896</v>
      </c>
      <c r="GI70">
        <v>1.0439482634914099</v>
      </c>
      <c r="GJ70">
        <v>0.97744520514480204</v>
      </c>
      <c r="GK70">
        <v>1.0265156026537201</v>
      </c>
      <c r="GL70">
        <v>1.0131106030895101</v>
      </c>
      <c r="GM70">
        <v>1.0239769149675599</v>
      </c>
      <c r="GN70">
        <v>1.0473513530962599</v>
      </c>
    </row>
    <row r="72" spans="1:196" x14ac:dyDescent="0.4">
      <c r="A72" t="s">
        <v>5</v>
      </c>
      <c r="B72">
        <v>1.1219800408276901</v>
      </c>
      <c r="C72">
        <v>0.89433207316288699</v>
      </c>
      <c r="D72">
        <v>1.2234203040042499</v>
      </c>
      <c r="E72">
        <v>1.34167067337076</v>
      </c>
      <c r="F72">
        <v>0.90969917676574097</v>
      </c>
      <c r="G72">
        <v>0.96563303582701399</v>
      </c>
      <c r="H72">
        <v>0.96020629999296603</v>
      </c>
      <c r="I72">
        <v>0.83470650202394103</v>
      </c>
      <c r="J72">
        <v>1.2244341888700001</v>
      </c>
      <c r="K72">
        <v>1.15939418538065</v>
      </c>
      <c r="L72">
        <v>1.02232642472911</v>
      </c>
      <c r="M72">
        <v>1.05122580664667</v>
      </c>
      <c r="N72">
        <v>0.90998033384932997</v>
      </c>
      <c r="O72">
        <v>1.04782657514754</v>
      </c>
      <c r="P72">
        <v>1.20247816021344</v>
      </c>
      <c r="Q72">
        <v>1.2904332182585401</v>
      </c>
      <c r="R72">
        <v>0.96636811174074599</v>
      </c>
      <c r="S72">
        <v>1.2351943937522301</v>
      </c>
      <c r="T72">
        <v>1.35416304179772</v>
      </c>
      <c r="U72">
        <v>0.93089458734618402</v>
      </c>
      <c r="V72">
        <v>0.95896868228914101</v>
      </c>
      <c r="W72">
        <v>0.96780790113733295</v>
      </c>
      <c r="X72">
        <v>1.1938404425897</v>
      </c>
      <c r="Y72">
        <v>0.93136155234114704</v>
      </c>
      <c r="Z72">
        <v>1.41842613161055</v>
      </c>
      <c r="AA72">
        <v>1.0920024504953401</v>
      </c>
      <c r="AB72">
        <v>0.89386674615721995</v>
      </c>
      <c r="AC72">
        <v>0.95572478041571396</v>
      </c>
      <c r="AD72">
        <v>1.0638432412202199</v>
      </c>
      <c r="AE72">
        <v>0.72141083374586301</v>
      </c>
      <c r="AF72">
        <v>0.62652143406634697</v>
      </c>
      <c r="AG72">
        <v>1.07813007498109</v>
      </c>
      <c r="AH72">
        <v>1.3805119323064201</v>
      </c>
      <c r="AI72">
        <v>1.0294836240403</v>
      </c>
      <c r="AJ72">
        <v>0.91794489227865905</v>
      </c>
      <c r="AK72">
        <v>1.02187606000677</v>
      </c>
      <c r="AL72">
        <v>1.00559370804912</v>
      </c>
      <c r="AM72">
        <v>1.04562819876363</v>
      </c>
      <c r="AN72">
        <v>1.1536113973495099</v>
      </c>
      <c r="AO72">
        <v>0.971671119736084</v>
      </c>
      <c r="AP72">
        <v>1.0759112832799</v>
      </c>
      <c r="AQ72">
        <v>1.0221603398757899</v>
      </c>
      <c r="AR72">
        <v>0.97910822340136605</v>
      </c>
      <c r="AS72">
        <v>1.14024882851349</v>
      </c>
      <c r="AT72">
        <v>0.86241875223400699</v>
      </c>
      <c r="AU72">
        <v>1.0781641630569401</v>
      </c>
      <c r="AV72">
        <v>1.14809643160056</v>
      </c>
      <c r="AW72">
        <v>1.1043403721309399</v>
      </c>
      <c r="AX72">
        <v>1.14561319798459</v>
      </c>
      <c r="AY72">
        <v>0.96917098222119602</v>
      </c>
      <c r="AZ72">
        <v>1.04262506371895</v>
      </c>
      <c r="BA72">
        <v>1.0575339626262299</v>
      </c>
      <c r="BB72">
        <v>1.08563663430021</v>
      </c>
      <c r="BC72">
        <v>1.0969828711518099</v>
      </c>
      <c r="BD72">
        <v>0.96416091650353797</v>
      </c>
      <c r="BE72">
        <v>1.13533662644056</v>
      </c>
      <c r="BF72">
        <v>1.1445436951655099</v>
      </c>
      <c r="BG72">
        <v>0.94526105717291098</v>
      </c>
      <c r="BH72">
        <v>0.97937662354238897</v>
      </c>
      <c r="BI72">
        <v>0.98921117320582197</v>
      </c>
      <c r="BJ72">
        <v>1.0757724669092701</v>
      </c>
      <c r="BK72">
        <v>0.99400525492941605</v>
      </c>
      <c r="BL72">
        <v>0.95664077952420201</v>
      </c>
      <c r="BM72">
        <v>1.0462144921804</v>
      </c>
      <c r="BN72">
        <v>1.0922466680343901</v>
      </c>
      <c r="BO72">
        <f>PRODUCT(B72:BN72)</f>
        <v>12.399840702842862</v>
      </c>
      <c r="BP72">
        <f>AVERAGE(B72:BO72)/_xlfn.STDEV.S(B72:BN72)</f>
        <v>8.5260522916271508</v>
      </c>
      <c r="BQ72">
        <f>PRODUCT(AD72:BN72)</f>
        <v>2.3055389928718726</v>
      </c>
      <c r="BR72">
        <f>AVERAGE(AD72:BN72)/_xlfn.STDEV.S(AD72:BN72)</f>
        <v>8.254057154857918</v>
      </c>
    </row>
    <row r="73" spans="1:196" x14ac:dyDescent="0.4">
      <c r="A73" t="s">
        <v>2</v>
      </c>
      <c r="B73">
        <v>1.1119800408276901</v>
      </c>
      <c r="C73">
        <v>0.89243207316288697</v>
      </c>
      <c r="D73">
        <v>1.2214203040042499</v>
      </c>
      <c r="E73">
        <v>1.33937067337076</v>
      </c>
      <c r="F73">
        <v>0.90629917676574101</v>
      </c>
      <c r="G73">
        <v>0.96273303582701397</v>
      </c>
      <c r="H73">
        <v>0.958406299992966</v>
      </c>
      <c r="I73">
        <v>0.833006502023941</v>
      </c>
      <c r="J73">
        <v>1.22163418887</v>
      </c>
      <c r="K73">
        <v>1.15709418538065</v>
      </c>
      <c r="L73">
        <v>1.01992642472911</v>
      </c>
      <c r="M73">
        <v>1.04932580664667</v>
      </c>
      <c r="N73">
        <v>0.90758033384933001</v>
      </c>
      <c r="O73">
        <v>1.04572657514754</v>
      </c>
      <c r="P73">
        <v>1.20037816021344</v>
      </c>
      <c r="Q73">
        <v>1.2876332182585399</v>
      </c>
      <c r="R73">
        <v>0.96266811174074596</v>
      </c>
      <c r="S73">
        <v>1.2328943937522301</v>
      </c>
      <c r="T73">
        <v>1.35176304179772</v>
      </c>
      <c r="U73">
        <v>0.92719458734618398</v>
      </c>
      <c r="V73">
        <v>0.95536868228914096</v>
      </c>
      <c r="W73">
        <v>0.96510790113733302</v>
      </c>
      <c r="X73">
        <v>1.1915404425897</v>
      </c>
      <c r="Y73">
        <v>0.92856155234114701</v>
      </c>
      <c r="Z73">
        <v>1.4154261316105501</v>
      </c>
      <c r="AA73">
        <v>1.08830245049534</v>
      </c>
      <c r="AB73">
        <v>0.89066674615721997</v>
      </c>
      <c r="AC73">
        <v>0.95222478041571401</v>
      </c>
      <c r="AD73">
        <v>1.06064324122022</v>
      </c>
      <c r="AE73">
        <v>0.71641083374586301</v>
      </c>
      <c r="AF73">
        <v>0.62432143406634699</v>
      </c>
      <c r="AG73">
        <v>1.0734300749810901</v>
      </c>
      <c r="AH73">
        <v>1.37731193230642</v>
      </c>
      <c r="AI73">
        <v>1.0256836240403</v>
      </c>
      <c r="AJ73">
        <v>0.91554489227865898</v>
      </c>
      <c r="AK73">
        <v>1.02007606000677</v>
      </c>
      <c r="AL73">
        <v>1.0026937080491201</v>
      </c>
      <c r="AM73">
        <v>1.0428281987636301</v>
      </c>
      <c r="AN73">
        <v>1.15101139734951</v>
      </c>
      <c r="AO73">
        <v>0.96957111973608401</v>
      </c>
      <c r="AP73">
        <v>1.0717112832799001</v>
      </c>
      <c r="AQ73">
        <v>1.01956033987579</v>
      </c>
      <c r="AR73">
        <v>0.97590822340136696</v>
      </c>
      <c r="AS73">
        <v>1.1374488285134901</v>
      </c>
      <c r="AT73">
        <v>0.85861875223400697</v>
      </c>
      <c r="AU73">
        <v>1.07486416305694</v>
      </c>
      <c r="AV73">
        <v>1.14569643160056</v>
      </c>
      <c r="AW73">
        <v>1.1008403721309401</v>
      </c>
      <c r="AX73">
        <v>1.14191319798459</v>
      </c>
      <c r="AY73">
        <v>0.96607098222119603</v>
      </c>
      <c r="AZ73">
        <v>1.0400250637189501</v>
      </c>
      <c r="BA73">
        <v>1.05493396262623</v>
      </c>
      <c r="BB73">
        <v>1.0824366343002101</v>
      </c>
      <c r="BC73">
        <v>1.09398287115181</v>
      </c>
      <c r="BD73">
        <v>0.96126091650353795</v>
      </c>
      <c r="BE73">
        <v>1.1322366264405599</v>
      </c>
      <c r="BF73">
        <v>1.14014369516551</v>
      </c>
      <c r="BG73">
        <v>0.94166105717291104</v>
      </c>
      <c r="BH73">
        <v>0.97597662354238901</v>
      </c>
      <c r="BI73">
        <v>0.98651117320582205</v>
      </c>
      <c r="BJ73">
        <v>1.07247246690927</v>
      </c>
      <c r="BK73">
        <v>0.99110525492941604</v>
      </c>
      <c r="BL73">
        <v>0.95424077952420205</v>
      </c>
      <c r="BM73">
        <v>1.0434144921804001</v>
      </c>
      <c r="BN73">
        <v>1.08914666803439</v>
      </c>
      <c r="BO73">
        <f>PRODUCT(B73:BN73)</f>
        <v>10.23633830885179</v>
      </c>
      <c r="BP73">
        <f>AVERAGE(B73:BO73)/_xlfn.STDEV.S(B73:BN73)</f>
        <v>8.274956302644501</v>
      </c>
      <c r="BQ73">
        <f>PRODUCT(AD73:BN73)</f>
        <v>2.0572954256130678</v>
      </c>
      <c r="BR73">
        <f>AVERAGE(AD73:BN73)/_xlfn.STDEV.S(AD73:BN73)</f>
        <v>8.2299255236446189</v>
      </c>
    </row>
    <row r="74" spans="1:196" x14ac:dyDescent="0.4">
      <c r="A74" t="s">
        <v>101</v>
      </c>
      <c r="B74">
        <v>0.89792841789421995</v>
      </c>
      <c r="C74">
        <v>1.08060046794267</v>
      </c>
      <c r="D74">
        <v>1.15632060205962</v>
      </c>
      <c r="E74">
        <v>1.03678290132842</v>
      </c>
      <c r="F74">
        <v>0.87801633275831104</v>
      </c>
      <c r="G74">
        <v>0.98244531315100503</v>
      </c>
      <c r="H74">
        <v>0.91344702375776499</v>
      </c>
      <c r="I74">
        <v>1.0898658619322801</v>
      </c>
      <c r="J74">
        <v>1.22890771134918</v>
      </c>
      <c r="K74">
        <v>1.0615018278644099</v>
      </c>
      <c r="L74">
        <v>1.1514592465301801</v>
      </c>
      <c r="M74">
        <v>1.0976821676914399</v>
      </c>
      <c r="N74">
        <v>1.15313852479649</v>
      </c>
      <c r="O74">
        <v>0.86828785864873104</v>
      </c>
      <c r="P74">
        <v>0.90855786416551398</v>
      </c>
      <c r="Q74">
        <v>0.93472805861259101</v>
      </c>
      <c r="R74">
        <v>0.98344445833151695</v>
      </c>
      <c r="S74">
        <v>1.05045390117227</v>
      </c>
      <c r="T74">
        <v>0.858516540395451</v>
      </c>
      <c r="U74">
        <v>1.0323887552072999</v>
      </c>
      <c r="V74">
        <v>1.08335955664985</v>
      </c>
      <c r="W74">
        <v>0.86880869299182795</v>
      </c>
      <c r="X74">
        <v>0.96009557520316402</v>
      </c>
      <c r="Y74">
        <v>1.00067988659544</v>
      </c>
      <c r="Z74">
        <v>0.94748615237900802</v>
      </c>
      <c r="AA74">
        <v>1.15017829836464</v>
      </c>
      <c r="AB74">
        <v>1.1235629431951</v>
      </c>
      <c r="AC74">
        <v>1.0299804698662001</v>
      </c>
      <c r="AD74">
        <v>1.0078880855537899</v>
      </c>
      <c r="AE74">
        <v>1.11683706013996</v>
      </c>
      <c r="AF74">
        <v>0.90906467102391098</v>
      </c>
      <c r="AG74">
        <v>1.0810851093920899</v>
      </c>
      <c r="AH74">
        <v>1.04024328450232</v>
      </c>
      <c r="AI74">
        <v>1.04327421834262</v>
      </c>
      <c r="AJ74">
        <v>0.98268346544493201</v>
      </c>
      <c r="AK74">
        <v>1.02537775176025</v>
      </c>
      <c r="AL74">
        <v>1.0078254162748901</v>
      </c>
      <c r="AM74">
        <v>1.0239710524538901</v>
      </c>
      <c r="AN74">
        <v>0.88177751576274499</v>
      </c>
      <c r="AO74">
        <v>1.0009749840389</v>
      </c>
      <c r="AP74">
        <v>0.93878357122434297</v>
      </c>
      <c r="AQ74">
        <v>1.11506633492035</v>
      </c>
      <c r="AR74">
        <v>1.0615033524064299</v>
      </c>
      <c r="AS74">
        <v>1.0323233050235401</v>
      </c>
      <c r="AT74">
        <v>1.0973371831232099</v>
      </c>
      <c r="AU74">
        <v>1.01556373643813</v>
      </c>
      <c r="AV74">
        <v>1.09572868088463</v>
      </c>
      <c r="AW74">
        <v>1.1596456942715201</v>
      </c>
      <c r="AX74">
        <v>0.97689466187137297</v>
      </c>
      <c r="AY74">
        <v>0.94362749484604203</v>
      </c>
      <c r="AZ74">
        <v>1.04832095629693</v>
      </c>
      <c r="BA74">
        <v>1.1641253379526899</v>
      </c>
      <c r="BB74">
        <v>1.07064685722893</v>
      </c>
      <c r="BC74">
        <v>0.99103575468404403</v>
      </c>
      <c r="BD74">
        <v>1.1843946161358301</v>
      </c>
      <c r="BE74">
        <v>1.0108051792366</v>
      </c>
      <c r="BF74">
        <v>1.1311158124330301</v>
      </c>
      <c r="BG74">
        <v>0.98964042773095995</v>
      </c>
      <c r="BH74">
        <v>0.96170306715728104</v>
      </c>
      <c r="BI74">
        <v>0.97809733515006803</v>
      </c>
      <c r="BJ74">
        <v>0.99813001415803304</v>
      </c>
      <c r="BK74">
        <v>1.0614528478488101</v>
      </c>
      <c r="BL74">
        <v>0.905141760884003</v>
      </c>
      <c r="BM74">
        <v>0.94140194233565</v>
      </c>
      <c r="BN74">
        <v>0.98534852189486799</v>
      </c>
      <c r="BO74">
        <v>1.04333602650581</v>
      </c>
      <c r="BP74">
        <v>1.04029318444758</v>
      </c>
      <c r="BQ74">
        <v>1.03086732123521</v>
      </c>
      <c r="BR74">
        <v>1.1132373304429899</v>
      </c>
      <c r="BS74">
        <v>0.98002742046979296</v>
      </c>
      <c r="BT74">
        <v>0.92095848007668801</v>
      </c>
      <c r="BU74">
        <v>1.03190573828567</v>
      </c>
      <c r="BV74">
        <v>1.07544830606724</v>
      </c>
      <c r="BW74">
        <v>1.1043412928858001</v>
      </c>
      <c r="BX74">
        <v>1.19430121040354</v>
      </c>
      <c r="BY74">
        <v>1.0287677919974301</v>
      </c>
      <c r="BZ74">
        <v>1.1306986942133801</v>
      </c>
      <c r="CA74">
        <v>0.938770347180505</v>
      </c>
      <c r="CB74">
        <v>1.0160147596105</v>
      </c>
      <c r="CC74">
        <v>0.94948174684240405</v>
      </c>
      <c r="CD74">
        <v>0.92658687408313301</v>
      </c>
      <c r="CE74">
        <v>1.02278876220593</v>
      </c>
      <c r="CF74">
        <v>0.88875988203378897</v>
      </c>
      <c r="CG74">
        <v>1.05138664565927</v>
      </c>
      <c r="CH74">
        <v>0.97420729635440495</v>
      </c>
      <c r="CI74">
        <v>1.04232238787402</v>
      </c>
      <c r="CJ74">
        <v>1.04766924440937</v>
      </c>
      <c r="CK74">
        <v>0.90567448023339003</v>
      </c>
      <c r="CL74">
        <v>0.90586771469147398</v>
      </c>
      <c r="CM74">
        <v>0.87931756362581504</v>
      </c>
      <c r="CN74">
        <v>0.97887401270146002</v>
      </c>
      <c r="CO74">
        <v>0.65291296881121996</v>
      </c>
      <c r="CP74">
        <v>0.98028834527018505</v>
      </c>
      <c r="CQ74">
        <v>1.0821020231537699</v>
      </c>
      <c r="CR74">
        <v>1.0771249174973001</v>
      </c>
      <c r="CS74">
        <v>0.92498966289947704</v>
      </c>
      <c r="CT74">
        <v>1.16409916786187</v>
      </c>
      <c r="CU74">
        <v>1.1991935982298401</v>
      </c>
      <c r="CV74">
        <v>0.988919372406043</v>
      </c>
      <c r="CW74">
        <v>0.95079507417087405</v>
      </c>
      <c r="CX74">
        <v>1.05492383120136</v>
      </c>
      <c r="CY74">
        <v>1.02638764647796</v>
      </c>
      <c r="CZ74">
        <v>0.98667923890297704</v>
      </c>
      <c r="DA74">
        <v>0.957299192624113</v>
      </c>
      <c r="DB74">
        <v>0.97183587499924895</v>
      </c>
      <c r="DC74">
        <v>1.09653799775117</v>
      </c>
      <c r="DD74">
        <v>0.93497659490354401</v>
      </c>
      <c r="DE74">
        <v>0.99672143892407306</v>
      </c>
      <c r="DF74">
        <v>1.05523360653294</v>
      </c>
      <c r="DG74">
        <v>1.00410676998933</v>
      </c>
      <c r="DH74">
        <v>0.94906080542024596</v>
      </c>
      <c r="DI74">
        <v>1.04543244479793</v>
      </c>
      <c r="DJ74">
        <v>1.00539600659679</v>
      </c>
      <c r="DK74">
        <v>0.99481919593817103</v>
      </c>
      <c r="DL74">
        <v>1.0905649955733301</v>
      </c>
      <c r="DM74">
        <v>1.0976163259096701</v>
      </c>
      <c r="DN74">
        <v>0.96373454430869399</v>
      </c>
      <c r="DO74">
        <v>1.0394980103768801</v>
      </c>
      <c r="DP74">
        <v>0.99723927631168996</v>
      </c>
      <c r="DQ74">
        <v>0.93733807248557299</v>
      </c>
      <c r="DR74">
        <v>1.0737227681705099</v>
      </c>
      <c r="DS74">
        <v>1.04202158314048</v>
      </c>
      <c r="DT74">
        <v>0.96162907363141803</v>
      </c>
      <c r="DU74">
        <v>1.0106308578746099</v>
      </c>
      <c r="DV74">
        <v>1.09841890308728</v>
      </c>
      <c r="DW74">
        <v>0.920785503757795</v>
      </c>
      <c r="DX74">
        <v>0.90267574715207599</v>
      </c>
      <c r="DY74">
        <v>1.0731468789629901</v>
      </c>
      <c r="DZ74">
        <v>1.0107407074535399</v>
      </c>
      <c r="EA74">
        <v>1.0159257649714499</v>
      </c>
      <c r="EB74">
        <v>1.0663573943199001</v>
      </c>
      <c r="EC74">
        <v>1.05253095011797</v>
      </c>
      <c r="ED74">
        <v>0.95976799009793301</v>
      </c>
      <c r="EE74">
        <v>0.94935593038173505</v>
      </c>
      <c r="EF74">
        <v>0.94650489015390604</v>
      </c>
      <c r="EG74">
        <v>1.0380323425798199</v>
      </c>
      <c r="EH74">
        <v>0.98927883515085702</v>
      </c>
      <c r="EI74">
        <v>1.0499177770830601</v>
      </c>
      <c r="EJ74">
        <v>1.0902690694372501</v>
      </c>
      <c r="EK74">
        <v>1.0303614908913099</v>
      </c>
      <c r="EL74">
        <v>1.0220097918986999</v>
      </c>
      <c r="EM74">
        <v>1.0243318416441201</v>
      </c>
      <c r="EN74">
        <v>1.0331909057731701</v>
      </c>
      <c r="EO74">
        <v>1.0434741658334401</v>
      </c>
      <c r="EP74">
        <v>1.0556635698608099</v>
      </c>
      <c r="EQ74">
        <v>1.0713436437155099</v>
      </c>
      <c r="ER74">
        <v>1.01293989504518</v>
      </c>
      <c r="ES74">
        <v>0.93175379453183105</v>
      </c>
      <c r="ET74">
        <v>1.05178639238355</v>
      </c>
      <c r="EU74">
        <v>0.98894396530458994</v>
      </c>
      <c r="EV74">
        <v>1.0348671405067</v>
      </c>
      <c r="EW74">
        <v>1.0075190734312001</v>
      </c>
      <c r="EX74">
        <v>0.99997763502141002</v>
      </c>
      <c r="EY74">
        <v>0.992610652376264</v>
      </c>
      <c r="EZ74">
        <v>1.01769693271002</v>
      </c>
      <c r="FA74">
        <v>1.0468800566034899</v>
      </c>
      <c r="FB74">
        <v>1.04029374357244</v>
      </c>
      <c r="FC74">
        <v>1.0260122742003499</v>
      </c>
      <c r="FD74">
        <v>1.01712878956487</v>
      </c>
      <c r="FE74">
        <v>0.99521279884716596</v>
      </c>
      <c r="FF74">
        <v>1.0533996607046701</v>
      </c>
      <c r="FG74">
        <v>1.04638310675777</v>
      </c>
      <c r="FH74">
        <v>1.0125604137852799</v>
      </c>
      <c r="FI74">
        <v>0.96343913593144903</v>
      </c>
      <c r="FJ74">
        <v>0.98833527094613705</v>
      </c>
      <c r="FK74">
        <v>1.01070985970764</v>
      </c>
      <c r="FL74">
        <v>1.04821983230922</v>
      </c>
      <c r="FM74">
        <v>1.0716322476212099</v>
      </c>
      <c r="FN74">
        <v>1.0723842055725299</v>
      </c>
      <c r="FO74">
        <v>1.04870968946676</v>
      </c>
      <c r="FP74">
        <v>1.0177162002610001</v>
      </c>
      <c r="FQ74">
        <v>1.0064992802516799</v>
      </c>
      <c r="FR74">
        <v>0.99933935414128505</v>
      </c>
      <c r="FS74">
        <v>0.93977807174777495</v>
      </c>
      <c r="FT74">
        <v>1.01485552755019</v>
      </c>
      <c r="FU74">
        <v>0.98513147174166904</v>
      </c>
      <c r="FV74">
        <v>0.979605734259823</v>
      </c>
      <c r="FW74">
        <v>1.0058932193624099</v>
      </c>
      <c r="FX74">
        <v>0.98352836624050399</v>
      </c>
      <c r="FY74">
        <v>0.99988543552250397</v>
      </c>
      <c r="FZ74">
        <v>1.06105533759284</v>
      </c>
      <c r="GA74">
        <v>1.0306138519776</v>
      </c>
      <c r="GB74">
        <v>0.98375378231982102</v>
      </c>
      <c r="GC74">
        <v>0.98639970758310502</v>
      </c>
      <c r="GD74">
        <v>1.0380674828890699</v>
      </c>
      <c r="GE74">
        <v>0.97075616740118698</v>
      </c>
      <c r="GF74">
        <v>1.0027570589296699</v>
      </c>
      <c r="GG74">
        <v>0.95443085405769401</v>
      </c>
      <c r="GH74">
        <v>0.99955959329614696</v>
      </c>
      <c r="GI74">
        <v>1.0449647843693699</v>
      </c>
      <c r="GJ74">
        <v>0.97882776215661804</v>
      </c>
      <c r="GK74">
        <v>1.02285199873998</v>
      </c>
      <c r="GL74">
        <v>1.0084240233102399</v>
      </c>
      <c r="GM74">
        <v>1.03471482080101</v>
      </c>
      <c r="GN74">
        <v>1.04678351730381</v>
      </c>
    </row>
    <row r="76" spans="1:196" s="22" customFormat="1" x14ac:dyDescent="0.4">
      <c r="A76" s="22" t="s">
        <v>143</v>
      </c>
    </row>
    <row r="77" spans="1:196" x14ac:dyDescent="0.4">
      <c r="A77" t="s">
        <v>5</v>
      </c>
      <c r="B77">
        <v>1.1185371579263801</v>
      </c>
      <c r="C77">
        <v>0.87103570528406504</v>
      </c>
      <c r="D77">
        <v>1.2399630092478799</v>
      </c>
      <c r="E77">
        <v>1.30126823659934</v>
      </c>
      <c r="F77">
        <v>0.92614589022646399</v>
      </c>
      <c r="G77">
        <v>0.94345911289224105</v>
      </c>
      <c r="H77">
        <v>0.97302840616094999</v>
      </c>
      <c r="I77">
        <v>0.82839747897321803</v>
      </c>
      <c r="J77">
        <v>1.2097044772845</v>
      </c>
      <c r="K77">
        <v>1.1775063138719399</v>
      </c>
      <c r="L77">
        <v>1.01092274804482</v>
      </c>
      <c r="M77">
        <v>1.03792319721473</v>
      </c>
      <c r="N77">
        <v>0.90607122883009505</v>
      </c>
      <c r="O77">
        <v>1.03801844449453</v>
      </c>
      <c r="P77">
        <v>1.19562423684171</v>
      </c>
      <c r="Q77">
        <v>1.2484576424178699</v>
      </c>
      <c r="R77">
        <v>0.94372208065844199</v>
      </c>
      <c r="S77">
        <v>1.16351104097619</v>
      </c>
      <c r="T77">
        <v>1.3112646248172799</v>
      </c>
      <c r="U77">
        <v>0.98724760802443701</v>
      </c>
      <c r="V77">
        <v>0.98136966842640405</v>
      </c>
      <c r="W77">
        <v>1.0214265028362599</v>
      </c>
      <c r="X77">
        <v>1.1579853889510101</v>
      </c>
      <c r="Y77">
        <v>0.96800057773598203</v>
      </c>
      <c r="Z77">
        <v>1.40260282463159</v>
      </c>
      <c r="AA77">
        <v>1.1191857672374801</v>
      </c>
      <c r="AB77">
        <v>0.94867842179652295</v>
      </c>
      <c r="AC77">
        <v>0.94636798328901395</v>
      </c>
      <c r="AD77">
        <v>1.05040952052156</v>
      </c>
      <c r="AE77">
        <v>0.77600786857515103</v>
      </c>
      <c r="AF77">
        <v>0.67313838694932104</v>
      </c>
      <c r="AG77">
        <v>1.0737177747877</v>
      </c>
      <c r="AH77">
        <v>1.42031704880845</v>
      </c>
      <c r="AI77">
        <v>1.0714828965954799</v>
      </c>
      <c r="AJ77">
        <v>0.96932796643846098</v>
      </c>
      <c r="AK77">
        <v>1.0140065874770501</v>
      </c>
      <c r="AL77">
        <v>1.00198268314733</v>
      </c>
      <c r="AM77">
        <v>1.08600912411398</v>
      </c>
      <c r="AN77">
        <v>1.14511077364105</v>
      </c>
      <c r="AO77">
        <v>0.97686794668815302</v>
      </c>
      <c r="AP77">
        <v>1.0722180894561899</v>
      </c>
      <c r="AQ77">
        <v>0.95951893324628701</v>
      </c>
      <c r="AR77">
        <v>0.93505841437080295</v>
      </c>
      <c r="AS77">
        <v>1.1571480037523401</v>
      </c>
      <c r="AT77">
        <v>0.87588961194717996</v>
      </c>
      <c r="AU77">
        <v>1.0785593971910099</v>
      </c>
      <c r="AV77">
        <v>1.0961930305652401</v>
      </c>
      <c r="AW77">
        <v>1.08743363790251</v>
      </c>
      <c r="AX77">
        <v>1.0722983466945599</v>
      </c>
      <c r="AY77">
        <v>0.97992162203084099</v>
      </c>
      <c r="AZ77">
        <v>1.05814632053622</v>
      </c>
      <c r="BA77">
        <v>1.0400292821322601</v>
      </c>
      <c r="BB77">
        <v>1.06572946617313</v>
      </c>
      <c r="BC77">
        <v>1.11205598866981</v>
      </c>
      <c r="BD77">
        <v>0.94575535709612701</v>
      </c>
      <c r="BE77">
        <v>1.05538488481203</v>
      </c>
      <c r="BF77">
        <v>1.1136546684636199</v>
      </c>
      <c r="BG77">
        <v>0.93563981966075804</v>
      </c>
      <c r="BH77">
        <v>1.00368242906821</v>
      </c>
      <c r="BI77">
        <v>0.99959585123926997</v>
      </c>
      <c r="BJ77">
        <v>1.0690583636835</v>
      </c>
      <c r="BK77">
        <v>0.98608083862112805</v>
      </c>
      <c r="BL77">
        <v>0.97528274109961299</v>
      </c>
      <c r="BM77">
        <v>1.05038777424292</v>
      </c>
      <c r="BN77">
        <v>1.11486093394335</v>
      </c>
      <c r="BO77">
        <f>PRODUCT(B77:BN77)</f>
        <v>12.107046012746569</v>
      </c>
      <c r="BP77">
        <f>AVERAGE(B77:BO77)/_xlfn.STDEV.S(B77:BN77)</f>
        <v>9.1910013512147142</v>
      </c>
      <c r="BQ77">
        <f>PRODUCT(AD77:BN77)</f>
        <v>2.3151672640663175</v>
      </c>
      <c r="BR77">
        <f>AVERAGE(AD77:BN77)/_xlfn.STDEV.S(AD77:BN77)</f>
        <v>8.821904670425301</v>
      </c>
    </row>
    <row r="78" spans="1:196" x14ac:dyDescent="0.4">
      <c r="A78" t="s">
        <v>2</v>
      </c>
      <c r="B78">
        <v>1.1085371579263801</v>
      </c>
      <c r="C78">
        <v>0.86933570528406501</v>
      </c>
      <c r="D78">
        <v>1.23746300924788</v>
      </c>
      <c r="E78">
        <v>1.29886823659934</v>
      </c>
      <c r="F78">
        <v>0.92294589022646401</v>
      </c>
      <c r="G78">
        <v>0.94125911289224096</v>
      </c>
      <c r="H78">
        <v>0.97082840616095001</v>
      </c>
      <c r="I78">
        <v>0.82639747897321802</v>
      </c>
      <c r="J78">
        <v>1.2062044772845</v>
      </c>
      <c r="K78">
        <v>1.17520631387194</v>
      </c>
      <c r="L78">
        <v>1.0078227480448201</v>
      </c>
      <c r="M78">
        <v>1.0355231972147301</v>
      </c>
      <c r="N78">
        <v>0.90317122883009504</v>
      </c>
      <c r="O78">
        <v>1.0350184444945301</v>
      </c>
      <c r="P78">
        <v>1.1931242368417101</v>
      </c>
      <c r="Q78">
        <v>1.24565764241787</v>
      </c>
      <c r="R78">
        <v>0.94022208065844204</v>
      </c>
      <c r="S78">
        <v>1.16121104097619</v>
      </c>
      <c r="T78">
        <v>1.3089646248172799</v>
      </c>
      <c r="U78">
        <v>0.98414760802443702</v>
      </c>
      <c r="V78">
        <v>0.97816966842640396</v>
      </c>
      <c r="W78">
        <v>1.01902650283626</v>
      </c>
      <c r="X78">
        <v>1.15538538895101</v>
      </c>
      <c r="Y78">
        <v>0.96510057773598201</v>
      </c>
      <c r="Z78">
        <v>1.3997028246315899</v>
      </c>
      <c r="AA78">
        <v>1.11558576723748</v>
      </c>
      <c r="AB78">
        <v>0.94617842179652301</v>
      </c>
      <c r="AC78">
        <v>0.94366798328901402</v>
      </c>
      <c r="AD78">
        <v>1.0473095205215599</v>
      </c>
      <c r="AE78">
        <v>0.77300786857515102</v>
      </c>
      <c r="AF78">
        <v>0.66983838694932096</v>
      </c>
      <c r="AG78">
        <v>1.0698177747877</v>
      </c>
      <c r="AH78">
        <v>1.4174170488084501</v>
      </c>
      <c r="AI78">
        <v>1.06818289659548</v>
      </c>
      <c r="AJ78">
        <v>0.96722796643846098</v>
      </c>
      <c r="AK78">
        <v>1.0121065874770501</v>
      </c>
      <c r="AL78">
        <v>0.99918268314733505</v>
      </c>
      <c r="AM78">
        <v>1.0833091241139801</v>
      </c>
      <c r="AN78">
        <v>1.14281077364105</v>
      </c>
      <c r="AO78">
        <v>0.97496794668815301</v>
      </c>
      <c r="AP78">
        <v>1.06931808945619</v>
      </c>
      <c r="AQ78">
        <v>0.95621893324628704</v>
      </c>
      <c r="AR78">
        <v>0.932558414370803</v>
      </c>
      <c r="AS78">
        <v>1.1547480037523401</v>
      </c>
      <c r="AT78">
        <v>0.87248961194718</v>
      </c>
      <c r="AU78">
        <v>1.0749593971910101</v>
      </c>
      <c r="AV78">
        <v>1.0939930305652401</v>
      </c>
      <c r="AW78">
        <v>1.0850336379025101</v>
      </c>
      <c r="AX78">
        <v>1.0687983466945501</v>
      </c>
      <c r="AY78">
        <v>0.97692162203084099</v>
      </c>
      <c r="AZ78">
        <v>1.0554463205362199</v>
      </c>
      <c r="BA78">
        <v>1.0376292821322599</v>
      </c>
      <c r="BB78">
        <v>1.06232946617313</v>
      </c>
      <c r="BC78">
        <v>1.10865598866981</v>
      </c>
      <c r="BD78">
        <v>0.94325535709612796</v>
      </c>
      <c r="BE78">
        <v>1.05318488481203</v>
      </c>
      <c r="BF78">
        <v>1.11075466846362</v>
      </c>
      <c r="BG78">
        <v>0.93193981966075801</v>
      </c>
      <c r="BH78">
        <v>1.0010824290682101</v>
      </c>
      <c r="BI78">
        <v>0.99699585123927004</v>
      </c>
      <c r="BJ78">
        <v>1.0663583636834999</v>
      </c>
      <c r="BK78">
        <v>0.98298083862112795</v>
      </c>
      <c r="BL78">
        <v>0.97338274109961298</v>
      </c>
      <c r="BM78">
        <v>1.04808777424292</v>
      </c>
      <c r="BN78">
        <v>1.11216093394335</v>
      </c>
      <c r="BO78">
        <f>PRODUCT(B78:BN78)</f>
        <v>10.106957065700017</v>
      </c>
      <c r="BP78">
        <f>AVERAGE(B78:BO78)/_xlfn.STDEV.S(B78:BN78)</f>
        <v>8.943066100985094</v>
      </c>
      <c r="BQ78">
        <f>PRODUCT(AD78:BN78)</f>
        <v>2.0899067476667144</v>
      </c>
      <c r="BR78">
        <f>AVERAGE(AD78:BN78)/_xlfn.STDEV.S(AD78:BN78)</f>
        <v>8.794230938730264</v>
      </c>
    </row>
    <row r="79" spans="1:196" x14ac:dyDescent="0.4">
      <c r="A79" t="s">
        <v>101</v>
      </c>
      <c r="B79">
        <v>0.88890557169218398</v>
      </c>
      <c r="C79">
        <v>1.0779928756766199</v>
      </c>
      <c r="D79">
        <v>1.1672903546172499</v>
      </c>
      <c r="E79">
        <v>1.0197243282408801</v>
      </c>
      <c r="F79">
        <v>0.86761472080633995</v>
      </c>
      <c r="G79">
        <v>0.98452390388475097</v>
      </c>
      <c r="H79">
        <v>0.91558933425536004</v>
      </c>
      <c r="I79">
        <v>1.09971439797688</v>
      </c>
      <c r="J79">
        <v>1.2314820711365599</v>
      </c>
      <c r="K79">
        <v>1.06568943864607</v>
      </c>
      <c r="L79">
        <v>1.12756954018813</v>
      </c>
      <c r="M79">
        <v>1.08291116583355</v>
      </c>
      <c r="N79">
        <v>1.1917969208605499</v>
      </c>
      <c r="O79">
        <v>0.85238630541232996</v>
      </c>
      <c r="P79">
        <v>0.91167633400379899</v>
      </c>
      <c r="Q79">
        <v>0.92492574280287199</v>
      </c>
      <c r="R79">
        <v>0.98209728536411101</v>
      </c>
      <c r="S79">
        <v>1.03863201697004</v>
      </c>
      <c r="T79">
        <v>0.85414217211651899</v>
      </c>
      <c r="U79">
        <v>1.04260043522611</v>
      </c>
      <c r="V79">
        <v>1.09264089741133</v>
      </c>
      <c r="W79">
        <v>0.86454391258365004</v>
      </c>
      <c r="X79">
        <v>0.95866311312084695</v>
      </c>
      <c r="Y79">
        <v>0.99950666438592595</v>
      </c>
      <c r="Z79">
        <v>0.93186192670686296</v>
      </c>
      <c r="AA79">
        <v>1.1453772342861499</v>
      </c>
      <c r="AB79">
        <v>1.13338946957715</v>
      </c>
      <c r="AC79">
        <v>1.0458053172864401</v>
      </c>
      <c r="AD79">
        <v>1.01588818215761</v>
      </c>
      <c r="AE79">
        <v>1.10832336969042</v>
      </c>
      <c r="AF79">
        <v>0.89700058485517797</v>
      </c>
      <c r="AG79">
        <v>1.0812303343591301</v>
      </c>
      <c r="AH79">
        <v>1.0423342814091701</v>
      </c>
      <c r="AI79">
        <v>1.0338544830334799</v>
      </c>
      <c r="AJ79">
        <v>0.98808107295581904</v>
      </c>
      <c r="AK79">
        <v>1.01604565455283</v>
      </c>
      <c r="AL79">
        <v>1.0041848770491699</v>
      </c>
      <c r="AM79">
        <v>1.0239495181832601</v>
      </c>
      <c r="AN79">
        <v>0.88119113119341397</v>
      </c>
      <c r="AO79">
        <v>1.00011109053908</v>
      </c>
      <c r="AP79">
        <v>0.93613262872908498</v>
      </c>
      <c r="AQ79">
        <v>1.10871377775168</v>
      </c>
      <c r="AR79">
        <v>1.0634801408024701</v>
      </c>
      <c r="AS79">
        <v>1.0296669746136899</v>
      </c>
      <c r="AT79">
        <v>1.09186398808289</v>
      </c>
      <c r="AU79">
        <v>1.0229769062853999</v>
      </c>
      <c r="AV79">
        <v>1.0828476942743801</v>
      </c>
      <c r="AW79">
        <v>1.12704331274543</v>
      </c>
      <c r="AX79">
        <v>0.95472823547748897</v>
      </c>
      <c r="AY79">
        <v>0.93793177702302599</v>
      </c>
      <c r="AZ79">
        <v>1.05388470060593</v>
      </c>
      <c r="BA79">
        <v>1.1027486790851899</v>
      </c>
      <c r="BB79">
        <v>1.06562758598323</v>
      </c>
      <c r="BC79">
        <v>0.99012153851197804</v>
      </c>
      <c r="BD79">
        <v>1.1626405549716901</v>
      </c>
      <c r="BE79">
        <v>1.0071238581334501</v>
      </c>
      <c r="BF79">
        <v>1.1198555144243301</v>
      </c>
      <c r="BG79">
        <v>1.0163784031885501</v>
      </c>
      <c r="BH79">
        <v>0.99155949191789094</v>
      </c>
      <c r="BI79">
        <v>0.97960701318453602</v>
      </c>
      <c r="BJ79">
        <v>1.01054200441855</v>
      </c>
      <c r="BK79">
        <v>1.0539341628921901</v>
      </c>
      <c r="BL79">
        <v>0.92143515684564503</v>
      </c>
      <c r="BM79">
        <v>0.96870742308607805</v>
      </c>
      <c r="BN79">
        <v>0.99205186782730403</v>
      </c>
      <c r="BO79">
        <v>1.0628699176846099</v>
      </c>
      <c r="BP79">
        <v>1.03129230329074</v>
      </c>
      <c r="BQ79">
        <v>1.0228843635000999</v>
      </c>
      <c r="BR79">
        <v>1.0977280540052201</v>
      </c>
      <c r="BS79">
        <v>0.99545995558589195</v>
      </c>
      <c r="BT79">
        <v>0.93785151682151202</v>
      </c>
      <c r="BU79">
        <v>1.03685430938637</v>
      </c>
      <c r="BV79">
        <v>1.0705036189058199</v>
      </c>
      <c r="BW79">
        <v>1.09918431027485</v>
      </c>
      <c r="BX79">
        <v>1.1919994327221399</v>
      </c>
      <c r="BY79">
        <v>1.03414588876039</v>
      </c>
      <c r="BZ79">
        <v>1.1281761900754601</v>
      </c>
      <c r="CA79">
        <v>0.959275690693702</v>
      </c>
      <c r="CB79">
        <v>1.0027935649494499</v>
      </c>
      <c r="CC79">
        <v>1.0385697544980399</v>
      </c>
      <c r="CD79">
        <v>0.91090233061242698</v>
      </c>
      <c r="CE79">
        <v>1.0382238821474199</v>
      </c>
      <c r="CF79">
        <v>0.86139255723754604</v>
      </c>
      <c r="CG79">
        <v>1.05820037118322</v>
      </c>
      <c r="CH79">
        <v>0.967555096879128</v>
      </c>
      <c r="CI79">
        <v>1.0675243876764899</v>
      </c>
      <c r="CJ79">
        <v>1.0169629688283299</v>
      </c>
      <c r="CK79">
        <v>0.91313706372566805</v>
      </c>
      <c r="CL79">
        <v>0.92958422846607702</v>
      </c>
      <c r="CM79">
        <v>0.91420040060886398</v>
      </c>
      <c r="CN79">
        <v>0.97406408089369001</v>
      </c>
      <c r="CO79">
        <v>0.69015319173856604</v>
      </c>
      <c r="CP79">
        <v>1.0013163972355901</v>
      </c>
      <c r="CQ79">
        <v>1.1013681783042499</v>
      </c>
      <c r="CR79">
        <v>1.06021813634233</v>
      </c>
      <c r="CS79">
        <v>0.91952256078285599</v>
      </c>
      <c r="CT79">
        <v>1.1772052758623699</v>
      </c>
      <c r="CU79">
        <v>1.1909078993684099</v>
      </c>
      <c r="CV79">
        <v>1.01310608618933</v>
      </c>
      <c r="CW79">
        <v>0.98408418646826601</v>
      </c>
      <c r="CX79">
        <v>1.0675059313319899</v>
      </c>
      <c r="CY79">
        <v>1.0199589501528901</v>
      </c>
      <c r="CZ79">
        <v>1.0193095950716</v>
      </c>
      <c r="DA79">
        <v>0.96733832303394596</v>
      </c>
      <c r="DB79">
        <v>0.98307406064607805</v>
      </c>
      <c r="DC79">
        <v>1.0721803228079501</v>
      </c>
      <c r="DD79">
        <v>0.94998422262610904</v>
      </c>
      <c r="DE79">
        <v>0.99553504158129003</v>
      </c>
      <c r="DF79">
        <v>1.0517564799226</v>
      </c>
      <c r="DG79">
        <v>1.00645336075881</v>
      </c>
      <c r="DH79">
        <v>0.94656701175335001</v>
      </c>
      <c r="DI79">
        <v>1.05020373465657</v>
      </c>
      <c r="DJ79">
        <v>1.02341825001049</v>
      </c>
      <c r="DK79">
        <v>1.0104312245627001</v>
      </c>
      <c r="DL79">
        <v>1.10518566522947</v>
      </c>
      <c r="DM79">
        <v>1.0420439238771899</v>
      </c>
      <c r="DN79">
        <v>0.99432013010305897</v>
      </c>
      <c r="DO79">
        <v>1.0571704892968501</v>
      </c>
      <c r="DP79">
        <v>0.99204890556736902</v>
      </c>
      <c r="DQ79">
        <v>0.93144613704381596</v>
      </c>
      <c r="DR79">
        <v>1.08615385631688</v>
      </c>
      <c r="DS79">
        <v>1.0167098005800499</v>
      </c>
      <c r="DT79">
        <v>0.97094531724064603</v>
      </c>
      <c r="DU79">
        <v>1.0021783097358901</v>
      </c>
      <c r="DV79">
        <v>1.0732298456603599</v>
      </c>
      <c r="DW79">
        <v>0.89210466028013702</v>
      </c>
      <c r="DX79">
        <v>0.893347129886085</v>
      </c>
      <c r="DY79">
        <v>1.0791134967562599</v>
      </c>
      <c r="DZ79">
        <v>0.96995452139027905</v>
      </c>
      <c r="EA79">
        <v>1.0021878154524499</v>
      </c>
      <c r="EB79">
        <v>1.08895310525509</v>
      </c>
      <c r="EC79">
        <v>1.06030452416802</v>
      </c>
      <c r="ED79">
        <v>0.97306397324825999</v>
      </c>
      <c r="EE79">
        <v>0.94701969183040702</v>
      </c>
      <c r="EF79">
        <v>0.95049310881842997</v>
      </c>
      <c r="EG79">
        <v>1.0305899924223301</v>
      </c>
      <c r="EH79">
        <v>0.99591962949898205</v>
      </c>
      <c r="EI79">
        <v>1.0508333654187101</v>
      </c>
      <c r="EJ79">
        <v>1.06675513012086</v>
      </c>
      <c r="EK79">
        <v>1.00009530727513</v>
      </c>
      <c r="EL79">
        <v>1.02749781501082</v>
      </c>
      <c r="EM79">
        <v>1.0346795372486699</v>
      </c>
      <c r="EN79">
        <v>1.02125652796176</v>
      </c>
      <c r="EO79">
        <v>1.02911061358817</v>
      </c>
      <c r="EP79">
        <v>1.0279704420474001</v>
      </c>
      <c r="EQ79">
        <v>1.0309194148296501</v>
      </c>
      <c r="ER79">
        <v>1.0118363808867501</v>
      </c>
      <c r="ES79">
        <v>0.94209618004627205</v>
      </c>
      <c r="ET79">
        <v>1.04904639517142</v>
      </c>
      <c r="EU79">
        <v>0.99151982445654596</v>
      </c>
      <c r="EV79">
        <v>1.04499679352221</v>
      </c>
      <c r="EW79">
        <v>1.01522260527995</v>
      </c>
      <c r="EX79">
        <v>0.99740028717215901</v>
      </c>
      <c r="EY79">
        <v>1.00296497170501</v>
      </c>
      <c r="EZ79">
        <v>1.00098688630782</v>
      </c>
      <c r="FA79">
        <v>1.03593239317214</v>
      </c>
      <c r="FB79">
        <v>1.04064465336113</v>
      </c>
      <c r="FC79">
        <v>1.0041799387113499</v>
      </c>
      <c r="FD79">
        <v>1.01984219271345</v>
      </c>
      <c r="FE79">
        <v>1.0146263506245601</v>
      </c>
      <c r="FF79">
        <v>1.0521699273063101</v>
      </c>
      <c r="FG79">
        <v>1.0416807325742501</v>
      </c>
      <c r="FH79">
        <v>0.99000052303368602</v>
      </c>
      <c r="FI79">
        <v>0.962632156024538</v>
      </c>
      <c r="FJ79">
        <v>0.99239146628050401</v>
      </c>
      <c r="FK79">
        <v>0.97316886108413603</v>
      </c>
      <c r="FL79">
        <v>1.02701403235293</v>
      </c>
      <c r="FM79">
        <v>1.0559571331329001</v>
      </c>
      <c r="FN79">
        <v>1.0506722653826299</v>
      </c>
      <c r="FO79">
        <v>1.06573239444296</v>
      </c>
      <c r="FP79">
        <v>0.99456943102643502</v>
      </c>
      <c r="FQ79">
        <v>0.99276184482163699</v>
      </c>
      <c r="FR79">
        <v>0.98906485411803202</v>
      </c>
      <c r="FS79">
        <v>0.95288139937414595</v>
      </c>
      <c r="FT79">
        <v>1.0232129195296</v>
      </c>
      <c r="FU79">
        <v>1.00775646536604</v>
      </c>
      <c r="FV79">
        <v>0.97336272988299399</v>
      </c>
      <c r="FW79">
        <v>0.99360993170615397</v>
      </c>
      <c r="FX79">
        <v>0.98808070812116</v>
      </c>
      <c r="FY79">
        <v>1.01816016413831</v>
      </c>
      <c r="FZ79">
        <v>1.0668769735800201</v>
      </c>
      <c r="GA79">
        <v>1.0251660915404399</v>
      </c>
      <c r="GB79">
        <v>0.97744615078665997</v>
      </c>
      <c r="GC79">
        <v>0.97378589070967603</v>
      </c>
      <c r="GD79">
        <v>1.03057555461324</v>
      </c>
      <c r="GE79">
        <v>0.98258290793352199</v>
      </c>
      <c r="GF79">
        <v>1.0138335782882799</v>
      </c>
      <c r="GG79">
        <v>0.97419723834815897</v>
      </c>
      <c r="GH79">
        <v>0.98745422819887396</v>
      </c>
      <c r="GI79">
        <v>1.0349378376282601</v>
      </c>
      <c r="GJ79">
        <v>0.98990076144820505</v>
      </c>
      <c r="GK79">
        <v>1.0252829486736701</v>
      </c>
      <c r="GL79">
        <v>1.01371158400709</v>
      </c>
      <c r="GM79">
        <v>1.0305027597341501</v>
      </c>
      <c r="GN79">
        <v>1.06722779862041</v>
      </c>
    </row>
    <row r="81" spans="1:196" s="25" customFormat="1" x14ac:dyDescent="0.4">
      <c r="A81" s="25" t="s">
        <v>145</v>
      </c>
    </row>
    <row r="82" spans="1:196" x14ac:dyDescent="0.4">
      <c r="A82" t="s">
        <v>5</v>
      </c>
      <c r="B82">
        <v>1.12576752235343</v>
      </c>
      <c r="C82">
        <v>0.87284679576525603</v>
      </c>
      <c r="D82">
        <v>1.2638353891490901</v>
      </c>
      <c r="E82">
        <v>1.3004639904744399</v>
      </c>
      <c r="F82">
        <v>0.97222808119566895</v>
      </c>
      <c r="G82">
        <v>0.94302130307185805</v>
      </c>
      <c r="H82">
        <v>0.98666291064526401</v>
      </c>
      <c r="I82">
        <v>0.82974821313590996</v>
      </c>
      <c r="J82">
        <v>1.18798316510795</v>
      </c>
      <c r="K82">
        <v>1.2247345349824299</v>
      </c>
      <c r="L82">
        <v>1.0336730984762701</v>
      </c>
      <c r="M82">
        <v>1.0687798508061199</v>
      </c>
      <c r="N82">
        <v>0.91877646608585195</v>
      </c>
      <c r="O82">
        <v>1.0414609214219299</v>
      </c>
      <c r="P82">
        <v>1.1783107182038099</v>
      </c>
      <c r="Q82">
        <v>1.2151307508534099</v>
      </c>
      <c r="R82">
        <v>0.94947054575067702</v>
      </c>
      <c r="S82">
        <v>1.1399831674658101</v>
      </c>
      <c r="T82">
        <v>1.2712661958221201</v>
      </c>
      <c r="U82">
        <v>1.01507092949638</v>
      </c>
      <c r="V82">
        <v>0.97886012531635702</v>
      </c>
      <c r="W82">
        <v>1.02538151682913</v>
      </c>
      <c r="X82">
        <v>1.1327508826783701</v>
      </c>
      <c r="Y82">
        <v>0.97501221698836904</v>
      </c>
      <c r="Z82">
        <v>1.3273576290985001</v>
      </c>
      <c r="AA82">
        <v>1.10321114274525</v>
      </c>
      <c r="AB82">
        <v>0.97729215253031398</v>
      </c>
      <c r="AC82">
        <v>0.93116861884991398</v>
      </c>
      <c r="AD82">
        <v>1.0601585260738899</v>
      </c>
      <c r="AE82">
        <v>0.77468915732323995</v>
      </c>
      <c r="AF82">
        <v>0.65535738842809899</v>
      </c>
      <c r="AG82">
        <v>1.04626596707816</v>
      </c>
      <c r="AH82">
        <v>1.41947406112228</v>
      </c>
      <c r="AI82">
        <v>1.0978356438260399</v>
      </c>
      <c r="AJ82">
        <v>0.97710872782233105</v>
      </c>
      <c r="AK82">
        <v>1.0151322300375301</v>
      </c>
      <c r="AL82">
        <v>1.01019196519664</v>
      </c>
      <c r="AM82">
        <v>1.1053058704090699</v>
      </c>
      <c r="AN82">
        <v>1.1427022758652401</v>
      </c>
      <c r="AO82">
        <v>0.98628572156596395</v>
      </c>
      <c r="AP82">
        <v>1.07749396764681</v>
      </c>
      <c r="AQ82">
        <v>0.91986441512088601</v>
      </c>
      <c r="AR82">
        <v>0.93880073123577901</v>
      </c>
      <c r="AS82">
        <v>1.13659661763245</v>
      </c>
      <c r="AT82">
        <v>0.87577211034267999</v>
      </c>
      <c r="AU82">
        <v>1.0820879633027201</v>
      </c>
      <c r="AV82">
        <v>1.05738335190669</v>
      </c>
      <c r="AW82">
        <v>1.0738266888733901</v>
      </c>
      <c r="AX82">
        <v>1.03388182756434</v>
      </c>
      <c r="AY82">
        <v>0.99933191574469205</v>
      </c>
      <c r="AZ82">
        <v>1.0589181788628399</v>
      </c>
      <c r="BA82">
        <v>1.0174622270792999</v>
      </c>
      <c r="BB82">
        <v>1.01700160197242</v>
      </c>
      <c r="BC82">
        <v>1.09978753529771</v>
      </c>
      <c r="BD82">
        <v>0.95219293166626595</v>
      </c>
      <c r="BE82">
        <v>1.01842609962683</v>
      </c>
      <c r="BF82">
        <v>1.07945363721015</v>
      </c>
      <c r="BG82">
        <v>0.92055453992521796</v>
      </c>
      <c r="BH82">
        <v>1.0192410628606201</v>
      </c>
      <c r="BI82">
        <v>0.99143013509537403</v>
      </c>
      <c r="BJ82">
        <v>1.06018940607488</v>
      </c>
      <c r="BK82">
        <v>0.99640766410046699</v>
      </c>
      <c r="BL82">
        <v>0.96194764086693796</v>
      </c>
      <c r="BM82">
        <v>1.05189532094881</v>
      </c>
      <c r="BN82">
        <v>1.12767269524943</v>
      </c>
      <c r="BO82">
        <f>PRODUCT(B82:BN82)</f>
        <v>10.034107866680351</v>
      </c>
      <c r="BP82">
        <f>AVERAGE(B82:BO82)/_xlfn.STDEV.S(B82:BN82)</f>
        <v>9.2985465111878547</v>
      </c>
      <c r="BQ82">
        <f>PRODUCT(AD82:BN82)</f>
        <v>1.8216974153291647</v>
      </c>
      <c r="BR82">
        <f>AVERAGE(AD82:BN82)/_xlfn.STDEV.S(AD82:BN82)</f>
        <v>8.7336166606207204</v>
      </c>
    </row>
    <row r="83" spans="1:196" x14ac:dyDescent="0.4">
      <c r="A83" t="s">
        <v>2</v>
      </c>
      <c r="B83">
        <v>1.11576752235343</v>
      </c>
      <c r="C83">
        <v>0.87159679576525595</v>
      </c>
      <c r="D83">
        <v>1.2624068177205201</v>
      </c>
      <c r="E83">
        <v>1.29871399047444</v>
      </c>
      <c r="F83">
        <v>0.97015491046396196</v>
      </c>
      <c r="G83">
        <v>0.94107008355966304</v>
      </c>
      <c r="H83">
        <v>0.98440100588335899</v>
      </c>
      <c r="I83">
        <v>0.82812321313590997</v>
      </c>
      <c r="J83">
        <v>1.1849149832897601</v>
      </c>
      <c r="K83">
        <v>1.2228027168006099</v>
      </c>
      <c r="L83">
        <v>1.0312286540318301</v>
      </c>
      <c r="M83">
        <v>1.0668480326242999</v>
      </c>
      <c r="N83">
        <v>0.91639010244948904</v>
      </c>
      <c r="O83">
        <v>1.0394609214219299</v>
      </c>
      <c r="P83">
        <v>1.1763326962257801</v>
      </c>
      <c r="Q83">
        <v>1.21357519529785</v>
      </c>
      <c r="R83">
        <v>0.94740532835937197</v>
      </c>
      <c r="S83">
        <v>1.13910404658669</v>
      </c>
      <c r="T83">
        <v>1.26974445669169</v>
      </c>
      <c r="U83">
        <v>1.01331268773814</v>
      </c>
      <c r="V83">
        <v>0.97649453391850705</v>
      </c>
      <c r="W83">
        <v>1.0241183589343901</v>
      </c>
      <c r="X83">
        <v>1.13087588267837</v>
      </c>
      <c r="Y83">
        <v>0.97356891801929701</v>
      </c>
      <c r="Z83">
        <v>1.3254384371793</v>
      </c>
      <c r="AA83">
        <v>1.10101114274525</v>
      </c>
      <c r="AB83">
        <v>0.97599215253031402</v>
      </c>
      <c r="AC83">
        <v>0.929968618849914</v>
      </c>
      <c r="AD83">
        <v>1.0586585260738901</v>
      </c>
      <c r="AE83">
        <v>0.77268915732323995</v>
      </c>
      <c r="AF83">
        <v>0.65305738842809902</v>
      </c>
      <c r="AG83">
        <v>1.04396596707816</v>
      </c>
      <c r="AH83">
        <v>1.41797406112228</v>
      </c>
      <c r="AI83">
        <v>1.09523564382604</v>
      </c>
      <c r="AJ83">
        <v>0.97570872782233098</v>
      </c>
      <c r="AK83">
        <v>1.01393223003753</v>
      </c>
      <c r="AL83">
        <v>1.0089919651966399</v>
      </c>
      <c r="AM83">
        <v>1.10308364818685</v>
      </c>
      <c r="AN83">
        <v>1.14130227586524</v>
      </c>
      <c r="AO83">
        <v>0.98498572156596398</v>
      </c>
      <c r="AP83">
        <v>1.0757592737692601</v>
      </c>
      <c r="AQ83">
        <v>0.91736441512088596</v>
      </c>
      <c r="AR83">
        <v>0.93720073123577896</v>
      </c>
      <c r="AS83">
        <v>1.1353966176324499</v>
      </c>
      <c r="AT83">
        <v>0.87367211034268</v>
      </c>
      <c r="AU83">
        <v>1.0792879633027199</v>
      </c>
      <c r="AV83">
        <v>1.0560702205935599</v>
      </c>
      <c r="AW83">
        <v>1.0727155777622801</v>
      </c>
      <c r="AX83">
        <v>1.0316137863272301</v>
      </c>
      <c r="AY83">
        <v>0.99743717890258698</v>
      </c>
      <c r="AZ83">
        <v>1.0572515121961701</v>
      </c>
      <c r="BA83">
        <v>1.0158832797108801</v>
      </c>
      <c r="BB83">
        <v>1.01455479346178</v>
      </c>
      <c r="BC83">
        <v>1.09736648266613</v>
      </c>
      <c r="BD83">
        <v>0.95042209833293301</v>
      </c>
      <c r="BE83">
        <v>1.0172558868608801</v>
      </c>
      <c r="BF83">
        <v>1.07747447054348</v>
      </c>
      <c r="BG83">
        <v>0.91787412755408404</v>
      </c>
      <c r="BH83">
        <v>1.0178124914320501</v>
      </c>
      <c r="BI83">
        <v>0.98978065055929099</v>
      </c>
      <c r="BJ83">
        <v>1.05874610710581</v>
      </c>
      <c r="BK83">
        <v>0.99340766410046699</v>
      </c>
      <c r="BL83">
        <v>0.96094764086693796</v>
      </c>
      <c r="BM83">
        <v>1.05045202197973</v>
      </c>
      <c r="BN83">
        <v>1.1260232107133501</v>
      </c>
      <c r="BO83">
        <f>PRODUCT(B83:BN83)</f>
        <v>8.8759345148090496</v>
      </c>
      <c r="BP83">
        <f>AVERAGE(B83:BO83)/_xlfn.STDEV.S(B83:BN83)</f>
        <v>9.1472759989298531</v>
      </c>
      <c r="BQ83">
        <f>PRODUCT(AD83:BN83)</f>
        <v>1.7039967937928606</v>
      </c>
      <c r="BR83">
        <f>AVERAGE(AD83:BN83)/_xlfn.STDEV.S(AD83:BN83)</f>
        <v>8.7098706327466466</v>
      </c>
    </row>
    <row r="84" spans="1:196" x14ac:dyDescent="0.4">
      <c r="A84" t="s">
        <v>101</v>
      </c>
      <c r="B84">
        <v>0.89575468885809495</v>
      </c>
      <c r="C84">
        <v>1.0780600363339601</v>
      </c>
      <c r="D84">
        <v>1.1657802089400999</v>
      </c>
      <c r="E84">
        <v>1.01994329816531</v>
      </c>
      <c r="F84">
        <v>0.863086392116445</v>
      </c>
      <c r="G84">
        <v>0.99153425815989504</v>
      </c>
      <c r="H84">
        <v>0.91242188827079296</v>
      </c>
      <c r="I84">
        <v>1.1044363086999001</v>
      </c>
      <c r="J84">
        <v>1.25416345334687</v>
      </c>
      <c r="K84">
        <v>1.05980326822176</v>
      </c>
      <c r="L84">
        <v>1.1308870238706901</v>
      </c>
      <c r="M84">
        <v>1.0850602549736099</v>
      </c>
      <c r="N84">
        <v>1.2129076948699</v>
      </c>
      <c r="O84">
        <v>0.87417741585022102</v>
      </c>
      <c r="P84">
        <v>0.91693980695278299</v>
      </c>
      <c r="Q84">
        <v>0.92135898419375495</v>
      </c>
      <c r="R84">
        <v>0.98517917942711597</v>
      </c>
      <c r="S84">
        <v>1.03890874911353</v>
      </c>
      <c r="T84">
        <v>0.86105556722967902</v>
      </c>
      <c r="U84">
        <v>1.04774494514589</v>
      </c>
      <c r="V84">
        <v>1.09365929851498</v>
      </c>
      <c r="W84">
        <v>0.87242041971044704</v>
      </c>
      <c r="X84">
        <v>0.94320012561574895</v>
      </c>
      <c r="Y84">
        <v>1.00836242462227</v>
      </c>
      <c r="Z84">
        <v>0.918127155701567</v>
      </c>
      <c r="AA84">
        <v>1.1562193567637</v>
      </c>
      <c r="AB84">
        <v>1.1190956759138699</v>
      </c>
      <c r="AC84">
        <v>1.0516205326989501</v>
      </c>
      <c r="AD84">
        <v>1.03629533444845</v>
      </c>
      <c r="AE84">
        <v>1.12382674757264</v>
      </c>
      <c r="AF84">
        <v>0.90584244757681898</v>
      </c>
      <c r="AG84">
        <v>1.09809266202663</v>
      </c>
      <c r="AH84">
        <v>1.0391818590439601</v>
      </c>
      <c r="AI84">
        <v>1.03164154885184</v>
      </c>
      <c r="AJ84">
        <v>1.0059516175115399</v>
      </c>
      <c r="AK84">
        <v>1.0298698391729999</v>
      </c>
      <c r="AL84">
        <v>1.00636708228387</v>
      </c>
      <c r="AM84">
        <v>1.0191659396570201</v>
      </c>
      <c r="AN84">
        <v>0.89579480289062796</v>
      </c>
      <c r="AO84">
        <v>1.00369056786486</v>
      </c>
      <c r="AP84">
        <v>0.944811859993957</v>
      </c>
      <c r="AQ84">
        <v>1.09824137057532</v>
      </c>
      <c r="AR84">
        <v>1.0527901402155599</v>
      </c>
      <c r="AS84">
        <v>1.0301519659874301</v>
      </c>
      <c r="AT84">
        <v>1.0864674597138</v>
      </c>
      <c r="AU84">
        <v>1.02025801842651</v>
      </c>
      <c r="AV84">
        <v>1.0662216875850601</v>
      </c>
      <c r="AW84">
        <v>1.11703166072764</v>
      </c>
      <c r="AX84">
        <v>0.96495576601632205</v>
      </c>
      <c r="AY84">
        <v>0.93662811882984598</v>
      </c>
      <c r="AZ84">
        <v>1.05052622726664</v>
      </c>
      <c r="BA84">
        <v>1.07614219872601</v>
      </c>
      <c r="BB84">
        <v>1.0720353433222201</v>
      </c>
      <c r="BC84">
        <v>0.98814271561466505</v>
      </c>
      <c r="BD84">
        <v>1.1526395208869</v>
      </c>
      <c r="BE84">
        <v>0.97626658330169303</v>
      </c>
      <c r="BF84">
        <v>1.1297297577761301</v>
      </c>
      <c r="BG84">
        <v>1.0317473821115499</v>
      </c>
      <c r="BH84">
        <v>1.0009338339110301</v>
      </c>
      <c r="BI84">
        <v>0.98291880724454805</v>
      </c>
      <c r="BJ84">
        <v>1.0164626484088299</v>
      </c>
      <c r="BK84">
        <v>1.04930000689006</v>
      </c>
      <c r="BL84">
        <v>0.91776087083209101</v>
      </c>
      <c r="BM84">
        <v>0.98019608844404604</v>
      </c>
      <c r="BN84">
        <v>0.99262904648051298</v>
      </c>
      <c r="BO84">
        <v>1.05386635607963</v>
      </c>
      <c r="BP84">
        <v>1.02259101226047</v>
      </c>
      <c r="BQ84">
        <v>1.0257854845384999</v>
      </c>
      <c r="BR84">
        <v>1.0798809718247999</v>
      </c>
      <c r="BS84">
        <v>0.99756475002729705</v>
      </c>
      <c r="BT84">
        <v>0.93200685800877003</v>
      </c>
      <c r="BU84">
        <v>1.0486965878349801</v>
      </c>
      <c r="BV84">
        <v>1.0513424771986799</v>
      </c>
      <c r="BW84">
        <v>1.0885179719499101</v>
      </c>
      <c r="BX84">
        <v>1.15986684699969</v>
      </c>
      <c r="BY84">
        <v>1.02646472502677</v>
      </c>
      <c r="BZ84">
        <v>1.1188069751310099</v>
      </c>
      <c r="CA84">
        <v>0.96063729910615503</v>
      </c>
      <c r="CB84">
        <v>1.01683471764212</v>
      </c>
      <c r="CC84">
        <v>1.05547207300673</v>
      </c>
      <c r="CD84">
        <v>0.91059927235992899</v>
      </c>
      <c r="CE84">
        <v>1.0291518156692501</v>
      </c>
      <c r="CF84">
        <v>0.85257557020676999</v>
      </c>
      <c r="CG84">
        <v>1.0612458445580799</v>
      </c>
      <c r="CH84">
        <v>0.98101167940121203</v>
      </c>
      <c r="CI84">
        <v>1.06005006864233</v>
      </c>
      <c r="CJ84">
        <v>1.01946014965833</v>
      </c>
      <c r="CK84">
        <v>0.90563260181434002</v>
      </c>
      <c r="CL84">
        <v>0.93988623162083196</v>
      </c>
      <c r="CM84">
        <v>0.91012310879365799</v>
      </c>
      <c r="CN84">
        <v>0.97130887505270402</v>
      </c>
      <c r="CO84">
        <v>0.68978736695587495</v>
      </c>
      <c r="CP84">
        <v>0.97815033213187497</v>
      </c>
      <c r="CQ84">
        <v>1.0801579607996901</v>
      </c>
      <c r="CR84">
        <v>1.06946181151176</v>
      </c>
      <c r="CS84">
        <v>0.90571080059988196</v>
      </c>
      <c r="CT84">
        <v>1.1712315756613401</v>
      </c>
      <c r="CU84">
        <v>1.1967823490532401</v>
      </c>
      <c r="CV84">
        <v>1.01267365852248</v>
      </c>
      <c r="CW84">
        <v>0.99222727921416298</v>
      </c>
      <c r="CX84">
        <v>1.0814216655295601</v>
      </c>
      <c r="CY84">
        <v>1.0231306571162899</v>
      </c>
      <c r="CZ84">
        <v>1.0375442833423301</v>
      </c>
      <c r="DA84">
        <v>0.960385389772207</v>
      </c>
      <c r="DB84">
        <v>0.98059732935420796</v>
      </c>
      <c r="DC84">
        <v>1.07360331857393</v>
      </c>
      <c r="DD84">
        <v>0.94964830118903998</v>
      </c>
      <c r="DE84">
        <v>0.99567126989002397</v>
      </c>
      <c r="DF84">
        <v>1.0637681227195701</v>
      </c>
      <c r="DG84">
        <v>1.0093947966405401</v>
      </c>
      <c r="DH84">
        <v>0.94079689703998004</v>
      </c>
      <c r="DI84">
        <v>1.0599113024839599</v>
      </c>
      <c r="DJ84">
        <v>1.02707130801397</v>
      </c>
      <c r="DK84">
        <v>1.01534201151559</v>
      </c>
      <c r="DL84">
        <v>1.10317164795886</v>
      </c>
      <c r="DM84">
        <v>1.0228824868433399</v>
      </c>
      <c r="DN84">
        <v>1.0126614035697701</v>
      </c>
      <c r="DO84">
        <v>1.06523652345729</v>
      </c>
      <c r="DP84">
        <v>1.00604066017611</v>
      </c>
      <c r="DQ84">
        <v>0.92032488198762297</v>
      </c>
      <c r="DR84">
        <v>1.08595184376083</v>
      </c>
      <c r="DS84">
        <v>1.0288050180828401</v>
      </c>
      <c r="DT84">
        <v>0.96443109981647002</v>
      </c>
      <c r="DU84">
        <v>0.99665518534159303</v>
      </c>
      <c r="DV84">
        <v>1.04639352593132</v>
      </c>
      <c r="DW84">
        <v>0.88203098930882695</v>
      </c>
      <c r="DX84">
        <v>0.900922380281865</v>
      </c>
      <c r="DY84">
        <v>1.0787680737729699</v>
      </c>
      <c r="DZ84">
        <v>0.96595736606971105</v>
      </c>
      <c r="EA84">
        <v>0.98798956573309704</v>
      </c>
      <c r="EB84">
        <v>1.0972598328718699</v>
      </c>
      <c r="EC84">
        <v>1.0484422649066101</v>
      </c>
      <c r="ED84">
        <v>0.97411172919903699</v>
      </c>
      <c r="EE84">
        <v>0.94666559620976998</v>
      </c>
      <c r="EF84">
        <v>0.94969848172304705</v>
      </c>
      <c r="EG84">
        <v>1.0301329220600399</v>
      </c>
      <c r="EH84">
        <v>1.0046298542238099</v>
      </c>
      <c r="EI84">
        <v>1.0455943295908301</v>
      </c>
      <c r="EJ84">
        <v>1.0570254667187899</v>
      </c>
      <c r="EK84">
        <v>0.99159633846255302</v>
      </c>
      <c r="EL84">
        <v>1.0088163286191301</v>
      </c>
      <c r="EM84">
        <v>1.03846947583469</v>
      </c>
      <c r="EN84">
        <v>1.0076043852810199</v>
      </c>
      <c r="EO84">
        <v>1.02624347561119</v>
      </c>
      <c r="EP84">
        <v>1.01118382130744</v>
      </c>
      <c r="EQ84">
        <v>0.99469221021958498</v>
      </c>
      <c r="ER84">
        <v>1.02790285570177</v>
      </c>
      <c r="ES84">
        <v>0.946443704402538</v>
      </c>
      <c r="ET84">
        <v>1.0533446204692301</v>
      </c>
      <c r="EU84">
        <v>1.0024079201160301</v>
      </c>
      <c r="EV84">
        <v>1.04768959076261</v>
      </c>
      <c r="EW84">
        <v>1.01218678038549</v>
      </c>
      <c r="EX84">
        <v>0.99854838616673802</v>
      </c>
      <c r="EY84">
        <v>1.0050966762315301</v>
      </c>
      <c r="EZ84">
        <v>0.98499535471663702</v>
      </c>
      <c r="FA84">
        <v>1.0277234733863201</v>
      </c>
      <c r="FB84">
        <v>1.0245002732948401</v>
      </c>
      <c r="FC84">
        <v>0.98980114213165005</v>
      </c>
      <c r="FD84">
        <v>1.0029091828500001</v>
      </c>
      <c r="FE84">
        <v>1.0194995040435</v>
      </c>
      <c r="FF84">
        <v>1.05251283896948</v>
      </c>
      <c r="FG84">
        <v>1.02493039381509</v>
      </c>
      <c r="FH84">
        <v>0.98678457594510105</v>
      </c>
      <c r="FI84">
        <v>0.96612528856545199</v>
      </c>
      <c r="FJ84">
        <v>0.99877842102244796</v>
      </c>
      <c r="FK84">
        <v>0.956084697418908</v>
      </c>
      <c r="FL84">
        <v>1.0271848041807801</v>
      </c>
      <c r="FM84">
        <v>1.03701387575202</v>
      </c>
      <c r="FN84">
        <v>1.0241809807992801</v>
      </c>
      <c r="FO84">
        <v>1.0707955272449601</v>
      </c>
      <c r="FP84">
        <v>0.98428471030640197</v>
      </c>
      <c r="FQ84">
        <v>0.98563928710127402</v>
      </c>
      <c r="FR84">
        <v>0.97748593092462399</v>
      </c>
      <c r="FS84">
        <v>0.95547868456354901</v>
      </c>
      <c r="FT84">
        <v>1.02798713573321</v>
      </c>
      <c r="FU84">
        <v>1.01209473872398</v>
      </c>
      <c r="FV84">
        <v>0.97964350826838298</v>
      </c>
      <c r="FW84">
        <v>0.98798318753415604</v>
      </c>
      <c r="FX84">
        <v>0.98345211565438495</v>
      </c>
      <c r="FY84">
        <v>1.0203739020097899</v>
      </c>
      <c r="FZ84">
        <v>1.05728065564958</v>
      </c>
      <c r="GA84">
        <v>1.03075310708807</v>
      </c>
      <c r="GB84">
        <v>0.97283350897829302</v>
      </c>
      <c r="GC84">
        <v>0.97149079864017995</v>
      </c>
      <c r="GD84">
        <v>1.02525580734663</v>
      </c>
      <c r="GE84">
        <v>1.0003826012450601</v>
      </c>
      <c r="GF84">
        <v>1.01090165989231</v>
      </c>
      <c r="GG84">
        <v>0.97493574718570897</v>
      </c>
      <c r="GH84">
        <v>0.97603755789090496</v>
      </c>
      <c r="GI84">
        <v>1.0335029507820199</v>
      </c>
      <c r="GJ84">
        <v>0.98753018432608697</v>
      </c>
      <c r="GK84">
        <v>1.0306481390572</v>
      </c>
      <c r="GL84">
        <v>1.02038529565073</v>
      </c>
      <c r="GM84">
        <v>1.0222135311370399</v>
      </c>
      <c r="GN84">
        <v>1.0811283300879699</v>
      </c>
    </row>
    <row r="86" spans="1:196" s="24" customFormat="1" x14ac:dyDescent="0.4">
      <c r="A86" s="24" t="s">
        <v>146</v>
      </c>
    </row>
    <row r="87" spans="1:196" x14ac:dyDescent="0.4">
      <c r="A87" t="s">
        <v>5</v>
      </c>
      <c r="B87">
        <v>1.1006362059927</v>
      </c>
      <c r="C87">
        <v>0.86654714306380198</v>
      </c>
      <c r="D87">
        <v>1.2067422972105899</v>
      </c>
      <c r="E87">
        <v>1.2785086880597301</v>
      </c>
      <c r="F87">
        <v>0.90308673799287298</v>
      </c>
      <c r="G87">
        <v>0.92854633794864205</v>
      </c>
      <c r="H87">
        <v>0.957656510459995</v>
      </c>
      <c r="I87">
        <v>0.83078622357708998</v>
      </c>
      <c r="J87">
        <v>1.2335704496264499</v>
      </c>
      <c r="K87">
        <v>1.16844991953003</v>
      </c>
      <c r="L87">
        <v>0.99832298594491098</v>
      </c>
      <c r="M87">
        <v>1.0519645837615099</v>
      </c>
      <c r="N87">
        <v>0.91446545865564799</v>
      </c>
      <c r="O87">
        <v>1.0157515843403699</v>
      </c>
      <c r="P87">
        <v>1.17833873744586</v>
      </c>
      <c r="Q87">
        <v>1.27426265534262</v>
      </c>
      <c r="R87">
        <v>0.95864988501221204</v>
      </c>
      <c r="S87">
        <v>1.1683815066540399</v>
      </c>
      <c r="T87">
        <v>1.3260511177591501</v>
      </c>
      <c r="U87">
        <v>0.952424856921671</v>
      </c>
      <c r="V87">
        <v>0.95389872921510799</v>
      </c>
      <c r="W87">
        <v>0.987223776302673</v>
      </c>
      <c r="X87">
        <v>1.1630575359956901</v>
      </c>
      <c r="Y87">
        <v>0.94465432740112998</v>
      </c>
      <c r="Z87">
        <v>1.4020288327561601</v>
      </c>
      <c r="AA87">
        <v>1.1097458113923599</v>
      </c>
      <c r="AB87">
        <v>0.93663413596365996</v>
      </c>
      <c r="AC87">
        <v>0.95430789650026804</v>
      </c>
      <c r="AD87">
        <v>1.0683813021581601</v>
      </c>
      <c r="AE87">
        <v>0.79049576469604499</v>
      </c>
      <c r="AF87">
        <v>0.66969200728817302</v>
      </c>
      <c r="AG87">
        <v>1.0724322975517999</v>
      </c>
      <c r="AH87">
        <v>1.40287336312758</v>
      </c>
      <c r="AI87">
        <v>1.0772408489681899</v>
      </c>
      <c r="AJ87">
        <v>0.95562030326241298</v>
      </c>
      <c r="AK87">
        <v>1.0200643132401199</v>
      </c>
      <c r="AL87">
        <v>1.00588095507672</v>
      </c>
      <c r="AM87">
        <v>1.07125512566974</v>
      </c>
      <c r="AN87">
        <v>1.1487310008265701</v>
      </c>
      <c r="AO87">
        <v>0.97574675128667399</v>
      </c>
      <c r="AP87">
        <v>1.04651815285843</v>
      </c>
      <c r="AQ87">
        <v>0.98612520837267004</v>
      </c>
      <c r="AR87">
        <v>0.93339104824334496</v>
      </c>
      <c r="AS87">
        <v>1.16130090108103</v>
      </c>
      <c r="AT87">
        <v>0.87082578966064506</v>
      </c>
      <c r="AU87">
        <v>1.0899334014978199</v>
      </c>
      <c r="AV87">
        <v>1.13328466174517</v>
      </c>
      <c r="AW87">
        <v>1.1037463956873901</v>
      </c>
      <c r="AX87">
        <v>1.1254052405967701</v>
      </c>
      <c r="AY87">
        <v>0.97400912762832803</v>
      </c>
      <c r="AZ87">
        <v>1.05409246862665</v>
      </c>
      <c r="BA87">
        <v>1.04977363548229</v>
      </c>
      <c r="BB87">
        <v>1.0791560272599701</v>
      </c>
      <c r="BC87">
        <v>1.1010604791277001</v>
      </c>
      <c r="BD87">
        <v>0.96607688951006798</v>
      </c>
      <c r="BE87">
        <v>1.0992644334497701</v>
      </c>
      <c r="BF87">
        <v>1.1433650484975</v>
      </c>
      <c r="BG87">
        <v>0.94259462916954295</v>
      </c>
      <c r="BH87">
        <v>0.99148751710379801</v>
      </c>
      <c r="BI87">
        <v>0.99249013085508697</v>
      </c>
      <c r="BJ87">
        <v>1.0767935748999999</v>
      </c>
      <c r="BK87">
        <v>0.98818204393819997</v>
      </c>
      <c r="BL87">
        <v>0.96717749695067001</v>
      </c>
      <c r="BM87">
        <v>1.0454179921167599</v>
      </c>
      <c r="BN87">
        <v>1.1005550233833299</v>
      </c>
      <c r="BO87">
        <f>PRODUCT(B87:BN87)</f>
        <v>11.621873561884779</v>
      </c>
      <c r="BP87">
        <f>AVERAGE(B87:BO87)/_xlfn.STDEV.S(B87:BN87)</f>
        <v>9.0397429693391746</v>
      </c>
      <c r="BQ87">
        <f>PRODUCT(AD87:BN87)</f>
        <v>2.754818720512775</v>
      </c>
      <c r="BR87">
        <f>AVERAGE(AD87:BN87)/_xlfn.STDEV.S(AD87:BN87)</f>
        <v>8.8165631007321039</v>
      </c>
    </row>
    <row r="88" spans="1:196" x14ac:dyDescent="0.4">
      <c r="A88" t="s">
        <v>2</v>
      </c>
      <c r="B88">
        <v>1.0906362059926999</v>
      </c>
      <c r="C88">
        <v>0.864347143063802</v>
      </c>
      <c r="D88">
        <v>1.2043953584350799</v>
      </c>
      <c r="E88">
        <v>1.2758086880597299</v>
      </c>
      <c r="F88">
        <v>0.89898673799287299</v>
      </c>
      <c r="G88">
        <v>0.92564633794864204</v>
      </c>
      <c r="H88">
        <v>0.95505651045999496</v>
      </c>
      <c r="I88">
        <v>0.82898622357708995</v>
      </c>
      <c r="J88">
        <v>1.23077044962645</v>
      </c>
      <c r="K88">
        <v>1.16594991953003</v>
      </c>
      <c r="L88">
        <v>0.995122985944911</v>
      </c>
      <c r="M88">
        <v>1.04946458376151</v>
      </c>
      <c r="N88">
        <v>0.91166545865564796</v>
      </c>
      <c r="O88">
        <v>1.01285158434037</v>
      </c>
      <c r="P88">
        <v>1.1757387374458601</v>
      </c>
      <c r="Q88">
        <v>1.2711626553426201</v>
      </c>
      <c r="R88">
        <v>0.95474988501221203</v>
      </c>
      <c r="S88">
        <v>1.16588150665404</v>
      </c>
      <c r="T88">
        <v>1.3235511177591499</v>
      </c>
      <c r="U88">
        <v>0.94912485692167103</v>
      </c>
      <c r="V88">
        <v>0.95029872921510805</v>
      </c>
      <c r="W88">
        <v>0.98402377630267301</v>
      </c>
      <c r="X88">
        <v>1.1600575359956899</v>
      </c>
      <c r="Y88">
        <v>0.94215432740113003</v>
      </c>
      <c r="Z88">
        <v>1.39842883275616</v>
      </c>
      <c r="AA88">
        <v>1.1057458113923599</v>
      </c>
      <c r="AB88">
        <v>0.93383413596366005</v>
      </c>
      <c r="AC88">
        <v>0.95080789650026798</v>
      </c>
      <c r="AD88">
        <v>1.06478130215816</v>
      </c>
      <c r="AE88">
        <v>0.78729576469604501</v>
      </c>
      <c r="AF88">
        <v>0.665792007288173</v>
      </c>
      <c r="AG88">
        <v>1.0680322975518</v>
      </c>
      <c r="AH88">
        <v>1.39957336312758</v>
      </c>
      <c r="AI88">
        <v>1.07314084896819</v>
      </c>
      <c r="AJ88">
        <v>0.95282030326241296</v>
      </c>
      <c r="AK88">
        <v>1.0180643132401199</v>
      </c>
      <c r="AL88">
        <v>1.00228095507672</v>
      </c>
      <c r="AM88">
        <v>1.0681551256697399</v>
      </c>
      <c r="AN88">
        <v>1.14563100082657</v>
      </c>
      <c r="AO88">
        <v>0.97314675128667405</v>
      </c>
      <c r="AP88">
        <v>1.0432181528584299</v>
      </c>
      <c r="AQ88">
        <v>0.98302520837267005</v>
      </c>
      <c r="AR88">
        <v>0.93029104824334496</v>
      </c>
      <c r="AS88">
        <v>1.1585009010810301</v>
      </c>
      <c r="AT88">
        <v>0.86692578966064504</v>
      </c>
      <c r="AU88">
        <v>1.0861334014978199</v>
      </c>
      <c r="AV88">
        <v>1.13068466174517</v>
      </c>
      <c r="AW88">
        <v>1.10084639568739</v>
      </c>
      <c r="AX88">
        <v>1.12140524059677</v>
      </c>
      <c r="AY88">
        <v>0.97040912762832798</v>
      </c>
      <c r="AZ88">
        <v>1.05149246862665</v>
      </c>
      <c r="BA88">
        <v>1.04707363548229</v>
      </c>
      <c r="BB88">
        <v>1.07565602725997</v>
      </c>
      <c r="BC88">
        <v>1.0976604791277</v>
      </c>
      <c r="BD88">
        <v>0.96297688951006799</v>
      </c>
      <c r="BE88">
        <v>1.09616443344977</v>
      </c>
      <c r="BF88">
        <v>1.1394650484975</v>
      </c>
      <c r="BG88">
        <v>0.93859462916954295</v>
      </c>
      <c r="BH88">
        <v>0.988587517103798</v>
      </c>
      <c r="BI88">
        <v>0.98969013085508695</v>
      </c>
      <c r="BJ88">
        <v>1.0733935749000001</v>
      </c>
      <c r="BK88">
        <v>0.98508204393819998</v>
      </c>
      <c r="BL88">
        <v>0.96527749695067</v>
      </c>
      <c r="BM88">
        <v>1.04271799211676</v>
      </c>
      <c r="BN88">
        <v>1.0965550233833301</v>
      </c>
      <c r="BO88">
        <f>PRODUCT(B88:BN88)</f>
        <v>9.4826380327246316</v>
      </c>
      <c r="BP88">
        <f>AVERAGE(B88:BO88)/_xlfn.STDEV.S(B88:BN88)</f>
        <v>8.7743726724998261</v>
      </c>
      <c r="BQ88">
        <f>PRODUCT(AD88:BN88)</f>
        <v>2.44851799631514</v>
      </c>
      <c r="BR88">
        <f>AVERAGE(AD88:BN88)/_xlfn.STDEV.S(AD88:BN88)</f>
        <v>8.7884355232287401</v>
      </c>
    </row>
    <row r="89" spans="1:196" x14ac:dyDescent="0.4">
      <c r="A89" t="s">
        <v>101</v>
      </c>
      <c r="B89">
        <v>0.89199604423476297</v>
      </c>
      <c r="C89">
        <v>1.081769041706</v>
      </c>
      <c r="D89">
        <v>1.1406340136888999</v>
      </c>
      <c r="E89">
        <v>1.0190883245057101</v>
      </c>
      <c r="F89">
        <v>0.87383922533219005</v>
      </c>
      <c r="G89">
        <v>0.97308064230981905</v>
      </c>
      <c r="H89">
        <v>0.90846141073727804</v>
      </c>
      <c r="I89">
        <v>1.11149686943753</v>
      </c>
      <c r="J89">
        <v>1.1950877843593299</v>
      </c>
      <c r="K89">
        <v>1.04813724614085</v>
      </c>
      <c r="L89">
        <v>1.1321065006463999</v>
      </c>
      <c r="M89">
        <v>1.0774527781527099</v>
      </c>
      <c r="N89">
        <v>1.17784533925155</v>
      </c>
      <c r="O89">
        <v>0.84345425974889798</v>
      </c>
      <c r="P89">
        <v>0.90903302415093401</v>
      </c>
      <c r="Q89">
        <v>0.91815296903561405</v>
      </c>
      <c r="R89">
        <v>0.97008356422624098</v>
      </c>
      <c r="S89">
        <v>1.0425079896829701</v>
      </c>
      <c r="T89">
        <v>0.84412119681756403</v>
      </c>
      <c r="U89">
        <v>1.0446674765139301</v>
      </c>
      <c r="V89">
        <v>1.0859926485508</v>
      </c>
      <c r="W89">
        <v>0.85942364006243199</v>
      </c>
      <c r="X89">
        <v>0.96118483121278697</v>
      </c>
      <c r="Y89">
        <v>1.0057153581804801</v>
      </c>
      <c r="Z89">
        <v>0.93647370059518198</v>
      </c>
      <c r="AA89">
        <v>1.1526176857258901</v>
      </c>
      <c r="AB89">
        <v>1.1428338429513301</v>
      </c>
      <c r="AC89">
        <v>1.0444097836416399</v>
      </c>
      <c r="AD89">
        <v>1.0045614703607899</v>
      </c>
      <c r="AE89">
        <v>1.11368572913499</v>
      </c>
      <c r="AF89">
        <v>0.90236338010824502</v>
      </c>
      <c r="AG89">
        <v>1.07471901442953</v>
      </c>
      <c r="AH89">
        <v>1.0294249159756901</v>
      </c>
      <c r="AI89">
        <v>1.04460173225539</v>
      </c>
      <c r="AJ89">
        <v>0.99347898138508495</v>
      </c>
      <c r="AK89">
        <v>1.01365856357491</v>
      </c>
      <c r="AL89">
        <v>1.0104394414948701</v>
      </c>
      <c r="AM89">
        <v>1.04343087280154</v>
      </c>
      <c r="AN89">
        <v>0.86734790407487405</v>
      </c>
      <c r="AO89">
        <v>0.98993259509585996</v>
      </c>
      <c r="AP89">
        <v>0.91710465408846098</v>
      </c>
      <c r="AQ89">
        <v>1.1188271243902901</v>
      </c>
      <c r="AR89">
        <v>1.06259131431376</v>
      </c>
      <c r="AS89">
        <v>1.01619142912534</v>
      </c>
      <c r="AT89">
        <v>1.0912603252635</v>
      </c>
      <c r="AU89">
        <v>1.0092577137112799</v>
      </c>
      <c r="AV89">
        <v>1.09770527508475</v>
      </c>
      <c r="AW89">
        <v>1.1501940770349199</v>
      </c>
      <c r="AX89">
        <v>0.96498973701064505</v>
      </c>
      <c r="AY89">
        <v>0.93928697162863495</v>
      </c>
      <c r="AZ89">
        <v>1.05764283474355</v>
      </c>
      <c r="BA89">
        <v>1.12316770143655</v>
      </c>
      <c r="BB89">
        <v>1.0559880116215099</v>
      </c>
      <c r="BC89">
        <v>0.98510172686422903</v>
      </c>
      <c r="BD89">
        <v>1.1643642504089999</v>
      </c>
      <c r="BE89">
        <v>1.01439929034037</v>
      </c>
      <c r="BF89">
        <v>1.12269675260367</v>
      </c>
      <c r="BG89">
        <v>1.00365291511715</v>
      </c>
      <c r="BH89">
        <v>0.98186669445615005</v>
      </c>
      <c r="BI89">
        <v>0.96648394107094704</v>
      </c>
      <c r="BJ89">
        <v>0.99639287308940205</v>
      </c>
      <c r="BK89">
        <v>1.0439372719523801</v>
      </c>
      <c r="BL89">
        <v>0.91705895092424405</v>
      </c>
      <c r="BM89">
        <v>0.94855533397799696</v>
      </c>
      <c r="BN89">
        <v>0.98593729572333</v>
      </c>
      <c r="BO89">
        <v>1.05561035202743</v>
      </c>
      <c r="BP89">
        <v>1.03043699016961</v>
      </c>
      <c r="BQ89">
        <v>1.0208837501937</v>
      </c>
      <c r="BR89">
        <v>1.1056138442291099</v>
      </c>
      <c r="BS89">
        <v>0.99491367122434904</v>
      </c>
      <c r="BT89">
        <v>0.92820474343511905</v>
      </c>
      <c r="BU89">
        <v>1.02292486700989</v>
      </c>
      <c r="BV89">
        <v>1.0692959209825199</v>
      </c>
      <c r="BW89">
        <v>1.1006023456985901</v>
      </c>
      <c r="BX89">
        <v>1.19132046073012</v>
      </c>
      <c r="BY89">
        <v>1.0484873567391</v>
      </c>
      <c r="BZ89">
        <v>1.1199238485343701</v>
      </c>
      <c r="CA89">
        <v>0.94508707476864895</v>
      </c>
      <c r="CB89">
        <v>1.02320546484724</v>
      </c>
      <c r="CC89">
        <v>0.99717847959306705</v>
      </c>
      <c r="CD89">
        <v>0.91798214355099905</v>
      </c>
      <c r="CE89">
        <v>1.02744613429511</v>
      </c>
      <c r="CF89">
        <v>0.87555230872470102</v>
      </c>
      <c r="CG89">
        <v>1.06083382141189</v>
      </c>
      <c r="CH89">
        <v>0.96693611550978098</v>
      </c>
      <c r="CI89">
        <v>1.05909399498446</v>
      </c>
      <c r="CJ89">
        <v>1.04326344781776</v>
      </c>
      <c r="CK89">
        <v>0.92457253748522295</v>
      </c>
      <c r="CL89">
        <v>0.92295454089585205</v>
      </c>
      <c r="CM89">
        <v>0.926356700280064</v>
      </c>
      <c r="CN89">
        <v>0.97094633268540198</v>
      </c>
      <c r="CO89">
        <v>0.67814460360159601</v>
      </c>
      <c r="CP89">
        <v>1.0170857738710199</v>
      </c>
      <c r="CQ89">
        <v>1.08905329378769</v>
      </c>
      <c r="CR89">
        <v>1.0540639039828801</v>
      </c>
      <c r="CS89">
        <v>0.934230002908639</v>
      </c>
      <c r="CT89">
        <v>1.1574427450929801</v>
      </c>
      <c r="CU89">
        <v>1.191067240647</v>
      </c>
      <c r="CV89">
        <v>1.0176130603664799</v>
      </c>
      <c r="CW89">
        <v>0.98108115001226404</v>
      </c>
      <c r="CX89">
        <v>1.05568433748331</v>
      </c>
      <c r="CY89">
        <v>1.04009690429871</v>
      </c>
      <c r="CZ89">
        <v>1.01298605125351</v>
      </c>
      <c r="DA89">
        <v>0.96553110701210498</v>
      </c>
      <c r="DB89">
        <v>0.97704739878421598</v>
      </c>
      <c r="DC89">
        <v>1.0771521664260799</v>
      </c>
      <c r="DD89">
        <v>0.95011535013767401</v>
      </c>
      <c r="DE89">
        <v>0.99672226610462</v>
      </c>
      <c r="DF89">
        <v>1.05152723578653</v>
      </c>
      <c r="DG89">
        <v>1.01277772909609</v>
      </c>
      <c r="DH89">
        <v>0.94452164951837303</v>
      </c>
      <c r="DI89">
        <v>1.0504211266310699</v>
      </c>
      <c r="DJ89">
        <v>1.0121971458821899</v>
      </c>
      <c r="DK89">
        <v>1.0075447783410101</v>
      </c>
      <c r="DL89">
        <v>1.0911501000333901</v>
      </c>
      <c r="DM89">
        <v>1.06682110787895</v>
      </c>
      <c r="DN89">
        <v>0.98682977513328596</v>
      </c>
      <c r="DO89">
        <v>1.0554819986775701</v>
      </c>
      <c r="DP89">
        <v>0.99166796936800905</v>
      </c>
      <c r="DQ89">
        <v>0.93222339413982203</v>
      </c>
      <c r="DR89">
        <v>1.07744663789418</v>
      </c>
      <c r="DS89">
        <v>1.0039761455201499</v>
      </c>
      <c r="DT89">
        <v>0.96744793419910002</v>
      </c>
      <c r="DU89">
        <v>1.0022085805571499</v>
      </c>
      <c r="DV89">
        <v>1.08965702796133</v>
      </c>
      <c r="DW89">
        <v>0.90299245148767604</v>
      </c>
      <c r="DX89">
        <v>0.89075925909685005</v>
      </c>
      <c r="DY89">
        <v>1.07697724225628</v>
      </c>
      <c r="DZ89">
        <v>0.97296397374759303</v>
      </c>
      <c r="EA89">
        <v>1.0169721850240201</v>
      </c>
      <c r="EB89">
        <v>1.0755996279887301</v>
      </c>
      <c r="EC89">
        <v>1.06165899787498</v>
      </c>
      <c r="ED89">
        <v>0.96791802640333902</v>
      </c>
      <c r="EE89">
        <v>0.94851882668418996</v>
      </c>
      <c r="EF89">
        <v>0.94852055920894096</v>
      </c>
      <c r="EG89">
        <v>1.0383721921751601</v>
      </c>
      <c r="EH89">
        <v>0.99414729090588205</v>
      </c>
      <c r="EI89">
        <v>1.0558353040339601</v>
      </c>
      <c r="EJ89">
        <v>1.08030031334774</v>
      </c>
      <c r="EK89">
        <v>1.0171414700593899</v>
      </c>
      <c r="EL89">
        <v>1.0313668006132</v>
      </c>
      <c r="EM89">
        <v>1.0313224843211299</v>
      </c>
      <c r="EN89">
        <v>1.03018916555572</v>
      </c>
      <c r="EO89">
        <v>1.0388619364812599</v>
      </c>
      <c r="EP89">
        <v>1.04291393418561</v>
      </c>
      <c r="EQ89">
        <v>1.0602076011030499</v>
      </c>
      <c r="ER89">
        <v>1.0178166466485401</v>
      </c>
      <c r="ES89">
        <v>0.93315648738972701</v>
      </c>
      <c r="ET89">
        <v>1.05287373070562</v>
      </c>
      <c r="EU89">
        <v>0.99136197501602397</v>
      </c>
      <c r="EV89">
        <v>1.03831211361665</v>
      </c>
      <c r="EW89">
        <v>1.0102676352589599</v>
      </c>
      <c r="EX89">
        <v>1.00488033947374</v>
      </c>
      <c r="EY89">
        <v>0.99994171867065995</v>
      </c>
      <c r="EZ89">
        <v>1.00833223812103</v>
      </c>
      <c r="FA89">
        <v>1.04115963128142</v>
      </c>
      <c r="FB89">
        <v>1.0414927804632601</v>
      </c>
      <c r="FC89">
        <v>1.01528094862643</v>
      </c>
      <c r="FD89">
        <v>1.0205675138516399</v>
      </c>
      <c r="FE89">
        <v>1.0056414212100899</v>
      </c>
      <c r="FF89">
        <v>1.0438763881618001</v>
      </c>
      <c r="FG89">
        <v>1.0488634391709699</v>
      </c>
      <c r="FH89">
        <v>1.01236081558238</v>
      </c>
      <c r="FI89">
        <v>0.97289235819337405</v>
      </c>
      <c r="FJ89">
        <v>0.98087027573032004</v>
      </c>
      <c r="FK89">
        <v>0.99524105923197503</v>
      </c>
      <c r="FL89">
        <v>1.03146884002084</v>
      </c>
      <c r="FM89">
        <v>1.0708232178958399</v>
      </c>
      <c r="FN89">
        <v>1.0674596683853901</v>
      </c>
      <c r="FO89">
        <v>1.0648815139458201</v>
      </c>
      <c r="FP89">
        <v>1.00584751922201</v>
      </c>
      <c r="FQ89">
        <v>1.00079254439733</v>
      </c>
      <c r="FR89">
        <v>0.99856025835315898</v>
      </c>
      <c r="FS89">
        <v>0.94320614584688101</v>
      </c>
      <c r="FT89">
        <v>1.01868757720456</v>
      </c>
      <c r="FU89">
        <v>0.99368853825663395</v>
      </c>
      <c r="FV89">
        <v>0.97948087449036203</v>
      </c>
      <c r="FW89">
        <v>1.0005002092172199</v>
      </c>
      <c r="FX89">
        <v>0.97950327816449001</v>
      </c>
      <c r="FY89">
        <v>1.0127520228504101</v>
      </c>
      <c r="FZ89">
        <v>1.0741812844916701</v>
      </c>
      <c r="GA89">
        <v>1.0298463406828899</v>
      </c>
      <c r="GB89">
        <v>0.97338005691359997</v>
      </c>
      <c r="GC89">
        <v>0.979091646370292</v>
      </c>
      <c r="GD89">
        <v>1.0343936990723099</v>
      </c>
      <c r="GE89">
        <v>0.97572570534274095</v>
      </c>
      <c r="GF89">
        <v>1.01008754453878</v>
      </c>
      <c r="GG89">
        <v>0.96179404024309301</v>
      </c>
      <c r="GH89">
        <v>0.995554605774707</v>
      </c>
      <c r="GI89">
        <v>1.0450505270768</v>
      </c>
      <c r="GJ89">
        <v>0.98134731257360597</v>
      </c>
      <c r="GK89">
        <v>1.0193655308044201</v>
      </c>
      <c r="GL89">
        <v>1.00923295414948</v>
      </c>
      <c r="GM89">
        <v>1.0345087146702701</v>
      </c>
      <c r="GN89">
        <v>1.05411060829531</v>
      </c>
    </row>
    <row r="91" spans="1:196" s="26" customFormat="1" x14ac:dyDescent="0.4">
      <c r="A91" s="26" t="s">
        <v>148</v>
      </c>
    </row>
    <row r="92" spans="1:196" x14ac:dyDescent="0.4">
      <c r="A92" t="s">
        <v>5</v>
      </c>
      <c r="B92">
        <v>1.08059530779042</v>
      </c>
      <c r="C92">
        <v>0.81579509779485004</v>
      </c>
      <c r="D92">
        <v>1.1525451745203099</v>
      </c>
      <c r="E92">
        <v>1.2436316042526101</v>
      </c>
      <c r="F92">
        <v>0.87139555010793601</v>
      </c>
      <c r="G92">
        <v>0.91291872910785599</v>
      </c>
      <c r="H92">
        <v>0.92604235761022502</v>
      </c>
      <c r="I92">
        <v>0.81703010528481401</v>
      </c>
      <c r="J92">
        <v>1.28255957980642</v>
      </c>
      <c r="K92">
        <v>1.1153803801139499</v>
      </c>
      <c r="L92">
        <v>0.97165448135941701</v>
      </c>
      <c r="M92">
        <v>1.0270748616482599</v>
      </c>
      <c r="N92">
        <v>0.90671783604609901</v>
      </c>
      <c r="O92">
        <v>0.98392416368445401</v>
      </c>
      <c r="P92">
        <v>1.1836381183467399</v>
      </c>
      <c r="Q92">
        <v>1.2623455595675299</v>
      </c>
      <c r="R92">
        <v>0.95150137372994603</v>
      </c>
      <c r="S92">
        <v>1.14680085657648</v>
      </c>
      <c r="T92">
        <v>1.3158548727697501</v>
      </c>
      <c r="U92">
        <v>0.91726780086511905</v>
      </c>
      <c r="V92">
        <v>0.95224530355086001</v>
      </c>
      <c r="W92">
        <v>0.97306187638515096</v>
      </c>
      <c r="X92">
        <v>1.1731344461770801</v>
      </c>
      <c r="Y92">
        <v>0.93042121586246396</v>
      </c>
      <c r="Z92">
        <v>1.3870620035899099</v>
      </c>
      <c r="AA92">
        <v>1.1008946254668099</v>
      </c>
      <c r="AB92">
        <v>0.91787003425992097</v>
      </c>
      <c r="AC92">
        <v>0.96871919947317398</v>
      </c>
      <c r="AD92">
        <v>1.0821663558765999</v>
      </c>
      <c r="AE92">
        <v>0.81234007755460502</v>
      </c>
      <c r="AF92">
        <v>0.66533622022854499</v>
      </c>
      <c r="AG92">
        <v>1.0924407599561501</v>
      </c>
      <c r="AH92">
        <v>1.3599515224894601</v>
      </c>
      <c r="AI92">
        <v>1.0693732984961799</v>
      </c>
      <c r="AJ92">
        <v>0.94510838114751705</v>
      </c>
      <c r="AK92">
        <v>1.0271347717927499</v>
      </c>
      <c r="AL92">
        <v>1.01086873866681</v>
      </c>
      <c r="AM92">
        <v>1.03722935633792</v>
      </c>
      <c r="AN92">
        <v>1.13758868436011</v>
      </c>
      <c r="AO92">
        <v>0.96330326095581797</v>
      </c>
      <c r="AP92">
        <v>1.0384705785379</v>
      </c>
      <c r="AQ92">
        <v>1.0087483351272499</v>
      </c>
      <c r="AR92">
        <v>0.95704031832957903</v>
      </c>
      <c r="AS92">
        <v>1.1510329673792099</v>
      </c>
      <c r="AT92">
        <v>0.87493022502658302</v>
      </c>
      <c r="AU92">
        <v>1.07173096552109</v>
      </c>
      <c r="AV92">
        <v>1.1310159647289699</v>
      </c>
      <c r="AW92">
        <v>1.0943349111734699</v>
      </c>
      <c r="AX92">
        <v>1.1550512580071799</v>
      </c>
      <c r="AY92">
        <v>0.96854926475650605</v>
      </c>
      <c r="AZ92">
        <v>1.0402636251961299</v>
      </c>
      <c r="BA92">
        <v>1.05775251627376</v>
      </c>
      <c r="BB92">
        <v>1.0863735438591999</v>
      </c>
      <c r="BC92">
        <v>1.0997785251571299</v>
      </c>
      <c r="BD92">
        <v>0.97430898950662304</v>
      </c>
      <c r="BE92">
        <v>1.14023461622402</v>
      </c>
      <c r="BF92">
        <v>1.16080646362074</v>
      </c>
      <c r="BG92">
        <v>0.95044221916514404</v>
      </c>
      <c r="BH92">
        <v>0.98737666250449097</v>
      </c>
      <c r="BI92">
        <v>0.97934111806217095</v>
      </c>
      <c r="BJ92">
        <v>1.07171364613128</v>
      </c>
      <c r="BK92">
        <v>0.995002564119849</v>
      </c>
      <c r="BL92">
        <v>0.96436561272532895</v>
      </c>
      <c r="BM92">
        <v>1.03704049079689</v>
      </c>
      <c r="BN92">
        <v>1.0825215366694001</v>
      </c>
      <c r="BO92">
        <f>PRODUCT(B92:BN92)</f>
        <v>7.3117896850964055</v>
      </c>
      <c r="BP92">
        <f>AVERAGE(B92:BO92)/_xlfn.STDEV.S(B92:BN92)</f>
        <v>8.5249988153224603</v>
      </c>
      <c r="BQ92">
        <f>PRODUCT(AD92:BN92)</f>
        <v>2.7933732675878273</v>
      </c>
      <c r="BR92">
        <f>AVERAGE(AD92:BN92)/_xlfn.STDEV.S(AD92:BN92)</f>
        <v>9.1292276359636908</v>
      </c>
    </row>
    <row r="93" spans="1:196" x14ac:dyDescent="0.4">
      <c r="A93" t="s">
        <v>2</v>
      </c>
      <c r="B93">
        <v>1.07059530779042</v>
      </c>
      <c r="C93">
        <v>0.81342009779485003</v>
      </c>
      <c r="D93">
        <v>1.1503533936983901</v>
      </c>
      <c r="E93">
        <v>1.24049907413213</v>
      </c>
      <c r="F93">
        <v>0.86741595827120099</v>
      </c>
      <c r="G93">
        <v>0.91036553761849404</v>
      </c>
      <c r="H93">
        <v>0.92406433563220303</v>
      </c>
      <c r="I93">
        <v>0.81509828710299603</v>
      </c>
      <c r="J93">
        <v>1.28058427116444</v>
      </c>
      <c r="K93">
        <v>1.11302082955216</v>
      </c>
      <c r="L93">
        <v>0.96915448135941695</v>
      </c>
      <c r="M93">
        <v>1.0251360861380601</v>
      </c>
      <c r="N93">
        <v>0.903817836046099</v>
      </c>
      <c r="O93">
        <v>0.98122416368445398</v>
      </c>
      <c r="P93">
        <v>1.18133811834674</v>
      </c>
      <c r="Q93">
        <v>1.25974555956753</v>
      </c>
      <c r="R93">
        <v>0.94740137372994604</v>
      </c>
      <c r="S93">
        <v>1.14480085657648</v>
      </c>
      <c r="T93">
        <v>1.3134548727697499</v>
      </c>
      <c r="U93">
        <v>0.91376780086511999</v>
      </c>
      <c r="V93">
        <v>0.94864530355085996</v>
      </c>
      <c r="W93">
        <v>0.96976187638515099</v>
      </c>
      <c r="X93">
        <v>1.1705344461770799</v>
      </c>
      <c r="Y93">
        <v>0.92792121586246401</v>
      </c>
      <c r="Z93">
        <v>1.38416200358991</v>
      </c>
      <c r="AA93">
        <v>1.09659462546681</v>
      </c>
      <c r="AB93">
        <v>0.91467003425992099</v>
      </c>
      <c r="AC93">
        <v>0.96571919947317397</v>
      </c>
      <c r="AD93">
        <v>1.0789663558766001</v>
      </c>
      <c r="AE93">
        <v>0.80984007755460496</v>
      </c>
      <c r="AF93">
        <v>0.66163622022854496</v>
      </c>
      <c r="AG93">
        <v>1.0877407599561499</v>
      </c>
      <c r="AH93">
        <v>1.3569515224894599</v>
      </c>
      <c r="AI93">
        <v>1.0655732984961801</v>
      </c>
      <c r="AJ93">
        <v>0.94270838114751698</v>
      </c>
      <c r="AK93">
        <v>1.0252347717927499</v>
      </c>
      <c r="AL93">
        <v>1.0077687386668099</v>
      </c>
      <c r="AM93">
        <v>1.0348293563379201</v>
      </c>
      <c r="AN93">
        <v>1.13478868436011</v>
      </c>
      <c r="AO93">
        <v>0.96120326095581798</v>
      </c>
      <c r="AP93">
        <v>1.0348705785379</v>
      </c>
      <c r="AQ93">
        <v>1.00574833512725</v>
      </c>
      <c r="AR93">
        <v>0.95444031832957898</v>
      </c>
      <c r="AS93">
        <v>1.14813296737921</v>
      </c>
      <c r="AT93">
        <v>0.87163022502658305</v>
      </c>
      <c r="AU93">
        <v>1.06823096552109</v>
      </c>
      <c r="AV93">
        <v>1.1289159647289699</v>
      </c>
      <c r="AW93">
        <v>1.09123491117347</v>
      </c>
      <c r="AX93">
        <v>1.15175125800718</v>
      </c>
      <c r="AY93">
        <v>0.96524926475650596</v>
      </c>
      <c r="AZ93">
        <v>1.03756362519613</v>
      </c>
      <c r="BA93">
        <v>1.05535251627376</v>
      </c>
      <c r="BB93">
        <v>1.0827735438592001</v>
      </c>
      <c r="BC93">
        <v>1.09687852515713</v>
      </c>
      <c r="BD93">
        <v>0.97130898950662303</v>
      </c>
      <c r="BE93">
        <v>1.1367346162240199</v>
      </c>
      <c r="BF93">
        <v>1.15680646362074</v>
      </c>
      <c r="BG93">
        <v>0.94634221916514405</v>
      </c>
      <c r="BH93">
        <v>0.98397666250449101</v>
      </c>
      <c r="BI93">
        <v>0.97624111806217095</v>
      </c>
      <c r="BJ93">
        <v>1.0683136461312801</v>
      </c>
      <c r="BK93">
        <v>0.99190256411984901</v>
      </c>
      <c r="BL93">
        <v>0.96256561272532903</v>
      </c>
      <c r="BM93">
        <v>1.03444049079689</v>
      </c>
      <c r="BN93">
        <v>1.0786215366694001</v>
      </c>
      <c r="BO93">
        <f>PRODUCT(B93:BN93)</f>
        <v>6.0192654478731891</v>
      </c>
      <c r="BP93">
        <f>AVERAGE(B93:BO93)/_xlfn.STDEV.S(B93:BN93)</f>
        <v>8.3544267200906503</v>
      </c>
      <c r="BQ93">
        <f>PRODUCT(AD93:BN93)</f>
        <v>2.4986208834361801</v>
      </c>
      <c r="BR93">
        <f>AVERAGE(AD93:BN93)/_xlfn.STDEV.S(AD93:BN93)</f>
        <v>9.1063943972181498</v>
      </c>
    </row>
    <row r="94" spans="1:196" x14ac:dyDescent="0.4">
      <c r="A94" t="s">
        <v>101</v>
      </c>
      <c r="B94">
        <v>0.88739310266275195</v>
      </c>
      <c r="C94">
        <v>1.0889810747914499</v>
      </c>
      <c r="D94">
        <v>1.11821855991818</v>
      </c>
      <c r="E94">
        <v>0.99999088738654596</v>
      </c>
      <c r="F94">
        <v>0.857116821525855</v>
      </c>
      <c r="G94">
        <v>0.95179853130833503</v>
      </c>
      <c r="H94">
        <v>0.88524394510193105</v>
      </c>
      <c r="I94">
        <v>1.11616611066257</v>
      </c>
      <c r="J94">
        <v>1.1664500863386</v>
      </c>
      <c r="K94">
        <v>1.0373847841884101</v>
      </c>
      <c r="L94">
        <v>1.1196477850645801</v>
      </c>
      <c r="M94">
        <v>1.0707065295957701</v>
      </c>
      <c r="N94">
        <v>1.1698656517641</v>
      </c>
      <c r="O94">
        <v>0.82521354068337205</v>
      </c>
      <c r="P94">
        <v>0.90263673111573695</v>
      </c>
      <c r="Q94">
        <v>0.89032358165900505</v>
      </c>
      <c r="R94">
        <v>0.97543621499539301</v>
      </c>
      <c r="S94">
        <v>1.0512000306579099</v>
      </c>
      <c r="T94">
        <v>0.80669558187375301</v>
      </c>
      <c r="U94">
        <v>1.0570869375955001</v>
      </c>
      <c r="V94">
        <v>1.0859515943914599</v>
      </c>
      <c r="W94">
        <v>0.84690229495184099</v>
      </c>
      <c r="X94">
        <v>0.959696316405099</v>
      </c>
      <c r="Y94">
        <v>1.00524268567981</v>
      </c>
      <c r="Z94">
        <v>0.95149736062226897</v>
      </c>
      <c r="AA94">
        <v>1.15041651104855</v>
      </c>
      <c r="AB94">
        <v>1.17169575039291</v>
      </c>
      <c r="AC94">
        <v>1.03989920586059</v>
      </c>
      <c r="AD94">
        <v>0.98832752094716303</v>
      </c>
      <c r="AE94">
        <v>1.08525267605592</v>
      </c>
      <c r="AF94">
        <v>0.88912073311813999</v>
      </c>
      <c r="AG94">
        <v>1.06318803534591</v>
      </c>
      <c r="AH94">
        <v>1.02787674339308</v>
      </c>
      <c r="AI94">
        <v>1.03557608291587</v>
      </c>
      <c r="AJ94">
        <v>0.98970442292600003</v>
      </c>
      <c r="AK94">
        <v>1.0021081101693801</v>
      </c>
      <c r="AL94">
        <v>1.0069146079359499</v>
      </c>
      <c r="AM94">
        <v>1.0398353581302999</v>
      </c>
      <c r="AN94">
        <v>0.86599410644452002</v>
      </c>
      <c r="AO94">
        <v>0.98883212404654897</v>
      </c>
      <c r="AP94">
        <v>0.88730507766122202</v>
      </c>
      <c r="AQ94">
        <v>1.1214143073843399</v>
      </c>
      <c r="AR94">
        <v>1.0701731252048401</v>
      </c>
      <c r="AS94">
        <v>1.0144571345264399</v>
      </c>
      <c r="AT94">
        <v>1.09026281867732</v>
      </c>
      <c r="AU94">
        <v>0.99981486575582101</v>
      </c>
      <c r="AV94">
        <v>1.1059743450751001</v>
      </c>
      <c r="AW94">
        <v>1.14159909030021</v>
      </c>
      <c r="AX94">
        <v>0.955834666507965</v>
      </c>
      <c r="AY94">
        <v>0.939320380059395</v>
      </c>
      <c r="AZ94">
        <v>1.0597731126260499</v>
      </c>
      <c r="BA94">
        <v>1.11531859466771</v>
      </c>
      <c r="BB94">
        <v>1.05844681158929</v>
      </c>
      <c r="BC94">
        <v>0.97144904753679295</v>
      </c>
      <c r="BD94">
        <v>1.1584501527355799</v>
      </c>
      <c r="BE94">
        <v>1.0257257631588499</v>
      </c>
      <c r="BF94">
        <v>1.1073868908618301</v>
      </c>
      <c r="BG94">
        <v>0.98397048689078603</v>
      </c>
      <c r="BH94">
        <v>0.96095638348300705</v>
      </c>
      <c r="BI94">
        <v>0.97008636424269101</v>
      </c>
      <c r="BJ94">
        <v>0.99309512537627598</v>
      </c>
      <c r="BK94">
        <v>1.04465620484014</v>
      </c>
      <c r="BL94">
        <v>0.91787724007513305</v>
      </c>
      <c r="BM94">
        <v>0.95319062125202603</v>
      </c>
      <c r="BN94">
        <v>0.97600327728080405</v>
      </c>
      <c r="BO94">
        <v>1.0459463799426101</v>
      </c>
      <c r="BP94">
        <v>1.04012425418715</v>
      </c>
      <c r="BQ94">
        <v>1.01243820008347</v>
      </c>
      <c r="BR94">
        <v>1.1140226997549301</v>
      </c>
      <c r="BS94">
        <v>0.98674340075839595</v>
      </c>
      <c r="BT94">
        <v>0.93127150798762204</v>
      </c>
      <c r="BU94">
        <v>1.01250938688855</v>
      </c>
      <c r="BV94">
        <v>1.0684308548568799</v>
      </c>
      <c r="BW94">
        <v>1.0957589993297501</v>
      </c>
      <c r="BX94">
        <v>1.18477097889727</v>
      </c>
      <c r="BY94">
        <v>1.0430378475139901</v>
      </c>
      <c r="BZ94">
        <v>1.11958580291738</v>
      </c>
      <c r="CA94">
        <v>0.94273211372416599</v>
      </c>
      <c r="CB94">
        <v>1.03112261793464</v>
      </c>
      <c r="CC94">
        <v>0.95911447568048402</v>
      </c>
      <c r="CD94">
        <v>0.92811209550523499</v>
      </c>
      <c r="CE94">
        <v>1.02670174937236</v>
      </c>
      <c r="CF94">
        <v>0.89977759927358203</v>
      </c>
      <c r="CG94">
        <v>1.0486207046484399</v>
      </c>
      <c r="CH94">
        <v>0.97578514019090301</v>
      </c>
      <c r="CI94">
        <v>1.04594689403567</v>
      </c>
      <c r="CJ94">
        <v>1.060303495151</v>
      </c>
      <c r="CK94">
        <v>0.94460793903050999</v>
      </c>
      <c r="CL94">
        <v>0.91721256442358101</v>
      </c>
      <c r="CM94">
        <v>0.93759718224321997</v>
      </c>
      <c r="CN94">
        <v>0.95803892606991203</v>
      </c>
      <c r="CO94">
        <v>0.68821745646668597</v>
      </c>
      <c r="CP94">
        <v>1.0090956341210999</v>
      </c>
      <c r="CQ94">
        <v>1.07175355468926</v>
      </c>
      <c r="CR94">
        <v>1.0374488572907301</v>
      </c>
      <c r="CS94">
        <v>0.98250838717081002</v>
      </c>
      <c r="CT94">
        <v>1.14304335297691</v>
      </c>
      <c r="CU94">
        <v>1.180428880999</v>
      </c>
      <c r="CV94">
        <v>1.00790801423008</v>
      </c>
      <c r="CW94">
        <v>0.97883716796321596</v>
      </c>
      <c r="CX94">
        <v>1.0453124018993001</v>
      </c>
      <c r="CY94">
        <v>1.0451359365302699</v>
      </c>
      <c r="CZ94">
        <v>0.99334032303706499</v>
      </c>
      <c r="DA94">
        <v>0.96912500410928104</v>
      </c>
      <c r="DB94">
        <v>0.98175642092930604</v>
      </c>
      <c r="DC94">
        <v>1.0965494174560499</v>
      </c>
      <c r="DD94">
        <v>0.94048840314654802</v>
      </c>
      <c r="DE94">
        <v>0.99596890234864999</v>
      </c>
      <c r="DF94">
        <v>1.0510373550857499</v>
      </c>
      <c r="DG94">
        <v>1.0160493375618</v>
      </c>
      <c r="DH94">
        <v>0.94658979352598904</v>
      </c>
      <c r="DI94">
        <v>1.04648598162311</v>
      </c>
      <c r="DJ94">
        <v>0.99208390396414603</v>
      </c>
      <c r="DK94">
        <v>0.99906324409897596</v>
      </c>
      <c r="DL94">
        <v>1.07492190302517</v>
      </c>
      <c r="DM94">
        <v>1.08956717598171</v>
      </c>
      <c r="DN94">
        <v>0.97130212708360997</v>
      </c>
      <c r="DO94">
        <v>1.03474598026376</v>
      </c>
      <c r="DP94">
        <v>0.99764949522934698</v>
      </c>
      <c r="DQ94">
        <v>0.93314964537206802</v>
      </c>
      <c r="DR94">
        <v>1.06490099475961</v>
      </c>
      <c r="DS94">
        <v>1.0128065554757999</v>
      </c>
      <c r="DT94">
        <v>0.96284961348689502</v>
      </c>
      <c r="DU94">
        <v>1.00674104819988</v>
      </c>
      <c r="DV94">
        <v>1.0970275315923901</v>
      </c>
      <c r="DW94">
        <v>0.91337164971495599</v>
      </c>
      <c r="DX94">
        <v>0.89507172247151401</v>
      </c>
      <c r="DY94">
        <v>1.0650415572226899</v>
      </c>
      <c r="DZ94">
        <v>1.00393557342109</v>
      </c>
      <c r="EA94">
        <v>1.02837621198806</v>
      </c>
      <c r="EB94">
        <v>1.06462439266127</v>
      </c>
      <c r="EC94">
        <v>1.0513306553559201</v>
      </c>
      <c r="ED94">
        <v>0.96515660928621805</v>
      </c>
      <c r="EE94">
        <v>0.95769052844629798</v>
      </c>
      <c r="EF94">
        <v>0.94656499223072199</v>
      </c>
      <c r="EG94">
        <v>1.0268903217488199</v>
      </c>
      <c r="EH94">
        <v>0.986558747267689</v>
      </c>
      <c r="EI94">
        <v>1.0578857488859601</v>
      </c>
      <c r="EJ94">
        <v>1.07978274526162</v>
      </c>
      <c r="EK94">
        <v>1.0153328930696199</v>
      </c>
      <c r="EL94">
        <v>1.0316298408036599</v>
      </c>
      <c r="EM94">
        <v>1.01897220307631</v>
      </c>
      <c r="EN94">
        <v>1.0318147678523799</v>
      </c>
      <c r="EO94">
        <v>1.04084528181001</v>
      </c>
      <c r="EP94">
        <v>1.0613619691321601</v>
      </c>
      <c r="EQ94">
        <v>1.0758381780588899</v>
      </c>
      <c r="ER94">
        <v>1.01155798729858</v>
      </c>
      <c r="ES94">
        <v>0.93657967384332097</v>
      </c>
      <c r="ET94">
        <v>1.05769796396967</v>
      </c>
      <c r="EU94">
        <v>0.97772184622413205</v>
      </c>
      <c r="EV94">
        <v>1.03439794057159</v>
      </c>
      <c r="EW94">
        <v>1.00919027186043</v>
      </c>
      <c r="EX94">
        <v>0.99651240681193098</v>
      </c>
      <c r="EY94">
        <v>0.98895565996163304</v>
      </c>
      <c r="EZ94">
        <v>1.0160591699961601</v>
      </c>
      <c r="FA94">
        <v>1.05266030675276</v>
      </c>
      <c r="FB94">
        <v>1.0442943979703201</v>
      </c>
      <c r="FC94">
        <v>1.02343323535688</v>
      </c>
      <c r="FD94">
        <v>1.0164750339755999</v>
      </c>
      <c r="FE94">
        <v>1.00718981803923</v>
      </c>
      <c r="FF94">
        <v>1.0442853294149499</v>
      </c>
      <c r="FG94">
        <v>1.0456220464566699</v>
      </c>
      <c r="FH94">
        <v>1.02836243371023</v>
      </c>
      <c r="FI94">
        <v>0.97176805410205103</v>
      </c>
      <c r="FJ94">
        <v>0.97496244724701497</v>
      </c>
      <c r="FK94">
        <v>1.0049197505638401</v>
      </c>
      <c r="FL94">
        <v>1.0490258851654</v>
      </c>
      <c r="FM94">
        <v>1.08162479633592</v>
      </c>
      <c r="FN94">
        <v>1.0694834212390301</v>
      </c>
      <c r="FO94">
        <v>1.05670238554297</v>
      </c>
      <c r="FP94">
        <v>1.0271481142082499</v>
      </c>
      <c r="FQ94">
        <v>1.0164404421870601</v>
      </c>
      <c r="FR94">
        <v>1.0000852809843599</v>
      </c>
      <c r="FS94">
        <v>0.93498953011359798</v>
      </c>
      <c r="FT94">
        <v>1.0236336270204101</v>
      </c>
      <c r="FU94">
        <v>0.98896851934496</v>
      </c>
      <c r="FV94">
        <v>0.97533957500802604</v>
      </c>
      <c r="FW94">
        <v>1.00068097981093</v>
      </c>
      <c r="FX94">
        <v>0.96980188948870705</v>
      </c>
      <c r="FY94">
        <v>1.00914905506417</v>
      </c>
      <c r="FZ94">
        <v>1.06552314631956</v>
      </c>
      <c r="GA94">
        <v>1.0224948045831399</v>
      </c>
      <c r="GB94">
        <v>0.98368208570517202</v>
      </c>
      <c r="GC94">
        <v>0.97992700424811396</v>
      </c>
      <c r="GD94">
        <v>1.0396134299868001</v>
      </c>
      <c r="GE94">
        <v>0.976694164371955</v>
      </c>
      <c r="GF94">
        <v>1.0051554170293799</v>
      </c>
      <c r="GG94">
        <v>0.95960780246518296</v>
      </c>
      <c r="GH94">
        <v>0.99980367304096696</v>
      </c>
      <c r="GI94">
        <v>1.04795858939987</v>
      </c>
      <c r="GJ94">
        <v>0.97814097542043599</v>
      </c>
      <c r="GK94">
        <v>1.0116962484705501</v>
      </c>
      <c r="GL94">
        <v>1.0072111886692099</v>
      </c>
      <c r="GM94">
        <v>1.0312181129372899</v>
      </c>
      <c r="GN94">
        <v>1.04223456277722</v>
      </c>
    </row>
    <row r="96" spans="1:196" s="27" customFormat="1" x14ac:dyDescent="0.4">
      <c r="A96" s="27" t="s">
        <v>149</v>
      </c>
    </row>
    <row r="97" spans="1:196" x14ac:dyDescent="0.4">
      <c r="A97" t="s">
        <v>5</v>
      </c>
      <c r="B97">
        <v>1.14742608454656</v>
      </c>
      <c r="C97">
        <v>0.89530759703573404</v>
      </c>
      <c r="D97">
        <v>1.3344150116484801</v>
      </c>
      <c r="E97">
        <v>1.3567859272423399</v>
      </c>
      <c r="F97">
        <v>0.98888269050455702</v>
      </c>
      <c r="G97">
        <v>0.94850458576989205</v>
      </c>
      <c r="H97">
        <v>0.97326362914382503</v>
      </c>
      <c r="I97">
        <v>0.834401145234828</v>
      </c>
      <c r="J97">
        <v>1.14111071834422</v>
      </c>
      <c r="K97">
        <v>1.2491191473523899</v>
      </c>
      <c r="L97">
        <v>1.04478722096358</v>
      </c>
      <c r="M97">
        <v>1.0969817004820599</v>
      </c>
      <c r="N97">
        <v>0.91813077540078303</v>
      </c>
      <c r="O97">
        <v>1.05299740972713</v>
      </c>
      <c r="P97">
        <v>1.1451569121203899</v>
      </c>
      <c r="Q97">
        <v>1.19323450200293</v>
      </c>
      <c r="R97">
        <v>0.94906722291037704</v>
      </c>
      <c r="S97">
        <v>1.1308006053989099</v>
      </c>
      <c r="T97">
        <v>1.2436069247593899</v>
      </c>
      <c r="U97">
        <v>1.0609352987295699</v>
      </c>
      <c r="V97">
        <v>0.97958346694551601</v>
      </c>
      <c r="W97">
        <v>1.03924250206418</v>
      </c>
      <c r="X97">
        <v>1.09812819679594</v>
      </c>
      <c r="Y97">
        <v>0.98940568008295704</v>
      </c>
      <c r="Z97">
        <v>1.24995818806546</v>
      </c>
      <c r="AA97">
        <v>1.12812682491228</v>
      </c>
      <c r="AB97">
        <v>1.01245919515964</v>
      </c>
      <c r="AC97">
        <v>0.89800815314992299</v>
      </c>
      <c r="AD97">
        <v>1.061555290619</v>
      </c>
      <c r="AE97">
        <v>0.79168838738317604</v>
      </c>
      <c r="AF97">
        <v>0.68441725360538197</v>
      </c>
      <c r="AG97">
        <v>1.0193002430065501</v>
      </c>
      <c r="AH97">
        <v>1.4447325161326301</v>
      </c>
      <c r="AI97">
        <v>1.1128712102835601</v>
      </c>
      <c r="AJ97">
        <v>0.98830486693602604</v>
      </c>
      <c r="AK97">
        <v>1.0413530099675301</v>
      </c>
      <c r="AL97">
        <v>1.02592274373616</v>
      </c>
      <c r="AM97">
        <v>1.1274657769058001</v>
      </c>
      <c r="AN97">
        <v>1.10843840976585</v>
      </c>
      <c r="AO97">
        <v>1.0022319066993901</v>
      </c>
      <c r="AP97">
        <v>1.1048215266433601</v>
      </c>
      <c r="AQ97">
        <v>0.88284948842791999</v>
      </c>
      <c r="AR97">
        <v>0.93169126024534099</v>
      </c>
      <c r="AS97">
        <v>1.12620814516043</v>
      </c>
      <c r="AT97">
        <v>0.87888508091691597</v>
      </c>
      <c r="AU97">
        <v>1.0653156540434601</v>
      </c>
      <c r="AV97">
        <v>0.98645551221010397</v>
      </c>
      <c r="AW97">
        <v>1.05951279150783</v>
      </c>
      <c r="AX97">
        <v>0.97163269094557003</v>
      </c>
      <c r="AY97">
        <v>1.00617711779448</v>
      </c>
      <c r="AZ97">
        <v>1.06991101734855</v>
      </c>
      <c r="BA97">
        <v>0.98502447352363098</v>
      </c>
      <c r="BB97">
        <v>0.99947862752383299</v>
      </c>
      <c r="BC97">
        <v>1.09457488644662</v>
      </c>
      <c r="BD97">
        <v>0.93480386284480999</v>
      </c>
      <c r="BE97">
        <v>0.97790606646795297</v>
      </c>
      <c r="BF97">
        <v>1.06862100731057</v>
      </c>
      <c r="BG97">
        <v>0.91358614743477196</v>
      </c>
      <c r="BH97">
        <v>1.03225393207185</v>
      </c>
      <c r="BI97">
        <v>0.98306302228473497</v>
      </c>
      <c r="BJ97">
        <v>1.0432774106059399</v>
      </c>
      <c r="BK97">
        <v>0.97917809640397102</v>
      </c>
      <c r="BL97">
        <v>0.96761186796467402</v>
      </c>
      <c r="BM97">
        <v>1.0646276404347499</v>
      </c>
      <c r="BN97">
        <v>1.13746445971959</v>
      </c>
      <c r="BO97">
        <f>PRODUCT(B97:BN97)</f>
        <v>9.3663913471824198</v>
      </c>
      <c r="BP97">
        <f>AVERAGE(B97:BO97)/_xlfn.STDEV.S(B97:BN97)</f>
        <v>9.1449811230706057</v>
      </c>
      <c r="BQ97">
        <f>PRODUCT(AD97:BN97)</f>
        <v>1.5256323348686716</v>
      </c>
      <c r="BR97">
        <f>AVERAGE(AD97:BN97)/_xlfn.STDEV.S(AD97:BN97)</f>
        <v>8.6096540708688405</v>
      </c>
    </row>
    <row r="98" spans="1:196" x14ac:dyDescent="0.4">
      <c r="A98" t="s">
        <v>2</v>
      </c>
      <c r="B98">
        <v>1.13742608454656</v>
      </c>
      <c r="C98">
        <v>0.89439850612664296</v>
      </c>
      <c r="D98">
        <v>1.33403039626386</v>
      </c>
      <c r="E98">
        <v>1.3555131999696099</v>
      </c>
      <c r="F98">
        <v>0.98747918173262705</v>
      </c>
      <c r="G98">
        <v>0.94745195419094497</v>
      </c>
      <c r="H98">
        <v>0.97241617151670601</v>
      </c>
      <c r="I98">
        <v>0.83385569068937304</v>
      </c>
      <c r="J98">
        <v>1.13857103580454</v>
      </c>
      <c r="K98">
        <v>1.24800803624128</v>
      </c>
      <c r="L98">
        <v>1.04294106711743</v>
      </c>
      <c r="M98">
        <v>1.0958705893709499</v>
      </c>
      <c r="N98">
        <v>0.91606728333729104</v>
      </c>
      <c r="O98">
        <v>1.0518307430604601</v>
      </c>
      <c r="P98">
        <v>1.1431872151506901</v>
      </c>
      <c r="Q98">
        <v>1.19200373277216</v>
      </c>
      <c r="R98">
        <v>0.94757468559694402</v>
      </c>
      <c r="S98">
        <v>1.13004302964134</v>
      </c>
      <c r="T98">
        <v>1.2424128949086399</v>
      </c>
      <c r="U98">
        <v>1.0603292381235101</v>
      </c>
      <c r="V98">
        <v>0.97811287871022201</v>
      </c>
      <c r="W98">
        <v>1.0388139306356099</v>
      </c>
      <c r="X98">
        <v>1.09671974609172</v>
      </c>
      <c r="Y98">
        <v>0.98885012452740095</v>
      </c>
      <c r="Z98">
        <v>1.2486068367141101</v>
      </c>
      <c r="AA98">
        <v>1.1267344198489899</v>
      </c>
      <c r="AB98">
        <v>1.0120794483241899</v>
      </c>
      <c r="AC98">
        <v>0.89750815314992305</v>
      </c>
      <c r="AD98">
        <v>1.061180290619</v>
      </c>
      <c r="AE98">
        <v>0.79029598231988496</v>
      </c>
      <c r="AF98">
        <v>0.68376790295603096</v>
      </c>
      <c r="AG98">
        <v>1.0185107693223401</v>
      </c>
      <c r="AH98">
        <v>1.4440996047402199</v>
      </c>
      <c r="AI98">
        <v>1.1108199282322799</v>
      </c>
      <c r="AJ98">
        <v>0.987778551146552</v>
      </c>
      <c r="AK98">
        <v>1.04082669417806</v>
      </c>
      <c r="AL98">
        <v>1.02552274373616</v>
      </c>
      <c r="AM98">
        <v>1.12584415528418</v>
      </c>
      <c r="AN98">
        <v>1.1075050764325201</v>
      </c>
      <c r="AO98">
        <v>1.00129857336605</v>
      </c>
      <c r="AP98">
        <v>1.1042735814378799</v>
      </c>
      <c r="AQ98">
        <v>0.88082417197222396</v>
      </c>
      <c r="AR98">
        <v>0.93094126024534096</v>
      </c>
      <c r="AS98">
        <v>1.12581340831833</v>
      </c>
      <c r="AT98">
        <v>0.877832449337968</v>
      </c>
      <c r="AU98">
        <v>1.0633156540434601</v>
      </c>
      <c r="AV98">
        <v>0.98591497166956299</v>
      </c>
      <c r="AW98">
        <v>1.05910738610243</v>
      </c>
      <c r="AX98">
        <v>0.97066046872334799</v>
      </c>
      <c r="AY98">
        <v>1.0048914035087599</v>
      </c>
      <c r="AZ98">
        <v>1.0689251018555901</v>
      </c>
      <c r="BA98">
        <v>0.98402447352363098</v>
      </c>
      <c r="BB98">
        <v>0.99875398984267405</v>
      </c>
      <c r="BC98">
        <v>1.09257488644662</v>
      </c>
      <c r="BD98">
        <v>0.93381794735185297</v>
      </c>
      <c r="BE98">
        <v>0.97761621139549004</v>
      </c>
      <c r="BF98">
        <v>1.0676350918176201</v>
      </c>
      <c r="BG98">
        <v>0.91219725854588296</v>
      </c>
      <c r="BH98">
        <v>1.031569000565</v>
      </c>
      <c r="BI98">
        <v>0.98236857784029097</v>
      </c>
      <c r="BJ98">
        <v>1.0429996328281601</v>
      </c>
      <c r="BK98">
        <v>0.97697030419617903</v>
      </c>
      <c r="BL98">
        <v>0.96748028901730598</v>
      </c>
      <c r="BM98">
        <v>1.0644887515458601</v>
      </c>
      <c r="BN98">
        <v>1.1369089041640399</v>
      </c>
      <c r="BO98">
        <f>PRODUCT(B98:BN98)</f>
        <v>8.7175936176196362</v>
      </c>
      <c r="BP98">
        <f>AVERAGE(B98:BO98)/_xlfn.STDEV.S(B98:BN98)</f>
        <v>9.0687955298208536</v>
      </c>
      <c r="BQ98">
        <f>PRODUCT(AD98:BN98)</f>
        <v>1.4747270461029338</v>
      </c>
      <c r="BR98">
        <f>AVERAGE(AD98:BN98)/_xlfn.STDEV.S(AD98:BN98)</f>
        <v>8.5979311502534852</v>
      </c>
    </row>
    <row r="99" spans="1:196" x14ac:dyDescent="0.4">
      <c r="A99" t="s">
        <v>101</v>
      </c>
      <c r="B99">
        <v>0.89317525803751896</v>
      </c>
      <c r="C99">
        <v>1.0880381170278399</v>
      </c>
      <c r="D99">
        <v>1.1807118560777701</v>
      </c>
      <c r="E99">
        <v>1.0049449433752899</v>
      </c>
      <c r="F99">
        <v>0.87340173932633403</v>
      </c>
      <c r="G99">
        <v>1.02003705317255</v>
      </c>
      <c r="H99">
        <v>0.93246315110897604</v>
      </c>
      <c r="I99">
        <v>1.1159390380846199</v>
      </c>
      <c r="J99">
        <v>1.28238600571901</v>
      </c>
      <c r="K99">
        <v>1.0751375962460701</v>
      </c>
      <c r="L99">
        <v>1.1498391894159801</v>
      </c>
      <c r="M99">
        <v>1.0975142684820001</v>
      </c>
      <c r="N99">
        <v>1.1862660233284299</v>
      </c>
      <c r="O99">
        <v>0.88960371956996398</v>
      </c>
      <c r="P99">
        <v>0.93705718125301096</v>
      </c>
      <c r="Q99">
        <v>0.925444065577813</v>
      </c>
      <c r="R99">
        <v>0.99229251045686495</v>
      </c>
      <c r="S99">
        <v>1.0328792354412599</v>
      </c>
      <c r="T99">
        <v>0.867058325103509</v>
      </c>
      <c r="U99">
        <v>1.0230814227982601</v>
      </c>
      <c r="V99">
        <v>1.09716509558897</v>
      </c>
      <c r="W99">
        <v>0.87350834174980996</v>
      </c>
      <c r="X99">
        <v>0.95021373412190502</v>
      </c>
      <c r="Y99">
        <v>1.0052788174057901</v>
      </c>
      <c r="Z99">
        <v>0.89707132785493104</v>
      </c>
      <c r="AA99">
        <v>1.1631060548604599</v>
      </c>
      <c r="AB99">
        <v>1.09365789418684</v>
      </c>
      <c r="AC99">
        <v>1.0615629836326199</v>
      </c>
      <c r="AD99">
        <v>1.0470964571867201</v>
      </c>
      <c r="AE99">
        <v>1.12375440980153</v>
      </c>
      <c r="AF99">
        <v>0.91075448299540396</v>
      </c>
      <c r="AG99">
        <v>1.10558871534459</v>
      </c>
      <c r="AH99">
        <v>1.0376071055004299</v>
      </c>
      <c r="AI99">
        <v>1.0346209509925699</v>
      </c>
      <c r="AJ99">
        <v>1.01885820249382</v>
      </c>
      <c r="AK99">
        <v>1.04064923213427</v>
      </c>
      <c r="AL99">
        <v>0.99988320858289503</v>
      </c>
      <c r="AM99">
        <v>1.0083501518550599</v>
      </c>
      <c r="AN99">
        <v>0.91063408482740804</v>
      </c>
      <c r="AO99">
        <v>1.00591657437537</v>
      </c>
      <c r="AP99">
        <v>0.96253435678486998</v>
      </c>
      <c r="AQ99">
        <v>1.0875496641962501</v>
      </c>
      <c r="AR99">
        <v>1.0510833773916699</v>
      </c>
      <c r="AS99">
        <v>1.0121778589221599</v>
      </c>
      <c r="AT99">
        <v>1.07639332991346</v>
      </c>
      <c r="AU99">
        <v>1.02749793302224</v>
      </c>
      <c r="AV99">
        <v>1.04146231217886</v>
      </c>
      <c r="AW99">
        <v>1.1150678310331501</v>
      </c>
      <c r="AX99">
        <v>0.96270056295204898</v>
      </c>
      <c r="AY99">
        <v>0.93357385534262405</v>
      </c>
      <c r="AZ99">
        <v>1.05598334418685</v>
      </c>
      <c r="BA99">
        <v>1.05025611640128</v>
      </c>
      <c r="BB99">
        <v>1.0823380036321599</v>
      </c>
      <c r="BC99">
        <v>0.99478196939643104</v>
      </c>
      <c r="BD99">
        <v>1.1508726343774001</v>
      </c>
      <c r="BE99">
        <v>0.95039158049238504</v>
      </c>
      <c r="BF99">
        <v>1.13698121115494</v>
      </c>
      <c r="BG99">
        <v>1.0604398545770799</v>
      </c>
      <c r="BH99">
        <v>1.01148886930823</v>
      </c>
      <c r="BI99">
        <v>0.98910352514062405</v>
      </c>
      <c r="BJ99">
        <v>1.0090658477611001</v>
      </c>
      <c r="BK99">
        <v>1.05039783548209</v>
      </c>
      <c r="BL99">
        <v>0.92420458972147701</v>
      </c>
      <c r="BM99">
        <v>0.98642057670239203</v>
      </c>
      <c r="BN99">
        <v>0.99519376277593596</v>
      </c>
      <c r="BO99">
        <v>1.0586371524263101</v>
      </c>
      <c r="BP99">
        <v>1.02282930339971</v>
      </c>
      <c r="BQ99">
        <v>1.0127742789843901</v>
      </c>
      <c r="BR99">
        <v>1.0600765269536101</v>
      </c>
      <c r="BS99">
        <v>1.0026347092338801</v>
      </c>
      <c r="BT99">
        <v>0.93234236955638505</v>
      </c>
      <c r="BU99">
        <v>1.0584156272693199</v>
      </c>
      <c r="BV99">
        <v>1.0354348907875901</v>
      </c>
      <c r="BW99">
        <v>1.0735037734428301</v>
      </c>
      <c r="BX99">
        <v>1.1245250008082499</v>
      </c>
      <c r="BY99">
        <v>1.0286067333840601</v>
      </c>
      <c r="BZ99">
        <v>1.1253247397883701</v>
      </c>
      <c r="CA99">
        <v>0.97460962584798305</v>
      </c>
      <c r="CB99">
        <v>1.0334329037477601</v>
      </c>
      <c r="CC99">
        <v>1.08597082395463</v>
      </c>
      <c r="CD99">
        <v>0.90214653714320103</v>
      </c>
      <c r="CE99">
        <v>1.01363407958343</v>
      </c>
      <c r="CF99">
        <v>0.83397637394829904</v>
      </c>
      <c r="CG99">
        <v>1.0622954677607901</v>
      </c>
      <c r="CH99">
        <v>0.99626178636073104</v>
      </c>
      <c r="CI99">
        <v>1.0606825895238701</v>
      </c>
      <c r="CJ99">
        <v>1.0045781006507899</v>
      </c>
      <c r="CK99">
        <v>0.90163367864113197</v>
      </c>
      <c r="CL99">
        <v>0.96001107036477995</v>
      </c>
      <c r="CM99">
        <v>0.91463519311419905</v>
      </c>
      <c r="CN99">
        <v>0.984974410206086</v>
      </c>
      <c r="CO99">
        <v>0.71270401875805001</v>
      </c>
      <c r="CP99">
        <v>0.97495999059776695</v>
      </c>
      <c r="CQ99">
        <v>1.0793973355705599</v>
      </c>
      <c r="CR99">
        <v>1.0662560140896999</v>
      </c>
      <c r="CS99">
        <v>0.88564421929019999</v>
      </c>
      <c r="CT99">
        <v>1.17097688155516</v>
      </c>
      <c r="CU99">
        <v>1.2068735778872</v>
      </c>
      <c r="CV99">
        <v>1.0222976138614199</v>
      </c>
      <c r="CW99">
        <v>0.99750558352843699</v>
      </c>
      <c r="CX99">
        <v>1.09495375675401</v>
      </c>
      <c r="CY99">
        <v>1.0189052363226201</v>
      </c>
      <c r="CZ99">
        <v>1.0548732209104901</v>
      </c>
      <c r="DA99">
        <v>0.95036788218652202</v>
      </c>
      <c r="DB99">
        <v>0.98582293060412296</v>
      </c>
      <c r="DC99">
        <v>1.0707404492608601</v>
      </c>
      <c r="DD99">
        <v>0.96188126401409502</v>
      </c>
      <c r="DE99">
        <v>1.01109578973237</v>
      </c>
      <c r="DF99">
        <v>1.06546191658544</v>
      </c>
      <c r="DG99">
        <v>1.02015544559933</v>
      </c>
      <c r="DH99">
        <v>0.94386607033776804</v>
      </c>
      <c r="DI99">
        <v>1.05989360082546</v>
      </c>
      <c r="DJ99">
        <v>1.04153273794543</v>
      </c>
      <c r="DK99">
        <v>1.0213349005285699</v>
      </c>
      <c r="DL99">
        <v>1.1000015266098799</v>
      </c>
      <c r="DM99">
        <v>0.99253201898145904</v>
      </c>
      <c r="DN99">
        <v>1.0152517640365399</v>
      </c>
      <c r="DO99">
        <v>1.07614165467246</v>
      </c>
      <c r="DP99">
        <v>1.0094799564871</v>
      </c>
      <c r="DQ99">
        <v>0.92257372608532096</v>
      </c>
      <c r="DR99">
        <v>1.09914102628843</v>
      </c>
      <c r="DS99">
        <v>1.0411556737669101</v>
      </c>
      <c r="DT99">
        <v>0.965434999080242</v>
      </c>
      <c r="DU99">
        <v>0.995611953867371</v>
      </c>
      <c r="DV99">
        <v>1.0105644910626499</v>
      </c>
      <c r="DW99">
        <v>0.87747051741620896</v>
      </c>
      <c r="DX99">
        <v>0.89806304105450696</v>
      </c>
      <c r="DY99">
        <v>1.0814826523021099</v>
      </c>
      <c r="DZ99">
        <v>0.95928055307244997</v>
      </c>
      <c r="EA99">
        <v>0.98220680514655201</v>
      </c>
      <c r="EB99">
        <v>1.0981609747882699</v>
      </c>
      <c r="EC99">
        <v>1.04411832749571</v>
      </c>
      <c r="ED99">
        <v>0.97912678947188103</v>
      </c>
      <c r="EE99">
        <v>0.94633369001871204</v>
      </c>
      <c r="EF99">
        <v>0.94852516524032904</v>
      </c>
      <c r="EG99">
        <v>1.02225859028514</v>
      </c>
      <c r="EH99">
        <v>1.00620322203626</v>
      </c>
      <c r="EI99">
        <v>1.0356948967209301</v>
      </c>
      <c r="EJ99">
        <v>1.03874640797332</v>
      </c>
      <c r="EK99">
        <v>0.94740967576748902</v>
      </c>
      <c r="EL99">
        <v>1.0023748307451501</v>
      </c>
      <c r="EM99">
        <v>1.04254916030042</v>
      </c>
      <c r="EN99">
        <v>0.99303966654767195</v>
      </c>
      <c r="EO99">
        <v>1.0233944677612199</v>
      </c>
      <c r="EP99">
        <v>0.97864471624118399</v>
      </c>
      <c r="EQ99">
        <v>0.96456326167943995</v>
      </c>
      <c r="ER99">
        <v>1.0293103653814499</v>
      </c>
      <c r="ES99">
        <v>0.94538702031678601</v>
      </c>
      <c r="ET99">
        <v>1.05359370377067</v>
      </c>
      <c r="EU99">
        <v>1.0101634122954699</v>
      </c>
      <c r="EV99">
        <v>1.05359133975143</v>
      </c>
      <c r="EW99">
        <v>1.01075840336629</v>
      </c>
      <c r="EX99">
        <v>1.00468080934719</v>
      </c>
      <c r="EY99">
        <v>1.0023737883324599</v>
      </c>
      <c r="EZ99">
        <v>0.96929276651949203</v>
      </c>
      <c r="FA99">
        <v>1.01382348574746</v>
      </c>
      <c r="FB99">
        <v>1.0133968229200601</v>
      </c>
      <c r="FC99">
        <v>0.98280973730254395</v>
      </c>
      <c r="FD99">
        <v>1.00351651171668</v>
      </c>
      <c r="FE99">
        <v>1.02174050451397</v>
      </c>
      <c r="FF99">
        <v>1.04895523710269</v>
      </c>
      <c r="FG99">
        <v>1.0212872584766099</v>
      </c>
      <c r="FH99">
        <v>0.97190981048776803</v>
      </c>
      <c r="FI99">
        <v>0.95841705266794197</v>
      </c>
      <c r="FJ99">
        <v>1.00355227569156</v>
      </c>
      <c r="FK99">
        <v>0.94815022580281005</v>
      </c>
      <c r="FL99">
        <v>1.0096004244733501</v>
      </c>
      <c r="FM99">
        <v>1.02157548613413</v>
      </c>
      <c r="FN99">
        <v>1.0067695055208301</v>
      </c>
      <c r="FO99">
        <v>1.0797104434653799</v>
      </c>
      <c r="FP99">
        <v>0.98307432283527296</v>
      </c>
      <c r="FQ99">
        <v>0.98024195520157698</v>
      </c>
      <c r="FR99">
        <v>0.96613364306659499</v>
      </c>
      <c r="FS99">
        <v>0.96467053484777199</v>
      </c>
      <c r="FT99">
        <v>1.03309076189786</v>
      </c>
      <c r="FU99">
        <v>1.01264371388219</v>
      </c>
      <c r="FV99">
        <v>0.98671424197480495</v>
      </c>
      <c r="FW99">
        <v>0.97827398508471797</v>
      </c>
      <c r="FX99">
        <v>0.98266351343715697</v>
      </c>
      <c r="FY99">
        <v>1.0226241036482</v>
      </c>
      <c r="FZ99">
        <v>1.0553015472756799</v>
      </c>
      <c r="GA99">
        <v>1.02788852063242</v>
      </c>
      <c r="GB99">
        <v>0.96178325852670499</v>
      </c>
      <c r="GC99">
        <v>0.96366711328685095</v>
      </c>
      <c r="GD99">
        <v>1.0149171502752099</v>
      </c>
      <c r="GE99">
        <v>1.0011613158200401</v>
      </c>
      <c r="GF99">
        <v>1.01159682055991</v>
      </c>
      <c r="GG99">
        <v>0.98531140414831597</v>
      </c>
      <c r="GH99">
        <v>0.97077866086003195</v>
      </c>
      <c r="GI99">
        <v>1.0266472537306299</v>
      </c>
      <c r="GJ99">
        <v>0.99996059422539196</v>
      </c>
      <c r="GK99">
        <v>1.0370354478580901</v>
      </c>
      <c r="GL99">
        <v>1.0250919626270401</v>
      </c>
      <c r="GM99">
        <v>1.0167481559867599</v>
      </c>
      <c r="GN99">
        <v>1.09134387184544</v>
      </c>
    </row>
    <row r="101" spans="1:196" s="28" customFormat="1" x14ac:dyDescent="0.4">
      <c r="A101" s="28" t="s">
        <v>149</v>
      </c>
    </row>
    <row r="102" spans="1:196" x14ac:dyDescent="0.4">
      <c r="A102" t="s">
        <v>5</v>
      </c>
      <c r="B102">
        <v>1.1413109122287299</v>
      </c>
      <c r="C102">
        <v>0.88698633404850802</v>
      </c>
      <c r="D102">
        <v>1.29820034780042</v>
      </c>
      <c r="E102">
        <v>1.32136634960044</v>
      </c>
      <c r="F102">
        <v>0.97393502793801801</v>
      </c>
      <c r="G102">
        <v>0.93989936523814999</v>
      </c>
      <c r="H102">
        <v>0.97805869848972704</v>
      </c>
      <c r="I102">
        <v>0.83040166397272397</v>
      </c>
      <c r="J102">
        <v>1.1485932280412301</v>
      </c>
      <c r="K102">
        <v>1.2381870531226999</v>
      </c>
      <c r="L102">
        <v>1.03887231578631</v>
      </c>
      <c r="M102">
        <v>1.07273802511147</v>
      </c>
      <c r="N102">
        <v>0.92049095632366496</v>
      </c>
      <c r="O102">
        <v>1.0540111348918799</v>
      </c>
      <c r="P102">
        <v>1.1619301528658701</v>
      </c>
      <c r="Q102">
        <v>1.1862327498654599</v>
      </c>
      <c r="R102">
        <v>0.95508760322710895</v>
      </c>
      <c r="S102">
        <v>1.1422259509332</v>
      </c>
      <c r="T102">
        <v>1.2565130321143601</v>
      </c>
      <c r="U102">
        <v>1.03084269886962</v>
      </c>
      <c r="V102">
        <v>0.99532364751319902</v>
      </c>
      <c r="W102">
        <v>1.03030604444976</v>
      </c>
      <c r="X102">
        <v>1.11916903098722</v>
      </c>
      <c r="Y102">
        <v>0.97283895972649304</v>
      </c>
      <c r="Z102">
        <v>1.3071373659861101</v>
      </c>
      <c r="AA102">
        <v>1.10940281424684</v>
      </c>
      <c r="AB102">
        <v>0.99556378549694202</v>
      </c>
      <c r="AC102">
        <v>0.90218344270114104</v>
      </c>
      <c r="AD102">
        <v>1.0603275098315901</v>
      </c>
      <c r="AE102">
        <v>0.771928243861568</v>
      </c>
      <c r="AF102">
        <v>0.65261487062713996</v>
      </c>
      <c r="AG102">
        <v>1.0382724258582501</v>
      </c>
      <c r="AH102">
        <v>1.42953548092724</v>
      </c>
      <c r="AI102">
        <v>1.10638353442988</v>
      </c>
      <c r="AJ102">
        <v>0.97626751689657298</v>
      </c>
      <c r="AK102">
        <v>1.0180746104942</v>
      </c>
      <c r="AL102">
        <v>1.00461568129977</v>
      </c>
      <c r="AM102">
        <v>1.1113996311854999</v>
      </c>
      <c r="AN102">
        <v>1.1140703043606099</v>
      </c>
      <c r="AO102">
        <v>0.98984869999599701</v>
      </c>
      <c r="AP102">
        <v>1.08401202753393</v>
      </c>
      <c r="AQ102">
        <v>0.90604456938224298</v>
      </c>
      <c r="AR102">
        <v>0.93457047905822899</v>
      </c>
      <c r="AS102">
        <v>1.12781075262255</v>
      </c>
      <c r="AT102">
        <v>0.87733138764710294</v>
      </c>
      <c r="AU102">
        <v>1.07775462763925</v>
      </c>
      <c r="AV102">
        <v>1.04193145132446</v>
      </c>
      <c r="AW102">
        <v>1.06973616712203</v>
      </c>
      <c r="AX102">
        <v>1.0108027134412001</v>
      </c>
      <c r="AY102">
        <v>1.00137175694554</v>
      </c>
      <c r="AZ102">
        <v>1.06479462554669</v>
      </c>
      <c r="BA102">
        <v>1.0086171058360101</v>
      </c>
      <c r="BB102">
        <v>1.00568403318092</v>
      </c>
      <c r="BC102">
        <v>1.0998198056950399</v>
      </c>
      <c r="BD102">
        <v>0.94934940162509796</v>
      </c>
      <c r="BE102">
        <v>0.99523880157033795</v>
      </c>
      <c r="BF102">
        <v>1.07775784844066</v>
      </c>
      <c r="BG102">
        <v>0.91483198324876802</v>
      </c>
      <c r="BH102">
        <v>1.0262167779078699</v>
      </c>
      <c r="BI102">
        <v>0.98674487288878898</v>
      </c>
      <c r="BJ102">
        <v>1.0499608722907801</v>
      </c>
      <c r="BK102">
        <v>0.99571627828979803</v>
      </c>
      <c r="BL102">
        <v>0.95573435482282698</v>
      </c>
      <c r="BM102">
        <v>1.05160355598206</v>
      </c>
      <c r="BN102">
        <v>1.12795570812091</v>
      </c>
      <c r="BO102">
        <f>PRODUCT(B102:BN102)</f>
        <v>8.8526611355777227</v>
      </c>
      <c r="BP102">
        <f>AVERAGE(B102:BO102)/_xlfn.STDEV.S(B102:BN102)</f>
        <v>9.1021097541937994</v>
      </c>
      <c r="BQ102">
        <f>PRODUCT(AD102:BN102)</f>
        <v>1.5743606202666971</v>
      </c>
      <c r="BR102">
        <f>AVERAGE(AD102:BN102)/_xlfn.STDEV.S(AD102:BN102)</f>
        <v>8.6053283608940028</v>
      </c>
    </row>
    <row r="103" spans="1:196" x14ac:dyDescent="0.4">
      <c r="A103" t="s">
        <v>2</v>
      </c>
      <c r="B103">
        <v>1.1313109122287299</v>
      </c>
      <c r="C103">
        <v>0.88570061976279402</v>
      </c>
      <c r="D103">
        <v>1.2971555716810099</v>
      </c>
      <c r="E103">
        <v>1.3197949210290101</v>
      </c>
      <c r="F103">
        <v>0.97212947238246294</v>
      </c>
      <c r="G103">
        <v>0.93837158746037197</v>
      </c>
      <c r="H103">
        <v>0.97643707686810599</v>
      </c>
      <c r="I103">
        <v>0.82897309254415197</v>
      </c>
      <c r="J103">
        <v>1.14551630496431</v>
      </c>
      <c r="K103">
        <v>1.23664859158423</v>
      </c>
      <c r="L103">
        <v>1.0366223157863099</v>
      </c>
      <c r="M103">
        <v>1.07119956357301</v>
      </c>
      <c r="N103">
        <v>0.91843967427238304</v>
      </c>
      <c r="O103">
        <v>1.0525444682252201</v>
      </c>
      <c r="P103">
        <v>1.1599548442239001</v>
      </c>
      <c r="Q103">
        <v>1.1847327498654601</v>
      </c>
      <c r="R103">
        <v>0.95325833493442602</v>
      </c>
      <c r="S103">
        <v>1.1411148398220901</v>
      </c>
      <c r="T103">
        <v>1.2550496174802099</v>
      </c>
      <c r="U103">
        <v>1.0297315877585</v>
      </c>
      <c r="V103">
        <v>0.99339593666982495</v>
      </c>
      <c r="W103">
        <v>1.029482515038</v>
      </c>
      <c r="X103">
        <v>1.1171922868011801</v>
      </c>
      <c r="Y103">
        <v>0.97180447696787198</v>
      </c>
      <c r="Z103">
        <v>1.3054519727276801</v>
      </c>
      <c r="AA103">
        <v>1.1075943036085401</v>
      </c>
      <c r="AB103">
        <v>0.99481910464587797</v>
      </c>
      <c r="AC103">
        <v>0.90092028480640396</v>
      </c>
      <c r="AD103">
        <v>1.05916961509475</v>
      </c>
      <c r="AE103">
        <v>0.77022611620199299</v>
      </c>
      <c r="AF103">
        <v>0.65131052280105295</v>
      </c>
      <c r="AG103">
        <v>1.0367339643197899</v>
      </c>
      <c r="AH103">
        <v>1.42836526816128</v>
      </c>
      <c r="AI103">
        <v>1.10423299679547</v>
      </c>
      <c r="AJ103">
        <v>0.97549828612734302</v>
      </c>
      <c r="AK103">
        <v>1.01708559950519</v>
      </c>
      <c r="AL103">
        <v>1.0037267924108799</v>
      </c>
      <c r="AM103">
        <v>1.10937715927539</v>
      </c>
      <c r="AN103">
        <v>1.1128480821383899</v>
      </c>
      <c r="AO103">
        <v>0.98862647777377499</v>
      </c>
      <c r="AP103">
        <v>1.0821938457157501</v>
      </c>
      <c r="AQ103">
        <v>0.90349137789288203</v>
      </c>
      <c r="AR103">
        <v>0.93341258432138696</v>
      </c>
      <c r="AS103">
        <v>1.1270415218533201</v>
      </c>
      <c r="AT103">
        <v>0.87579292610864201</v>
      </c>
      <c r="AU103">
        <v>1.07497684986148</v>
      </c>
      <c r="AV103">
        <v>1.04103257491996</v>
      </c>
      <c r="AW103">
        <v>1.0686125716164101</v>
      </c>
      <c r="AX103">
        <v>1.00873374792396</v>
      </c>
      <c r="AY103">
        <v>0.99937175694554903</v>
      </c>
      <c r="AZ103">
        <v>1.06339927670949</v>
      </c>
      <c r="BA103">
        <v>1.0069700470124801</v>
      </c>
      <c r="BB103">
        <v>1.0036602236571099</v>
      </c>
      <c r="BC103">
        <v>1.0977021586362199</v>
      </c>
      <c r="BD103">
        <v>0.94760521557858601</v>
      </c>
      <c r="BE103">
        <v>0.99440546823700504</v>
      </c>
      <c r="BF103">
        <v>1.0758973833243799</v>
      </c>
      <c r="BG103">
        <v>0.91241819014532</v>
      </c>
      <c r="BH103">
        <v>1.0248531415442299</v>
      </c>
      <c r="BI103">
        <v>0.98513567748649</v>
      </c>
      <c r="BJ103">
        <v>1.04881144700343</v>
      </c>
      <c r="BK103">
        <v>0.993107582637624</v>
      </c>
      <c r="BL103">
        <v>0.95518490427337699</v>
      </c>
      <c r="BM103">
        <v>1.05068401575218</v>
      </c>
      <c r="BN103">
        <v>1.1268062828335601</v>
      </c>
      <c r="BO103">
        <f>PRODUCT(B103:BN103)</f>
        <v>7.9690201373868632</v>
      </c>
      <c r="BP103">
        <f>AVERAGE(B103:BO103)/_xlfn.STDEV.S(B103:BN103)</f>
        <v>8.9909954732001669</v>
      </c>
      <c r="BQ103">
        <f>PRODUCT(AD103:BN103)</f>
        <v>1.488392826712766</v>
      </c>
      <c r="BR103">
        <f>AVERAGE(AD103:BN103)/_xlfn.STDEV.S(AD103:BN103)</f>
        <v>8.5889588445813221</v>
      </c>
    </row>
    <row r="104" spans="1:196" x14ac:dyDescent="0.4">
      <c r="A104" t="s">
        <v>101</v>
      </c>
      <c r="B104">
        <v>0.90516149805832002</v>
      </c>
      <c r="C104">
        <v>1.0763239389097401</v>
      </c>
      <c r="D104">
        <v>1.17148005093758</v>
      </c>
      <c r="E104">
        <v>1.02337025665198</v>
      </c>
      <c r="F104">
        <v>0.86833530501267098</v>
      </c>
      <c r="G104">
        <v>0.99815199505977403</v>
      </c>
      <c r="H104">
        <v>0.93173878582552006</v>
      </c>
      <c r="I104">
        <v>1.10436463388741</v>
      </c>
      <c r="J104">
        <v>1.26163885727101</v>
      </c>
      <c r="K104">
        <v>1.0650809754994199</v>
      </c>
      <c r="L104">
        <v>1.1331375542025</v>
      </c>
      <c r="M104">
        <v>1.0948584694030301</v>
      </c>
      <c r="N104">
        <v>1.1817359006769601</v>
      </c>
      <c r="O104">
        <v>0.88907297057050105</v>
      </c>
      <c r="P104">
        <v>0.92698380998663998</v>
      </c>
      <c r="Q104">
        <v>0.92358599549400999</v>
      </c>
      <c r="R104">
        <v>0.98613249458174901</v>
      </c>
      <c r="S104">
        <v>1.0319739808941</v>
      </c>
      <c r="T104">
        <v>0.86333378307628195</v>
      </c>
      <c r="U104">
        <v>1.0392579189803299</v>
      </c>
      <c r="V104">
        <v>1.0900912203735</v>
      </c>
      <c r="W104">
        <v>0.872333410979377</v>
      </c>
      <c r="X104">
        <v>0.94661009542013896</v>
      </c>
      <c r="Y104">
        <v>1.0056215519528899</v>
      </c>
      <c r="Z104">
        <v>0.90567645911525796</v>
      </c>
      <c r="AA104">
        <v>1.15476465145005</v>
      </c>
      <c r="AB104">
        <v>1.0982461532204499</v>
      </c>
      <c r="AC104">
        <v>1.05655820971236</v>
      </c>
      <c r="AD104">
        <v>1.0368968394548399</v>
      </c>
      <c r="AE104">
        <v>1.1302051422157</v>
      </c>
      <c r="AF104">
        <v>0.907871971969894</v>
      </c>
      <c r="AG104">
        <v>1.1016707550553999</v>
      </c>
      <c r="AH104">
        <v>1.0386895055465899</v>
      </c>
      <c r="AI104">
        <v>1.0284956862838199</v>
      </c>
      <c r="AJ104">
        <v>1.0101228356841301</v>
      </c>
      <c r="AK104">
        <v>1.0325640761623101</v>
      </c>
      <c r="AL104">
        <v>1.00235510058301</v>
      </c>
      <c r="AM104">
        <v>1.01503274562711</v>
      </c>
      <c r="AN104">
        <v>0.90472766026343399</v>
      </c>
      <c r="AO104">
        <v>1.0036705918402</v>
      </c>
      <c r="AP104">
        <v>0.95827453523747297</v>
      </c>
      <c r="AQ104">
        <v>1.0958826522243299</v>
      </c>
      <c r="AR104">
        <v>1.05376722636799</v>
      </c>
      <c r="AS104">
        <v>1.0241207426799901</v>
      </c>
      <c r="AT104">
        <v>1.07667386778927</v>
      </c>
      <c r="AU104">
        <v>1.01873208693924</v>
      </c>
      <c r="AV104">
        <v>1.0473637450923601</v>
      </c>
      <c r="AW104">
        <v>1.11176343955585</v>
      </c>
      <c r="AX104">
        <v>0.96453339875210498</v>
      </c>
      <c r="AY104">
        <v>0.94051925967195804</v>
      </c>
      <c r="AZ104">
        <v>1.0528299824329601</v>
      </c>
      <c r="BA104">
        <v>1.06554266480798</v>
      </c>
      <c r="BB104">
        <v>1.0773619782759001</v>
      </c>
      <c r="BC104">
        <v>0.99499187561228397</v>
      </c>
      <c r="BD104">
        <v>1.1470595714226399</v>
      </c>
      <c r="BE104">
        <v>0.96970205433544299</v>
      </c>
      <c r="BF104">
        <v>1.1296468834095801</v>
      </c>
      <c r="BG104">
        <v>1.0453650472360501</v>
      </c>
      <c r="BH104">
        <v>1.0004992738163401</v>
      </c>
      <c r="BI104">
        <v>0.98561577667045497</v>
      </c>
      <c r="BJ104">
        <v>1.02323823592126</v>
      </c>
      <c r="BK104">
        <v>1.0525010074444601</v>
      </c>
      <c r="BL104">
        <v>0.92419803737416895</v>
      </c>
      <c r="BM104">
        <v>0.98243469649802795</v>
      </c>
      <c r="BN104">
        <v>0.99038804294617</v>
      </c>
      <c r="BO104">
        <v>1.0589054103381701</v>
      </c>
      <c r="BP104">
        <v>1.0188871746666099</v>
      </c>
      <c r="BQ104">
        <v>1.0221079650521301</v>
      </c>
      <c r="BR104">
        <v>1.0746642848855199</v>
      </c>
      <c r="BS104">
        <v>0.99404989941507405</v>
      </c>
      <c r="BT104">
        <v>0.93014043332631302</v>
      </c>
      <c r="BU104">
        <v>1.05216595535612</v>
      </c>
      <c r="BV104">
        <v>1.0471451727827099</v>
      </c>
      <c r="BW104">
        <v>1.0840424488456399</v>
      </c>
      <c r="BX104">
        <v>1.1515108807220999</v>
      </c>
      <c r="BY104">
        <v>1.0238775464646801</v>
      </c>
      <c r="BZ104">
        <v>1.1209219190867901</v>
      </c>
      <c r="CA104">
        <v>0.96664249290819404</v>
      </c>
      <c r="CB104">
        <v>1.02078086252122</v>
      </c>
      <c r="CC104">
        <v>1.07570682090675</v>
      </c>
      <c r="CD104">
        <v>0.90665622684094904</v>
      </c>
      <c r="CE104">
        <v>1.0176539104358</v>
      </c>
      <c r="CF104">
        <v>0.83661368014596005</v>
      </c>
      <c r="CG104">
        <v>1.0596679152036801</v>
      </c>
      <c r="CH104">
        <v>0.98653196837086898</v>
      </c>
      <c r="CI104">
        <v>1.0590242141000601</v>
      </c>
      <c r="CJ104">
        <v>1.01489935375662</v>
      </c>
      <c r="CK104">
        <v>0.89756725754288702</v>
      </c>
      <c r="CL104">
        <v>0.94278689619660205</v>
      </c>
      <c r="CM104">
        <v>0.91221328405920499</v>
      </c>
      <c r="CN104">
        <v>0.97123504043315101</v>
      </c>
      <c r="CO104">
        <v>0.68734527709770099</v>
      </c>
      <c r="CP104">
        <v>0.97759207002554005</v>
      </c>
      <c r="CQ104">
        <v>1.08178046769949</v>
      </c>
      <c r="CR104">
        <v>1.06541480115221</v>
      </c>
      <c r="CS104">
        <v>0.90085202419761701</v>
      </c>
      <c r="CT104">
        <v>1.16778379448917</v>
      </c>
      <c r="CU104">
        <v>1.2074250409818601</v>
      </c>
      <c r="CV104">
        <v>1.0138467568877101</v>
      </c>
      <c r="CW104">
        <v>0.99184892499476296</v>
      </c>
      <c r="CX104">
        <v>1.0874384392265699</v>
      </c>
      <c r="CY104">
        <v>1.0257829975549499</v>
      </c>
      <c r="CZ104">
        <v>1.0445814589202</v>
      </c>
      <c r="DA104">
        <v>0.95521849514133195</v>
      </c>
      <c r="DB104">
        <v>0.97841658030406098</v>
      </c>
      <c r="DC104">
        <v>1.0746355505323799</v>
      </c>
      <c r="DD104">
        <v>0.95065152077552095</v>
      </c>
      <c r="DE104">
        <v>0.99654532463276901</v>
      </c>
      <c r="DF104">
        <v>1.0642872863842501</v>
      </c>
      <c r="DG104">
        <v>1.0076088662476299</v>
      </c>
      <c r="DH104">
        <v>0.93680478059820305</v>
      </c>
      <c r="DI104">
        <v>1.05982387441825</v>
      </c>
      <c r="DJ104">
        <v>1.0306927425544301</v>
      </c>
      <c r="DK104">
        <v>1.01743654235109</v>
      </c>
      <c r="DL104">
        <v>1.10531019248132</v>
      </c>
      <c r="DM104">
        <v>1.0131561509846501</v>
      </c>
      <c r="DN104">
        <v>0.99483724918486804</v>
      </c>
      <c r="DO104">
        <v>1.06966199067887</v>
      </c>
      <c r="DP104">
        <v>1.0065071657326701</v>
      </c>
      <c r="DQ104">
        <v>0.91940186845755401</v>
      </c>
      <c r="DR104">
        <v>1.09108531502879</v>
      </c>
      <c r="DS104">
        <v>1.0344530761053401</v>
      </c>
      <c r="DT104">
        <v>0.96042751798251402</v>
      </c>
      <c r="DU104">
        <v>0.99694053578749098</v>
      </c>
      <c r="DV104">
        <v>1.03433747619857</v>
      </c>
      <c r="DW104">
        <v>0.878654315564531</v>
      </c>
      <c r="DX104">
        <v>0.89798174276470399</v>
      </c>
      <c r="DY104">
        <v>1.07523447891297</v>
      </c>
      <c r="DZ104">
        <v>0.96792424723363601</v>
      </c>
      <c r="EA104">
        <v>0.98522547597603405</v>
      </c>
      <c r="EB104">
        <v>1.0959818363031499</v>
      </c>
      <c r="EC104">
        <v>1.0444730555913899</v>
      </c>
      <c r="ED104">
        <v>0.97865492384501096</v>
      </c>
      <c r="EE104">
        <v>0.94558581882625603</v>
      </c>
      <c r="EF104">
        <v>0.94805412289322899</v>
      </c>
      <c r="EG104">
        <v>1.02746734120855</v>
      </c>
      <c r="EH104">
        <v>1.00411251633975</v>
      </c>
      <c r="EI104">
        <v>1.0446468264805799</v>
      </c>
      <c r="EJ104">
        <v>1.04990837175855</v>
      </c>
      <c r="EK104">
        <v>0.97749980960007798</v>
      </c>
      <c r="EL104">
        <v>1.0152454866564899</v>
      </c>
      <c r="EM104">
        <v>1.0427874878851799</v>
      </c>
      <c r="EN104">
        <v>1.0023849893919801</v>
      </c>
      <c r="EO104">
        <v>1.0234021221751</v>
      </c>
      <c r="EP104">
        <v>1.0000123849831</v>
      </c>
      <c r="EQ104">
        <v>0.98215022114964101</v>
      </c>
      <c r="ER104">
        <v>1.0291604818238</v>
      </c>
      <c r="ES104">
        <v>0.94796881007390099</v>
      </c>
      <c r="ET104">
        <v>1.05433696651605</v>
      </c>
      <c r="EU104">
        <v>1.00189418508509</v>
      </c>
      <c r="EV104">
        <v>1.0501172689685601</v>
      </c>
      <c r="EW104">
        <v>1.01150834703102</v>
      </c>
      <c r="EX104">
        <v>1.0024404413558401</v>
      </c>
      <c r="EY104">
        <v>1.00676897057203</v>
      </c>
      <c r="EZ104">
        <v>0.97753283110163003</v>
      </c>
      <c r="FA104">
        <v>1.0248614445737301</v>
      </c>
      <c r="FB104">
        <v>1.0210511307224801</v>
      </c>
      <c r="FC104">
        <v>0.98195925581868404</v>
      </c>
      <c r="FD104">
        <v>1.0030454134135001</v>
      </c>
      <c r="FE104">
        <v>1.0234403400785499</v>
      </c>
      <c r="FF104">
        <v>1.0508961674867501</v>
      </c>
      <c r="FG104">
        <v>1.02258447950905</v>
      </c>
      <c r="FH104">
        <v>0.98325649537239901</v>
      </c>
      <c r="FI104">
        <v>0.96343809983947404</v>
      </c>
      <c r="FJ104">
        <v>1.0021562519495599</v>
      </c>
      <c r="FK104">
        <v>0.95169184177849697</v>
      </c>
      <c r="FL104">
        <v>1.01773040486804</v>
      </c>
      <c r="FM104">
        <v>1.0275387384479</v>
      </c>
      <c r="FN104">
        <v>1.0180222485433399</v>
      </c>
      <c r="FO104">
        <v>1.07683239680057</v>
      </c>
      <c r="FP104">
        <v>0.98314100870521204</v>
      </c>
      <c r="FQ104">
        <v>0.98325953196820404</v>
      </c>
      <c r="FR104">
        <v>0.97369014339145399</v>
      </c>
      <c r="FS104">
        <v>0.95554776389257201</v>
      </c>
      <c r="FT104">
        <v>1.02838954861701</v>
      </c>
      <c r="FU104">
        <v>1.0150338726996699</v>
      </c>
      <c r="FV104">
        <v>0.98310730042823102</v>
      </c>
      <c r="FW104">
        <v>0.98253634762032305</v>
      </c>
      <c r="FX104">
        <v>0.98441834558681196</v>
      </c>
      <c r="FY104">
        <v>1.02017941083557</v>
      </c>
      <c r="FZ104">
        <v>1.0601286337267699</v>
      </c>
      <c r="GA104">
        <v>1.0264390454360499</v>
      </c>
      <c r="GB104">
        <v>0.96489795525044897</v>
      </c>
      <c r="GC104">
        <v>0.97176163298616902</v>
      </c>
      <c r="GD104">
        <v>1.0218957553939101</v>
      </c>
      <c r="GE104">
        <v>1.0026959566032301</v>
      </c>
      <c r="GF104">
        <v>1.0086818027858799</v>
      </c>
      <c r="GG104">
        <v>0.97415990353055204</v>
      </c>
      <c r="GH104">
        <v>0.97264142304429702</v>
      </c>
      <c r="GI104">
        <v>1.02746495205204</v>
      </c>
      <c r="GJ104">
        <v>0.98967223958110995</v>
      </c>
      <c r="GK104">
        <v>1.03417406186851</v>
      </c>
      <c r="GL104">
        <v>1.0212362828513799</v>
      </c>
      <c r="GM104">
        <v>1.0195875329141799</v>
      </c>
      <c r="GN104">
        <v>1.0832814184131101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P80"/>
  <sheetViews>
    <sheetView topLeftCell="A66" workbookViewId="0">
      <selection activeCell="H102" sqref="H102"/>
    </sheetView>
  </sheetViews>
  <sheetFormatPr defaultRowHeight="17.399999999999999" x14ac:dyDescent="0.4"/>
  <cols>
    <col min="1" max="1" width="27.3984375" bestFit="1" customWidth="1"/>
    <col min="2" max="2" width="20.19921875" bestFit="1" customWidth="1"/>
    <col min="3" max="3" width="9.3984375" bestFit="1" customWidth="1"/>
  </cols>
  <sheetData>
    <row r="1" spans="1:68" s="19" customFormat="1" x14ac:dyDescent="0.4">
      <c r="A1" s="19" t="s">
        <v>111</v>
      </c>
    </row>
    <row r="2" spans="1:68" x14ac:dyDescent="0.4">
      <c r="A2" t="s">
        <v>5</v>
      </c>
      <c r="C2">
        <v>20010228</v>
      </c>
      <c r="D2" s="1">
        <v>20010531</v>
      </c>
      <c r="E2" s="1">
        <v>20010831</v>
      </c>
      <c r="F2" s="1">
        <v>20011130</v>
      </c>
      <c r="G2" s="1">
        <v>20020228</v>
      </c>
      <c r="H2" s="1">
        <v>20020531</v>
      </c>
      <c r="I2" s="1">
        <v>20020830</v>
      </c>
      <c r="J2" s="1">
        <v>20021129</v>
      </c>
      <c r="K2" s="1">
        <v>20030228</v>
      </c>
      <c r="L2" s="1">
        <v>20030530</v>
      </c>
      <c r="M2" s="1">
        <v>20030829</v>
      </c>
      <c r="N2" s="1">
        <v>20031128</v>
      </c>
      <c r="O2" s="1">
        <v>20040227</v>
      </c>
      <c r="P2" s="1">
        <v>20040531</v>
      </c>
      <c r="Q2" s="1">
        <v>20040831</v>
      </c>
      <c r="R2" s="1">
        <v>20041130</v>
      </c>
      <c r="S2" s="1">
        <v>20050228</v>
      </c>
      <c r="T2" s="1">
        <v>20050531</v>
      </c>
      <c r="U2" s="1">
        <v>20050831</v>
      </c>
      <c r="V2" s="1">
        <v>20051130</v>
      </c>
      <c r="W2" s="1">
        <v>20060228</v>
      </c>
      <c r="X2" s="1">
        <v>20060530</v>
      </c>
      <c r="Y2" s="1">
        <v>20060831</v>
      </c>
      <c r="Z2" s="1">
        <v>20061130</v>
      </c>
      <c r="AA2" s="1">
        <v>20070228</v>
      </c>
      <c r="AB2" s="1">
        <v>20070531</v>
      </c>
      <c r="AC2" s="1">
        <v>20070831</v>
      </c>
      <c r="AD2" s="1">
        <v>20071130</v>
      </c>
      <c r="AE2" s="1">
        <v>20080229</v>
      </c>
      <c r="AF2" s="1">
        <v>20080530</v>
      </c>
      <c r="AG2" s="1">
        <v>20080829</v>
      </c>
      <c r="AH2" s="1">
        <v>20081128</v>
      </c>
      <c r="AI2" s="1">
        <v>20090227</v>
      </c>
      <c r="AJ2" s="1">
        <v>20090529</v>
      </c>
      <c r="AK2" s="1">
        <v>20090831</v>
      </c>
      <c r="AL2" s="1">
        <v>20091130</v>
      </c>
      <c r="AM2" s="1">
        <v>20100226</v>
      </c>
      <c r="AN2" s="1">
        <v>20100531</v>
      </c>
      <c r="AO2" s="1">
        <v>20100831</v>
      </c>
      <c r="AP2" s="1">
        <v>20101130</v>
      </c>
      <c r="AQ2" s="1">
        <v>20110228</v>
      </c>
      <c r="AR2" s="1">
        <v>20110531</v>
      </c>
      <c r="AS2" s="1">
        <v>20110831</v>
      </c>
      <c r="AT2" s="1">
        <v>20111130</v>
      </c>
      <c r="AU2" s="1">
        <v>20120229</v>
      </c>
      <c r="AV2" s="1">
        <v>20120531</v>
      </c>
      <c r="AW2" s="1">
        <v>20120831</v>
      </c>
      <c r="AX2" s="1">
        <v>20121130</v>
      </c>
      <c r="AY2" s="1">
        <v>20130228</v>
      </c>
      <c r="AZ2" s="1">
        <v>20130531</v>
      </c>
      <c r="BA2" s="1">
        <v>20130830</v>
      </c>
      <c r="BB2" s="1">
        <v>20131129</v>
      </c>
      <c r="BC2" s="1">
        <v>20140228</v>
      </c>
      <c r="BD2" s="1">
        <v>20140530</v>
      </c>
      <c r="BE2" s="1">
        <v>20140829</v>
      </c>
      <c r="BF2" s="1">
        <v>20141128</v>
      </c>
      <c r="BG2" s="1">
        <v>20150227</v>
      </c>
      <c r="BH2" s="1">
        <v>20150529</v>
      </c>
      <c r="BI2" s="1">
        <v>20150831</v>
      </c>
      <c r="BJ2" s="1">
        <v>20151130</v>
      </c>
      <c r="BK2" s="1">
        <v>20160229</v>
      </c>
      <c r="BL2" s="1">
        <v>20160531</v>
      </c>
      <c r="BM2" s="1">
        <v>20160831</v>
      </c>
      <c r="BN2" s="1">
        <v>20161130</v>
      </c>
      <c r="BO2" s="1">
        <v>20170228</v>
      </c>
      <c r="BP2" s="1"/>
    </row>
    <row r="3" spans="1:68" x14ac:dyDescent="0.4">
      <c r="B3" s="20" t="s">
        <v>112</v>
      </c>
      <c r="C3" s="20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0">
        <v>0</v>
      </c>
      <c r="Q3" s="20">
        <v>0</v>
      </c>
      <c r="R3" s="20">
        <v>0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  <c r="AY3" s="20">
        <v>0</v>
      </c>
      <c r="AZ3" s="20">
        <v>0</v>
      </c>
      <c r="BA3" s="20">
        <v>0</v>
      </c>
      <c r="BB3" s="20">
        <v>0</v>
      </c>
      <c r="BC3" s="20">
        <v>0</v>
      </c>
      <c r="BD3" s="20">
        <v>0</v>
      </c>
      <c r="BE3" s="20">
        <v>0</v>
      </c>
      <c r="BF3" s="20">
        <v>0.01</v>
      </c>
      <c r="BG3" s="20">
        <v>0.01</v>
      </c>
      <c r="BH3" s="20">
        <v>0.01</v>
      </c>
      <c r="BI3" s="20">
        <v>0.02</v>
      </c>
      <c r="BJ3" s="20">
        <v>0.01</v>
      </c>
      <c r="BK3" s="20">
        <v>0.01</v>
      </c>
      <c r="BL3" s="20">
        <v>0.01</v>
      </c>
      <c r="BM3" s="20">
        <v>0.01</v>
      </c>
      <c r="BN3" s="20">
        <v>0.01</v>
      </c>
      <c r="BO3" s="20">
        <v>0.01</v>
      </c>
    </row>
    <row r="4" spans="1:68" x14ac:dyDescent="0.4">
      <c r="B4" s="20" t="s">
        <v>113</v>
      </c>
      <c r="C4" s="20">
        <v>0</v>
      </c>
      <c r="D4" s="20">
        <v>0</v>
      </c>
      <c r="E4" s="20">
        <v>0</v>
      </c>
      <c r="F4" s="20">
        <v>0</v>
      </c>
      <c r="G4" s="20">
        <v>0</v>
      </c>
      <c r="H4" s="20">
        <v>0</v>
      </c>
      <c r="I4" s="20">
        <v>0</v>
      </c>
      <c r="J4" s="20">
        <v>0</v>
      </c>
      <c r="K4" s="20">
        <v>0</v>
      </c>
      <c r="L4" s="20">
        <v>0</v>
      </c>
      <c r="M4" s="20">
        <v>0</v>
      </c>
      <c r="N4" s="20">
        <v>0</v>
      </c>
      <c r="O4" s="20">
        <v>0</v>
      </c>
      <c r="P4" s="20">
        <v>0</v>
      </c>
      <c r="Q4" s="20">
        <v>0</v>
      </c>
      <c r="R4" s="20">
        <v>0</v>
      </c>
      <c r="S4" s="20">
        <v>0.01</v>
      </c>
      <c r="T4" s="20">
        <v>0.01</v>
      </c>
      <c r="U4" s="20">
        <v>0.01</v>
      </c>
      <c r="V4" s="20">
        <v>0.01</v>
      </c>
      <c r="W4" s="20">
        <v>0.01</v>
      </c>
      <c r="X4" s="20">
        <v>0.01</v>
      </c>
      <c r="Y4" s="20">
        <v>0.01</v>
      </c>
      <c r="Z4" s="20">
        <v>0.01</v>
      </c>
      <c r="AA4" s="20">
        <v>0.01</v>
      </c>
      <c r="AB4" s="20">
        <v>0.01</v>
      </c>
      <c r="AC4" s="20">
        <v>0.01</v>
      </c>
      <c r="AD4" s="20">
        <v>0.01</v>
      </c>
      <c r="AE4" s="20">
        <v>0.01</v>
      </c>
      <c r="AF4" s="20">
        <v>0.01</v>
      </c>
      <c r="AG4" s="20">
        <v>0.01</v>
      </c>
      <c r="AH4" s="20">
        <v>0.01</v>
      </c>
      <c r="AI4" s="20">
        <v>0.01</v>
      </c>
      <c r="AJ4" s="20">
        <v>0.01</v>
      </c>
      <c r="AK4" s="20">
        <v>0.01</v>
      </c>
      <c r="AL4" s="20">
        <v>0.01</v>
      </c>
      <c r="AM4" s="20">
        <v>0.01</v>
      </c>
      <c r="AN4" s="20">
        <v>0.01</v>
      </c>
      <c r="AO4" s="20">
        <v>0.01</v>
      </c>
      <c r="AP4" s="20">
        <v>0.01</v>
      </c>
      <c r="AQ4" s="20">
        <v>0.01</v>
      </c>
      <c r="AR4" s="20">
        <v>0.01</v>
      </c>
      <c r="AS4" s="20">
        <v>0.01</v>
      </c>
      <c r="AT4" s="20">
        <v>0.01</v>
      </c>
      <c r="AU4" s="20">
        <v>0.01</v>
      </c>
      <c r="AV4" s="20">
        <v>0.01</v>
      </c>
      <c r="AW4" s="20">
        <v>0.01</v>
      </c>
      <c r="AX4" s="20">
        <v>0.01</v>
      </c>
      <c r="AY4" s="20">
        <v>0.01</v>
      </c>
      <c r="AZ4" s="20">
        <v>0.01</v>
      </c>
      <c r="BA4" s="20">
        <v>0.01</v>
      </c>
      <c r="BB4" s="20">
        <v>0.01</v>
      </c>
      <c r="BC4" s="20">
        <v>0.01</v>
      </c>
      <c r="BD4" s="20">
        <v>0.01</v>
      </c>
      <c r="BE4" s="20">
        <v>0.01</v>
      </c>
      <c r="BF4" s="20">
        <v>0.01</v>
      </c>
      <c r="BG4" s="20">
        <v>0.01</v>
      </c>
      <c r="BH4" s="20">
        <v>0.01</v>
      </c>
      <c r="BI4" s="20">
        <v>0.01</v>
      </c>
      <c r="BJ4" s="20">
        <v>0.01</v>
      </c>
      <c r="BK4" s="20">
        <v>0.01</v>
      </c>
      <c r="BL4" s="20">
        <v>0.01</v>
      </c>
      <c r="BM4" s="20">
        <v>0.01</v>
      </c>
      <c r="BN4" s="20">
        <v>0.01</v>
      </c>
      <c r="BO4" s="20">
        <v>0.01</v>
      </c>
    </row>
    <row r="5" spans="1:68" x14ac:dyDescent="0.4">
      <c r="B5" s="20" t="s">
        <v>114</v>
      </c>
      <c r="C5" s="20">
        <v>0</v>
      </c>
      <c r="D5" s="20">
        <v>1.1764705882352899E-2</v>
      </c>
      <c r="E5" s="20">
        <v>1.20481927710843E-2</v>
      </c>
      <c r="F5" s="20">
        <v>1.1494252873563199E-2</v>
      </c>
      <c r="G5" s="20">
        <v>1.0752688172042999E-2</v>
      </c>
      <c r="H5" s="20">
        <v>1.12359550561797E-2</v>
      </c>
      <c r="I5" s="20">
        <v>1.1627906976744099E-2</v>
      </c>
      <c r="J5" s="20">
        <v>1.21951219512195E-2</v>
      </c>
      <c r="K5" s="20">
        <v>0</v>
      </c>
      <c r="L5" s="20">
        <v>0</v>
      </c>
      <c r="M5" s="20">
        <v>0</v>
      </c>
      <c r="N5" s="20">
        <v>0</v>
      </c>
      <c r="O5" s="20">
        <v>0</v>
      </c>
      <c r="P5" s="20">
        <v>0</v>
      </c>
      <c r="Q5" s="20">
        <v>0</v>
      </c>
      <c r="R5" s="20">
        <v>1.0752688172042999E-2</v>
      </c>
      <c r="S5" s="20">
        <v>0.01</v>
      </c>
      <c r="T5" s="20">
        <v>0.01</v>
      </c>
      <c r="U5" s="20">
        <v>0.01</v>
      </c>
      <c r="V5" s="20">
        <v>0.01</v>
      </c>
      <c r="W5" s="20">
        <v>0.01</v>
      </c>
      <c r="X5" s="20">
        <v>0.01</v>
      </c>
      <c r="Y5" s="20">
        <v>0.01</v>
      </c>
      <c r="Z5" s="20">
        <v>0.01</v>
      </c>
      <c r="AA5" s="20">
        <v>0.01</v>
      </c>
      <c r="AB5" s="20">
        <v>0.01</v>
      </c>
      <c r="AC5" s="20">
        <v>0.01</v>
      </c>
      <c r="AD5" s="20">
        <v>0.01</v>
      </c>
      <c r="AE5" s="20">
        <v>0.01</v>
      </c>
      <c r="AF5" s="20">
        <v>0.01</v>
      </c>
      <c r="AG5" s="20">
        <v>0.01</v>
      </c>
      <c r="AH5" s="20">
        <v>0.01</v>
      </c>
      <c r="AI5" s="20">
        <v>0.01</v>
      </c>
      <c r="AJ5" s="20">
        <v>0.01</v>
      </c>
      <c r="AK5" s="20">
        <v>0.01</v>
      </c>
      <c r="AL5" s="20">
        <v>0.01</v>
      </c>
      <c r="AM5" s="20">
        <v>0.01</v>
      </c>
      <c r="AN5" s="20">
        <v>0.01</v>
      </c>
      <c r="AO5" s="20">
        <v>0.01</v>
      </c>
      <c r="AP5" s="20">
        <v>0.01</v>
      </c>
      <c r="AQ5" s="20">
        <v>0.01</v>
      </c>
      <c r="AR5" s="20">
        <v>0.01</v>
      </c>
      <c r="AS5" s="20">
        <v>0.01</v>
      </c>
      <c r="AT5" s="20">
        <v>0.01</v>
      </c>
      <c r="AU5" s="20">
        <v>0.01</v>
      </c>
      <c r="AV5" s="20">
        <v>0.01</v>
      </c>
      <c r="AW5" s="20">
        <v>0</v>
      </c>
      <c r="AX5" s="20">
        <v>0.01</v>
      </c>
      <c r="AY5" s="20">
        <v>0.01</v>
      </c>
      <c r="AZ5" s="20">
        <v>0.01</v>
      </c>
      <c r="BA5" s="20">
        <v>0.01</v>
      </c>
      <c r="BB5" s="20">
        <v>0</v>
      </c>
      <c r="BC5" s="20">
        <v>0.01</v>
      </c>
      <c r="BD5" s="20">
        <v>0.01</v>
      </c>
      <c r="BE5" s="20">
        <v>0.01</v>
      </c>
      <c r="BF5" s="20">
        <v>0.01</v>
      </c>
      <c r="BG5" s="20">
        <v>0.01</v>
      </c>
      <c r="BH5" s="20">
        <v>0.01</v>
      </c>
      <c r="BI5" s="20">
        <v>0.01</v>
      </c>
      <c r="BJ5" s="20">
        <v>0.01</v>
      </c>
      <c r="BK5" s="20">
        <v>0.01</v>
      </c>
      <c r="BL5" s="20">
        <v>0.01</v>
      </c>
      <c r="BM5" s="20">
        <v>0.01</v>
      </c>
      <c r="BN5" s="20">
        <v>0.01</v>
      </c>
      <c r="BO5" s="20">
        <v>0.01</v>
      </c>
    </row>
    <row r="6" spans="1:68" x14ac:dyDescent="0.4">
      <c r="B6" s="20" t="s">
        <v>115</v>
      </c>
      <c r="C6" s="20">
        <v>7.4074074074074001E-2</v>
      </c>
      <c r="D6" s="20">
        <v>7.0588235294117604E-2</v>
      </c>
      <c r="E6" s="20">
        <v>7.2289156626505993E-2</v>
      </c>
      <c r="F6" s="20">
        <v>5.7471264367816001E-2</v>
      </c>
      <c r="G6" s="20">
        <v>6.4516129032257993E-2</v>
      </c>
      <c r="H6" s="20">
        <v>6.7415730337078594E-2</v>
      </c>
      <c r="I6" s="20">
        <v>5.8139534883720902E-2</v>
      </c>
      <c r="J6" s="20">
        <v>6.0975609756097497E-2</v>
      </c>
      <c r="K6" s="20">
        <v>5.8823529411764698E-2</v>
      </c>
      <c r="L6" s="20">
        <v>4.4444444444444398E-2</v>
      </c>
      <c r="M6" s="20">
        <v>4.3956043956043897E-2</v>
      </c>
      <c r="N6" s="20">
        <v>4.4444444444444398E-2</v>
      </c>
      <c r="O6" s="20">
        <v>4.3956043956043897E-2</v>
      </c>
      <c r="P6" s="20">
        <v>4.8192771084337303E-2</v>
      </c>
      <c r="Q6" s="20">
        <v>3.2967032967032898E-2</v>
      </c>
      <c r="R6" s="20">
        <v>3.2258064516128997E-2</v>
      </c>
      <c r="S6" s="20">
        <v>0.03</v>
      </c>
      <c r="T6" s="20">
        <v>0.03</v>
      </c>
      <c r="U6" s="20">
        <v>0.03</v>
      </c>
      <c r="V6" s="20">
        <v>0.03</v>
      </c>
      <c r="W6" s="20">
        <v>0.03</v>
      </c>
      <c r="X6" s="20">
        <v>0.03</v>
      </c>
      <c r="Y6" s="20">
        <v>0.03</v>
      </c>
      <c r="Z6" s="20">
        <v>0.03</v>
      </c>
      <c r="AA6" s="20">
        <v>0.03</v>
      </c>
      <c r="AB6" s="20">
        <v>0.03</v>
      </c>
      <c r="AC6" s="20">
        <v>0.03</v>
      </c>
      <c r="AD6" s="20">
        <v>0.03</v>
      </c>
      <c r="AE6" s="20">
        <v>0.03</v>
      </c>
      <c r="AF6" s="20">
        <v>0.03</v>
      </c>
      <c r="AG6" s="20">
        <v>0.03</v>
      </c>
      <c r="AH6" s="20">
        <v>0.03</v>
      </c>
      <c r="AI6" s="20">
        <v>0.03</v>
      </c>
      <c r="AJ6" s="20">
        <v>0.03</v>
      </c>
      <c r="AK6" s="20">
        <v>0.03</v>
      </c>
      <c r="AL6" s="20">
        <v>0.03</v>
      </c>
      <c r="AM6" s="20">
        <v>0.03</v>
      </c>
      <c r="AN6" s="20">
        <v>0.04</v>
      </c>
      <c r="AO6" s="20">
        <v>0.03</v>
      </c>
      <c r="AP6" s="20">
        <v>0.03</v>
      </c>
      <c r="AQ6" s="20">
        <v>0.03</v>
      </c>
      <c r="AR6" s="20">
        <v>0.02</v>
      </c>
      <c r="AS6" s="20">
        <v>0.02</v>
      </c>
      <c r="AT6" s="20">
        <v>0.03</v>
      </c>
      <c r="AU6" s="20">
        <v>0.03</v>
      </c>
      <c r="AV6" s="20">
        <v>0.03</v>
      </c>
      <c r="AW6" s="20">
        <v>0.03</v>
      </c>
      <c r="AX6" s="20">
        <v>0.03</v>
      </c>
      <c r="AY6" s="20">
        <v>0.03</v>
      </c>
      <c r="AZ6" s="20">
        <v>0.03</v>
      </c>
      <c r="BA6" s="20">
        <v>0.03</v>
      </c>
      <c r="BB6" s="20">
        <v>0.03</v>
      </c>
      <c r="BC6" s="20">
        <v>0.03</v>
      </c>
      <c r="BD6" s="20">
        <v>0.02</v>
      </c>
      <c r="BE6" s="20">
        <v>0.02</v>
      </c>
      <c r="BF6" s="20">
        <v>0.02</v>
      </c>
      <c r="BG6" s="20">
        <v>0.03</v>
      </c>
      <c r="BH6" s="20">
        <v>0.02</v>
      </c>
      <c r="BI6" s="20">
        <v>0.02</v>
      </c>
      <c r="BJ6" s="20">
        <v>0.03</v>
      </c>
      <c r="BK6" s="20">
        <v>0.03</v>
      </c>
      <c r="BL6" s="20">
        <v>0.02</v>
      </c>
      <c r="BM6" s="20">
        <v>0.03</v>
      </c>
      <c r="BN6" s="20">
        <v>0.02</v>
      </c>
      <c r="BO6" s="20">
        <v>0.03</v>
      </c>
    </row>
    <row r="7" spans="1:68" x14ac:dyDescent="0.4">
      <c r="B7" s="20" t="s">
        <v>116</v>
      </c>
      <c r="C7" s="20">
        <v>0</v>
      </c>
      <c r="D7" s="20">
        <v>0</v>
      </c>
      <c r="E7" s="20">
        <v>0</v>
      </c>
      <c r="F7" s="20">
        <v>0</v>
      </c>
      <c r="G7" s="20">
        <v>0</v>
      </c>
      <c r="H7" s="20">
        <v>0</v>
      </c>
      <c r="I7" s="20">
        <v>0</v>
      </c>
      <c r="J7" s="20">
        <v>0</v>
      </c>
      <c r="K7" s="20">
        <v>0</v>
      </c>
      <c r="L7" s="20">
        <v>0</v>
      </c>
      <c r="M7" s="20">
        <v>0</v>
      </c>
      <c r="N7" s="20">
        <v>0</v>
      </c>
      <c r="O7" s="20">
        <v>0</v>
      </c>
      <c r="P7" s="20">
        <v>0</v>
      </c>
      <c r="Q7" s="20">
        <v>0</v>
      </c>
      <c r="R7" s="20">
        <v>0</v>
      </c>
      <c r="S7" s="20">
        <v>0</v>
      </c>
      <c r="T7" s="20">
        <v>0</v>
      </c>
      <c r="U7" s="20">
        <v>0</v>
      </c>
      <c r="V7" s="20">
        <v>0</v>
      </c>
      <c r="W7" s="20">
        <v>0</v>
      </c>
      <c r="X7" s="20">
        <v>0.01</v>
      </c>
      <c r="Y7" s="20">
        <v>0.01</v>
      </c>
      <c r="Z7" s="20">
        <v>0.01</v>
      </c>
      <c r="AA7" s="20">
        <v>0.01</v>
      </c>
      <c r="AB7" s="20">
        <v>0.01</v>
      </c>
      <c r="AC7" s="20">
        <v>0.01</v>
      </c>
      <c r="AD7" s="20">
        <v>0.01</v>
      </c>
      <c r="AE7" s="20">
        <v>0.01</v>
      </c>
      <c r="AF7" s="20">
        <v>0.01</v>
      </c>
      <c r="AG7" s="20">
        <v>0.01</v>
      </c>
      <c r="AH7" s="20">
        <v>0.01</v>
      </c>
      <c r="AI7" s="20">
        <v>0</v>
      </c>
      <c r="AJ7" s="20">
        <v>0</v>
      </c>
      <c r="AK7" s="20">
        <v>0</v>
      </c>
      <c r="AL7" s="20">
        <v>0</v>
      </c>
      <c r="AM7" s="20">
        <v>0</v>
      </c>
      <c r="AN7" s="20">
        <v>0.01</v>
      </c>
      <c r="AO7" s="20">
        <v>0.01</v>
      </c>
      <c r="AP7" s="20">
        <v>0.01</v>
      </c>
      <c r="AQ7" s="20">
        <v>0.01</v>
      </c>
      <c r="AR7" s="20">
        <v>0.01</v>
      </c>
      <c r="AS7" s="20">
        <v>0.01</v>
      </c>
      <c r="AT7" s="20">
        <v>0.01</v>
      </c>
      <c r="AU7" s="20">
        <v>0.01</v>
      </c>
      <c r="AV7" s="20">
        <v>0.01</v>
      </c>
      <c r="AW7" s="20">
        <v>0.01</v>
      </c>
      <c r="AX7" s="20">
        <v>0.01</v>
      </c>
      <c r="AY7" s="20">
        <v>0.01</v>
      </c>
      <c r="AZ7" s="20">
        <v>0</v>
      </c>
      <c r="BA7" s="20">
        <v>0.01</v>
      </c>
      <c r="BB7" s="20">
        <v>0</v>
      </c>
      <c r="BC7" s="20">
        <v>0.01</v>
      </c>
      <c r="BD7" s="20">
        <v>0</v>
      </c>
      <c r="BE7" s="20">
        <v>0.01</v>
      </c>
      <c r="BF7" s="20">
        <v>0.01</v>
      </c>
      <c r="BG7" s="20">
        <v>0.01</v>
      </c>
      <c r="BH7" s="20">
        <v>0.01</v>
      </c>
      <c r="BI7" s="20">
        <v>0.01</v>
      </c>
      <c r="BJ7" s="20">
        <v>0.01</v>
      </c>
      <c r="BK7" s="20">
        <v>0.01</v>
      </c>
      <c r="BL7" s="20">
        <v>0.01</v>
      </c>
      <c r="BM7" s="20">
        <v>0.01</v>
      </c>
      <c r="BN7" s="20">
        <v>0.01</v>
      </c>
      <c r="BO7" s="20">
        <v>0.01</v>
      </c>
    </row>
    <row r="8" spans="1:68" x14ac:dyDescent="0.4">
      <c r="B8" s="20" t="s">
        <v>117</v>
      </c>
      <c r="C8" s="20">
        <v>2.4691358024691301E-2</v>
      </c>
      <c r="D8" s="20">
        <v>2.3529411764705799E-2</v>
      </c>
      <c r="E8" s="20">
        <v>2.40963855421686E-2</v>
      </c>
      <c r="F8" s="20">
        <v>2.2988505747126398E-2</v>
      </c>
      <c r="G8" s="20">
        <v>2.1505376344085999E-2</v>
      </c>
      <c r="H8" s="20">
        <v>2.2471910112359501E-2</v>
      </c>
      <c r="I8" s="20">
        <v>3.4883720930232502E-2</v>
      </c>
      <c r="J8" s="20">
        <v>2.4390243902439001E-2</v>
      </c>
      <c r="K8" s="20">
        <v>2.3529411764705799E-2</v>
      </c>
      <c r="L8" s="20">
        <v>2.2222222222222199E-2</v>
      </c>
      <c r="M8" s="20">
        <v>2.19780219780219E-2</v>
      </c>
      <c r="N8" s="20">
        <v>2.2222222222222199E-2</v>
      </c>
      <c r="O8" s="20">
        <v>2.19780219780219E-2</v>
      </c>
      <c r="P8" s="20">
        <v>2.40963855421686E-2</v>
      </c>
      <c r="Q8" s="20">
        <v>2.19780219780219E-2</v>
      </c>
      <c r="R8" s="20">
        <v>2.1505376344085999E-2</v>
      </c>
      <c r="S8" s="20">
        <v>0.02</v>
      </c>
      <c r="T8" s="20">
        <v>0.02</v>
      </c>
      <c r="U8" s="20">
        <v>0.02</v>
      </c>
      <c r="V8" s="20">
        <v>0.02</v>
      </c>
      <c r="W8" s="20">
        <v>0.02</v>
      </c>
      <c r="X8" s="20">
        <v>0.02</v>
      </c>
      <c r="Y8" s="20">
        <v>0.02</v>
      </c>
      <c r="Z8" s="20">
        <v>0.02</v>
      </c>
      <c r="AA8" s="20">
        <v>0.03</v>
      </c>
      <c r="AB8" s="20">
        <v>0.03</v>
      </c>
      <c r="AC8" s="20">
        <v>0.02</v>
      </c>
      <c r="AD8" s="20">
        <v>0.02</v>
      </c>
      <c r="AE8" s="20">
        <v>0.02</v>
      </c>
      <c r="AF8" s="20">
        <v>0.02</v>
      </c>
      <c r="AG8" s="20">
        <v>0.03</v>
      </c>
      <c r="AH8" s="20">
        <v>0.02</v>
      </c>
      <c r="AI8" s="20">
        <v>0.02</v>
      </c>
      <c r="AJ8" s="20">
        <v>0.02</v>
      </c>
      <c r="AK8" s="20">
        <v>0.02</v>
      </c>
      <c r="AL8" s="20">
        <v>0.02</v>
      </c>
      <c r="AM8" s="20">
        <v>0.02</v>
      </c>
      <c r="AN8" s="20">
        <v>0.02</v>
      </c>
      <c r="AO8" s="20">
        <v>0.02</v>
      </c>
      <c r="AP8" s="20">
        <v>0.02</v>
      </c>
      <c r="AQ8" s="20">
        <v>0.02</v>
      </c>
      <c r="AR8" s="20">
        <v>0.02</v>
      </c>
      <c r="AS8" s="20">
        <v>0.03</v>
      </c>
      <c r="AT8" s="20">
        <v>0.03</v>
      </c>
      <c r="AU8" s="20">
        <v>0.02</v>
      </c>
      <c r="AV8" s="20">
        <v>0.03</v>
      </c>
      <c r="AW8" s="20">
        <v>0.03</v>
      </c>
      <c r="AX8" s="20">
        <v>0.03</v>
      </c>
      <c r="AY8" s="20">
        <v>0.03</v>
      </c>
      <c r="AZ8" s="20">
        <v>0.03</v>
      </c>
      <c r="BA8" s="20">
        <v>0.03</v>
      </c>
      <c r="BB8" s="20">
        <v>0.03</v>
      </c>
      <c r="BC8" s="20">
        <v>0.03</v>
      </c>
      <c r="BD8" s="20">
        <v>0.03</v>
      </c>
      <c r="BE8" s="20">
        <v>0.04</v>
      </c>
      <c r="BF8" s="20">
        <v>0.05</v>
      </c>
      <c r="BG8" s="20">
        <v>0.05</v>
      </c>
      <c r="BH8" s="20">
        <v>0.06</v>
      </c>
      <c r="BI8" s="20">
        <v>0.06</v>
      </c>
      <c r="BJ8" s="20">
        <v>0.06</v>
      </c>
      <c r="BK8" s="20">
        <v>0.06</v>
      </c>
      <c r="BL8" s="20">
        <v>7.0000000000000007E-2</v>
      </c>
      <c r="BM8" s="20">
        <v>0.06</v>
      </c>
      <c r="BN8" s="20">
        <v>0.06</v>
      </c>
      <c r="BO8" s="20">
        <v>0.06</v>
      </c>
    </row>
    <row r="9" spans="1:68" x14ac:dyDescent="0.4">
      <c r="B9" s="20" t="s">
        <v>118</v>
      </c>
      <c r="C9" s="20">
        <v>2.4691358024691301E-2</v>
      </c>
      <c r="D9" s="20">
        <v>2.3529411764705799E-2</v>
      </c>
      <c r="E9" s="20">
        <v>2.40963855421686E-2</v>
      </c>
      <c r="F9" s="20">
        <v>2.2988505747126398E-2</v>
      </c>
      <c r="G9" s="20">
        <v>2.1505376344085999E-2</v>
      </c>
      <c r="H9" s="20">
        <v>2.2471910112359501E-2</v>
      </c>
      <c r="I9" s="20">
        <v>2.3255813953488299E-2</v>
      </c>
      <c r="J9" s="20">
        <v>2.4390243902439001E-2</v>
      </c>
      <c r="K9" s="20">
        <v>2.3529411764705799E-2</v>
      </c>
      <c r="L9" s="20">
        <v>2.2222222222222199E-2</v>
      </c>
      <c r="M9" s="20">
        <v>2.19780219780219E-2</v>
      </c>
      <c r="N9" s="20">
        <v>1.1111111111111099E-2</v>
      </c>
      <c r="O9" s="20">
        <v>1.09890109890109E-2</v>
      </c>
      <c r="P9" s="20">
        <v>0</v>
      </c>
      <c r="Q9" s="20">
        <v>0</v>
      </c>
      <c r="R9" s="20">
        <v>0</v>
      </c>
      <c r="S9" s="20">
        <v>0.01</v>
      </c>
      <c r="T9" s="20">
        <v>0.01</v>
      </c>
      <c r="U9" s="20">
        <v>0.02</v>
      </c>
      <c r="V9" s="20">
        <v>0.02</v>
      </c>
      <c r="W9" s="20">
        <v>0.02</v>
      </c>
      <c r="X9" s="20">
        <v>0.02</v>
      </c>
      <c r="Y9" s="20">
        <v>0.02</v>
      </c>
      <c r="Z9" s="20">
        <v>0.02</v>
      </c>
      <c r="AA9" s="20">
        <v>0.02</v>
      </c>
      <c r="AB9" s="20">
        <v>0.02</v>
      </c>
      <c r="AC9" s="20">
        <v>0.01</v>
      </c>
      <c r="AD9" s="20">
        <v>0.01</v>
      </c>
      <c r="AE9" s="20">
        <v>0.01</v>
      </c>
      <c r="AF9" s="20">
        <v>0.01</v>
      </c>
      <c r="AG9" s="20">
        <v>0.01</v>
      </c>
      <c r="AH9" s="20">
        <v>0.01</v>
      </c>
      <c r="AI9" s="20">
        <v>0.01</v>
      </c>
      <c r="AJ9" s="20">
        <v>0.01</v>
      </c>
      <c r="AK9" s="20">
        <v>0.01</v>
      </c>
      <c r="AL9" s="20">
        <v>0.01</v>
      </c>
      <c r="AM9" s="20">
        <v>0.01</v>
      </c>
      <c r="AN9" s="20">
        <v>0.01</v>
      </c>
      <c r="AO9" s="20">
        <v>0.01</v>
      </c>
      <c r="AP9" s="20">
        <v>0.01</v>
      </c>
      <c r="AQ9" s="20">
        <v>0.01</v>
      </c>
      <c r="AR9" s="20">
        <v>0.01</v>
      </c>
      <c r="AS9" s="20">
        <v>0.01</v>
      </c>
      <c r="AT9" s="20">
        <v>0.01</v>
      </c>
      <c r="AU9" s="20">
        <v>0.01</v>
      </c>
      <c r="AV9" s="20">
        <v>0.01</v>
      </c>
      <c r="AW9" s="20">
        <v>0.01</v>
      </c>
      <c r="AX9" s="20">
        <v>0.01</v>
      </c>
      <c r="AY9" s="20">
        <v>0.01</v>
      </c>
      <c r="AZ9" s="20">
        <v>0.01</v>
      </c>
      <c r="BA9" s="20">
        <v>0.01</v>
      </c>
      <c r="BB9" s="20">
        <v>0.01</v>
      </c>
      <c r="BC9" s="20">
        <v>0.01</v>
      </c>
      <c r="BD9" s="20">
        <v>0.01</v>
      </c>
      <c r="BE9" s="20">
        <v>0.01</v>
      </c>
      <c r="BF9" s="20">
        <v>0.01</v>
      </c>
      <c r="BG9" s="20">
        <v>0.01</v>
      </c>
      <c r="BH9" s="20">
        <v>0.01</v>
      </c>
      <c r="BI9" s="20">
        <v>0.01</v>
      </c>
      <c r="BJ9" s="20">
        <v>0.01</v>
      </c>
      <c r="BK9" s="20">
        <v>0.01</v>
      </c>
      <c r="BL9" s="20">
        <v>0.01</v>
      </c>
      <c r="BM9" s="20">
        <v>0.01</v>
      </c>
      <c r="BN9" s="20">
        <v>0.01</v>
      </c>
      <c r="BO9" s="20">
        <v>0.01</v>
      </c>
    </row>
    <row r="10" spans="1:68" x14ac:dyDescent="0.4">
      <c r="B10" s="20" t="s">
        <v>119</v>
      </c>
      <c r="C10" s="20">
        <v>2.4691358024691301E-2</v>
      </c>
      <c r="D10" s="20">
        <v>2.3529411764705799E-2</v>
      </c>
      <c r="E10" s="20">
        <v>2.40963855421686E-2</v>
      </c>
      <c r="F10" s="20">
        <v>2.2988505747126398E-2</v>
      </c>
      <c r="G10" s="20">
        <v>2.1505376344085999E-2</v>
      </c>
      <c r="H10" s="20">
        <v>3.3707865168539297E-2</v>
      </c>
      <c r="I10" s="20">
        <v>3.4883720930232502E-2</v>
      </c>
      <c r="J10" s="20">
        <v>3.65853658536585E-2</v>
      </c>
      <c r="K10" s="20">
        <v>2.3529411764705799E-2</v>
      </c>
      <c r="L10" s="20">
        <v>2.2222222222222199E-2</v>
      </c>
      <c r="M10" s="20">
        <v>3.2967032967032898E-2</v>
      </c>
      <c r="N10" s="20">
        <v>3.3333333333333298E-2</v>
      </c>
      <c r="O10" s="20">
        <v>3.2967032967032898E-2</v>
      </c>
      <c r="P10" s="20">
        <v>3.6144578313252997E-2</v>
      </c>
      <c r="Q10" s="20">
        <v>3.2967032967032898E-2</v>
      </c>
      <c r="R10" s="20">
        <v>3.2258064516128997E-2</v>
      </c>
      <c r="S10" s="20">
        <v>0.06</v>
      </c>
      <c r="T10" s="20">
        <v>0.06</v>
      </c>
      <c r="U10" s="20">
        <v>0.05</v>
      </c>
      <c r="V10" s="20">
        <v>0.05</v>
      </c>
      <c r="W10" s="20">
        <v>0.04</v>
      </c>
      <c r="X10" s="20">
        <v>0.04</v>
      </c>
      <c r="Y10" s="20">
        <v>0.04</v>
      </c>
      <c r="Z10" s="20">
        <v>0.03</v>
      </c>
      <c r="AA10" s="20">
        <v>0.03</v>
      </c>
      <c r="AB10" s="20">
        <v>0.03</v>
      </c>
      <c r="AC10" s="20">
        <v>0.03</v>
      </c>
      <c r="AD10" s="20">
        <v>0.03</v>
      </c>
      <c r="AE10" s="20">
        <v>0.03</v>
      </c>
      <c r="AF10" s="20">
        <v>0.03</v>
      </c>
      <c r="AG10" s="20">
        <v>0.03</v>
      </c>
      <c r="AH10" s="20">
        <v>0.03</v>
      </c>
      <c r="AI10" s="20">
        <v>0.03</v>
      </c>
      <c r="AJ10" s="20">
        <v>0.04</v>
      </c>
      <c r="AK10" s="20">
        <v>0.04</v>
      </c>
      <c r="AL10" s="20">
        <v>0.04</v>
      </c>
      <c r="AM10" s="20">
        <v>0.04</v>
      </c>
      <c r="AN10" s="20">
        <v>0.05</v>
      </c>
      <c r="AO10" s="20">
        <v>0.04</v>
      </c>
      <c r="AP10" s="20">
        <v>0.04</v>
      </c>
      <c r="AQ10" s="20">
        <v>0.04</v>
      </c>
      <c r="AR10" s="20">
        <v>0.03</v>
      </c>
      <c r="AS10" s="20">
        <v>0.02</v>
      </c>
      <c r="AT10" s="20">
        <v>0.03</v>
      </c>
      <c r="AU10" s="20">
        <v>0.03</v>
      </c>
      <c r="AV10" s="20">
        <v>0.03</v>
      </c>
      <c r="AW10" s="20">
        <v>0.03</v>
      </c>
      <c r="AX10" s="20">
        <v>0.03</v>
      </c>
      <c r="AY10" s="20">
        <v>0.03</v>
      </c>
      <c r="AZ10" s="20">
        <v>0.03</v>
      </c>
      <c r="BA10" s="20">
        <v>0.03</v>
      </c>
      <c r="BB10" s="20">
        <v>0.03</v>
      </c>
      <c r="BC10" s="20">
        <v>0.03</v>
      </c>
      <c r="BD10" s="20">
        <v>0.02</v>
      </c>
      <c r="BE10" s="20">
        <v>0.02</v>
      </c>
      <c r="BF10" s="20">
        <v>0.02</v>
      </c>
      <c r="BG10" s="20">
        <v>0.02</v>
      </c>
      <c r="BH10" s="20">
        <v>0.02</v>
      </c>
      <c r="BI10" s="20">
        <v>0.02</v>
      </c>
      <c r="BJ10" s="20">
        <v>0.02</v>
      </c>
      <c r="BK10" s="20">
        <v>0.02</v>
      </c>
      <c r="BL10" s="20">
        <v>0.02</v>
      </c>
      <c r="BM10" s="20">
        <v>0.02</v>
      </c>
      <c r="BN10" s="20">
        <v>0.02</v>
      </c>
      <c r="BO10" s="20">
        <v>0.02</v>
      </c>
    </row>
    <row r="11" spans="1:68" x14ac:dyDescent="0.4">
      <c r="B11" s="20" t="s">
        <v>120</v>
      </c>
      <c r="C11" s="20">
        <v>0</v>
      </c>
      <c r="D11" s="20">
        <v>1.1764705882352899E-2</v>
      </c>
      <c r="E11" s="20">
        <v>1.20481927710843E-2</v>
      </c>
      <c r="F11" s="20">
        <v>1.1494252873563199E-2</v>
      </c>
      <c r="G11" s="20">
        <v>1.0752688172042999E-2</v>
      </c>
      <c r="H11" s="20">
        <v>1.12359550561797E-2</v>
      </c>
      <c r="I11" s="20">
        <v>1.1627906976744099E-2</v>
      </c>
      <c r="J11" s="20">
        <v>1.21951219512195E-2</v>
      </c>
      <c r="K11" s="20">
        <v>1.1764705882352899E-2</v>
      </c>
      <c r="L11" s="20">
        <v>1.1111111111111099E-2</v>
      </c>
      <c r="M11" s="20">
        <v>1.09890109890109E-2</v>
      </c>
      <c r="N11" s="20">
        <v>1.1111111111111099E-2</v>
      </c>
      <c r="O11" s="20">
        <v>1.09890109890109E-2</v>
      </c>
      <c r="P11" s="20">
        <v>1.20481927710843E-2</v>
      </c>
      <c r="Q11" s="20">
        <v>1.09890109890109E-2</v>
      </c>
      <c r="R11" s="20">
        <v>1.0752688172042999E-2</v>
      </c>
      <c r="S11" s="20">
        <v>0.01</v>
      </c>
      <c r="T11" s="20">
        <v>0.01</v>
      </c>
      <c r="U11" s="20">
        <v>0.01</v>
      </c>
      <c r="V11" s="20">
        <v>0.02</v>
      </c>
      <c r="W11" s="20">
        <v>0.01</v>
      </c>
      <c r="X11" s="20">
        <v>0.01</v>
      </c>
      <c r="Y11" s="20">
        <v>0.01</v>
      </c>
      <c r="Z11" s="20">
        <v>0.01</v>
      </c>
      <c r="AA11" s="20">
        <v>0.01</v>
      </c>
      <c r="AB11" s="20">
        <v>0.01</v>
      </c>
      <c r="AC11" s="20">
        <v>0.01</v>
      </c>
      <c r="AD11" s="20">
        <v>0.01</v>
      </c>
      <c r="AE11" s="20">
        <v>0.01</v>
      </c>
      <c r="AF11" s="20">
        <v>0.01</v>
      </c>
      <c r="AG11" s="20">
        <v>0.01</v>
      </c>
      <c r="AH11" s="20">
        <v>0.01</v>
      </c>
      <c r="AI11" s="20">
        <v>0.01</v>
      </c>
      <c r="AJ11" s="20">
        <v>0.01</v>
      </c>
      <c r="AK11" s="20">
        <v>0.01</v>
      </c>
      <c r="AL11" s="20">
        <v>0.01</v>
      </c>
      <c r="AM11" s="20">
        <v>0.01</v>
      </c>
      <c r="AN11" s="20">
        <v>0.01</v>
      </c>
      <c r="AO11" s="20">
        <v>0.01</v>
      </c>
      <c r="AP11" s="20">
        <v>0.01</v>
      </c>
      <c r="AQ11" s="20">
        <v>0.01</v>
      </c>
      <c r="AR11" s="20">
        <v>0.01</v>
      </c>
      <c r="AS11" s="20">
        <v>0.01</v>
      </c>
      <c r="AT11" s="20">
        <v>0.01</v>
      </c>
      <c r="AU11" s="20">
        <v>0.01</v>
      </c>
      <c r="AV11" s="20">
        <v>0.01</v>
      </c>
      <c r="AW11" s="20">
        <v>0.02</v>
      </c>
      <c r="AX11" s="20">
        <v>0.02</v>
      </c>
      <c r="AY11" s="20">
        <v>0.02</v>
      </c>
      <c r="AZ11" s="20">
        <v>0.02</v>
      </c>
      <c r="BA11" s="20">
        <v>0.02</v>
      </c>
      <c r="BB11" s="20">
        <v>0.02</v>
      </c>
      <c r="BC11" s="20">
        <v>0.02</v>
      </c>
      <c r="BD11" s="20">
        <v>0.02</v>
      </c>
      <c r="BE11" s="20">
        <v>0.02</v>
      </c>
      <c r="BF11" s="20">
        <v>0.02</v>
      </c>
      <c r="BG11" s="20">
        <v>0.02</v>
      </c>
      <c r="BH11" s="20">
        <v>0.02</v>
      </c>
      <c r="BI11" s="20">
        <v>0.02</v>
      </c>
      <c r="BJ11" s="20">
        <v>0.02</v>
      </c>
      <c r="BK11" s="20">
        <v>0.02</v>
      </c>
      <c r="BL11" s="20">
        <v>0.02</v>
      </c>
      <c r="BM11" s="20">
        <v>0.02</v>
      </c>
      <c r="BN11" s="20">
        <v>0.02</v>
      </c>
      <c r="BO11" s="20">
        <v>0.02</v>
      </c>
    </row>
    <row r="12" spans="1:68" x14ac:dyDescent="0.4">
      <c r="B12" s="20" t="s">
        <v>121</v>
      </c>
      <c r="C12" s="20">
        <v>7.4074074074074001E-2</v>
      </c>
      <c r="D12" s="20">
        <v>7.0588235294117604E-2</v>
      </c>
      <c r="E12" s="20">
        <v>7.2289156626505993E-2</v>
      </c>
      <c r="F12" s="20">
        <v>8.04597701149425E-2</v>
      </c>
      <c r="G12" s="20">
        <v>0.118279569892473</v>
      </c>
      <c r="H12" s="20">
        <v>0.112359550561797</v>
      </c>
      <c r="I12" s="20">
        <v>0.104651162790697</v>
      </c>
      <c r="J12" s="20">
        <v>9.7560975609756101E-2</v>
      </c>
      <c r="K12" s="20">
        <v>8.2352941176470504E-2</v>
      </c>
      <c r="L12" s="20">
        <v>0.1</v>
      </c>
      <c r="M12" s="20">
        <v>0.109890109890109</v>
      </c>
      <c r="N12" s="20">
        <v>0.11111111111111099</v>
      </c>
      <c r="O12" s="20">
        <v>0.14285714285714199</v>
      </c>
      <c r="P12" s="20">
        <v>0.108433734939759</v>
      </c>
      <c r="Q12" s="20">
        <v>9.8901098901098897E-2</v>
      </c>
      <c r="R12" s="20">
        <v>9.6774193548387094E-2</v>
      </c>
      <c r="S12" s="20">
        <v>0.12</v>
      </c>
      <c r="T12" s="20">
        <v>0.11</v>
      </c>
      <c r="U12" s="20">
        <v>0.09</v>
      </c>
      <c r="V12" s="20">
        <v>0.12</v>
      </c>
      <c r="W12" s="20">
        <v>0.15</v>
      </c>
      <c r="X12" s="20">
        <v>0.15</v>
      </c>
      <c r="Y12" s="20">
        <v>0.14000000000000001</v>
      </c>
      <c r="Z12" s="20">
        <v>0.14000000000000001</v>
      </c>
      <c r="AA12" s="20">
        <v>0.09</v>
      </c>
      <c r="AB12" s="20">
        <v>0.08</v>
      </c>
      <c r="AC12" s="20">
        <v>0.13</v>
      </c>
      <c r="AD12" s="20">
        <v>0.08</v>
      </c>
      <c r="AE12" s="20">
        <v>7.0000000000000007E-2</v>
      </c>
      <c r="AF12" s="20">
        <v>0.08</v>
      </c>
      <c r="AG12" s="20">
        <v>0.05</v>
      </c>
      <c r="AH12" s="20">
        <v>0.04</v>
      </c>
      <c r="AI12" s="20">
        <v>0.05</v>
      </c>
      <c r="AJ12" s="20">
        <v>0.06</v>
      </c>
      <c r="AK12" s="20">
        <v>0.09</v>
      </c>
      <c r="AL12" s="20">
        <v>0.1</v>
      </c>
      <c r="AM12" s="20">
        <v>0.1</v>
      </c>
      <c r="AN12" s="20">
        <v>0.06</v>
      </c>
      <c r="AO12" s="20">
        <v>0.05</v>
      </c>
      <c r="AP12" s="20">
        <v>7.0000000000000007E-2</v>
      </c>
      <c r="AQ12" s="20">
        <v>0.09</v>
      </c>
      <c r="AR12" s="20">
        <v>7.0000000000000007E-2</v>
      </c>
      <c r="AS12" s="20">
        <v>7.0000000000000007E-2</v>
      </c>
      <c r="AT12" s="20">
        <v>7.0000000000000007E-2</v>
      </c>
      <c r="AU12" s="20">
        <v>0.1</v>
      </c>
      <c r="AV12" s="20">
        <v>0.1</v>
      </c>
      <c r="AW12" s="20">
        <v>0.1</v>
      </c>
      <c r="AX12" s="20">
        <v>0.14000000000000001</v>
      </c>
      <c r="AY12" s="20">
        <v>0.14000000000000001</v>
      </c>
      <c r="AZ12" s="20">
        <v>0.16</v>
      </c>
      <c r="BA12" s="20">
        <v>0.1</v>
      </c>
      <c r="BB12" s="20">
        <v>0.13</v>
      </c>
      <c r="BC12" s="20">
        <v>0.09</v>
      </c>
      <c r="BD12" s="20">
        <v>0.13</v>
      </c>
      <c r="BE12" s="20">
        <v>0.09</v>
      </c>
      <c r="BF12" s="20">
        <v>0.1</v>
      </c>
      <c r="BG12" s="20">
        <v>0.08</v>
      </c>
      <c r="BH12" s="20">
        <v>0.05</v>
      </c>
      <c r="BI12" s="20">
        <v>0.04</v>
      </c>
      <c r="BJ12" s="20">
        <v>7.0000000000000007E-2</v>
      </c>
      <c r="BK12" s="20">
        <v>0.08</v>
      </c>
      <c r="BL12" s="20">
        <v>0.06</v>
      </c>
      <c r="BM12" s="20">
        <v>0.09</v>
      </c>
      <c r="BN12" s="20">
        <v>0.14000000000000001</v>
      </c>
      <c r="BO12" s="20">
        <v>0.12</v>
      </c>
    </row>
    <row r="13" spans="1:68" x14ac:dyDescent="0.4">
      <c r="B13" s="20" t="s">
        <v>122</v>
      </c>
      <c r="C13" s="20">
        <v>2.4691358024691301E-2</v>
      </c>
      <c r="D13" s="20">
        <v>2.3529411764705799E-2</v>
      </c>
      <c r="E13" s="20">
        <v>2.40963855421686E-2</v>
      </c>
      <c r="F13" s="20">
        <v>2.2988505747126398E-2</v>
      </c>
      <c r="G13" s="20">
        <v>2.1505376344085999E-2</v>
      </c>
      <c r="H13" s="20">
        <v>2.2471910112359501E-2</v>
      </c>
      <c r="I13" s="20">
        <v>3.4883720930232502E-2</v>
      </c>
      <c r="J13" s="20">
        <v>2.4390243902439001E-2</v>
      </c>
      <c r="K13" s="20">
        <v>2.3529411764705799E-2</v>
      </c>
      <c r="L13" s="20">
        <v>2.2222222222222199E-2</v>
      </c>
      <c r="M13" s="20">
        <v>2.19780219780219E-2</v>
      </c>
      <c r="N13" s="20">
        <v>2.2222222222222199E-2</v>
      </c>
      <c r="O13" s="20">
        <v>2.19780219780219E-2</v>
      </c>
      <c r="P13" s="20">
        <v>2.40963855421686E-2</v>
      </c>
      <c r="Q13" s="20">
        <v>2.19780219780219E-2</v>
      </c>
      <c r="R13" s="20">
        <v>2.1505376344085999E-2</v>
      </c>
      <c r="S13" s="20">
        <v>0.02</v>
      </c>
      <c r="T13" s="20">
        <v>0.02</v>
      </c>
      <c r="U13" s="20">
        <v>0.02</v>
      </c>
      <c r="V13" s="20">
        <v>0.02</v>
      </c>
      <c r="W13" s="20">
        <v>0.02</v>
      </c>
      <c r="X13" s="20">
        <v>0.02</v>
      </c>
      <c r="Y13" s="20">
        <v>0.02</v>
      </c>
      <c r="Z13" s="20">
        <v>0.02</v>
      </c>
      <c r="AA13" s="20">
        <v>0.02</v>
      </c>
      <c r="AB13" s="20">
        <v>0.02</v>
      </c>
      <c r="AC13" s="20">
        <v>0.02</v>
      </c>
      <c r="AD13" s="20">
        <v>0.03</v>
      </c>
      <c r="AE13" s="20">
        <v>0.03</v>
      </c>
      <c r="AF13" s="20">
        <v>0.03</v>
      </c>
      <c r="AG13" s="20">
        <v>0.03</v>
      </c>
      <c r="AH13" s="20">
        <v>0.03</v>
      </c>
      <c r="AI13" s="20">
        <v>0.03</v>
      </c>
      <c r="AJ13" s="20">
        <v>0.03</v>
      </c>
      <c r="AK13" s="20">
        <v>0.03</v>
      </c>
      <c r="AL13" s="20">
        <v>0.03</v>
      </c>
      <c r="AM13" s="20">
        <v>0.02</v>
      </c>
      <c r="AN13" s="20">
        <v>0.02</v>
      </c>
      <c r="AO13" s="20">
        <v>0.02</v>
      </c>
      <c r="AP13" s="20">
        <v>0.02</v>
      </c>
      <c r="AQ13" s="20">
        <v>0.03</v>
      </c>
      <c r="AR13" s="20">
        <v>0.03</v>
      </c>
      <c r="AS13" s="20">
        <v>0.03</v>
      </c>
      <c r="AT13" s="20">
        <v>0.04</v>
      </c>
      <c r="AU13" s="20">
        <v>0.04</v>
      </c>
      <c r="AV13" s="20">
        <v>0.05</v>
      </c>
      <c r="AW13" s="20">
        <v>0.05</v>
      </c>
      <c r="AX13" s="20">
        <v>0.05</v>
      </c>
      <c r="AY13" s="20">
        <v>0.04</v>
      </c>
      <c r="AZ13" s="20">
        <v>0.05</v>
      </c>
      <c r="BA13" s="20">
        <v>0.05</v>
      </c>
      <c r="BB13" s="20">
        <v>0.05</v>
      </c>
      <c r="BC13" s="20">
        <v>0.05</v>
      </c>
      <c r="BD13" s="20">
        <v>0.04</v>
      </c>
      <c r="BE13" s="20">
        <v>0.05</v>
      </c>
      <c r="BF13" s="20">
        <v>0.05</v>
      </c>
      <c r="BG13" s="20">
        <v>0.05</v>
      </c>
      <c r="BH13" s="20">
        <v>0.05</v>
      </c>
      <c r="BI13" s="20">
        <v>0.05</v>
      </c>
      <c r="BJ13" s="20">
        <v>0.05</v>
      </c>
      <c r="BK13" s="20">
        <v>0.05</v>
      </c>
      <c r="BL13" s="20">
        <v>0.05</v>
      </c>
      <c r="BM13" s="20">
        <v>0.04</v>
      </c>
      <c r="BN13" s="20">
        <v>0.05</v>
      </c>
      <c r="BO13" s="20">
        <v>0.04</v>
      </c>
    </row>
    <row r="14" spans="1:68" x14ac:dyDescent="0.4">
      <c r="B14" s="20" t="s">
        <v>123</v>
      </c>
      <c r="C14" s="20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0</v>
      </c>
      <c r="Q14" s="20">
        <v>0</v>
      </c>
      <c r="R14" s="20">
        <v>0</v>
      </c>
      <c r="S14" s="20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0">
        <v>0</v>
      </c>
      <c r="AD14" s="20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  <c r="AY14" s="20">
        <v>0</v>
      </c>
      <c r="AZ14" s="20">
        <v>0.01</v>
      </c>
      <c r="BA14" s="20">
        <v>0.01</v>
      </c>
      <c r="BB14" s="20">
        <v>0.01</v>
      </c>
      <c r="BC14" s="20">
        <v>0.01</v>
      </c>
      <c r="BD14" s="20">
        <v>0.01</v>
      </c>
      <c r="BE14" s="20">
        <v>0.01</v>
      </c>
      <c r="BF14" s="20">
        <v>0.01</v>
      </c>
      <c r="BG14" s="20">
        <v>0.01</v>
      </c>
      <c r="BH14" s="20">
        <v>0</v>
      </c>
      <c r="BI14" s="20">
        <v>0</v>
      </c>
      <c r="BJ14" s="20">
        <v>0</v>
      </c>
      <c r="BK14" s="20">
        <v>0</v>
      </c>
      <c r="BL14" s="20">
        <v>0.01</v>
      </c>
      <c r="BM14" s="20">
        <v>0.01</v>
      </c>
      <c r="BN14" s="20">
        <v>0</v>
      </c>
      <c r="BO14" s="20">
        <v>0</v>
      </c>
    </row>
    <row r="15" spans="1:68" x14ac:dyDescent="0.4">
      <c r="B15" s="20" t="s">
        <v>124</v>
      </c>
      <c r="C15" s="20">
        <v>0</v>
      </c>
      <c r="D15" s="20">
        <v>0</v>
      </c>
      <c r="E15" s="20">
        <v>0</v>
      </c>
      <c r="F15" s="20">
        <v>0</v>
      </c>
      <c r="G15" s="20">
        <v>0</v>
      </c>
      <c r="H15" s="20">
        <v>0</v>
      </c>
      <c r="I15" s="20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0</v>
      </c>
      <c r="AA15" s="20">
        <v>0</v>
      </c>
      <c r="AB15" s="20">
        <v>0.01</v>
      </c>
      <c r="AC15" s="20">
        <v>0.01</v>
      </c>
      <c r="AD15" s="20">
        <v>0.01</v>
      </c>
      <c r="AE15" s="20">
        <v>0.01</v>
      </c>
      <c r="AF15" s="20">
        <v>0.01</v>
      </c>
      <c r="AG15" s="20">
        <v>0.01</v>
      </c>
      <c r="AH15" s="20">
        <v>0</v>
      </c>
      <c r="AI15" s="20">
        <v>0.01</v>
      </c>
      <c r="AJ15" s="20">
        <v>0.01</v>
      </c>
      <c r="AK15" s="20">
        <v>0.01</v>
      </c>
      <c r="AL15" s="20">
        <v>0.01</v>
      </c>
      <c r="AM15" s="20">
        <v>0.01</v>
      </c>
      <c r="AN15" s="20">
        <v>0.01</v>
      </c>
      <c r="AO15" s="20">
        <v>0.01</v>
      </c>
      <c r="AP15" s="20">
        <v>0.01</v>
      </c>
      <c r="AQ15" s="20">
        <v>0.01</v>
      </c>
      <c r="AR15" s="20">
        <v>0.01</v>
      </c>
      <c r="AS15" s="20">
        <v>0.01</v>
      </c>
      <c r="AT15" s="20">
        <v>0</v>
      </c>
      <c r="AU15" s="20">
        <v>0.01</v>
      </c>
      <c r="AV15" s="20">
        <v>0.01</v>
      </c>
      <c r="AW15" s="20">
        <v>0</v>
      </c>
      <c r="AX15" s="20">
        <v>0.01</v>
      </c>
      <c r="AY15" s="20">
        <v>0.01</v>
      </c>
      <c r="AZ15" s="20">
        <v>0.01</v>
      </c>
      <c r="BA15" s="20">
        <v>0.01</v>
      </c>
      <c r="BB15" s="20">
        <v>0.01</v>
      </c>
      <c r="BC15" s="20">
        <v>0.01</v>
      </c>
      <c r="BD15" s="20">
        <v>0.01</v>
      </c>
      <c r="BE15" s="20">
        <v>0.01</v>
      </c>
      <c r="BF15" s="20">
        <v>0.01</v>
      </c>
      <c r="BG15" s="20">
        <v>0.01</v>
      </c>
      <c r="BH15" s="20">
        <v>0.01</v>
      </c>
      <c r="BI15" s="20">
        <v>0.01</v>
      </c>
      <c r="BJ15" s="20">
        <v>0.01</v>
      </c>
      <c r="BK15" s="20">
        <v>0.01</v>
      </c>
      <c r="BL15" s="20">
        <v>0.01</v>
      </c>
      <c r="BM15" s="20">
        <v>0.01</v>
      </c>
      <c r="BN15" s="20">
        <v>0.01</v>
      </c>
      <c r="BO15" s="20">
        <v>0.01</v>
      </c>
    </row>
    <row r="16" spans="1:68" x14ac:dyDescent="0.4">
      <c r="B16" s="20" t="s">
        <v>125</v>
      </c>
      <c r="C16" s="20">
        <v>2.4691358024691301E-2</v>
      </c>
      <c r="D16" s="20">
        <v>2.3529411764705799E-2</v>
      </c>
      <c r="E16" s="20">
        <v>2.40963855421686E-2</v>
      </c>
      <c r="F16" s="20">
        <v>2.2988505747126398E-2</v>
      </c>
      <c r="G16" s="20">
        <v>3.2258064516128997E-2</v>
      </c>
      <c r="H16" s="20">
        <v>3.3707865168539297E-2</v>
      </c>
      <c r="I16" s="20">
        <v>3.4883720930232502E-2</v>
      </c>
      <c r="J16" s="20">
        <v>3.65853658536585E-2</v>
      </c>
      <c r="K16" s="20">
        <v>2.3529411764705799E-2</v>
      </c>
      <c r="L16" s="20">
        <v>3.3333333333333298E-2</v>
      </c>
      <c r="M16" s="20">
        <v>3.2967032967032898E-2</v>
      </c>
      <c r="N16" s="20">
        <v>3.3333333333333298E-2</v>
      </c>
      <c r="O16" s="20">
        <v>3.2967032967032898E-2</v>
      </c>
      <c r="P16" s="20">
        <v>3.6144578313252997E-2</v>
      </c>
      <c r="Q16" s="20">
        <v>3.2967032967032898E-2</v>
      </c>
      <c r="R16" s="20">
        <v>2.1505376344085999E-2</v>
      </c>
      <c r="S16" s="20">
        <v>0.02</v>
      </c>
      <c r="T16" s="20">
        <v>0.03</v>
      </c>
      <c r="U16" s="20">
        <v>0.04</v>
      </c>
      <c r="V16" s="20">
        <v>0.04</v>
      </c>
      <c r="W16" s="20">
        <v>0.04</v>
      </c>
      <c r="X16" s="20">
        <v>0.04</v>
      </c>
      <c r="Y16" s="20">
        <v>0.06</v>
      </c>
      <c r="Z16" s="20">
        <v>0.06</v>
      </c>
      <c r="AA16" s="20">
        <v>0.06</v>
      </c>
      <c r="AB16" s="20">
        <v>0.06</v>
      </c>
      <c r="AC16" s="20">
        <v>0.05</v>
      </c>
      <c r="AD16" s="20">
        <v>0.05</v>
      </c>
      <c r="AE16" s="20">
        <v>0.05</v>
      </c>
      <c r="AF16" s="20">
        <v>0.04</v>
      </c>
      <c r="AG16" s="20">
        <v>0.05</v>
      </c>
      <c r="AH16" s="20">
        <v>0.04</v>
      </c>
      <c r="AI16" s="20">
        <v>0.04</v>
      </c>
      <c r="AJ16" s="20">
        <v>0.04</v>
      </c>
      <c r="AK16" s="20">
        <v>0.04</v>
      </c>
      <c r="AL16" s="20">
        <v>0.05</v>
      </c>
      <c r="AM16" s="20">
        <v>0.04</v>
      </c>
      <c r="AN16" s="20">
        <v>0.04</v>
      </c>
      <c r="AO16" s="20">
        <v>0.04</v>
      </c>
      <c r="AP16" s="20">
        <v>0.03</v>
      </c>
      <c r="AQ16" s="20">
        <v>0.03</v>
      </c>
      <c r="AR16" s="20">
        <v>0.03</v>
      </c>
      <c r="AS16" s="20">
        <v>0.03</v>
      </c>
      <c r="AT16" s="20">
        <v>0.03</v>
      </c>
      <c r="AU16" s="20">
        <v>0.02</v>
      </c>
      <c r="AV16" s="20">
        <v>0.03</v>
      </c>
      <c r="AW16" s="20">
        <v>0.03</v>
      </c>
      <c r="AX16" s="20">
        <v>0.03</v>
      </c>
      <c r="AY16" s="20">
        <v>0.03</v>
      </c>
      <c r="AZ16" s="20">
        <v>0.03</v>
      </c>
      <c r="BA16" s="20">
        <v>0.03</v>
      </c>
      <c r="BB16" s="20">
        <v>0.03</v>
      </c>
      <c r="BC16" s="20">
        <v>0.03</v>
      </c>
      <c r="BD16" s="20">
        <v>0.03</v>
      </c>
      <c r="BE16" s="20">
        <v>0.03</v>
      </c>
      <c r="BF16" s="20">
        <v>0.03</v>
      </c>
      <c r="BG16" s="20">
        <v>0.03</v>
      </c>
      <c r="BH16" s="20">
        <v>0.03</v>
      </c>
      <c r="BI16" s="20">
        <v>0.04</v>
      </c>
      <c r="BJ16" s="20">
        <v>0.03</v>
      </c>
      <c r="BK16" s="20">
        <v>0.03</v>
      </c>
      <c r="BL16" s="20">
        <v>0.03</v>
      </c>
      <c r="BM16" s="20">
        <v>0.03</v>
      </c>
      <c r="BN16" s="20">
        <v>0.03</v>
      </c>
      <c r="BO16" s="20">
        <v>0.03</v>
      </c>
    </row>
    <row r="17" spans="2:67" x14ac:dyDescent="0.4">
      <c r="B17" s="20" t="s">
        <v>126</v>
      </c>
      <c r="C17" s="20">
        <v>0.11111111111111099</v>
      </c>
      <c r="D17" s="20">
        <v>0.105882352941176</v>
      </c>
      <c r="E17" s="20">
        <v>0.108433734939759</v>
      </c>
      <c r="F17" s="20">
        <v>9.1954022988505704E-2</v>
      </c>
      <c r="G17" s="20">
        <v>9.6774193548387094E-2</v>
      </c>
      <c r="H17" s="20">
        <v>0.101123595505617</v>
      </c>
      <c r="I17" s="20">
        <v>9.3023255813953404E-2</v>
      </c>
      <c r="J17" s="20">
        <v>9.7560975609756101E-2</v>
      </c>
      <c r="K17" s="20">
        <v>0.105882352941176</v>
      </c>
      <c r="L17" s="20">
        <v>0.1</v>
      </c>
      <c r="M17" s="20">
        <v>9.8901098901098897E-2</v>
      </c>
      <c r="N17" s="20">
        <v>0.1</v>
      </c>
      <c r="O17" s="20">
        <v>9.8901098901098897E-2</v>
      </c>
      <c r="P17" s="20">
        <v>9.6385542168674704E-2</v>
      </c>
      <c r="Q17" s="20">
        <v>0.109890109890109</v>
      </c>
      <c r="R17" s="20">
        <v>0.10752688172043</v>
      </c>
      <c r="S17" s="20">
        <v>0.1</v>
      </c>
      <c r="T17" s="20">
        <v>0.09</v>
      </c>
      <c r="U17" s="20">
        <v>0.09</v>
      </c>
      <c r="V17" s="20">
        <v>0.08</v>
      </c>
      <c r="W17" s="20">
        <v>0.08</v>
      </c>
      <c r="X17" s="20">
        <v>0.08</v>
      </c>
      <c r="Y17" s="20">
        <v>0.08</v>
      </c>
      <c r="Z17" s="20">
        <v>0.09</v>
      </c>
      <c r="AA17" s="20">
        <v>0.1</v>
      </c>
      <c r="AB17" s="20">
        <v>0.11</v>
      </c>
      <c r="AC17" s="20">
        <v>0.13</v>
      </c>
      <c r="AD17" s="20">
        <v>0.13</v>
      </c>
      <c r="AE17" s="20">
        <v>0.13</v>
      </c>
      <c r="AF17" s="20">
        <v>0.12</v>
      </c>
      <c r="AG17" s="20">
        <v>0.13</v>
      </c>
      <c r="AH17" s="20">
        <v>0.13</v>
      </c>
      <c r="AI17" s="20">
        <v>0.13</v>
      </c>
      <c r="AJ17" s="20">
        <v>0.13</v>
      </c>
      <c r="AK17" s="20">
        <v>0.13</v>
      </c>
      <c r="AL17" s="20">
        <v>0.14000000000000001</v>
      </c>
      <c r="AM17" s="20">
        <v>0.14000000000000001</v>
      </c>
      <c r="AN17" s="20">
        <v>0.14000000000000001</v>
      </c>
      <c r="AO17" s="20">
        <v>0.15</v>
      </c>
      <c r="AP17" s="20">
        <v>0.14000000000000001</v>
      </c>
      <c r="AQ17" s="20">
        <v>0.15</v>
      </c>
      <c r="AR17" s="20">
        <v>0.16</v>
      </c>
      <c r="AS17" s="20">
        <v>0.15</v>
      </c>
      <c r="AT17" s="20">
        <v>0.14000000000000001</v>
      </c>
      <c r="AU17" s="20">
        <v>0.14000000000000001</v>
      </c>
      <c r="AV17" s="20">
        <v>0.12</v>
      </c>
      <c r="AW17" s="20">
        <v>0.12</v>
      </c>
      <c r="AX17" s="20">
        <v>0.11</v>
      </c>
      <c r="AY17" s="20">
        <v>0.11</v>
      </c>
      <c r="AZ17" s="20">
        <v>0.1</v>
      </c>
      <c r="BA17" s="20">
        <v>0.11</v>
      </c>
      <c r="BB17" s="20">
        <v>0.1</v>
      </c>
      <c r="BC17" s="20">
        <v>0.1</v>
      </c>
      <c r="BD17" s="20">
        <v>0.1</v>
      </c>
      <c r="BE17" s="20">
        <v>0.1</v>
      </c>
      <c r="BF17" s="20">
        <v>0.09</v>
      </c>
      <c r="BG17" s="20">
        <v>0.09</v>
      </c>
      <c r="BH17" s="20">
        <v>0.09</v>
      </c>
      <c r="BI17" s="20">
        <v>0.09</v>
      </c>
      <c r="BJ17" s="20">
        <v>0.09</v>
      </c>
      <c r="BK17" s="20">
        <v>0.1</v>
      </c>
      <c r="BL17" s="20">
        <v>0.09</v>
      </c>
      <c r="BM17" s="20">
        <v>0.09</v>
      </c>
      <c r="BN17" s="20">
        <v>0.09</v>
      </c>
      <c r="BO17" s="20">
        <v>0.1</v>
      </c>
    </row>
    <row r="18" spans="2:67" x14ac:dyDescent="0.4">
      <c r="B18" s="20" t="s">
        <v>127</v>
      </c>
      <c r="C18" s="20">
        <v>3.7037037037037E-2</v>
      </c>
      <c r="D18" s="20">
        <v>3.5294117647058802E-2</v>
      </c>
      <c r="E18" s="20">
        <v>3.6144578313252997E-2</v>
      </c>
      <c r="F18" s="20">
        <v>3.4482758620689599E-2</v>
      </c>
      <c r="G18" s="20">
        <v>3.2258064516128997E-2</v>
      </c>
      <c r="H18" s="20">
        <v>2.2471910112359501E-2</v>
      </c>
      <c r="I18" s="20">
        <v>2.3255813953488299E-2</v>
      </c>
      <c r="J18" s="20">
        <v>2.4390243902439001E-2</v>
      </c>
      <c r="K18" s="20">
        <v>2.3529411764705799E-2</v>
      </c>
      <c r="L18" s="20">
        <v>2.2222222222222199E-2</v>
      </c>
      <c r="M18" s="20">
        <v>2.19780219780219E-2</v>
      </c>
      <c r="N18" s="20">
        <v>2.2222222222222199E-2</v>
      </c>
      <c r="O18" s="20">
        <v>2.19780219780219E-2</v>
      </c>
      <c r="P18" s="20">
        <v>2.40963855421686E-2</v>
      </c>
      <c r="Q18" s="20">
        <v>2.19780219780219E-2</v>
      </c>
      <c r="R18" s="20">
        <v>2.1505376344085999E-2</v>
      </c>
      <c r="S18" s="20">
        <v>0.02</v>
      </c>
      <c r="T18" s="20">
        <v>0.02</v>
      </c>
      <c r="U18" s="20">
        <v>0.02</v>
      </c>
      <c r="V18" s="20">
        <v>0.02</v>
      </c>
      <c r="W18" s="20">
        <v>0.02</v>
      </c>
      <c r="X18" s="20">
        <v>0.02</v>
      </c>
      <c r="Y18" s="20">
        <v>0.02</v>
      </c>
      <c r="Z18" s="20">
        <v>0.02</v>
      </c>
      <c r="AA18" s="20">
        <v>0.02</v>
      </c>
      <c r="AB18" s="20">
        <v>0.02</v>
      </c>
      <c r="AC18" s="20">
        <v>0.02</v>
      </c>
      <c r="AD18" s="20">
        <v>0.02</v>
      </c>
      <c r="AE18" s="20">
        <v>0.02</v>
      </c>
      <c r="AF18" s="20">
        <v>0.02</v>
      </c>
      <c r="AG18" s="20">
        <v>0.02</v>
      </c>
      <c r="AH18" s="20">
        <v>0.01</v>
      </c>
      <c r="AI18" s="20">
        <v>0.02</v>
      </c>
      <c r="AJ18" s="20">
        <v>0.03</v>
      </c>
      <c r="AK18" s="20">
        <v>0.03</v>
      </c>
      <c r="AL18" s="20">
        <v>0.03</v>
      </c>
      <c r="AM18" s="20">
        <v>0.03</v>
      </c>
      <c r="AN18" s="20">
        <v>0.03</v>
      </c>
      <c r="AO18" s="20">
        <v>0.04</v>
      </c>
      <c r="AP18" s="20">
        <v>0.03</v>
      </c>
      <c r="AQ18" s="20">
        <v>0.03</v>
      </c>
      <c r="AR18" s="20">
        <v>0.03</v>
      </c>
      <c r="AS18" s="20">
        <v>0.04</v>
      </c>
      <c r="AT18" s="20">
        <v>0.04</v>
      </c>
      <c r="AU18" s="20">
        <v>0.04</v>
      </c>
      <c r="AV18" s="20">
        <v>0.03</v>
      </c>
      <c r="AW18" s="20">
        <v>0.04</v>
      </c>
      <c r="AX18" s="20">
        <v>0.03</v>
      </c>
      <c r="AY18" s="20">
        <v>0.03</v>
      </c>
      <c r="AZ18" s="20">
        <v>0.04</v>
      </c>
      <c r="BA18" s="20">
        <v>0.04</v>
      </c>
      <c r="BB18" s="20">
        <v>0.04</v>
      </c>
      <c r="BC18" s="20">
        <v>0.05</v>
      </c>
      <c r="BD18" s="20">
        <v>0.05</v>
      </c>
      <c r="BE18" s="20">
        <v>0.05</v>
      </c>
      <c r="BF18" s="20">
        <v>0.06</v>
      </c>
      <c r="BG18" s="20">
        <v>0.05</v>
      </c>
      <c r="BH18" s="20">
        <v>7.0000000000000007E-2</v>
      </c>
      <c r="BI18" s="20">
        <v>7.0000000000000007E-2</v>
      </c>
      <c r="BJ18" s="20">
        <v>0.06</v>
      </c>
      <c r="BK18" s="20">
        <v>0.05</v>
      </c>
      <c r="BL18" s="20">
        <v>0.06</v>
      </c>
      <c r="BM18" s="20">
        <v>0.05</v>
      </c>
      <c r="BN18" s="20">
        <v>0.05</v>
      </c>
      <c r="BO18" s="20">
        <v>0.05</v>
      </c>
    </row>
    <row r="19" spans="2:67" x14ac:dyDescent="0.4">
      <c r="B19" s="20" t="s">
        <v>128</v>
      </c>
      <c r="C19" s="20">
        <v>4.9382716049382699E-2</v>
      </c>
      <c r="D19" s="20">
        <v>4.7058823529411702E-2</v>
      </c>
      <c r="E19" s="20">
        <v>4.8192771084337303E-2</v>
      </c>
      <c r="F19" s="20">
        <v>5.7471264367816001E-2</v>
      </c>
      <c r="G19" s="20">
        <v>4.3010752688171998E-2</v>
      </c>
      <c r="H19" s="20">
        <v>5.6179775280898799E-2</v>
      </c>
      <c r="I19" s="20">
        <v>5.8139534883720902E-2</v>
      </c>
      <c r="J19" s="20">
        <v>6.0975609756097497E-2</v>
      </c>
      <c r="K19" s="20">
        <v>4.7058823529411702E-2</v>
      </c>
      <c r="L19" s="20">
        <v>5.5555555555555497E-2</v>
      </c>
      <c r="M19" s="20">
        <v>4.3956043956043897E-2</v>
      </c>
      <c r="N19" s="20">
        <v>4.4444444444444398E-2</v>
      </c>
      <c r="O19" s="20">
        <v>4.3956043956043897E-2</v>
      </c>
      <c r="P19" s="20">
        <v>4.8192771084337303E-2</v>
      </c>
      <c r="Q19" s="20">
        <v>5.4945054945054903E-2</v>
      </c>
      <c r="R19" s="20">
        <v>5.3763440860214999E-2</v>
      </c>
      <c r="S19" s="20">
        <v>0.04</v>
      </c>
      <c r="T19" s="20">
        <v>0.05</v>
      </c>
      <c r="U19" s="20">
        <v>0.05</v>
      </c>
      <c r="V19" s="20">
        <v>0.05</v>
      </c>
      <c r="W19" s="20">
        <v>0.05</v>
      </c>
      <c r="X19" s="20">
        <v>0.05</v>
      </c>
      <c r="Y19" s="20">
        <v>0.04</v>
      </c>
      <c r="Z19" s="20">
        <v>0.04</v>
      </c>
      <c r="AA19" s="20">
        <v>0.04</v>
      </c>
      <c r="AB19" s="20">
        <v>0.04</v>
      </c>
      <c r="AC19" s="20">
        <v>0.04</v>
      </c>
      <c r="AD19" s="20">
        <v>0.04</v>
      </c>
      <c r="AE19" s="20">
        <v>0.04</v>
      </c>
      <c r="AF19" s="20">
        <v>0.04</v>
      </c>
      <c r="AG19" s="20">
        <v>0.04</v>
      </c>
      <c r="AH19" s="20">
        <v>0.05</v>
      </c>
      <c r="AI19" s="20">
        <v>0.05</v>
      </c>
      <c r="AJ19" s="20">
        <v>0.04</v>
      </c>
      <c r="AK19" s="20">
        <v>0.04</v>
      </c>
      <c r="AL19" s="20">
        <v>0.04</v>
      </c>
      <c r="AM19" s="20">
        <v>0.04</v>
      </c>
      <c r="AN19" s="20">
        <v>0.04</v>
      </c>
      <c r="AO19" s="20">
        <v>0.04</v>
      </c>
      <c r="AP19" s="20">
        <v>0.03</v>
      </c>
      <c r="AQ19" s="20">
        <v>0.03</v>
      </c>
      <c r="AR19" s="20">
        <v>0.03</v>
      </c>
      <c r="AS19" s="20">
        <v>0.04</v>
      </c>
      <c r="AT19" s="20">
        <v>0.04</v>
      </c>
      <c r="AU19" s="20">
        <v>0.04</v>
      </c>
      <c r="AV19" s="20">
        <v>0.04</v>
      </c>
      <c r="AW19" s="20">
        <v>0.04</v>
      </c>
      <c r="AX19" s="20">
        <v>0.04</v>
      </c>
      <c r="AY19" s="20">
        <v>0.04</v>
      </c>
      <c r="AZ19" s="20">
        <v>0.04</v>
      </c>
      <c r="BA19" s="20">
        <v>0.04</v>
      </c>
      <c r="BB19" s="20">
        <v>0.04</v>
      </c>
      <c r="BC19" s="20">
        <v>0.04</v>
      </c>
      <c r="BD19" s="20">
        <v>0.04</v>
      </c>
      <c r="BE19" s="20">
        <v>0.05</v>
      </c>
      <c r="BF19" s="20">
        <v>0.05</v>
      </c>
      <c r="BG19" s="20">
        <v>0.05</v>
      </c>
      <c r="BH19" s="20">
        <v>0.05</v>
      </c>
      <c r="BI19" s="20">
        <v>0.06</v>
      </c>
      <c r="BJ19" s="20">
        <v>0.05</v>
      </c>
      <c r="BK19" s="20">
        <v>0.05</v>
      </c>
      <c r="BL19" s="20">
        <v>0.05</v>
      </c>
      <c r="BM19" s="20">
        <v>0.04</v>
      </c>
      <c r="BN19" s="20">
        <v>0.04</v>
      </c>
      <c r="BO19" s="20">
        <v>0.04</v>
      </c>
    </row>
    <row r="20" spans="2:67" x14ac:dyDescent="0.4">
      <c r="B20" s="20" t="s">
        <v>129</v>
      </c>
      <c r="C20" s="20">
        <v>0</v>
      </c>
      <c r="D20" s="20">
        <v>0</v>
      </c>
      <c r="E20" s="20">
        <v>0</v>
      </c>
      <c r="F20" s="20">
        <v>0</v>
      </c>
      <c r="G20" s="20">
        <v>0</v>
      </c>
      <c r="H20" s="20">
        <v>0</v>
      </c>
      <c r="I20" s="20">
        <v>0</v>
      </c>
      <c r="J20" s="20">
        <v>0</v>
      </c>
      <c r="K20" s="20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0</v>
      </c>
      <c r="R20" s="20">
        <v>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20">
        <v>0</v>
      </c>
      <c r="Y20" s="20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20">
        <v>0</v>
      </c>
      <c r="AM20" s="20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20">
        <v>0</v>
      </c>
      <c r="BB20" s="20">
        <v>0</v>
      </c>
      <c r="BC20" s="20">
        <v>0</v>
      </c>
      <c r="BD20" s="20">
        <v>0</v>
      </c>
      <c r="BE20" s="20">
        <v>0</v>
      </c>
      <c r="BF20" s="20">
        <v>0</v>
      </c>
      <c r="BG20" s="20">
        <v>0</v>
      </c>
      <c r="BH20" s="20">
        <v>0.01</v>
      </c>
      <c r="BI20" s="20">
        <v>0.01</v>
      </c>
      <c r="BJ20" s="20">
        <v>0</v>
      </c>
      <c r="BK20" s="20">
        <v>0.01</v>
      </c>
      <c r="BL20" s="20">
        <v>0</v>
      </c>
      <c r="BM20" s="20">
        <v>0.01</v>
      </c>
      <c r="BN20" s="20">
        <v>0.01</v>
      </c>
      <c r="BO20" s="20">
        <v>0.01</v>
      </c>
    </row>
    <row r="21" spans="2:67" x14ac:dyDescent="0.4">
      <c r="B21" s="20" t="s">
        <v>130</v>
      </c>
      <c r="C21" s="20">
        <v>2.4691358024691301E-2</v>
      </c>
      <c r="D21" s="20">
        <v>3.5294117647058802E-2</v>
      </c>
      <c r="E21" s="20">
        <v>3.6144578313252997E-2</v>
      </c>
      <c r="F21" s="20">
        <v>3.4482758620689599E-2</v>
      </c>
      <c r="G21" s="20">
        <v>2.1505376344085999E-2</v>
      </c>
      <c r="H21" s="20">
        <v>2.2471910112359501E-2</v>
      </c>
      <c r="I21" s="20">
        <v>2.3255813953488299E-2</v>
      </c>
      <c r="J21" s="20">
        <v>2.4390243902439001E-2</v>
      </c>
      <c r="K21" s="20">
        <v>2.3529411764705799E-2</v>
      </c>
      <c r="L21" s="20">
        <v>2.2222222222222199E-2</v>
      </c>
      <c r="M21" s="20">
        <v>2.19780219780219E-2</v>
      </c>
      <c r="N21" s="20">
        <v>2.2222222222222199E-2</v>
      </c>
      <c r="O21" s="20">
        <v>2.19780219780219E-2</v>
      </c>
      <c r="P21" s="20">
        <v>2.40963855421686E-2</v>
      </c>
      <c r="Q21" s="20">
        <v>3.2967032967032898E-2</v>
      </c>
      <c r="R21" s="20">
        <v>3.2258064516128997E-2</v>
      </c>
      <c r="S21" s="20">
        <v>0.04</v>
      </c>
      <c r="T21" s="20">
        <v>0.04</v>
      </c>
      <c r="U21" s="20">
        <v>0.04</v>
      </c>
      <c r="V21" s="20">
        <v>0.03</v>
      </c>
      <c r="W21" s="20">
        <v>0.02</v>
      </c>
      <c r="X21" s="20">
        <v>0.02</v>
      </c>
      <c r="Y21" s="20">
        <v>0.02</v>
      </c>
      <c r="Z21" s="20">
        <v>0.02</v>
      </c>
      <c r="AA21" s="20">
        <v>0.03</v>
      </c>
      <c r="AB21" s="20">
        <v>0.01</v>
      </c>
      <c r="AC21" s="20">
        <v>0.01</v>
      </c>
      <c r="AD21" s="20">
        <v>0.03</v>
      </c>
      <c r="AE21" s="20">
        <v>0.02</v>
      </c>
      <c r="AF21" s="20">
        <v>0.04</v>
      </c>
      <c r="AG21" s="20">
        <v>0.03</v>
      </c>
      <c r="AH21" s="20">
        <v>0.04</v>
      </c>
      <c r="AI21" s="20">
        <v>0.04</v>
      </c>
      <c r="AJ21" s="20">
        <v>0.04</v>
      </c>
      <c r="AK21" s="20">
        <v>0.02</v>
      </c>
      <c r="AL21" s="20">
        <v>0.03</v>
      </c>
      <c r="AM21" s="20">
        <v>0.03</v>
      </c>
      <c r="AN21" s="20">
        <v>0.03</v>
      </c>
      <c r="AO21" s="20">
        <v>0.03</v>
      </c>
      <c r="AP21" s="20">
        <v>0.04</v>
      </c>
      <c r="AQ21" s="20">
        <v>0.03</v>
      </c>
      <c r="AR21" s="20">
        <v>0.05</v>
      </c>
      <c r="AS21" s="20">
        <v>0.04</v>
      </c>
      <c r="AT21" s="20">
        <v>0.04</v>
      </c>
      <c r="AU21" s="20">
        <v>0.03</v>
      </c>
      <c r="AV21" s="20">
        <v>0.02</v>
      </c>
      <c r="AW21" s="20">
        <v>0.03</v>
      </c>
      <c r="AX21" s="20">
        <v>0.03</v>
      </c>
      <c r="AY21" s="20">
        <v>0.04</v>
      </c>
      <c r="AZ21" s="20">
        <v>0.02</v>
      </c>
      <c r="BA21" s="20">
        <v>0.02</v>
      </c>
      <c r="BB21" s="20">
        <v>0.01</v>
      </c>
      <c r="BC21" s="20">
        <v>0.02</v>
      </c>
      <c r="BD21" s="20">
        <v>0.03</v>
      </c>
      <c r="BE21" s="20">
        <v>0.02</v>
      </c>
      <c r="BF21" s="20">
        <v>0.02</v>
      </c>
      <c r="BG21" s="20">
        <v>0.03</v>
      </c>
      <c r="BH21" s="20">
        <v>0.03</v>
      </c>
      <c r="BI21" s="20">
        <v>0.02</v>
      </c>
      <c r="BJ21" s="20">
        <v>0.02</v>
      </c>
      <c r="BK21" s="20">
        <v>0.03</v>
      </c>
      <c r="BL21" s="20">
        <v>0.03</v>
      </c>
      <c r="BM21" s="20">
        <v>0.02</v>
      </c>
      <c r="BN21" s="20">
        <v>0.03</v>
      </c>
      <c r="BO21" s="20">
        <v>0.01</v>
      </c>
    </row>
    <row r="22" spans="2:67" x14ac:dyDescent="0.4">
      <c r="B22" s="20" t="s">
        <v>131</v>
      </c>
      <c r="C22" s="20">
        <v>1.23456790123456E-2</v>
      </c>
      <c r="D22" s="20">
        <v>1.1764705882352899E-2</v>
      </c>
      <c r="E22" s="20">
        <v>1.20481927710843E-2</v>
      </c>
      <c r="F22" s="20">
        <v>1.1494252873563199E-2</v>
      </c>
      <c r="G22" s="20">
        <v>1.0752688172042999E-2</v>
      </c>
      <c r="H22" s="20">
        <v>1.12359550561797E-2</v>
      </c>
      <c r="I22" s="20">
        <v>1.1627906976744099E-2</v>
      </c>
      <c r="J22" s="20">
        <v>1.21951219512195E-2</v>
      </c>
      <c r="K22" s="20">
        <v>1.1764705882352899E-2</v>
      </c>
      <c r="L22" s="20">
        <v>1.1111111111111099E-2</v>
      </c>
      <c r="M22" s="20">
        <v>1.09890109890109E-2</v>
      </c>
      <c r="N22" s="20">
        <v>1.1111111111111099E-2</v>
      </c>
      <c r="O22" s="20">
        <v>1.09890109890109E-2</v>
      </c>
      <c r="P22" s="20">
        <v>1.20481927710843E-2</v>
      </c>
      <c r="Q22" s="20">
        <v>2.19780219780219E-2</v>
      </c>
      <c r="R22" s="20">
        <v>2.1505376344085999E-2</v>
      </c>
      <c r="S22" s="20">
        <v>0.02</v>
      </c>
      <c r="T22" s="20">
        <v>0.02</v>
      </c>
      <c r="U22" s="20">
        <v>0.02</v>
      </c>
      <c r="V22" s="20">
        <v>0.02</v>
      </c>
      <c r="W22" s="20">
        <v>0.02</v>
      </c>
      <c r="X22" s="20">
        <v>0.02</v>
      </c>
      <c r="Y22" s="20">
        <v>0.02</v>
      </c>
      <c r="Z22" s="20">
        <v>0.02</v>
      </c>
      <c r="AA22" s="20">
        <v>0.02</v>
      </c>
      <c r="AB22" s="20">
        <v>0.03</v>
      </c>
      <c r="AC22" s="20">
        <v>0.03</v>
      </c>
      <c r="AD22" s="20">
        <v>0.03</v>
      </c>
      <c r="AE22" s="20">
        <v>0.03</v>
      </c>
      <c r="AF22" s="20">
        <v>0.03</v>
      </c>
      <c r="AG22" s="20">
        <v>0.04</v>
      </c>
      <c r="AH22" s="20">
        <v>0.04</v>
      </c>
      <c r="AI22" s="20">
        <v>0.03</v>
      </c>
      <c r="AJ22" s="20">
        <v>0.03</v>
      </c>
      <c r="AK22" s="20">
        <v>0.02</v>
      </c>
      <c r="AL22" s="20">
        <v>0.03</v>
      </c>
      <c r="AM22" s="20">
        <v>0.03</v>
      </c>
      <c r="AN22" s="20">
        <v>0.03</v>
      </c>
      <c r="AO22" s="20">
        <v>0.03</v>
      </c>
      <c r="AP22" s="20">
        <v>0.03</v>
      </c>
      <c r="AQ22" s="20">
        <v>0.03</v>
      </c>
      <c r="AR22" s="20">
        <v>0.02</v>
      </c>
      <c r="AS22" s="20">
        <v>0.03</v>
      </c>
      <c r="AT22" s="20">
        <v>0.03</v>
      </c>
      <c r="AU22" s="20">
        <v>0.03</v>
      </c>
      <c r="AV22" s="20">
        <v>0.02</v>
      </c>
      <c r="AW22" s="20">
        <v>0.03</v>
      </c>
      <c r="AX22" s="20">
        <v>0.02</v>
      </c>
      <c r="AY22" s="20">
        <v>0.02</v>
      </c>
      <c r="AZ22" s="20">
        <v>0.02</v>
      </c>
      <c r="BA22" s="20">
        <v>0.02</v>
      </c>
      <c r="BB22" s="20">
        <v>0.02</v>
      </c>
      <c r="BC22" s="20">
        <v>0.02</v>
      </c>
      <c r="BD22" s="20">
        <v>0.02</v>
      </c>
      <c r="BE22" s="20">
        <v>0.03</v>
      </c>
      <c r="BF22" s="20">
        <v>0.03</v>
      </c>
      <c r="BG22" s="20">
        <v>0.03</v>
      </c>
      <c r="BH22" s="20">
        <v>0.02</v>
      </c>
      <c r="BI22" s="20">
        <v>0.02</v>
      </c>
      <c r="BJ22" s="20">
        <v>0.02</v>
      </c>
      <c r="BK22" s="20">
        <v>0.02</v>
      </c>
      <c r="BL22" s="20">
        <v>0.02</v>
      </c>
      <c r="BM22" s="20">
        <v>0.02</v>
      </c>
      <c r="BN22" s="20">
        <v>0.02</v>
      </c>
      <c r="BO22" s="20">
        <v>0.02</v>
      </c>
    </row>
    <row r="23" spans="2:67" x14ac:dyDescent="0.4">
      <c r="B23" s="20" t="s">
        <v>132</v>
      </c>
      <c r="C23" s="20">
        <v>7.4074074074074001E-2</v>
      </c>
      <c r="D23" s="20">
        <v>7.0588235294117604E-2</v>
      </c>
      <c r="E23" s="20">
        <v>7.2289156626505993E-2</v>
      </c>
      <c r="F23" s="20">
        <v>8.04597701149425E-2</v>
      </c>
      <c r="G23" s="20">
        <v>6.4516129032257993E-2</v>
      </c>
      <c r="H23" s="20">
        <v>7.8651685393258397E-2</v>
      </c>
      <c r="I23" s="20">
        <v>6.9767441860465101E-2</v>
      </c>
      <c r="J23" s="20">
        <v>7.3170731707316999E-2</v>
      </c>
      <c r="K23" s="20">
        <v>7.0588235294117604E-2</v>
      </c>
      <c r="L23" s="20">
        <v>6.6666666666666596E-2</v>
      </c>
      <c r="M23" s="20">
        <v>5.4945054945054903E-2</v>
      </c>
      <c r="N23" s="20">
        <v>6.6666666666666596E-2</v>
      </c>
      <c r="O23" s="20">
        <v>4.3956043956043897E-2</v>
      </c>
      <c r="P23" s="20">
        <v>6.0240963855421603E-2</v>
      </c>
      <c r="Q23" s="20">
        <v>5.4945054945054903E-2</v>
      </c>
      <c r="R23" s="20">
        <v>6.4516129032257993E-2</v>
      </c>
      <c r="S23" s="20">
        <v>0.05</v>
      </c>
      <c r="T23" s="20">
        <v>0.05</v>
      </c>
      <c r="U23" s="20">
        <v>0.05</v>
      </c>
      <c r="V23" s="20">
        <v>0.04</v>
      </c>
      <c r="W23" s="20">
        <v>0.05</v>
      </c>
      <c r="X23" s="20">
        <v>0.05</v>
      </c>
      <c r="Y23" s="20">
        <v>0.05</v>
      </c>
      <c r="Z23" s="20">
        <v>0.05</v>
      </c>
      <c r="AA23" s="20">
        <v>0.05</v>
      </c>
      <c r="AB23" s="20">
        <v>0.04</v>
      </c>
      <c r="AC23" s="20">
        <v>0.03</v>
      </c>
      <c r="AD23" s="20">
        <v>0.04</v>
      </c>
      <c r="AE23" s="20">
        <v>0.04</v>
      </c>
      <c r="AF23" s="20">
        <v>0.04</v>
      </c>
      <c r="AG23" s="20">
        <v>0.04</v>
      </c>
      <c r="AH23" s="20">
        <v>0.05</v>
      </c>
      <c r="AI23" s="20">
        <v>0.04</v>
      </c>
      <c r="AJ23" s="20">
        <v>0.04</v>
      </c>
      <c r="AK23" s="20">
        <v>0.04</v>
      </c>
      <c r="AL23" s="20">
        <v>0.04</v>
      </c>
      <c r="AM23" s="20">
        <v>0.04</v>
      </c>
      <c r="AN23" s="20">
        <v>0.04</v>
      </c>
      <c r="AO23" s="20">
        <v>0.03</v>
      </c>
      <c r="AP23" s="20">
        <v>0.03</v>
      </c>
      <c r="AQ23" s="20">
        <v>0.03</v>
      </c>
      <c r="AR23" s="20">
        <v>0.03</v>
      </c>
      <c r="AS23" s="20">
        <v>0.03</v>
      </c>
      <c r="AT23" s="20">
        <v>0.03</v>
      </c>
      <c r="AU23" s="20">
        <v>0.03</v>
      </c>
      <c r="AV23" s="20">
        <v>0.03</v>
      </c>
      <c r="AW23" s="20">
        <v>0.03</v>
      </c>
      <c r="AX23" s="20">
        <v>0.03</v>
      </c>
      <c r="AY23" s="20">
        <v>0.03</v>
      </c>
      <c r="AZ23" s="20">
        <v>0.03</v>
      </c>
      <c r="BA23" s="20">
        <v>0.03</v>
      </c>
      <c r="BB23" s="20">
        <v>0.03</v>
      </c>
      <c r="BC23" s="20">
        <v>0.04</v>
      </c>
      <c r="BD23" s="20">
        <v>0.04</v>
      </c>
      <c r="BE23" s="20">
        <v>0.04</v>
      </c>
      <c r="BF23" s="20">
        <v>0.04</v>
      </c>
      <c r="BG23" s="20">
        <v>0.04</v>
      </c>
      <c r="BH23" s="20">
        <v>0.04</v>
      </c>
      <c r="BI23" s="20">
        <v>0.04</v>
      </c>
      <c r="BJ23" s="20">
        <v>0.04</v>
      </c>
      <c r="BK23" s="20">
        <v>0.01</v>
      </c>
      <c r="BL23" s="20">
        <v>0.02</v>
      </c>
      <c r="BM23" s="20">
        <v>0.02</v>
      </c>
      <c r="BN23" s="20">
        <v>0.01</v>
      </c>
      <c r="BO23" s="20">
        <v>0.02</v>
      </c>
    </row>
    <row r="24" spans="2:67" x14ac:dyDescent="0.4">
      <c r="B24" s="20" t="s">
        <v>133</v>
      </c>
      <c r="C24" s="20">
        <v>4.9382716049382699E-2</v>
      </c>
      <c r="D24" s="20">
        <v>4.7058823529411702E-2</v>
      </c>
      <c r="E24" s="20">
        <v>2.40963855421686E-2</v>
      </c>
      <c r="F24" s="20">
        <v>3.4482758620689599E-2</v>
      </c>
      <c r="G24" s="20">
        <v>3.2258064516128997E-2</v>
      </c>
      <c r="H24" s="20">
        <v>4.49438202247191E-2</v>
      </c>
      <c r="I24" s="20">
        <v>4.6511627906976702E-2</v>
      </c>
      <c r="J24" s="20">
        <v>3.65853658536585E-2</v>
      </c>
      <c r="K24" s="20">
        <v>0.105882352941176</v>
      </c>
      <c r="L24" s="20">
        <v>0.1</v>
      </c>
      <c r="M24" s="20">
        <v>0.109890109890109</v>
      </c>
      <c r="N24" s="20">
        <v>0.11111111111111099</v>
      </c>
      <c r="O24" s="20">
        <v>0.109890109890109</v>
      </c>
      <c r="P24" s="20">
        <v>9.6385542168674704E-2</v>
      </c>
      <c r="Q24" s="20">
        <v>9.8901098901098897E-2</v>
      </c>
      <c r="R24" s="20">
        <v>9.6774193548387094E-2</v>
      </c>
      <c r="S24" s="20">
        <v>0.09</v>
      </c>
      <c r="T24" s="20">
        <v>0.09</v>
      </c>
      <c r="U24" s="20">
        <v>0.08</v>
      </c>
      <c r="V24" s="20">
        <v>0.06</v>
      </c>
      <c r="W24" s="20">
        <v>7.0000000000000007E-2</v>
      </c>
      <c r="X24" s="20">
        <v>0.08</v>
      </c>
      <c r="Y24" s="20">
        <v>0.08</v>
      </c>
      <c r="Z24" s="20">
        <v>0.06</v>
      </c>
      <c r="AA24" s="20">
        <v>0.08</v>
      </c>
      <c r="AB24" s="20">
        <v>7.0000000000000007E-2</v>
      </c>
      <c r="AC24" s="20">
        <v>0.04</v>
      </c>
      <c r="AD24" s="20">
        <v>0.02</v>
      </c>
      <c r="AE24" s="20">
        <v>0.05</v>
      </c>
      <c r="AF24" s="20">
        <v>0.05</v>
      </c>
      <c r="AG24" s="20">
        <v>0.06</v>
      </c>
      <c r="AH24" s="20">
        <v>0.08</v>
      </c>
      <c r="AI24" s="20">
        <v>7.0000000000000007E-2</v>
      </c>
      <c r="AJ24" s="20">
        <v>7.0000000000000007E-2</v>
      </c>
      <c r="AK24" s="20">
        <v>0.08</v>
      </c>
      <c r="AL24" s="20">
        <v>0.08</v>
      </c>
      <c r="AM24" s="20">
        <v>7.0000000000000007E-2</v>
      </c>
      <c r="AN24" s="20">
        <v>0.08</v>
      </c>
      <c r="AO24" s="20">
        <v>0.08</v>
      </c>
      <c r="AP24" s="20">
        <v>7.0000000000000007E-2</v>
      </c>
      <c r="AQ24" s="20">
        <v>0.05</v>
      </c>
      <c r="AR24" s="20">
        <v>0.06</v>
      </c>
      <c r="AS24" s="20">
        <v>0.05</v>
      </c>
      <c r="AT24" s="20">
        <v>0.05</v>
      </c>
      <c r="AU24" s="20">
        <v>0.05</v>
      </c>
      <c r="AV24" s="20">
        <v>0.06</v>
      </c>
      <c r="AW24" s="20">
        <v>0.04</v>
      </c>
      <c r="AX24" s="20">
        <v>0.03</v>
      </c>
      <c r="AY24" s="20">
        <v>0.04</v>
      </c>
      <c r="AZ24" s="20">
        <v>0.03</v>
      </c>
      <c r="BA24" s="20">
        <v>0.04</v>
      </c>
      <c r="BB24" s="20">
        <v>0.04</v>
      </c>
      <c r="BC24" s="20">
        <v>0.04</v>
      </c>
      <c r="BD24" s="20">
        <v>0.04</v>
      </c>
      <c r="BE24" s="20">
        <v>0.05</v>
      </c>
      <c r="BF24" s="20">
        <v>0.04</v>
      </c>
      <c r="BG24" s="20">
        <v>0.04</v>
      </c>
      <c r="BH24" s="20">
        <v>0.05</v>
      </c>
      <c r="BI24" s="20">
        <v>0.05</v>
      </c>
      <c r="BJ24" s="20">
        <v>0.05</v>
      </c>
      <c r="BK24" s="20">
        <v>0.04</v>
      </c>
      <c r="BL24" s="20">
        <v>0.05</v>
      </c>
      <c r="BM24" s="20">
        <v>0.05</v>
      </c>
      <c r="BN24" s="20">
        <v>0.05</v>
      </c>
      <c r="BO24" s="20">
        <v>0.05</v>
      </c>
    </row>
    <row r="25" spans="2:67" x14ac:dyDescent="0.4">
      <c r="B25" s="20" t="s">
        <v>134</v>
      </c>
      <c r="C25" s="20">
        <v>6.1728395061728301E-2</v>
      </c>
      <c r="D25" s="20">
        <v>7.0588235294117604E-2</v>
      </c>
      <c r="E25" s="20">
        <v>7.2289156626505993E-2</v>
      </c>
      <c r="F25" s="20">
        <v>6.8965517241379296E-2</v>
      </c>
      <c r="G25" s="20">
        <v>7.5268817204300995E-2</v>
      </c>
      <c r="H25" s="20">
        <v>7.8651685393258397E-2</v>
      </c>
      <c r="I25" s="20">
        <v>8.1395348837209294E-2</v>
      </c>
      <c r="J25" s="20">
        <v>8.5365853658536495E-2</v>
      </c>
      <c r="K25" s="20">
        <v>7.0588235294117604E-2</v>
      </c>
      <c r="L25" s="20">
        <v>7.7777777777777696E-2</v>
      </c>
      <c r="M25" s="20">
        <v>7.69230769230769E-2</v>
      </c>
      <c r="N25" s="20">
        <v>8.8888888888888795E-2</v>
      </c>
      <c r="O25" s="20">
        <v>7.69230769230769E-2</v>
      </c>
      <c r="P25" s="20">
        <v>8.43373493975903E-2</v>
      </c>
      <c r="Q25" s="20">
        <v>8.7912087912087905E-2</v>
      </c>
      <c r="R25" s="20">
        <v>8.6021505376343996E-2</v>
      </c>
      <c r="S25" s="20">
        <v>7.0000000000000007E-2</v>
      </c>
      <c r="T25" s="20">
        <v>7.0000000000000007E-2</v>
      </c>
      <c r="U25" s="20">
        <v>0.08</v>
      </c>
      <c r="V25" s="20">
        <v>0.08</v>
      </c>
      <c r="W25" s="20">
        <v>7.0000000000000007E-2</v>
      </c>
      <c r="X25" s="20">
        <v>7.0000000000000007E-2</v>
      </c>
      <c r="Y25" s="20">
        <v>7.0000000000000007E-2</v>
      </c>
      <c r="Z25" s="20">
        <v>0.06</v>
      </c>
      <c r="AA25" s="20">
        <v>0.06</v>
      </c>
      <c r="AB25" s="20">
        <v>0.05</v>
      </c>
      <c r="AC25" s="20">
        <v>0.05</v>
      </c>
      <c r="AD25" s="20">
        <v>0.05</v>
      </c>
      <c r="AE25" s="20">
        <v>0.05</v>
      </c>
      <c r="AF25" s="20">
        <v>0.05</v>
      </c>
      <c r="AG25" s="20">
        <v>0.06</v>
      </c>
      <c r="AH25" s="20">
        <v>0.05</v>
      </c>
      <c r="AI25" s="20">
        <v>0.05</v>
      </c>
      <c r="AJ25" s="20">
        <v>0.06</v>
      </c>
      <c r="AK25" s="20">
        <v>7.0000000000000007E-2</v>
      </c>
      <c r="AL25" s="20">
        <v>7.0000000000000007E-2</v>
      </c>
      <c r="AM25" s="20">
        <v>0.08</v>
      </c>
      <c r="AN25" s="20">
        <v>0.09</v>
      </c>
      <c r="AO25" s="20">
        <v>0.09</v>
      </c>
      <c r="AP25" s="20">
        <v>0.1</v>
      </c>
      <c r="AQ25" s="20">
        <v>0.1</v>
      </c>
      <c r="AR25" s="20">
        <v>0.13</v>
      </c>
      <c r="AS25" s="20">
        <v>0.13</v>
      </c>
      <c r="AT25" s="20">
        <v>0.13</v>
      </c>
      <c r="AU25" s="20">
        <v>0.11</v>
      </c>
      <c r="AV25" s="20">
        <v>0.13</v>
      </c>
      <c r="AW25" s="20">
        <v>0.13</v>
      </c>
      <c r="AX25" s="20">
        <v>0.11</v>
      </c>
      <c r="AY25" s="20">
        <v>0.11</v>
      </c>
      <c r="AZ25" s="20">
        <v>0.11</v>
      </c>
      <c r="BA25" s="20">
        <v>0.13</v>
      </c>
      <c r="BB25" s="20">
        <v>0.13</v>
      </c>
      <c r="BC25" s="20">
        <v>0.13</v>
      </c>
      <c r="BD25" s="20">
        <v>0.12</v>
      </c>
      <c r="BE25" s="20">
        <v>0.12</v>
      </c>
      <c r="BF25" s="20">
        <v>0.11</v>
      </c>
      <c r="BG25" s="20">
        <v>0.1</v>
      </c>
      <c r="BH25" s="20">
        <v>0.09</v>
      </c>
      <c r="BI25" s="20">
        <v>0.09</v>
      </c>
      <c r="BJ25" s="20">
        <v>0.09</v>
      </c>
      <c r="BK25" s="20">
        <v>0.09</v>
      </c>
      <c r="BL25" s="20">
        <v>0.09</v>
      </c>
      <c r="BM25" s="20">
        <v>0.09</v>
      </c>
      <c r="BN25" s="20">
        <v>0.06</v>
      </c>
      <c r="BO25" s="20">
        <v>0.08</v>
      </c>
    </row>
    <row r="26" spans="2:67" x14ac:dyDescent="0.4">
      <c r="B26" s="20" t="s">
        <v>135</v>
      </c>
      <c r="C26" s="20">
        <v>8.6419753086419707E-2</v>
      </c>
      <c r="D26" s="20">
        <v>8.2352941176470504E-2</v>
      </c>
      <c r="E26" s="20">
        <v>9.6385542168674704E-2</v>
      </c>
      <c r="F26" s="20">
        <v>9.1954022988505704E-2</v>
      </c>
      <c r="G26" s="20">
        <v>8.6021505376343996E-2</v>
      </c>
      <c r="H26" s="20">
        <v>7.8651685393258397E-2</v>
      </c>
      <c r="I26" s="20">
        <v>8.1395348837209294E-2</v>
      </c>
      <c r="J26" s="20">
        <v>8.5365853658536495E-2</v>
      </c>
      <c r="K26" s="20">
        <v>9.41176470588235E-2</v>
      </c>
      <c r="L26" s="20">
        <v>8.8888888888888795E-2</v>
      </c>
      <c r="M26" s="20">
        <v>8.7912087912087905E-2</v>
      </c>
      <c r="N26" s="20">
        <v>8.8888888888888795E-2</v>
      </c>
      <c r="O26" s="20">
        <v>8.7912087912087905E-2</v>
      </c>
      <c r="P26" s="20">
        <v>9.6385542168674704E-2</v>
      </c>
      <c r="Q26" s="20">
        <v>9.8901098901098897E-2</v>
      </c>
      <c r="R26" s="20">
        <v>0.10752688172043</v>
      </c>
      <c r="S26" s="20">
        <v>0.1</v>
      </c>
      <c r="T26" s="20">
        <v>0.1</v>
      </c>
      <c r="U26" s="20">
        <v>0.11</v>
      </c>
      <c r="V26" s="20">
        <v>0.11</v>
      </c>
      <c r="W26" s="20">
        <v>0.11</v>
      </c>
      <c r="X26" s="20">
        <v>0.12</v>
      </c>
      <c r="Y26" s="20">
        <v>0.12</v>
      </c>
      <c r="Z26" s="20">
        <v>0.13</v>
      </c>
      <c r="AA26" s="20">
        <v>0.14000000000000001</v>
      </c>
      <c r="AB26" s="20">
        <v>0.18</v>
      </c>
      <c r="AC26" s="20">
        <v>0.19</v>
      </c>
      <c r="AD26" s="20">
        <v>0.2</v>
      </c>
      <c r="AE26" s="20">
        <v>0.19</v>
      </c>
      <c r="AF26" s="20">
        <v>0.18</v>
      </c>
      <c r="AG26" s="20">
        <v>0.16</v>
      </c>
      <c r="AH26" s="20">
        <v>0.14000000000000001</v>
      </c>
      <c r="AI26" s="20">
        <v>0.15</v>
      </c>
      <c r="AJ26" s="20">
        <v>0.15</v>
      </c>
      <c r="AK26" s="20">
        <v>0.13</v>
      </c>
      <c r="AL26" s="20">
        <v>0.12</v>
      </c>
      <c r="AM26" s="20">
        <v>0.13</v>
      </c>
      <c r="AN26" s="20">
        <v>0.11</v>
      </c>
      <c r="AO26" s="20">
        <v>0.12</v>
      </c>
      <c r="AP26" s="20">
        <v>0.15</v>
      </c>
      <c r="AQ26" s="20">
        <v>0.14000000000000001</v>
      </c>
      <c r="AR26" s="20">
        <v>0.14000000000000001</v>
      </c>
      <c r="AS26" s="20">
        <v>0.14000000000000001</v>
      </c>
      <c r="AT26" s="20">
        <v>0.12</v>
      </c>
      <c r="AU26" s="20">
        <v>0.13</v>
      </c>
      <c r="AV26" s="20">
        <v>0.13</v>
      </c>
      <c r="AW26" s="20">
        <v>0.12</v>
      </c>
      <c r="AX26" s="20">
        <v>0.12</v>
      </c>
      <c r="AY26" s="20">
        <v>0.11</v>
      </c>
      <c r="AZ26" s="20">
        <v>0.11</v>
      </c>
      <c r="BA26" s="20">
        <v>0.12</v>
      </c>
      <c r="BB26" s="20">
        <v>0.12</v>
      </c>
      <c r="BC26" s="20">
        <v>0.12</v>
      </c>
      <c r="BD26" s="20">
        <v>0.12</v>
      </c>
      <c r="BE26" s="20">
        <v>0.11</v>
      </c>
      <c r="BF26" s="20">
        <v>0.1</v>
      </c>
      <c r="BG26" s="20">
        <v>0.11</v>
      </c>
      <c r="BH26" s="20">
        <v>0.1</v>
      </c>
      <c r="BI26" s="20">
        <v>0.09</v>
      </c>
      <c r="BJ26" s="20">
        <v>0.11</v>
      </c>
      <c r="BK26" s="20">
        <v>0.11</v>
      </c>
      <c r="BL26" s="20">
        <v>0.12</v>
      </c>
      <c r="BM26" s="20">
        <v>0.12</v>
      </c>
      <c r="BN26" s="20">
        <v>0.12</v>
      </c>
      <c r="BO26" s="20">
        <v>0.12</v>
      </c>
    </row>
    <row r="27" spans="2:67" x14ac:dyDescent="0.4">
      <c r="B27" s="20" t="s">
        <v>136</v>
      </c>
      <c r="C27" s="20">
        <v>2.4691358024691301E-2</v>
      </c>
      <c r="D27" s="20">
        <v>2.3529411764705799E-2</v>
      </c>
      <c r="E27" s="20">
        <v>2.40963855421686E-2</v>
      </c>
      <c r="F27" s="20">
        <v>3.4482758620689599E-2</v>
      </c>
      <c r="G27" s="20">
        <v>4.3010752688171998E-2</v>
      </c>
      <c r="H27" s="20">
        <v>2.2471910112359501E-2</v>
      </c>
      <c r="I27" s="20">
        <v>2.3255813953488299E-2</v>
      </c>
      <c r="J27" s="20">
        <v>2.4390243902439001E-2</v>
      </c>
      <c r="K27" s="20">
        <v>4.7058823529411702E-2</v>
      </c>
      <c r="L27" s="20">
        <v>4.4444444444444398E-2</v>
      </c>
      <c r="M27" s="20">
        <v>5.4945054945054903E-2</v>
      </c>
      <c r="N27" s="20">
        <v>4.4444444444444398E-2</v>
      </c>
      <c r="O27" s="20">
        <v>4.3956043956043897E-2</v>
      </c>
      <c r="P27" s="20">
        <v>6.0240963855421603E-2</v>
      </c>
      <c r="Q27" s="20">
        <v>4.3956043956043897E-2</v>
      </c>
      <c r="R27" s="20">
        <v>4.3010752688171998E-2</v>
      </c>
      <c r="S27" s="20">
        <v>0.04</v>
      </c>
      <c r="T27" s="20">
        <v>0.04</v>
      </c>
      <c r="U27" s="20">
        <v>0.04</v>
      </c>
      <c r="V27" s="20">
        <v>0.04</v>
      </c>
      <c r="W27" s="20">
        <v>0.04</v>
      </c>
      <c r="X27" s="20">
        <v>0.03</v>
      </c>
      <c r="Y27" s="20">
        <v>0.03</v>
      </c>
      <c r="Z27" s="20">
        <v>0.03</v>
      </c>
      <c r="AA27" s="20">
        <v>0.03</v>
      </c>
      <c r="AB27" s="20">
        <v>0.03</v>
      </c>
      <c r="AC27" s="20">
        <v>0.03</v>
      </c>
      <c r="AD27" s="20">
        <v>0.04</v>
      </c>
      <c r="AE27" s="20">
        <v>0.04</v>
      </c>
      <c r="AF27" s="20">
        <v>0.04</v>
      </c>
      <c r="AG27" s="20">
        <v>0.03</v>
      </c>
      <c r="AH27" s="20">
        <v>0.04</v>
      </c>
      <c r="AI27" s="20">
        <v>0.04</v>
      </c>
      <c r="AJ27" s="20">
        <v>0.04</v>
      </c>
      <c r="AK27" s="20">
        <v>0.04</v>
      </c>
      <c r="AL27" s="20">
        <v>0.02</v>
      </c>
      <c r="AM27" s="20">
        <v>0.03</v>
      </c>
      <c r="AN27" s="20">
        <v>0.04</v>
      </c>
      <c r="AO27" s="20">
        <v>0.04</v>
      </c>
      <c r="AP27" s="20">
        <v>0.04</v>
      </c>
      <c r="AQ27" s="20">
        <v>0.03</v>
      </c>
      <c r="AR27" s="20">
        <v>0.03</v>
      </c>
      <c r="AS27" s="20">
        <v>0.03</v>
      </c>
      <c r="AT27" s="20">
        <v>0.03</v>
      </c>
      <c r="AU27" s="20">
        <v>0.03</v>
      </c>
      <c r="AV27" s="20">
        <v>0.02</v>
      </c>
      <c r="AW27" s="20">
        <v>0.02</v>
      </c>
      <c r="AX27" s="20">
        <v>0.02</v>
      </c>
      <c r="AY27" s="20">
        <v>0.02</v>
      </c>
      <c r="AZ27" s="20">
        <v>0.02</v>
      </c>
      <c r="BA27" s="20">
        <v>0.02</v>
      </c>
      <c r="BB27" s="20">
        <v>0.02</v>
      </c>
      <c r="BC27" s="20">
        <v>0.02</v>
      </c>
      <c r="BD27" s="20">
        <v>0.02</v>
      </c>
      <c r="BE27" s="20">
        <v>0.02</v>
      </c>
      <c r="BF27" s="20">
        <v>0.02</v>
      </c>
      <c r="BG27" s="20">
        <v>0.02</v>
      </c>
      <c r="BH27" s="20">
        <v>0.02</v>
      </c>
      <c r="BI27" s="20">
        <v>0.02</v>
      </c>
      <c r="BJ27" s="20">
        <v>0.02</v>
      </c>
      <c r="BK27" s="20">
        <v>0.02</v>
      </c>
      <c r="BL27" s="20">
        <v>0.02</v>
      </c>
      <c r="BM27" s="20">
        <v>0.02</v>
      </c>
      <c r="BN27" s="20">
        <v>0.02</v>
      </c>
      <c r="BO27" s="20">
        <v>0.02</v>
      </c>
    </row>
    <row r="28" spans="2:67" x14ac:dyDescent="0.4">
      <c r="B28" s="20" t="s">
        <v>137</v>
      </c>
      <c r="C28" s="20">
        <v>2.4691358024691301E-2</v>
      </c>
      <c r="D28" s="20">
        <v>2.3529411764705799E-2</v>
      </c>
      <c r="E28" s="20">
        <v>2.40963855421686E-2</v>
      </c>
      <c r="F28" s="20">
        <v>2.2988505747126398E-2</v>
      </c>
      <c r="G28" s="20">
        <v>2.1505376344085999E-2</v>
      </c>
      <c r="H28" s="20">
        <v>1.12359550561797E-2</v>
      </c>
      <c r="I28" s="20">
        <v>1.1627906976744099E-2</v>
      </c>
      <c r="J28" s="20">
        <v>1.21951219512195E-2</v>
      </c>
      <c r="K28" s="20">
        <v>1.1764705882352899E-2</v>
      </c>
      <c r="L28" s="20">
        <v>2.2222222222222199E-2</v>
      </c>
      <c r="M28" s="20">
        <v>2.19780219780219E-2</v>
      </c>
      <c r="N28" s="20">
        <v>1.1111111111111099E-2</v>
      </c>
      <c r="O28" s="20">
        <v>1.09890109890109E-2</v>
      </c>
      <c r="P28" s="20">
        <v>1.20481927710843E-2</v>
      </c>
      <c r="Q28" s="20">
        <v>2.19780219780219E-2</v>
      </c>
      <c r="R28" s="20">
        <v>2.1505376344085999E-2</v>
      </c>
      <c r="S28" s="20">
        <v>0.02</v>
      </c>
      <c r="T28" s="20">
        <v>0.02</v>
      </c>
      <c r="U28" s="20">
        <v>0.02</v>
      </c>
      <c r="V28" s="20">
        <v>0.03</v>
      </c>
      <c r="W28" s="20">
        <v>0.02</v>
      </c>
      <c r="X28" s="20">
        <v>0.02</v>
      </c>
      <c r="Y28" s="20">
        <v>0.02</v>
      </c>
      <c r="Z28" s="20">
        <v>0.02</v>
      </c>
      <c r="AA28" s="20">
        <v>0.02</v>
      </c>
      <c r="AB28" s="20">
        <v>0.02</v>
      </c>
      <c r="AC28" s="20">
        <v>0.02</v>
      </c>
      <c r="AD28" s="20">
        <v>0.02</v>
      </c>
      <c r="AE28" s="20">
        <v>0.02</v>
      </c>
      <c r="AF28" s="20">
        <v>0.02</v>
      </c>
      <c r="AG28" s="20">
        <v>0.02</v>
      </c>
      <c r="AH28" s="20">
        <v>0.03</v>
      </c>
      <c r="AI28" s="20">
        <v>0.03</v>
      </c>
      <c r="AJ28" s="20">
        <v>0.03</v>
      </c>
      <c r="AK28" s="20">
        <v>0.03</v>
      </c>
      <c r="AL28" s="20">
        <v>0.02</v>
      </c>
      <c r="AM28" s="20">
        <v>0.02</v>
      </c>
      <c r="AN28" s="20">
        <v>0.02</v>
      </c>
      <c r="AO28" s="20">
        <v>0.02</v>
      </c>
      <c r="AP28" s="20">
        <v>0.02</v>
      </c>
      <c r="AQ28" s="20">
        <v>0.02</v>
      </c>
      <c r="AR28" s="20">
        <v>0.02</v>
      </c>
      <c r="AS28" s="20">
        <v>0.03</v>
      </c>
      <c r="AT28" s="20">
        <v>0.03</v>
      </c>
      <c r="AU28" s="20">
        <v>0.02</v>
      </c>
      <c r="AV28" s="20">
        <v>0.02</v>
      </c>
      <c r="AW28" s="20">
        <v>0.03</v>
      </c>
      <c r="AX28" s="20">
        <v>0.03</v>
      </c>
      <c r="AY28" s="20">
        <v>0.03</v>
      </c>
      <c r="AZ28" s="20">
        <v>0.03</v>
      </c>
      <c r="BA28" s="20">
        <v>0.03</v>
      </c>
      <c r="BB28" s="20">
        <v>0.03</v>
      </c>
      <c r="BC28" s="20">
        <v>0.03</v>
      </c>
      <c r="BD28" s="20">
        <v>0.03</v>
      </c>
      <c r="BE28" s="20">
        <v>0.03</v>
      </c>
      <c r="BF28" s="20">
        <v>0.03</v>
      </c>
      <c r="BG28" s="20">
        <v>0.04</v>
      </c>
      <c r="BH28" s="20">
        <v>0.05</v>
      </c>
      <c r="BI28" s="20">
        <v>0.06</v>
      </c>
      <c r="BJ28" s="20">
        <v>0.06</v>
      </c>
      <c r="BK28" s="20">
        <v>7.0000000000000007E-2</v>
      </c>
      <c r="BL28" s="20">
        <v>7.0000000000000007E-2</v>
      </c>
      <c r="BM28" s="20">
        <v>0.06</v>
      </c>
      <c r="BN28" s="20">
        <v>0.05</v>
      </c>
      <c r="BO28" s="20">
        <v>0.05</v>
      </c>
    </row>
    <row r="29" spans="2:67" x14ac:dyDescent="0.4">
      <c r="B29" s="20" t="s">
        <v>138</v>
      </c>
      <c r="C29" s="20">
        <v>7.4074074074074001E-2</v>
      </c>
      <c r="D29" s="20">
        <v>7.0588235294117604E-2</v>
      </c>
      <c r="E29" s="20">
        <v>6.0240963855421603E-2</v>
      </c>
      <c r="F29" s="20">
        <v>6.8965517241379296E-2</v>
      </c>
      <c r="G29" s="20">
        <v>6.4516129032257993E-2</v>
      </c>
      <c r="H29" s="20">
        <v>5.6179775280898799E-2</v>
      </c>
      <c r="I29" s="20">
        <v>5.8139534883720902E-2</v>
      </c>
      <c r="J29" s="20">
        <v>6.0975609756097497E-2</v>
      </c>
      <c r="K29" s="20">
        <v>4.7058823529411702E-2</v>
      </c>
      <c r="L29" s="20">
        <v>4.4444444444444398E-2</v>
      </c>
      <c r="M29" s="20">
        <v>3.2967032967032898E-2</v>
      </c>
      <c r="N29" s="20">
        <v>3.3333333333333298E-2</v>
      </c>
      <c r="O29" s="20">
        <v>3.2967032967032898E-2</v>
      </c>
      <c r="P29" s="20">
        <v>2.40963855421686E-2</v>
      </c>
      <c r="Q29" s="20">
        <v>2.19780219780219E-2</v>
      </c>
      <c r="R29" s="20">
        <v>2.1505376344085999E-2</v>
      </c>
      <c r="S29" s="20">
        <v>0.03</v>
      </c>
      <c r="T29" s="20">
        <v>0.03</v>
      </c>
      <c r="U29" s="20">
        <v>0.03</v>
      </c>
      <c r="V29" s="20">
        <v>0.04</v>
      </c>
      <c r="W29" s="20">
        <v>0.04</v>
      </c>
      <c r="X29" s="20">
        <v>0.03</v>
      </c>
      <c r="Y29" s="20">
        <v>0.04</v>
      </c>
      <c r="Z29" s="20">
        <v>0.04</v>
      </c>
      <c r="AA29" s="20">
        <v>0.04</v>
      </c>
      <c r="AB29" s="20">
        <v>0.04</v>
      </c>
      <c r="AC29" s="20">
        <v>0.04</v>
      </c>
      <c r="AD29" s="20">
        <v>0.04</v>
      </c>
      <c r="AE29" s="20">
        <v>0.04</v>
      </c>
      <c r="AF29" s="20">
        <v>0.04</v>
      </c>
      <c r="AG29" s="20">
        <v>0.04</v>
      </c>
      <c r="AH29" s="20">
        <v>0.04</v>
      </c>
      <c r="AI29" s="20">
        <v>0.04</v>
      </c>
      <c r="AJ29" s="20">
        <v>0.04</v>
      </c>
      <c r="AK29" s="20">
        <v>0.04</v>
      </c>
      <c r="AL29" s="20">
        <v>0.03</v>
      </c>
      <c r="AM29" s="20">
        <v>0.03</v>
      </c>
      <c r="AN29" s="20">
        <v>0.03</v>
      </c>
      <c r="AO29" s="20">
        <v>0.03</v>
      </c>
      <c r="AP29" s="20">
        <v>0.03</v>
      </c>
      <c r="AQ29" s="20">
        <v>0.03</v>
      </c>
      <c r="AR29" s="20">
        <v>0.02</v>
      </c>
      <c r="AS29" s="20">
        <v>0.02</v>
      </c>
      <c r="AT29" s="20">
        <v>0.02</v>
      </c>
      <c r="AU29" s="20">
        <v>0.03</v>
      </c>
      <c r="AV29" s="20">
        <v>0.02</v>
      </c>
      <c r="AW29" s="20">
        <v>0.02</v>
      </c>
      <c r="AX29" s="20">
        <v>0.02</v>
      </c>
      <c r="AY29" s="20">
        <v>0.02</v>
      </c>
      <c r="AZ29" s="20">
        <v>0.02</v>
      </c>
      <c r="BA29" s="20">
        <v>0.02</v>
      </c>
      <c r="BB29" s="20">
        <v>0.02</v>
      </c>
      <c r="BC29" s="20">
        <v>0.02</v>
      </c>
      <c r="BD29" s="20">
        <v>0.02</v>
      </c>
      <c r="BE29" s="20">
        <v>0.02</v>
      </c>
      <c r="BF29" s="20">
        <v>0.02</v>
      </c>
      <c r="BG29" s="20">
        <v>0.02</v>
      </c>
      <c r="BH29" s="20">
        <v>0.03</v>
      </c>
      <c r="BI29" s="20">
        <v>0.02</v>
      </c>
      <c r="BJ29" s="20">
        <v>0.02</v>
      </c>
      <c r="BK29" s="20">
        <v>0.02</v>
      </c>
      <c r="BL29" s="20">
        <v>0.02</v>
      </c>
      <c r="BM29" s="20">
        <v>0.02</v>
      </c>
      <c r="BN29" s="20">
        <v>0.02</v>
      </c>
      <c r="BO29" s="20">
        <v>0.02</v>
      </c>
    </row>
    <row r="30" spans="2:67" x14ac:dyDescent="0.4">
      <c r="B30" s="20" t="s">
        <v>139</v>
      </c>
      <c r="C30" s="20">
        <v>8.6419753086419707E-2</v>
      </c>
      <c r="D30" s="20">
        <v>8.2352941176470504E-2</v>
      </c>
      <c r="E30" s="20">
        <v>8.43373493975903E-2</v>
      </c>
      <c r="F30" s="20">
        <v>8.04597701149425E-2</v>
      </c>
      <c r="G30" s="20">
        <v>7.5268817204300995E-2</v>
      </c>
      <c r="H30" s="20">
        <v>6.7415730337078594E-2</v>
      </c>
      <c r="I30" s="20">
        <v>5.8139534883720902E-2</v>
      </c>
      <c r="J30" s="20">
        <v>6.0975609756097497E-2</v>
      </c>
      <c r="K30" s="20">
        <v>5.8823529411764698E-2</v>
      </c>
      <c r="L30" s="20">
        <v>5.5555555555555497E-2</v>
      </c>
      <c r="M30" s="20">
        <v>5.4945054945054903E-2</v>
      </c>
      <c r="N30" s="20">
        <v>5.5555555555555497E-2</v>
      </c>
      <c r="O30" s="20">
        <v>5.4945054945054903E-2</v>
      </c>
      <c r="P30" s="20">
        <v>4.8192771084337303E-2</v>
      </c>
      <c r="Q30" s="20">
        <v>5.4945054945054903E-2</v>
      </c>
      <c r="R30" s="20">
        <v>5.3763440860214999E-2</v>
      </c>
      <c r="S30" s="20">
        <v>0.05</v>
      </c>
      <c r="T30" s="20">
        <v>0.05</v>
      </c>
      <c r="U30" s="20">
        <v>0.05</v>
      </c>
      <c r="V30" s="20">
        <v>0.04</v>
      </c>
      <c r="W30" s="20">
        <v>0.04</v>
      </c>
      <c r="X30" s="20">
        <v>0.03</v>
      </c>
      <c r="Y30" s="20">
        <v>0.03</v>
      </c>
      <c r="Z30" s="20">
        <v>0.04</v>
      </c>
      <c r="AA30" s="20">
        <v>0.04</v>
      </c>
      <c r="AB30" s="20">
        <v>0.03</v>
      </c>
      <c r="AC30" s="20">
        <v>0.02</v>
      </c>
      <c r="AD30" s="20">
        <v>0.02</v>
      </c>
      <c r="AE30" s="20">
        <v>0.02</v>
      </c>
      <c r="AF30" s="20">
        <v>0.02</v>
      </c>
      <c r="AG30" s="20">
        <v>0.03</v>
      </c>
      <c r="AH30" s="20">
        <v>0.04</v>
      </c>
      <c r="AI30" s="20">
        <v>0.05</v>
      </c>
      <c r="AJ30" s="20">
        <v>0.02</v>
      </c>
      <c r="AK30" s="20">
        <v>0.02</v>
      </c>
      <c r="AL30" s="20">
        <v>0.02</v>
      </c>
      <c r="AM30" s="20">
        <v>0.02</v>
      </c>
      <c r="AN30" s="20">
        <v>0.01</v>
      </c>
      <c r="AO30" s="20">
        <v>0.02</v>
      </c>
      <c r="AP30" s="20">
        <v>0.01</v>
      </c>
      <c r="AQ30" s="20">
        <v>0.02</v>
      </c>
      <c r="AR30" s="20">
        <v>0.01</v>
      </c>
      <c r="AS30" s="20">
        <v>0</v>
      </c>
      <c r="AT30" s="20">
        <v>0.01</v>
      </c>
      <c r="AU30" s="20">
        <v>0.01</v>
      </c>
      <c r="AV30" s="20">
        <v>0.01</v>
      </c>
      <c r="AW30" s="20">
        <v>0.01</v>
      </c>
      <c r="AX30" s="20">
        <v>0.01</v>
      </c>
      <c r="AY30" s="20">
        <v>0.01</v>
      </c>
      <c r="AZ30" s="20">
        <v>0.01</v>
      </c>
      <c r="BA30" s="20">
        <v>0.01</v>
      </c>
      <c r="BB30" s="20">
        <v>0.02</v>
      </c>
      <c r="BC30" s="20">
        <v>0.01</v>
      </c>
      <c r="BD30" s="20">
        <v>0.01</v>
      </c>
      <c r="BE30" s="20">
        <v>0.01</v>
      </c>
      <c r="BF30" s="20">
        <v>0.01</v>
      </c>
      <c r="BG30" s="20">
        <v>0.01</v>
      </c>
      <c r="BH30" s="20">
        <v>0.02</v>
      </c>
      <c r="BI30" s="20">
        <v>0.02</v>
      </c>
      <c r="BJ30" s="20">
        <v>0.01</v>
      </c>
      <c r="BK30" s="20">
        <v>0.01</v>
      </c>
      <c r="BL30" s="20">
        <v>0</v>
      </c>
      <c r="BM30" s="20">
        <v>0.01</v>
      </c>
      <c r="BN30" s="20">
        <v>0.01</v>
      </c>
      <c r="BO30" s="20">
        <v>0.01</v>
      </c>
    </row>
    <row r="31" spans="2:67" x14ac:dyDescent="0.4">
      <c r="B31" s="20" t="s">
        <v>140</v>
      </c>
      <c r="C31" s="20">
        <v>1.23456790123456E-2</v>
      </c>
      <c r="D31" s="20">
        <v>1.1764705882352899E-2</v>
      </c>
      <c r="E31" s="20">
        <v>1.20481927710843E-2</v>
      </c>
      <c r="F31" s="20">
        <v>1.1494252873563199E-2</v>
      </c>
      <c r="G31" s="20">
        <v>1.0752688172042999E-2</v>
      </c>
      <c r="H31" s="20">
        <v>1.12359550561797E-2</v>
      </c>
      <c r="I31" s="20">
        <v>1.1627906976744099E-2</v>
      </c>
      <c r="J31" s="20">
        <v>1.21951219512195E-2</v>
      </c>
      <c r="K31" s="20">
        <v>1.1764705882352899E-2</v>
      </c>
      <c r="L31" s="20">
        <v>1.1111111111111099E-2</v>
      </c>
      <c r="M31" s="20">
        <v>1.09890109890109E-2</v>
      </c>
      <c r="N31" s="20">
        <v>1.1111111111111099E-2</v>
      </c>
      <c r="O31" s="20">
        <v>2.19780219780219E-2</v>
      </c>
      <c r="P31" s="20">
        <v>2.40963855421686E-2</v>
      </c>
      <c r="Q31" s="20">
        <v>2.19780219780219E-2</v>
      </c>
      <c r="R31" s="20">
        <v>2.1505376344085999E-2</v>
      </c>
      <c r="S31" s="20">
        <v>0.02</v>
      </c>
      <c r="T31" s="20">
        <v>0.02</v>
      </c>
      <c r="U31" s="20">
        <v>0.02</v>
      </c>
      <c r="V31" s="20">
        <v>0.02</v>
      </c>
      <c r="W31" s="20">
        <v>0.02</v>
      </c>
      <c r="X31" s="20">
        <v>0.02</v>
      </c>
      <c r="Y31" s="20">
        <v>0.01</v>
      </c>
      <c r="Z31" s="20">
        <v>0.02</v>
      </c>
      <c r="AA31" s="20">
        <v>0.01</v>
      </c>
      <c r="AB31" s="20">
        <v>0.01</v>
      </c>
      <c r="AC31" s="20">
        <v>0.01</v>
      </c>
      <c r="AD31" s="20">
        <v>0.02</v>
      </c>
      <c r="AE31" s="20">
        <v>0.02</v>
      </c>
      <c r="AF31" s="20">
        <v>0.02</v>
      </c>
      <c r="AG31" s="20">
        <v>0.02</v>
      </c>
      <c r="AH31" s="20">
        <v>0.02</v>
      </c>
      <c r="AI31" s="20">
        <v>0.01</v>
      </c>
      <c r="AJ31" s="20">
        <v>0.01</v>
      </c>
      <c r="AK31" s="20">
        <v>0.01</v>
      </c>
      <c r="AL31" s="20">
        <v>0.01</v>
      </c>
      <c r="AM31" s="20">
        <v>0.01</v>
      </c>
      <c r="AN31" s="20">
        <v>0.02</v>
      </c>
      <c r="AO31" s="20">
        <v>0.02</v>
      </c>
      <c r="AP31" s="20">
        <v>0.01</v>
      </c>
      <c r="AQ31" s="20">
        <v>0.01</v>
      </c>
      <c r="AR31" s="20">
        <v>0.01</v>
      </c>
      <c r="AS31" s="20">
        <v>0.01</v>
      </c>
      <c r="AT31" s="20">
        <v>0.01</v>
      </c>
      <c r="AU31" s="20">
        <v>0.01</v>
      </c>
      <c r="AV31" s="20">
        <v>0.02</v>
      </c>
      <c r="AW31" s="20">
        <v>0.02</v>
      </c>
      <c r="AX31" s="20">
        <v>0.02</v>
      </c>
      <c r="AY31" s="20">
        <v>0.02</v>
      </c>
      <c r="AZ31" s="20">
        <v>0.02</v>
      </c>
      <c r="BA31" s="20">
        <v>0.02</v>
      </c>
      <c r="BB31" s="20">
        <v>0.02</v>
      </c>
      <c r="BC31" s="20">
        <v>0.02</v>
      </c>
      <c r="BD31" s="20">
        <v>0.02</v>
      </c>
      <c r="BE31" s="20">
        <v>0.02</v>
      </c>
      <c r="BF31" s="20">
        <v>0.02</v>
      </c>
      <c r="BG31" s="20">
        <v>0.02</v>
      </c>
      <c r="BH31" s="20">
        <v>0.02</v>
      </c>
      <c r="BI31" s="20">
        <v>0.02</v>
      </c>
      <c r="BJ31" s="20">
        <v>0.02</v>
      </c>
      <c r="BK31" s="20">
        <v>0.02</v>
      </c>
      <c r="BL31" s="20">
        <v>0.02</v>
      </c>
      <c r="BM31" s="20">
        <v>0.02</v>
      </c>
      <c r="BN31" s="20">
        <v>0.02</v>
      </c>
      <c r="BO31" s="20">
        <v>0.02</v>
      </c>
    </row>
    <row r="51" spans="1:67" x14ac:dyDescent="0.4">
      <c r="A51" s="21" t="s">
        <v>141</v>
      </c>
    </row>
    <row r="52" spans="1:67" x14ac:dyDescent="0.4">
      <c r="A52" t="s">
        <v>5</v>
      </c>
      <c r="C52">
        <v>20010228</v>
      </c>
      <c r="D52" s="1">
        <v>20010531</v>
      </c>
      <c r="E52" s="1">
        <v>20010831</v>
      </c>
      <c r="F52" s="1">
        <v>20011130</v>
      </c>
      <c r="G52" s="1">
        <v>20020228</v>
      </c>
      <c r="H52" s="1">
        <v>20020531</v>
      </c>
      <c r="I52" s="1">
        <v>20020830</v>
      </c>
      <c r="J52" s="1">
        <v>20021129</v>
      </c>
      <c r="K52" s="1">
        <v>20030228</v>
      </c>
      <c r="L52" s="1">
        <v>20030530</v>
      </c>
      <c r="M52" s="1">
        <v>20030829</v>
      </c>
      <c r="N52" s="1">
        <v>20031128</v>
      </c>
      <c r="O52" s="1">
        <v>20040227</v>
      </c>
      <c r="P52" s="1">
        <v>20040531</v>
      </c>
      <c r="Q52" s="1">
        <v>20040831</v>
      </c>
      <c r="R52" s="1">
        <v>20041130</v>
      </c>
      <c r="S52" s="1">
        <v>20050228</v>
      </c>
      <c r="T52" s="1">
        <v>20050531</v>
      </c>
      <c r="U52" s="1">
        <v>20050831</v>
      </c>
      <c r="V52" s="1">
        <v>20051130</v>
      </c>
      <c r="W52" s="1">
        <v>20060228</v>
      </c>
      <c r="X52" s="1">
        <v>20060530</v>
      </c>
      <c r="Y52" s="1">
        <v>20060831</v>
      </c>
      <c r="Z52" s="1">
        <v>20061130</v>
      </c>
      <c r="AA52" s="1">
        <v>20070228</v>
      </c>
      <c r="AB52" s="1">
        <v>20070531</v>
      </c>
      <c r="AC52" s="1">
        <v>20070831</v>
      </c>
      <c r="AD52" s="1">
        <v>20071130</v>
      </c>
      <c r="AE52" s="1">
        <v>20080229</v>
      </c>
      <c r="AF52" s="1">
        <v>20080530</v>
      </c>
      <c r="AG52" s="1">
        <v>20080829</v>
      </c>
      <c r="AH52" s="1">
        <v>20081128</v>
      </c>
      <c r="AI52" s="1">
        <v>20090227</v>
      </c>
      <c r="AJ52" s="1">
        <v>20090529</v>
      </c>
      <c r="AK52" s="1">
        <v>20090831</v>
      </c>
      <c r="AL52" s="1">
        <v>20091130</v>
      </c>
      <c r="AM52" s="1">
        <v>20100226</v>
      </c>
      <c r="AN52" s="1">
        <v>20100531</v>
      </c>
      <c r="AO52" s="1">
        <v>20100831</v>
      </c>
      <c r="AP52" s="1">
        <v>20101130</v>
      </c>
      <c r="AQ52" s="1">
        <v>20110228</v>
      </c>
      <c r="AR52" s="1">
        <v>20110531</v>
      </c>
      <c r="AS52" s="1">
        <v>20110831</v>
      </c>
      <c r="AT52" s="1">
        <v>20111130</v>
      </c>
      <c r="AU52" s="1">
        <v>20120229</v>
      </c>
      <c r="AV52" s="1">
        <v>20120531</v>
      </c>
      <c r="AW52" s="1">
        <v>20120831</v>
      </c>
      <c r="AX52" s="1">
        <v>20121130</v>
      </c>
      <c r="AY52" s="1">
        <v>20130228</v>
      </c>
      <c r="AZ52" s="1">
        <v>20130531</v>
      </c>
      <c r="BA52" s="1">
        <v>20130830</v>
      </c>
      <c r="BB52" s="1">
        <v>20131129</v>
      </c>
      <c r="BC52" s="1">
        <v>20140228</v>
      </c>
      <c r="BD52" s="1">
        <v>20140530</v>
      </c>
      <c r="BE52" s="1">
        <v>20140829</v>
      </c>
      <c r="BF52" s="1">
        <v>20141128</v>
      </c>
      <c r="BG52" s="1">
        <v>20150227</v>
      </c>
      <c r="BH52" s="1">
        <v>20150529</v>
      </c>
      <c r="BI52" s="1">
        <v>20150831</v>
      </c>
      <c r="BJ52" s="1">
        <v>20151130</v>
      </c>
      <c r="BK52" s="1">
        <v>20160229</v>
      </c>
      <c r="BL52" s="1">
        <v>20160531</v>
      </c>
      <c r="BM52" s="1">
        <v>20160831</v>
      </c>
      <c r="BN52" s="1">
        <v>20161130</v>
      </c>
      <c r="BO52" s="1">
        <v>20170228</v>
      </c>
    </row>
    <row r="53" spans="1:67" x14ac:dyDescent="0.4">
      <c r="B53" t="s">
        <v>112</v>
      </c>
      <c r="C53" s="20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0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20">
        <v>0</v>
      </c>
      <c r="AM53" s="20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20">
        <v>0</v>
      </c>
      <c r="BB53" s="20">
        <v>0</v>
      </c>
      <c r="BC53" s="20">
        <v>0</v>
      </c>
      <c r="BD53" s="20">
        <v>0</v>
      </c>
      <c r="BE53" s="20">
        <v>0</v>
      </c>
      <c r="BF53" s="20">
        <v>0.01</v>
      </c>
      <c r="BG53" s="20">
        <v>0.01</v>
      </c>
      <c r="BH53" s="20">
        <v>0</v>
      </c>
      <c r="BI53" s="20">
        <v>0.01</v>
      </c>
      <c r="BJ53" s="20">
        <v>0.01</v>
      </c>
      <c r="BK53" s="20">
        <v>0.01</v>
      </c>
      <c r="BL53" s="20">
        <v>0</v>
      </c>
      <c r="BM53" s="20">
        <v>0.01</v>
      </c>
      <c r="BN53" s="20">
        <v>0.01</v>
      </c>
      <c r="BO53" s="20">
        <v>0.01</v>
      </c>
    </row>
    <row r="54" spans="1:67" x14ac:dyDescent="0.4">
      <c r="B54" t="s">
        <v>113</v>
      </c>
      <c r="C54" s="20">
        <v>0</v>
      </c>
      <c r="D54" s="20">
        <v>0</v>
      </c>
      <c r="E54" s="20">
        <v>0</v>
      </c>
      <c r="F54" s="20">
        <v>0</v>
      </c>
      <c r="G54" s="20">
        <v>0</v>
      </c>
      <c r="H54" s="20">
        <v>0</v>
      </c>
      <c r="I54" s="20">
        <v>0</v>
      </c>
      <c r="J54" s="20">
        <v>0</v>
      </c>
      <c r="K54" s="20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0.01</v>
      </c>
      <c r="T54" s="20">
        <v>0.01</v>
      </c>
      <c r="U54" s="20">
        <v>0.01</v>
      </c>
      <c r="V54" s="20">
        <v>0.01</v>
      </c>
      <c r="W54" s="20">
        <v>0.01</v>
      </c>
      <c r="X54" s="20">
        <v>0</v>
      </c>
      <c r="Y54" s="20">
        <v>0</v>
      </c>
      <c r="Z54" s="20">
        <v>0</v>
      </c>
      <c r="AA54" s="20">
        <v>0</v>
      </c>
      <c r="AB54" s="20">
        <v>0.01</v>
      </c>
      <c r="AC54" s="20">
        <v>0</v>
      </c>
      <c r="AD54" s="20">
        <v>0</v>
      </c>
      <c r="AE54" s="20">
        <v>0</v>
      </c>
      <c r="AF54" s="20">
        <v>0</v>
      </c>
      <c r="AG54" s="20">
        <v>0</v>
      </c>
      <c r="AH54" s="20">
        <v>0.01</v>
      </c>
      <c r="AI54" s="20">
        <v>0</v>
      </c>
      <c r="AJ54" s="20">
        <v>0.01</v>
      </c>
      <c r="AK54" s="20">
        <v>0</v>
      </c>
      <c r="AL54" s="20">
        <v>0</v>
      </c>
      <c r="AM54" s="20">
        <v>0.01</v>
      </c>
      <c r="AN54" s="20">
        <v>0</v>
      </c>
      <c r="AO54" s="20">
        <v>0.01</v>
      </c>
      <c r="AP54" s="20">
        <v>0.01</v>
      </c>
      <c r="AQ54" s="20">
        <v>0</v>
      </c>
      <c r="AR54" s="20">
        <v>0</v>
      </c>
      <c r="AS54" s="20">
        <v>0.01</v>
      </c>
      <c r="AT54" s="20">
        <v>0.01</v>
      </c>
      <c r="AU54" s="20">
        <v>0.04</v>
      </c>
      <c r="AV54" s="20">
        <v>0.01</v>
      </c>
      <c r="AW54" s="20">
        <v>0.03</v>
      </c>
      <c r="AX54" s="20">
        <v>0.03</v>
      </c>
      <c r="AY54" s="20">
        <v>0.01</v>
      </c>
      <c r="AZ54" s="20">
        <v>0.01</v>
      </c>
      <c r="BA54" s="20">
        <v>0.02</v>
      </c>
      <c r="BB54" s="20">
        <v>0.01</v>
      </c>
      <c r="BC54" s="20">
        <v>0.01</v>
      </c>
      <c r="BD54" s="20">
        <v>0</v>
      </c>
      <c r="BE54" s="20">
        <v>0</v>
      </c>
      <c r="BF54" s="20">
        <v>0</v>
      </c>
      <c r="BG54" s="20">
        <v>0.01</v>
      </c>
      <c r="BH54" s="20">
        <v>0.03</v>
      </c>
      <c r="BI54" s="20">
        <v>0.02</v>
      </c>
      <c r="BJ54" s="20">
        <v>0.03</v>
      </c>
      <c r="BK54" s="20">
        <v>0.04</v>
      </c>
      <c r="BL54" s="20">
        <v>0.06</v>
      </c>
      <c r="BM54" s="20">
        <v>0.06</v>
      </c>
      <c r="BN54" s="20">
        <v>0.06</v>
      </c>
      <c r="BO54" s="20">
        <v>0.06</v>
      </c>
    </row>
    <row r="55" spans="1:67" x14ac:dyDescent="0.4">
      <c r="B55" t="s">
        <v>114</v>
      </c>
      <c r="C55" s="20">
        <v>0</v>
      </c>
      <c r="D55" s="20">
        <v>0</v>
      </c>
      <c r="E55" s="20">
        <v>0.01</v>
      </c>
      <c r="F55" s="20">
        <v>0</v>
      </c>
      <c r="G55" s="20">
        <v>0</v>
      </c>
      <c r="H55" s="20">
        <v>0</v>
      </c>
      <c r="I55" s="20">
        <v>0</v>
      </c>
      <c r="J55" s="20">
        <v>0</v>
      </c>
      <c r="K55" s="20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0.01</v>
      </c>
      <c r="W55" s="20">
        <v>0.01</v>
      </c>
      <c r="X55" s="20">
        <v>0.01</v>
      </c>
      <c r="Y55" s="20">
        <v>0.01</v>
      </c>
      <c r="Z55" s="20">
        <v>0.01</v>
      </c>
      <c r="AA55" s="20">
        <v>0.01</v>
      </c>
      <c r="AB55" s="20">
        <v>0</v>
      </c>
      <c r="AC55" s="20">
        <v>0</v>
      </c>
      <c r="AD55" s="20">
        <v>0.02</v>
      </c>
      <c r="AE55" s="20">
        <v>0.02</v>
      </c>
      <c r="AF55" s="20">
        <v>0.01</v>
      </c>
      <c r="AG55" s="20">
        <v>0.01</v>
      </c>
      <c r="AH55" s="20">
        <v>0.02</v>
      </c>
      <c r="AI55" s="20">
        <v>0.02</v>
      </c>
      <c r="AJ55" s="20">
        <v>0.01</v>
      </c>
      <c r="AK55" s="20">
        <v>0.03</v>
      </c>
      <c r="AL55" s="20">
        <v>0.02</v>
      </c>
      <c r="AM55" s="20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20">
        <v>0</v>
      </c>
      <c r="BB55" s="20">
        <v>0</v>
      </c>
      <c r="BC55" s="20">
        <v>0</v>
      </c>
      <c r="BD55" s="20">
        <v>0</v>
      </c>
      <c r="BE55" s="20">
        <v>0</v>
      </c>
      <c r="BF55" s="20">
        <v>0</v>
      </c>
      <c r="BG55" s="20">
        <v>0</v>
      </c>
      <c r="BH55" s="20">
        <v>0.01</v>
      </c>
      <c r="BI55" s="20">
        <v>0.01</v>
      </c>
      <c r="BJ55" s="20">
        <v>0.01</v>
      </c>
      <c r="BK55" s="20">
        <v>0.01</v>
      </c>
      <c r="BL55" s="20">
        <v>0.01</v>
      </c>
      <c r="BM55" s="20">
        <v>0.01</v>
      </c>
      <c r="BN55" s="20">
        <v>0</v>
      </c>
      <c r="BO55" s="20">
        <v>0</v>
      </c>
    </row>
    <row r="56" spans="1:67" x14ac:dyDescent="0.4">
      <c r="B56" t="s">
        <v>115</v>
      </c>
      <c r="C56" s="20">
        <v>0.08</v>
      </c>
      <c r="D56" s="20">
        <v>0.08</v>
      </c>
      <c r="E56" s="20">
        <v>0.06</v>
      </c>
      <c r="F56" s="20">
        <v>7.0000000000000007E-2</v>
      </c>
      <c r="G56" s="20">
        <v>0.05</v>
      </c>
      <c r="H56" s="20">
        <v>0.06</v>
      </c>
      <c r="I56" s="20">
        <v>0.04</v>
      </c>
      <c r="J56" s="20">
        <v>0.05</v>
      </c>
      <c r="K56" s="20">
        <v>0.12</v>
      </c>
      <c r="L56" s="20">
        <v>0.14000000000000001</v>
      </c>
      <c r="M56" s="20">
        <v>0.12</v>
      </c>
      <c r="N56" s="20">
        <v>0.09</v>
      </c>
      <c r="O56" s="20">
        <v>0.11</v>
      </c>
      <c r="P56" s="20">
        <v>0.1</v>
      </c>
      <c r="Q56" s="20">
        <v>0.12</v>
      </c>
      <c r="R56" s="20">
        <v>7.0000000000000007E-2</v>
      </c>
      <c r="S56" s="20">
        <v>0.1</v>
      </c>
      <c r="T56" s="20">
        <v>0.03</v>
      </c>
      <c r="U56" s="20">
        <v>0.04</v>
      </c>
      <c r="V56" s="20">
        <v>0.06</v>
      </c>
      <c r="W56" s="20">
        <v>0.18</v>
      </c>
      <c r="X56" s="20">
        <v>0.09</v>
      </c>
      <c r="Y56" s="20">
        <v>0.09</v>
      </c>
      <c r="Z56" s="20">
        <v>0.05</v>
      </c>
      <c r="AA56" s="20">
        <v>0.05</v>
      </c>
      <c r="AB56" s="20">
        <v>0.09</v>
      </c>
      <c r="AC56" s="20">
        <v>0.15</v>
      </c>
      <c r="AD56" s="20">
        <v>0.06</v>
      </c>
      <c r="AE56" s="20">
        <v>0.08</v>
      </c>
      <c r="AF56" s="20">
        <v>0.03</v>
      </c>
      <c r="AG56" s="20">
        <v>0.04</v>
      </c>
      <c r="AH56" s="20">
        <v>0.03</v>
      </c>
      <c r="AI56" s="20">
        <v>0.06</v>
      </c>
      <c r="AJ56" s="20">
        <v>0.06</v>
      </c>
      <c r="AK56" s="20">
        <v>0.05</v>
      </c>
      <c r="AL56" s="20">
        <v>0.08</v>
      </c>
      <c r="AM56" s="20">
        <v>7.0000000000000007E-2</v>
      </c>
      <c r="AN56" s="20">
        <v>0.1</v>
      </c>
      <c r="AO56" s="20">
        <v>0.06</v>
      </c>
      <c r="AP56" s="20">
        <v>0.08</v>
      </c>
      <c r="AQ56" s="20">
        <v>0.06</v>
      </c>
      <c r="AR56" s="20">
        <v>0.04</v>
      </c>
      <c r="AS56" s="20">
        <v>0.06</v>
      </c>
      <c r="AT56" s="20">
        <v>0.06</v>
      </c>
      <c r="AU56" s="20">
        <v>0.05</v>
      </c>
      <c r="AV56" s="20">
        <v>0.06</v>
      </c>
      <c r="AW56" s="20">
        <v>0.06</v>
      </c>
      <c r="AX56" s="20">
        <v>0.05</v>
      </c>
      <c r="AY56" s="20">
        <v>0.04</v>
      </c>
      <c r="AZ56" s="20">
        <v>0.05</v>
      </c>
      <c r="BA56" s="20">
        <v>7.0000000000000007E-2</v>
      </c>
      <c r="BB56" s="20">
        <v>0.03</v>
      </c>
      <c r="BC56" s="20">
        <v>7.0000000000000007E-2</v>
      </c>
      <c r="BD56" s="20">
        <v>0.06</v>
      </c>
      <c r="BE56" s="20">
        <v>0.03</v>
      </c>
      <c r="BF56" s="20">
        <v>0.09</v>
      </c>
      <c r="BG56" s="20">
        <v>0.09</v>
      </c>
      <c r="BH56" s="20">
        <v>0.06</v>
      </c>
      <c r="BI56" s="20">
        <v>0.08</v>
      </c>
      <c r="BJ56" s="20">
        <v>0.09</v>
      </c>
      <c r="BK56" s="20">
        <v>7.0000000000000007E-2</v>
      </c>
      <c r="BL56" s="20">
        <v>0.08</v>
      </c>
      <c r="BM56" s="20">
        <v>0.1</v>
      </c>
      <c r="BN56" s="20">
        <v>0.05</v>
      </c>
      <c r="BO56" s="20">
        <v>0.08</v>
      </c>
    </row>
    <row r="57" spans="1:67" x14ac:dyDescent="0.4">
      <c r="B57" t="s">
        <v>116</v>
      </c>
      <c r="C57" s="20">
        <v>0</v>
      </c>
      <c r="D57" s="20">
        <v>0</v>
      </c>
      <c r="E57" s="20">
        <v>0</v>
      </c>
      <c r="F57" s="20">
        <v>0</v>
      </c>
      <c r="G57" s="20">
        <v>0</v>
      </c>
      <c r="H57" s="20">
        <v>0</v>
      </c>
      <c r="I57" s="20">
        <v>0</v>
      </c>
      <c r="J57" s="20">
        <v>0</v>
      </c>
      <c r="K57" s="20">
        <v>0</v>
      </c>
      <c r="L57" s="20">
        <v>0</v>
      </c>
      <c r="M57" s="20">
        <v>0</v>
      </c>
      <c r="N57" s="20">
        <v>0</v>
      </c>
      <c r="O57" s="20">
        <v>0</v>
      </c>
      <c r="P57" s="20">
        <v>0</v>
      </c>
      <c r="Q57" s="20">
        <v>0</v>
      </c>
      <c r="R57" s="20">
        <v>0</v>
      </c>
      <c r="S57" s="20">
        <v>0</v>
      </c>
      <c r="T57" s="20">
        <v>0</v>
      </c>
      <c r="U57" s="20">
        <v>0</v>
      </c>
      <c r="V57" s="20">
        <v>0</v>
      </c>
      <c r="W57" s="20">
        <v>0</v>
      </c>
      <c r="X57" s="20">
        <v>0</v>
      </c>
      <c r="Y57" s="20">
        <v>0</v>
      </c>
      <c r="Z57" s="20">
        <v>0</v>
      </c>
      <c r="AA57" s="20">
        <v>0</v>
      </c>
      <c r="AB57" s="20">
        <v>0</v>
      </c>
      <c r="AC57" s="20">
        <v>0</v>
      </c>
      <c r="AD57" s="20">
        <v>0</v>
      </c>
      <c r="AE57" s="20">
        <v>0</v>
      </c>
      <c r="AF57" s="20">
        <v>0</v>
      </c>
      <c r="AG57" s="20">
        <v>0</v>
      </c>
      <c r="AH57" s="20">
        <v>0</v>
      </c>
      <c r="AI57" s="20">
        <v>0</v>
      </c>
      <c r="AJ57" s="20">
        <v>0</v>
      </c>
      <c r="AK57" s="20">
        <v>0</v>
      </c>
      <c r="AL57" s="20">
        <v>0</v>
      </c>
      <c r="AM57" s="20">
        <v>0</v>
      </c>
      <c r="AN57" s="20">
        <v>0.01</v>
      </c>
      <c r="AO57" s="20">
        <v>0.01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  <c r="AY57" s="20">
        <v>0</v>
      </c>
      <c r="AZ57" s="20">
        <v>0</v>
      </c>
      <c r="BA57" s="20">
        <v>0</v>
      </c>
      <c r="BB57" s="20">
        <v>0</v>
      </c>
      <c r="BC57" s="20">
        <v>0</v>
      </c>
      <c r="BD57" s="20">
        <v>0</v>
      </c>
      <c r="BE57" s="20">
        <v>0</v>
      </c>
      <c r="BF57" s="20">
        <v>0</v>
      </c>
      <c r="BG57" s="20">
        <v>0</v>
      </c>
      <c r="BH57" s="20">
        <v>0.01</v>
      </c>
      <c r="BI57" s="20">
        <v>0.02</v>
      </c>
      <c r="BJ57" s="20">
        <v>0.01</v>
      </c>
      <c r="BK57" s="20">
        <v>0</v>
      </c>
      <c r="BL57" s="20">
        <v>0</v>
      </c>
      <c r="BM57" s="20">
        <v>0</v>
      </c>
      <c r="BN57" s="20">
        <v>0</v>
      </c>
      <c r="BO57" s="20">
        <v>0</v>
      </c>
    </row>
    <row r="58" spans="1:67" x14ac:dyDescent="0.4">
      <c r="B58" t="s">
        <v>117</v>
      </c>
      <c r="C58" s="20">
        <v>0.03</v>
      </c>
      <c r="D58" s="20">
        <v>0.03</v>
      </c>
      <c r="E58" s="20">
        <v>0.02</v>
      </c>
      <c r="F58" s="20">
        <v>0.02</v>
      </c>
      <c r="G58" s="20">
        <v>0.03</v>
      </c>
      <c r="H58" s="20">
        <v>0.03</v>
      </c>
      <c r="I58" s="20">
        <v>0.02</v>
      </c>
      <c r="J58" s="20">
        <v>0.02</v>
      </c>
      <c r="K58" s="20">
        <v>0.02</v>
      </c>
      <c r="L58" s="20">
        <v>0.01</v>
      </c>
      <c r="M58" s="20">
        <v>0.02</v>
      </c>
      <c r="N58" s="20">
        <v>0.02</v>
      </c>
      <c r="O58" s="20">
        <v>0.01</v>
      </c>
      <c r="P58" s="20">
        <v>0.02</v>
      </c>
      <c r="Q58" s="20">
        <v>0.01</v>
      </c>
      <c r="R58" s="20">
        <v>0.01</v>
      </c>
      <c r="S58" s="20">
        <v>0</v>
      </c>
      <c r="T58" s="20">
        <v>0</v>
      </c>
      <c r="U58" s="20">
        <v>0.02</v>
      </c>
      <c r="V58" s="20">
        <v>0.02</v>
      </c>
      <c r="W58" s="20">
        <v>0.01</v>
      </c>
      <c r="X58" s="20">
        <v>0.01</v>
      </c>
      <c r="Y58" s="20">
        <v>0.02</v>
      </c>
      <c r="Z58" s="20">
        <v>0.02</v>
      </c>
      <c r="AA58" s="20">
        <v>0.02</v>
      </c>
      <c r="AB58" s="20">
        <v>0.03</v>
      </c>
      <c r="AC58" s="20">
        <v>0.03</v>
      </c>
      <c r="AD58" s="20">
        <v>0.03</v>
      </c>
      <c r="AE58" s="20">
        <v>0</v>
      </c>
      <c r="AF58" s="20">
        <v>0</v>
      </c>
      <c r="AG58" s="20">
        <v>0.01</v>
      </c>
      <c r="AH58" s="20">
        <v>0.01</v>
      </c>
      <c r="AI58" s="20">
        <v>0.02</v>
      </c>
      <c r="AJ58" s="20">
        <v>0.01</v>
      </c>
      <c r="AK58" s="20">
        <v>0.01</v>
      </c>
      <c r="AL58" s="20">
        <v>0.02</v>
      </c>
      <c r="AM58" s="20">
        <v>0.01</v>
      </c>
      <c r="AN58" s="20">
        <v>0.01</v>
      </c>
      <c r="AO58" s="20">
        <v>0.01</v>
      </c>
      <c r="AP58" s="20">
        <v>0.01</v>
      </c>
      <c r="AQ58" s="20">
        <v>0.01</v>
      </c>
      <c r="AR58" s="20">
        <v>0.02</v>
      </c>
      <c r="AS58" s="20">
        <v>0.04</v>
      </c>
      <c r="AT58" s="20">
        <v>0.03</v>
      </c>
      <c r="AU58" s="20">
        <v>0.01</v>
      </c>
      <c r="AV58" s="20">
        <v>0.01</v>
      </c>
      <c r="AW58" s="20">
        <v>0</v>
      </c>
      <c r="AX58" s="20">
        <v>0.03</v>
      </c>
      <c r="AY58" s="20">
        <v>0</v>
      </c>
      <c r="AZ58" s="20">
        <v>0.02</v>
      </c>
      <c r="BA58" s="20">
        <v>0.03</v>
      </c>
      <c r="BB58" s="20">
        <v>0.04</v>
      </c>
      <c r="BC58" s="20">
        <v>0.06</v>
      </c>
      <c r="BD58" s="20">
        <v>0.06</v>
      </c>
      <c r="BE58" s="20">
        <v>0.05</v>
      </c>
      <c r="BF58" s="20">
        <v>0.04</v>
      </c>
      <c r="BG58" s="20">
        <v>0.06</v>
      </c>
      <c r="BH58" s="20">
        <v>0.12</v>
      </c>
      <c r="BI58" s="20">
        <v>0.13</v>
      </c>
      <c r="BJ58" s="20">
        <v>0.08</v>
      </c>
      <c r="BK58" s="20">
        <v>0.08</v>
      </c>
      <c r="BL58" s="20">
        <v>0.1</v>
      </c>
      <c r="BM58" s="20">
        <v>0.09</v>
      </c>
      <c r="BN58" s="20">
        <v>0.12</v>
      </c>
      <c r="BO58" s="20">
        <v>0.08</v>
      </c>
    </row>
    <row r="59" spans="1:67" x14ac:dyDescent="0.4">
      <c r="B59" t="s">
        <v>118</v>
      </c>
      <c r="C59" s="20">
        <v>0.03</v>
      </c>
      <c r="D59" s="20">
        <v>0.02</v>
      </c>
      <c r="E59" s="20">
        <v>0.01</v>
      </c>
      <c r="F59" s="20">
        <v>0.03</v>
      </c>
      <c r="G59" s="20">
        <v>0.03</v>
      </c>
      <c r="H59" s="20">
        <v>0.02</v>
      </c>
      <c r="I59" s="20">
        <v>0.02</v>
      </c>
      <c r="J59" s="20">
        <v>0.02</v>
      </c>
      <c r="K59" s="20">
        <v>0.01</v>
      </c>
      <c r="L59" s="20">
        <v>0</v>
      </c>
      <c r="M59" s="20">
        <v>0.02</v>
      </c>
      <c r="N59" s="20">
        <v>0.01</v>
      </c>
      <c r="O59" s="20">
        <v>0.01</v>
      </c>
      <c r="P59" s="20">
        <v>0</v>
      </c>
      <c r="Q59" s="20">
        <v>0</v>
      </c>
      <c r="R59" s="20">
        <v>0</v>
      </c>
      <c r="S59" s="20">
        <v>0.02</v>
      </c>
      <c r="T59" s="20">
        <v>0.02</v>
      </c>
      <c r="U59" s="20">
        <v>0.02</v>
      </c>
      <c r="V59" s="20">
        <v>0.05</v>
      </c>
      <c r="W59" s="20">
        <v>0.04</v>
      </c>
      <c r="X59" s="20">
        <v>0.06</v>
      </c>
      <c r="Y59" s="20">
        <v>0.05</v>
      </c>
      <c r="Z59" s="20">
        <v>0.06</v>
      </c>
      <c r="AA59" s="20">
        <v>0.06</v>
      </c>
      <c r="AB59" s="20">
        <v>0.01</v>
      </c>
      <c r="AC59" s="20">
        <v>0</v>
      </c>
      <c r="AD59" s="20">
        <v>0.01</v>
      </c>
      <c r="AE59" s="20">
        <v>0.01</v>
      </c>
      <c r="AF59" s="20">
        <v>0.02</v>
      </c>
      <c r="AG59" s="20">
        <v>0.01</v>
      </c>
      <c r="AH59" s="20">
        <v>0.02</v>
      </c>
      <c r="AI59" s="20">
        <v>0.02</v>
      </c>
      <c r="AJ59" s="20">
        <v>0.02</v>
      </c>
      <c r="AK59" s="20">
        <v>0.01</v>
      </c>
      <c r="AL59" s="20">
        <v>0.02</v>
      </c>
      <c r="AM59" s="20">
        <v>0.03</v>
      </c>
      <c r="AN59" s="20">
        <v>0.03</v>
      </c>
      <c r="AO59" s="20">
        <v>0.02</v>
      </c>
      <c r="AP59" s="20">
        <v>0.01</v>
      </c>
      <c r="AQ59" s="20">
        <v>0.01</v>
      </c>
      <c r="AR59" s="20">
        <v>0.01</v>
      </c>
      <c r="AS59" s="20">
        <v>0.01</v>
      </c>
      <c r="AT59" s="20">
        <v>0.01</v>
      </c>
      <c r="AU59" s="20">
        <v>0.02</v>
      </c>
      <c r="AV59" s="20">
        <v>0.01</v>
      </c>
      <c r="AW59" s="20">
        <v>0.01</v>
      </c>
      <c r="AX59" s="20">
        <v>0.01</v>
      </c>
      <c r="AY59" s="20">
        <v>0.01</v>
      </c>
      <c r="AZ59" s="20">
        <v>0</v>
      </c>
      <c r="BA59" s="20">
        <v>0.01</v>
      </c>
      <c r="BB59" s="20">
        <v>0.01</v>
      </c>
      <c r="BC59" s="20">
        <v>0.01</v>
      </c>
      <c r="BD59" s="20">
        <v>0</v>
      </c>
      <c r="BE59" s="20">
        <v>0</v>
      </c>
      <c r="BF59" s="20">
        <v>0.02</v>
      </c>
      <c r="BG59" s="20">
        <v>0.01</v>
      </c>
      <c r="BH59" s="20">
        <v>0.01</v>
      </c>
      <c r="BI59" s="20">
        <v>0.01</v>
      </c>
      <c r="BJ59" s="20">
        <v>0.01</v>
      </c>
      <c r="BK59" s="20">
        <v>0.01</v>
      </c>
      <c r="BL59" s="20">
        <v>0.01</v>
      </c>
      <c r="BM59" s="20">
        <v>0.01</v>
      </c>
      <c r="BN59" s="20">
        <v>0.01</v>
      </c>
      <c r="BO59" s="20">
        <v>0</v>
      </c>
    </row>
    <row r="60" spans="1:67" x14ac:dyDescent="0.4">
      <c r="B60" t="s">
        <v>119</v>
      </c>
      <c r="C60" s="20">
        <v>0.01</v>
      </c>
      <c r="D60" s="20">
        <v>0.01</v>
      </c>
      <c r="E60" s="20">
        <v>0.01</v>
      </c>
      <c r="F60" s="20">
        <v>0</v>
      </c>
      <c r="G60" s="20">
        <v>0.01</v>
      </c>
      <c r="H60" s="20">
        <v>0.01</v>
      </c>
      <c r="I60" s="20">
        <v>0.02</v>
      </c>
      <c r="J60" s="20">
        <v>0.01</v>
      </c>
      <c r="K60" s="20">
        <v>0.01</v>
      </c>
      <c r="L60" s="20">
        <v>0.01</v>
      </c>
      <c r="M60" s="20">
        <v>0.01</v>
      </c>
      <c r="N60" s="20">
        <v>0.01</v>
      </c>
      <c r="O60" s="20">
        <v>0.02</v>
      </c>
      <c r="P60" s="20">
        <v>0.02</v>
      </c>
      <c r="Q60" s="20">
        <v>0.02</v>
      </c>
      <c r="R60" s="20">
        <v>0</v>
      </c>
      <c r="S60" s="20">
        <v>0.01</v>
      </c>
      <c r="T60" s="20">
        <v>0.01</v>
      </c>
      <c r="U60" s="20">
        <v>0.02</v>
      </c>
      <c r="V60" s="20">
        <v>0</v>
      </c>
      <c r="W60" s="20">
        <v>0</v>
      </c>
      <c r="X60" s="20">
        <v>0</v>
      </c>
      <c r="Y60" s="20">
        <v>0</v>
      </c>
      <c r="Z60" s="20">
        <v>0</v>
      </c>
      <c r="AA60" s="20">
        <v>0.01</v>
      </c>
      <c r="AB60" s="20">
        <v>0.01</v>
      </c>
      <c r="AC60" s="20">
        <v>0</v>
      </c>
      <c r="AD60" s="20">
        <v>0</v>
      </c>
      <c r="AE60" s="20">
        <v>0</v>
      </c>
      <c r="AF60" s="20">
        <v>0</v>
      </c>
      <c r="AG60" s="20">
        <v>0</v>
      </c>
      <c r="AH60" s="20">
        <v>0.01</v>
      </c>
      <c r="AI60" s="20">
        <v>0.03</v>
      </c>
      <c r="AJ60" s="20">
        <v>0.01</v>
      </c>
      <c r="AK60" s="20">
        <v>0</v>
      </c>
      <c r="AL60" s="20">
        <v>0</v>
      </c>
      <c r="AM60" s="20">
        <v>0</v>
      </c>
      <c r="AN60" s="20">
        <v>0</v>
      </c>
      <c r="AO60" s="20">
        <v>0</v>
      </c>
      <c r="AP60" s="20">
        <v>0.01</v>
      </c>
      <c r="AQ60" s="20">
        <v>0</v>
      </c>
      <c r="AR60" s="20">
        <v>0.03</v>
      </c>
      <c r="AS60" s="20">
        <v>0</v>
      </c>
      <c r="AT60" s="20">
        <v>0.02</v>
      </c>
      <c r="AU60" s="20">
        <v>0.01</v>
      </c>
      <c r="AV60" s="20">
        <v>0.02</v>
      </c>
      <c r="AW60" s="20">
        <v>0.01</v>
      </c>
      <c r="AX60" s="20">
        <v>0.04</v>
      </c>
      <c r="AY60" s="20">
        <v>0.01</v>
      </c>
      <c r="AZ60" s="20">
        <v>0.01</v>
      </c>
      <c r="BA60" s="20">
        <v>0.01</v>
      </c>
      <c r="BB60" s="20">
        <v>0.01</v>
      </c>
      <c r="BC60" s="20">
        <v>0</v>
      </c>
      <c r="BD60" s="20">
        <v>0</v>
      </c>
      <c r="BE60" s="20">
        <v>0.03</v>
      </c>
      <c r="BF60" s="20">
        <v>0.02</v>
      </c>
      <c r="BG60" s="20">
        <v>0</v>
      </c>
      <c r="BH60" s="20">
        <v>0</v>
      </c>
      <c r="BI60" s="20">
        <v>0</v>
      </c>
      <c r="BJ60" s="20">
        <v>0.01</v>
      </c>
      <c r="BK60" s="20">
        <v>0</v>
      </c>
      <c r="BL60" s="20">
        <v>0</v>
      </c>
      <c r="BM60" s="20">
        <v>0</v>
      </c>
      <c r="BN60" s="20">
        <v>0.01</v>
      </c>
      <c r="BO60" s="20">
        <v>0</v>
      </c>
    </row>
    <row r="61" spans="1:67" x14ac:dyDescent="0.4">
      <c r="B61" t="s">
        <v>120</v>
      </c>
      <c r="C61" s="20">
        <v>0</v>
      </c>
      <c r="D61" s="20">
        <v>0.01</v>
      </c>
      <c r="E61" s="20">
        <v>0.01</v>
      </c>
      <c r="F61" s="20">
        <v>0.01</v>
      </c>
      <c r="G61" s="20">
        <v>0</v>
      </c>
      <c r="H61" s="20">
        <v>0.02</v>
      </c>
      <c r="I61" s="20">
        <v>0.01</v>
      </c>
      <c r="J61" s="20">
        <v>0.01</v>
      </c>
      <c r="K61" s="20">
        <v>0.01</v>
      </c>
      <c r="L61" s="20">
        <v>0.02</v>
      </c>
      <c r="M61" s="20">
        <v>0.01</v>
      </c>
      <c r="N61" s="20">
        <v>0.01</v>
      </c>
      <c r="O61" s="20">
        <v>0</v>
      </c>
      <c r="P61" s="20">
        <v>0.01</v>
      </c>
      <c r="Q61" s="20">
        <v>0.01</v>
      </c>
      <c r="R61" s="20">
        <v>0.01</v>
      </c>
      <c r="S61" s="20">
        <v>0</v>
      </c>
      <c r="T61" s="20">
        <v>0</v>
      </c>
      <c r="U61" s="20">
        <v>0</v>
      </c>
      <c r="V61" s="20">
        <v>0.01</v>
      </c>
      <c r="W61" s="20">
        <v>0.01</v>
      </c>
      <c r="X61" s="20">
        <v>0.01</v>
      </c>
      <c r="Y61" s="20">
        <v>0.01</v>
      </c>
      <c r="Z61" s="20">
        <v>0.01</v>
      </c>
      <c r="AA61" s="20">
        <v>0.01</v>
      </c>
      <c r="AB61" s="20">
        <v>0.01</v>
      </c>
      <c r="AC61" s="20">
        <v>0.01</v>
      </c>
      <c r="AD61" s="20">
        <v>0.02</v>
      </c>
      <c r="AE61" s="20">
        <v>0.01</v>
      </c>
      <c r="AF61" s="20">
        <v>0</v>
      </c>
      <c r="AG61" s="20">
        <v>0</v>
      </c>
      <c r="AH61" s="20">
        <v>0</v>
      </c>
      <c r="AI61" s="20">
        <v>0.01</v>
      </c>
      <c r="AJ61" s="20">
        <v>0</v>
      </c>
      <c r="AK61" s="20">
        <v>0</v>
      </c>
      <c r="AL61" s="20">
        <v>0</v>
      </c>
      <c r="AM61" s="20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0.01</v>
      </c>
      <c r="AT61" s="20">
        <v>0</v>
      </c>
      <c r="AU61" s="20">
        <v>0.01</v>
      </c>
      <c r="AV61" s="20">
        <v>0.04</v>
      </c>
      <c r="AW61" s="20">
        <v>0.02</v>
      </c>
      <c r="AX61" s="20">
        <v>0.04</v>
      </c>
      <c r="AY61" s="20">
        <v>0.04</v>
      </c>
      <c r="AZ61" s="20">
        <v>0.04</v>
      </c>
      <c r="BA61" s="20">
        <v>0.04</v>
      </c>
      <c r="BB61" s="20">
        <v>0.04</v>
      </c>
      <c r="BC61" s="20">
        <v>0.03</v>
      </c>
      <c r="BD61" s="20">
        <v>0.04</v>
      </c>
      <c r="BE61" s="20">
        <v>0.05</v>
      </c>
      <c r="BF61" s="20">
        <v>0.03</v>
      </c>
      <c r="BG61" s="20">
        <v>0.05</v>
      </c>
      <c r="BH61" s="20">
        <v>0.05</v>
      </c>
      <c r="BI61" s="20">
        <v>7.0000000000000007E-2</v>
      </c>
      <c r="BJ61" s="20">
        <v>7.0000000000000007E-2</v>
      </c>
      <c r="BK61" s="20">
        <v>0.08</v>
      </c>
      <c r="BL61" s="20">
        <v>0.05</v>
      </c>
      <c r="BM61" s="20">
        <v>0.04</v>
      </c>
      <c r="BN61" s="20">
        <v>0.04</v>
      </c>
      <c r="BO61" s="20">
        <v>0.05</v>
      </c>
    </row>
    <row r="62" spans="1:67" x14ac:dyDescent="0.4">
      <c r="B62" t="s">
        <v>121</v>
      </c>
      <c r="C62" s="20">
        <v>0.02</v>
      </c>
      <c r="D62" s="20">
        <v>0.03</v>
      </c>
      <c r="E62" s="20">
        <v>0.04</v>
      </c>
      <c r="F62" s="20">
        <v>0.05</v>
      </c>
      <c r="G62" s="20">
        <v>0.04</v>
      </c>
      <c r="H62" s="20">
        <v>0.04</v>
      </c>
      <c r="I62" s="20">
        <v>0.04</v>
      </c>
      <c r="J62" s="20">
        <v>0.03</v>
      </c>
      <c r="K62" s="20">
        <v>0.01</v>
      </c>
      <c r="L62" s="20">
        <v>0.01</v>
      </c>
      <c r="M62" s="20">
        <v>0.02</v>
      </c>
      <c r="N62" s="20">
        <v>0.02</v>
      </c>
      <c r="O62" s="20">
        <v>0.03</v>
      </c>
      <c r="P62" s="20">
        <v>0.01</v>
      </c>
      <c r="Q62" s="20">
        <v>0.03</v>
      </c>
      <c r="R62" s="20">
        <v>0.02</v>
      </c>
      <c r="S62" s="20">
        <v>0.01</v>
      </c>
      <c r="T62" s="20">
        <v>0.01</v>
      </c>
      <c r="U62" s="20">
        <v>0.03</v>
      </c>
      <c r="V62" s="20">
        <v>0.05</v>
      </c>
      <c r="W62" s="20">
        <v>0.09</v>
      </c>
      <c r="X62" s="20">
        <v>7.0000000000000007E-2</v>
      </c>
      <c r="Y62" s="20">
        <v>0.08</v>
      </c>
      <c r="Z62" s="20">
        <v>0.08</v>
      </c>
      <c r="AA62" s="20">
        <v>0.05</v>
      </c>
      <c r="AB62" s="20">
        <v>0.03</v>
      </c>
      <c r="AC62" s="20">
        <v>0.04</v>
      </c>
      <c r="AD62" s="20">
        <v>0.06</v>
      </c>
      <c r="AE62" s="20">
        <v>0.06</v>
      </c>
      <c r="AF62" s="20">
        <v>0.03</v>
      </c>
      <c r="AG62" s="20">
        <v>0</v>
      </c>
      <c r="AH62" s="20">
        <v>0.01</v>
      </c>
      <c r="AI62" s="20">
        <v>0.01</v>
      </c>
      <c r="AJ62" s="20">
        <v>0.04</v>
      </c>
      <c r="AK62" s="20">
        <v>0.06</v>
      </c>
      <c r="AL62" s="20">
        <v>0.05</v>
      </c>
      <c r="AM62" s="20">
        <v>0.02</v>
      </c>
      <c r="AN62" s="20">
        <v>0.02</v>
      </c>
      <c r="AO62" s="20">
        <v>0.01</v>
      </c>
      <c r="AP62" s="20">
        <v>0.02</v>
      </c>
      <c r="AQ62" s="20">
        <v>0.06</v>
      </c>
      <c r="AR62" s="20">
        <v>0.04</v>
      </c>
      <c r="AS62" s="20">
        <v>0.06</v>
      </c>
      <c r="AT62" s="20">
        <v>7.0000000000000007E-2</v>
      </c>
      <c r="AU62" s="20">
        <v>0.05</v>
      </c>
      <c r="AV62" s="20">
        <v>0.1</v>
      </c>
      <c r="AW62" s="20">
        <v>0.08</v>
      </c>
      <c r="AX62" s="20">
        <v>0.08</v>
      </c>
      <c r="AY62" s="20">
        <v>0.1</v>
      </c>
      <c r="AZ62" s="20">
        <v>0.12</v>
      </c>
      <c r="BA62" s="20">
        <v>7.0000000000000007E-2</v>
      </c>
      <c r="BB62" s="20">
        <v>0.09</v>
      </c>
      <c r="BC62" s="20">
        <v>0.05</v>
      </c>
      <c r="BD62" s="20">
        <v>7.0000000000000007E-2</v>
      </c>
      <c r="BE62" s="20">
        <v>0.04</v>
      </c>
      <c r="BF62" s="20">
        <v>0.03</v>
      </c>
      <c r="BG62" s="20">
        <v>0.03</v>
      </c>
      <c r="BH62" s="20">
        <v>0.02</v>
      </c>
      <c r="BI62" s="20">
        <v>0.01</v>
      </c>
      <c r="BJ62" s="20">
        <v>0.04</v>
      </c>
      <c r="BK62" s="20">
        <v>0.04</v>
      </c>
      <c r="BL62" s="20">
        <v>0.03</v>
      </c>
      <c r="BM62" s="20">
        <v>0.06</v>
      </c>
      <c r="BN62" s="20">
        <v>0.06</v>
      </c>
      <c r="BO62" s="20">
        <v>0.08</v>
      </c>
    </row>
    <row r="63" spans="1:67" x14ac:dyDescent="0.4">
      <c r="B63" t="s">
        <v>122</v>
      </c>
      <c r="C63" s="20">
        <v>0.01</v>
      </c>
      <c r="D63" s="20">
        <v>0.03</v>
      </c>
      <c r="E63" s="20">
        <v>0.03</v>
      </c>
      <c r="F63" s="20">
        <v>0.03</v>
      </c>
      <c r="G63" s="20">
        <v>0.04</v>
      </c>
      <c r="H63" s="20">
        <v>0.05</v>
      </c>
      <c r="I63" s="20">
        <v>0.05</v>
      </c>
      <c r="J63" s="20">
        <v>0.05</v>
      </c>
      <c r="K63" s="20">
        <v>0.05</v>
      </c>
      <c r="L63" s="20">
        <v>0.05</v>
      </c>
      <c r="M63" s="20">
        <v>0.05</v>
      </c>
      <c r="N63" s="20">
        <v>0.05</v>
      </c>
      <c r="O63" s="20">
        <v>0.05</v>
      </c>
      <c r="P63" s="20">
        <v>0.05</v>
      </c>
      <c r="Q63" s="20">
        <v>0.05</v>
      </c>
      <c r="R63" s="20">
        <v>0.05</v>
      </c>
      <c r="S63" s="20">
        <v>0.04</v>
      </c>
      <c r="T63" s="20">
        <v>0.04</v>
      </c>
      <c r="U63" s="20">
        <v>0.05</v>
      </c>
      <c r="V63" s="20">
        <v>0.02</v>
      </c>
      <c r="W63" s="20">
        <v>0.01</v>
      </c>
      <c r="X63" s="20">
        <v>0</v>
      </c>
      <c r="Y63" s="20">
        <v>0</v>
      </c>
      <c r="Z63" s="20">
        <v>0</v>
      </c>
      <c r="AA63" s="20">
        <v>0.01</v>
      </c>
      <c r="AB63" s="20">
        <v>0.01</v>
      </c>
      <c r="AC63" s="20">
        <v>0</v>
      </c>
      <c r="AD63" s="20">
        <v>0.01</v>
      </c>
      <c r="AE63" s="20">
        <v>0.02</v>
      </c>
      <c r="AF63" s="20">
        <v>0</v>
      </c>
      <c r="AG63" s="20">
        <v>0.01</v>
      </c>
      <c r="AH63" s="20">
        <v>0.05</v>
      </c>
      <c r="AI63" s="20">
        <v>0.04</v>
      </c>
      <c r="AJ63" s="20">
        <v>0</v>
      </c>
      <c r="AK63" s="20">
        <v>0</v>
      </c>
      <c r="AL63" s="20">
        <v>0</v>
      </c>
      <c r="AM63" s="20">
        <v>0</v>
      </c>
      <c r="AN63" s="20">
        <v>0.01</v>
      </c>
      <c r="AO63" s="20">
        <v>0.01</v>
      </c>
      <c r="AP63" s="20">
        <v>0.01</v>
      </c>
      <c r="AQ63" s="20">
        <v>0.02</v>
      </c>
      <c r="AR63" s="20">
        <v>0.02</v>
      </c>
      <c r="AS63" s="20">
        <v>0.02</v>
      </c>
      <c r="AT63" s="20">
        <v>0.01</v>
      </c>
      <c r="AU63" s="20">
        <v>0</v>
      </c>
      <c r="AV63" s="20">
        <v>0.02</v>
      </c>
      <c r="AW63" s="20">
        <v>0.01</v>
      </c>
      <c r="AX63" s="20">
        <v>0.02</v>
      </c>
      <c r="AY63" s="20">
        <v>0.04</v>
      </c>
      <c r="AZ63" s="20">
        <v>0.03</v>
      </c>
      <c r="BA63" s="20">
        <v>0.03</v>
      </c>
      <c r="BB63" s="20">
        <v>0.02</v>
      </c>
      <c r="BC63" s="20">
        <v>0.02</v>
      </c>
      <c r="BD63" s="20">
        <v>0.04</v>
      </c>
      <c r="BE63" s="20">
        <v>0.05</v>
      </c>
      <c r="BF63" s="20">
        <v>0.06</v>
      </c>
      <c r="BG63" s="20">
        <v>0.03</v>
      </c>
      <c r="BH63" s="20">
        <v>0.03</v>
      </c>
      <c r="BI63" s="20">
        <v>0.02</v>
      </c>
      <c r="BJ63" s="20">
        <v>0.01</v>
      </c>
      <c r="BK63" s="20">
        <v>0.04</v>
      </c>
      <c r="BL63" s="20">
        <v>0.02</v>
      </c>
      <c r="BM63" s="20">
        <v>0.02</v>
      </c>
      <c r="BN63" s="20">
        <v>0.04</v>
      </c>
      <c r="BO63" s="20">
        <v>0.02</v>
      </c>
    </row>
    <row r="64" spans="1:67" x14ac:dyDescent="0.4">
      <c r="B64" t="s">
        <v>124</v>
      </c>
      <c r="C64" s="20">
        <v>0</v>
      </c>
      <c r="D64" s="20">
        <v>0</v>
      </c>
      <c r="E64" s="20">
        <v>0</v>
      </c>
      <c r="F64" s="20">
        <v>0</v>
      </c>
      <c r="G64" s="20">
        <v>0</v>
      </c>
      <c r="H64" s="20">
        <v>0</v>
      </c>
      <c r="I64" s="20">
        <v>0</v>
      </c>
      <c r="J64" s="20">
        <v>0</v>
      </c>
      <c r="K64" s="20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20">
        <v>0</v>
      </c>
      <c r="Y64" s="20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0.01</v>
      </c>
      <c r="AE64" s="20">
        <v>0.01</v>
      </c>
      <c r="AF64" s="20">
        <v>0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20">
        <v>0</v>
      </c>
      <c r="AM64" s="20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0.01</v>
      </c>
      <c r="AT64" s="20">
        <v>0</v>
      </c>
      <c r="AU64" s="20">
        <v>0.01</v>
      </c>
      <c r="AV64" s="20">
        <v>0</v>
      </c>
      <c r="AW64" s="20">
        <v>0</v>
      </c>
      <c r="AX64" s="20">
        <v>0.02</v>
      </c>
      <c r="AY64" s="20">
        <v>0.02</v>
      </c>
      <c r="AZ64" s="20">
        <v>0.02</v>
      </c>
      <c r="BA64" s="20">
        <v>0.02</v>
      </c>
      <c r="BB64" s="20">
        <v>0.02</v>
      </c>
      <c r="BC64" s="20">
        <v>0.02</v>
      </c>
      <c r="BD64" s="20">
        <v>0.03</v>
      </c>
      <c r="BE64" s="20">
        <v>0.03</v>
      </c>
      <c r="BF64" s="20">
        <v>0.03</v>
      </c>
      <c r="BG64" s="20">
        <v>0.02</v>
      </c>
      <c r="BH64" s="20">
        <v>0.02</v>
      </c>
      <c r="BI64" s="20">
        <v>0.03</v>
      </c>
      <c r="BJ64" s="20">
        <v>0.03</v>
      </c>
      <c r="BK64" s="20">
        <v>0.02</v>
      </c>
      <c r="BL64" s="20">
        <v>0.03</v>
      </c>
      <c r="BM64" s="20">
        <v>0.03</v>
      </c>
      <c r="BN64" s="20">
        <v>0.03</v>
      </c>
      <c r="BO64" s="20">
        <v>0.03</v>
      </c>
    </row>
    <row r="65" spans="2:67" x14ac:dyDescent="0.4">
      <c r="B65" t="s">
        <v>125</v>
      </c>
      <c r="C65" s="20">
        <v>0.03</v>
      </c>
      <c r="D65" s="20">
        <v>0.03</v>
      </c>
      <c r="E65" s="20">
        <v>0.03</v>
      </c>
      <c r="F65" s="20">
        <v>0.03</v>
      </c>
      <c r="G65" s="20">
        <v>0.02</v>
      </c>
      <c r="H65" s="20">
        <v>0.03</v>
      </c>
      <c r="I65" s="20">
        <v>0.04</v>
      </c>
      <c r="J65" s="20">
        <v>0.03</v>
      </c>
      <c r="K65" s="20">
        <v>0.01</v>
      </c>
      <c r="L65" s="20">
        <v>0.03</v>
      </c>
      <c r="M65" s="20">
        <v>0.03</v>
      </c>
      <c r="N65" s="20">
        <v>0.04</v>
      </c>
      <c r="O65" s="20">
        <v>0.03</v>
      </c>
      <c r="P65" s="20">
        <v>0.04</v>
      </c>
      <c r="Q65" s="20">
        <v>0.04</v>
      </c>
      <c r="R65" s="20">
        <v>0.03</v>
      </c>
      <c r="S65" s="20">
        <v>0.03</v>
      </c>
      <c r="T65" s="20">
        <v>0.03</v>
      </c>
      <c r="U65" s="20">
        <v>0.04</v>
      </c>
      <c r="V65" s="20">
        <v>0.04</v>
      </c>
      <c r="W65" s="20">
        <v>0.01</v>
      </c>
      <c r="X65" s="20">
        <v>0.04</v>
      </c>
      <c r="Y65" s="20">
        <v>0.03</v>
      </c>
      <c r="Z65" s="20">
        <v>0.05</v>
      </c>
      <c r="AA65" s="20">
        <v>0.04</v>
      </c>
      <c r="AB65" s="20">
        <v>0.05</v>
      </c>
      <c r="AC65" s="20">
        <v>0.04</v>
      </c>
      <c r="AD65" s="20">
        <v>0.04</v>
      </c>
      <c r="AE65" s="20">
        <v>0.04</v>
      </c>
      <c r="AF65" s="20">
        <v>0.02</v>
      </c>
      <c r="AG65" s="20">
        <v>0.02</v>
      </c>
      <c r="AH65" s="20">
        <v>0.04</v>
      </c>
      <c r="AI65" s="20">
        <v>0.01</v>
      </c>
      <c r="AJ65" s="20">
        <v>0.02</v>
      </c>
      <c r="AK65" s="20">
        <v>0.02</v>
      </c>
      <c r="AL65" s="20">
        <v>0.03</v>
      </c>
      <c r="AM65" s="20">
        <v>0.02</v>
      </c>
      <c r="AN65" s="20">
        <v>0.02</v>
      </c>
      <c r="AO65" s="20">
        <v>0.01</v>
      </c>
      <c r="AP65" s="20">
        <v>0.02</v>
      </c>
      <c r="AQ65" s="20">
        <v>0.03</v>
      </c>
      <c r="AR65" s="20">
        <v>0.04</v>
      </c>
      <c r="AS65" s="20">
        <v>0.03</v>
      </c>
      <c r="AT65" s="20">
        <v>0.02</v>
      </c>
      <c r="AU65" s="20">
        <v>0.05</v>
      </c>
      <c r="AV65" s="20">
        <v>0.04</v>
      </c>
      <c r="AW65" s="20">
        <v>0.04</v>
      </c>
      <c r="AX65" s="20">
        <v>0.04</v>
      </c>
      <c r="AY65" s="20">
        <v>0.03</v>
      </c>
      <c r="AZ65" s="20">
        <v>0.03</v>
      </c>
      <c r="BA65" s="20">
        <v>0.03</v>
      </c>
      <c r="BB65" s="20">
        <v>0.04</v>
      </c>
      <c r="BC65" s="20">
        <v>0.01</v>
      </c>
      <c r="BD65" s="20">
        <v>0.01</v>
      </c>
      <c r="BE65" s="20">
        <v>0.01</v>
      </c>
      <c r="BF65" s="20">
        <v>0.01</v>
      </c>
      <c r="BG65" s="20">
        <v>0</v>
      </c>
      <c r="BH65" s="20">
        <v>0.01</v>
      </c>
      <c r="BI65" s="20">
        <v>0.02</v>
      </c>
      <c r="BJ65" s="20">
        <v>0.02</v>
      </c>
      <c r="BK65" s="20">
        <v>0.01</v>
      </c>
      <c r="BL65" s="20">
        <v>0</v>
      </c>
      <c r="BM65" s="20">
        <v>0</v>
      </c>
      <c r="BN65" s="20">
        <v>0</v>
      </c>
      <c r="BO65" s="20">
        <v>0</v>
      </c>
    </row>
    <row r="66" spans="2:67" x14ac:dyDescent="0.4">
      <c r="B66" t="s">
        <v>126</v>
      </c>
      <c r="C66" s="20">
        <v>0.15</v>
      </c>
      <c r="D66" s="20">
        <v>0.15</v>
      </c>
      <c r="E66" s="20">
        <v>0.17</v>
      </c>
      <c r="F66" s="20">
        <v>0.17</v>
      </c>
      <c r="G66" s="20">
        <v>0.13</v>
      </c>
      <c r="H66" s="20">
        <v>0.15</v>
      </c>
      <c r="I66" s="20">
        <v>0.16</v>
      </c>
      <c r="J66" s="20">
        <v>0.16</v>
      </c>
      <c r="K66" s="20">
        <v>0.13</v>
      </c>
      <c r="L66" s="20">
        <v>0.13</v>
      </c>
      <c r="M66" s="20">
        <v>0.14000000000000001</v>
      </c>
      <c r="N66" s="20">
        <v>0.15</v>
      </c>
      <c r="O66" s="20">
        <v>0.12</v>
      </c>
      <c r="P66" s="20">
        <v>0.11</v>
      </c>
      <c r="Q66" s="20">
        <v>0.13</v>
      </c>
      <c r="R66" s="20">
        <v>0.12</v>
      </c>
      <c r="S66" s="20">
        <v>7.0000000000000007E-2</v>
      </c>
      <c r="T66" s="20">
        <v>0.05</v>
      </c>
      <c r="U66" s="20">
        <v>0.05</v>
      </c>
      <c r="V66" s="20">
        <v>0.02</v>
      </c>
      <c r="W66" s="20">
        <v>0.04</v>
      </c>
      <c r="X66" s="20">
        <v>0.03</v>
      </c>
      <c r="Y66" s="20">
        <v>0.03</v>
      </c>
      <c r="Z66" s="20">
        <v>0.04</v>
      </c>
      <c r="AA66" s="20">
        <v>0.08</v>
      </c>
      <c r="AB66" s="20">
        <v>0.06</v>
      </c>
      <c r="AC66" s="20">
        <v>0.1</v>
      </c>
      <c r="AD66" s="20">
        <v>0.16</v>
      </c>
      <c r="AE66" s="20">
        <v>0.14000000000000001</v>
      </c>
      <c r="AF66" s="20">
        <v>0.05</v>
      </c>
      <c r="AG66" s="20">
        <v>7.0000000000000007E-2</v>
      </c>
      <c r="AH66" s="20">
        <v>0.11</v>
      </c>
      <c r="AI66" s="20">
        <v>0.11</v>
      </c>
      <c r="AJ66" s="20">
        <v>0.05</v>
      </c>
      <c r="AK66" s="20">
        <v>0.03</v>
      </c>
      <c r="AL66" s="20">
        <v>0.08</v>
      </c>
      <c r="AM66" s="20">
        <v>0.14000000000000001</v>
      </c>
      <c r="AN66" s="20">
        <v>0.19</v>
      </c>
      <c r="AO66" s="20">
        <v>0.15</v>
      </c>
      <c r="AP66" s="20">
        <v>0.1</v>
      </c>
      <c r="AQ66" s="20">
        <v>0.19</v>
      </c>
      <c r="AR66" s="20">
        <v>0.14000000000000001</v>
      </c>
      <c r="AS66" s="20">
        <v>0.11</v>
      </c>
      <c r="AT66" s="20">
        <v>0.13</v>
      </c>
      <c r="AU66" s="20">
        <v>0.12</v>
      </c>
      <c r="AV66" s="20">
        <v>0.1</v>
      </c>
      <c r="AW66" s="20">
        <v>7.0000000000000007E-2</v>
      </c>
      <c r="AX66" s="20">
        <v>0.08</v>
      </c>
      <c r="AY66" s="20">
        <v>0.08</v>
      </c>
      <c r="AZ66" s="20">
        <v>0.08</v>
      </c>
      <c r="BA66" s="20">
        <v>0.06</v>
      </c>
      <c r="BB66" s="20">
        <v>7.0000000000000007E-2</v>
      </c>
      <c r="BC66" s="20">
        <v>0.04</v>
      </c>
      <c r="BD66" s="20">
        <v>0.05</v>
      </c>
      <c r="BE66" s="20">
        <v>0.04</v>
      </c>
      <c r="BF66" s="20">
        <v>0.05</v>
      </c>
      <c r="BG66" s="20">
        <v>0.04</v>
      </c>
      <c r="BH66" s="20">
        <v>0.04</v>
      </c>
      <c r="BI66" s="20">
        <v>0.02</v>
      </c>
      <c r="BJ66" s="20">
        <v>0.02</v>
      </c>
      <c r="BK66" s="20">
        <v>0.04</v>
      </c>
      <c r="BL66" s="20">
        <v>0.01</v>
      </c>
      <c r="BM66" s="20">
        <v>0.04</v>
      </c>
      <c r="BN66" s="20">
        <v>0.05</v>
      </c>
      <c r="BO66" s="20">
        <v>0.06</v>
      </c>
    </row>
    <row r="67" spans="2:67" x14ac:dyDescent="0.4">
      <c r="B67" t="s">
        <v>127</v>
      </c>
      <c r="C67" s="20">
        <v>0.1</v>
      </c>
      <c r="D67" s="20">
        <v>0.11</v>
      </c>
      <c r="E67" s="20">
        <v>0.08</v>
      </c>
      <c r="F67" s="20">
        <v>0.08</v>
      </c>
      <c r="G67" s="20">
        <v>0.06</v>
      </c>
      <c r="H67" s="20">
        <v>0.04</v>
      </c>
      <c r="I67" s="20">
        <v>0.06</v>
      </c>
      <c r="J67" s="20">
        <v>0.05</v>
      </c>
      <c r="K67" s="20">
        <v>0.02</v>
      </c>
      <c r="L67" s="20">
        <v>0.03</v>
      </c>
      <c r="M67" s="20">
        <v>0.03</v>
      </c>
      <c r="N67" s="20">
        <v>0.03</v>
      </c>
      <c r="O67" s="20">
        <v>0.03</v>
      </c>
      <c r="P67" s="20">
        <v>0.05</v>
      </c>
      <c r="Q67" s="20">
        <v>0.03</v>
      </c>
      <c r="R67" s="20">
        <v>0.04</v>
      </c>
      <c r="S67" s="20">
        <v>0.03</v>
      </c>
      <c r="T67" s="20">
        <v>0.04</v>
      </c>
      <c r="U67" s="20">
        <v>0.02</v>
      </c>
      <c r="V67" s="20">
        <v>0.03</v>
      </c>
      <c r="W67" s="20">
        <v>0.05</v>
      </c>
      <c r="X67" s="20">
        <v>7.0000000000000007E-2</v>
      </c>
      <c r="Y67" s="20">
        <v>0.03</v>
      </c>
      <c r="Z67" s="20">
        <v>0.03</v>
      </c>
      <c r="AA67" s="20">
        <v>0.05</v>
      </c>
      <c r="AB67" s="20">
        <v>0.08</v>
      </c>
      <c r="AC67" s="20">
        <v>0.03</v>
      </c>
      <c r="AD67" s="20">
        <v>0.03</v>
      </c>
      <c r="AE67" s="20">
        <v>0.04</v>
      </c>
      <c r="AF67" s="20">
        <v>0</v>
      </c>
      <c r="AG67" s="20">
        <v>0</v>
      </c>
      <c r="AH67" s="20">
        <v>0.01</v>
      </c>
      <c r="AI67" s="20">
        <v>0.01</v>
      </c>
      <c r="AJ67" s="20">
        <v>0.04</v>
      </c>
      <c r="AK67" s="20">
        <v>0.05</v>
      </c>
      <c r="AL67" s="20">
        <v>0.05</v>
      </c>
      <c r="AM67" s="20">
        <v>0.06</v>
      </c>
      <c r="AN67" s="20">
        <v>0.06</v>
      </c>
      <c r="AO67" s="20">
        <v>0.08</v>
      </c>
      <c r="AP67" s="20">
        <v>0.08</v>
      </c>
      <c r="AQ67" s="20">
        <v>0.09</v>
      </c>
      <c r="AR67" s="20">
        <v>7.0000000000000007E-2</v>
      </c>
      <c r="AS67" s="20">
        <v>7.0000000000000007E-2</v>
      </c>
      <c r="AT67" s="20">
        <v>0.06</v>
      </c>
      <c r="AU67" s="20">
        <v>0.05</v>
      </c>
      <c r="AV67" s="20">
        <v>7.0000000000000007E-2</v>
      </c>
      <c r="AW67" s="20">
        <v>0.11</v>
      </c>
      <c r="AX67" s="20">
        <v>0.06</v>
      </c>
      <c r="AY67" s="20">
        <v>7.0000000000000007E-2</v>
      </c>
      <c r="AZ67" s="20">
        <v>0.11</v>
      </c>
      <c r="BA67" s="20">
        <v>0.09</v>
      </c>
      <c r="BB67" s="20">
        <v>0.12</v>
      </c>
      <c r="BC67" s="20">
        <v>0.12</v>
      </c>
      <c r="BD67" s="20">
        <v>0.11</v>
      </c>
      <c r="BE67" s="20">
        <v>0.11</v>
      </c>
      <c r="BF67" s="20">
        <v>0.14000000000000001</v>
      </c>
      <c r="BG67" s="20">
        <v>0.1</v>
      </c>
      <c r="BH67" s="20">
        <v>7.0000000000000007E-2</v>
      </c>
      <c r="BI67" s="20">
        <v>7.0000000000000007E-2</v>
      </c>
      <c r="BJ67" s="20">
        <v>7.0000000000000007E-2</v>
      </c>
      <c r="BK67" s="20">
        <v>7.0000000000000007E-2</v>
      </c>
      <c r="BL67" s="20">
        <v>0.11</v>
      </c>
      <c r="BM67" s="20">
        <v>0.13</v>
      </c>
      <c r="BN67" s="20">
        <v>0.13</v>
      </c>
      <c r="BO67" s="20">
        <v>0.1</v>
      </c>
    </row>
    <row r="68" spans="2:67" x14ac:dyDescent="0.4">
      <c r="B68" t="s">
        <v>128</v>
      </c>
      <c r="C68" s="20">
        <v>7.0000000000000007E-2</v>
      </c>
      <c r="D68" s="20">
        <v>0.06</v>
      </c>
      <c r="E68" s="20">
        <v>7.0000000000000007E-2</v>
      </c>
      <c r="F68" s="20">
        <v>0.02</v>
      </c>
      <c r="G68" s="20">
        <v>0.02</v>
      </c>
      <c r="H68" s="20">
        <v>0.04</v>
      </c>
      <c r="I68" s="20">
        <v>7.0000000000000007E-2</v>
      </c>
      <c r="J68" s="20">
        <v>7.0000000000000007E-2</v>
      </c>
      <c r="K68" s="20">
        <v>0.06</v>
      </c>
      <c r="L68" s="20">
        <v>0.05</v>
      </c>
      <c r="M68" s="20">
        <v>7.0000000000000007E-2</v>
      </c>
      <c r="N68" s="20">
        <v>0.05</v>
      </c>
      <c r="O68" s="20">
        <v>0.05</v>
      </c>
      <c r="P68" s="20">
        <v>0.05</v>
      </c>
      <c r="Q68" s="20">
        <v>0.08</v>
      </c>
      <c r="R68" s="20">
        <v>0.09</v>
      </c>
      <c r="S68" s="20">
        <v>0.08</v>
      </c>
      <c r="T68" s="20">
        <v>0.08</v>
      </c>
      <c r="U68" s="20">
        <v>0.06</v>
      </c>
      <c r="V68" s="20">
        <v>0.06</v>
      </c>
      <c r="W68" s="20">
        <v>0.04</v>
      </c>
      <c r="X68" s="20">
        <v>0.04</v>
      </c>
      <c r="Y68" s="20">
        <v>0.08</v>
      </c>
      <c r="Z68" s="20">
        <v>7.0000000000000007E-2</v>
      </c>
      <c r="AA68" s="20">
        <v>0.02</v>
      </c>
      <c r="AB68" s="20">
        <v>0.03</v>
      </c>
      <c r="AC68" s="20">
        <v>0.03</v>
      </c>
      <c r="AD68" s="20">
        <v>0.02</v>
      </c>
      <c r="AE68" s="20">
        <v>0.04</v>
      </c>
      <c r="AF68" s="20">
        <v>0.01</v>
      </c>
      <c r="AG68" s="20">
        <v>0.01</v>
      </c>
      <c r="AH68" s="20">
        <v>0.04</v>
      </c>
      <c r="AI68" s="20">
        <v>0.04</v>
      </c>
      <c r="AJ68" s="20">
        <v>0</v>
      </c>
      <c r="AK68" s="20">
        <v>0.01</v>
      </c>
      <c r="AL68" s="20">
        <v>0.01</v>
      </c>
      <c r="AM68" s="20">
        <v>0.03</v>
      </c>
      <c r="AN68" s="20">
        <v>0.03</v>
      </c>
      <c r="AO68" s="20">
        <v>0.02</v>
      </c>
      <c r="AP68" s="20">
        <v>0</v>
      </c>
      <c r="AQ68" s="20">
        <v>0.05</v>
      </c>
      <c r="AR68" s="20">
        <v>0.06</v>
      </c>
      <c r="AS68" s="20">
        <v>0.05</v>
      </c>
      <c r="AT68" s="20">
        <v>0.06</v>
      </c>
      <c r="AU68" s="20">
        <v>0.03</v>
      </c>
      <c r="AV68" s="20">
        <v>0.02</v>
      </c>
      <c r="AW68" s="20">
        <v>0.03</v>
      </c>
      <c r="AX68" s="20">
        <v>0.06</v>
      </c>
      <c r="AY68" s="20">
        <v>0.06</v>
      </c>
      <c r="AZ68" s="20">
        <v>0.06</v>
      </c>
      <c r="BA68" s="20">
        <v>0.03</v>
      </c>
      <c r="BB68" s="20">
        <v>0.03</v>
      </c>
      <c r="BC68" s="20">
        <v>0.04</v>
      </c>
      <c r="BD68" s="20">
        <v>0.03</v>
      </c>
      <c r="BE68" s="20">
        <v>7.0000000000000007E-2</v>
      </c>
      <c r="BF68" s="20">
        <v>0.08</v>
      </c>
      <c r="BG68" s="20">
        <v>0.02</v>
      </c>
      <c r="BH68" s="20">
        <v>0.04</v>
      </c>
      <c r="BI68" s="20">
        <v>0.04</v>
      </c>
      <c r="BJ68" s="20">
        <v>0.03</v>
      </c>
      <c r="BK68" s="20">
        <v>0.05</v>
      </c>
      <c r="BL68" s="20">
        <v>0.05</v>
      </c>
      <c r="BM68" s="20">
        <v>0.04</v>
      </c>
      <c r="BN68" s="20">
        <v>0.05</v>
      </c>
      <c r="BO68" s="20">
        <v>0.06</v>
      </c>
    </row>
    <row r="69" spans="2:67" x14ac:dyDescent="0.4">
      <c r="B69" t="s">
        <v>129</v>
      </c>
      <c r="C69" s="20">
        <v>0</v>
      </c>
      <c r="D69" s="20">
        <v>0</v>
      </c>
      <c r="E69" s="20">
        <v>0</v>
      </c>
      <c r="F69" s="20">
        <v>0</v>
      </c>
      <c r="G69" s="20">
        <v>0</v>
      </c>
      <c r="H69" s="20">
        <v>0</v>
      </c>
      <c r="I69" s="20">
        <v>0</v>
      </c>
      <c r="J69" s="20">
        <v>0</v>
      </c>
      <c r="K69" s="20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20">
        <v>0</v>
      </c>
      <c r="Y69" s="20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0</v>
      </c>
      <c r="AH69" s="20">
        <v>0</v>
      </c>
      <c r="AI69" s="20">
        <v>0</v>
      </c>
      <c r="AJ69" s="20">
        <v>0</v>
      </c>
      <c r="AK69" s="20">
        <v>0</v>
      </c>
      <c r="AL69" s="20">
        <v>0</v>
      </c>
      <c r="AM69" s="20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20">
        <v>0</v>
      </c>
      <c r="BB69" s="20">
        <v>0</v>
      </c>
      <c r="BC69" s="20">
        <v>0</v>
      </c>
      <c r="BD69" s="20">
        <v>0</v>
      </c>
      <c r="BE69" s="20">
        <v>0</v>
      </c>
      <c r="BF69" s="20">
        <v>0</v>
      </c>
      <c r="BG69" s="20">
        <v>0</v>
      </c>
      <c r="BH69" s="20">
        <v>0</v>
      </c>
      <c r="BI69" s="20">
        <v>0</v>
      </c>
      <c r="BJ69" s="20">
        <v>0</v>
      </c>
      <c r="BK69" s="20">
        <v>0</v>
      </c>
      <c r="BL69" s="20">
        <v>0</v>
      </c>
      <c r="BM69" s="20">
        <v>0</v>
      </c>
      <c r="BN69" s="20">
        <v>0.01</v>
      </c>
      <c r="BO69" s="20">
        <v>0.01</v>
      </c>
    </row>
    <row r="70" spans="2:67" x14ac:dyDescent="0.4">
      <c r="B70" t="s">
        <v>130</v>
      </c>
      <c r="C70" s="20">
        <v>0.02</v>
      </c>
      <c r="D70" s="20">
        <v>0.01</v>
      </c>
      <c r="E70" s="20">
        <v>0.01</v>
      </c>
      <c r="F70" s="20">
        <v>0.01</v>
      </c>
      <c r="G70" s="20">
        <v>0</v>
      </c>
      <c r="H70" s="20">
        <v>0</v>
      </c>
      <c r="I70" s="20">
        <v>0</v>
      </c>
      <c r="J70" s="20">
        <v>0</v>
      </c>
      <c r="K70" s="20">
        <v>0</v>
      </c>
      <c r="L70" s="20">
        <v>0.01</v>
      </c>
      <c r="M70" s="20">
        <v>0</v>
      </c>
      <c r="N70" s="20">
        <v>0</v>
      </c>
      <c r="O70" s="20">
        <v>0</v>
      </c>
      <c r="P70" s="20">
        <v>0</v>
      </c>
      <c r="Q70" s="20">
        <v>0.01</v>
      </c>
      <c r="R70" s="20">
        <v>0.01</v>
      </c>
      <c r="S70" s="20">
        <v>0.01</v>
      </c>
      <c r="T70" s="20">
        <v>0</v>
      </c>
      <c r="U70" s="20">
        <v>0</v>
      </c>
      <c r="V70" s="20">
        <v>0</v>
      </c>
      <c r="W70" s="20">
        <v>0</v>
      </c>
      <c r="X70" s="20">
        <v>0</v>
      </c>
      <c r="Y70" s="20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0</v>
      </c>
      <c r="AI70" s="20">
        <v>0</v>
      </c>
      <c r="AJ70" s="20">
        <v>0</v>
      </c>
      <c r="AK70" s="20">
        <v>0</v>
      </c>
      <c r="AL70" s="20">
        <v>0</v>
      </c>
      <c r="AM70" s="20">
        <v>0.01</v>
      </c>
      <c r="AN70" s="20">
        <v>0.01</v>
      </c>
      <c r="AO70" s="20">
        <v>0.02</v>
      </c>
      <c r="AP70" s="20">
        <v>0.03</v>
      </c>
      <c r="AQ70" s="20">
        <v>0.02</v>
      </c>
      <c r="AR70" s="20">
        <v>0.03</v>
      </c>
      <c r="AS70" s="20">
        <v>0.02</v>
      </c>
      <c r="AT70" s="20">
        <v>0.01</v>
      </c>
      <c r="AU70" s="20">
        <v>0.01</v>
      </c>
      <c r="AV70" s="20">
        <v>0</v>
      </c>
      <c r="AW70" s="20">
        <v>0.01</v>
      </c>
      <c r="AX70" s="20">
        <v>0.01</v>
      </c>
      <c r="AY70" s="20">
        <v>0.01</v>
      </c>
      <c r="AZ70" s="20">
        <v>0.01</v>
      </c>
      <c r="BA70" s="20">
        <v>0</v>
      </c>
      <c r="BB70" s="20">
        <v>0</v>
      </c>
      <c r="BC70" s="20">
        <v>0</v>
      </c>
      <c r="BD70" s="20">
        <v>0</v>
      </c>
      <c r="BE70" s="20">
        <v>0</v>
      </c>
      <c r="BF70" s="20">
        <v>0</v>
      </c>
      <c r="BG70" s="20">
        <v>0.01</v>
      </c>
      <c r="BH70" s="20">
        <v>0</v>
      </c>
      <c r="BI70" s="20">
        <v>0</v>
      </c>
      <c r="BJ70" s="20">
        <v>0.01</v>
      </c>
      <c r="BK70" s="20">
        <v>0</v>
      </c>
      <c r="BL70" s="20">
        <v>0</v>
      </c>
      <c r="BM70" s="20">
        <v>0</v>
      </c>
      <c r="BN70" s="20">
        <v>0</v>
      </c>
      <c r="BO70" s="20">
        <v>0</v>
      </c>
    </row>
    <row r="71" spans="2:67" x14ac:dyDescent="0.4">
      <c r="B71" t="s">
        <v>131</v>
      </c>
      <c r="C71" s="20">
        <v>0.03</v>
      </c>
      <c r="D71" s="20">
        <v>0.02</v>
      </c>
      <c r="E71" s="20">
        <v>0.01</v>
      </c>
      <c r="F71" s="20">
        <v>0.02</v>
      </c>
      <c r="G71" s="20">
        <v>0.03</v>
      </c>
      <c r="H71" s="20">
        <v>0.02</v>
      </c>
      <c r="I71" s="20">
        <v>0.01</v>
      </c>
      <c r="J71" s="20">
        <v>0.03</v>
      </c>
      <c r="K71" s="20">
        <v>0.02</v>
      </c>
      <c r="L71" s="20">
        <v>0.01</v>
      </c>
      <c r="M71" s="20">
        <v>0.01</v>
      </c>
      <c r="N71" s="20">
        <v>0.02</v>
      </c>
      <c r="O71" s="20">
        <v>0.02</v>
      </c>
      <c r="P71" s="20">
        <v>0.02</v>
      </c>
      <c r="Q71" s="20">
        <v>0.03</v>
      </c>
      <c r="R71" s="20">
        <v>0.03</v>
      </c>
      <c r="S71" s="20">
        <v>0.01</v>
      </c>
      <c r="T71" s="20">
        <v>0.01</v>
      </c>
      <c r="U71" s="20">
        <v>0</v>
      </c>
      <c r="V71" s="20">
        <v>0</v>
      </c>
      <c r="W71" s="20">
        <v>0</v>
      </c>
      <c r="X71" s="20">
        <v>0</v>
      </c>
      <c r="Y71" s="20">
        <v>0.01</v>
      </c>
      <c r="Z71" s="20">
        <v>0.01</v>
      </c>
      <c r="AA71" s="20">
        <v>0.01</v>
      </c>
      <c r="AB71" s="20">
        <v>0.01</v>
      </c>
      <c r="AC71" s="20">
        <v>0.04</v>
      </c>
      <c r="AD71" s="20">
        <v>0.05</v>
      </c>
      <c r="AE71" s="20">
        <v>0.03</v>
      </c>
      <c r="AF71" s="20">
        <v>0.02</v>
      </c>
      <c r="AG71" s="20">
        <v>0.02</v>
      </c>
      <c r="AH71" s="20">
        <v>0</v>
      </c>
      <c r="AI71" s="20">
        <v>0.01</v>
      </c>
      <c r="AJ71" s="20">
        <v>0.01</v>
      </c>
      <c r="AK71" s="20">
        <v>0</v>
      </c>
      <c r="AL71" s="20">
        <v>0</v>
      </c>
      <c r="AM71" s="20">
        <v>0</v>
      </c>
      <c r="AN71" s="20">
        <v>0.02</v>
      </c>
      <c r="AO71" s="20">
        <v>0.02</v>
      </c>
      <c r="AP71" s="20">
        <v>0</v>
      </c>
      <c r="AQ71" s="20">
        <v>0</v>
      </c>
      <c r="AR71" s="20">
        <v>0.04</v>
      </c>
      <c r="AS71" s="20">
        <v>0.01</v>
      </c>
      <c r="AT71" s="20">
        <v>0.01</v>
      </c>
      <c r="AU71" s="20">
        <v>0.04</v>
      </c>
      <c r="AV71" s="20">
        <v>0.02</v>
      </c>
      <c r="AW71" s="20">
        <v>0.03</v>
      </c>
      <c r="AX71" s="20">
        <v>0</v>
      </c>
      <c r="AY71" s="20">
        <v>0.03</v>
      </c>
      <c r="AZ71" s="20">
        <v>0.04</v>
      </c>
      <c r="BA71" s="20">
        <v>0.05</v>
      </c>
      <c r="BB71" s="20">
        <v>0.04</v>
      </c>
      <c r="BC71" s="20">
        <v>7.0000000000000007E-2</v>
      </c>
      <c r="BD71" s="20">
        <v>7.0000000000000007E-2</v>
      </c>
      <c r="BE71" s="20">
        <v>0.08</v>
      </c>
      <c r="BF71" s="20">
        <v>0.08</v>
      </c>
      <c r="BG71" s="20">
        <v>0.11</v>
      </c>
      <c r="BH71" s="20">
        <v>0.1</v>
      </c>
      <c r="BI71" s="20">
        <v>0.08</v>
      </c>
      <c r="BJ71" s="20">
        <v>0.03</v>
      </c>
      <c r="BK71" s="20">
        <v>0.03</v>
      </c>
      <c r="BL71" s="20">
        <v>0.04</v>
      </c>
      <c r="BM71" s="20">
        <v>0.04</v>
      </c>
      <c r="BN71" s="20">
        <v>0.02</v>
      </c>
      <c r="BO71" s="20">
        <v>0.05</v>
      </c>
    </row>
    <row r="72" spans="2:67" x14ac:dyDescent="0.4">
      <c r="B72" t="s">
        <v>132</v>
      </c>
      <c r="C72" s="20">
        <v>0.04</v>
      </c>
      <c r="D72" s="20">
        <v>0.04</v>
      </c>
      <c r="E72" s="20">
        <v>0.04</v>
      </c>
      <c r="F72" s="20">
        <v>0.04</v>
      </c>
      <c r="G72" s="20">
        <v>0.04</v>
      </c>
      <c r="H72" s="20">
        <v>0.04</v>
      </c>
      <c r="I72" s="20">
        <v>0.03</v>
      </c>
      <c r="J72" s="20">
        <v>0.03</v>
      </c>
      <c r="K72" s="20">
        <v>0.03</v>
      </c>
      <c r="L72" s="20">
        <v>0.03</v>
      </c>
      <c r="M72" s="20">
        <v>0.03</v>
      </c>
      <c r="N72" s="20">
        <v>0.03</v>
      </c>
      <c r="O72" s="20">
        <v>0.04</v>
      </c>
      <c r="P72" s="20">
        <v>0.04</v>
      </c>
      <c r="Q72" s="20">
        <v>0.01</v>
      </c>
      <c r="R72" s="20">
        <v>0.02</v>
      </c>
      <c r="S72" s="20">
        <v>0</v>
      </c>
      <c r="T72" s="20">
        <v>0</v>
      </c>
      <c r="U72" s="20">
        <v>0</v>
      </c>
      <c r="V72" s="20">
        <v>0</v>
      </c>
      <c r="W72" s="20">
        <v>0.02</v>
      </c>
      <c r="X72" s="20">
        <v>0.02</v>
      </c>
      <c r="Y72" s="20">
        <v>0.01</v>
      </c>
      <c r="Z72" s="20">
        <v>0.01</v>
      </c>
      <c r="AA72" s="20">
        <v>0.03</v>
      </c>
      <c r="AB72" s="20">
        <v>0</v>
      </c>
      <c r="AC72" s="20">
        <v>0</v>
      </c>
      <c r="AD72" s="20">
        <v>0</v>
      </c>
      <c r="AE72" s="20">
        <v>0</v>
      </c>
      <c r="AF72" s="20">
        <v>0</v>
      </c>
      <c r="AG72" s="20">
        <v>0</v>
      </c>
      <c r="AH72" s="20">
        <v>0.03</v>
      </c>
      <c r="AI72" s="20">
        <v>0.02</v>
      </c>
      <c r="AJ72" s="20">
        <v>0</v>
      </c>
      <c r="AK72" s="20">
        <v>0</v>
      </c>
      <c r="AL72" s="20">
        <v>0.02</v>
      </c>
      <c r="AM72" s="20">
        <v>0.03</v>
      </c>
      <c r="AN72" s="20">
        <v>0.02</v>
      </c>
      <c r="AO72" s="20">
        <v>0.01</v>
      </c>
      <c r="AP72" s="20">
        <v>0.01</v>
      </c>
      <c r="AQ72" s="20">
        <v>0.05</v>
      </c>
      <c r="AR72" s="20">
        <v>0.02</v>
      </c>
      <c r="AS72" s="20">
        <v>0.05</v>
      </c>
      <c r="AT72" s="20">
        <v>0.06</v>
      </c>
      <c r="AU72" s="20">
        <v>0.04</v>
      </c>
      <c r="AV72" s="20">
        <v>0.03</v>
      </c>
      <c r="AW72" s="20">
        <v>0.05</v>
      </c>
      <c r="AX72" s="20">
        <v>0.04</v>
      </c>
      <c r="AY72" s="20">
        <v>0.03</v>
      </c>
      <c r="AZ72" s="20">
        <v>0</v>
      </c>
      <c r="BA72" s="20">
        <v>0.02</v>
      </c>
      <c r="BB72" s="20">
        <v>0.01</v>
      </c>
      <c r="BC72" s="20">
        <v>0.02</v>
      </c>
      <c r="BD72" s="20">
        <v>0.02</v>
      </c>
      <c r="BE72" s="20">
        <v>0.02</v>
      </c>
      <c r="BF72" s="20">
        <v>0.01</v>
      </c>
      <c r="BG72" s="20">
        <v>0.04</v>
      </c>
      <c r="BH72" s="20">
        <v>0.03</v>
      </c>
      <c r="BI72" s="20">
        <v>0.03</v>
      </c>
      <c r="BJ72" s="20">
        <v>0.02</v>
      </c>
      <c r="BK72" s="20">
        <v>0</v>
      </c>
      <c r="BL72" s="20">
        <v>0</v>
      </c>
      <c r="BM72" s="20">
        <v>0</v>
      </c>
      <c r="BN72" s="20">
        <v>0</v>
      </c>
      <c r="BO72" s="20">
        <v>0</v>
      </c>
    </row>
    <row r="73" spans="2:67" x14ac:dyDescent="0.4">
      <c r="B73" t="s">
        <v>133</v>
      </c>
      <c r="C73" s="20">
        <v>0.04</v>
      </c>
      <c r="D73" s="20">
        <v>0.03</v>
      </c>
      <c r="E73" s="20">
        <v>0.03</v>
      </c>
      <c r="F73" s="20">
        <v>0.01</v>
      </c>
      <c r="G73" s="20">
        <v>0.01</v>
      </c>
      <c r="H73" s="20">
        <v>0.01</v>
      </c>
      <c r="I73" s="20">
        <v>0.01</v>
      </c>
      <c r="J73" s="20">
        <v>0.01</v>
      </c>
      <c r="K73" s="20">
        <v>0.06</v>
      </c>
      <c r="L73" s="20">
        <v>0.04</v>
      </c>
      <c r="M73" s="20">
        <v>7.0000000000000007E-2</v>
      </c>
      <c r="N73" s="20">
        <v>0.04</v>
      </c>
      <c r="O73" s="20">
        <v>0.05</v>
      </c>
      <c r="P73" s="20">
        <v>0.05</v>
      </c>
      <c r="Q73" s="20">
        <v>0.06</v>
      </c>
      <c r="R73" s="20">
        <v>0.04</v>
      </c>
      <c r="S73" s="20">
        <v>0.03</v>
      </c>
      <c r="T73" s="20">
        <v>0.02</v>
      </c>
      <c r="U73" s="20">
        <v>0.03</v>
      </c>
      <c r="V73" s="20">
        <v>0.01</v>
      </c>
      <c r="W73" s="20">
        <v>0</v>
      </c>
      <c r="X73" s="20">
        <v>0.01</v>
      </c>
      <c r="Y73" s="20">
        <v>0.02</v>
      </c>
      <c r="Z73" s="20">
        <v>0.02</v>
      </c>
      <c r="AA73" s="20">
        <v>0.02</v>
      </c>
      <c r="AB73" s="20">
        <v>0.01</v>
      </c>
      <c r="AC73" s="20">
        <v>0</v>
      </c>
      <c r="AD73" s="20">
        <v>0.01</v>
      </c>
      <c r="AE73" s="20">
        <v>0.01</v>
      </c>
      <c r="AF73" s="20">
        <v>0</v>
      </c>
      <c r="AG73" s="20">
        <v>0</v>
      </c>
      <c r="AH73" s="20">
        <v>0.02</v>
      </c>
      <c r="AI73" s="20">
        <v>0.02</v>
      </c>
      <c r="AJ73" s="20">
        <v>0.01</v>
      </c>
      <c r="AK73" s="20">
        <v>0.02</v>
      </c>
      <c r="AL73" s="20">
        <v>0.01</v>
      </c>
      <c r="AM73" s="20">
        <v>0</v>
      </c>
      <c r="AN73" s="20">
        <v>0.01</v>
      </c>
      <c r="AO73" s="20">
        <v>0</v>
      </c>
      <c r="AP73" s="20">
        <v>0.01</v>
      </c>
      <c r="AQ73" s="20">
        <v>0.03</v>
      </c>
      <c r="AR73" s="20">
        <v>0.03</v>
      </c>
      <c r="AS73" s="20">
        <v>0.02</v>
      </c>
      <c r="AT73" s="20">
        <v>0.03</v>
      </c>
      <c r="AU73" s="20">
        <v>0.04</v>
      </c>
      <c r="AV73" s="20">
        <v>0.04</v>
      </c>
      <c r="AW73" s="20">
        <v>0.02</v>
      </c>
      <c r="AX73" s="20">
        <v>0.03</v>
      </c>
      <c r="AY73" s="20">
        <v>0.03</v>
      </c>
      <c r="AZ73" s="20">
        <v>0.03</v>
      </c>
      <c r="BA73" s="20">
        <v>0.02</v>
      </c>
      <c r="BB73" s="20">
        <v>0.03</v>
      </c>
      <c r="BC73" s="20">
        <v>0.03</v>
      </c>
      <c r="BD73" s="20">
        <v>0.02</v>
      </c>
      <c r="BE73" s="20">
        <v>0.01</v>
      </c>
      <c r="BF73" s="20">
        <v>0.02</v>
      </c>
      <c r="BG73" s="20">
        <v>0.01</v>
      </c>
      <c r="BH73" s="20">
        <v>0.01</v>
      </c>
      <c r="BI73" s="20">
        <v>0.01</v>
      </c>
      <c r="BJ73" s="20">
        <v>0.01</v>
      </c>
      <c r="BK73" s="20">
        <v>0.01</v>
      </c>
      <c r="BL73" s="20">
        <v>0.02</v>
      </c>
      <c r="BM73" s="20">
        <v>0.02</v>
      </c>
      <c r="BN73" s="20">
        <v>0.02</v>
      </c>
      <c r="BO73" s="20">
        <v>0.02</v>
      </c>
    </row>
    <row r="74" spans="2:67" x14ac:dyDescent="0.4">
      <c r="B74" t="s">
        <v>134</v>
      </c>
      <c r="C74" s="20">
        <v>0.03</v>
      </c>
      <c r="D74" s="20">
        <v>0.03</v>
      </c>
      <c r="E74" s="20">
        <v>0.03</v>
      </c>
      <c r="F74" s="20">
        <v>0.01</v>
      </c>
      <c r="G74" s="20">
        <v>0.06</v>
      </c>
      <c r="H74" s="20">
        <v>0.06</v>
      </c>
      <c r="I74" s="20">
        <v>0.02</v>
      </c>
      <c r="J74" s="20">
        <v>0.03</v>
      </c>
      <c r="K74" s="20">
        <v>0.04</v>
      </c>
      <c r="L74" s="20">
        <v>0.01</v>
      </c>
      <c r="M74" s="20">
        <v>0.01</v>
      </c>
      <c r="N74" s="20">
        <v>0.02</v>
      </c>
      <c r="O74" s="20">
        <v>0.03</v>
      </c>
      <c r="P74" s="20">
        <v>0.02</v>
      </c>
      <c r="Q74" s="20">
        <v>0.02</v>
      </c>
      <c r="R74" s="20">
        <v>0.04</v>
      </c>
      <c r="S74" s="20">
        <v>0.04</v>
      </c>
      <c r="T74" s="20">
        <v>0.04</v>
      </c>
      <c r="U74" s="20">
        <v>0.05</v>
      </c>
      <c r="V74" s="20">
        <v>0.05</v>
      </c>
      <c r="W74" s="20">
        <v>0.02</v>
      </c>
      <c r="X74" s="20">
        <v>0.02</v>
      </c>
      <c r="Y74" s="20">
        <v>0.03</v>
      </c>
      <c r="Z74" s="20">
        <v>0.03</v>
      </c>
      <c r="AA74" s="20">
        <v>0.06</v>
      </c>
      <c r="AB74" s="20">
        <v>0.03</v>
      </c>
      <c r="AC74" s="20">
        <v>0.03</v>
      </c>
      <c r="AD74" s="20">
        <v>0.02</v>
      </c>
      <c r="AE74" s="20">
        <v>0.03</v>
      </c>
      <c r="AF74" s="20">
        <v>0.01</v>
      </c>
      <c r="AG74" s="20">
        <v>0.03</v>
      </c>
      <c r="AH74" s="20">
        <v>0.01</v>
      </c>
      <c r="AI74" s="20">
        <v>0.04</v>
      </c>
      <c r="AJ74" s="20">
        <v>0.01</v>
      </c>
      <c r="AK74" s="20">
        <v>0.06</v>
      </c>
      <c r="AL74" s="20">
        <v>0.05</v>
      </c>
      <c r="AM74" s="20">
        <v>0.09</v>
      </c>
      <c r="AN74" s="20">
        <v>0.12</v>
      </c>
      <c r="AO74" s="20">
        <v>0.1</v>
      </c>
      <c r="AP74" s="20">
        <v>0.12</v>
      </c>
      <c r="AQ74" s="20">
        <v>0.13</v>
      </c>
      <c r="AR74" s="20">
        <v>0.14000000000000001</v>
      </c>
      <c r="AS74" s="20">
        <v>0.09</v>
      </c>
      <c r="AT74" s="20">
        <v>0.13</v>
      </c>
      <c r="AU74" s="20">
        <v>0.14000000000000001</v>
      </c>
      <c r="AV74" s="20">
        <v>0.12</v>
      </c>
      <c r="AW74" s="20">
        <v>0.11</v>
      </c>
      <c r="AX74" s="20">
        <v>0.06</v>
      </c>
      <c r="AY74" s="20">
        <v>0.08</v>
      </c>
      <c r="AZ74" s="20">
        <v>0.11</v>
      </c>
      <c r="BA74" s="20">
        <v>0.17</v>
      </c>
      <c r="BB74" s="20">
        <v>0.12</v>
      </c>
      <c r="BC74" s="20">
        <v>0.13</v>
      </c>
      <c r="BD74" s="20">
        <v>0.09</v>
      </c>
      <c r="BE74" s="20">
        <v>0.1</v>
      </c>
      <c r="BF74" s="20">
        <v>0.08</v>
      </c>
      <c r="BG74" s="20">
        <v>0.02</v>
      </c>
      <c r="BH74" s="20">
        <v>0.02</v>
      </c>
      <c r="BI74" s="20">
        <v>0.04</v>
      </c>
      <c r="BJ74" s="20">
        <v>0.03</v>
      </c>
      <c r="BK74" s="20">
        <v>0.02</v>
      </c>
      <c r="BL74" s="20">
        <v>0.01</v>
      </c>
      <c r="BM74" s="20">
        <v>0</v>
      </c>
      <c r="BN74" s="20">
        <v>0</v>
      </c>
      <c r="BO74" s="20">
        <v>0.03</v>
      </c>
    </row>
    <row r="75" spans="2:67" x14ac:dyDescent="0.4">
      <c r="B75" t="s">
        <v>135</v>
      </c>
      <c r="C75" s="20">
        <v>0.23</v>
      </c>
      <c r="D75" s="20">
        <v>0.21</v>
      </c>
      <c r="E75" s="20">
        <v>0.22</v>
      </c>
      <c r="F75" s="20">
        <v>0.26</v>
      </c>
      <c r="G75" s="20">
        <v>0.27</v>
      </c>
      <c r="H75" s="20">
        <v>0.21</v>
      </c>
      <c r="I75" s="20">
        <v>0.22</v>
      </c>
      <c r="J75" s="20">
        <v>0.23</v>
      </c>
      <c r="K75" s="20">
        <v>0.25</v>
      </c>
      <c r="L75" s="20">
        <v>0.28999999999999998</v>
      </c>
      <c r="M75" s="20">
        <v>0.22</v>
      </c>
      <c r="N75" s="20">
        <v>0.25</v>
      </c>
      <c r="O75" s="20">
        <v>0.26</v>
      </c>
      <c r="P75" s="20">
        <v>0.26</v>
      </c>
      <c r="Q75" s="20">
        <v>0.22</v>
      </c>
      <c r="R75" s="20">
        <v>0.25</v>
      </c>
      <c r="S75" s="20">
        <v>0.39</v>
      </c>
      <c r="T75" s="20">
        <v>0.45</v>
      </c>
      <c r="U75" s="20">
        <v>0.43</v>
      </c>
      <c r="V75" s="20">
        <v>0.38</v>
      </c>
      <c r="W75" s="20">
        <v>0.33</v>
      </c>
      <c r="X75" s="20">
        <v>0.38</v>
      </c>
      <c r="Y75" s="20">
        <v>0.38</v>
      </c>
      <c r="Z75" s="20">
        <v>0.38</v>
      </c>
      <c r="AA75" s="20">
        <v>0.33</v>
      </c>
      <c r="AB75" s="20">
        <v>0.42</v>
      </c>
      <c r="AC75" s="20">
        <v>0.37</v>
      </c>
      <c r="AD75" s="20">
        <v>0.3</v>
      </c>
      <c r="AE75" s="20">
        <v>0.32</v>
      </c>
      <c r="AF75" s="20">
        <v>0.77</v>
      </c>
      <c r="AG75" s="20">
        <v>0.71</v>
      </c>
      <c r="AH75" s="20">
        <v>0.43</v>
      </c>
      <c r="AI75" s="20">
        <v>0.37</v>
      </c>
      <c r="AJ75" s="20">
        <v>0.56000000000000005</v>
      </c>
      <c r="AK75" s="20">
        <v>0.54</v>
      </c>
      <c r="AL75" s="20">
        <v>0.48</v>
      </c>
      <c r="AM75" s="20">
        <v>0.36</v>
      </c>
      <c r="AN75" s="20">
        <v>0.2</v>
      </c>
      <c r="AO75" s="20">
        <v>0.35</v>
      </c>
      <c r="AP75" s="20">
        <v>0.39</v>
      </c>
      <c r="AQ75" s="20">
        <v>0.11</v>
      </c>
      <c r="AR75" s="20">
        <v>0.14000000000000001</v>
      </c>
      <c r="AS75" s="20">
        <v>0.12</v>
      </c>
      <c r="AT75" s="20">
        <v>0.08</v>
      </c>
      <c r="AU75" s="20">
        <v>0.09</v>
      </c>
      <c r="AV75" s="20">
        <v>0.08</v>
      </c>
      <c r="AW75" s="20">
        <v>0.06</v>
      </c>
      <c r="AX75" s="20">
        <v>0.05</v>
      </c>
      <c r="AY75" s="20">
        <v>0.13</v>
      </c>
      <c r="AZ75" s="20">
        <v>0.06</v>
      </c>
      <c r="BA75" s="20">
        <v>0.06</v>
      </c>
      <c r="BB75" s="20">
        <v>7.0000000000000007E-2</v>
      </c>
      <c r="BC75" s="20">
        <v>0.09</v>
      </c>
      <c r="BD75" s="20">
        <v>0.17</v>
      </c>
      <c r="BE75" s="20">
        <v>0.15</v>
      </c>
      <c r="BF75" s="20">
        <v>0.08</v>
      </c>
      <c r="BG75" s="20">
        <v>0.19</v>
      </c>
      <c r="BH75" s="20">
        <v>0.08</v>
      </c>
      <c r="BI75" s="20">
        <v>0.04</v>
      </c>
      <c r="BJ75" s="20">
        <v>0.05</v>
      </c>
      <c r="BK75" s="20">
        <v>0.11</v>
      </c>
      <c r="BL75" s="20">
        <v>0.11</v>
      </c>
      <c r="BM75" s="20">
        <v>0.12</v>
      </c>
      <c r="BN75" s="20">
        <v>0.13</v>
      </c>
      <c r="BO75" s="20">
        <v>0.09</v>
      </c>
    </row>
    <row r="76" spans="2:67" x14ac:dyDescent="0.4">
      <c r="B76" t="s">
        <v>136</v>
      </c>
      <c r="C76" s="20">
        <v>0.01</v>
      </c>
      <c r="D76" s="20">
        <v>0</v>
      </c>
      <c r="E76" s="20">
        <v>0.01</v>
      </c>
      <c r="F76" s="20">
        <v>0</v>
      </c>
      <c r="G76" s="20">
        <v>0.02</v>
      </c>
      <c r="H76" s="20">
        <v>0.01</v>
      </c>
      <c r="I76" s="20">
        <v>0.01</v>
      </c>
      <c r="J76" s="20">
        <v>0.02</v>
      </c>
      <c r="K76" s="20">
        <v>0.01</v>
      </c>
      <c r="L76" s="20">
        <v>0.01</v>
      </c>
      <c r="M76" s="20">
        <v>0.02</v>
      </c>
      <c r="N76" s="20">
        <v>0.02</v>
      </c>
      <c r="O76" s="20">
        <v>0.02</v>
      </c>
      <c r="P76" s="20">
        <v>0.04</v>
      </c>
      <c r="Q76" s="20">
        <v>0.02</v>
      </c>
      <c r="R76" s="20">
        <v>0.03</v>
      </c>
      <c r="S76" s="20">
        <v>0.01</v>
      </c>
      <c r="T76" s="20">
        <v>0.03</v>
      </c>
      <c r="U76" s="20">
        <v>0.02</v>
      </c>
      <c r="V76" s="20">
        <v>0.02</v>
      </c>
      <c r="W76" s="20">
        <v>0.03</v>
      </c>
      <c r="X76" s="20">
        <v>0.02</v>
      </c>
      <c r="Y76" s="20">
        <v>0.01</v>
      </c>
      <c r="Z76" s="20">
        <v>0</v>
      </c>
      <c r="AA76" s="20">
        <v>0.01</v>
      </c>
      <c r="AB76" s="20">
        <v>0.01</v>
      </c>
      <c r="AC76" s="20">
        <v>0.02</v>
      </c>
      <c r="AD76" s="20">
        <v>0.03</v>
      </c>
      <c r="AE76" s="20">
        <v>0.01</v>
      </c>
      <c r="AF76" s="20">
        <v>0.01</v>
      </c>
      <c r="AG76" s="20">
        <v>0.01</v>
      </c>
      <c r="AH76" s="20">
        <v>0.01</v>
      </c>
      <c r="AI76" s="20">
        <v>0.02</v>
      </c>
      <c r="AJ76" s="20">
        <v>0.02</v>
      </c>
      <c r="AK76" s="20">
        <v>0.02</v>
      </c>
      <c r="AL76" s="20">
        <v>0.01</v>
      </c>
      <c r="AM76" s="20">
        <v>0.01</v>
      </c>
      <c r="AN76" s="20">
        <v>0.02</v>
      </c>
      <c r="AO76" s="20">
        <v>0</v>
      </c>
      <c r="AP76" s="20">
        <v>0.01</v>
      </c>
      <c r="AQ76" s="20">
        <v>0.01</v>
      </c>
      <c r="AR76" s="20">
        <v>0.03</v>
      </c>
      <c r="AS76" s="20">
        <v>0.02</v>
      </c>
      <c r="AT76" s="20">
        <v>0.02</v>
      </c>
      <c r="AU76" s="20">
        <v>0.02</v>
      </c>
      <c r="AV76" s="20">
        <v>0.02</v>
      </c>
      <c r="AW76" s="20">
        <v>0.02</v>
      </c>
      <c r="AX76" s="20">
        <v>0.03</v>
      </c>
      <c r="AY76" s="20">
        <v>0.03</v>
      </c>
      <c r="AZ76" s="20">
        <v>0.04</v>
      </c>
      <c r="BA76" s="20">
        <v>0.04</v>
      </c>
      <c r="BB76" s="20">
        <v>0.04</v>
      </c>
      <c r="BC76" s="20">
        <v>0.03</v>
      </c>
      <c r="BD76" s="20">
        <v>0.04</v>
      </c>
      <c r="BE76" s="20">
        <v>0.05</v>
      </c>
      <c r="BF76" s="20">
        <v>0.03</v>
      </c>
      <c r="BG76" s="20">
        <v>0.02</v>
      </c>
      <c r="BH76" s="20">
        <v>0.02</v>
      </c>
      <c r="BI76" s="20">
        <v>0</v>
      </c>
      <c r="BJ76" s="20">
        <v>0.02</v>
      </c>
      <c r="BK76" s="20">
        <v>0.02</v>
      </c>
      <c r="BL76" s="20">
        <v>0.03</v>
      </c>
      <c r="BM76" s="20">
        <v>0.03</v>
      </c>
      <c r="BN76" s="20">
        <v>0.03</v>
      </c>
      <c r="BO76" s="20">
        <v>0.05</v>
      </c>
    </row>
    <row r="77" spans="2:67" x14ac:dyDescent="0.4">
      <c r="B77" t="s">
        <v>137</v>
      </c>
      <c r="C77" s="20">
        <v>0.02</v>
      </c>
      <c r="D77" s="20">
        <v>0.04</v>
      </c>
      <c r="E77" s="20">
        <v>0.03</v>
      </c>
      <c r="F77" s="20">
        <v>0.03</v>
      </c>
      <c r="G77" s="20">
        <v>0.04</v>
      </c>
      <c r="H77" s="20">
        <v>0.02</v>
      </c>
      <c r="I77" s="20">
        <v>0.03</v>
      </c>
      <c r="J77" s="20">
        <v>0.02</v>
      </c>
      <c r="K77" s="20">
        <v>0.03</v>
      </c>
      <c r="L77" s="20">
        <v>0.04</v>
      </c>
      <c r="M77" s="20">
        <v>0.04</v>
      </c>
      <c r="N77" s="20">
        <v>0.04</v>
      </c>
      <c r="O77" s="20">
        <v>0.04</v>
      </c>
      <c r="P77" s="20">
        <v>0.04</v>
      </c>
      <c r="Q77" s="20">
        <v>0.03</v>
      </c>
      <c r="R77" s="20">
        <v>0.06</v>
      </c>
      <c r="S77" s="20">
        <v>0.06</v>
      </c>
      <c r="T77" s="20">
        <v>0.06</v>
      </c>
      <c r="U77" s="20">
        <v>0.06</v>
      </c>
      <c r="V77" s="20">
        <v>0.12</v>
      </c>
      <c r="W77" s="20">
        <v>7.0000000000000007E-2</v>
      </c>
      <c r="X77" s="20">
        <v>7.0000000000000007E-2</v>
      </c>
      <c r="Y77" s="20">
        <v>0.06</v>
      </c>
      <c r="Z77" s="20">
        <v>7.0000000000000007E-2</v>
      </c>
      <c r="AA77" s="20">
        <v>0.08</v>
      </c>
      <c r="AB77" s="20">
        <v>0.08</v>
      </c>
      <c r="AC77" s="20">
        <v>7.0000000000000007E-2</v>
      </c>
      <c r="AD77" s="20">
        <v>0.08</v>
      </c>
      <c r="AE77" s="20">
        <v>0.08</v>
      </c>
      <c r="AF77" s="20">
        <v>0.01</v>
      </c>
      <c r="AG77" s="20">
        <v>0.03</v>
      </c>
      <c r="AH77" s="20">
        <v>0.09</v>
      </c>
      <c r="AI77" s="20">
        <v>0.09</v>
      </c>
      <c r="AJ77" s="20">
        <v>7.0000000000000007E-2</v>
      </c>
      <c r="AK77" s="20">
        <v>0.05</v>
      </c>
      <c r="AL77" s="20">
        <v>0.05</v>
      </c>
      <c r="AM77" s="20">
        <v>0.08</v>
      </c>
      <c r="AN77" s="20">
        <v>0.08</v>
      </c>
      <c r="AO77" s="20">
        <v>0.08</v>
      </c>
      <c r="AP77" s="20">
        <v>0.06</v>
      </c>
      <c r="AQ77" s="20">
        <v>0.09</v>
      </c>
      <c r="AR77" s="20">
        <v>7.0000000000000007E-2</v>
      </c>
      <c r="AS77" s="20">
        <v>0.15</v>
      </c>
      <c r="AT77" s="20">
        <v>0.14000000000000001</v>
      </c>
      <c r="AU77" s="20">
        <v>0.14000000000000001</v>
      </c>
      <c r="AV77" s="20">
        <v>0.15</v>
      </c>
      <c r="AW77" s="20">
        <v>0.2</v>
      </c>
      <c r="AX77" s="20">
        <v>0.19</v>
      </c>
      <c r="AY77" s="20">
        <v>0.12</v>
      </c>
      <c r="AZ77" s="20">
        <v>0.08</v>
      </c>
      <c r="BA77" s="20">
        <v>0.09</v>
      </c>
      <c r="BB77" s="20">
        <v>0.1</v>
      </c>
      <c r="BC77" s="20">
        <v>0.11</v>
      </c>
      <c r="BD77" s="20">
        <v>0.05</v>
      </c>
      <c r="BE77" s="20">
        <v>0.04</v>
      </c>
      <c r="BF77" s="20">
        <v>0.05</v>
      </c>
      <c r="BG77" s="20">
        <v>0.08</v>
      </c>
      <c r="BH77" s="20">
        <v>0.16</v>
      </c>
      <c r="BI77" s="20">
        <v>0.21</v>
      </c>
      <c r="BJ77" s="20">
        <v>0.24</v>
      </c>
      <c r="BK77" s="20">
        <v>0.21</v>
      </c>
      <c r="BL77" s="20">
        <v>0.21</v>
      </c>
      <c r="BM77" s="20">
        <v>0.15</v>
      </c>
      <c r="BN77" s="20">
        <v>0.12</v>
      </c>
      <c r="BO77" s="20">
        <v>0.11</v>
      </c>
    </row>
    <row r="78" spans="2:67" x14ac:dyDescent="0.4">
      <c r="B78" t="s">
        <v>138</v>
      </c>
      <c r="C78" s="20">
        <v>0.03</v>
      </c>
      <c r="D78" s="20">
        <v>0.04</v>
      </c>
      <c r="E78" s="20">
        <v>0.05</v>
      </c>
      <c r="F78" s="20">
        <v>0.08</v>
      </c>
      <c r="G78" s="20">
        <v>0.08</v>
      </c>
      <c r="H78" s="20">
        <v>0.11</v>
      </c>
      <c r="I78" s="20">
        <v>0.1</v>
      </c>
      <c r="J78" s="20">
        <v>0.1</v>
      </c>
      <c r="K78" s="20">
        <v>0.08</v>
      </c>
      <c r="L78" s="20">
        <v>0.04</v>
      </c>
      <c r="M78" s="20">
        <v>0.05</v>
      </c>
      <c r="N78" s="20">
        <v>0.06</v>
      </c>
      <c r="O78" s="20">
        <v>0.06</v>
      </c>
      <c r="P78" s="20">
        <v>0.04</v>
      </c>
      <c r="Q78" s="20">
        <v>0.04</v>
      </c>
      <c r="R78" s="20">
        <v>0.05</v>
      </c>
      <c r="S78" s="20">
        <v>0.04</v>
      </c>
      <c r="T78" s="20">
        <v>0.05</v>
      </c>
      <c r="U78" s="20">
        <v>0.04</v>
      </c>
      <c r="V78" s="20">
        <v>0.03</v>
      </c>
      <c r="W78" s="20">
        <v>0.02</v>
      </c>
      <c r="X78" s="20">
        <v>0.04</v>
      </c>
      <c r="Y78" s="20">
        <v>0.04</v>
      </c>
      <c r="Z78" s="20">
        <v>0.05</v>
      </c>
      <c r="AA78" s="20">
        <v>0.04</v>
      </c>
      <c r="AB78" s="20">
        <v>0.02</v>
      </c>
      <c r="AC78" s="20">
        <v>0.03</v>
      </c>
      <c r="AD78" s="20">
        <v>0.03</v>
      </c>
      <c r="AE78" s="20">
        <v>0.03</v>
      </c>
      <c r="AF78" s="20">
        <v>0</v>
      </c>
      <c r="AG78" s="20">
        <v>0.01</v>
      </c>
      <c r="AH78" s="20">
        <v>0.04</v>
      </c>
      <c r="AI78" s="20">
        <v>0.04</v>
      </c>
      <c r="AJ78" s="20">
        <v>0.04</v>
      </c>
      <c r="AK78" s="20">
        <v>0.03</v>
      </c>
      <c r="AL78" s="20">
        <v>0.02</v>
      </c>
      <c r="AM78" s="20">
        <v>0.02</v>
      </c>
      <c r="AN78" s="20">
        <v>0.03</v>
      </c>
      <c r="AO78" s="20">
        <v>0.02</v>
      </c>
      <c r="AP78" s="20">
        <v>0.01</v>
      </c>
      <c r="AQ78" s="20">
        <v>0.03</v>
      </c>
      <c r="AR78" s="20">
        <v>0.02</v>
      </c>
      <c r="AS78" s="20">
        <v>0.03</v>
      </c>
      <c r="AT78" s="20">
        <v>0.03</v>
      </c>
      <c r="AU78" s="20">
        <v>0.03</v>
      </c>
      <c r="AV78" s="20">
        <v>0.03</v>
      </c>
      <c r="AW78" s="20">
        <v>0.03</v>
      </c>
      <c r="AX78" s="20">
        <v>0.03</v>
      </c>
      <c r="AY78" s="20">
        <v>0.03</v>
      </c>
      <c r="AZ78" s="20">
        <v>0.04</v>
      </c>
      <c r="BA78" s="20">
        <v>0.04</v>
      </c>
      <c r="BB78" s="20">
        <v>0.05</v>
      </c>
      <c r="BC78" s="20">
        <v>0.03</v>
      </c>
      <c r="BD78" s="20">
        <v>0.02</v>
      </c>
      <c r="BE78" s="20">
        <v>0.04</v>
      </c>
      <c r="BF78" s="20">
        <v>0.04</v>
      </c>
      <c r="BG78" s="20">
        <v>0.04</v>
      </c>
      <c r="BH78" s="20">
        <v>0.06</v>
      </c>
      <c r="BI78" s="20">
        <v>0.02</v>
      </c>
      <c r="BJ78" s="20">
        <v>0.05</v>
      </c>
      <c r="BK78" s="20">
        <v>0.02</v>
      </c>
      <c r="BL78" s="20">
        <v>0.02</v>
      </c>
      <c r="BM78" s="20">
        <v>0</v>
      </c>
      <c r="BN78" s="20">
        <v>0.01</v>
      </c>
      <c r="BO78" s="20">
        <v>0.01</v>
      </c>
    </row>
    <row r="79" spans="2:67" x14ac:dyDescent="0.4">
      <c r="B79" t="s">
        <v>139</v>
      </c>
      <c r="C79" s="20">
        <v>0.01</v>
      </c>
      <c r="D79" s="20">
        <v>0.01</v>
      </c>
      <c r="E79" s="20">
        <v>0.02</v>
      </c>
      <c r="F79" s="20">
        <v>0.02</v>
      </c>
      <c r="G79" s="20">
        <v>0.01</v>
      </c>
      <c r="H79" s="20">
        <v>0.02</v>
      </c>
      <c r="I79" s="20">
        <v>0.02</v>
      </c>
      <c r="J79" s="20">
        <v>0.01</v>
      </c>
      <c r="K79" s="20">
        <v>0.01</v>
      </c>
      <c r="L79" s="20">
        <v>0.01</v>
      </c>
      <c r="M79" s="20">
        <v>0.01</v>
      </c>
      <c r="N79" s="20">
        <v>0.02</v>
      </c>
      <c r="O79" s="20">
        <v>0</v>
      </c>
      <c r="P79" s="20">
        <v>0.01</v>
      </c>
      <c r="Q79" s="20">
        <v>0.02</v>
      </c>
      <c r="R79" s="20">
        <v>0.01</v>
      </c>
      <c r="S79" s="20">
        <v>0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0</v>
      </c>
      <c r="Z79" s="20">
        <v>0</v>
      </c>
      <c r="AA79" s="20">
        <v>0</v>
      </c>
      <c r="AB79" s="20">
        <v>0</v>
      </c>
      <c r="AC79" s="20">
        <v>0</v>
      </c>
      <c r="AD79" s="20">
        <v>0</v>
      </c>
      <c r="AE79" s="20">
        <v>0.01</v>
      </c>
      <c r="AF79" s="20">
        <v>0</v>
      </c>
      <c r="AG79" s="20">
        <v>0</v>
      </c>
      <c r="AH79" s="20">
        <v>0</v>
      </c>
      <c r="AI79" s="20">
        <v>0</v>
      </c>
      <c r="AJ79" s="20">
        <v>0</v>
      </c>
      <c r="AK79" s="20">
        <v>0</v>
      </c>
      <c r="AL79" s="20">
        <v>0</v>
      </c>
      <c r="AM79" s="20">
        <v>0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  <c r="AY79" s="20">
        <v>0</v>
      </c>
      <c r="AZ79" s="20">
        <v>0</v>
      </c>
      <c r="BA79" s="20">
        <v>0</v>
      </c>
      <c r="BB79" s="20">
        <v>0</v>
      </c>
      <c r="BC79" s="20">
        <v>0</v>
      </c>
      <c r="BD79" s="20">
        <v>0</v>
      </c>
      <c r="BE79" s="20">
        <v>0</v>
      </c>
      <c r="BF79" s="20">
        <v>0</v>
      </c>
      <c r="BG79" s="20">
        <v>0</v>
      </c>
      <c r="BH79" s="20">
        <v>0</v>
      </c>
      <c r="BI79" s="20">
        <v>0</v>
      </c>
      <c r="BJ79" s="20">
        <v>0</v>
      </c>
      <c r="BK79" s="20">
        <v>0</v>
      </c>
      <c r="BL79" s="20">
        <v>0</v>
      </c>
      <c r="BM79" s="20">
        <v>0</v>
      </c>
      <c r="BN79" s="20">
        <v>0</v>
      </c>
      <c r="BO79" s="20">
        <v>0</v>
      </c>
    </row>
    <row r="80" spans="2:67" x14ac:dyDescent="0.4">
      <c r="B80" t="s">
        <v>140</v>
      </c>
      <c r="C80" s="20">
        <v>0.01</v>
      </c>
      <c r="D80" s="20">
        <v>0.01</v>
      </c>
      <c r="E80" s="20">
        <v>0.01</v>
      </c>
      <c r="F80" s="20">
        <v>0.01</v>
      </c>
      <c r="G80" s="20">
        <v>0.01</v>
      </c>
      <c r="H80" s="20">
        <v>0.01</v>
      </c>
      <c r="I80" s="20">
        <v>0.02</v>
      </c>
      <c r="J80" s="20">
        <v>0.02</v>
      </c>
      <c r="K80" s="20">
        <v>0.02</v>
      </c>
      <c r="L80" s="20">
        <v>0.03</v>
      </c>
      <c r="M80" s="20">
        <v>0.02</v>
      </c>
      <c r="N80" s="20">
        <v>0.02</v>
      </c>
      <c r="O80" s="20">
        <v>0.02</v>
      </c>
      <c r="P80" s="20">
        <v>0.02</v>
      </c>
      <c r="Q80" s="20">
        <v>0.02</v>
      </c>
      <c r="R80" s="20">
        <v>0.02</v>
      </c>
      <c r="S80" s="20">
        <v>0.01</v>
      </c>
      <c r="T80" s="20">
        <v>0.02</v>
      </c>
      <c r="U80" s="20">
        <v>0.01</v>
      </c>
      <c r="V80" s="20">
        <v>0.01</v>
      </c>
      <c r="W80" s="20">
        <v>0.01</v>
      </c>
      <c r="X80" s="20">
        <v>0.01</v>
      </c>
      <c r="Y80" s="20">
        <v>0.01</v>
      </c>
      <c r="Z80" s="20">
        <v>0.01</v>
      </c>
      <c r="AA80" s="20">
        <v>0.01</v>
      </c>
      <c r="AB80" s="20">
        <v>0</v>
      </c>
      <c r="AC80" s="20">
        <v>0.01</v>
      </c>
      <c r="AD80" s="20">
        <v>0.01</v>
      </c>
      <c r="AE80" s="20">
        <v>0.01</v>
      </c>
      <c r="AF80" s="20">
        <v>0.01</v>
      </c>
      <c r="AG80" s="20">
        <v>0.01</v>
      </c>
      <c r="AH80" s="20">
        <v>0.01</v>
      </c>
      <c r="AI80" s="20">
        <v>0.01</v>
      </c>
      <c r="AJ80" s="20">
        <v>0.01</v>
      </c>
      <c r="AK80" s="20">
        <v>0.01</v>
      </c>
      <c r="AL80" s="20">
        <v>0</v>
      </c>
      <c r="AM80" s="20">
        <v>0.01</v>
      </c>
      <c r="AN80" s="20">
        <v>0.01</v>
      </c>
      <c r="AO80" s="20">
        <v>0.01</v>
      </c>
      <c r="AP80" s="20">
        <v>0.01</v>
      </c>
      <c r="AQ80" s="20">
        <v>0.01</v>
      </c>
      <c r="AR80" s="20">
        <v>0.01</v>
      </c>
      <c r="AS80" s="20">
        <v>0.01</v>
      </c>
      <c r="AT80" s="20">
        <v>0.01</v>
      </c>
      <c r="AU80" s="20">
        <v>0</v>
      </c>
      <c r="AV80" s="20">
        <v>0.01</v>
      </c>
      <c r="AW80" s="20">
        <v>0</v>
      </c>
      <c r="AX80" s="20">
        <v>0</v>
      </c>
      <c r="AY80" s="20">
        <v>0</v>
      </c>
      <c r="AZ80" s="20">
        <v>0.01</v>
      </c>
      <c r="BA80" s="20">
        <v>0</v>
      </c>
      <c r="BB80" s="20">
        <v>0.01</v>
      </c>
      <c r="BC80" s="20">
        <v>0.01</v>
      </c>
      <c r="BD80" s="20">
        <v>0.02</v>
      </c>
      <c r="BE80" s="20">
        <v>0</v>
      </c>
      <c r="BF80" s="20">
        <v>0</v>
      </c>
      <c r="BG80" s="20">
        <v>0.01</v>
      </c>
      <c r="BH80" s="20">
        <v>0</v>
      </c>
      <c r="BI80" s="20">
        <v>0.01</v>
      </c>
      <c r="BJ80" s="20">
        <v>0</v>
      </c>
      <c r="BK80" s="20">
        <v>0.01</v>
      </c>
      <c r="BL80" s="20">
        <v>0</v>
      </c>
      <c r="BM80" s="20">
        <v>0</v>
      </c>
      <c r="BN80" s="20">
        <v>0</v>
      </c>
      <c r="BO80" s="20">
        <v>0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9"/>
  <sheetViews>
    <sheetView workbookViewId="0">
      <selection activeCell="C46" sqref="C46"/>
    </sheetView>
  </sheetViews>
  <sheetFormatPr defaultRowHeight="17.399999999999999" x14ac:dyDescent="0.4"/>
  <cols>
    <col min="1" max="1" width="9.3984375" bestFit="1" customWidth="1"/>
    <col min="2" max="2" width="21.59765625" bestFit="1" customWidth="1"/>
    <col min="3" max="4" width="20.59765625" bestFit="1" customWidth="1"/>
    <col min="5" max="5" width="21.59765625" bestFit="1" customWidth="1"/>
    <col min="6" max="7" width="20.59765625" bestFit="1" customWidth="1"/>
  </cols>
  <sheetData>
    <row r="1" spans="1:19" x14ac:dyDescent="0.4">
      <c r="A1" t="s">
        <v>19</v>
      </c>
      <c r="G1" t="s">
        <v>3</v>
      </c>
      <c r="H1" t="s">
        <v>8</v>
      </c>
      <c r="I1" t="s">
        <v>14</v>
      </c>
      <c r="J1" t="s">
        <v>29</v>
      </c>
      <c r="K1" t="s">
        <v>30</v>
      </c>
      <c r="L1" t="s">
        <v>3</v>
      </c>
      <c r="M1" t="s">
        <v>8</v>
      </c>
      <c r="N1" t="s">
        <v>14</v>
      </c>
    </row>
    <row r="2" spans="1:19" x14ac:dyDescent="0.4">
      <c r="A2">
        <v>20080229</v>
      </c>
      <c r="B2" t="s">
        <v>3</v>
      </c>
      <c r="C2" t="s">
        <v>8</v>
      </c>
      <c r="D2" t="s">
        <v>14</v>
      </c>
      <c r="E2" t="s">
        <v>29</v>
      </c>
      <c r="F2" t="s">
        <v>30</v>
      </c>
      <c r="G2">
        <v>100</v>
      </c>
      <c r="H2">
        <v>100</v>
      </c>
      <c r="I2">
        <v>100</v>
      </c>
      <c r="J2">
        <v>100</v>
      </c>
      <c r="K2">
        <v>100</v>
      </c>
      <c r="L2">
        <v>100</v>
      </c>
      <c r="M2">
        <v>100</v>
      </c>
      <c r="N2">
        <v>100</v>
      </c>
    </row>
    <row r="3" spans="1:19" x14ac:dyDescent="0.4">
      <c r="A3">
        <v>20080530</v>
      </c>
      <c r="B3" s="3">
        <v>1.0700605440204101</v>
      </c>
      <c r="C3" s="3">
        <v>1.1157648362065</v>
      </c>
      <c r="D3" s="3">
        <v>1.10941348963682</v>
      </c>
      <c r="E3" s="3">
        <v>1.0947915365224485</v>
      </c>
      <c r="F3" s="3">
        <v>1.0139429389996417</v>
      </c>
      <c r="G3" s="3">
        <f>G2*$B3</f>
        <v>107.006054402041</v>
      </c>
      <c r="H3" s="3">
        <f>H2*$C3</f>
        <v>111.57648362065001</v>
      </c>
      <c r="I3" s="3">
        <f>I2*$D3</f>
        <v>110.941348963682</v>
      </c>
      <c r="J3">
        <f>J2*$E3</f>
        <v>109.47915365224486</v>
      </c>
      <c r="K3">
        <f>K2*$F3</f>
        <v>101.39429389996417</v>
      </c>
      <c r="L3" s="3">
        <f>L2*$B3</f>
        <v>107.006054402041</v>
      </c>
      <c r="M3" s="3">
        <f>M2*$C3</f>
        <v>111.57648362065001</v>
      </c>
      <c r="N3" s="3">
        <f>N2*$D3</f>
        <v>110.941348963682</v>
      </c>
    </row>
    <row r="4" spans="1:19" x14ac:dyDescent="0.4">
      <c r="A4">
        <v>20080829</v>
      </c>
      <c r="B4" s="3">
        <v>0.81632772945598597</v>
      </c>
      <c r="C4" s="3">
        <v>0.805843550916996</v>
      </c>
      <c r="D4" s="3">
        <v>0.80199900043053696</v>
      </c>
      <c r="E4" s="3">
        <v>0.79450206424327852</v>
      </c>
      <c r="F4" s="3">
        <v>0.77390567237278962</v>
      </c>
      <c r="G4" s="3">
        <f>G3*$B4</f>
        <v>87.352009428061848</v>
      </c>
      <c r="H4" s="3">
        <f t="shared" ref="H4:H39" si="0">H3*C4</f>
        <v>89.91318975969665</v>
      </c>
      <c r="I4" s="3">
        <f t="shared" ref="I4:I39" si="1">I3*D4</f>
        <v>88.974850975288348</v>
      </c>
      <c r="J4">
        <f>J3*$E4</f>
        <v>86.981413568315602</v>
      </c>
      <c r="K4">
        <f>K3*$F4</f>
        <v>78.469619195416016</v>
      </c>
      <c r="L4" s="3">
        <f>L3*$B4</f>
        <v>87.352009428061848</v>
      </c>
      <c r="M4" s="3">
        <f>M3*$C4</f>
        <v>89.91318975969665</v>
      </c>
      <c r="N4" s="3">
        <f>N3*$D4</f>
        <v>88.974850975288348</v>
      </c>
    </row>
    <row r="5" spans="1:19" x14ac:dyDescent="0.4">
      <c r="A5">
        <v>20081128</v>
      </c>
      <c r="B5" s="3">
        <v>0.66146416894161897</v>
      </c>
      <c r="C5" s="3">
        <v>0.6492006580113</v>
      </c>
      <c r="D5" s="3">
        <v>0.66840023879805999</v>
      </c>
      <c r="E5" s="3">
        <v>0.74205977034802673</v>
      </c>
      <c r="F5" s="3">
        <v>0.67222441963063251</v>
      </c>
      <c r="G5" s="3">
        <f>G4*$B5</f>
        <v>57.780224321713398</v>
      </c>
      <c r="H5" s="3">
        <f t="shared" si="0"/>
        <v>58.371701955889947</v>
      </c>
      <c r="I5" s="3">
        <f t="shared" si="1"/>
        <v>59.470811638904529</v>
      </c>
      <c r="J5">
        <f t="shared" ref="J5:J39" si="2">J4*$E5</f>
        <v>64.545407777051011</v>
      </c>
      <c r="K5">
        <f t="shared" ref="K5:K39" si="3">K4*$F5</f>
        <v>52.749194222275271</v>
      </c>
      <c r="L5" s="3">
        <f>L4*$B5</f>
        <v>57.780224321713398</v>
      </c>
      <c r="M5" s="3">
        <f>M4*$C5</f>
        <v>58.371701955889947</v>
      </c>
      <c r="N5" s="3">
        <f>N4*$D5</f>
        <v>59.470811638904529</v>
      </c>
      <c r="O5" t="s">
        <v>3</v>
      </c>
      <c r="P5" t="s">
        <v>8</v>
      </c>
      <c r="Q5" t="s">
        <v>14</v>
      </c>
      <c r="R5" s="17" t="s">
        <v>29</v>
      </c>
      <c r="S5" t="s">
        <v>30</v>
      </c>
    </row>
    <row r="6" spans="1:19" x14ac:dyDescent="0.4">
      <c r="A6">
        <v>20090227</v>
      </c>
      <c r="B6" s="3">
        <v>1.06345656676744</v>
      </c>
      <c r="C6" s="3">
        <v>1.04085415459922</v>
      </c>
      <c r="D6" s="3">
        <v>1.0520371429997799</v>
      </c>
      <c r="E6" s="3">
        <v>0.97684030742954731</v>
      </c>
      <c r="F6" s="3">
        <v>1.1129265864035485</v>
      </c>
      <c r="G6" s="3">
        <f>G5*$B6</f>
        <v>61.446758984221866</v>
      </c>
      <c r="H6" s="3">
        <f t="shared" si="0"/>
        <v>60.75642849181547</v>
      </c>
      <c r="I6" s="3">
        <f t="shared" si="1"/>
        <v>62.565502768471177</v>
      </c>
      <c r="J6">
        <f t="shared" si="2"/>
        <v>63.0505559761</v>
      </c>
      <c r="K6">
        <f t="shared" si="3"/>
        <v>58.7059806613346</v>
      </c>
      <c r="L6" s="3">
        <f>L5*$B6</f>
        <v>61.446758984221866</v>
      </c>
      <c r="M6" s="3">
        <f>M5*$C6</f>
        <v>60.75642849181547</v>
      </c>
      <c r="N6" s="3">
        <f>N5*$D6</f>
        <v>62.565502768471177</v>
      </c>
      <c r="O6">
        <v>100</v>
      </c>
      <c r="P6">
        <v>100</v>
      </c>
      <c r="Q6">
        <v>100</v>
      </c>
      <c r="R6" s="17">
        <v>100</v>
      </c>
      <c r="S6">
        <v>100</v>
      </c>
    </row>
    <row r="7" spans="1:19" x14ac:dyDescent="0.4">
      <c r="A7">
        <v>20090529</v>
      </c>
      <c r="B7" s="3">
        <v>1.40525005804703</v>
      </c>
      <c r="C7" s="3">
        <v>1.4383844103058601</v>
      </c>
      <c r="D7" s="3">
        <v>1.54593603272334</v>
      </c>
      <c r="E7" s="3">
        <v>1.2914991082980734</v>
      </c>
      <c r="F7" s="3">
        <v>1.4341168815323926</v>
      </c>
      <c r="G7" s="3">
        <f t="shared" ref="G7:G39" si="4">G6*B7</f>
        <v>86.348061629379643</v>
      </c>
      <c r="H7" s="3">
        <f t="shared" si="0"/>
        <v>87.391099568490148</v>
      </c>
      <c r="I7" s="3">
        <f t="shared" si="1"/>
        <v>96.722265135231481</v>
      </c>
      <c r="J7">
        <f t="shared" si="2"/>
        <v>81.429736820830911</v>
      </c>
      <c r="K7">
        <f t="shared" si="3"/>
        <v>84.19123791333412</v>
      </c>
      <c r="L7" s="3"/>
      <c r="M7" s="3"/>
      <c r="N7" s="3"/>
      <c r="O7" s="3">
        <f t="shared" ref="O7:O15" si="5">O6*$B8</f>
        <v>107.23201648620899</v>
      </c>
      <c r="P7" s="3">
        <f t="shared" ref="P7:P15" si="6">P6*$C8</f>
        <v>109.09626459197601</v>
      </c>
      <c r="Q7" s="3">
        <f t="shared" ref="Q7:Q15" si="7">Q6*$D8</f>
        <v>105.74100201872001</v>
      </c>
      <c r="R7" s="17">
        <f t="shared" ref="R7:R15" si="8">R6*$E7</f>
        <v>129.14991082980734</v>
      </c>
      <c r="S7">
        <f t="shared" ref="S7:S15" si="9">S6*$F7</f>
        <v>143.41168815323925</v>
      </c>
    </row>
    <row r="8" spans="1:19" x14ac:dyDescent="0.4">
      <c r="A8">
        <v>20090831</v>
      </c>
      <c r="B8" s="3">
        <v>1.0723201648620899</v>
      </c>
      <c r="C8" s="3">
        <v>1.0909626459197601</v>
      </c>
      <c r="D8" s="3">
        <v>1.0574100201872001</v>
      </c>
      <c r="E8" s="3">
        <v>1.1706242836126679</v>
      </c>
      <c r="F8" s="3">
        <v>1.0055865129666652</v>
      </c>
      <c r="G8" s="3">
        <f t="shared" si="4"/>
        <v>92.592767681938284</v>
      </c>
      <c r="H8" s="3">
        <f t="shared" si="0"/>
        <v>95.340425215077218</v>
      </c>
      <c r="I8" s="3">
        <f t="shared" si="1"/>
        <v>102.27509232919684</v>
      </c>
      <c r="J8">
        <f t="shared" si="2"/>
        <v>95.323627330653267</v>
      </c>
      <c r="K8">
        <f t="shared" si="3"/>
        <v>84.661573355616554</v>
      </c>
      <c r="L8" s="3"/>
      <c r="M8" s="3"/>
      <c r="N8" s="3"/>
      <c r="O8" s="3">
        <f t="shared" si="5"/>
        <v>101.1549841894867</v>
      </c>
      <c r="P8" s="3">
        <f t="shared" si="6"/>
        <v>102.62172553412347</v>
      </c>
      <c r="Q8" s="3">
        <f t="shared" si="7"/>
        <v>100.38876288017153</v>
      </c>
      <c r="R8" s="17">
        <f t="shared" si="8"/>
        <v>151.18602184378315</v>
      </c>
      <c r="S8">
        <f t="shared" si="9"/>
        <v>144.21285940867867</v>
      </c>
    </row>
    <row r="9" spans="1:19" x14ac:dyDescent="0.4">
      <c r="A9">
        <v>20091130</v>
      </c>
      <c r="B9" s="3">
        <v>0.94332819156204295</v>
      </c>
      <c r="C9" s="3">
        <v>0.94065297210617105</v>
      </c>
      <c r="D9" s="3">
        <v>0.94938350274379901</v>
      </c>
      <c r="E9" s="3">
        <v>0.99050144945414176</v>
      </c>
      <c r="F9" s="3">
        <v>0.91022405211432433</v>
      </c>
      <c r="G9" s="3">
        <f t="shared" si="4"/>
        <v>87.34536808912722</v>
      </c>
      <c r="H9" s="3">
        <f t="shared" si="0"/>
        <v>89.682254340428514</v>
      </c>
      <c r="I9" s="3">
        <f t="shared" si="1"/>
        <v>97.098285398938344</v>
      </c>
      <c r="J9">
        <f t="shared" si="2"/>
        <v>94.418191038238504</v>
      </c>
      <c r="K9">
        <f t="shared" si="3"/>
        <v>77.061000358123408</v>
      </c>
      <c r="L9" s="3"/>
      <c r="M9" s="3"/>
      <c r="N9" s="3"/>
      <c r="O9" s="3" t="e">
        <f t="shared" si="5"/>
        <v>#VALUE!</v>
      </c>
      <c r="P9" s="3">
        <f t="shared" si="6"/>
        <v>100.4576308562622</v>
      </c>
      <c r="Q9" s="3">
        <f t="shared" si="7"/>
        <v>101.42936780822565</v>
      </c>
      <c r="R9" s="17">
        <f t="shared" si="8"/>
        <v>149.74997377347276</v>
      </c>
      <c r="S9">
        <f t="shared" si="9"/>
        <v>131.26601325796085</v>
      </c>
    </row>
    <row r="10" spans="1:19" x14ac:dyDescent="0.4">
      <c r="A10">
        <v>20100226</v>
      </c>
      <c r="B10" s="3" t="s">
        <v>99</v>
      </c>
      <c r="C10" s="3">
        <v>0.978911924676791</v>
      </c>
      <c r="D10" s="3">
        <v>1.0103657510880599</v>
      </c>
      <c r="E10" s="3">
        <v>1.0183697615044522</v>
      </c>
      <c r="F10" s="3">
        <v>1.0230194875608019</v>
      </c>
      <c r="G10" s="3" t="e">
        <f t="shared" si="4"/>
        <v>#VALUE!</v>
      </c>
      <c r="H10" s="3">
        <f t="shared" si="0"/>
        <v>87.791028205742364</v>
      </c>
      <c r="I10" s="3">
        <f t="shared" si="1"/>
        <v>98.104782056461147</v>
      </c>
      <c r="J10">
        <f t="shared" si="2"/>
        <v>96.152630689292749</v>
      </c>
      <c r="K10">
        <f t="shared" si="3"/>
        <v>78.834905097290175</v>
      </c>
      <c r="L10" s="3"/>
      <c r="M10" s="3"/>
      <c r="N10" s="3"/>
      <c r="O10" s="3" t="e">
        <f t="shared" si="5"/>
        <v>#VALUE!</v>
      </c>
      <c r="P10" s="3">
        <f t="shared" si="6"/>
        <v>100.28296125036324</v>
      </c>
      <c r="Q10" s="3">
        <f t="shared" si="7"/>
        <v>100.06205732354869</v>
      </c>
      <c r="R10" s="17">
        <f t="shared" si="8"/>
        <v>152.50084507698944</v>
      </c>
      <c r="S10">
        <f t="shared" si="9"/>
        <v>134.28768961730853</v>
      </c>
    </row>
    <row r="11" spans="1:19" x14ac:dyDescent="0.4">
      <c r="A11">
        <v>20100531</v>
      </c>
      <c r="B11" s="3">
        <v>1.0108059415025199</v>
      </c>
      <c r="C11" s="3">
        <v>0.99826126094742496</v>
      </c>
      <c r="D11" s="3">
        <v>0.98651957993800998</v>
      </c>
      <c r="E11" s="3">
        <v>1.0339825119236885</v>
      </c>
      <c r="F11" s="3">
        <v>0.99035433070866141</v>
      </c>
      <c r="G11" s="3" t="e">
        <f t="shared" si="4"/>
        <v>#VALUE!</v>
      </c>
      <c r="H11" s="3">
        <f t="shared" si="0"/>
        <v>87.638382516535316</v>
      </c>
      <c r="I11" s="3">
        <f t="shared" si="1"/>
        <v>96.782288384250066</v>
      </c>
      <c r="J11">
        <f t="shared" si="2"/>
        <v>99.420138608185653</v>
      </c>
      <c r="K11">
        <f t="shared" si="3"/>
        <v>78.074489674107653</v>
      </c>
      <c r="L11" s="3"/>
      <c r="M11" s="3"/>
      <c r="N11" s="3"/>
      <c r="O11" s="3" t="e">
        <f t="shared" si="5"/>
        <v>#VALUE!</v>
      </c>
      <c r="P11" s="3">
        <f t="shared" si="6"/>
        <v>108.93555896556414</v>
      </c>
      <c r="Q11" s="3">
        <f t="shared" si="7"/>
        <v>109.52435433251468</v>
      </c>
      <c r="R11" s="17">
        <f t="shared" si="8"/>
        <v>157.6832068631908</v>
      </c>
      <c r="S11">
        <f t="shared" si="9"/>
        <v>132.99239497336205</v>
      </c>
    </row>
    <row r="12" spans="1:19" x14ac:dyDescent="0.4">
      <c r="A12">
        <v>20100831</v>
      </c>
      <c r="B12" s="3">
        <v>1.06070092470065</v>
      </c>
      <c r="C12" s="3">
        <v>1.08628183299852</v>
      </c>
      <c r="D12" s="3">
        <v>1.09456428602472</v>
      </c>
      <c r="E12" s="3">
        <v>1.0540664409586187</v>
      </c>
      <c r="F12" s="3">
        <v>1.0277204409583658</v>
      </c>
      <c r="G12" s="3" t="e">
        <f t="shared" si="4"/>
        <v>#VALUE!</v>
      </c>
      <c r="H12" s="3">
        <f t="shared" si="0"/>
        <v>95.19998280108743</v>
      </c>
      <c r="I12" s="3">
        <f t="shared" si="1"/>
        <v>105.93443638514522</v>
      </c>
      <c r="J12">
        <f t="shared" si="2"/>
        <v>104.79543166234281</v>
      </c>
      <c r="K12">
        <f t="shared" si="3"/>
        <v>80.238748955473298</v>
      </c>
      <c r="L12" s="3"/>
      <c r="M12" s="3"/>
      <c r="N12" s="3"/>
      <c r="O12" s="3" t="e">
        <f t="shared" si="5"/>
        <v>#VALUE!</v>
      </c>
      <c r="P12" s="3">
        <f t="shared" si="6"/>
        <v>121.29354949721859</v>
      </c>
      <c r="Q12" s="3">
        <f t="shared" si="7"/>
        <v>124.89923534692299</v>
      </c>
      <c r="R12" s="17">
        <f t="shared" si="8"/>
        <v>166.20857665722517</v>
      </c>
      <c r="S12">
        <f t="shared" si="9"/>
        <v>136.67900280613279</v>
      </c>
    </row>
    <row r="13" spans="1:19" x14ac:dyDescent="0.4">
      <c r="A13">
        <v>20101130</v>
      </c>
      <c r="B13" s="3">
        <v>1.11532638196897</v>
      </c>
      <c r="C13" s="3">
        <v>1.11344312774455</v>
      </c>
      <c r="D13" s="3">
        <v>1.1403786501012401</v>
      </c>
      <c r="E13" s="3">
        <v>1.0962676728007181</v>
      </c>
      <c r="F13" s="3">
        <v>1.0805611759104974</v>
      </c>
      <c r="G13" s="3" t="e">
        <f t="shared" si="4"/>
        <v>#VALUE!</v>
      </c>
      <c r="H13" s="3">
        <f t="shared" si="0"/>
        <v>105.99976661127016</v>
      </c>
      <c r="I13" s="3">
        <f t="shared" si="1"/>
        <v>120.80536956412759</v>
      </c>
      <c r="J13">
        <f t="shared" si="2"/>
        <v>114.88384398862324</v>
      </c>
      <c r="K13">
        <f t="shared" si="3"/>
        <v>86.702876924913426</v>
      </c>
      <c r="L13" s="3"/>
      <c r="M13" s="3"/>
      <c r="N13" s="3"/>
      <c r="O13" s="3" t="e">
        <f t="shared" si="5"/>
        <v>#VALUE!</v>
      </c>
      <c r="P13" s="3">
        <f t="shared" si="6"/>
        <v>114.22677064644562</v>
      </c>
      <c r="Q13" s="3">
        <f t="shared" si="7"/>
        <v>117.23727278525844</v>
      </c>
      <c r="R13" s="17">
        <f t="shared" si="8"/>
        <v>182.20908953153599</v>
      </c>
      <c r="S13">
        <f t="shared" si="9"/>
        <v>147.69002399446902</v>
      </c>
    </row>
    <row r="14" spans="1:19" x14ac:dyDescent="0.4">
      <c r="A14">
        <v>20110228</v>
      </c>
      <c r="B14" s="3">
        <v>0.97314215007191796</v>
      </c>
      <c r="C14" s="3">
        <v>0.941738213779167</v>
      </c>
      <c r="D14" s="3">
        <v>0.93865484812310895</v>
      </c>
      <c r="E14" s="3">
        <v>1.0297596581349675</v>
      </c>
      <c r="F14" s="3">
        <v>1.000068841128444</v>
      </c>
      <c r="G14" s="3" t="e">
        <f t="shared" si="4"/>
        <v>#VALUE!</v>
      </c>
      <c r="H14" s="3">
        <f t="shared" si="0"/>
        <v>99.824030869506146</v>
      </c>
      <c r="I14" s="3">
        <f t="shared" si="1"/>
        <v>113.39454582067223</v>
      </c>
      <c r="J14">
        <f t="shared" si="2"/>
        <v>118.30274791095562</v>
      </c>
      <c r="K14">
        <f t="shared" si="3"/>
        <v>86.708845648800278</v>
      </c>
      <c r="L14" s="3"/>
      <c r="M14" s="3"/>
      <c r="N14" s="3"/>
      <c r="O14" s="3" t="e">
        <f t="shared" si="5"/>
        <v>#VALUE!</v>
      </c>
      <c r="P14" s="3">
        <f t="shared" si="6"/>
        <v>118.47885983702081</v>
      </c>
      <c r="Q14" s="3">
        <f t="shared" si="7"/>
        <v>121.62309524353209</v>
      </c>
      <c r="R14" s="17">
        <f t="shared" si="8"/>
        <v>187.6315697450782</v>
      </c>
      <c r="S14">
        <f t="shared" si="9"/>
        <v>147.7001911423807</v>
      </c>
    </row>
    <row r="15" spans="1:19" x14ac:dyDescent="0.4">
      <c r="A15">
        <v>20110531</v>
      </c>
      <c r="B15" s="3">
        <v>1.0638740002362299</v>
      </c>
      <c r="C15" s="3">
        <v>1.03722497945544</v>
      </c>
      <c r="D15" s="3">
        <v>1.0374097959981301</v>
      </c>
      <c r="E15" s="3">
        <v>1.0927496257089786</v>
      </c>
      <c r="F15" s="3">
        <v>1.0645409989536869</v>
      </c>
      <c r="G15" s="3" t="e">
        <f t="shared" si="4"/>
        <v>#VALUE!</v>
      </c>
      <c r="H15" s="3">
        <f t="shared" si="0"/>
        <v>103.53997836778272</v>
      </c>
      <c r="I15" s="3">
        <f t="shared" si="1"/>
        <v>117.6366126471242</v>
      </c>
      <c r="J15">
        <f t="shared" si="2"/>
        <v>129.27528350004039</v>
      </c>
      <c r="K15">
        <f t="shared" si="3"/>
        <v>92.305121165094903</v>
      </c>
      <c r="L15" s="3"/>
      <c r="M15" s="3"/>
      <c r="N15" s="3"/>
      <c r="O15" s="3" t="e">
        <f t="shared" si="5"/>
        <v>#VALUE!</v>
      </c>
      <c r="P15" s="3">
        <f t="shared" si="6"/>
        <v>123.11204015263495</v>
      </c>
      <c r="Q15" s="3">
        <f t="shared" si="7"/>
        <v>129.04011752656521</v>
      </c>
      <c r="R15" s="17">
        <f t="shared" si="8"/>
        <v>205.03432761012232</v>
      </c>
      <c r="S15">
        <f t="shared" si="9"/>
        <v>157.23290902436045</v>
      </c>
    </row>
    <row r="16" spans="1:19" x14ac:dyDescent="0.4">
      <c r="A16">
        <v>20110831</v>
      </c>
      <c r="B16" s="3">
        <v>0.984842456229026</v>
      </c>
      <c r="C16" s="3">
        <v>1.03910554441516</v>
      </c>
      <c r="D16" s="3">
        <v>1.06098366653292</v>
      </c>
      <c r="E16" s="3">
        <v>0.85551531827562088</v>
      </c>
      <c r="F16" s="3">
        <v>0.98834773162278211</v>
      </c>
      <c r="G16" s="3" t="e">
        <f t="shared" si="4"/>
        <v>#VALUE!</v>
      </c>
      <c r="H16" s="3">
        <f t="shared" si="0"/>
        <v>107.58896559058876</v>
      </c>
      <c r="I16" s="3">
        <f t="shared" si="1"/>
        <v>124.8105246048587</v>
      </c>
      <c r="J16">
        <f t="shared" si="2"/>
        <v>110.59698530870817</v>
      </c>
      <c r="K16">
        <f t="shared" si="3"/>
        <v>91.229557120687602</v>
      </c>
    </row>
    <row r="17" spans="1:11" x14ac:dyDescent="0.4">
      <c r="A17">
        <v>20111130</v>
      </c>
      <c r="B17" s="3">
        <v>0.91231367547872799</v>
      </c>
      <c r="C17" s="3">
        <v>0.92939683875355295</v>
      </c>
      <c r="D17" s="3">
        <v>0.92101688274320004</v>
      </c>
      <c r="E17" s="3">
        <v>1.0023125074757784</v>
      </c>
      <c r="F17" s="3">
        <v>0.95378354683799371</v>
      </c>
      <c r="G17" s="3" t="e">
        <f t="shared" si="4"/>
        <v>#VALUE!</v>
      </c>
      <c r="H17" s="3">
        <f t="shared" si="0"/>
        <v>99.992844504657981</v>
      </c>
      <c r="I17" s="3">
        <f t="shared" si="1"/>
        <v>114.95260030511042</v>
      </c>
      <c r="J17">
        <f t="shared" si="2"/>
        <v>110.8527416640331</v>
      </c>
      <c r="K17">
        <f t="shared" si="3"/>
        <v>87.013250567028763</v>
      </c>
    </row>
    <row r="18" spans="1:11" x14ac:dyDescent="0.4">
      <c r="A18">
        <v>20120229</v>
      </c>
      <c r="B18" s="3">
        <v>1.16559606258937</v>
      </c>
      <c r="C18" s="3">
        <v>1.1977271301546699</v>
      </c>
      <c r="D18" s="3">
        <v>1.1671534415608</v>
      </c>
      <c r="E18" s="3">
        <v>1.103365288993198</v>
      </c>
      <c r="F18" s="3">
        <v>1.0582650807369909</v>
      </c>
      <c r="G18" s="3" t="e">
        <f t="shared" si="4"/>
        <v>#VALUE!</v>
      </c>
      <c r="H18" s="3">
        <f t="shared" si="0"/>
        <v>119.76414268456617</v>
      </c>
      <c r="I18" s="3">
        <f t="shared" si="1"/>
        <v>134.16732306247269</v>
      </c>
      <c r="J18">
        <f t="shared" si="2"/>
        <v>122.3110673418242</v>
      </c>
      <c r="K18">
        <f t="shared" si="3"/>
        <v>92.083084636504708</v>
      </c>
    </row>
    <row r="19" spans="1:11" x14ac:dyDescent="0.4">
      <c r="A19">
        <v>20120531</v>
      </c>
      <c r="B19" s="3">
        <v>0.84227402096830695</v>
      </c>
      <c r="C19" s="3">
        <v>0.85918864540749096</v>
      </c>
      <c r="D19" s="3">
        <v>0.86133550416552696</v>
      </c>
      <c r="E19" s="3">
        <v>0.92479495268138801</v>
      </c>
      <c r="F19" s="3">
        <v>0.85312038165365978</v>
      </c>
      <c r="G19" s="3" t="e">
        <f t="shared" si="4"/>
        <v>#VALUE!</v>
      </c>
      <c r="H19" s="3">
        <f t="shared" si="0"/>
        <v>102.89999152154188</v>
      </c>
      <c r="I19" s="3">
        <f t="shared" si="1"/>
        <v>115.56307885255404</v>
      </c>
      <c r="J19">
        <f t="shared" si="2"/>
        <v>113.11265773479238</v>
      </c>
      <c r="K19">
        <f t="shared" si="3"/>
        <v>78.557956308941158</v>
      </c>
    </row>
    <row r="20" spans="1:11" x14ac:dyDescent="0.4">
      <c r="A20">
        <v>20120831</v>
      </c>
      <c r="B20" s="3">
        <v>1.05784043169263</v>
      </c>
      <c r="C20" s="3">
        <v>1.05987947762579</v>
      </c>
      <c r="D20" s="3">
        <v>1.0559600330836401</v>
      </c>
      <c r="E20" s="3">
        <v>1.0210578978487288</v>
      </c>
      <c r="F20" s="3">
        <v>1.0753099927060539</v>
      </c>
      <c r="G20" s="3" t="e">
        <f t="shared" si="4"/>
        <v>#VALUE!</v>
      </c>
      <c r="H20" s="3">
        <f t="shared" si="0"/>
        <v>109.06158926155003</v>
      </c>
      <c r="I20" s="3">
        <f t="shared" si="1"/>
        <v>122.02999256839027</v>
      </c>
      <c r="J20">
        <f t="shared" si="2"/>
        <v>115.49457252676986</v>
      </c>
      <c r="K20">
        <f t="shared" si="3"/>
        <v>84.474155425570018</v>
      </c>
    </row>
    <row r="21" spans="1:11" x14ac:dyDescent="0.4">
      <c r="A21">
        <v>20121130</v>
      </c>
      <c r="B21" s="3">
        <v>1.0652720602979899</v>
      </c>
      <c r="C21" s="3">
        <v>1.06540056311866</v>
      </c>
      <c r="D21" s="3">
        <v>1.00992318041832</v>
      </c>
      <c r="E21" s="3">
        <v>1.0140948138720969</v>
      </c>
      <c r="F21" s="3">
        <v>0.99608558023853944</v>
      </c>
      <c r="G21" s="3" t="e">
        <f t="shared" si="4"/>
        <v>#VALUE!</v>
      </c>
      <c r="H21" s="3">
        <f t="shared" si="0"/>
        <v>116.1942786138714</v>
      </c>
      <c r="I21" s="3">
        <f t="shared" si="1"/>
        <v>123.24091820109265</v>
      </c>
      <c r="J21">
        <f t="shared" si="2"/>
        <v>117.12244702977208</v>
      </c>
      <c r="K21">
        <f t="shared" si="3"/>
        <v>84.143488122239475</v>
      </c>
    </row>
    <row r="22" spans="1:11" x14ac:dyDescent="0.4">
      <c r="A22">
        <v>20130228</v>
      </c>
      <c r="B22" s="3">
        <v>1.08248333452729</v>
      </c>
      <c r="C22" s="3">
        <v>1.1006514631309801</v>
      </c>
      <c r="D22" s="3">
        <v>1.09830210194763</v>
      </c>
      <c r="E22" s="3">
        <v>1.0538512220374612</v>
      </c>
      <c r="F22" s="3">
        <v>1.0429299019677387</v>
      </c>
      <c r="G22" s="3" t="e">
        <f t="shared" si="4"/>
        <v>#VALUE!</v>
      </c>
      <c r="H22" s="3">
        <f t="shared" si="0"/>
        <v>127.8894027638063</v>
      </c>
      <c r="I22" s="3">
        <f t="shared" si="1"/>
        <v>135.355759506216</v>
      </c>
      <c r="J22">
        <f t="shared" si="2"/>
        <v>123.42963393034312</v>
      </c>
      <c r="K22">
        <f t="shared" si="3"/>
        <v>87.7557598185508</v>
      </c>
    </row>
    <row r="23" spans="1:11" x14ac:dyDescent="0.4">
      <c r="A23">
        <v>20130531</v>
      </c>
      <c r="B23" s="3">
        <v>1.1088032437416999</v>
      </c>
      <c r="C23" s="3">
        <v>1.13206015899065</v>
      </c>
      <c r="D23" s="3">
        <v>1.15681345990242</v>
      </c>
      <c r="E23" s="3">
        <v>0.97417042281195843</v>
      </c>
      <c r="F23" s="3">
        <v>1.0575000340075904</v>
      </c>
      <c r="G23" s="3" t="e">
        <f t="shared" si="4"/>
        <v>#VALUE!</v>
      </c>
      <c r="H23" s="3">
        <f t="shared" si="0"/>
        <v>144.77849762601383</v>
      </c>
      <c r="I23" s="3">
        <f t="shared" si="1"/>
        <v>156.58136447210561</v>
      </c>
      <c r="J23">
        <f t="shared" si="2"/>
        <v>120.24149867344761</v>
      </c>
      <c r="K23">
        <f t="shared" si="3"/>
        <v>92.801718992479408</v>
      </c>
    </row>
    <row r="24" spans="1:11" x14ac:dyDescent="0.4">
      <c r="A24">
        <v>20130830</v>
      </c>
      <c r="B24" s="3">
        <v>0.96656781384944601</v>
      </c>
      <c r="C24" s="3">
        <v>0.99032629848604203</v>
      </c>
      <c r="D24" s="3">
        <v>0.98809227857011495</v>
      </c>
      <c r="E24" s="3">
        <v>0.96817412245047652</v>
      </c>
      <c r="F24" s="3">
        <v>0.89907383586313361</v>
      </c>
      <c r="G24" s="3" t="e">
        <f t="shared" si="4"/>
        <v>#VALUE!</v>
      </c>
      <c r="H24" s="3">
        <f t="shared" si="0"/>
        <v>143.3779536543405</v>
      </c>
      <c r="I24" s="3">
        <f t="shared" si="1"/>
        <v>154.71683720286046</v>
      </c>
      <c r="J24">
        <f t="shared" si="2"/>
        <v>116.41470746029528</v>
      </c>
      <c r="K24">
        <f t="shared" si="3"/>
        <v>83.435597469261083</v>
      </c>
    </row>
    <row r="25" spans="1:11" x14ac:dyDescent="0.4">
      <c r="A25">
        <v>20131129</v>
      </c>
      <c r="B25" s="3">
        <v>1.0416427688963601</v>
      </c>
      <c r="C25" s="3">
        <v>1.0214000350783501</v>
      </c>
      <c r="D25" s="3">
        <v>1.0343162987258301</v>
      </c>
      <c r="E25" s="3">
        <v>1.0714258658350273</v>
      </c>
      <c r="F25" s="3">
        <v>1.0347812401636765</v>
      </c>
      <c r="G25" s="3" t="e">
        <f t="shared" si="4"/>
        <v>#VALUE!</v>
      </c>
      <c r="H25" s="3">
        <f t="shared" si="0"/>
        <v>146.44624689200543</v>
      </c>
      <c r="I25" s="3">
        <f t="shared" si="1"/>
        <v>160.02614640622943</v>
      </c>
      <c r="J25">
        <f t="shared" si="2"/>
        <v>124.72972873657828</v>
      </c>
      <c r="K25">
        <f t="shared" si="3"/>
        <v>86.337591023039295</v>
      </c>
    </row>
    <row r="26" spans="1:11" x14ac:dyDescent="0.4">
      <c r="A26">
        <v>20140228</v>
      </c>
      <c r="B26" s="3">
        <v>1.0396115932335901</v>
      </c>
      <c r="C26" s="3">
        <v>1.0353596976860899</v>
      </c>
      <c r="D26" s="3">
        <v>1.08369901870301</v>
      </c>
      <c r="E26" s="3">
        <v>0.95615616677272619</v>
      </c>
      <c r="F26" s="3">
        <v>1.0210853784998273</v>
      </c>
      <c r="G26" s="3" t="e">
        <f t="shared" si="4"/>
        <v>#VALUE!</v>
      </c>
      <c r="H26" s="3">
        <f t="shared" si="0"/>
        <v>151.62454190936924</v>
      </c>
      <c r="I26" s="3">
        <f t="shared" si="1"/>
        <v>173.42017782725503</v>
      </c>
      <c r="J26">
        <f t="shared" si="2"/>
        <v>119.26109931136864</v>
      </c>
      <c r="K26">
        <f t="shared" si="3"/>
        <v>88.158051808523368</v>
      </c>
    </row>
    <row r="27" spans="1:11" x14ac:dyDescent="0.4">
      <c r="A27">
        <v>20140530</v>
      </c>
      <c r="B27" s="3">
        <v>1.06461429363704</v>
      </c>
      <c r="C27" s="3">
        <v>1.07118365212799</v>
      </c>
      <c r="D27" s="3">
        <v>1.0700950622910199</v>
      </c>
      <c r="E27" s="3">
        <v>1.0060206439685719</v>
      </c>
      <c r="F27" s="3">
        <v>1.014529451591063</v>
      </c>
      <c r="G27" s="3" t="e">
        <f t="shared" si="4"/>
        <v>#VALUE!</v>
      </c>
      <c r="H27" s="3">
        <f t="shared" si="0"/>
        <v>162.41773055471162</v>
      </c>
      <c r="I27" s="3">
        <f t="shared" si="1"/>
        <v>185.57607599457623</v>
      </c>
      <c r="J27">
        <f t="shared" si="2"/>
        <v>119.97912792962289</v>
      </c>
      <c r="K27">
        <f t="shared" si="3"/>
        <v>89.438939954637732</v>
      </c>
    </row>
    <row r="28" spans="1:11" x14ac:dyDescent="0.4">
      <c r="A28">
        <v>20140829</v>
      </c>
      <c r="B28" s="3">
        <v>1.08644939870373</v>
      </c>
      <c r="C28" s="3">
        <v>1.12797444303057</v>
      </c>
      <c r="D28" s="3">
        <v>1.04731847389822</v>
      </c>
      <c r="E28" s="3">
        <v>1.0191421850880846</v>
      </c>
      <c r="F28" s="3">
        <v>1.0722475074409727</v>
      </c>
      <c r="G28" s="3" t="e">
        <f t="shared" si="4"/>
        <v>#VALUE!</v>
      </c>
      <c r="H28" s="3">
        <f t="shared" si="0"/>
        <v>183.20304916074005</v>
      </c>
      <c r="I28" s="3">
        <f t="shared" si="1"/>
        <v>194.35725270265968</v>
      </c>
      <c r="J28">
        <f t="shared" si="2"/>
        <v>122.27579060315871</v>
      </c>
      <c r="K28">
        <f t="shared" si="3"/>
        <v>95.900680434523139</v>
      </c>
    </row>
    <row r="29" spans="1:11" x14ac:dyDescent="0.4">
      <c r="A29">
        <v>20141128</v>
      </c>
      <c r="B29" s="3">
        <v>0.94481602203745896</v>
      </c>
      <c r="C29" s="3">
        <v>0.97309270568040795</v>
      </c>
      <c r="D29" s="3">
        <v>0.97189952589043604</v>
      </c>
      <c r="E29" s="3">
        <v>0.95276390366456909</v>
      </c>
      <c r="F29" s="3">
        <v>0.95914658434574784</v>
      </c>
      <c r="G29" s="3" t="e">
        <f t="shared" si="4"/>
        <v>#VALUE!</v>
      </c>
      <c r="H29" s="3">
        <f t="shared" si="0"/>
        <v>178.27355079672532</v>
      </c>
      <c r="I29" s="3">
        <f t="shared" si="1"/>
        <v>188.8957217550826</v>
      </c>
      <c r="J29">
        <f t="shared" si="2"/>
        <v>116.49995957873693</v>
      </c>
      <c r="K29">
        <f t="shared" si="3"/>
        <v>91.982810075205961</v>
      </c>
    </row>
    <row r="30" spans="1:11" x14ac:dyDescent="0.4">
      <c r="A30">
        <v>20150227</v>
      </c>
      <c r="B30" s="3">
        <v>1.06138334600581</v>
      </c>
      <c r="C30" s="3">
        <v>1.0347811756951899</v>
      </c>
      <c r="D30" s="3">
        <v>1.02964167755714</v>
      </c>
      <c r="E30" s="3">
        <v>0.98846818657818036</v>
      </c>
      <c r="F30" s="3">
        <v>1.0835388169335791</v>
      </c>
      <c r="G30" s="3" t="e">
        <f t="shared" si="4"/>
        <v>#VALUE!</v>
      </c>
      <c r="H30" s="3">
        <f t="shared" si="0"/>
        <v>184.47411448879157</v>
      </c>
      <c r="I30" s="3">
        <f t="shared" si="1"/>
        <v>194.49490783126998</v>
      </c>
      <c r="J30">
        <f t="shared" si="2"/>
        <v>115.15650378122541</v>
      </c>
      <c r="K30">
        <f t="shared" si="3"/>
        <v>99.666945207114765</v>
      </c>
    </row>
    <row r="31" spans="1:11" x14ac:dyDescent="0.4">
      <c r="A31">
        <v>20150529</v>
      </c>
      <c r="B31" s="3">
        <v>1.1459128323166401</v>
      </c>
      <c r="C31" s="3">
        <v>1.1153659374410001</v>
      </c>
      <c r="D31" s="3">
        <v>1.10642358552945</v>
      </c>
      <c r="E31" s="3">
        <v>1.0240666283744972</v>
      </c>
      <c r="F31" s="3">
        <v>1.171407696637961</v>
      </c>
      <c r="G31" s="3" t="e">
        <f t="shared" si="4"/>
        <v>#VALUE!</v>
      </c>
      <c r="H31" s="3">
        <f t="shared" si="0"/>
        <v>205.75614364038938</v>
      </c>
      <c r="I31" s="3">
        <f t="shared" si="1"/>
        <v>215.19375328989364</v>
      </c>
      <c r="J31">
        <f t="shared" si="2"/>
        <v>117.92793256263455</v>
      </c>
      <c r="K31">
        <f t="shared" si="3"/>
        <v>116.75062671600817</v>
      </c>
    </row>
    <row r="32" spans="1:11" x14ac:dyDescent="0.4">
      <c r="A32">
        <v>20150831</v>
      </c>
      <c r="B32" s="3">
        <v>0.92334461587571104</v>
      </c>
      <c r="C32" s="3">
        <v>0.96579368379326902</v>
      </c>
      <c r="D32" s="3">
        <v>0.94563141397926198</v>
      </c>
      <c r="E32" s="3">
        <v>0.88993587226802784</v>
      </c>
      <c r="F32" s="3">
        <v>0.98597165702132883</v>
      </c>
      <c r="G32" s="3" t="e">
        <f t="shared" si="4"/>
        <v>#VALUE!</v>
      </c>
      <c r="H32" s="3">
        <f t="shared" si="0"/>
        <v>198.71798392954867</v>
      </c>
      <c r="I32" s="3">
        <f t="shared" si="1"/>
        <v>203.49397320302657</v>
      </c>
      <c r="J32">
        <f t="shared" si="2"/>
        <v>104.94829752989334</v>
      </c>
      <c r="K32">
        <f t="shared" si="3"/>
        <v>115.11280888146119</v>
      </c>
    </row>
    <row r="33" spans="1:11" x14ac:dyDescent="0.4">
      <c r="A33">
        <v>20151130</v>
      </c>
      <c r="B33" s="3">
        <v>0.99670554595520899</v>
      </c>
      <c r="C33" s="3">
        <v>0.98783268834322602</v>
      </c>
      <c r="D33" s="3">
        <v>1.0104430306194201</v>
      </c>
      <c r="E33" s="3">
        <v>1.059047619047619</v>
      </c>
      <c r="F33" s="3">
        <v>0.95550139997925965</v>
      </c>
      <c r="G33" s="3" t="e">
        <f t="shared" si="4"/>
        <v>#VALUE!</v>
      </c>
      <c r="H33" s="3">
        <f t="shared" si="0"/>
        <v>196.30012028727205</v>
      </c>
      <c r="I33" s="3">
        <f t="shared" si="1"/>
        <v>205.61906699605322</v>
      </c>
      <c r="J33">
        <f t="shared" si="2"/>
        <v>111.14524462213465</v>
      </c>
      <c r="K33">
        <f t="shared" si="3"/>
        <v>109.99045004178112</v>
      </c>
    </row>
    <row r="34" spans="1:11" x14ac:dyDescent="0.4">
      <c r="A34">
        <v>20160229</v>
      </c>
      <c r="B34" s="3">
        <v>0.97012218357943503</v>
      </c>
      <c r="C34" s="3">
        <v>0.94743299836057204</v>
      </c>
      <c r="D34" s="3">
        <v>0.96032702588397001</v>
      </c>
      <c r="E34" s="3">
        <v>0.96132432289462544</v>
      </c>
      <c r="F34" s="3">
        <v>0.94913120394187045</v>
      </c>
      <c r="G34" s="3" t="e">
        <f t="shared" si="4"/>
        <v>#VALUE!</v>
      </c>
      <c r="H34" s="3">
        <f t="shared" si="0"/>
        <v>185.98121154231112</v>
      </c>
      <c r="I34" s="3">
        <f t="shared" si="1"/>
        <v>197.46154707335657</v>
      </c>
      <c r="J34">
        <f t="shared" si="2"/>
        <v>106.8466270293311</v>
      </c>
      <c r="K34">
        <f t="shared" si="3"/>
        <v>104.39536827026386</v>
      </c>
    </row>
    <row r="35" spans="1:11" x14ac:dyDescent="0.4">
      <c r="A35">
        <v>20160531</v>
      </c>
      <c r="B35" s="3">
        <v>1.06288117266147</v>
      </c>
      <c r="C35" s="3">
        <v>1.05647164190691</v>
      </c>
      <c r="D35" s="3">
        <v>1.0672761014735901</v>
      </c>
      <c r="E35" s="3">
        <v>1.037260202362037</v>
      </c>
      <c r="F35" s="3">
        <v>1.0434981475552303</v>
      </c>
      <c r="G35" s="3" t="e">
        <f t="shared" si="4"/>
        <v>#VALUE!</v>
      </c>
      <c r="H35" s="3">
        <f t="shared" si="0"/>
        <v>196.48387592194177</v>
      </c>
      <c r="I35" s="3">
        <f t="shared" si="1"/>
        <v>210.7459901513958</v>
      </c>
      <c r="J35">
        <f t="shared" si="2"/>
        <v>110.82775397414507</v>
      </c>
      <c r="K35">
        <f t="shared" si="3"/>
        <v>108.9363734033664</v>
      </c>
    </row>
    <row r="36" spans="1:11" x14ac:dyDescent="0.4">
      <c r="A36">
        <v>20160831</v>
      </c>
      <c r="B36" s="3">
        <v>1.0150738092173299</v>
      </c>
      <c r="C36" s="3">
        <v>1.0188474674128201</v>
      </c>
      <c r="D36" s="3">
        <v>1.01213136504567</v>
      </c>
      <c r="E36" s="3">
        <v>1.0588328912466844</v>
      </c>
      <c r="F36" s="3">
        <v>0.93376873849390729</v>
      </c>
      <c r="G36" s="3" t="e">
        <f t="shared" si="4"/>
        <v>#VALUE!</v>
      </c>
      <c r="H36" s="3">
        <f t="shared" si="0"/>
        <v>200.18709937052515</v>
      </c>
      <c r="I36" s="3">
        <f t="shared" si="1"/>
        <v>213.30262668983357</v>
      </c>
      <c r="J36">
        <f t="shared" si="2"/>
        <v>117.34807117082025</v>
      </c>
      <c r="K36">
        <f t="shared" si="3"/>
        <v>101.72137996896268</v>
      </c>
    </row>
    <row r="37" spans="1:11" x14ac:dyDescent="0.4">
      <c r="A37">
        <v>20161130</v>
      </c>
      <c r="B37" s="3">
        <v>0.98678560026003304</v>
      </c>
      <c r="C37" s="3">
        <v>0.98850835635245904</v>
      </c>
      <c r="D37" s="3">
        <v>0.96988412083142195</v>
      </c>
      <c r="E37" s="3">
        <v>0.99064958164236683</v>
      </c>
      <c r="F37" s="3">
        <v>0.90383983476505647</v>
      </c>
      <c r="G37" s="3" t="e">
        <f t="shared" si="4"/>
        <v>#VALUE!</v>
      </c>
      <c r="H37" s="3">
        <f t="shared" si="0"/>
        <v>197.88662056172419</v>
      </c>
      <c r="I37" s="3">
        <f t="shared" si="1"/>
        <v>206.87883055810224</v>
      </c>
      <c r="J37">
        <f t="shared" si="2"/>
        <v>116.25081761191177</v>
      </c>
      <c r="K37">
        <f t="shared" si="3"/>
        <v>91.939835263220758</v>
      </c>
    </row>
    <row r="38" spans="1:11" x14ac:dyDescent="0.4">
      <c r="A38">
        <v>20170228</v>
      </c>
      <c r="B38" s="3">
        <v>1.0308597613561401</v>
      </c>
      <c r="C38" s="3">
        <v>1.01473419008446</v>
      </c>
      <c r="D38" s="3">
        <v>0.97901377192750005</v>
      </c>
      <c r="E38" s="3">
        <v>1.0638453903489085</v>
      </c>
      <c r="F38" s="3">
        <v>1.0414578410241762</v>
      </c>
      <c r="G38" s="3" t="e">
        <f t="shared" si="4"/>
        <v>#VALUE!</v>
      </c>
      <c r="H38" s="3">
        <f t="shared" si="0"/>
        <v>200.80231964425204</v>
      </c>
      <c r="I38" s="3">
        <f t="shared" si="1"/>
        <v>202.53722423663783</v>
      </c>
      <c r="J38">
        <f t="shared" si="2"/>
        <v>123.67289644072405</v>
      </c>
      <c r="K38">
        <f t="shared" si="3"/>
        <v>95.751462337352308</v>
      </c>
    </row>
    <row r="39" spans="1:11" x14ac:dyDescent="0.4">
      <c r="A39">
        <v>20170531</v>
      </c>
      <c r="B39" s="3">
        <v>1.0777479002986901</v>
      </c>
      <c r="C39" s="3">
        <v>1.09516725426748</v>
      </c>
      <c r="D39" s="3">
        <v>1.1022142742213901</v>
      </c>
      <c r="E39" s="3">
        <v>1.1305815376935784</v>
      </c>
      <c r="F39" s="3">
        <v>1.0945132213786137</v>
      </c>
      <c r="G39" s="3" t="e">
        <f t="shared" si="4"/>
        <v>#VALUE!</v>
      </c>
      <c r="H39" s="3">
        <f t="shared" si="0"/>
        <v>219.91212505533636</v>
      </c>
      <c r="I39" s="3">
        <f t="shared" si="1"/>
        <v>223.23941961480068</v>
      </c>
      <c r="J39">
        <f t="shared" si="2"/>
        <v>139.82229342897247</v>
      </c>
      <c r="K39">
        <f t="shared" si="3"/>
        <v>104.80124149456849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19"/>
  <sheetViews>
    <sheetView showGridLines="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A26" sqref="A26"/>
    </sheetView>
  </sheetViews>
  <sheetFormatPr defaultRowHeight="17.399999999999999" x14ac:dyDescent="0.4"/>
  <cols>
    <col min="1" max="4" width="14.69921875" customWidth="1"/>
  </cols>
  <sheetData>
    <row r="1" spans="1:41" ht="15" customHeight="1" x14ac:dyDescent="0.4">
      <c r="A1" s="4" t="s">
        <v>20</v>
      </c>
      <c r="B1" t="s">
        <v>32</v>
      </c>
    </row>
    <row r="3" spans="1:41" x14ac:dyDescent="0.4">
      <c r="A3" s="5" t="s">
        <v>33</v>
      </c>
    </row>
    <row r="4" spans="1:41" x14ac:dyDescent="0.4">
      <c r="A4" s="6" t="s">
        <v>28</v>
      </c>
      <c r="B4" s="6" t="s">
        <v>21</v>
      </c>
      <c r="C4" s="6" t="s">
        <v>22</v>
      </c>
    </row>
    <row r="5" spans="1:41" x14ac:dyDescent="0.4">
      <c r="A5" s="7"/>
      <c r="B5" s="7"/>
      <c r="C5" s="7"/>
    </row>
    <row r="6" spans="1:41" x14ac:dyDescent="0.4">
      <c r="A6" s="7"/>
      <c r="B6" s="7"/>
      <c r="C6" s="7"/>
    </row>
    <row r="7" spans="1:41" x14ac:dyDescent="0.4">
      <c r="A7" s="8"/>
      <c r="B7" s="8"/>
      <c r="C7" s="8"/>
    </row>
    <row r="9" spans="1:41" x14ac:dyDescent="0.4">
      <c r="A9" s="6"/>
      <c r="B9" s="6" t="s">
        <v>34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</row>
    <row r="10" spans="1:41" x14ac:dyDescent="0.4">
      <c r="A10" s="9"/>
      <c r="B10" s="9" t="s">
        <v>35</v>
      </c>
      <c r="C10" s="9"/>
      <c r="D10" s="1">
        <v>20080229</v>
      </c>
      <c r="E10" s="1">
        <v>20080530</v>
      </c>
      <c r="F10" s="1">
        <v>20080829</v>
      </c>
      <c r="G10" s="1">
        <v>20081128</v>
      </c>
      <c r="H10" s="1">
        <v>20090227</v>
      </c>
      <c r="I10" s="1">
        <v>20090529</v>
      </c>
      <c r="J10" s="1">
        <v>20090831</v>
      </c>
      <c r="K10" s="1">
        <v>20091130</v>
      </c>
      <c r="L10" s="1">
        <v>20100226</v>
      </c>
      <c r="M10" s="1">
        <v>20100531</v>
      </c>
      <c r="N10" s="1">
        <v>20100831</v>
      </c>
      <c r="O10" s="1">
        <v>20101130</v>
      </c>
      <c r="P10" s="1">
        <v>20110228</v>
      </c>
      <c r="Q10" s="1">
        <v>20110531</v>
      </c>
      <c r="R10" s="1">
        <v>20110831</v>
      </c>
      <c r="S10" s="1">
        <v>20111130</v>
      </c>
      <c r="T10" s="1">
        <v>20120229</v>
      </c>
      <c r="U10" s="1">
        <v>20120531</v>
      </c>
      <c r="V10" s="1">
        <v>20120831</v>
      </c>
      <c r="W10" s="1">
        <v>20121130</v>
      </c>
      <c r="X10" s="1">
        <v>20130228</v>
      </c>
      <c r="Y10" s="1">
        <v>20130531</v>
      </c>
      <c r="Z10" s="1">
        <v>20130830</v>
      </c>
      <c r="AA10" s="1">
        <v>20131129</v>
      </c>
      <c r="AB10" s="1">
        <v>20140228</v>
      </c>
      <c r="AC10" s="1">
        <v>20140530</v>
      </c>
      <c r="AD10" s="1">
        <v>20140829</v>
      </c>
      <c r="AE10" s="1">
        <v>20141128</v>
      </c>
      <c r="AF10" s="1">
        <v>20150227</v>
      </c>
      <c r="AG10" s="1">
        <v>20150529</v>
      </c>
      <c r="AH10" s="1">
        <v>20150831</v>
      </c>
      <c r="AI10" s="1">
        <v>20151130</v>
      </c>
      <c r="AJ10" s="1">
        <v>20160229</v>
      </c>
      <c r="AK10" s="1">
        <v>20160531</v>
      </c>
      <c r="AL10" s="1">
        <v>20160831</v>
      </c>
      <c r="AM10" s="1">
        <v>20161130</v>
      </c>
      <c r="AN10" s="1">
        <v>20170228</v>
      </c>
      <c r="AO10" s="1">
        <v>20170531</v>
      </c>
    </row>
    <row r="11" spans="1:41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</row>
    <row r="12" spans="1:41" x14ac:dyDescent="0.4">
      <c r="A12" s="10"/>
      <c r="B12" s="10" t="s">
        <v>39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</row>
    <row r="13" spans="1:41" x14ac:dyDescent="0.4">
      <c r="A13" s="11" t="s">
        <v>37</v>
      </c>
      <c r="B13" s="12" t="s">
        <v>38</v>
      </c>
      <c r="C13" s="12" t="s">
        <v>40</v>
      </c>
      <c r="D13" s="12" t="s">
        <v>41</v>
      </c>
      <c r="E13" s="12" t="s">
        <v>42</v>
      </c>
      <c r="F13" s="12" t="s">
        <v>42</v>
      </c>
      <c r="G13" s="12" t="s">
        <v>42</v>
      </c>
      <c r="H13" s="12" t="s">
        <v>43</v>
      </c>
      <c r="I13" s="12" t="s">
        <v>43</v>
      </c>
      <c r="J13" s="12" t="s">
        <v>42</v>
      </c>
      <c r="K13" s="12" t="s">
        <v>42</v>
      </c>
      <c r="L13" s="12" t="s">
        <v>42</v>
      </c>
      <c r="M13" s="12" t="s">
        <v>42</v>
      </c>
      <c r="N13" s="12" t="s">
        <v>42</v>
      </c>
      <c r="O13" s="12" t="s">
        <v>42</v>
      </c>
      <c r="P13" s="12" t="s">
        <v>42</v>
      </c>
      <c r="Q13" s="12" t="s">
        <v>42</v>
      </c>
      <c r="R13" s="12" t="s">
        <v>42</v>
      </c>
      <c r="S13" s="12" t="s">
        <v>42</v>
      </c>
      <c r="T13" s="12" t="s">
        <v>42</v>
      </c>
      <c r="U13" s="12" t="s">
        <v>42</v>
      </c>
      <c r="V13" s="12" t="s">
        <v>42</v>
      </c>
      <c r="W13" s="12" t="s">
        <v>42</v>
      </c>
      <c r="X13" s="12" t="s">
        <v>42</v>
      </c>
      <c r="Y13" s="12" t="s">
        <v>42</v>
      </c>
      <c r="Z13" s="12" t="s">
        <v>42</v>
      </c>
      <c r="AA13" s="12" t="s">
        <v>42</v>
      </c>
      <c r="AB13" s="12" t="s">
        <v>42</v>
      </c>
      <c r="AC13" s="12" t="s">
        <v>42</v>
      </c>
      <c r="AD13" s="12" t="s">
        <v>42</v>
      </c>
      <c r="AE13" s="12" t="s">
        <v>42</v>
      </c>
      <c r="AF13" s="12" t="s">
        <v>42</v>
      </c>
      <c r="AG13" s="12" t="s">
        <v>42</v>
      </c>
      <c r="AH13" s="12" t="s">
        <v>42</v>
      </c>
      <c r="AI13" s="12" t="s">
        <v>42</v>
      </c>
      <c r="AJ13" s="12" t="s">
        <v>42</v>
      </c>
      <c r="AK13" s="12" t="s">
        <v>42</v>
      </c>
      <c r="AL13" s="12" t="s">
        <v>42</v>
      </c>
      <c r="AM13" s="12" t="s">
        <v>42</v>
      </c>
      <c r="AN13" s="12" t="s">
        <v>42</v>
      </c>
      <c r="AO13" s="12" t="s">
        <v>42</v>
      </c>
    </row>
    <row r="14" spans="1:41" x14ac:dyDescent="0.4">
      <c r="A14" s="2" t="s">
        <v>23</v>
      </c>
      <c r="B14" s="7" t="s">
        <v>44</v>
      </c>
      <c r="C14" s="2"/>
      <c r="D14" s="14">
        <v>1360.67</v>
      </c>
      <c r="E14" s="14">
        <v>1489.65</v>
      </c>
      <c r="F14" s="14">
        <v>1183.53</v>
      </c>
      <c r="G14" s="13">
        <v>878.25</v>
      </c>
      <c r="H14" s="13">
        <v>857.91</v>
      </c>
      <c r="I14" s="14">
        <v>1107.99</v>
      </c>
      <c r="J14" s="14">
        <v>1297.04</v>
      </c>
      <c r="K14" s="14">
        <v>1284.72</v>
      </c>
      <c r="L14" s="14">
        <v>1308.32</v>
      </c>
      <c r="M14" s="14">
        <v>1352.78</v>
      </c>
      <c r="N14" s="14">
        <v>1425.92</v>
      </c>
      <c r="O14" s="14">
        <v>1563.19</v>
      </c>
      <c r="P14" s="14">
        <v>1609.71</v>
      </c>
      <c r="Q14" s="14">
        <v>1759.01</v>
      </c>
      <c r="R14" s="14">
        <v>1504.86</v>
      </c>
      <c r="S14" s="14">
        <v>1508.34</v>
      </c>
      <c r="T14" s="14">
        <v>1664.25</v>
      </c>
      <c r="U14" s="14">
        <v>1539.09</v>
      </c>
      <c r="V14" s="14">
        <v>1571.5</v>
      </c>
      <c r="W14" s="14">
        <v>1593.65</v>
      </c>
      <c r="X14" s="14">
        <v>1679.47</v>
      </c>
      <c r="Y14" s="14">
        <v>1636.09</v>
      </c>
      <c r="Z14" s="14">
        <v>1584.02</v>
      </c>
      <c r="AA14" s="14">
        <v>1697.16</v>
      </c>
      <c r="AB14" s="14">
        <v>1622.75</v>
      </c>
      <c r="AC14" s="14">
        <v>1632.52</v>
      </c>
      <c r="AD14" s="14">
        <v>1663.77</v>
      </c>
      <c r="AE14" s="14">
        <v>1585.18</v>
      </c>
      <c r="AF14" s="14">
        <v>1566.9</v>
      </c>
      <c r="AG14" s="14">
        <v>1604.61</v>
      </c>
      <c r="AH14" s="15">
        <v>1428</v>
      </c>
      <c r="AI14" s="14">
        <v>1512.32</v>
      </c>
      <c r="AJ14" s="14">
        <v>1453.83</v>
      </c>
      <c r="AK14" s="15">
        <v>1508</v>
      </c>
      <c r="AL14" s="14">
        <v>1596.72</v>
      </c>
      <c r="AM14" s="14">
        <v>1581.79</v>
      </c>
      <c r="AN14" s="14">
        <v>1682.78</v>
      </c>
      <c r="AO14" s="14">
        <v>1902.52</v>
      </c>
    </row>
    <row r="15" spans="1:41" x14ac:dyDescent="0.4">
      <c r="A15" s="2" t="s">
        <v>24</v>
      </c>
      <c r="B15" s="7" t="s">
        <v>45</v>
      </c>
      <c r="C15" s="2"/>
      <c r="D15" s="13">
        <v>837.7</v>
      </c>
      <c r="E15" s="13">
        <v>849.38</v>
      </c>
      <c r="F15" s="13">
        <v>657.34</v>
      </c>
      <c r="G15" s="13">
        <v>441.88</v>
      </c>
      <c r="H15" s="13">
        <v>491.78</v>
      </c>
      <c r="I15" s="13">
        <v>705.27</v>
      </c>
      <c r="J15" s="13">
        <v>709.21</v>
      </c>
      <c r="K15" s="13">
        <v>645.54</v>
      </c>
      <c r="L15" s="13">
        <v>660.4</v>
      </c>
      <c r="M15" s="13">
        <v>654.03</v>
      </c>
      <c r="N15" s="13">
        <v>672.16</v>
      </c>
      <c r="O15" s="13">
        <v>726.31</v>
      </c>
      <c r="P15" s="13">
        <v>726.36</v>
      </c>
      <c r="Q15" s="13">
        <v>773.24</v>
      </c>
      <c r="R15" s="13">
        <v>764.23</v>
      </c>
      <c r="S15" s="13">
        <v>728.91</v>
      </c>
      <c r="T15" s="13">
        <v>771.38</v>
      </c>
      <c r="U15" s="13">
        <v>658.08</v>
      </c>
      <c r="V15" s="13">
        <v>707.64</v>
      </c>
      <c r="W15" s="13">
        <v>704.87</v>
      </c>
      <c r="X15" s="13">
        <v>735.13</v>
      </c>
      <c r="Y15" s="13">
        <v>777.4</v>
      </c>
      <c r="Z15" s="13">
        <v>698.94</v>
      </c>
      <c r="AA15" s="13">
        <v>723.25</v>
      </c>
      <c r="AB15" s="13">
        <v>738.5</v>
      </c>
      <c r="AC15" s="13">
        <v>749.23</v>
      </c>
      <c r="AD15" s="13">
        <v>803.36</v>
      </c>
      <c r="AE15" s="13">
        <v>770.54</v>
      </c>
      <c r="AF15" s="13">
        <v>834.91</v>
      </c>
      <c r="AG15" s="13">
        <v>978.02</v>
      </c>
      <c r="AH15" s="13">
        <v>964.3</v>
      </c>
      <c r="AI15" s="13">
        <v>921.39</v>
      </c>
      <c r="AJ15" s="13">
        <v>874.52</v>
      </c>
      <c r="AK15" s="13">
        <v>912.56</v>
      </c>
      <c r="AL15" s="13">
        <v>852.12</v>
      </c>
      <c r="AM15" s="13">
        <v>770.18</v>
      </c>
      <c r="AN15" s="13">
        <v>802.11</v>
      </c>
      <c r="AO15" s="13">
        <v>877.92</v>
      </c>
    </row>
    <row r="16" spans="1:41" x14ac:dyDescent="0.4">
      <c r="B16" s="7" t="s">
        <v>44</v>
      </c>
      <c r="E16">
        <f>E14/D14</f>
        <v>1.0947915365224485</v>
      </c>
      <c r="F16">
        <f t="shared" ref="F16:AO16" si="0">F14/E14</f>
        <v>0.79450206424327852</v>
      </c>
      <c r="G16">
        <f t="shared" si="0"/>
        <v>0.74205977034802673</v>
      </c>
      <c r="H16">
        <f t="shared" si="0"/>
        <v>0.97684030742954731</v>
      </c>
      <c r="I16">
        <f t="shared" si="0"/>
        <v>1.2914991082980734</v>
      </c>
      <c r="J16">
        <f t="shared" si="0"/>
        <v>1.1706242836126679</v>
      </c>
      <c r="K16">
        <f t="shared" si="0"/>
        <v>0.99050144945414176</v>
      </c>
      <c r="L16">
        <f t="shared" si="0"/>
        <v>1.0183697615044522</v>
      </c>
      <c r="M16">
        <f t="shared" si="0"/>
        <v>1.0339825119236885</v>
      </c>
      <c r="N16">
        <f t="shared" si="0"/>
        <v>1.0540664409586187</v>
      </c>
      <c r="O16">
        <f t="shared" si="0"/>
        <v>1.0962676728007181</v>
      </c>
      <c r="P16">
        <f t="shared" si="0"/>
        <v>1.0297596581349675</v>
      </c>
      <c r="Q16">
        <f t="shared" si="0"/>
        <v>1.0927496257089786</v>
      </c>
      <c r="R16">
        <f t="shared" si="0"/>
        <v>0.85551531827562088</v>
      </c>
      <c r="S16">
        <f t="shared" si="0"/>
        <v>1.0023125074757784</v>
      </c>
      <c r="T16">
        <f t="shared" si="0"/>
        <v>1.103365288993198</v>
      </c>
      <c r="U16">
        <f t="shared" si="0"/>
        <v>0.92479495268138801</v>
      </c>
      <c r="V16">
        <f t="shared" si="0"/>
        <v>1.0210578978487288</v>
      </c>
      <c r="W16">
        <f t="shared" si="0"/>
        <v>1.0140948138720969</v>
      </c>
      <c r="X16">
        <f t="shared" si="0"/>
        <v>1.0538512220374612</v>
      </c>
      <c r="Y16">
        <f t="shared" si="0"/>
        <v>0.97417042281195843</v>
      </c>
      <c r="Z16">
        <f t="shared" si="0"/>
        <v>0.96817412245047652</v>
      </c>
      <c r="AA16">
        <f t="shared" si="0"/>
        <v>1.0714258658350273</v>
      </c>
      <c r="AB16">
        <f t="shared" si="0"/>
        <v>0.95615616677272619</v>
      </c>
      <c r="AC16">
        <f t="shared" si="0"/>
        <v>1.0060206439685719</v>
      </c>
      <c r="AD16">
        <f t="shared" si="0"/>
        <v>1.0191421850880846</v>
      </c>
      <c r="AE16">
        <f t="shared" si="0"/>
        <v>0.95276390366456909</v>
      </c>
      <c r="AF16">
        <f t="shared" si="0"/>
        <v>0.98846818657818036</v>
      </c>
      <c r="AG16">
        <f t="shared" si="0"/>
        <v>1.0240666283744972</v>
      </c>
      <c r="AH16">
        <f t="shared" si="0"/>
        <v>0.88993587226802784</v>
      </c>
      <c r="AI16">
        <f t="shared" si="0"/>
        <v>1.059047619047619</v>
      </c>
      <c r="AJ16">
        <f t="shared" si="0"/>
        <v>0.96132432289462544</v>
      </c>
      <c r="AK16">
        <f t="shared" si="0"/>
        <v>1.037260202362037</v>
      </c>
      <c r="AL16">
        <f t="shared" si="0"/>
        <v>1.0588328912466844</v>
      </c>
      <c r="AM16">
        <f t="shared" si="0"/>
        <v>0.99064958164236683</v>
      </c>
      <c r="AN16">
        <f t="shared" si="0"/>
        <v>1.0638453903489085</v>
      </c>
      <c r="AO16">
        <f t="shared" si="0"/>
        <v>1.1305815376935784</v>
      </c>
    </row>
    <row r="17" spans="2:41" x14ac:dyDescent="0.4">
      <c r="B17" s="7" t="s">
        <v>45</v>
      </c>
      <c r="E17">
        <f>E15/D15</f>
        <v>1.0139429389996417</v>
      </c>
      <c r="F17">
        <f t="shared" ref="F17:AO17" si="1">F15/E15</f>
        <v>0.77390567237278962</v>
      </c>
      <c r="G17">
        <f t="shared" si="1"/>
        <v>0.67222441963063251</v>
      </c>
      <c r="H17">
        <f t="shared" si="1"/>
        <v>1.1129265864035485</v>
      </c>
      <c r="I17">
        <f t="shared" si="1"/>
        <v>1.4341168815323926</v>
      </c>
      <c r="J17">
        <f t="shared" si="1"/>
        <v>1.0055865129666652</v>
      </c>
      <c r="K17">
        <f t="shared" si="1"/>
        <v>0.91022405211432433</v>
      </c>
      <c r="L17">
        <f t="shared" si="1"/>
        <v>1.0230194875608019</v>
      </c>
      <c r="M17">
        <f t="shared" si="1"/>
        <v>0.99035433070866141</v>
      </c>
      <c r="N17">
        <f t="shared" si="1"/>
        <v>1.0277204409583658</v>
      </c>
      <c r="O17">
        <f t="shared" si="1"/>
        <v>1.0805611759104974</v>
      </c>
      <c r="P17">
        <f t="shared" si="1"/>
        <v>1.000068841128444</v>
      </c>
      <c r="Q17">
        <f t="shared" si="1"/>
        <v>1.0645409989536869</v>
      </c>
      <c r="R17">
        <f t="shared" si="1"/>
        <v>0.98834773162278211</v>
      </c>
      <c r="S17">
        <f t="shared" si="1"/>
        <v>0.95378354683799371</v>
      </c>
      <c r="T17">
        <f t="shared" si="1"/>
        <v>1.0582650807369909</v>
      </c>
      <c r="U17">
        <f t="shared" si="1"/>
        <v>0.85312038165365978</v>
      </c>
      <c r="V17">
        <f t="shared" si="1"/>
        <v>1.0753099927060539</v>
      </c>
      <c r="W17">
        <f t="shared" si="1"/>
        <v>0.99608558023853944</v>
      </c>
      <c r="X17">
        <f t="shared" si="1"/>
        <v>1.0429299019677387</v>
      </c>
      <c r="Y17">
        <f t="shared" si="1"/>
        <v>1.0575000340075904</v>
      </c>
      <c r="Z17">
        <f t="shared" si="1"/>
        <v>0.89907383586313361</v>
      </c>
      <c r="AA17">
        <f t="shared" si="1"/>
        <v>1.0347812401636765</v>
      </c>
      <c r="AB17">
        <f t="shared" si="1"/>
        <v>1.0210853784998273</v>
      </c>
      <c r="AC17">
        <f t="shared" si="1"/>
        <v>1.014529451591063</v>
      </c>
      <c r="AD17">
        <f t="shared" si="1"/>
        <v>1.0722475074409727</v>
      </c>
      <c r="AE17">
        <f t="shared" si="1"/>
        <v>0.95914658434574784</v>
      </c>
      <c r="AF17">
        <f t="shared" si="1"/>
        <v>1.0835388169335791</v>
      </c>
      <c r="AG17">
        <f t="shared" si="1"/>
        <v>1.171407696637961</v>
      </c>
      <c r="AH17">
        <f t="shared" si="1"/>
        <v>0.98597165702132883</v>
      </c>
      <c r="AI17">
        <f t="shared" si="1"/>
        <v>0.95550139997925965</v>
      </c>
      <c r="AJ17">
        <f t="shared" si="1"/>
        <v>0.94913120394187045</v>
      </c>
      <c r="AK17">
        <f t="shared" si="1"/>
        <v>1.0434981475552303</v>
      </c>
      <c r="AL17">
        <f t="shared" si="1"/>
        <v>0.93376873849390729</v>
      </c>
      <c r="AM17">
        <f t="shared" si="1"/>
        <v>0.90383983476505647</v>
      </c>
      <c r="AN17">
        <f t="shared" si="1"/>
        <v>1.0414578410241762</v>
      </c>
      <c r="AO17">
        <f t="shared" si="1"/>
        <v>1.0945132213786137</v>
      </c>
    </row>
    <row r="18" spans="2:41" x14ac:dyDescent="0.4">
      <c r="C18" s="7" t="s">
        <v>44</v>
      </c>
      <c r="D18">
        <v>100</v>
      </c>
      <c r="E18">
        <f>D18*E16</f>
        <v>109.47915365224486</v>
      </c>
      <c r="F18">
        <f t="shared" ref="F18:AO18" si="2">E18*F16</f>
        <v>86.981413568315602</v>
      </c>
      <c r="G18">
        <f t="shared" si="2"/>
        <v>64.545407777051011</v>
      </c>
      <c r="H18">
        <f t="shared" si="2"/>
        <v>63.0505559761</v>
      </c>
      <c r="I18">
        <f t="shared" si="2"/>
        <v>81.429736820830911</v>
      </c>
      <c r="J18">
        <f t="shared" si="2"/>
        <v>95.323627330653267</v>
      </c>
      <c r="K18">
        <f t="shared" si="2"/>
        <v>94.418191038238504</v>
      </c>
      <c r="L18">
        <f t="shared" si="2"/>
        <v>96.152630689292749</v>
      </c>
      <c r="M18">
        <f t="shared" si="2"/>
        <v>99.420138608185653</v>
      </c>
      <c r="N18">
        <f t="shared" si="2"/>
        <v>104.79543166234281</v>
      </c>
      <c r="O18">
        <f t="shared" si="2"/>
        <v>114.88384398862324</v>
      </c>
      <c r="P18">
        <f t="shared" si="2"/>
        <v>118.30274791095562</v>
      </c>
      <c r="Q18">
        <f t="shared" si="2"/>
        <v>129.27528350004039</v>
      </c>
      <c r="R18">
        <f t="shared" si="2"/>
        <v>110.59698530870817</v>
      </c>
      <c r="S18">
        <f t="shared" si="2"/>
        <v>110.8527416640331</v>
      </c>
      <c r="T18">
        <f t="shared" si="2"/>
        <v>122.3110673418242</v>
      </c>
      <c r="U18">
        <f t="shared" si="2"/>
        <v>113.11265773479238</v>
      </c>
      <c r="V18">
        <f t="shared" si="2"/>
        <v>115.49457252676986</v>
      </c>
      <c r="W18">
        <f t="shared" si="2"/>
        <v>117.12244702977208</v>
      </c>
      <c r="X18">
        <f t="shared" si="2"/>
        <v>123.42963393034312</v>
      </c>
      <c r="Y18">
        <f t="shared" si="2"/>
        <v>120.24149867344761</v>
      </c>
      <c r="Z18">
        <f t="shared" si="2"/>
        <v>116.41470746029528</v>
      </c>
      <c r="AA18">
        <f t="shared" si="2"/>
        <v>124.72972873657828</v>
      </c>
      <c r="AB18">
        <f t="shared" si="2"/>
        <v>119.26109931136864</v>
      </c>
      <c r="AC18">
        <f t="shared" si="2"/>
        <v>119.97912792962289</v>
      </c>
      <c r="AD18">
        <f t="shared" si="2"/>
        <v>122.27579060315871</v>
      </c>
      <c r="AE18">
        <f t="shared" si="2"/>
        <v>116.49995957873693</v>
      </c>
      <c r="AF18">
        <f t="shared" si="2"/>
        <v>115.15650378122541</v>
      </c>
      <c r="AG18">
        <f t="shared" si="2"/>
        <v>117.92793256263455</v>
      </c>
      <c r="AH18">
        <f t="shared" si="2"/>
        <v>104.94829752989334</v>
      </c>
      <c r="AI18">
        <f t="shared" si="2"/>
        <v>111.14524462213465</v>
      </c>
      <c r="AJ18">
        <f t="shared" si="2"/>
        <v>106.8466270293311</v>
      </c>
      <c r="AK18">
        <f t="shared" si="2"/>
        <v>110.82775397414507</v>
      </c>
      <c r="AL18">
        <f t="shared" si="2"/>
        <v>117.34807117082025</v>
      </c>
      <c r="AM18">
        <f t="shared" si="2"/>
        <v>116.25081761191177</v>
      </c>
      <c r="AN18">
        <f t="shared" si="2"/>
        <v>123.67289644072405</v>
      </c>
      <c r="AO18">
        <f t="shared" si="2"/>
        <v>139.82229342897247</v>
      </c>
    </row>
    <row r="19" spans="2:41" x14ac:dyDescent="0.4">
      <c r="C19" s="7" t="s">
        <v>45</v>
      </c>
      <c r="D19">
        <v>100</v>
      </c>
      <c r="E19">
        <f>D19*E17</f>
        <v>101.39429389996417</v>
      </c>
      <c r="F19">
        <f t="shared" ref="F19:AO19" si="3">E19*F17</f>
        <v>78.469619195416016</v>
      </c>
      <c r="G19">
        <f t="shared" si="3"/>
        <v>52.749194222275271</v>
      </c>
      <c r="H19">
        <f t="shared" si="3"/>
        <v>58.7059806613346</v>
      </c>
      <c r="I19">
        <f t="shared" si="3"/>
        <v>84.19123791333412</v>
      </c>
      <c r="J19">
        <f t="shared" si="3"/>
        <v>84.661573355616554</v>
      </c>
      <c r="K19">
        <f t="shared" si="3"/>
        <v>77.061000358123408</v>
      </c>
      <c r="L19">
        <f t="shared" si="3"/>
        <v>78.834905097290175</v>
      </c>
      <c r="M19">
        <f t="shared" si="3"/>
        <v>78.074489674107653</v>
      </c>
      <c r="N19">
        <f t="shared" si="3"/>
        <v>80.238748955473298</v>
      </c>
      <c r="O19">
        <f t="shared" si="3"/>
        <v>86.702876924913426</v>
      </c>
      <c r="P19">
        <f t="shared" si="3"/>
        <v>86.708845648800278</v>
      </c>
      <c r="Q19">
        <f t="shared" si="3"/>
        <v>92.305121165094903</v>
      </c>
      <c r="R19">
        <f t="shared" si="3"/>
        <v>91.229557120687602</v>
      </c>
      <c r="S19">
        <f t="shared" si="3"/>
        <v>87.013250567028763</v>
      </c>
      <c r="T19">
        <f t="shared" si="3"/>
        <v>92.083084636504708</v>
      </c>
      <c r="U19">
        <f t="shared" si="3"/>
        <v>78.557956308941158</v>
      </c>
      <c r="V19">
        <f t="shared" si="3"/>
        <v>84.474155425570018</v>
      </c>
      <c r="W19">
        <f t="shared" si="3"/>
        <v>84.143488122239475</v>
      </c>
      <c r="X19">
        <f t="shared" si="3"/>
        <v>87.7557598185508</v>
      </c>
      <c r="Y19">
        <f t="shared" si="3"/>
        <v>92.801718992479408</v>
      </c>
      <c r="Z19">
        <f t="shared" si="3"/>
        <v>83.435597469261083</v>
      </c>
      <c r="AA19">
        <f t="shared" si="3"/>
        <v>86.337591023039295</v>
      </c>
      <c r="AB19">
        <f t="shared" si="3"/>
        <v>88.158051808523368</v>
      </c>
      <c r="AC19">
        <f t="shared" si="3"/>
        <v>89.438939954637732</v>
      </c>
      <c r="AD19">
        <f t="shared" si="3"/>
        <v>95.900680434523139</v>
      </c>
      <c r="AE19">
        <f t="shared" si="3"/>
        <v>91.982810075205961</v>
      </c>
      <c r="AF19">
        <f t="shared" si="3"/>
        <v>99.666945207114765</v>
      </c>
      <c r="AG19">
        <f t="shared" si="3"/>
        <v>116.75062671600817</v>
      </c>
      <c r="AH19">
        <f t="shared" si="3"/>
        <v>115.11280888146119</v>
      </c>
      <c r="AI19">
        <f t="shared" si="3"/>
        <v>109.99045004178112</v>
      </c>
      <c r="AJ19">
        <f t="shared" si="3"/>
        <v>104.39536827026386</v>
      </c>
      <c r="AK19">
        <f t="shared" si="3"/>
        <v>108.9363734033664</v>
      </c>
      <c r="AL19">
        <f t="shared" si="3"/>
        <v>101.72137996896268</v>
      </c>
      <c r="AM19">
        <f t="shared" si="3"/>
        <v>91.939835263220758</v>
      </c>
      <c r="AN19">
        <f t="shared" si="3"/>
        <v>95.751462337352308</v>
      </c>
      <c r="AO19">
        <f t="shared" si="3"/>
        <v>104.80124149456849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N57"/>
  <sheetViews>
    <sheetView topLeftCell="V11" workbookViewId="0">
      <selection activeCell="AN26" sqref="AN26"/>
    </sheetView>
  </sheetViews>
  <sheetFormatPr defaultRowHeight="17.399999999999999" x14ac:dyDescent="0.4"/>
  <cols>
    <col min="1" max="1" width="26.5" bestFit="1" customWidth="1"/>
  </cols>
  <sheetData>
    <row r="1" spans="1:40" x14ac:dyDescent="0.4">
      <c r="B1" s="1">
        <v>20080530</v>
      </c>
      <c r="C1" s="1">
        <v>20080829</v>
      </c>
      <c r="D1" s="1">
        <v>20081128</v>
      </c>
      <c r="E1" s="1">
        <v>20090227</v>
      </c>
      <c r="F1" s="1">
        <v>20090529</v>
      </c>
      <c r="G1" s="1">
        <v>20090831</v>
      </c>
      <c r="H1" s="1">
        <v>20091130</v>
      </c>
      <c r="I1" s="1">
        <v>20100226</v>
      </c>
      <c r="J1" s="1">
        <v>20100531</v>
      </c>
      <c r="K1" s="1">
        <v>20100831</v>
      </c>
      <c r="L1" s="1">
        <v>20101130</v>
      </c>
      <c r="M1" s="1">
        <v>20110228</v>
      </c>
      <c r="N1" s="1">
        <v>20110531</v>
      </c>
      <c r="O1" s="1">
        <v>20110831</v>
      </c>
      <c r="P1" s="1">
        <v>20111130</v>
      </c>
      <c r="Q1" s="1">
        <v>20120229</v>
      </c>
      <c r="R1" s="1">
        <v>20120531</v>
      </c>
      <c r="S1" s="1">
        <v>20120831</v>
      </c>
      <c r="T1" s="1">
        <v>20121130</v>
      </c>
      <c r="U1" s="1">
        <v>20130228</v>
      </c>
      <c r="V1" s="1">
        <v>20130531</v>
      </c>
      <c r="W1" s="1">
        <v>20130830</v>
      </c>
      <c r="X1" s="1">
        <v>20131129</v>
      </c>
      <c r="Y1" s="1">
        <v>20140228</v>
      </c>
      <c r="Z1" s="1">
        <v>20140530</v>
      </c>
      <c r="AA1" s="1">
        <v>20140829</v>
      </c>
      <c r="AB1" s="1">
        <v>20141128</v>
      </c>
      <c r="AC1" s="1">
        <v>20150227</v>
      </c>
      <c r="AD1" s="1">
        <v>20150529</v>
      </c>
      <c r="AE1" s="1">
        <v>20150831</v>
      </c>
      <c r="AF1" s="1">
        <v>20151130</v>
      </c>
      <c r="AG1" s="1">
        <v>20160229</v>
      </c>
      <c r="AH1" s="1">
        <v>20160531</v>
      </c>
      <c r="AI1" s="1">
        <v>20160831</v>
      </c>
      <c r="AJ1" s="1">
        <v>20161130</v>
      </c>
      <c r="AK1" s="1">
        <v>20170228</v>
      </c>
      <c r="AL1" s="1">
        <v>20170531</v>
      </c>
    </row>
    <row r="2" spans="1:40" x14ac:dyDescent="0.4">
      <c r="A2" t="s">
        <v>4</v>
      </c>
      <c r="B2">
        <v>1.07201054402041</v>
      </c>
      <c r="C2">
        <v>0.81827772945598598</v>
      </c>
      <c r="D2">
        <v>0.66391416894161803</v>
      </c>
      <c r="E2">
        <v>1.0673565667674401</v>
      </c>
      <c r="F2">
        <v>1.4071000580470301</v>
      </c>
      <c r="G2">
        <v>1.0752701648620899</v>
      </c>
      <c r="H2">
        <v>0.94517819156204297</v>
      </c>
      <c r="I2">
        <v>1.01523566416135</v>
      </c>
      <c r="J2">
        <v>1.01295594150252</v>
      </c>
      <c r="K2">
        <v>1.06270092470065</v>
      </c>
      <c r="L2">
        <v>1.11697638196897</v>
      </c>
      <c r="M2">
        <v>0.97444215007191803</v>
      </c>
      <c r="N2">
        <v>1.06572400023623</v>
      </c>
      <c r="O2">
        <v>0.986842456229026</v>
      </c>
      <c r="P2">
        <v>0.91411367547872802</v>
      </c>
      <c r="Q2">
        <v>1.1671460625893699</v>
      </c>
      <c r="R2">
        <v>0.84467402096830702</v>
      </c>
      <c r="S2">
        <v>1.05984043169263</v>
      </c>
      <c r="T2">
        <v>1.0666220602979899</v>
      </c>
      <c r="U2">
        <v>1.0840333345272899</v>
      </c>
      <c r="V2">
        <v>1.1110532437417</v>
      </c>
      <c r="W2">
        <v>0.96841781384944603</v>
      </c>
      <c r="X2">
        <v>1.04284276889636</v>
      </c>
      <c r="Y2">
        <v>1.0408615932335901</v>
      </c>
      <c r="Z2">
        <v>1.0668142936370399</v>
      </c>
      <c r="AA2">
        <v>1.0882493987037301</v>
      </c>
      <c r="AB2">
        <v>0.94651602203745899</v>
      </c>
      <c r="AC2">
        <v>1.06318334600581</v>
      </c>
      <c r="AD2">
        <v>1.1482628323166399</v>
      </c>
      <c r="AE2">
        <v>0.92614461587571095</v>
      </c>
      <c r="AF2">
        <v>0.99900554595520896</v>
      </c>
      <c r="AG2">
        <v>0.97187218357943495</v>
      </c>
      <c r="AH2">
        <v>1.0652811726614699</v>
      </c>
      <c r="AI2">
        <v>1.0169738092173299</v>
      </c>
      <c r="AJ2">
        <v>0.988085600260033</v>
      </c>
      <c r="AK2">
        <v>1.0325597613561399</v>
      </c>
      <c r="AL2">
        <v>1.0800979002986899</v>
      </c>
      <c r="AM2">
        <f>PRODUCT(B2:AL2)</f>
        <v>2.0656359780438902</v>
      </c>
      <c r="AN2">
        <f>AVERAGE(B2:AL2)/_xlfn.STDEV.S(B2:AL2)</f>
        <v>8.9042540088050295</v>
      </c>
    </row>
    <row r="3" spans="1:40" x14ac:dyDescent="0.4">
      <c r="A3" t="s">
        <v>2</v>
      </c>
      <c r="B3">
        <v>1.0700605440204101</v>
      </c>
      <c r="C3">
        <v>0.81632772945598597</v>
      </c>
      <c r="D3">
        <v>0.66146416894161897</v>
      </c>
      <c r="E3">
        <v>1.06345656676744</v>
      </c>
      <c r="F3">
        <v>1.40525005804703</v>
      </c>
      <c r="G3">
        <v>1.0723201648620899</v>
      </c>
      <c r="H3">
        <v>0.94332819156204295</v>
      </c>
      <c r="I3">
        <v>1.01373566416135</v>
      </c>
      <c r="J3">
        <v>1.0108059415025199</v>
      </c>
      <c r="K3">
        <v>1.06070092470065</v>
      </c>
      <c r="L3">
        <v>1.11532638196897</v>
      </c>
      <c r="M3">
        <v>0.97314215007191796</v>
      </c>
      <c r="N3">
        <v>1.0638740002362299</v>
      </c>
      <c r="O3">
        <v>0.984842456229026</v>
      </c>
      <c r="P3">
        <v>0.91231367547872799</v>
      </c>
      <c r="Q3">
        <v>1.16559606258937</v>
      </c>
      <c r="R3">
        <v>0.84227402096830695</v>
      </c>
      <c r="S3">
        <v>1.05784043169263</v>
      </c>
      <c r="T3">
        <v>1.0652720602979899</v>
      </c>
      <c r="U3">
        <v>1.08248333452729</v>
      </c>
      <c r="V3">
        <v>1.1088032437416999</v>
      </c>
      <c r="W3">
        <v>0.96656781384944601</v>
      </c>
      <c r="X3">
        <v>1.0416427688963601</v>
      </c>
      <c r="Y3">
        <v>1.0396115932335901</v>
      </c>
      <c r="Z3">
        <v>1.06461429363704</v>
      </c>
      <c r="AA3">
        <v>1.08644939870373</v>
      </c>
      <c r="AB3">
        <v>0.94481602203745896</v>
      </c>
      <c r="AC3">
        <v>1.06138334600581</v>
      </c>
      <c r="AD3">
        <v>1.1459128323166401</v>
      </c>
      <c r="AE3">
        <v>0.92334461587571104</v>
      </c>
      <c r="AF3">
        <v>0.99670554595520899</v>
      </c>
      <c r="AG3">
        <v>0.97012218357943503</v>
      </c>
      <c r="AH3">
        <v>1.06288117266147</v>
      </c>
      <c r="AI3">
        <v>1.0150738092173299</v>
      </c>
      <c r="AJ3">
        <v>0.98678560026003304</v>
      </c>
      <c r="AK3">
        <v>1.0308597613561401</v>
      </c>
      <c r="AL3">
        <v>1.0777479002986901</v>
      </c>
      <c r="AM3">
        <f>PRODUCT(B3:AL3)</f>
        <v>1.9214841740301656</v>
      </c>
      <c r="AN3">
        <f>AVERAGE(B3:AL3)/_xlfn.STDEV.S(B3:AL3)</f>
        <v>8.8834913166988017</v>
      </c>
    </row>
    <row r="5" spans="1:40" x14ac:dyDescent="0.4">
      <c r="A5" t="s">
        <v>12</v>
      </c>
      <c r="B5">
        <v>0.14000000000000001</v>
      </c>
      <c r="C5">
        <v>0.11</v>
      </c>
      <c r="D5">
        <v>0.16500000000000001</v>
      </c>
      <c r="E5">
        <v>0.28999999999999998</v>
      </c>
      <c r="F5">
        <v>0.30499999999999999</v>
      </c>
      <c r="G5">
        <v>0.17</v>
      </c>
      <c r="H5">
        <v>0.13</v>
      </c>
      <c r="I5">
        <v>0.12</v>
      </c>
      <c r="J5">
        <v>0.125</v>
      </c>
      <c r="K5">
        <v>0.16</v>
      </c>
      <c r="L5">
        <v>0.125</v>
      </c>
      <c r="M5">
        <v>0.11</v>
      </c>
      <c r="N5">
        <v>0.12</v>
      </c>
      <c r="O5">
        <v>0.12</v>
      </c>
      <c r="P5">
        <v>0.13500000000000001</v>
      </c>
      <c r="Q5">
        <v>0.155</v>
      </c>
      <c r="R5">
        <v>0.16</v>
      </c>
      <c r="S5">
        <v>0.16</v>
      </c>
      <c r="T5">
        <v>0.16</v>
      </c>
      <c r="U5">
        <v>0.18</v>
      </c>
      <c r="V5">
        <v>0.155</v>
      </c>
      <c r="W5">
        <v>0.14499999999999999</v>
      </c>
      <c r="X5">
        <v>0.125</v>
      </c>
      <c r="Y5">
        <v>0.14499999999999999</v>
      </c>
      <c r="Z5">
        <v>0.14499999999999999</v>
      </c>
      <c r="AA5">
        <v>0.125</v>
      </c>
      <c r="AB5">
        <v>0.115</v>
      </c>
      <c r="AC5">
        <v>0.13500000000000001</v>
      </c>
      <c r="AD5">
        <v>0.15</v>
      </c>
      <c r="AE5">
        <v>0.15</v>
      </c>
      <c r="AF5">
        <v>0.16500000000000001</v>
      </c>
      <c r="AG5">
        <v>0.14499999999999999</v>
      </c>
      <c r="AH5">
        <v>0.155</v>
      </c>
      <c r="AI5">
        <v>0.14000000000000001</v>
      </c>
      <c r="AJ5">
        <v>0.13500000000000001</v>
      </c>
      <c r="AK5">
        <v>0.125</v>
      </c>
      <c r="AL5">
        <v>0.13</v>
      </c>
    </row>
    <row r="6" spans="1:40" x14ac:dyDescent="0.4">
      <c r="A6">
        <v>2</v>
      </c>
      <c r="B6">
        <v>0.505</v>
      </c>
      <c r="C6">
        <v>0.46500000000000002</v>
      </c>
      <c r="D6">
        <v>0.51</v>
      </c>
      <c r="E6">
        <v>0.54500000000000004</v>
      </c>
      <c r="F6">
        <v>0.54</v>
      </c>
      <c r="G6">
        <v>0.51</v>
      </c>
      <c r="H6">
        <v>0.53</v>
      </c>
      <c r="I6">
        <v>0.56000000000000005</v>
      </c>
      <c r="J6">
        <v>0.52</v>
      </c>
      <c r="K6">
        <v>0.48499999999999999</v>
      </c>
      <c r="L6">
        <v>0.51500000000000001</v>
      </c>
      <c r="M6">
        <v>0.495</v>
      </c>
      <c r="N6">
        <v>0.505</v>
      </c>
      <c r="O6">
        <v>0.42</v>
      </c>
      <c r="P6">
        <v>0.41499999999999998</v>
      </c>
      <c r="Q6">
        <v>0.45</v>
      </c>
      <c r="R6">
        <v>0.4</v>
      </c>
      <c r="S6">
        <v>0.43</v>
      </c>
      <c r="T6">
        <v>0.41499999999999998</v>
      </c>
      <c r="U6">
        <v>0.39500000000000002</v>
      </c>
      <c r="V6">
        <v>0.35</v>
      </c>
      <c r="W6">
        <v>0.35499999999999998</v>
      </c>
      <c r="X6">
        <v>0.36499999999999999</v>
      </c>
      <c r="Y6">
        <v>0.33500000000000002</v>
      </c>
      <c r="Z6">
        <v>0.32500000000000001</v>
      </c>
      <c r="AA6">
        <v>0.315</v>
      </c>
      <c r="AB6">
        <v>0.3</v>
      </c>
      <c r="AC6">
        <v>0.32500000000000001</v>
      </c>
      <c r="AD6">
        <v>0.30499999999999999</v>
      </c>
      <c r="AE6">
        <v>0.245</v>
      </c>
      <c r="AF6">
        <v>0.28499999999999998</v>
      </c>
      <c r="AG6">
        <v>0.29499999999999998</v>
      </c>
      <c r="AH6">
        <v>0.27</v>
      </c>
      <c r="AI6">
        <v>0.23499999999999999</v>
      </c>
      <c r="AJ6">
        <v>0.23499999999999999</v>
      </c>
      <c r="AK6">
        <v>0.23</v>
      </c>
      <c r="AL6">
        <v>0.23499999999999999</v>
      </c>
    </row>
    <row r="7" spans="1:40" x14ac:dyDescent="0.4">
      <c r="A7">
        <v>3</v>
      </c>
      <c r="B7">
        <v>0.20499999999999999</v>
      </c>
      <c r="C7">
        <v>0.26</v>
      </c>
      <c r="D7">
        <v>0.19</v>
      </c>
      <c r="E7">
        <v>0.05</v>
      </c>
      <c r="F7">
        <v>6.5000000000000002E-2</v>
      </c>
      <c r="G7">
        <v>0.17499999999999999</v>
      </c>
      <c r="H7">
        <v>0.2</v>
      </c>
      <c r="I7">
        <v>0.215</v>
      </c>
      <c r="J7">
        <v>0.22</v>
      </c>
      <c r="K7">
        <v>0.24</v>
      </c>
      <c r="L7">
        <v>0.23499999999999999</v>
      </c>
      <c r="M7">
        <v>0.28000000000000003</v>
      </c>
      <c r="N7">
        <v>0.24</v>
      </c>
      <c r="O7">
        <v>0.30499999999999999</v>
      </c>
      <c r="P7">
        <v>0.28499999999999998</v>
      </c>
      <c r="Q7">
        <v>0.24</v>
      </c>
      <c r="R7">
        <v>0.31</v>
      </c>
      <c r="S7">
        <v>0.27500000000000002</v>
      </c>
      <c r="T7">
        <v>0.29499999999999998</v>
      </c>
      <c r="U7">
        <v>0.29499999999999998</v>
      </c>
      <c r="V7">
        <v>0.32500000000000001</v>
      </c>
      <c r="W7">
        <v>0.375</v>
      </c>
      <c r="X7">
        <v>0.35499999999999998</v>
      </c>
      <c r="Y7">
        <v>0.36</v>
      </c>
      <c r="Z7">
        <v>0.38</v>
      </c>
      <c r="AA7">
        <v>0.37</v>
      </c>
      <c r="AB7">
        <v>0.39500000000000002</v>
      </c>
      <c r="AC7">
        <v>0.36</v>
      </c>
      <c r="AD7">
        <v>0.37</v>
      </c>
      <c r="AE7">
        <v>0.375</v>
      </c>
      <c r="AF7">
        <v>0.32500000000000001</v>
      </c>
      <c r="AG7">
        <v>0.35</v>
      </c>
      <c r="AH7">
        <v>0.33500000000000002</v>
      </c>
      <c r="AI7">
        <v>0.42</v>
      </c>
      <c r="AJ7">
        <v>0.40500000000000003</v>
      </c>
      <c r="AK7">
        <v>0.45500000000000002</v>
      </c>
      <c r="AL7">
        <v>0.47499999999999998</v>
      </c>
    </row>
    <row r="8" spans="1:40" x14ac:dyDescent="0.4">
      <c r="A8" t="s">
        <v>6</v>
      </c>
      <c r="B8">
        <v>0.15</v>
      </c>
      <c r="C8">
        <v>0.16500000000000001</v>
      </c>
      <c r="D8">
        <v>0.13500000000000001</v>
      </c>
      <c r="E8">
        <v>0.115</v>
      </c>
      <c r="F8">
        <v>0.09</v>
      </c>
      <c r="G8">
        <v>0.14499999999999999</v>
      </c>
      <c r="H8">
        <v>0.14000000000000001</v>
      </c>
      <c r="I8">
        <v>0.105</v>
      </c>
      <c r="J8">
        <v>0.13500000000000001</v>
      </c>
      <c r="K8">
        <v>0.115</v>
      </c>
      <c r="L8">
        <v>0.125</v>
      </c>
      <c r="M8">
        <v>0.115</v>
      </c>
      <c r="N8">
        <v>0.13500000000000001</v>
      </c>
      <c r="O8">
        <v>0.155</v>
      </c>
      <c r="P8">
        <v>0.16500000000000001</v>
      </c>
      <c r="Q8">
        <v>0.155</v>
      </c>
      <c r="R8">
        <v>0.13</v>
      </c>
      <c r="S8">
        <v>0.13500000000000001</v>
      </c>
      <c r="T8">
        <v>0.13</v>
      </c>
      <c r="U8">
        <v>0.13</v>
      </c>
      <c r="V8">
        <v>0.17</v>
      </c>
      <c r="W8">
        <v>0.125</v>
      </c>
      <c r="X8">
        <v>0.155</v>
      </c>
      <c r="Y8">
        <v>0.16</v>
      </c>
      <c r="Z8">
        <v>0.15</v>
      </c>
      <c r="AA8">
        <v>0.19</v>
      </c>
      <c r="AB8">
        <v>0.19</v>
      </c>
      <c r="AC8">
        <v>0.18</v>
      </c>
      <c r="AD8">
        <v>0.17499999999999999</v>
      </c>
      <c r="AE8">
        <v>0.23</v>
      </c>
      <c r="AF8">
        <v>0.22500000000000001</v>
      </c>
      <c r="AG8">
        <v>0.21</v>
      </c>
      <c r="AH8">
        <v>0.24</v>
      </c>
      <c r="AI8">
        <v>0.20499999999999999</v>
      </c>
      <c r="AJ8">
        <v>0.22500000000000001</v>
      </c>
      <c r="AK8">
        <v>0.19</v>
      </c>
      <c r="AL8">
        <v>0.16</v>
      </c>
    </row>
    <row r="9" spans="1:40" x14ac:dyDescent="0.4">
      <c r="A9" t="s">
        <v>10</v>
      </c>
      <c r="B9">
        <f>B6+B7</f>
        <v>0.71</v>
      </c>
      <c r="C9">
        <f t="shared" ref="C9:AL9" si="0">C6+C7</f>
        <v>0.72500000000000009</v>
      </c>
      <c r="D9">
        <f t="shared" si="0"/>
        <v>0.7</v>
      </c>
      <c r="E9">
        <f t="shared" si="0"/>
        <v>0.59500000000000008</v>
      </c>
      <c r="F9">
        <f t="shared" si="0"/>
        <v>0.60499999999999998</v>
      </c>
      <c r="G9">
        <f t="shared" si="0"/>
        <v>0.68500000000000005</v>
      </c>
      <c r="H9">
        <f t="shared" si="0"/>
        <v>0.73</v>
      </c>
      <c r="I9">
        <f t="shared" si="0"/>
        <v>0.77500000000000002</v>
      </c>
      <c r="J9">
        <f t="shared" si="0"/>
        <v>0.74</v>
      </c>
      <c r="K9">
        <f t="shared" si="0"/>
        <v>0.72499999999999998</v>
      </c>
      <c r="L9">
        <f t="shared" si="0"/>
        <v>0.75</v>
      </c>
      <c r="M9">
        <f t="shared" si="0"/>
        <v>0.77500000000000002</v>
      </c>
      <c r="N9">
        <f t="shared" si="0"/>
        <v>0.745</v>
      </c>
      <c r="O9">
        <f t="shared" si="0"/>
        <v>0.72499999999999998</v>
      </c>
      <c r="P9">
        <f t="shared" si="0"/>
        <v>0.7</v>
      </c>
      <c r="Q9">
        <f t="shared" si="0"/>
        <v>0.69</v>
      </c>
      <c r="R9">
        <f t="shared" si="0"/>
        <v>0.71</v>
      </c>
      <c r="S9">
        <f t="shared" si="0"/>
        <v>0.70500000000000007</v>
      </c>
      <c r="T9">
        <f t="shared" si="0"/>
        <v>0.71</v>
      </c>
      <c r="U9">
        <f t="shared" si="0"/>
        <v>0.69</v>
      </c>
      <c r="V9">
        <f t="shared" si="0"/>
        <v>0.67500000000000004</v>
      </c>
      <c r="W9">
        <f t="shared" si="0"/>
        <v>0.73</v>
      </c>
      <c r="X9">
        <f t="shared" si="0"/>
        <v>0.72</v>
      </c>
      <c r="Y9">
        <f t="shared" si="0"/>
        <v>0.69500000000000006</v>
      </c>
      <c r="Z9">
        <f t="shared" si="0"/>
        <v>0.70500000000000007</v>
      </c>
      <c r="AA9">
        <f t="shared" si="0"/>
        <v>0.68500000000000005</v>
      </c>
      <c r="AB9">
        <f t="shared" si="0"/>
        <v>0.69500000000000006</v>
      </c>
      <c r="AC9">
        <f t="shared" si="0"/>
        <v>0.68500000000000005</v>
      </c>
      <c r="AD9">
        <f t="shared" si="0"/>
        <v>0.67500000000000004</v>
      </c>
      <c r="AE9">
        <f t="shared" si="0"/>
        <v>0.62</v>
      </c>
      <c r="AF9">
        <f t="shared" si="0"/>
        <v>0.61</v>
      </c>
      <c r="AG9">
        <f t="shared" si="0"/>
        <v>0.64500000000000002</v>
      </c>
      <c r="AH9">
        <f t="shared" si="0"/>
        <v>0.60499999999999998</v>
      </c>
      <c r="AI9">
        <f t="shared" si="0"/>
        <v>0.65500000000000003</v>
      </c>
      <c r="AJ9">
        <f t="shared" si="0"/>
        <v>0.64</v>
      </c>
      <c r="AK9">
        <f t="shared" si="0"/>
        <v>0.68500000000000005</v>
      </c>
      <c r="AL9">
        <f t="shared" si="0"/>
        <v>0.71</v>
      </c>
    </row>
    <row r="10" spans="1:40" x14ac:dyDescent="0.4">
      <c r="A10" t="s">
        <v>5</v>
      </c>
      <c r="B10">
        <v>1.0847631029820299</v>
      </c>
      <c r="C10">
        <v>0.829515048444048</v>
      </c>
      <c r="D10">
        <v>0.63772075468365397</v>
      </c>
      <c r="E10">
        <v>1.0572890733553699</v>
      </c>
      <c r="F10">
        <v>1.4320271639664901</v>
      </c>
      <c r="G10">
        <v>1.0589540829528199</v>
      </c>
      <c r="H10">
        <v>0.94851792541579605</v>
      </c>
      <c r="I10">
        <v>0.996680846447209</v>
      </c>
      <c r="J10">
        <v>0.99336691138978195</v>
      </c>
      <c r="K10">
        <v>1.0774531313806699</v>
      </c>
      <c r="L10">
        <v>1.1313779829595301</v>
      </c>
      <c r="M10">
        <v>0.95600412022007597</v>
      </c>
      <c r="N10">
        <v>1.05134546340708</v>
      </c>
      <c r="O10">
        <v>1.0008475732945099</v>
      </c>
      <c r="P10">
        <v>0.90730876610331301</v>
      </c>
      <c r="Q10">
        <v>1.1712825210631801</v>
      </c>
      <c r="R10">
        <v>0.85134116874559795</v>
      </c>
      <c r="S10">
        <v>1.0680392160355201</v>
      </c>
      <c r="T10">
        <v>1.0676031774971899</v>
      </c>
      <c r="U10">
        <v>1.0858882141134401</v>
      </c>
      <c r="V10">
        <v>1.1361878079113099</v>
      </c>
      <c r="W10">
        <v>0.97900667277350895</v>
      </c>
      <c r="X10">
        <v>1.02098791135394</v>
      </c>
      <c r="Y10">
        <v>1.0333818809264901</v>
      </c>
      <c r="Z10">
        <v>1.0575134462756399</v>
      </c>
      <c r="AA10">
        <v>1.12183201298982</v>
      </c>
      <c r="AB10">
        <v>0.95109498889793798</v>
      </c>
      <c r="AC10">
        <v>1.05346995578136</v>
      </c>
      <c r="AD10">
        <v>1.11789595232669</v>
      </c>
      <c r="AE10">
        <v>0.93064994909812604</v>
      </c>
      <c r="AF10">
        <v>0.98942159064894997</v>
      </c>
      <c r="AG10">
        <v>0.97536879027082202</v>
      </c>
      <c r="AH10">
        <v>1.05839891616779</v>
      </c>
      <c r="AI10">
        <v>1.01787099240587</v>
      </c>
      <c r="AJ10">
        <v>1.0000280848812</v>
      </c>
      <c r="AK10">
        <v>1.0302766080885399</v>
      </c>
      <c r="AL10">
        <v>1.09402480737755</v>
      </c>
      <c r="AM10">
        <f>PRODUCT(B10:AL10)</f>
        <v>2.0186235935030519</v>
      </c>
      <c r="AN10">
        <f>AVERAGE(B10:AL10)/_xlfn.STDEV.S(B10:AL10)</f>
        <v>8.5460804529406573</v>
      </c>
    </row>
    <row r="11" spans="1:40" x14ac:dyDescent="0.4">
      <c r="A11" t="s">
        <v>2</v>
      </c>
      <c r="B11">
        <v>1.0814631029820301</v>
      </c>
      <c r="C11">
        <v>0.827515048444048</v>
      </c>
      <c r="D11">
        <v>0.63492075468365405</v>
      </c>
      <c r="E11">
        <v>1.05258907335537</v>
      </c>
      <c r="F11">
        <v>1.42852716396649</v>
      </c>
      <c r="G11">
        <v>1.0554540829528201</v>
      </c>
      <c r="H11">
        <v>0.94641792541579595</v>
      </c>
      <c r="I11">
        <v>0.99498084644720897</v>
      </c>
      <c r="J11">
        <v>0.99066691138978202</v>
      </c>
      <c r="K11">
        <v>1.0750531313806699</v>
      </c>
      <c r="L11">
        <v>1.12957798295953</v>
      </c>
      <c r="M11">
        <v>0.95430412022007605</v>
      </c>
      <c r="N11">
        <v>1.0487454634070801</v>
      </c>
      <c r="O11">
        <v>0.99834757329450996</v>
      </c>
      <c r="P11">
        <v>0.90490876610331294</v>
      </c>
      <c r="Q11">
        <v>1.16968252106318</v>
      </c>
      <c r="R11">
        <v>0.84904116874559799</v>
      </c>
      <c r="S11">
        <v>1.0658392160355199</v>
      </c>
      <c r="T11">
        <v>1.0657031774971899</v>
      </c>
      <c r="U11">
        <v>1.08398821411344</v>
      </c>
      <c r="V11">
        <v>1.13338780791131</v>
      </c>
      <c r="W11">
        <v>0.97680667277350897</v>
      </c>
      <c r="X11">
        <v>1.0195879113539399</v>
      </c>
      <c r="Y11">
        <v>1.03208188092649</v>
      </c>
      <c r="Z11">
        <v>1.05491344627564</v>
      </c>
      <c r="AA11">
        <v>1.11983201298982</v>
      </c>
      <c r="AB11">
        <v>0.94909498889793797</v>
      </c>
      <c r="AC11">
        <v>1.0510699557813601</v>
      </c>
      <c r="AD11">
        <v>1.1150959523266899</v>
      </c>
      <c r="AE11">
        <v>0.92714994909812598</v>
      </c>
      <c r="AF11">
        <v>0.98712159064895</v>
      </c>
      <c r="AG11">
        <v>0.97316879027082204</v>
      </c>
      <c r="AH11">
        <v>1.0555989161677899</v>
      </c>
      <c r="AI11">
        <v>1.01527099240587</v>
      </c>
      <c r="AJ11">
        <v>0.997828084881204</v>
      </c>
      <c r="AK11">
        <v>1.02767660808854</v>
      </c>
      <c r="AL11">
        <v>1.09002480737755</v>
      </c>
      <c r="AM11">
        <f>PRODUCT(B11:AL11)</f>
        <v>1.8447841865760544</v>
      </c>
      <c r="AN11">
        <f>AVERAGE(B11:AL11)/_xlfn.STDEV.S(B11:AL11)</f>
        <v>8.5338458621981967</v>
      </c>
    </row>
    <row r="13" spans="1:40" x14ac:dyDescent="0.4">
      <c r="A13">
        <v>1</v>
      </c>
      <c r="B13">
        <v>0.12</v>
      </c>
      <c r="C13">
        <v>0.11</v>
      </c>
      <c r="D13">
        <v>0.15</v>
      </c>
      <c r="E13">
        <v>0.26</v>
      </c>
      <c r="F13">
        <v>0.26</v>
      </c>
      <c r="G13">
        <v>0.1</v>
      </c>
      <c r="H13">
        <v>0.08</v>
      </c>
      <c r="I13">
        <v>0.09</v>
      </c>
      <c r="J13">
        <v>0.09</v>
      </c>
      <c r="K13">
        <v>0.12</v>
      </c>
      <c r="L13">
        <v>0.08</v>
      </c>
      <c r="M13">
        <v>0.08</v>
      </c>
      <c r="N13">
        <v>0.06</v>
      </c>
      <c r="O13">
        <v>7.0000000000000007E-2</v>
      </c>
      <c r="P13">
        <v>0.12</v>
      </c>
      <c r="Q13">
        <v>0.15</v>
      </c>
      <c r="R13">
        <v>0.09</v>
      </c>
      <c r="S13">
        <v>0.09</v>
      </c>
      <c r="T13">
        <v>7.0000000000000007E-2</v>
      </c>
      <c r="U13">
        <v>0.1</v>
      </c>
      <c r="V13">
        <v>0.08</v>
      </c>
      <c r="W13">
        <v>0.1</v>
      </c>
      <c r="X13">
        <v>0.08</v>
      </c>
      <c r="Y13">
        <v>0.09</v>
      </c>
      <c r="Z13">
        <v>0.12</v>
      </c>
      <c r="AA13">
        <v>0.1</v>
      </c>
      <c r="AB13">
        <v>0.06</v>
      </c>
      <c r="AC13">
        <v>0.09</v>
      </c>
      <c r="AD13">
        <v>0.13</v>
      </c>
      <c r="AE13">
        <v>0.15</v>
      </c>
      <c r="AF13">
        <v>0.16</v>
      </c>
      <c r="AG13">
        <v>0.15</v>
      </c>
      <c r="AH13">
        <v>0.15</v>
      </c>
      <c r="AI13">
        <v>0.15</v>
      </c>
      <c r="AJ13">
        <v>0.16</v>
      </c>
      <c r="AK13">
        <v>0.13</v>
      </c>
      <c r="AL13">
        <v>0.12</v>
      </c>
    </row>
    <row r="14" spans="1:40" x14ac:dyDescent="0.4">
      <c r="A14">
        <v>2</v>
      </c>
      <c r="B14">
        <v>0.49</v>
      </c>
      <c r="C14">
        <v>0.46</v>
      </c>
      <c r="D14">
        <v>0.53</v>
      </c>
      <c r="E14">
        <v>0.63</v>
      </c>
      <c r="F14">
        <v>0.57999999999999996</v>
      </c>
      <c r="G14">
        <v>0.56999999999999995</v>
      </c>
      <c r="H14">
        <v>0.56999999999999995</v>
      </c>
      <c r="I14">
        <v>0.59</v>
      </c>
      <c r="J14">
        <v>0.56000000000000005</v>
      </c>
      <c r="K14">
        <v>0.54</v>
      </c>
      <c r="L14">
        <v>0.54</v>
      </c>
      <c r="M14">
        <v>0.5</v>
      </c>
      <c r="N14">
        <v>0.6</v>
      </c>
      <c r="O14">
        <v>0.5</v>
      </c>
      <c r="P14">
        <v>0.45</v>
      </c>
      <c r="Q14">
        <v>0.48</v>
      </c>
      <c r="R14">
        <v>0.44</v>
      </c>
      <c r="S14">
        <v>0.43</v>
      </c>
      <c r="T14">
        <v>0.43</v>
      </c>
      <c r="U14">
        <v>0.47</v>
      </c>
      <c r="V14">
        <v>0.39</v>
      </c>
      <c r="W14">
        <v>0.33</v>
      </c>
      <c r="X14">
        <v>0.36</v>
      </c>
      <c r="Y14">
        <v>0.38</v>
      </c>
      <c r="Z14">
        <v>0.34</v>
      </c>
      <c r="AA14">
        <v>0.28999999999999998</v>
      </c>
      <c r="AB14">
        <v>0.24</v>
      </c>
      <c r="AC14">
        <v>0.3</v>
      </c>
      <c r="AD14">
        <v>0.3</v>
      </c>
      <c r="AE14">
        <v>0.23</v>
      </c>
      <c r="AF14">
        <v>0.26</v>
      </c>
      <c r="AG14">
        <v>0.28999999999999998</v>
      </c>
      <c r="AH14">
        <v>0.28999999999999998</v>
      </c>
      <c r="AI14">
        <v>0.21</v>
      </c>
      <c r="AJ14">
        <v>0.23</v>
      </c>
      <c r="AK14">
        <v>0.26</v>
      </c>
      <c r="AL14">
        <v>0.23</v>
      </c>
    </row>
    <row r="15" spans="1:40" x14ac:dyDescent="0.4">
      <c r="A15">
        <v>3</v>
      </c>
      <c r="B15">
        <v>0.23</v>
      </c>
      <c r="C15">
        <v>0.32</v>
      </c>
      <c r="D15">
        <v>0.2</v>
      </c>
      <c r="E15">
        <v>0.03</v>
      </c>
      <c r="F15">
        <v>0.06</v>
      </c>
      <c r="G15">
        <v>0.21</v>
      </c>
      <c r="H15">
        <v>0.25</v>
      </c>
      <c r="I15">
        <v>0.23</v>
      </c>
      <c r="J15">
        <v>0.22</v>
      </c>
      <c r="K15">
        <v>0.21</v>
      </c>
      <c r="L15">
        <v>0.23</v>
      </c>
      <c r="M15">
        <v>0.3</v>
      </c>
      <c r="N15">
        <v>0.24</v>
      </c>
      <c r="O15">
        <v>0.32</v>
      </c>
      <c r="P15">
        <v>0.32</v>
      </c>
      <c r="Q15">
        <v>0.27</v>
      </c>
      <c r="R15">
        <v>0.39</v>
      </c>
      <c r="S15">
        <v>0.37</v>
      </c>
      <c r="T15">
        <v>0.36</v>
      </c>
      <c r="U15">
        <v>0.34</v>
      </c>
      <c r="V15">
        <v>0.4</v>
      </c>
      <c r="W15">
        <v>0.44</v>
      </c>
      <c r="X15">
        <v>0.43</v>
      </c>
      <c r="Y15">
        <v>0.41</v>
      </c>
      <c r="Z15">
        <v>0.47</v>
      </c>
      <c r="AA15">
        <v>0.51</v>
      </c>
      <c r="AB15">
        <v>0.55000000000000004</v>
      </c>
      <c r="AC15">
        <v>0.49</v>
      </c>
      <c r="AD15">
        <v>0.48</v>
      </c>
      <c r="AE15">
        <v>0.46</v>
      </c>
      <c r="AF15">
        <v>0.42</v>
      </c>
      <c r="AG15">
        <v>0.37</v>
      </c>
      <c r="AH15">
        <v>0.36</v>
      </c>
      <c r="AI15">
        <v>0.46</v>
      </c>
      <c r="AJ15">
        <v>0.45</v>
      </c>
      <c r="AK15">
        <v>0.46</v>
      </c>
      <c r="AL15">
        <v>0.45</v>
      </c>
    </row>
    <row r="16" spans="1:40" x14ac:dyDescent="0.4">
      <c r="A16" t="s">
        <v>6</v>
      </c>
      <c r="B16">
        <v>0.16</v>
      </c>
      <c r="C16">
        <v>0.11</v>
      </c>
      <c r="D16">
        <v>0.12</v>
      </c>
      <c r="E16">
        <v>0.08</v>
      </c>
      <c r="F16">
        <v>0.1</v>
      </c>
      <c r="G16">
        <v>0.12</v>
      </c>
      <c r="H16">
        <v>0.1</v>
      </c>
      <c r="I16">
        <v>0.09</v>
      </c>
      <c r="J16">
        <v>0.13</v>
      </c>
      <c r="K16">
        <v>0.13</v>
      </c>
      <c r="L16">
        <v>0.15</v>
      </c>
      <c r="M16">
        <v>0.12</v>
      </c>
      <c r="N16">
        <v>0.1</v>
      </c>
      <c r="O16">
        <v>0.11</v>
      </c>
      <c r="P16">
        <v>0.11</v>
      </c>
      <c r="Q16">
        <v>0.1</v>
      </c>
      <c r="R16">
        <v>0.08</v>
      </c>
      <c r="S16">
        <v>0.11</v>
      </c>
      <c r="T16">
        <v>0.14000000000000001</v>
      </c>
      <c r="U16">
        <v>0.09</v>
      </c>
      <c r="V16">
        <v>0.13</v>
      </c>
      <c r="W16">
        <v>0.13</v>
      </c>
      <c r="X16">
        <v>0.13</v>
      </c>
      <c r="Y16">
        <v>0.12</v>
      </c>
      <c r="Z16">
        <v>7.0000000000000007E-2</v>
      </c>
      <c r="AA16">
        <v>0.1</v>
      </c>
      <c r="AB16">
        <v>0.15</v>
      </c>
      <c r="AC16">
        <v>0.12</v>
      </c>
      <c r="AD16">
        <v>0.09</v>
      </c>
      <c r="AE16">
        <v>0.16</v>
      </c>
      <c r="AF16">
        <v>0.16</v>
      </c>
      <c r="AG16">
        <v>0.19</v>
      </c>
      <c r="AH16">
        <v>0.2</v>
      </c>
      <c r="AI16">
        <v>0.18</v>
      </c>
      <c r="AJ16">
        <v>0.16</v>
      </c>
      <c r="AK16">
        <v>0.15</v>
      </c>
      <c r="AL16">
        <v>0.2</v>
      </c>
    </row>
    <row r="18" spans="1:40" x14ac:dyDescent="0.4">
      <c r="A18" t="s">
        <v>7</v>
      </c>
      <c r="B18">
        <v>1.11329769654705</v>
      </c>
      <c r="C18">
        <v>0.81646914759506295</v>
      </c>
      <c r="D18">
        <v>0.64039976547662902</v>
      </c>
      <c r="E18">
        <v>1.0603633812315401</v>
      </c>
      <c r="F18">
        <v>1.4149175382633401</v>
      </c>
      <c r="G18">
        <v>1.06395569502027</v>
      </c>
      <c r="H18">
        <v>0.955763140436382</v>
      </c>
      <c r="I18">
        <v>0.97999919919245304</v>
      </c>
      <c r="J18">
        <v>0.98682745516510495</v>
      </c>
      <c r="K18">
        <v>1.07823265552901</v>
      </c>
      <c r="L18">
        <v>1.10627112773656</v>
      </c>
      <c r="M18">
        <v>0.96374967048331195</v>
      </c>
      <c r="N18">
        <v>1.0397319990308</v>
      </c>
      <c r="O18">
        <v>1.0140465989090499</v>
      </c>
      <c r="P18">
        <v>0.914922194462505</v>
      </c>
      <c r="Q18">
        <v>1.1838721122047999</v>
      </c>
      <c r="R18">
        <v>0.85009502454760799</v>
      </c>
      <c r="S18">
        <v>1.0566390109488799</v>
      </c>
      <c r="T18">
        <v>1.08283068630012</v>
      </c>
      <c r="U18">
        <v>1.0932735688699999</v>
      </c>
      <c r="V18">
        <v>1.14022526926268</v>
      </c>
      <c r="W18">
        <v>0.98228335618537699</v>
      </c>
      <c r="X18">
        <v>1.0266529329021301</v>
      </c>
      <c r="Y18">
        <v>1.0344157829664999</v>
      </c>
      <c r="Z18">
        <v>1.0584135791931699</v>
      </c>
      <c r="AA18">
        <v>1.14094776295505</v>
      </c>
      <c r="AB18">
        <v>0.95449448612733201</v>
      </c>
      <c r="AC18">
        <v>1.0505545681777599</v>
      </c>
      <c r="AD18">
        <v>1.0936836126277101</v>
      </c>
      <c r="AE18">
        <v>0.94012355709488205</v>
      </c>
      <c r="AF18">
        <v>0.98778266955321603</v>
      </c>
      <c r="AG18">
        <v>0.97050146410765403</v>
      </c>
      <c r="AH18">
        <v>1.0584122241557701</v>
      </c>
      <c r="AI18">
        <v>1.0268991240275001</v>
      </c>
      <c r="AJ18">
        <v>0.998953343520112</v>
      </c>
      <c r="AK18">
        <v>1.0318744313113699</v>
      </c>
      <c r="AL18">
        <v>1.08904047867953</v>
      </c>
      <c r="AM18">
        <f>PRODUCT(B18:AL18)</f>
        <v>2.0768797569524144</v>
      </c>
      <c r="AN18">
        <f>AVERAGE(B18:AL18)/_xlfn.STDEV.S(B18:AL18)</f>
        <v>8.627209742755694</v>
      </c>
    </row>
    <row r="19" spans="1:40" x14ac:dyDescent="0.4">
      <c r="A19" t="s">
        <v>2</v>
      </c>
      <c r="B19">
        <v>1.10956436321372</v>
      </c>
      <c r="C19">
        <v>0.81340248092839595</v>
      </c>
      <c r="D19">
        <v>0.63719976547662904</v>
      </c>
      <c r="E19">
        <v>1.05503004789821</v>
      </c>
      <c r="F19">
        <v>1.4110508715966701</v>
      </c>
      <c r="G19">
        <v>1.0603556950202699</v>
      </c>
      <c r="H19">
        <v>0.95322980710304805</v>
      </c>
      <c r="I19">
        <v>0.97786586585912005</v>
      </c>
      <c r="J19">
        <v>0.98389412183177105</v>
      </c>
      <c r="K19">
        <v>1.0756993221956801</v>
      </c>
      <c r="L19">
        <v>1.1037377944032301</v>
      </c>
      <c r="M19">
        <v>0.96188300381664604</v>
      </c>
      <c r="N19">
        <v>1.0370653323641399</v>
      </c>
      <c r="O19">
        <v>1.0117799322423799</v>
      </c>
      <c r="P19">
        <v>0.91252219446250504</v>
      </c>
      <c r="Q19">
        <v>1.18160544553814</v>
      </c>
      <c r="R19">
        <v>0.84716169121427398</v>
      </c>
      <c r="S19">
        <v>1.05423901094888</v>
      </c>
      <c r="T19">
        <v>1.08096401963346</v>
      </c>
      <c r="U19">
        <v>1.09087356887</v>
      </c>
      <c r="V19">
        <v>1.1372919359293501</v>
      </c>
      <c r="W19">
        <v>0.98001668951871002</v>
      </c>
      <c r="X19">
        <v>1.0253195995688</v>
      </c>
      <c r="Y19">
        <v>1.0330824496331701</v>
      </c>
      <c r="Z19">
        <v>1.05521357919317</v>
      </c>
      <c r="AA19">
        <v>1.13868109628838</v>
      </c>
      <c r="AB19">
        <v>0.95169448612733198</v>
      </c>
      <c r="AC19">
        <v>1.04788790151109</v>
      </c>
      <c r="AD19">
        <v>1.09035027929438</v>
      </c>
      <c r="AE19">
        <v>0.93679022376154797</v>
      </c>
      <c r="AF19">
        <v>0.98538266955321596</v>
      </c>
      <c r="AG19">
        <v>0.96810146410765396</v>
      </c>
      <c r="AH19">
        <v>1.05547889082244</v>
      </c>
      <c r="AI19">
        <v>1.0244991240275001</v>
      </c>
      <c r="AJ19">
        <v>0.996953343520112</v>
      </c>
      <c r="AK19">
        <v>1.02880776464471</v>
      </c>
      <c r="AL19">
        <v>1.0849071453462</v>
      </c>
      <c r="AM19">
        <f>PRODUCT(B19:AL19)</f>
        <v>1.8790902919372423</v>
      </c>
      <c r="AN19">
        <f>AVERAGE(B19:AL19)/_xlfn.STDEV.S(B19:AL19)</f>
        <v>8.611364724817717</v>
      </c>
    </row>
    <row r="21" spans="1:40" x14ac:dyDescent="0.4">
      <c r="A21">
        <v>1</v>
      </c>
      <c r="B21">
        <v>0.10666666666666599</v>
      </c>
      <c r="C21">
        <v>9.3333333333333296E-2</v>
      </c>
      <c r="D21">
        <v>0.146666666666666</v>
      </c>
      <c r="E21">
        <v>0.266666666666666</v>
      </c>
      <c r="F21">
        <v>0.18666666666666601</v>
      </c>
      <c r="G21">
        <v>5.3333333333333302E-2</v>
      </c>
      <c r="H21">
        <v>5.3333333333333302E-2</v>
      </c>
      <c r="I21">
        <v>5.3333333333333302E-2</v>
      </c>
      <c r="J21">
        <v>6.6666666666666596E-2</v>
      </c>
      <c r="K21">
        <v>0.10666666666666599</v>
      </c>
      <c r="L21">
        <v>6.6666666666666596E-2</v>
      </c>
      <c r="M21">
        <v>0.04</v>
      </c>
      <c r="N21">
        <v>5.3333333333333302E-2</v>
      </c>
      <c r="O21">
        <v>0.08</v>
      </c>
      <c r="P21">
        <v>0.10666666666666599</v>
      </c>
      <c r="Q21">
        <v>9.3333333333333296E-2</v>
      </c>
      <c r="R21">
        <v>9.3333333333333296E-2</v>
      </c>
      <c r="S21">
        <v>9.3333333333333296E-2</v>
      </c>
      <c r="T21">
        <v>6.6666666666666596E-2</v>
      </c>
      <c r="U21">
        <v>6.6666666666666596E-2</v>
      </c>
      <c r="V21">
        <v>5.3333333333333302E-2</v>
      </c>
      <c r="W21">
        <v>5.3333333333333302E-2</v>
      </c>
      <c r="X21">
        <v>6.6666666666666596E-2</v>
      </c>
      <c r="Y21">
        <v>0.04</v>
      </c>
      <c r="Z21">
        <v>0.10666666666666599</v>
      </c>
      <c r="AA21">
        <v>0.08</v>
      </c>
      <c r="AB21">
        <v>5.3333333333333302E-2</v>
      </c>
      <c r="AC21">
        <v>9.3333333333333296E-2</v>
      </c>
      <c r="AD21">
        <v>9.3333333333333296E-2</v>
      </c>
      <c r="AE21">
        <v>0.12</v>
      </c>
      <c r="AF21">
        <v>0.146666666666666</v>
      </c>
      <c r="AG21">
        <v>0.133333333333333</v>
      </c>
      <c r="AH21">
        <v>0.16</v>
      </c>
      <c r="AI21">
        <v>0.17333333333333301</v>
      </c>
      <c r="AJ21">
        <v>0.21333333333333299</v>
      </c>
      <c r="AK21">
        <v>0.133333333333333</v>
      </c>
      <c r="AL21">
        <v>0.10666666666666599</v>
      </c>
    </row>
    <row r="22" spans="1:40" x14ac:dyDescent="0.4">
      <c r="A22">
        <v>2</v>
      </c>
      <c r="B22">
        <v>0.50666666666666604</v>
      </c>
      <c r="C22">
        <v>0.44</v>
      </c>
      <c r="D22">
        <v>0.54666666666666597</v>
      </c>
      <c r="E22">
        <v>0.6</v>
      </c>
      <c r="F22">
        <v>0.64</v>
      </c>
      <c r="G22">
        <v>0.6</v>
      </c>
      <c r="H22">
        <v>0.586666666666666</v>
      </c>
      <c r="I22">
        <v>0.6</v>
      </c>
      <c r="J22">
        <v>0.57333333333333303</v>
      </c>
      <c r="K22">
        <v>0.50666666666666604</v>
      </c>
      <c r="L22">
        <v>0.6</v>
      </c>
      <c r="M22">
        <v>0.54666666666666597</v>
      </c>
      <c r="N22" s="2">
        <v>0.61333333333333295</v>
      </c>
      <c r="O22">
        <v>0.46666666666666601</v>
      </c>
      <c r="P22">
        <v>0.48</v>
      </c>
      <c r="Q22">
        <v>0.53333333333333299</v>
      </c>
      <c r="R22">
        <v>0.42666666666666597</v>
      </c>
      <c r="S22">
        <v>0.413333333333333</v>
      </c>
      <c r="T22">
        <v>0.413333333333333</v>
      </c>
      <c r="U22">
        <v>0.49333333333333301</v>
      </c>
      <c r="V22">
        <v>0.4</v>
      </c>
      <c r="W22">
        <v>0.34666666666666601</v>
      </c>
      <c r="X22">
        <v>0.38666666666666599</v>
      </c>
      <c r="Y22">
        <v>0.38666666666666599</v>
      </c>
      <c r="Z22">
        <v>0.34666666666666601</v>
      </c>
      <c r="AA22">
        <v>0.266666666666666</v>
      </c>
      <c r="AB22">
        <v>0.24</v>
      </c>
      <c r="AC22">
        <v>0.266666666666666</v>
      </c>
      <c r="AD22">
        <v>0.293333333333333</v>
      </c>
      <c r="AE22">
        <v>0.24</v>
      </c>
      <c r="AF22">
        <v>0.28000000000000003</v>
      </c>
      <c r="AG22">
        <v>0.28000000000000003</v>
      </c>
      <c r="AH22">
        <v>0.293333333333333</v>
      </c>
      <c r="AI22">
        <v>0.22666666666666599</v>
      </c>
      <c r="AJ22">
        <v>0.25333333333333302</v>
      </c>
      <c r="AK22">
        <v>0.24</v>
      </c>
      <c r="AL22">
        <v>0.22666666666666599</v>
      </c>
    </row>
    <row r="23" spans="1:40" x14ac:dyDescent="0.4">
      <c r="A23">
        <v>3</v>
      </c>
      <c r="B23">
        <v>0.24</v>
      </c>
      <c r="C23">
        <v>0.34666666666666601</v>
      </c>
      <c r="D23">
        <v>0.2</v>
      </c>
      <c r="E23">
        <v>0.04</v>
      </c>
      <c r="F23">
        <v>6.6666666666666596E-2</v>
      </c>
      <c r="G23">
        <v>0.24</v>
      </c>
      <c r="H23">
        <v>0.28000000000000003</v>
      </c>
      <c r="I23">
        <v>0.266666666666666</v>
      </c>
      <c r="J23">
        <v>0.24</v>
      </c>
      <c r="K23">
        <v>0.24</v>
      </c>
      <c r="L23">
        <v>0.24</v>
      </c>
      <c r="M23">
        <v>0.293333333333333</v>
      </c>
      <c r="N23">
        <v>0.24</v>
      </c>
      <c r="O23">
        <v>0.34666666666666601</v>
      </c>
      <c r="P23">
        <v>0.30666666666666598</v>
      </c>
      <c r="Q23">
        <v>0.28000000000000003</v>
      </c>
      <c r="R23">
        <v>0.42666666666666597</v>
      </c>
      <c r="S23">
        <v>0.42666666666666597</v>
      </c>
      <c r="T23">
        <v>0.4</v>
      </c>
      <c r="U23">
        <v>0.37333333333333302</v>
      </c>
      <c r="V23">
        <v>0.413333333333333</v>
      </c>
      <c r="W23">
        <v>0.46666666666666601</v>
      </c>
      <c r="X23">
        <v>0.413333333333333</v>
      </c>
      <c r="Y23">
        <v>0.44</v>
      </c>
      <c r="Z23">
        <v>0.46666666666666601</v>
      </c>
      <c r="AA23">
        <v>0.56000000000000005</v>
      </c>
      <c r="AB23">
        <v>0.54666666666666597</v>
      </c>
      <c r="AC23">
        <v>0.50666666666666604</v>
      </c>
      <c r="AD23">
        <v>0.53333333333333299</v>
      </c>
      <c r="AE23">
        <v>0.49333333333333301</v>
      </c>
      <c r="AF23">
        <v>0.45333333333333298</v>
      </c>
      <c r="AG23">
        <v>0.37333333333333302</v>
      </c>
      <c r="AH23">
        <v>0.37333333333333302</v>
      </c>
      <c r="AI23">
        <v>0.38666666666666599</v>
      </c>
      <c r="AJ23">
        <v>0.36</v>
      </c>
      <c r="AK23">
        <v>0.50666666666666604</v>
      </c>
      <c r="AL23">
        <v>0.45333333333333298</v>
      </c>
    </row>
    <row r="24" spans="1:40" x14ac:dyDescent="0.4">
      <c r="A24" t="s">
        <v>6</v>
      </c>
      <c r="B24">
        <v>0.146666666666666</v>
      </c>
      <c r="C24">
        <v>0.12</v>
      </c>
      <c r="D24">
        <v>0.10666666666666599</v>
      </c>
      <c r="E24">
        <v>9.3333333333333296E-2</v>
      </c>
      <c r="F24">
        <v>0.10666666666666599</v>
      </c>
      <c r="G24">
        <v>0.10666666666666599</v>
      </c>
      <c r="H24">
        <v>0.08</v>
      </c>
      <c r="I24">
        <v>0.08</v>
      </c>
      <c r="J24">
        <v>0.12</v>
      </c>
      <c r="K24">
        <v>0.146666666666666</v>
      </c>
      <c r="L24">
        <v>9.3333333333333296E-2</v>
      </c>
      <c r="M24">
        <v>0.12</v>
      </c>
      <c r="N24">
        <v>9.3333333333333296E-2</v>
      </c>
      <c r="O24">
        <v>0.10666666666666599</v>
      </c>
      <c r="P24">
        <v>0.10666666666666599</v>
      </c>
      <c r="Q24">
        <v>9.3333333333333296E-2</v>
      </c>
      <c r="R24">
        <v>5.3333333333333302E-2</v>
      </c>
      <c r="S24">
        <v>6.6666666666666596E-2</v>
      </c>
      <c r="T24">
        <v>0.12</v>
      </c>
      <c r="U24">
        <v>6.6666666666666596E-2</v>
      </c>
      <c r="V24">
        <v>0.133333333333333</v>
      </c>
      <c r="W24">
        <v>0.133333333333333</v>
      </c>
      <c r="X24">
        <v>0.133333333333333</v>
      </c>
      <c r="Y24">
        <v>0.133333333333333</v>
      </c>
      <c r="Z24">
        <v>0.08</v>
      </c>
      <c r="AA24">
        <v>9.3333333333333296E-2</v>
      </c>
      <c r="AB24">
        <v>0.16</v>
      </c>
      <c r="AC24">
        <v>0.133333333333333</v>
      </c>
      <c r="AD24">
        <v>0.08</v>
      </c>
      <c r="AE24">
        <v>0.146666666666666</v>
      </c>
      <c r="AF24">
        <v>0.12</v>
      </c>
      <c r="AG24">
        <v>0.21333333333333299</v>
      </c>
      <c r="AH24">
        <v>0.17333333333333301</v>
      </c>
      <c r="AI24">
        <v>0.21333333333333299</v>
      </c>
      <c r="AJ24">
        <v>0.17333333333333301</v>
      </c>
      <c r="AK24">
        <v>0.12</v>
      </c>
      <c r="AL24">
        <v>0.21333333333333299</v>
      </c>
    </row>
    <row r="26" spans="1:40" x14ac:dyDescent="0.4">
      <c r="A26" t="s">
        <v>9</v>
      </c>
      <c r="B26">
        <v>1.1201648362065</v>
      </c>
      <c r="C26">
        <v>0.80904355091699598</v>
      </c>
      <c r="D26">
        <v>0.65240065801129998</v>
      </c>
      <c r="E26">
        <v>1.04685415459922</v>
      </c>
      <c r="F26">
        <v>1.4419844103058601</v>
      </c>
      <c r="G26">
        <v>1.0945626459197599</v>
      </c>
      <c r="H26">
        <v>0.94385297210617103</v>
      </c>
      <c r="I26">
        <v>0.98131192467679096</v>
      </c>
      <c r="J26">
        <v>1.0024612609474199</v>
      </c>
      <c r="K26">
        <v>1.0892818329985201</v>
      </c>
      <c r="L26">
        <v>1.1166431277445501</v>
      </c>
      <c r="M26">
        <v>0.94393821377916698</v>
      </c>
      <c r="N26">
        <v>1.0400249794554399</v>
      </c>
      <c r="O26">
        <v>1.0421055444151599</v>
      </c>
      <c r="P26">
        <v>0.93219683875355297</v>
      </c>
      <c r="Q26">
        <v>1.1997271301546699</v>
      </c>
      <c r="R26">
        <v>0.86278864540749101</v>
      </c>
      <c r="S26">
        <v>1.0628794776257899</v>
      </c>
      <c r="T26">
        <v>1.06780056311866</v>
      </c>
      <c r="U26">
        <v>1.1036514631309799</v>
      </c>
      <c r="V26">
        <v>1.1354601589906499</v>
      </c>
      <c r="W26">
        <v>0.99312629848604195</v>
      </c>
      <c r="X26">
        <v>1.0236000350783501</v>
      </c>
      <c r="Y26">
        <v>1.03635969768609</v>
      </c>
      <c r="Z26">
        <v>1.0749836521279901</v>
      </c>
      <c r="AA26">
        <v>1.1311744430305699</v>
      </c>
      <c r="AB26">
        <v>0.97589270568040798</v>
      </c>
      <c r="AC26">
        <v>1.03778117569519</v>
      </c>
      <c r="AD26">
        <v>1.1193659374410001</v>
      </c>
      <c r="AE26">
        <v>0.97019368379326898</v>
      </c>
      <c r="AF26">
        <v>0.99143268834322595</v>
      </c>
      <c r="AG26">
        <v>0.95003299836057198</v>
      </c>
      <c r="AH26">
        <v>1.0596716419069101</v>
      </c>
      <c r="AI26">
        <v>1.02124746741282</v>
      </c>
      <c r="AJ26">
        <v>0.99050835635245904</v>
      </c>
      <c r="AK26">
        <v>1.0175341900844601</v>
      </c>
      <c r="AL26">
        <v>1.09916725426748</v>
      </c>
      <c r="AM26">
        <f>PRODUCT(B26:AL26)</f>
        <v>2.4646266985284391</v>
      </c>
      <c r="AN26">
        <f>AVERAGE(B26:AL26)/_xlfn.STDEV.S(B26:AL26)</f>
        <v>8.4904697755783776</v>
      </c>
    </row>
    <row r="27" spans="1:40" x14ac:dyDescent="0.4">
      <c r="A27" t="s">
        <v>2</v>
      </c>
      <c r="B27">
        <v>1.1157648362065</v>
      </c>
      <c r="C27">
        <v>0.805843550916996</v>
      </c>
      <c r="D27">
        <v>0.6492006580113</v>
      </c>
      <c r="E27">
        <v>1.04085415459922</v>
      </c>
      <c r="F27">
        <v>1.4383844103058601</v>
      </c>
      <c r="G27">
        <v>1.0909626459197601</v>
      </c>
      <c r="H27">
        <v>0.94065297210617105</v>
      </c>
      <c r="I27">
        <v>0.978911924676791</v>
      </c>
      <c r="J27">
        <v>0.99826126094742496</v>
      </c>
      <c r="K27">
        <v>1.08628183299852</v>
      </c>
      <c r="L27">
        <v>1.11344312774455</v>
      </c>
      <c r="M27">
        <v>0.941738213779167</v>
      </c>
      <c r="N27">
        <v>1.03722497945544</v>
      </c>
      <c r="O27">
        <v>1.03910554441516</v>
      </c>
      <c r="P27">
        <v>0.92939683875355295</v>
      </c>
      <c r="Q27">
        <v>1.1977271301546699</v>
      </c>
      <c r="R27">
        <v>0.85918864540749096</v>
      </c>
      <c r="S27">
        <v>1.05987947762579</v>
      </c>
      <c r="T27">
        <v>1.06540056311866</v>
      </c>
      <c r="U27">
        <v>1.1006514631309801</v>
      </c>
      <c r="V27">
        <v>1.13206015899065</v>
      </c>
      <c r="W27">
        <v>0.99032629848604203</v>
      </c>
      <c r="X27">
        <v>1.0214000350783501</v>
      </c>
      <c r="Y27">
        <v>1.0353596976860899</v>
      </c>
      <c r="Z27">
        <v>1.07118365212799</v>
      </c>
      <c r="AA27">
        <v>1.12797444303057</v>
      </c>
      <c r="AB27">
        <v>0.97309270568040795</v>
      </c>
      <c r="AC27">
        <v>1.0347811756951899</v>
      </c>
      <c r="AD27">
        <v>1.1153659374410001</v>
      </c>
      <c r="AE27">
        <v>0.96579368379326902</v>
      </c>
      <c r="AF27">
        <v>0.98783268834322602</v>
      </c>
      <c r="AG27">
        <v>0.94743299836057204</v>
      </c>
      <c r="AH27">
        <v>1.05647164190691</v>
      </c>
      <c r="AI27">
        <v>1.0188474674128201</v>
      </c>
      <c r="AJ27">
        <v>0.98850835635245904</v>
      </c>
      <c r="AK27">
        <v>1.01473419008446</v>
      </c>
      <c r="AL27">
        <v>1.09516725426748</v>
      </c>
      <c r="AM27">
        <f>PRODUCT(B27:AL27)</f>
        <v>2.1991212505533637</v>
      </c>
      <c r="AN27">
        <f>AVERAGE(B27:AL27)/_xlfn.STDEV.S(B27:AL27)</f>
        <v>8.4703421514880706</v>
      </c>
    </row>
    <row r="29" spans="1:40" x14ac:dyDescent="0.4">
      <c r="A29" t="s">
        <v>13</v>
      </c>
      <c r="B29">
        <v>0.08</v>
      </c>
      <c r="C29">
        <v>0.06</v>
      </c>
      <c r="D29">
        <v>0.06</v>
      </c>
      <c r="E29">
        <v>0.32</v>
      </c>
      <c r="F29">
        <v>0.16</v>
      </c>
      <c r="G29">
        <v>0.02</v>
      </c>
      <c r="H29">
        <v>0.04</v>
      </c>
      <c r="I29">
        <v>0.04</v>
      </c>
      <c r="J29">
        <v>0.02</v>
      </c>
      <c r="K29">
        <v>0.08</v>
      </c>
      <c r="L29">
        <v>0</v>
      </c>
      <c r="M29">
        <v>0.02</v>
      </c>
      <c r="N29">
        <v>0.06</v>
      </c>
      <c r="O29">
        <v>0.06</v>
      </c>
      <c r="P29">
        <v>0.1</v>
      </c>
      <c r="Q29">
        <v>0.06</v>
      </c>
      <c r="R29">
        <v>0.1</v>
      </c>
      <c r="S29">
        <v>0.08</v>
      </c>
      <c r="T29">
        <v>0.06</v>
      </c>
      <c r="U29">
        <v>0.1</v>
      </c>
      <c r="V29">
        <v>0.06</v>
      </c>
      <c r="W29">
        <v>0.06</v>
      </c>
      <c r="X29">
        <v>0.06</v>
      </c>
      <c r="Y29">
        <v>0.06</v>
      </c>
      <c r="Z29">
        <v>0.06</v>
      </c>
      <c r="AA29">
        <v>0.06</v>
      </c>
      <c r="AB29">
        <v>0.04</v>
      </c>
      <c r="AC29">
        <v>0.08</v>
      </c>
      <c r="AD29">
        <v>0.06</v>
      </c>
      <c r="AE29">
        <v>0.1</v>
      </c>
      <c r="AF29">
        <v>0.12</v>
      </c>
      <c r="AG29">
        <v>0.1</v>
      </c>
      <c r="AH29">
        <v>0.16</v>
      </c>
      <c r="AI29">
        <v>0.16</v>
      </c>
      <c r="AJ29">
        <v>0.12</v>
      </c>
      <c r="AK29">
        <v>0.12</v>
      </c>
      <c r="AL29">
        <v>0.14000000000000001</v>
      </c>
    </row>
    <row r="30" spans="1:40" x14ac:dyDescent="0.4">
      <c r="A30">
        <v>2</v>
      </c>
      <c r="B30">
        <v>0.56000000000000005</v>
      </c>
      <c r="C30">
        <v>0.48</v>
      </c>
      <c r="D30">
        <v>0.57999999999999996</v>
      </c>
      <c r="E30">
        <v>0.6</v>
      </c>
      <c r="F30">
        <v>0.66</v>
      </c>
      <c r="G30">
        <v>0.7</v>
      </c>
      <c r="H30">
        <v>0.64</v>
      </c>
      <c r="I30">
        <v>0.62</v>
      </c>
      <c r="J30">
        <v>0.62</v>
      </c>
      <c r="K30">
        <v>0.52</v>
      </c>
      <c r="L30">
        <v>0.6</v>
      </c>
      <c r="M30">
        <v>0.62</v>
      </c>
      <c r="N30">
        <v>0.62</v>
      </c>
      <c r="O30">
        <v>0.46</v>
      </c>
      <c r="P30">
        <v>0.48</v>
      </c>
      <c r="Q30">
        <v>0.52</v>
      </c>
      <c r="R30">
        <v>0.48</v>
      </c>
      <c r="S30">
        <v>0.46</v>
      </c>
      <c r="T30">
        <v>0.46</v>
      </c>
      <c r="U30">
        <v>0.44</v>
      </c>
      <c r="V30">
        <v>0.38</v>
      </c>
      <c r="W30">
        <v>0.3</v>
      </c>
      <c r="X30">
        <v>0.3</v>
      </c>
      <c r="Y30">
        <v>0.34</v>
      </c>
      <c r="Z30">
        <v>0.36</v>
      </c>
      <c r="AA30">
        <v>0.26</v>
      </c>
      <c r="AB30">
        <v>0.2</v>
      </c>
      <c r="AC30">
        <v>0.32</v>
      </c>
      <c r="AD30">
        <v>0.32</v>
      </c>
      <c r="AE30">
        <v>0.2</v>
      </c>
      <c r="AF30">
        <v>0.24</v>
      </c>
      <c r="AG30">
        <v>0.3</v>
      </c>
      <c r="AH30">
        <v>0.3</v>
      </c>
      <c r="AI30">
        <v>0.26</v>
      </c>
      <c r="AJ30">
        <v>0.3</v>
      </c>
      <c r="AK30">
        <v>0.3</v>
      </c>
      <c r="AL30">
        <v>0.2</v>
      </c>
    </row>
    <row r="31" spans="1:40" x14ac:dyDescent="0.4">
      <c r="A31">
        <v>3</v>
      </c>
      <c r="B31">
        <v>0.22</v>
      </c>
      <c r="C31">
        <v>0.36</v>
      </c>
      <c r="D31">
        <v>0.26</v>
      </c>
      <c r="E31">
        <v>0.02</v>
      </c>
      <c r="F31">
        <v>0.06</v>
      </c>
      <c r="G31">
        <v>0.2</v>
      </c>
      <c r="H31">
        <v>0.22</v>
      </c>
      <c r="I31">
        <v>0.26</v>
      </c>
      <c r="J31">
        <v>0.22</v>
      </c>
      <c r="K31">
        <v>0.26</v>
      </c>
      <c r="L31">
        <v>0.32</v>
      </c>
      <c r="M31">
        <v>0.3</v>
      </c>
      <c r="N31">
        <v>0.26</v>
      </c>
      <c r="O31">
        <v>0.38</v>
      </c>
      <c r="P31">
        <v>0.34</v>
      </c>
      <c r="Q31">
        <v>0.3</v>
      </c>
      <c r="R31">
        <v>0.34</v>
      </c>
      <c r="S31">
        <v>0.4</v>
      </c>
      <c r="T31">
        <v>0.4</v>
      </c>
      <c r="U31">
        <v>0.4</v>
      </c>
      <c r="V31">
        <v>0.4</v>
      </c>
      <c r="W31">
        <v>0.54</v>
      </c>
      <c r="X31">
        <v>0.5</v>
      </c>
      <c r="Y31">
        <v>0.48</v>
      </c>
      <c r="Z31">
        <v>0.5</v>
      </c>
      <c r="AA31">
        <v>0.57999999999999996</v>
      </c>
      <c r="AB31">
        <v>0.57999999999999996</v>
      </c>
      <c r="AC31">
        <v>0.46</v>
      </c>
      <c r="AD31">
        <v>0.57999999999999996</v>
      </c>
      <c r="AE31">
        <v>0.54</v>
      </c>
      <c r="AF31">
        <v>0.46</v>
      </c>
      <c r="AG31">
        <v>0.42</v>
      </c>
      <c r="AH31">
        <v>0.34</v>
      </c>
      <c r="AI31">
        <v>0.36</v>
      </c>
      <c r="AJ31">
        <v>0.44</v>
      </c>
      <c r="AK31">
        <v>0.46</v>
      </c>
      <c r="AL31">
        <v>0.44</v>
      </c>
    </row>
    <row r="32" spans="1:40" x14ac:dyDescent="0.4">
      <c r="A32" t="s">
        <v>6</v>
      </c>
      <c r="B32">
        <v>0.14000000000000001</v>
      </c>
      <c r="C32">
        <v>0.1</v>
      </c>
      <c r="D32">
        <v>0.1</v>
      </c>
      <c r="E32">
        <v>0.06</v>
      </c>
      <c r="F32">
        <v>0.12</v>
      </c>
      <c r="G32">
        <v>0.08</v>
      </c>
      <c r="H32">
        <v>0.1</v>
      </c>
      <c r="I32">
        <v>0.08</v>
      </c>
      <c r="J32">
        <v>0.14000000000000001</v>
      </c>
      <c r="K32">
        <v>0.14000000000000001</v>
      </c>
      <c r="L32">
        <v>0.08</v>
      </c>
      <c r="M32">
        <v>0.06</v>
      </c>
      <c r="N32">
        <v>0.06</v>
      </c>
      <c r="O32">
        <v>0.1</v>
      </c>
      <c r="P32">
        <v>0.08</v>
      </c>
      <c r="Q32">
        <v>0.12</v>
      </c>
      <c r="R32">
        <v>0.08</v>
      </c>
      <c r="S32">
        <v>0.06</v>
      </c>
      <c r="T32">
        <v>0.08</v>
      </c>
      <c r="U32">
        <v>0.06</v>
      </c>
      <c r="V32">
        <v>0.16</v>
      </c>
      <c r="W32">
        <v>0.1</v>
      </c>
      <c r="X32">
        <v>0.14000000000000001</v>
      </c>
      <c r="Y32">
        <v>0.12</v>
      </c>
      <c r="Z32">
        <v>0.08</v>
      </c>
      <c r="AA32">
        <v>0.1</v>
      </c>
      <c r="AB32">
        <v>0.18</v>
      </c>
      <c r="AC32">
        <v>0.14000000000000001</v>
      </c>
      <c r="AD32">
        <v>0.04</v>
      </c>
      <c r="AE32">
        <v>0.16</v>
      </c>
      <c r="AF32">
        <v>0.18</v>
      </c>
      <c r="AG32">
        <v>0.18</v>
      </c>
      <c r="AH32">
        <v>0.2</v>
      </c>
      <c r="AI32">
        <v>0.22</v>
      </c>
      <c r="AJ32">
        <v>0.14000000000000001</v>
      </c>
      <c r="AK32">
        <v>0.12</v>
      </c>
      <c r="AL32">
        <v>0.22</v>
      </c>
    </row>
    <row r="33" spans="1:38" x14ac:dyDescent="0.4">
      <c r="A33" t="s">
        <v>11</v>
      </c>
      <c r="B33">
        <f>B30+B31</f>
        <v>0.78</v>
      </c>
      <c r="C33">
        <f t="shared" ref="C33:AL33" si="1">C30+C31</f>
        <v>0.84</v>
      </c>
      <c r="D33">
        <f t="shared" si="1"/>
        <v>0.84</v>
      </c>
      <c r="E33">
        <f t="shared" si="1"/>
        <v>0.62</v>
      </c>
      <c r="F33">
        <f t="shared" si="1"/>
        <v>0.72</v>
      </c>
      <c r="G33">
        <f t="shared" si="1"/>
        <v>0.89999999999999991</v>
      </c>
      <c r="H33">
        <f t="shared" si="1"/>
        <v>0.86</v>
      </c>
      <c r="I33">
        <f t="shared" si="1"/>
        <v>0.88</v>
      </c>
      <c r="J33">
        <f t="shared" si="1"/>
        <v>0.84</v>
      </c>
      <c r="K33">
        <f t="shared" si="1"/>
        <v>0.78</v>
      </c>
      <c r="L33">
        <f t="shared" si="1"/>
        <v>0.91999999999999993</v>
      </c>
      <c r="M33">
        <f t="shared" si="1"/>
        <v>0.91999999999999993</v>
      </c>
      <c r="N33">
        <f t="shared" si="1"/>
        <v>0.88</v>
      </c>
      <c r="O33">
        <f t="shared" si="1"/>
        <v>0.84000000000000008</v>
      </c>
      <c r="P33">
        <f t="shared" si="1"/>
        <v>0.82000000000000006</v>
      </c>
      <c r="Q33">
        <f t="shared" si="1"/>
        <v>0.82000000000000006</v>
      </c>
      <c r="R33">
        <f t="shared" si="1"/>
        <v>0.82000000000000006</v>
      </c>
      <c r="S33">
        <f t="shared" si="1"/>
        <v>0.8600000000000001</v>
      </c>
      <c r="T33">
        <f t="shared" si="1"/>
        <v>0.8600000000000001</v>
      </c>
      <c r="U33">
        <f t="shared" si="1"/>
        <v>0.84000000000000008</v>
      </c>
      <c r="V33">
        <f t="shared" si="1"/>
        <v>0.78</v>
      </c>
      <c r="W33">
        <f t="shared" si="1"/>
        <v>0.84000000000000008</v>
      </c>
      <c r="X33">
        <f t="shared" si="1"/>
        <v>0.8</v>
      </c>
      <c r="Y33">
        <f t="shared" si="1"/>
        <v>0.82000000000000006</v>
      </c>
      <c r="Z33">
        <f t="shared" si="1"/>
        <v>0.86</v>
      </c>
      <c r="AA33">
        <f t="shared" si="1"/>
        <v>0.84</v>
      </c>
      <c r="AB33">
        <f t="shared" si="1"/>
        <v>0.78</v>
      </c>
      <c r="AC33">
        <f t="shared" si="1"/>
        <v>0.78</v>
      </c>
      <c r="AD33">
        <f t="shared" si="1"/>
        <v>0.89999999999999991</v>
      </c>
      <c r="AE33">
        <f t="shared" si="1"/>
        <v>0.74</v>
      </c>
      <c r="AF33">
        <f t="shared" si="1"/>
        <v>0.7</v>
      </c>
      <c r="AG33">
        <f t="shared" si="1"/>
        <v>0.72</v>
      </c>
      <c r="AH33">
        <f t="shared" si="1"/>
        <v>0.64</v>
      </c>
      <c r="AI33">
        <f t="shared" si="1"/>
        <v>0.62</v>
      </c>
      <c r="AJ33">
        <f t="shared" si="1"/>
        <v>0.74</v>
      </c>
      <c r="AK33">
        <f t="shared" si="1"/>
        <v>0.76</v>
      </c>
      <c r="AL33">
        <f t="shared" si="1"/>
        <v>0.64</v>
      </c>
    </row>
    <row r="35" spans="1:38" x14ac:dyDescent="0.4">
      <c r="A35">
        <v>100</v>
      </c>
      <c r="B35">
        <f>A35*B3</f>
        <v>107.006054402041</v>
      </c>
      <c r="C35">
        <f t="shared" ref="C35:AL35" si="2">B35*C3</f>
        <v>87.352009428061848</v>
      </c>
      <c r="D35">
        <f t="shared" si="2"/>
        <v>57.780224321713398</v>
      </c>
      <c r="E35">
        <f t="shared" si="2"/>
        <v>61.446758984221866</v>
      </c>
      <c r="F35">
        <f t="shared" si="2"/>
        <v>86.348061629379643</v>
      </c>
      <c r="G35">
        <f t="shared" si="2"/>
        <v>92.592767681938284</v>
      </c>
      <c r="H35">
        <f t="shared" si="2"/>
        <v>87.34536808912722</v>
      </c>
      <c r="I35">
        <f t="shared" si="2"/>
        <v>88.545114731248972</v>
      </c>
      <c r="J35">
        <f t="shared" si="2"/>
        <v>89.501928061368758</v>
      </c>
      <c r="K35">
        <f t="shared" si="2"/>
        <v>94.934777857184898</v>
      </c>
      <c r="L35">
        <f t="shared" si="2"/>
        <v>105.88326231048192</v>
      </c>
      <c r="M35">
        <f t="shared" si="2"/>
        <v>103.03946554145125</v>
      </c>
      <c r="N35">
        <f t="shared" si="2"/>
        <v>109.62100838778692</v>
      </c>
      <c r="O35">
        <f t="shared" si="2"/>
        <v>107.95942315493073</v>
      </c>
      <c r="P35">
        <f t="shared" si="2"/>
        <v>98.492858141038155</v>
      </c>
      <c r="Q35">
        <f t="shared" si="2"/>
        <v>114.80288764236745</v>
      </c>
      <c r="R35">
        <f t="shared" si="2"/>
        <v>96.695489793309591</v>
      </c>
      <c r="S35">
        <f t="shared" si="2"/>
        <v>102.28839866568491</v>
      </c>
      <c r="T35">
        <f t="shared" si="2"/>
        <v>108.96497319117633</v>
      </c>
      <c r="U35">
        <f t="shared" si="2"/>
        <v>117.9527675266613</v>
      </c>
      <c r="V35">
        <f t="shared" si="2"/>
        <v>130.78641124187271</v>
      </c>
      <c r="W35">
        <f t="shared" si="2"/>
        <v>126.41393559527151</v>
      </c>
      <c r="X35">
        <f t="shared" si="2"/>
        <v>131.67816190054475</v>
      </c>
      <c r="Y35">
        <f t="shared" si="2"/>
        <v>136.89414368749595</v>
      </c>
      <c r="Z35">
        <f t="shared" si="2"/>
        <v>145.73946208491097</v>
      </c>
      <c r="AA35">
        <f t="shared" si="2"/>
        <v>158.33855094955658</v>
      </c>
      <c r="AB35">
        <f t="shared" si="2"/>
        <v>149.60079984333555</v>
      </c>
      <c r="AC35">
        <f t="shared" si="2"/>
        <v>158.78379750286493</v>
      </c>
      <c r="AD35">
        <f t="shared" si="2"/>
        <v>181.95239112249979</v>
      </c>
      <c r="AE35">
        <f t="shared" si="2"/>
        <v>168.00476068867169</v>
      </c>
      <c r="AF35">
        <f t="shared" si="2"/>
        <v>167.45127672527676</v>
      </c>
      <c r="AG35">
        <f t="shared" si="2"/>
        <v>162.44819821988972</v>
      </c>
      <c r="AH35">
        <f t="shared" si="2"/>
        <v>172.6631314206993</v>
      </c>
      <c r="AI35">
        <f t="shared" si="2"/>
        <v>175.2658225226017</v>
      </c>
      <c r="AJ35">
        <f t="shared" si="2"/>
        <v>172.94978988303393</v>
      </c>
      <c r="AK35">
        <f t="shared" si="2"/>
        <v>178.28697912541892</v>
      </c>
      <c r="AL35">
        <f t="shared" si="2"/>
        <v>192.14841740301662</v>
      </c>
    </row>
    <row r="36" spans="1:38" x14ac:dyDescent="0.4">
      <c r="A36">
        <v>100</v>
      </c>
      <c r="B36">
        <f>A36*B11</f>
        <v>108.14631029820301</v>
      </c>
      <c r="C36">
        <f t="shared" ref="C36:AL36" si="3">B36*C11</f>
        <v>89.4926992054625</v>
      </c>
      <c r="D36">
        <f t="shared" si="3"/>
        <v>56.820772118209497</v>
      </c>
      <c r="E36">
        <f t="shared" si="3"/>
        <v>59.808923871242776</v>
      </c>
      <c r="F36">
        <f t="shared" si="3"/>
        <v>85.438672397674154</v>
      </c>
      <c r="G36">
        <f t="shared" si="3"/>
        <v>90.176595624193595</v>
      </c>
      <c r="H36">
        <f t="shared" si="3"/>
        <v>85.34474655170844</v>
      </c>
      <c r="I36">
        <f t="shared" si="3"/>
        <v>84.916388163841376</v>
      </c>
      <c r="J36">
        <f t="shared" si="3"/>
        <v>84.123855988648586</v>
      </c>
      <c r="K36">
        <f t="shared" si="3"/>
        <v>90.437614804413187</v>
      </c>
      <c r="L36">
        <f t="shared" si="3"/>
        <v>102.15633851443998</v>
      </c>
      <c r="M36">
        <f t="shared" si="3"/>
        <v>97.488214750926915</v>
      </c>
      <c r="N36">
        <f t="shared" si="3"/>
        <v>102.24032295568979</v>
      </c>
      <c r="O36">
        <f t="shared" si="3"/>
        <v>102.07137831565989</v>
      </c>
      <c r="P36">
        <f t="shared" si="3"/>
        <v>92.365285006088243</v>
      </c>
      <c r="Q36">
        <f t="shared" si="3"/>
        <v>108.03805942464044</v>
      </c>
      <c r="R36">
        <f t="shared" si="3"/>
        <v>91.728760242903078</v>
      </c>
      <c r="S36">
        <f t="shared" si="3"/>
        <v>97.768109905205989</v>
      </c>
      <c r="T36">
        <f t="shared" si="3"/>
        <v>104.19178538387251</v>
      </c>
      <c r="U36">
        <f t="shared" si="3"/>
        <v>112.94266736355479</v>
      </c>
      <c r="V36">
        <f t="shared" si="3"/>
        <v>128.00784218283562</v>
      </c>
      <c r="W36">
        <f t="shared" si="3"/>
        <v>125.03891441153209</v>
      </c>
      <c r="X36">
        <f t="shared" si="3"/>
        <v>127.48816558281806</v>
      </c>
      <c r="Y36">
        <f t="shared" si="3"/>
        <v>131.57822573058266</v>
      </c>
      <c r="Z36">
        <f t="shared" si="3"/>
        <v>138.80363956028305</v>
      </c>
      <c r="AA36">
        <f t="shared" si="3"/>
        <v>155.43675909910519</v>
      </c>
      <c r="AB36">
        <f t="shared" si="3"/>
        <v>147.52424915149669</v>
      </c>
      <c r="AC36">
        <f t="shared" si="3"/>
        <v>155.05830603234199</v>
      </c>
      <c r="AD36">
        <f t="shared" si="3"/>
        <v>172.9048894312977</v>
      </c>
      <c r="AE36">
        <f t="shared" si="3"/>
        <v>160.30875943504478</v>
      </c>
      <c r="AF36">
        <f t="shared" si="3"/>
        <v>158.24423760848128</v>
      </c>
      <c r="AG36">
        <f t="shared" si="3"/>
        <v>153.99835328077424</v>
      </c>
      <c r="AH36">
        <f t="shared" si="3"/>
        <v>162.56049481480969</v>
      </c>
      <c r="AI36">
        <f t="shared" si="3"/>
        <v>165.04295489662113</v>
      </c>
      <c r="AJ36">
        <f t="shared" si="3"/>
        <v>164.6844956076304</v>
      </c>
      <c r="AK36">
        <f t="shared" si="3"/>
        <v>169.24240385082166</v>
      </c>
      <c r="AL36">
        <f t="shared" si="3"/>
        <v>184.4784186576054</v>
      </c>
    </row>
    <row r="37" spans="1:38" x14ac:dyDescent="0.4">
      <c r="A37">
        <v>100</v>
      </c>
      <c r="B37">
        <f>A37*B19</f>
        <v>110.956436321372</v>
      </c>
      <c r="C37">
        <f t="shared" ref="C37:AL37" si="4">B37*C19</f>
        <v>90.25224057877756</v>
      </c>
      <c r="D37">
        <f t="shared" si="4"/>
        <v>57.508706530537367</v>
      </c>
      <c r="E37">
        <f t="shared" si="4"/>
        <v>60.673413405476943</v>
      </c>
      <c r="F37">
        <f t="shared" si="4"/>
        <v>85.613272868543334</v>
      </c>
      <c r="G37">
        <f t="shared" si="4"/>
        <v>90.780521455484291</v>
      </c>
      <c r="H37">
        <f t="shared" si="4"/>
        <v>86.534698955725403</v>
      </c>
      <c r="I37">
        <f t="shared" si="4"/>
        <v>84.619328321198708</v>
      </c>
      <c r="J37">
        <f t="shared" si="4"/>
        <v>83.256459728580111</v>
      </c>
      <c r="K37">
        <f t="shared" si="4"/>
        <v>89.558917298445564</v>
      </c>
      <c r="L37">
        <f t="shared" si="4"/>
        <v>98.849561848127593</v>
      </c>
      <c r="M37">
        <f t="shared" si="4"/>
        <v>95.081713476436306</v>
      </c>
      <c r="N37">
        <f t="shared" si="4"/>
        <v>98.605948788192336</v>
      </c>
      <c r="O37">
        <f t="shared" si="4"/>
        <v>99.767520183612831</v>
      </c>
      <c r="P37">
        <f t="shared" si="4"/>
        <v>91.040076454032643</v>
      </c>
      <c r="Q37">
        <f t="shared" si="4"/>
        <v>107.57345010029357</v>
      </c>
      <c r="R37">
        <f t="shared" si="4"/>
        <v>91.132105916719013</v>
      </c>
      <c r="S37">
        <f t="shared" si="4"/>
        <v>96.075021207330423</v>
      </c>
      <c r="T37">
        <f t="shared" si="4"/>
        <v>103.85364111064581</v>
      </c>
      <c r="U37">
        <f t="shared" si="4"/>
        <v>113.29119211851435</v>
      </c>
      <c r="V37">
        <f t="shared" si="4"/>
        <v>128.84515920820911</v>
      </c>
      <c r="W37">
        <f t="shared" si="4"/>
        <v>126.27040638774022</v>
      </c>
      <c r="X37">
        <f t="shared" si="4"/>
        <v>129.46752251486745</v>
      </c>
      <c r="Y37">
        <f t="shared" si="4"/>
        <v>133.75062530759686</v>
      </c>
      <c r="Z37">
        <f t="shared" si="4"/>
        <v>141.13547605015387</v>
      </c>
      <c r="AA37">
        <f t="shared" si="4"/>
        <v>160.70829859397162</v>
      </c>
      <c r="AB37">
        <f t="shared" si="4"/>
        <v>152.94520164678764</v>
      </c>
      <c r="AC37">
        <f t="shared" si="4"/>
        <v>160.26942639984281</v>
      </c>
      <c r="AD37">
        <f t="shared" si="4"/>
        <v>174.74981383741869</v>
      </c>
      <c r="AE37">
        <f t="shared" si="4"/>
        <v>163.7039172070443</v>
      </c>
      <c r="AF37">
        <f t="shared" si="4"/>
        <v>161.31100295379596</v>
      </c>
      <c r="AG37">
        <f t="shared" si="4"/>
        <v>156.16541813624397</v>
      </c>
      <c r="AH37">
        <f t="shared" si="4"/>
        <v>164.82930231926534</v>
      </c>
      <c r="AI37">
        <f t="shared" si="4"/>
        <v>168.86747584015134</v>
      </c>
      <c r="AJ37">
        <f t="shared" si="4"/>
        <v>168.35299465064062</v>
      </c>
      <c r="AK37">
        <f t="shared" si="4"/>
        <v>173.2028680977684</v>
      </c>
      <c r="AL37">
        <f t="shared" si="4"/>
        <v>187.90902919372434</v>
      </c>
    </row>
    <row r="38" spans="1:38" x14ac:dyDescent="0.4">
      <c r="A38">
        <v>100</v>
      </c>
      <c r="B38">
        <f t="shared" ref="B38:AL38" si="5">A38*B27</f>
        <v>111.57648362065001</v>
      </c>
      <c r="C38">
        <f t="shared" si="5"/>
        <v>89.91318975969665</v>
      </c>
      <c r="D38">
        <f t="shared" si="5"/>
        <v>58.371701955889947</v>
      </c>
      <c r="E38">
        <f t="shared" si="5"/>
        <v>60.75642849181547</v>
      </c>
      <c r="F38">
        <f t="shared" si="5"/>
        <v>87.391099568490148</v>
      </c>
      <c r="G38">
        <f t="shared" si="5"/>
        <v>95.340425215077218</v>
      </c>
      <c r="H38">
        <f t="shared" si="5"/>
        <v>89.682254340428514</v>
      </c>
      <c r="I38">
        <f t="shared" si="5"/>
        <v>87.791028205742364</v>
      </c>
      <c r="J38">
        <f t="shared" si="5"/>
        <v>87.638382516535316</v>
      </c>
      <c r="K38">
        <f t="shared" si="5"/>
        <v>95.19998280108743</v>
      </c>
      <c r="L38">
        <f t="shared" si="5"/>
        <v>105.99976661127016</v>
      </c>
      <c r="M38">
        <f t="shared" si="5"/>
        <v>99.824030869506146</v>
      </c>
      <c r="N38">
        <f t="shared" si="5"/>
        <v>103.53997836778272</v>
      </c>
      <c r="O38">
        <f t="shared" si="5"/>
        <v>107.58896559058876</v>
      </c>
      <c r="P38">
        <f t="shared" si="5"/>
        <v>99.992844504657981</v>
      </c>
      <c r="Q38">
        <f t="shared" si="5"/>
        <v>119.76414268456617</v>
      </c>
      <c r="R38">
        <f t="shared" si="5"/>
        <v>102.89999152154188</v>
      </c>
      <c r="S38">
        <f t="shared" si="5"/>
        <v>109.06158926155003</v>
      </c>
      <c r="T38">
        <f t="shared" si="5"/>
        <v>116.1942786138714</v>
      </c>
      <c r="U38">
        <f t="shared" si="5"/>
        <v>127.8894027638063</v>
      </c>
      <c r="V38">
        <f t="shared" si="5"/>
        <v>144.77849762601383</v>
      </c>
      <c r="W38">
        <f t="shared" si="5"/>
        <v>143.3779536543405</v>
      </c>
      <c r="X38">
        <f t="shared" si="5"/>
        <v>146.44624689200543</v>
      </c>
      <c r="Y38">
        <f t="shared" si="5"/>
        <v>151.62454190936924</v>
      </c>
      <c r="Z38">
        <f t="shared" si="5"/>
        <v>162.41773055471162</v>
      </c>
      <c r="AA38">
        <f t="shared" si="5"/>
        <v>183.20304916074005</v>
      </c>
      <c r="AB38">
        <f t="shared" si="5"/>
        <v>178.27355079672532</v>
      </c>
      <c r="AC38">
        <f t="shared" si="5"/>
        <v>184.47411448879157</v>
      </c>
      <c r="AD38">
        <f t="shared" si="5"/>
        <v>205.75614364038938</v>
      </c>
      <c r="AE38">
        <f t="shared" si="5"/>
        <v>198.71798392954867</v>
      </c>
      <c r="AF38">
        <f t="shared" si="5"/>
        <v>196.30012028727205</v>
      </c>
      <c r="AG38">
        <f t="shared" si="5"/>
        <v>185.98121154231112</v>
      </c>
      <c r="AH38">
        <f t="shared" si="5"/>
        <v>196.48387592194177</v>
      </c>
      <c r="AI38">
        <f t="shared" si="5"/>
        <v>200.18709937052515</v>
      </c>
      <c r="AJ38">
        <f t="shared" si="5"/>
        <v>197.88662056172419</v>
      </c>
      <c r="AK38">
        <f t="shared" si="5"/>
        <v>200.80231964425204</v>
      </c>
      <c r="AL38">
        <f t="shared" si="5"/>
        <v>219.91212505533636</v>
      </c>
    </row>
    <row r="43" spans="1:38" x14ac:dyDescent="0.4">
      <c r="A43" t="s">
        <v>17</v>
      </c>
      <c r="B43">
        <v>1.1166134896368201</v>
      </c>
      <c r="C43">
        <v>0.80599900043053696</v>
      </c>
      <c r="D43">
        <v>0.67400023879806004</v>
      </c>
      <c r="E43">
        <v>1.05883714299978</v>
      </c>
      <c r="F43">
        <v>1.5507360327233399</v>
      </c>
      <c r="G43">
        <v>1.0626100201872</v>
      </c>
      <c r="H43">
        <v>0.95218350274379904</v>
      </c>
      <c r="I43">
        <v>1.0131657510880601</v>
      </c>
      <c r="J43">
        <v>0.99211957993801003</v>
      </c>
      <c r="K43">
        <v>1.09696428602472</v>
      </c>
      <c r="L43">
        <v>1.14317865010124</v>
      </c>
      <c r="M43">
        <v>0.94185484812310905</v>
      </c>
      <c r="N43">
        <v>1.0410097959981299</v>
      </c>
      <c r="O43">
        <v>1.0641836665329201</v>
      </c>
      <c r="P43">
        <v>0.92501688274320004</v>
      </c>
      <c r="Q43">
        <v>1.1691534415608</v>
      </c>
      <c r="R43">
        <v>0.86573550416552703</v>
      </c>
      <c r="S43">
        <v>1.0599600330836401</v>
      </c>
      <c r="T43">
        <v>1.01352318041832</v>
      </c>
      <c r="U43">
        <v>1.1011021019476299</v>
      </c>
      <c r="V43">
        <v>1.16121345990242</v>
      </c>
      <c r="W43">
        <v>0.99169227857011499</v>
      </c>
      <c r="X43">
        <v>1.0359162987258299</v>
      </c>
      <c r="Y43">
        <v>1.08569901870301</v>
      </c>
      <c r="Z43">
        <v>1.0744950622910201</v>
      </c>
      <c r="AA43">
        <v>1.05131847389822</v>
      </c>
      <c r="AB43">
        <v>0.974299525890436</v>
      </c>
      <c r="AC43">
        <v>1.0324416775571399</v>
      </c>
      <c r="AD43">
        <v>1.1108235855294499</v>
      </c>
      <c r="AE43">
        <v>0.95243141397926201</v>
      </c>
      <c r="AF43">
        <v>1.0140430306194199</v>
      </c>
      <c r="AG43">
        <v>0.96432702588397001</v>
      </c>
      <c r="AH43">
        <v>1.07247610147359</v>
      </c>
      <c r="AI43">
        <v>1.0137313650456701</v>
      </c>
      <c r="AJ43">
        <v>0.97188412083142195</v>
      </c>
      <c r="AK43">
        <v>0.98261377192749999</v>
      </c>
      <c r="AL43">
        <v>1.1062142742213901</v>
      </c>
    </row>
    <row r="44" spans="1:38" x14ac:dyDescent="0.4">
      <c r="A44" t="s">
        <v>2</v>
      </c>
      <c r="B44">
        <v>1.10941348963682</v>
      </c>
      <c r="C44">
        <v>0.80199900043053696</v>
      </c>
      <c r="D44">
        <v>0.66840023879805999</v>
      </c>
      <c r="E44">
        <v>1.0520371429997799</v>
      </c>
      <c r="F44">
        <v>1.54593603272334</v>
      </c>
      <c r="G44">
        <v>1.0574100201872001</v>
      </c>
      <c r="H44">
        <v>0.94938350274379901</v>
      </c>
      <c r="I44">
        <v>1.0103657510880599</v>
      </c>
      <c r="J44">
        <v>0.98651957993800998</v>
      </c>
      <c r="K44">
        <v>1.09456428602472</v>
      </c>
      <c r="L44">
        <v>1.1403786501012401</v>
      </c>
      <c r="M44">
        <v>0.93865484812310895</v>
      </c>
      <c r="N44">
        <v>1.0374097959981301</v>
      </c>
      <c r="O44">
        <v>1.06098366653292</v>
      </c>
      <c r="P44">
        <v>0.92101688274320004</v>
      </c>
      <c r="Q44">
        <v>1.1671534415608</v>
      </c>
      <c r="R44">
        <v>0.86133550416552696</v>
      </c>
      <c r="S44">
        <v>1.0559600330836401</v>
      </c>
      <c r="T44">
        <v>1.00992318041832</v>
      </c>
      <c r="U44">
        <v>1.09830210194763</v>
      </c>
      <c r="V44">
        <v>1.15681345990242</v>
      </c>
      <c r="W44">
        <v>0.98809227857011495</v>
      </c>
      <c r="X44">
        <v>1.0343162987258301</v>
      </c>
      <c r="Y44">
        <v>1.08369901870301</v>
      </c>
      <c r="Z44">
        <v>1.0700950622910199</v>
      </c>
      <c r="AA44">
        <v>1.04731847389822</v>
      </c>
      <c r="AB44">
        <v>0.97189952589043604</v>
      </c>
      <c r="AC44">
        <v>1.02964167755714</v>
      </c>
      <c r="AD44">
        <v>1.10642358552945</v>
      </c>
      <c r="AE44">
        <v>0.94563141397926198</v>
      </c>
      <c r="AF44">
        <v>1.0104430306194201</v>
      </c>
      <c r="AG44">
        <v>0.96032702588397001</v>
      </c>
      <c r="AH44">
        <v>1.0672761014735901</v>
      </c>
      <c r="AI44">
        <v>1.01213136504567</v>
      </c>
      <c r="AJ44">
        <v>0.96988412083142195</v>
      </c>
      <c r="AK44">
        <v>0.97901377192750005</v>
      </c>
      <c r="AL44">
        <v>1.1022142742213901</v>
      </c>
    </row>
    <row r="45" spans="1:38" x14ac:dyDescent="0.4">
      <c r="A45">
        <v>100</v>
      </c>
      <c r="B45">
        <f>A45*B44</f>
        <v>110.941348963682</v>
      </c>
      <c r="C45">
        <f t="shared" ref="C45:AL45" si="6">B45*C44</f>
        <v>88.974850975288348</v>
      </c>
      <c r="D45">
        <f t="shared" si="6"/>
        <v>59.470811638904529</v>
      </c>
      <c r="E45">
        <f t="shared" si="6"/>
        <v>62.565502768471177</v>
      </c>
      <c r="F45">
        <f t="shared" si="6"/>
        <v>96.722265135231481</v>
      </c>
      <c r="G45">
        <f t="shared" si="6"/>
        <v>102.27509232919684</v>
      </c>
      <c r="H45">
        <f t="shared" si="6"/>
        <v>97.098285398938344</v>
      </c>
      <c r="I45">
        <f t="shared" si="6"/>
        <v>98.104782056461147</v>
      </c>
      <c r="J45">
        <f t="shared" si="6"/>
        <v>96.782288384250066</v>
      </c>
      <c r="K45">
        <f t="shared" si="6"/>
        <v>105.93443638514522</v>
      </c>
      <c r="L45">
        <f t="shared" si="6"/>
        <v>120.80536956412759</v>
      </c>
      <c r="M45">
        <f t="shared" si="6"/>
        <v>113.39454582067223</v>
      </c>
      <c r="N45">
        <f t="shared" si="6"/>
        <v>117.6366126471242</v>
      </c>
      <c r="O45">
        <f t="shared" si="6"/>
        <v>124.8105246048587</v>
      </c>
      <c r="P45">
        <f t="shared" si="6"/>
        <v>114.95260030511042</v>
      </c>
      <c r="Q45">
        <f t="shared" si="6"/>
        <v>134.16732306247269</v>
      </c>
      <c r="R45">
        <f t="shared" si="6"/>
        <v>115.56307885255404</v>
      </c>
      <c r="S45">
        <f t="shared" si="6"/>
        <v>122.02999256839027</v>
      </c>
      <c r="T45">
        <f t="shared" si="6"/>
        <v>123.24091820109265</v>
      </c>
      <c r="U45">
        <f t="shared" si="6"/>
        <v>135.355759506216</v>
      </c>
      <c r="V45">
        <f t="shared" si="6"/>
        <v>156.58136447210561</v>
      </c>
      <c r="W45">
        <f t="shared" si="6"/>
        <v>154.71683720286046</v>
      </c>
      <c r="X45">
        <f t="shared" si="6"/>
        <v>160.02614640622943</v>
      </c>
      <c r="Y45">
        <f t="shared" si="6"/>
        <v>173.42017782725503</v>
      </c>
      <c r="Z45">
        <f t="shared" si="6"/>
        <v>185.57607599457623</v>
      </c>
      <c r="AA45">
        <f t="shared" si="6"/>
        <v>194.35725270265968</v>
      </c>
      <c r="AB45">
        <f t="shared" si="6"/>
        <v>188.8957217550826</v>
      </c>
      <c r="AC45">
        <f t="shared" si="6"/>
        <v>194.49490783126998</v>
      </c>
      <c r="AD45">
        <f t="shared" si="6"/>
        <v>215.19375328989364</v>
      </c>
      <c r="AE45">
        <f t="shared" si="6"/>
        <v>203.49397320302657</v>
      </c>
      <c r="AF45">
        <f t="shared" si="6"/>
        <v>205.61906699605322</v>
      </c>
      <c r="AG45">
        <f t="shared" si="6"/>
        <v>197.46154707335657</v>
      </c>
      <c r="AH45">
        <f t="shared" si="6"/>
        <v>210.7459901513958</v>
      </c>
      <c r="AI45">
        <f t="shared" si="6"/>
        <v>213.30262668983357</v>
      </c>
      <c r="AJ45">
        <f t="shared" si="6"/>
        <v>206.87883055810224</v>
      </c>
      <c r="AK45">
        <f t="shared" si="6"/>
        <v>202.53722423663783</v>
      </c>
      <c r="AL45">
        <f t="shared" si="6"/>
        <v>223.23941961480068</v>
      </c>
    </row>
    <row r="46" spans="1:38" x14ac:dyDescent="0.4">
      <c r="A46" t="s">
        <v>18</v>
      </c>
      <c r="B46">
        <v>0.04</v>
      </c>
      <c r="C46">
        <v>0.04</v>
      </c>
      <c r="D46">
        <v>0.08</v>
      </c>
      <c r="E46">
        <v>0.28000000000000003</v>
      </c>
      <c r="F46">
        <v>0.12</v>
      </c>
      <c r="G46">
        <v>0.04</v>
      </c>
      <c r="H46">
        <v>0</v>
      </c>
      <c r="I46">
        <v>0.04</v>
      </c>
      <c r="J46">
        <v>0</v>
      </c>
      <c r="K46">
        <v>0</v>
      </c>
      <c r="L46">
        <v>0</v>
      </c>
      <c r="M46">
        <v>0.04</v>
      </c>
      <c r="N46">
        <v>0.04</v>
      </c>
      <c r="O46">
        <v>0.04</v>
      </c>
      <c r="P46">
        <v>0.12</v>
      </c>
      <c r="Q46">
        <v>0.04</v>
      </c>
      <c r="R46">
        <v>0.12</v>
      </c>
      <c r="S46">
        <v>0.08</v>
      </c>
      <c r="T46">
        <v>0.04</v>
      </c>
      <c r="U46">
        <v>0.08</v>
      </c>
      <c r="V46">
        <v>0.04</v>
      </c>
      <c r="W46">
        <v>0.04</v>
      </c>
      <c r="X46">
        <v>0.08</v>
      </c>
      <c r="Y46">
        <v>0.08</v>
      </c>
      <c r="Z46">
        <v>0.04</v>
      </c>
      <c r="AA46">
        <v>0</v>
      </c>
      <c r="AB46">
        <v>0.04</v>
      </c>
      <c r="AC46">
        <v>0.04</v>
      </c>
      <c r="AD46">
        <v>0.04</v>
      </c>
      <c r="AE46">
        <v>0.16</v>
      </c>
      <c r="AF46">
        <v>0.2</v>
      </c>
      <c r="AG46">
        <v>0.2</v>
      </c>
      <c r="AH46">
        <v>0.2</v>
      </c>
      <c r="AI46">
        <v>0.16</v>
      </c>
      <c r="AJ46">
        <v>0.12</v>
      </c>
      <c r="AK46">
        <v>0.12</v>
      </c>
      <c r="AL46">
        <v>0.2</v>
      </c>
    </row>
    <row r="47" spans="1:38" x14ac:dyDescent="0.4">
      <c r="A47">
        <v>2</v>
      </c>
      <c r="B47">
        <v>0.68</v>
      </c>
      <c r="C47">
        <v>0.48</v>
      </c>
      <c r="D47">
        <v>0.64</v>
      </c>
      <c r="E47">
        <v>0.64</v>
      </c>
      <c r="F47">
        <v>0.68</v>
      </c>
      <c r="G47">
        <v>0.72</v>
      </c>
      <c r="H47">
        <v>0.76</v>
      </c>
      <c r="I47">
        <v>0.68</v>
      </c>
      <c r="J47">
        <v>0.64</v>
      </c>
      <c r="K47">
        <v>0.56000000000000005</v>
      </c>
      <c r="L47">
        <v>0.56000000000000005</v>
      </c>
      <c r="M47">
        <v>0.48</v>
      </c>
      <c r="N47">
        <v>0.48</v>
      </c>
      <c r="O47">
        <v>0.32</v>
      </c>
      <c r="P47">
        <v>0.44</v>
      </c>
      <c r="Q47">
        <v>0.44</v>
      </c>
      <c r="R47">
        <v>0.48</v>
      </c>
      <c r="S47">
        <v>0.52</v>
      </c>
      <c r="T47">
        <v>0.44</v>
      </c>
      <c r="U47">
        <v>0.52</v>
      </c>
      <c r="V47">
        <v>0.36</v>
      </c>
      <c r="W47">
        <v>0.28000000000000003</v>
      </c>
      <c r="X47">
        <v>0.28000000000000003</v>
      </c>
      <c r="Y47">
        <v>0.28000000000000003</v>
      </c>
      <c r="Z47">
        <v>0.36</v>
      </c>
      <c r="AA47">
        <v>0.24</v>
      </c>
      <c r="AB47">
        <v>0.28000000000000003</v>
      </c>
      <c r="AC47">
        <v>0.32</v>
      </c>
      <c r="AD47">
        <v>0.32</v>
      </c>
      <c r="AE47">
        <v>0.12</v>
      </c>
      <c r="AF47">
        <v>0.28000000000000003</v>
      </c>
      <c r="AG47">
        <v>0.2</v>
      </c>
      <c r="AH47">
        <v>0.44</v>
      </c>
      <c r="AI47">
        <v>0.36</v>
      </c>
      <c r="AJ47">
        <v>0.4</v>
      </c>
      <c r="AK47">
        <v>0.44</v>
      </c>
      <c r="AL47">
        <v>0.2</v>
      </c>
    </row>
    <row r="48" spans="1:38" x14ac:dyDescent="0.4">
      <c r="A48">
        <v>3</v>
      </c>
      <c r="B48">
        <v>0.12</v>
      </c>
      <c r="C48">
        <v>0.4</v>
      </c>
      <c r="D48">
        <v>0.16</v>
      </c>
      <c r="E48">
        <v>0.04</v>
      </c>
      <c r="F48">
        <v>0.12</v>
      </c>
      <c r="G48">
        <v>0.24</v>
      </c>
      <c r="H48">
        <v>0.2</v>
      </c>
      <c r="I48">
        <v>0.28000000000000003</v>
      </c>
      <c r="J48">
        <v>0.2</v>
      </c>
      <c r="K48">
        <v>0.28000000000000003</v>
      </c>
      <c r="L48">
        <v>0.32</v>
      </c>
      <c r="M48">
        <v>0.4</v>
      </c>
      <c r="N48">
        <v>0.36</v>
      </c>
      <c r="O48">
        <v>0.56000000000000005</v>
      </c>
      <c r="P48">
        <v>0.4</v>
      </c>
      <c r="Q48">
        <v>0.44</v>
      </c>
      <c r="R48">
        <v>0.4</v>
      </c>
      <c r="S48">
        <v>0.36</v>
      </c>
      <c r="T48">
        <v>0.44</v>
      </c>
      <c r="U48">
        <v>0.36</v>
      </c>
      <c r="V48">
        <v>0.48</v>
      </c>
      <c r="W48">
        <v>0.6</v>
      </c>
      <c r="X48">
        <v>0.56000000000000005</v>
      </c>
      <c r="Y48">
        <v>0.52</v>
      </c>
      <c r="Z48">
        <v>0.56000000000000005</v>
      </c>
      <c r="AA48">
        <v>0.6</v>
      </c>
      <c r="AB48">
        <v>0.6</v>
      </c>
      <c r="AC48">
        <v>0.48</v>
      </c>
      <c r="AD48">
        <v>0.6</v>
      </c>
      <c r="AE48">
        <v>0.6</v>
      </c>
      <c r="AF48">
        <v>0.28000000000000003</v>
      </c>
      <c r="AG48">
        <v>0.32</v>
      </c>
      <c r="AH48">
        <v>0.16</v>
      </c>
      <c r="AI48">
        <v>0.24</v>
      </c>
      <c r="AJ48">
        <v>0.28000000000000003</v>
      </c>
      <c r="AK48">
        <v>0.32</v>
      </c>
      <c r="AL48">
        <v>0.32</v>
      </c>
    </row>
    <row r="49" spans="1:38" x14ac:dyDescent="0.4">
      <c r="A49" t="s">
        <v>6</v>
      </c>
      <c r="B49">
        <v>0.16</v>
      </c>
      <c r="C49">
        <v>0.08</v>
      </c>
      <c r="D49">
        <v>0.12</v>
      </c>
      <c r="E49">
        <v>0.04</v>
      </c>
      <c r="F49">
        <v>0.08</v>
      </c>
      <c r="G49">
        <v>0</v>
      </c>
      <c r="H49">
        <v>0.04</v>
      </c>
      <c r="I49">
        <v>0</v>
      </c>
      <c r="J49">
        <v>0.16</v>
      </c>
      <c r="K49">
        <v>0.16</v>
      </c>
      <c r="L49">
        <v>0.12</v>
      </c>
      <c r="M49">
        <v>0.08</v>
      </c>
      <c r="N49">
        <v>0.12</v>
      </c>
      <c r="O49">
        <v>0.08</v>
      </c>
      <c r="P49">
        <v>0.04</v>
      </c>
      <c r="Q49">
        <v>0.08</v>
      </c>
      <c r="R49">
        <v>0</v>
      </c>
      <c r="S49">
        <v>0.04</v>
      </c>
      <c r="T49">
        <v>0.08</v>
      </c>
      <c r="U49">
        <v>0.04</v>
      </c>
      <c r="V49">
        <v>0.12</v>
      </c>
      <c r="W49">
        <v>0.08</v>
      </c>
      <c r="X49">
        <v>0.08</v>
      </c>
      <c r="Y49">
        <v>0.12</v>
      </c>
      <c r="Z49">
        <v>0.04</v>
      </c>
      <c r="AA49">
        <v>0.16</v>
      </c>
      <c r="AB49">
        <v>0.08</v>
      </c>
      <c r="AC49">
        <v>0.16</v>
      </c>
      <c r="AD49">
        <v>0.04</v>
      </c>
      <c r="AE49">
        <v>0.12</v>
      </c>
      <c r="AF49">
        <v>0.24</v>
      </c>
      <c r="AG49">
        <v>0.28000000000000003</v>
      </c>
      <c r="AH49">
        <v>0.2</v>
      </c>
      <c r="AI49">
        <v>0.24</v>
      </c>
      <c r="AJ49">
        <v>0.2</v>
      </c>
      <c r="AK49">
        <v>0.12</v>
      </c>
      <c r="AL49">
        <v>0.28000000000000003</v>
      </c>
    </row>
    <row r="50" spans="1:38" x14ac:dyDescent="0.4">
      <c r="A50" t="s">
        <v>16</v>
      </c>
      <c r="B50">
        <f>B47+B48</f>
        <v>0.8</v>
      </c>
      <c r="C50">
        <f t="shared" ref="C50:AL50" si="7">C47+C48</f>
        <v>0.88</v>
      </c>
      <c r="D50">
        <f t="shared" si="7"/>
        <v>0.8</v>
      </c>
      <c r="E50">
        <f t="shared" si="7"/>
        <v>0.68</v>
      </c>
      <c r="F50">
        <f t="shared" si="7"/>
        <v>0.8</v>
      </c>
      <c r="G50">
        <f t="shared" si="7"/>
        <v>0.96</v>
      </c>
      <c r="H50">
        <f t="shared" si="7"/>
        <v>0.96</v>
      </c>
      <c r="I50">
        <f t="shared" si="7"/>
        <v>0.96000000000000008</v>
      </c>
      <c r="J50">
        <f t="shared" si="7"/>
        <v>0.84000000000000008</v>
      </c>
      <c r="K50">
        <f t="shared" si="7"/>
        <v>0.84000000000000008</v>
      </c>
      <c r="L50">
        <f t="shared" si="7"/>
        <v>0.88000000000000012</v>
      </c>
      <c r="M50">
        <f t="shared" si="7"/>
        <v>0.88</v>
      </c>
      <c r="N50">
        <f t="shared" si="7"/>
        <v>0.84</v>
      </c>
      <c r="O50">
        <f t="shared" si="7"/>
        <v>0.88000000000000012</v>
      </c>
      <c r="P50">
        <f t="shared" si="7"/>
        <v>0.84000000000000008</v>
      </c>
      <c r="Q50">
        <f t="shared" si="7"/>
        <v>0.88</v>
      </c>
      <c r="R50">
        <f t="shared" si="7"/>
        <v>0.88</v>
      </c>
      <c r="S50">
        <f t="shared" si="7"/>
        <v>0.88</v>
      </c>
      <c r="T50">
        <f t="shared" si="7"/>
        <v>0.88</v>
      </c>
      <c r="U50">
        <f t="shared" si="7"/>
        <v>0.88</v>
      </c>
      <c r="V50">
        <f t="shared" si="7"/>
        <v>0.84</v>
      </c>
      <c r="W50">
        <f t="shared" si="7"/>
        <v>0.88</v>
      </c>
      <c r="X50">
        <f t="shared" si="7"/>
        <v>0.84000000000000008</v>
      </c>
      <c r="Y50">
        <f t="shared" si="7"/>
        <v>0.8</v>
      </c>
      <c r="Z50">
        <f t="shared" si="7"/>
        <v>0.92</v>
      </c>
      <c r="AA50">
        <f t="shared" si="7"/>
        <v>0.84</v>
      </c>
      <c r="AB50">
        <f t="shared" si="7"/>
        <v>0.88</v>
      </c>
      <c r="AC50">
        <f t="shared" si="7"/>
        <v>0.8</v>
      </c>
      <c r="AD50">
        <f t="shared" si="7"/>
        <v>0.91999999999999993</v>
      </c>
      <c r="AE50">
        <f t="shared" si="7"/>
        <v>0.72</v>
      </c>
      <c r="AF50">
        <f t="shared" si="7"/>
        <v>0.56000000000000005</v>
      </c>
      <c r="AG50">
        <f t="shared" si="7"/>
        <v>0.52</v>
      </c>
      <c r="AH50">
        <f t="shared" si="7"/>
        <v>0.6</v>
      </c>
      <c r="AI50">
        <f t="shared" si="7"/>
        <v>0.6</v>
      </c>
      <c r="AJ50">
        <f t="shared" si="7"/>
        <v>0.68</v>
      </c>
      <c r="AK50">
        <f t="shared" si="7"/>
        <v>0.76</v>
      </c>
      <c r="AL50">
        <f t="shared" si="7"/>
        <v>0.52</v>
      </c>
    </row>
    <row r="52" spans="1:38" x14ac:dyDescent="0.4">
      <c r="B52">
        <v>57</v>
      </c>
      <c r="C52">
        <v>59</v>
      </c>
      <c r="D52">
        <v>61</v>
      </c>
      <c r="E52">
        <v>63</v>
      </c>
      <c r="F52">
        <v>65</v>
      </c>
      <c r="G52">
        <v>67</v>
      </c>
      <c r="H52">
        <v>69</v>
      </c>
      <c r="I52">
        <v>71</v>
      </c>
      <c r="J52">
        <v>73</v>
      </c>
      <c r="K52">
        <v>75</v>
      </c>
      <c r="L52">
        <v>77</v>
      </c>
      <c r="M52">
        <v>79</v>
      </c>
      <c r="N52">
        <v>81</v>
      </c>
      <c r="O52">
        <v>83</v>
      </c>
      <c r="P52">
        <v>85</v>
      </c>
      <c r="Q52">
        <v>87</v>
      </c>
      <c r="R52">
        <v>89</v>
      </c>
      <c r="S52">
        <v>91</v>
      </c>
      <c r="T52">
        <v>93</v>
      </c>
      <c r="U52">
        <v>95</v>
      </c>
      <c r="V52">
        <v>97</v>
      </c>
      <c r="W52">
        <v>99</v>
      </c>
      <c r="X52">
        <v>101</v>
      </c>
      <c r="Y52">
        <v>103</v>
      </c>
      <c r="Z52">
        <v>105</v>
      </c>
      <c r="AA52">
        <v>107</v>
      </c>
      <c r="AB52">
        <v>109</v>
      </c>
      <c r="AC52">
        <v>111</v>
      </c>
      <c r="AD52">
        <v>113</v>
      </c>
      <c r="AE52">
        <v>115</v>
      </c>
      <c r="AF52">
        <v>117</v>
      </c>
      <c r="AG52">
        <v>119</v>
      </c>
      <c r="AH52">
        <v>121</v>
      </c>
      <c r="AI52">
        <v>123</v>
      </c>
      <c r="AJ52">
        <v>125</v>
      </c>
      <c r="AK52">
        <v>127</v>
      </c>
      <c r="AL52">
        <v>129</v>
      </c>
    </row>
    <row r="53" spans="1:38" x14ac:dyDescent="0.4">
      <c r="A53">
        <v>1</v>
      </c>
      <c r="B53">
        <v>0.12</v>
      </c>
      <c r="C53">
        <v>0.11</v>
      </c>
      <c r="D53">
        <v>0.15</v>
      </c>
      <c r="E53">
        <v>0.26</v>
      </c>
      <c r="F53">
        <v>0.26</v>
      </c>
      <c r="G53">
        <v>0.1</v>
      </c>
      <c r="H53">
        <v>0.08</v>
      </c>
      <c r="I53">
        <v>0.09</v>
      </c>
      <c r="J53">
        <v>0.09</v>
      </c>
      <c r="K53">
        <v>0.12</v>
      </c>
      <c r="L53">
        <v>0.08</v>
      </c>
      <c r="M53">
        <v>0.08</v>
      </c>
      <c r="N53">
        <v>0.06</v>
      </c>
      <c r="O53">
        <v>7.0000000000000007E-2</v>
      </c>
      <c r="P53">
        <v>0.12</v>
      </c>
      <c r="Q53">
        <v>0.15</v>
      </c>
      <c r="R53">
        <v>0.09</v>
      </c>
      <c r="S53">
        <v>0.09</v>
      </c>
      <c r="T53">
        <v>7.0000000000000007E-2</v>
      </c>
      <c r="U53">
        <v>0.1</v>
      </c>
      <c r="V53">
        <v>0.08</v>
      </c>
      <c r="W53">
        <v>0.1</v>
      </c>
      <c r="X53">
        <v>0.08</v>
      </c>
      <c r="Y53">
        <v>0.09</v>
      </c>
      <c r="Z53">
        <v>0.12</v>
      </c>
      <c r="AA53">
        <v>0.1</v>
      </c>
      <c r="AB53">
        <v>0.06</v>
      </c>
      <c r="AC53">
        <v>0.09</v>
      </c>
      <c r="AD53">
        <v>0.13</v>
      </c>
      <c r="AE53">
        <v>0.15</v>
      </c>
      <c r="AF53">
        <v>0.16</v>
      </c>
      <c r="AG53">
        <v>0.15</v>
      </c>
      <c r="AH53">
        <v>0.15</v>
      </c>
      <c r="AI53">
        <v>0.15</v>
      </c>
      <c r="AJ53">
        <v>0.16</v>
      </c>
      <c r="AK53">
        <v>0.13</v>
      </c>
      <c r="AL53">
        <v>0.12</v>
      </c>
    </row>
    <row r="54" spans="1:38" x14ac:dyDescent="0.4">
      <c r="A54">
        <v>2</v>
      </c>
      <c r="B54">
        <v>0.49</v>
      </c>
      <c r="C54">
        <v>0.46</v>
      </c>
      <c r="D54">
        <v>0.53</v>
      </c>
      <c r="E54">
        <v>0.63</v>
      </c>
      <c r="F54">
        <v>0.57999999999999996</v>
      </c>
      <c r="G54">
        <v>0.56999999999999995</v>
      </c>
      <c r="H54">
        <v>0.56999999999999995</v>
      </c>
      <c r="I54">
        <v>0.59</v>
      </c>
      <c r="J54">
        <v>0.56000000000000005</v>
      </c>
      <c r="K54">
        <v>0.54</v>
      </c>
      <c r="L54">
        <v>0.54</v>
      </c>
      <c r="M54">
        <v>0.5</v>
      </c>
      <c r="N54">
        <v>0.6</v>
      </c>
      <c r="O54">
        <v>0.5</v>
      </c>
      <c r="P54">
        <v>0.45</v>
      </c>
      <c r="Q54">
        <v>0.48</v>
      </c>
      <c r="R54">
        <v>0.44</v>
      </c>
      <c r="S54">
        <v>0.43</v>
      </c>
      <c r="T54">
        <v>0.43</v>
      </c>
      <c r="U54">
        <v>0.47</v>
      </c>
      <c r="V54">
        <v>0.39</v>
      </c>
      <c r="W54">
        <v>0.33</v>
      </c>
      <c r="X54">
        <v>0.36</v>
      </c>
      <c r="Y54">
        <v>0.38</v>
      </c>
      <c r="Z54">
        <v>0.34</v>
      </c>
      <c r="AA54">
        <v>0.28999999999999998</v>
      </c>
      <c r="AB54">
        <v>0.24</v>
      </c>
      <c r="AC54">
        <v>0.3</v>
      </c>
      <c r="AD54">
        <v>0.3</v>
      </c>
      <c r="AE54">
        <v>0.23</v>
      </c>
      <c r="AF54">
        <v>0.26</v>
      </c>
      <c r="AG54">
        <v>0.28999999999999998</v>
      </c>
      <c r="AH54">
        <v>0.28999999999999998</v>
      </c>
      <c r="AI54">
        <v>0.21</v>
      </c>
      <c r="AJ54">
        <v>0.23</v>
      </c>
      <c r="AK54">
        <v>0.26</v>
      </c>
      <c r="AL54">
        <v>0.23</v>
      </c>
    </row>
    <row r="55" spans="1:38" x14ac:dyDescent="0.4">
      <c r="A55">
        <v>3</v>
      </c>
      <c r="B55">
        <v>0.23</v>
      </c>
      <c r="C55">
        <v>0.32</v>
      </c>
      <c r="D55">
        <v>0.2</v>
      </c>
      <c r="E55">
        <v>0.03</v>
      </c>
      <c r="F55">
        <v>0.06</v>
      </c>
      <c r="G55">
        <v>0.21</v>
      </c>
      <c r="H55">
        <v>0.25</v>
      </c>
      <c r="I55">
        <v>0.23</v>
      </c>
      <c r="J55">
        <v>0.22</v>
      </c>
      <c r="K55">
        <v>0.21</v>
      </c>
      <c r="L55">
        <v>0.23</v>
      </c>
      <c r="M55">
        <v>0.3</v>
      </c>
      <c r="N55">
        <v>0.24</v>
      </c>
      <c r="O55">
        <v>0.32</v>
      </c>
      <c r="P55">
        <v>0.32</v>
      </c>
      <c r="Q55">
        <v>0.27</v>
      </c>
      <c r="R55">
        <v>0.39</v>
      </c>
      <c r="S55">
        <v>0.37</v>
      </c>
      <c r="T55">
        <v>0.36</v>
      </c>
      <c r="U55">
        <v>0.34</v>
      </c>
      <c r="V55">
        <v>0.4</v>
      </c>
      <c r="W55">
        <v>0.44</v>
      </c>
      <c r="X55">
        <v>0.43</v>
      </c>
      <c r="Y55">
        <v>0.41</v>
      </c>
      <c r="Z55">
        <v>0.47</v>
      </c>
      <c r="AA55">
        <v>0.51</v>
      </c>
      <c r="AB55">
        <v>0.55000000000000004</v>
      </c>
      <c r="AC55">
        <v>0.49</v>
      </c>
      <c r="AD55">
        <v>0.48</v>
      </c>
      <c r="AE55">
        <v>0.46</v>
      </c>
      <c r="AF55">
        <v>0.42</v>
      </c>
      <c r="AG55">
        <v>0.37</v>
      </c>
      <c r="AH55">
        <v>0.36</v>
      </c>
      <c r="AI55">
        <v>0.46</v>
      </c>
      <c r="AJ55">
        <v>0.45</v>
      </c>
      <c r="AK55">
        <v>0.46</v>
      </c>
      <c r="AL55">
        <v>0.45</v>
      </c>
    </row>
    <row r="56" spans="1:38" x14ac:dyDescent="0.4">
      <c r="A56" t="s">
        <v>6</v>
      </c>
      <c r="B56">
        <v>0.16</v>
      </c>
      <c r="C56">
        <v>0.11</v>
      </c>
      <c r="D56">
        <v>0.12</v>
      </c>
      <c r="E56">
        <v>0.08</v>
      </c>
      <c r="F56">
        <v>0.1</v>
      </c>
      <c r="G56">
        <v>0.12</v>
      </c>
      <c r="H56">
        <v>0.1</v>
      </c>
      <c r="I56">
        <v>0.09</v>
      </c>
      <c r="J56">
        <v>0.13</v>
      </c>
      <c r="K56">
        <v>0.13</v>
      </c>
      <c r="L56">
        <v>0.15</v>
      </c>
      <c r="M56">
        <v>0.12</v>
      </c>
      <c r="N56">
        <v>0.1</v>
      </c>
      <c r="O56">
        <v>0.11</v>
      </c>
      <c r="P56">
        <v>0.11</v>
      </c>
      <c r="Q56">
        <v>0.1</v>
      </c>
      <c r="R56">
        <v>0.08</v>
      </c>
      <c r="S56">
        <v>0.11</v>
      </c>
      <c r="T56">
        <v>0.14000000000000001</v>
      </c>
      <c r="U56">
        <v>0.09</v>
      </c>
      <c r="V56">
        <v>0.13</v>
      </c>
      <c r="W56">
        <v>0.13</v>
      </c>
      <c r="X56">
        <v>0.13</v>
      </c>
      <c r="Y56">
        <v>0.12</v>
      </c>
      <c r="Z56">
        <v>7.0000000000000007E-2</v>
      </c>
      <c r="AA56">
        <v>0.1</v>
      </c>
      <c r="AB56">
        <v>0.15</v>
      </c>
      <c r="AC56">
        <v>0.12</v>
      </c>
      <c r="AD56">
        <v>0.09</v>
      </c>
      <c r="AE56">
        <v>0.16</v>
      </c>
      <c r="AF56">
        <v>0.16</v>
      </c>
      <c r="AG56">
        <v>0.19</v>
      </c>
      <c r="AH56">
        <v>0.2</v>
      </c>
      <c r="AI56">
        <v>0.18</v>
      </c>
      <c r="AJ56">
        <v>0.16</v>
      </c>
      <c r="AK56">
        <v>0.15</v>
      </c>
      <c r="AL56">
        <v>0.2</v>
      </c>
    </row>
    <row r="57" spans="1:38" x14ac:dyDescent="0.4">
      <c r="B57">
        <f>B54+B55</f>
        <v>0.72</v>
      </c>
      <c r="C57">
        <f t="shared" ref="C57:AL57" si="8">C54+C55</f>
        <v>0.78</v>
      </c>
      <c r="D57">
        <f t="shared" si="8"/>
        <v>0.73</v>
      </c>
      <c r="E57">
        <f t="shared" si="8"/>
        <v>0.66</v>
      </c>
      <c r="F57">
        <f t="shared" si="8"/>
        <v>0.6399999999999999</v>
      </c>
      <c r="G57">
        <f t="shared" si="8"/>
        <v>0.77999999999999992</v>
      </c>
      <c r="H57">
        <f t="shared" si="8"/>
        <v>0.82</v>
      </c>
      <c r="I57">
        <f t="shared" si="8"/>
        <v>0.82</v>
      </c>
      <c r="J57">
        <f t="shared" si="8"/>
        <v>0.78</v>
      </c>
      <c r="K57">
        <f t="shared" si="8"/>
        <v>0.75</v>
      </c>
      <c r="L57">
        <f t="shared" si="8"/>
        <v>0.77</v>
      </c>
      <c r="M57">
        <f t="shared" si="8"/>
        <v>0.8</v>
      </c>
      <c r="N57">
        <f t="shared" si="8"/>
        <v>0.84</v>
      </c>
      <c r="O57">
        <f t="shared" si="8"/>
        <v>0.82000000000000006</v>
      </c>
      <c r="P57">
        <f t="shared" si="8"/>
        <v>0.77</v>
      </c>
      <c r="Q57">
        <f t="shared" si="8"/>
        <v>0.75</v>
      </c>
      <c r="R57">
        <f t="shared" si="8"/>
        <v>0.83000000000000007</v>
      </c>
      <c r="S57">
        <f t="shared" si="8"/>
        <v>0.8</v>
      </c>
      <c r="T57">
        <f t="shared" si="8"/>
        <v>0.79</v>
      </c>
      <c r="U57">
        <f t="shared" si="8"/>
        <v>0.81</v>
      </c>
      <c r="V57">
        <f t="shared" si="8"/>
        <v>0.79</v>
      </c>
      <c r="W57">
        <f t="shared" si="8"/>
        <v>0.77</v>
      </c>
      <c r="X57">
        <f t="shared" si="8"/>
        <v>0.79</v>
      </c>
      <c r="Y57">
        <f t="shared" si="8"/>
        <v>0.79</v>
      </c>
      <c r="Z57">
        <f t="shared" si="8"/>
        <v>0.81</v>
      </c>
      <c r="AA57">
        <f t="shared" si="8"/>
        <v>0.8</v>
      </c>
      <c r="AB57">
        <f t="shared" si="8"/>
        <v>0.79</v>
      </c>
      <c r="AC57">
        <f t="shared" si="8"/>
        <v>0.79</v>
      </c>
      <c r="AD57">
        <f t="shared" si="8"/>
        <v>0.78</v>
      </c>
      <c r="AE57">
        <f t="shared" si="8"/>
        <v>0.69000000000000006</v>
      </c>
      <c r="AF57">
        <f t="shared" si="8"/>
        <v>0.67999999999999994</v>
      </c>
      <c r="AG57">
        <f t="shared" si="8"/>
        <v>0.65999999999999992</v>
      </c>
      <c r="AH57">
        <f t="shared" si="8"/>
        <v>0.64999999999999991</v>
      </c>
      <c r="AI57">
        <f t="shared" si="8"/>
        <v>0.67</v>
      </c>
      <c r="AJ57">
        <f t="shared" si="8"/>
        <v>0.68</v>
      </c>
      <c r="AK57">
        <f t="shared" si="8"/>
        <v>0.72</v>
      </c>
      <c r="AL57">
        <f t="shared" si="8"/>
        <v>0.68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L135"/>
  <sheetViews>
    <sheetView showGridLines="0" workbookViewId="0">
      <pane xSplit="1" topLeftCell="DA1" activePane="topRight" state="frozen"/>
      <selection pane="topRight" activeCell="A18" sqref="A18"/>
    </sheetView>
  </sheetViews>
  <sheetFormatPr defaultRowHeight="17.399999999999999" x14ac:dyDescent="0.4"/>
  <cols>
    <col min="1" max="115" width="14.69921875" customWidth="1"/>
  </cols>
  <sheetData>
    <row r="1" spans="1:115" ht="15" customHeight="1" x14ac:dyDescent="0.4">
      <c r="A1" s="4" t="s">
        <v>20</v>
      </c>
      <c r="B1" t="s">
        <v>49</v>
      </c>
    </row>
    <row r="3" spans="1:115" x14ac:dyDescent="0.4">
      <c r="A3" s="5" t="s">
        <v>50</v>
      </c>
    </row>
    <row r="4" spans="1:115" x14ac:dyDescent="0.4">
      <c r="A4" s="6" t="s">
        <v>28</v>
      </c>
      <c r="B4" s="6" t="s">
        <v>21</v>
      </c>
      <c r="C4" s="6" t="s">
        <v>22</v>
      </c>
    </row>
    <row r="5" spans="1:115" x14ac:dyDescent="0.4">
      <c r="A5" s="7"/>
      <c r="B5" s="7"/>
      <c r="C5" s="7"/>
    </row>
    <row r="6" spans="1:115" x14ac:dyDescent="0.4">
      <c r="A6" s="7"/>
      <c r="B6" s="7"/>
      <c r="C6" s="7"/>
    </row>
    <row r="7" spans="1:115" x14ac:dyDescent="0.4">
      <c r="A7" s="8"/>
      <c r="B7" s="8"/>
      <c r="C7" s="8"/>
    </row>
    <row r="9" spans="1:115" x14ac:dyDescent="0.4">
      <c r="A9" s="6"/>
      <c r="B9" s="6" t="s">
        <v>51</v>
      </c>
      <c r="C9" s="6" t="s">
        <v>25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47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47</v>
      </c>
      <c r="AC9" s="6" t="s">
        <v>47</v>
      </c>
      <c r="AD9" s="6" t="s">
        <v>47</v>
      </c>
      <c r="AE9" s="6" t="s">
        <v>47</v>
      </c>
      <c r="AF9" s="6" t="s">
        <v>47</v>
      </c>
      <c r="AG9" s="6" t="s">
        <v>47</v>
      </c>
      <c r="AH9" s="6" t="s">
        <v>47</v>
      </c>
      <c r="AI9" s="6" t="s">
        <v>47</v>
      </c>
      <c r="AJ9" s="6" t="s">
        <v>47</v>
      </c>
      <c r="AK9" s="6" t="s">
        <v>47</v>
      </c>
      <c r="AL9" s="6" t="s">
        <v>47</v>
      </c>
      <c r="AM9" s="6" t="s">
        <v>47</v>
      </c>
      <c r="AN9" s="6" t="s">
        <v>47</v>
      </c>
      <c r="AO9" s="6" t="s">
        <v>47</v>
      </c>
      <c r="AP9" s="6" t="s">
        <v>47</v>
      </c>
      <c r="AQ9" s="6" t="s">
        <v>47</v>
      </c>
      <c r="AR9" s="6" t="s">
        <v>47</v>
      </c>
      <c r="AS9" s="6" t="s">
        <v>47</v>
      </c>
      <c r="AT9" s="6" t="s">
        <v>47</v>
      </c>
      <c r="AU9" s="6" t="s">
        <v>47</v>
      </c>
      <c r="AV9" s="6" t="s">
        <v>47</v>
      </c>
      <c r="AW9" s="6" t="s">
        <v>47</v>
      </c>
      <c r="AX9" s="6" t="s">
        <v>47</v>
      </c>
      <c r="AY9" s="6" t="s">
        <v>47</v>
      </c>
      <c r="AZ9" s="6" t="s">
        <v>47</v>
      </c>
      <c r="BA9" s="6" t="s">
        <v>47</v>
      </c>
      <c r="BB9" s="6" t="s">
        <v>47</v>
      </c>
      <c r="BC9" s="6" t="s">
        <v>47</v>
      </c>
      <c r="BD9" s="6" t="s">
        <v>47</v>
      </c>
      <c r="BE9" s="6" t="s">
        <v>47</v>
      </c>
      <c r="BF9" s="6" t="s">
        <v>47</v>
      </c>
      <c r="BG9" s="6" t="s">
        <v>47</v>
      </c>
      <c r="BH9" s="6" t="s">
        <v>47</v>
      </c>
      <c r="BI9" s="6" t="s">
        <v>47</v>
      </c>
      <c r="BJ9" s="6" t="s">
        <v>47</v>
      </c>
      <c r="BK9" s="6" t="s">
        <v>47</v>
      </c>
      <c r="BL9" s="6" t="s">
        <v>47</v>
      </c>
      <c r="BM9" s="6" t="s">
        <v>47</v>
      </c>
      <c r="BN9" s="6" t="s">
        <v>47</v>
      </c>
      <c r="BO9" s="6" t="s">
        <v>47</v>
      </c>
      <c r="BP9" s="6" t="s">
        <v>47</v>
      </c>
      <c r="BQ9" s="6" t="s">
        <v>47</v>
      </c>
      <c r="BR9" s="6" t="s">
        <v>47</v>
      </c>
      <c r="BS9" s="6" t="s">
        <v>47</v>
      </c>
      <c r="BT9" s="6" t="s">
        <v>47</v>
      </c>
      <c r="BU9" s="6" t="s">
        <v>47</v>
      </c>
      <c r="BV9" s="6" t="s">
        <v>47</v>
      </c>
      <c r="BW9" s="6" t="s">
        <v>47</v>
      </c>
      <c r="BX9" s="6" t="s">
        <v>47</v>
      </c>
      <c r="BY9" s="6" t="s">
        <v>47</v>
      </c>
      <c r="BZ9" s="6" t="s">
        <v>47</v>
      </c>
      <c r="CA9" s="6" t="s">
        <v>47</v>
      </c>
      <c r="CB9" s="6" t="s">
        <v>47</v>
      </c>
      <c r="CC9" s="6" t="s">
        <v>47</v>
      </c>
      <c r="CD9" s="6" t="s">
        <v>47</v>
      </c>
      <c r="CE9" s="6" t="s">
        <v>47</v>
      </c>
      <c r="CF9" s="6" t="s">
        <v>47</v>
      </c>
      <c r="CG9" s="6" t="s">
        <v>47</v>
      </c>
      <c r="CH9" s="6" t="s">
        <v>47</v>
      </c>
      <c r="CI9" s="6" t="s">
        <v>47</v>
      </c>
      <c r="CJ9" s="6" t="s">
        <v>47</v>
      </c>
      <c r="CK9" s="6" t="s">
        <v>47</v>
      </c>
      <c r="CL9" s="6" t="s">
        <v>47</v>
      </c>
      <c r="CM9" s="6" t="s">
        <v>47</v>
      </c>
      <c r="CN9" s="6" t="s">
        <v>47</v>
      </c>
      <c r="CO9" s="6" t="s">
        <v>47</v>
      </c>
      <c r="CP9" s="6" t="s">
        <v>47</v>
      </c>
      <c r="CQ9" s="6" t="s">
        <v>47</v>
      </c>
      <c r="CR9" s="6" t="s">
        <v>47</v>
      </c>
      <c r="CS9" s="6" t="s">
        <v>47</v>
      </c>
      <c r="CT9" s="6" t="s">
        <v>47</v>
      </c>
      <c r="CU9" s="6" t="s">
        <v>47</v>
      </c>
      <c r="CV9" s="6" t="s">
        <v>47</v>
      </c>
      <c r="CW9" s="6" t="s">
        <v>47</v>
      </c>
      <c r="CX9" s="6" t="s">
        <v>47</v>
      </c>
      <c r="CY9" s="6" t="s">
        <v>47</v>
      </c>
      <c r="CZ9" s="6" t="s">
        <v>47</v>
      </c>
      <c r="DA9" s="6" t="s">
        <v>47</v>
      </c>
      <c r="DB9" s="6" t="s">
        <v>47</v>
      </c>
      <c r="DC9" s="6" t="s">
        <v>47</v>
      </c>
      <c r="DD9" s="6" t="s">
        <v>47</v>
      </c>
      <c r="DE9" s="6" t="s">
        <v>47</v>
      </c>
      <c r="DF9" s="6" t="s">
        <v>47</v>
      </c>
      <c r="DG9" s="6" t="s">
        <v>47</v>
      </c>
      <c r="DH9" s="6" t="s">
        <v>47</v>
      </c>
      <c r="DI9" s="6" t="s">
        <v>47</v>
      </c>
      <c r="DJ9" s="6" t="s">
        <v>47</v>
      </c>
      <c r="DK9" s="6" t="s">
        <v>47</v>
      </c>
    </row>
    <row r="10" spans="1:115" x14ac:dyDescent="0.4">
      <c r="A10" s="9"/>
      <c r="B10" s="9" t="s">
        <v>52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15" x14ac:dyDescent="0.4">
      <c r="A11" s="9"/>
      <c r="B11" s="9" t="s">
        <v>53</v>
      </c>
      <c r="C11" s="9" t="s">
        <v>31</v>
      </c>
      <c r="D11" s="9" t="s">
        <v>48</v>
      </c>
      <c r="E11" s="9" t="s">
        <v>48</v>
      </c>
      <c r="F11" s="9" t="s">
        <v>48</v>
      </c>
      <c r="G11" s="9" t="s">
        <v>48</v>
      </c>
      <c r="H11" s="9" t="s">
        <v>48</v>
      </c>
      <c r="I11" s="9" t="s">
        <v>48</v>
      </c>
      <c r="J11" s="9" t="s">
        <v>48</v>
      </c>
      <c r="K11" s="9" t="s">
        <v>48</v>
      </c>
      <c r="L11" s="9" t="s">
        <v>48</v>
      </c>
      <c r="M11" s="9" t="s">
        <v>48</v>
      </c>
      <c r="N11" s="9" t="s">
        <v>48</v>
      </c>
      <c r="O11" s="9" t="s">
        <v>48</v>
      </c>
      <c r="P11" s="9" t="s">
        <v>48</v>
      </c>
      <c r="Q11" s="9" t="s">
        <v>48</v>
      </c>
      <c r="R11" s="9" t="s">
        <v>48</v>
      </c>
      <c r="S11" s="9" t="s">
        <v>48</v>
      </c>
      <c r="T11" s="9" t="s">
        <v>48</v>
      </c>
      <c r="U11" s="9" t="s">
        <v>48</v>
      </c>
      <c r="V11" s="9" t="s">
        <v>48</v>
      </c>
      <c r="W11" s="9" t="s">
        <v>48</v>
      </c>
      <c r="X11" s="9" t="s">
        <v>48</v>
      </c>
      <c r="Y11" s="9" t="s">
        <v>48</v>
      </c>
      <c r="Z11" s="9" t="s">
        <v>48</v>
      </c>
      <c r="AA11" s="9" t="s">
        <v>48</v>
      </c>
      <c r="AB11" s="9" t="s">
        <v>48</v>
      </c>
      <c r="AC11" s="9" t="s">
        <v>48</v>
      </c>
      <c r="AD11" s="9" t="s">
        <v>48</v>
      </c>
      <c r="AE11" s="9" t="s">
        <v>48</v>
      </c>
      <c r="AF11" s="9" t="s">
        <v>48</v>
      </c>
      <c r="AG11" s="9" t="s">
        <v>48</v>
      </c>
      <c r="AH11" s="9" t="s">
        <v>48</v>
      </c>
      <c r="AI11" s="9" t="s">
        <v>48</v>
      </c>
      <c r="AJ11" s="9" t="s">
        <v>48</v>
      </c>
      <c r="AK11" s="9" t="s">
        <v>48</v>
      </c>
      <c r="AL11" s="9" t="s">
        <v>48</v>
      </c>
      <c r="AM11" s="9" t="s">
        <v>48</v>
      </c>
      <c r="AN11" s="9" t="s">
        <v>48</v>
      </c>
      <c r="AO11" s="9" t="s">
        <v>48</v>
      </c>
      <c r="AP11" s="9" t="s">
        <v>48</v>
      </c>
      <c r="AQ11" s="9" t="s">
        <v>48</v>
      </c>
      <c r="AR11" s="9" t="s">
        <v>48</v>
      </c>
      <c r="AS11" s="9" t="s">
        <v>48</v>
      </c>
      <c r="AT11" s="9" t="s">
        <v>48</v>
      </c>
      <c r="AU11" s="9" t="s">
        <v>48</v>
      </c>
      <c r="AV11" s="9" t="s">
        <v>48</v>
      </c>
      <c r="AW11" s="9" t="s">
        <v>48</v>
      </c>
      <c r="AX11" s="9" t="s">
        <v>48</v>
      </c>
      <c r="AY11" s="9" t="s">
        <v>48</v>
      </c>
      <c r="AZ11" s="9" t="s">
        <v>48</v>
      </c>
      <c r="BA11" s="9" t="s">
        <v>48</v>
      </c>
      <c r="BB11" s="9" t="s">
        <v>48</v>
      </c>
      <c r="BC11" s="9" t="s">
        <v>48</v>
      </c>
      <c r="BD11" s="9" t="s">
        <v>48</v>
      </c>
      <c r="BE11" s="9" t="s">
        <v>48</v>
      </c>
      <c r="BF11" s="9" t="s">
        <v>48</v>
      </c>
      <c r="BG11" s="9" t="s">
        <v>48</v>
      </c>
      <c r="BH11" s="9" t="s">
        <v>48</v>
      </c>
      <c r="BI11" s="9" t="s">
        <v>48</v>
      </c>
      <c r="BJ11" s="9" t="s">
        <v>48</v>
      </c>
      <c r="BK11" s="9" t="s">
        <v>48</v>
      </c>
      <c r="BL11" s="9" t="s">
        <v>48</v>
      </c>
      <c r="BM11" s="9" t="s">
        <v>48</v>
      </c>
      <c r="BN11" s="9" t="s">
        <v>48</v>
      </c>
      <c r="BO11" s="9" t="s">
        <v>48</v>
      </c>
      <c r="BP11" s="9" t="s">
        <v>48</v>
      </c>
      <c r="BQ11" s="9" t="s">
        <v>48</v>
      </c>
      <c r="BR11" s="9" t="s">
        <v>48</v>
      </c>
      <c r="BS11" s="9" t="s">
        <v>48</v>
      </c>
      <c r="BT11" s="9" t="s">
        <v>48</v>
      </c>
      <c r="BU11" s="9" t="s">
        <v>48</v>
      </c>
      <c r="BV11" s="9" t="s">
        <v>48</v>
      </c>
      <c r="BW11" s="9" t="s">
        <v>48</v>
      </c>
      <c r="BX11" s="9" t="s">
        <v>48</v>
      </c>
      <c r="BY11" s="9" t="s">
        <v>48</v>
      </c>
      <c r="BZ11" s="9" t="s">
        <v>48</v>
      </c>
      <c r="CA11" s="9" t="s">
        <v>48</v>
      </c>
      <c r="CB11" s="9" t="s">
        <v>48</v>
      </c>
      <c r="CC11" s="9" t="s">
        <v>48</v>
      </c>
      <c r="CD11" s="9" t="s">
        <v>48</v>
      </c>
      <c r="CE11" s="9" t="s">
        <v>48</v>
      </c>
      <c r="CF11" s="9" t="s">
        <v>48</v>
      </c>
      <c r="CG11" s="9" t="s">
        <v>48</v>
      </c>
      <c r="CH11" s="9" t="s">
        <v>48</v>
      </c>
      <c r="CI11" s="9" t="s">
        <v>48</v>
      </c>
      <c r="CJ11" s="9" t="s">
        <v>48</v>
      </c>
      <c r="CK11" s="9" t="s">
        <v>48</v>
      </c>
      <c r="CL11" s="9" t="s">
        <v>48</v>
      </c>
      <c r="CM11" s="9" t="s">
        <v>48</v>
      </c>
      <c r="CN11" s="9" t="s">
        <v>48</v>
      </c>
      <c r="CO11" s="9" t="s">
        <v>48</v>
      </c>
      <c r="CP11" s="9" t="s">
        <v>48</v>
      </c>
      <c r="CQ11" s="9" t="s">
        <v>48</v>
      </c>
      <c r="CR11" s="9" t="s">
        <v>48</v>
      </c>
      <c r="CS11" s="9" t="s">
        <v>48</v>
      </c>
      <c r="CT11" s="9" t="s">
        <v>48</v>
      </c>
      <c r="CU11" s="9" t="s">
        <v>48</v>
      </c>
      <c r="CV11" s="9" t="s">
        <v>48</v>
      </c>
      <c r="CW11" s="9" t="s">
        <v>48</v>
      </c>
      <c r="CX11" s="9" t="s">
        <v>48</v>
      </c>
      <c r="CY11" s="9" t="s">
        <v>48</v>
      </c>
      <c r="CZ11" s="9" t="s">
        <v>48</v>
      </c>
      <c r="DA11" s="9" t="s">
        <v>48</v>
      </c>
      <c r="DB11" s="9" t="s">
        <v>48</v>
      </c>
      <c r="DC11" s="9" t="s">
        <v>48</v>
      </c>
      <c r="DD11" s="9" t="s">
        <v>48</v>
      </c>
      <c r="DE11" s="9" t="s">
        <v>48</v>
      </c>
      <c r="DF11" s="9" t="s">
        <v>48</v>
      </c>
      <c r="DG11" s="9" t="s">
        <v>48</v>
      </c>
      <c r="DH11" s="9" t="s">
        <v>48</v>
      </c>
      <c r="DI11" s="9" t="s">
        <v>48</v>
      </c>
      <c r="DJ11" s="9" t="s">
        <v>48</v>
      </c>
      <c r="DK11" s="9" t="s">
        <v>48</v>
      </c>
    </row>
    <row r="12" spans="1:115" x14ac:dyDescent="0.4">
      <c r="A12" s="10"/>
      <c r="B12" s="10" t="s">
        <v>56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</row>
    <row r="13" spans="1:115" x14ac:dyDescent="0.4">
      <c r="A13" s="11" t="s">
        <v>54</v>
      </c>
      <c r="B13" s="12" t="s">
        <v>55</v>
      </c>
      <c r="C13" s="12" t="s">
        <v>57</v>
      </c>
      <c r="D13" s="12" t="s">
        <v>58</v>
      </c>
      <c r="E13" s="12" t="s">
        <v>58</v>
      </c>
      <c r="F13" s="12" t="s">
        <v>58</v>
      </c>
      <c r="G13" s="12" t="s">
        <v>58</v>
      </c>
      <c r="H13" s="12" t="s">
        <v>58</v>
      </c>
      <c r="I13" s="12" t="s">
        <v>58</v>
      </c>
      <c r="J13" s="12" t="s">
        <v>58</v>
      </c>
      <c r="K13" s="12" t="s">
        <v>58</v>
      </c>
      <c r="L13" s="12" t="s">
        <v>58</v>
      </c>
      <c r="M13" s="12" t="s">
        <v>58</v>
      </c>
      <c r="N13" s="12" t="s">
        <v>58</v>
      </c>
      <c r="O13" s="12" t="s">
        <v>58</v>
      </c>
      <c r="P13" s="12" t="s">
        <v>58</v>
      </c>
      <c r="Q13" s="12" t="s">
        <v>58</v>
      </c>
      <c r="R13" s="12" t="s">
        <v>58</v>
      </c>
      <c r="S13" s="12" t="s">
        <v>58</v>
      </c>
      <c r="T13" s="12" t="s">
        <v>58</v>
      </c>
      <c r="U13" s="12" t="s">
        <v>58</v>
      </c>
      <c r="V13" s="12" t="s">
        <v>58</v>
      </c>
      <c r="W13" s="12" t="s">
        <v>58</v>
      </c>
      <c r="X13" s="12" t="s">
        <v>58</v>
      </c>
      <c r="Y13" s="12" t="s">
        <v>58</v>
      </c>
      <c r="Z13" s="12" t="s">
        <v>58</v>
      </c>
      <c r="AA13" s="12" t="s">
        <v>58</v>
      </c>
      <c r="AB13" s="12" t="s">
        <v>58</v>
      </c>
      <c r="AC13" s="12" t="s">
        <v>58</v>
      </c>
      <c r="AD13" s="12" t="s">
        <v>58</v>
      </c>
      <c r="AE13" s="12" t="s">
        <v>58</v>
      </c>
      <c r="AF13" s="12" t="s">
        <v>58</v>
      </c>
      <c r="AG13" s="12" t="s">
        <v>58</v>
      </c>
      <c r="AH13" s="12" t="s">
        <v>58</v>
      </c>
      <c r="AI13" s="12" t="s">
        <v>58</v>
      </c>
      <c r="AJ13" s="12" t="s">
        <v>58</v>
      </c>
      <c r="AK13" s="12" t="s">
        <v>58</v>
      </c>
      <c r="AL13" s="12" t="s">
        <v>58</v>
      </c>
      <c r="AM13" s="12" t="s">
        <v>58</v>
      </c>
      <c r="AN13" s="12" t="s">
        <v>58</v>
      </c>
      <c r="AO13" s="12" t="s">
        <v>58</v>
      </c>
      <c r="AP13" s="12" t="s">
        <v>58</v>
      </c>
      <c r="AQ13" s="12" t="s">
        <v>58</v>
      </c>
      <c r="AR13" s="12" t="s">
        <v>58</v>
      </c>
      <c r="AS13" s="12" t="s">
        <v>58</v>
      </c>
      <c r="AT13" s="12" t="s">
        <v>58</v>
      </c>
      <c r="AU13" s="12" t="s">
        <v>58</v>
      </c>
      <c r="AV13" s="12" t="s">
        <v>58</v>
      </c>
      <c r="AW13" s="12" t="s">
        <v>58</v>
      </c>
      <c r="AX13" s="12" t="s">
        <v>58</v>
      </c>
      <c r="AY13" s="12" t="s">
        <v>58</v>
      </c>
      <c r="AZ13" s="12" t="s">
        <v>58</v>
      </c>
      <c r="BA13" s="12" t="s">
        <v>58</v>
      </c>
      <c r="BB13" s="12" t="s">
        <v>58</v>
      </c>
      <c r="BC13" s="12" t="s">
        <v>58</v>
      </c>
      <c r="BD13" s="12" t="s">
        <v>58</v>
      </c>
      <c r="BE13" s="12" t="s">
        <v>58</v>
      </c>
      <c r="BF13" s="12" t="s">
        <v>58</v>
      </c>
      <c r="BG13" s="12" t="s">
        <v>58</v>
      </c>
      <c r="BH13" s="12" t="s">
        <v>58</v>
      </c>
      <c r="BI13" s="12" t="s">
        <v>58</v>
      </c>
      <c r="BJ13" s="12" t="s">
        <v>58</v>
      </c>
      <c r="BK13" s="12" t="s">
        <v>58</v>
      </c>
      <c r="BL13" s="12" t="s">
        <v>58</v>
      </c>
      <c r="BM13" s="12" t="s">
        <v>58</v>
      </c>
      <c r="BN13" s="12" t="s">
        <v>58</v>
      </c>
      <c r="BO13" s="12" t="s">
        <v>58</v>
      </c>
      <c r="BP13" s="12" t="s">
        <v>58</v>
      </c>
      <c r="BQ13" s="12" t="s">
        <v>58</v>
      </c>
      <c r="BR13" s="12" t="s">
        <v>58</v>
      </c>
      <c r="BS13" s="12" t="s">
        <v>58</v>
      </c>
      <c r="BT13" s="12" t="s">
        <v>58</v>
      </c>
      <c r="BU13" s="12" t="s">
        <v>58</v>
      </c>
      <c r="BV13" s="12" t="s">
        <v>58</v>
      </c>
      <c r="BW13" s="12" t="s">
        <v>58</v>
      </c>
      <c r="BX13" s="12" t="s">
        <v>58</v>
      </c>
      <c r="BY13" s="12" t="s">
        <v>58</v>
      </c>
      <c r="BZ13" s="12" t="s">
        <v>58</v>
      </c>
      <c r="CA13" s="12" t="s">
        <v>58</v>
      </c>
      <c r="CB13" s="12" t="s">
        <v>58</v>
      </c>
      <c r="CC13" s="12" t="s">
        <v>58</v>
      </c>
      <c r="CD13" s="12" t="s">
        <v>58</v>
      </c>
      <c r="CE13" s="12" t="s">
        <v>58</v>
      </c>
      <c r="CF13" s="12" t="s">
        <v>58</v>
      </c>
      <c r="CG13" s="12" t="s">
        <v>58</v>
      </c>
      <c r="CH13" s="12" t="s">
        <v>58</v>
      </c>
      <c r="CI13" s="12" t="s">
        <v>58</v>
      </c>
      <c r="CJ13" s="12" t="s">
        <v>58</v>
      </c>
      <c r="CK13" s="12" t="s">
        <v>58</v>
      </c>
      <c r="CL13" s="12" t="s">
        <v>58</v>
      </c>
      <c r="CM13" s="12" t="s">
        <v>58</v>
      </c>
      <c r="CN13" s="12" t="s">
        <v>58</v>
      </c>
      <c r="CO13" s="12" t="s">
        <v>58</v>
      </c>
      <c r="CP13" s="12" t="s">
        <v>58</v>
      </c>
      <c r="CQ13" s="12" t="s">
        <v>58</v>
      </c>
      <c r="CR13" s="12" t="s">
        <v>58</v>
      </c>
      <c r="CS13" s="12" t="s">
        <v>58</v>
      </c>
      <c r="CT13" s="12" t="s">
        <v>58</v>
      </c>
      <c r="CU13" s="12" t="s">
        <v>58</v>
      </c>
      <c r="CV13" s="12" t="s">
        <v>58</v>
      </c>
      <c r="CW13" s="12" t="s">
        <v>58</v>
      </c>
      <c r="CX13" s="12" t="s">
        <v>58</v>
      </c>
      <c r="CY13" s="12" t="s">
        <v>58</v>
      </c>
      <c r="CZ13" s="12" t="s">
        <v>58</v>
      </c>
      <c r="DA13" s="12" t="s">
        <v>58</v>
      </c>
      <c r="DB13" s="12" t="s">
        <v>58</v>
      </c>
      <c r="DC13" s="12" t="s">
        <v>58</v>
      </c>
      <c r="DD13" s="12" t="s">
        <v>58</v>
      </c>
      <c r="DE13" s="12" t="s">
        <v>58</v>
      </c>
      <c r="DF13" s="12" t="s">
        <v>58</v>
      </c>
      <c r="DG13" s="12" t="s">
        <v>58</v>
      </c>
      <c r="DH13" s="12" t="s">
        <v>58</v>
      </c>
      <c r="DI13" s="12" t="s">
        <v>58</v>
      </c>
      <c r="DJ13" s="12" t="s">
        <v>58</v>
      </c>
      <c r="DK13" s="12" t="s">
        <v>58</v>
      </c>
    </row>
    <row r="14" spans="1:115" x14ac:dyDescent="0.4">
      <c r="A14" s="2" t="s">
        <v>23</v>
      </c>
      <c r="B14" s="7" t="s">
        <v>29</v>
      </c>
      <c r="C14" s="2"/>
      <c r="D14" s="14">
        <v>1360.67</v>
      </c>
      <c r="E14" s="14">
        <v>1370.02</v>
      </c>
      <c r="F14" s="14">
        <v>1477.58</v>
      </c>
      <c r="G14" s="14">
        <v>1489.65</v>
      </c>
      <c r="H14" s="14">
        <v>1335.5</v>
      </c>
      <c r="I14" s="14">
        <v>1277.2</v>
      </c>
      <c r="J14" s="14">
        <v>1183.53</v>
      </c>
      <c r="K14" s="14">
        <v>1167.5999999999999</v>
      </c>
      <c r="L14" s="13">
        <v>925.5</v>
      </c>
      <c r="M14" s="13">
        <v>878.25</v>
      </c>
      <c r="N14" s="13">
        <v>911.19</v>
      </c>
      <c r="O14" s="13">
        <v>943.54</v>
      </c>
      <c r="P14" s="13">
        <v>857.91</v>
      </c>
      <c r="Q14" s="13">
        <v>975.69</v>
      </c>
      <c r="R14" s="14">
        <v>1090.0999999999999</v>
      </c>
      <c r="S14" s="14">
        <v>1107.99</v>
      </c>
      <c r="T14" s="14">
        <v>1111.72</v>
      </c>
      <c r="U14" s="14">
        <v>1266.99</v>
      </c>
      <c r="V14" s="14">
        <v>1297.04</v>
      </c>
      <c r="W14" s="14">
        <v>1375.17</v>
      </c>
      <c r="X14" s="14">
        <v>1296.3</v>
      </c>
      <c r="Y14" s="14">
        <v>1284.72</v>
      </c>
      <c r="Z14" s="14">
        <v>1391.33</v>
      </c>
      <c r="AA14" s="14">
        <v>1324.38</v>
      </c>
      <c r="AB14" s="14">
        <v>1308.32</v>
      </c>
      <c r="AC14" s="14">
        <v>1393.49</v>
      </c>
      <c r="AD14" s="14">
        <v>1438.61</v>
      </c>
      <c r="AE14" s="14">
        <v>1352.78</v>
      </c>
      <c r="AF14" s="14">
        <v>1391.01</v>
      </c>
      <c r="AG14" s="14">
        <v>1444.16</v>
      </c>
      <c r="AH14" s="14">
        <v>1425.92</v>
      </c>
      <c r="AI14" s="14">
        <v>1520.79</v>
      </c>
      <c r="AJ14" s="14">
        <v>1518.64</v>
      </c>
      <c r="AK14" s="14">
        <v>1563.19</v>
      </c>
      <c r="AL14" s="14">
        <v>1697.66</v>
      </c>
      <c r="AM14" s="14">
        <v>1711.35</v>
      </c>
      <c r="AN14" s="14">
        <v>1609.71</v>
      </c>
      <c r="AO14" s="14">
        <v>1745.1</v>
      </c>
      <c r="AP14" s="14">
        <v>1811.91</v>
      </c>
      <c r="AQ14" s="14">
        <v>1759.01</v>
      </c>
      <c r="AR14" s="14">
        <v>1711.73</v>
      </c>
      <c r="AS14" s="14">
        <v>1719.22</v>
      </c>
      <c r="AT14" s="14">
        <v>1504.86</v>
      </c>
      <c r="AU14" s="14">
        <v>1443.41</v>
      </c>
      <c r="AV14" s="14">
        <v>1559.97</v>
      </c>
      <c r="AW14" s="14">
        <v>1508.34</v>
      </c>
      <c r="AX14" s="14">
        <v>1492.11</v>
      </c>
      <c r="AY14" s="14">
        <v>1602.39</v>
      </c>
      <c r="AZ14" s="14">
        <v>1664.25</v>
      </c>
      <c r="BA14" s="14">
        <v>1666.1</v>
      </c>
      <c r="BB14" s="14">
        <v>1659.04</v>
      </c>
      <c r="BC14" s="14">
        <v>1539.09</v>
      </c>
      <c r="BD14" s="14">
        <v>1537.93</v>
      </c>
      <c r="BE14" s="14">
        <v>1571.76</v>
      </c>
      <c r="BF14" s="14">
        <v>1571.5</v>
      </c>
      <c r="BG14" s="14">
        <v>1644.29</v>
      </c>
      <c r="BH14" s="14">
        <v>1567.73</v>
      </c>
      <c r="BI14" s="14">
        <v>1593.65</v>
      </c>
      <c r="BJ14" s="14">
        <v>1655.03</v>
      </c>
      <c r="BK14" s="14">
        <v>1618.17</v>
      </c>
      <c r="BL14" s="14">
        <v>1679.47</v>
      </c>
      <c r="BM14" s="14">
        <v>1648.85</v>
      </c>
      <c r="BN14" s="14">
        <v>1593.95</v>
      </c>
      <c r="BO14" s="14">
        <v>1636.09</v>
      </c>
      <c r="BP14" s="14">
        <v>1522.54</v>
      </c>
      <c r="BQ14" s="14">
        <v>1559.54</v>
      </c>
      <c r="BR14" s="14">
        <v>1584.02</v>
      </c>
      <c r="BS14" s="14">
        <v>1638.09</v>
      </c>
      <c r="BT14" s="14">
        <v>1679.76</v>
      </c>
      <c r="BU14" s="14">
        <v>1697.16</v>
      </c>
      <c r="BV14" s="14">
        <v>1662.13</v>
      </c>
      <c r="BW14" s="14">
        <v>1588.04</v>
      </c>
      <c r="BX14" s="14">
        <v>1622.75</v>
      </c>
      <c r="BY14" s="14">
        <v>1618.42</v>
      </c>
      <c r="BZ14" s="14">
        <v>1600.37</v>
      </c>
      <c r="CA14" s="14">
        <v>1632.52</v>
      </c>
      <c r="CB14" s="14">
        <v>1635.11</v>
      </c>
      <c r="CC14" s="14">
        <v>1694.38</v>
      </c>
      <c r="CD14" s="14">
        <v>1663.77</v>
      </c>
      <c r="CE14" s="14">
        <v>1605.69</v>
      </c>
      <c r="CF14" s="14">
        <v>1565.96</v>
      </c>
      <c r="CG14" s="14">
        <v>1585.18</v>
      </c>
      <c r="CH14" s="14">
        <v>1525.88</v>
      </c>
      <c r="CI14" s="14">
        <v>1552.91</v>
      </c>
      <c r="CJ14" s="14">
        <v>1566.9</v>
      </c>
      <c r="CK14" s="14">
        <v>1595.97</v>
      </c>
      <c r="CL14" s="14">
        <v>1647.63</v>
      </c>
      <c r="CM14" s="14">
        <v>1604.61</v>
      </c>
      <c r="CN14" s="14">
        <v>1550.78</v>
      </c>
      <c r="CO14" s="14">
        <v>1500.84</v>
      </c>
      <c r="CP14" s="15">
        <v>1428</v>
      </c>
      <c r="CQ14" s="14">
        <v>1455.27</v>
      </c>
      <c r="CR14" s="14">
        <v>1542.01</v>
      </c>
      <c r="CS14" s="14">
        <v>1512.32</v>
      </c>
      <c r="CT14" s="14">
        <v>1488.29</v>
      </c>
      <c r="CU14" s="14">
        <v>1445.51</v>
      </c>
      <c r="CV14" s="14">
        <v>1453.83</v>
      </c>
      <c r="CW14" s="14">
        <v>1521.99</v>
      </c>
      <c r="CX14" s="14">
        <v>1513.7</v>
      </c>
      <c r="CY14" s="15">
        <v>1508</v>
      </c>
      <c r="CZ14" s="14">
        <v>1509.85</v>
      </c>
      <c r="DA14" s="14">
        <v>1558.02</v>
      </c>
      <c r="DB14" s="14">
        <v>1596.72</v>
      </c>
      <c r="DC14" s="14">
        <v>1600.37</v>
      </c>
      <c r="DD14" s="14">
        <v>1597.77</v>
      </c>
      <c r="DE14" s="14">
        <v>1581.79</v>
      </c>
      <c r="DF14" s="15">
        <v>1619</v>
      </c>
      <c r="DG14" s="14">
        <v>1674.61</v>
      </c>
      <c r="DH14" s="14">
        <v>1682.78</v>
      </c>
      <c r="DI14" s="14">
        <v>1748.91</v>
      </c>
      <c r="DJ14" s="14">
        <v>1792.27</v>
      </c>
      <c r="DK14" s="14">
        <v>1902.52</v>
      </c>
    </row>
    <row r="15" spans="1:115" x14ac:dyDescent="0.4">
      <c r="A15" s="2" t="s">
        <v>24</v>
      </c>
      <c r="B15" s="7" t="s">
        <v>30</v>
      </c>
      <c r="C15" s="2"/>
      <c r="D15" s="13">
        <v>837.7</v>
      </c>
      <c r="E15" s="13">
        <v>804.7</v>
      </c>
      <c r="F15" s="13">
        <v>834.25</v>
      </c>
      <c r="G15" s="13">
        <v>849.38</v>
      </c>
      <c r="H15" s="13">
        <v>789.18</v>
      </c>
      <c r="I15" s="13">
        <v>723.82</v>
      </c>
      <c r="J15" s="13">
        <v>657.34</v>
      </c>
      <c r="K15" s="13">
        <v>627.11</v>
      </c>
      <c r="L15" s="13">
        <v>423.57</v>
      </c>
      <c r="M15" s="13">
        <v>441.88</v>
      </c>
      <c r="N15" s="13">
        <v>474.9</v>
      </c>
      <c r="O15" s="13">
        <v>499.45</v>
      </c>
      <c r="P15" s="13">
        <v>491.78</v>
      </c>
      <c r="Q15" s="13">
        <v>568.49</v>
      </c>
      <c r="R15" s="13">
        <v>677.71</v>
      </c>
      <c r="S15" s="13">
        <v>705.27</v>
      </c>
      <c r="T15" s="13">
        <v>663.11</v>
      </c>
      <c r="U15" s="13">
        <v>687.34</v>
      </c>
      <c r="V15" s="13">
        <v>709.21</v>
      </c>
      <c r="W15" s="13">
        <v>706.5</v>
      </c>
      <c r="X15" s="13">
        <v>676</v>
      </c>
      <c r="Y15" s="13">
        <v>645.54</v>
      </c>
      <c r="Z15" s="13">
        <v>700.12</v>
      </c>
      <c r="AA15" s="13">
        <v>652.29</v>
      </c>
      <c r="AB15" s="13">
        <v>660.4</v>
      </c>
      <c r="AC15" s="13">
        <v>681.81</v>
      </c>
      <c r="AD15" s="13">
        <v>686.19</v>
      </c>
      <c r="AE15" s="13">
        <v>654.03</v>
      </c>
      <c r="AF15" s="13">
        <v>683.56</v>
      </c>
      <c r="AG15" s="13">
        <v>682.77</v>
      </c>
      <c r="AH15" s="13">
        <v>672.16</v>
      </c>
      <c r="AI15" s="13">
        <v>734.26</v>
      </c>
      <c r="AJ15" s="13">
        <v>769.51</v>
      </c>
      <c r="AK15" s="13">
        <v>726.31</v>
      </c>
      <c r="AL15" s="13">
        <v>753.97</v>
      </c>
      <c r="AM15" s="13">
        <v>770.15</v>
      </c>
      <c r="AN15" s="13">
        <v>726.36</v>
      </c>
      <c r="AO15" s="13">
        <v>772.5</v>
      </c>
      <c r="AP15" s="13">
        <v>789.12</v>
      </c>
      <c r="AQ15" s="13">
        <v>773.24</v>
      </c>
      <c r="AR15" s="13">
        <v>780.57</v>
      </c>
      <c r="AS15" s="13">
        <v>846.6</v>
      </c>
      <c r="AT15" s="13">
        <v>764.23</v>
      </c>
      <c r="AU15" s="13">
        <v>684.35</v>
      </c>
      <c r="AV15" s="13">
        <v>740.87</v>
      </c>
      <c r="AW15" s="13">
        <v>728.91</v>
      </c>
      <c r="AX15" s="13">
        <v>723.2</v>
      </c>
      <c r="AY15" s="13">
        <v>751.78</v>
      </c>
      <c r="AZ15" s="13">
        <v>771.38</v>
      </c>
      <c r="BA15" s="13">
        <v>735.65</v>
      </c>
      <c r="BB15" s="13">
        <v>690.17</v>
      </c>
      <c r="BC15" s="13">
        <v>658.08</v>
      </c>
      <c r="BD15" s="13">
        <v>679.21</v>
      </c>
      <c r="BE15" s="13">
        <v>658.88</v>
      </c>
      <c r="BF15" s="13">
        <v>707.64</v>
      </c>
      <c r="BG15" s="13">
        <v>735.22</v>
      </c>
      <c r="BH15" s="13">
        <v>712.49</v>
      </c>
      <c r="BI15" s="13">
        <v>704.87</v>
      </c>
      <c r="BJ15" s="13">
        <v>706.99</v>
      </c>
      <c r="BK15" s="13">
        <v>708.2</v>
      </c>
      <c r="BL15" s="13">
        <v>735.13</v>
      </c>
      <c r="BM15" s="13">
        <v>759.36</v>
      </c>
      <c r="BN15" s="13">
        <v>778.71</v>
      </c>
      <c r="BO15" s="13">
        <v>777.4</v>
      </c>
      <c r="BP15" s="13">
        <v>705.47</v>
      </c>
      <c r="BQ15" s="13">
        <v>736.85</v>
      </c>
      <c r="BR15" s="13">
        <v>698.94</v>
      </c>
      <c r="BS15" s="13">
        <v>736.15</v>
      </c>
      <c r="BT15" s="13">
        <v>731.99</v>
      </c>
      <c r="BU15" s="13">
        <v>723.25</v>
      </c>
      <c r="BV15" s="13">
        <v>712.67</v>
      </c>
      <c r="BW15" s="13">
        <v>723.38</v>
      </c>
      <c r="BX15" s="13">
        <v>738.5</v>
      </c>
      <c r="BY15" s="13">
        <v>750.75</v>
      </c>
      <c r="BZ15" s="13">
        <v>761.05</v>
      </c>
      <c r="CA15" s="13">
        <v>749.23</v>
      </c>
      <c r="CB15" s="13">
        <v>749.77</v>
      </c>
      <c r="CC15" s="13">
        <v>761.47</v>
      </c>
      <c r="CD15" s="13">
        <v>803.36</v>
      </c>
      <c r="CE15" s="13">
        <v>805.95</v>
      </c>
      <c r="CF15" s="13">
        <v>780.91</v>
      </c>
      <c r="CG15" s="13">
        <v>770.54</v>
      </c>
      <c r="CH15" s="13">
        <v>761.73</v>
      </c>
      <c r="CI15" s="13">
        <v>803.48</v>
      </c>
      <c r="CJ15" s="13">
        <v>834.91</v>
      </c>
      <c r="CK15" s="13">
        <v>880.56</v>
      </c>
      <c r="CL15" s="13">
        <v>935.6</v>
      </c>
      <c r="CM15" s="13">
        <v>978.02</v>
      </c>
      <c r="CN15" s="14">
        <v>1021.6</v>
      </c>
      <c r="CO15" s="13">
        <v>998.97</v>
      </c>
      <c r="CP15" s="13">
        <v>964.3</v>
      </c>
      <c r="CQ15" s="13">
        <v>946.75</v>
      </c>
      <c r="CR15" s="13">
        <v>923.86</v>
      </c>
      <c r="CS15" s="13">
        <v>921.39</v>
      </c>
      <c r="CT15" s="13">
        <v>910.39</v>
      </c>
      <c r="CU15" s="13">
        <v>897.25</v>
      </c>
      <c r="CV15" s="13">
        <v>874.52</v>
      </c>
      <c r="CW15" s="13">
        <v>903.12</v>
      </c>
      <c r="CX15" s="13">
        <v>917.11</v>
      </c>
      <c r="CY15" s="13">
        <v>912.56</v>
      </c>
      <c r="CZ15" s="13">
        <v>886.35</v>
      </c>
      <c r="DA15" s="13">
        <v>894.58</v>
      </c>
      <c r="DB15" s="13">
        <v>852.12</v>
      </c>
      <c r="DC15" s="13">
        <v>857.83</v>
      </c>
      <c r="DD15" s="13">
        <v>789.31</v>
      </c>
      <c r="DE15" s="13">
        <v>770.18</v>
      </c>
      <c r="DF15" s="13">
        <v>800.04</v>
      </c>
      <c r="DG15" s="13">
        <v>775.1</v>
      </c>
      <c r="DH15" s="13">
        <v>802.11</v>
      </c>
      <c r="DI15" s="13">
        <v>814.48</v>
      </c>
      <c r="DJ15" s="13">
        <v>830.01</v>
      </c>
      <c r="DK15" s="13">
        <v>877.92</v>
      </c>
    </row>
    <row r="16" spans="1:115" x14ac:dyDescent="0.4">
      <c r="C16" s="7" t="s">
        <v>29</v>
      </c>
      <c r="E16">
        <f>E14/D14</f>
        <v>1.0068716147192192</v>
      </c>
      <c r="F16">
        <f t="shared" ref="F16:BQ16" si="0">F14/E14</f>
        <v>1.0785098027766018</v>
      </c>
      <c r="G16">
        <f t="shared" si="0"/>
        <v>1.0081687624358751</v>
      </c>
      <c r="H16">
        <f t="shared" si="0"/>
        <v>0.89651931661799744</v>
      </c>
      <c r="I16">
        <f t="shared" si="0"/>
        <v>0.9563459378509922</v>
      </c>
      <c r="J16">
        <f t="shared" si="0"/>
        <v>0.92665988098966479</v>
      </c>
      <c r="K16">
        <f t="shared" si="0"/>
        <v>0.98654026513903315</v>
      </c>
      <c r="L16">
        <f t="shared" si="0"/>
        <v>0.79265159301130528</v>
      </c>
      <c r="M16">
        <f t="shared" si="0"/>
        <v>0.94894651539708263</v>
      </c>
      <c r="N16">
        <f t="shared" si="0"/>
        <v>1.0375064047822375</v>
      </c>
      <c r="O16">
        <f t="shared" si="0"/>
        <v>1.0355030235186953</v>
      </c>
      <c r="P16">
        <f t="shared" si="0"/>
        <v>0.90924603090489009</v>
      </c>
      <c r="Q16">
        <f t="shared" si="0"/>
        <v>1.1372871280204218</v>
      </c>
      <c r="R16">
        <f t="shared" si="0"/>
        <v>1.1172606053152128</v>
      </c>
      <c r="S16">
        <f t="shared" si="0"/>
        <v>1.0164113384093203</v>
      </c>
      <c r="T16">
        <f t="shared" si="0"/>
        <v>1.0033664563759601</v>
      </c>
      <c r="U16">
        <f t="shared" si="0"/>
        <v>1.1396664627783974</v>
      </c>
      <c r="V16">
        <f t="shared" si="0"/>
        <v>1.0237176299734014</v>
      </c>
      <c r="W16">
        <f t="shared" si="0"/>
        <v>1.0602371553691483</v>
      </c>
      <c r="X16">
        <f t="shared" si="0"/>
        <v>0.94264709090512433</v>
      </c>
      <c r="Y16">
        <f t="shared" si="0"/>
        <v>0.99106688266604959</v>
      </c>
      <c r="Z16">
        <f t="shared" si="0"/>
        <v>1.082983062457189</v>
      </c>
      <c r="AA16">
        <f t="shared" si="0"/>
        <v>0.95188057470190401</v>
      </c>
      <c r="AB16">
        <f t="shared" si="0"/>
        <v>0.98787357102946272</v>
      </c>
      <c r="AC16">
        <f t="shared" si="0"/>
        <v>1.0650987525987528</v>
      </c>
      <c r="AD16">
        <f t="shared" si="0"/>
        <v>1.0323791344035478</v>
      </c>
      <c r="AE16">
        <f t="shared" si="0"/>
        <v>0.94033824316527759</v>
      </c>
      <c r="AF16">
        <f t="shared" si="0"/>
        <v>1.0282603231863274</v>
      </c>
      <c r="AG16">
        <f t="shared" si="0"/>
        <v>1.0382096462282802</v>
      </c>
      <c r="AH16">
        <f t="shared" si="0"/>
        <v>0.98736982051850208</v>
      </c>
      <c r="AI16">
        <f t="shared" si="0"/>
        <v>1.0665324842908437</v>
      </c>
      <c r="AJ16">
        <f t="shared" si="0"/>
        <v>0.9985862610879872</v>
      </c>
      <c r="AK16">
        <f t="shared" si="0"/>
        <v>1.0293354580414054</v>
      </c>
      <c r="AL16">
        <f t="shared" si="0"/>
        <v>1.0860228123260769</v>
      </c>
      <c r="AM16">
        <f t="shared" si="0"/>
        <v>1.0080640410918558</v>
      </c>
      <c r="AN16">
        <f t="shared" si="0"/>
        <v>0.94060829169953553</v>
      </c>
      <c r="AO16">
        <f t="shared" si="0"/>
        <v>1.0841083176472781</v>
      </c>
      <c r="AP16">
        <f t="shared" si="0"/>
        <v>1.0382843390063607</v>
      </c>
      <c r="AQ16">
        <f t="shared" si="0"/>
        <v>0.97080428939627239</v>
      </c>
      <c r="AR16">
        <f t="shared" si="0"/>
        <v>0.97312124433630287</v>
      </c>
      <c r="AS16">
        <f t="shared" si="0"/>
        <v>1.0043756900913112</v>
      </c>
      <c r="AT16">
        <f t="shared" si="0"/>
        <v>0.87531555007503392</v>
      </c>
      <c r="AU16">
        <f t="shared" si="0"/>
        <v>0.95916563667052102</v>
      </c>
      <c r="AV16">
        <f t="shared" si="0"/>
        <v>1.0807532163418572</v>
      </c>
      <c r="AW16">
        <f t="shared" si="0"/>
        <v>0.96690320967710908</v>
      </c>
      <c r="AX16">
        <f t="shared" si="0"/>
        <v>0.98923982656430243</v>
      </c>
      <c r="AY16">
        <f t="shared" si="0"/>
        <v>1.0739087600780104</v>
      </c>
      <c r="AZ16">
        <f t="shared" si="0"/>
        <v>1.0386048340291689</v>
      </c>
      <c r="BA16">
        <f t="shared" si="0"/>
        <v>1.0011116118371639</v>
      </c>
      <c r="BB16">
        <f t="shared" si="0"/>
        <v>0.99576255927015189</v>
      </c>
      <c r="BC16">
        <f t="shared" si="0"/>
        <v>0.92769915131642389</v>
      </c>
      <c r="BD16">
        <f t="shared" si="0"/>
        <v>0.99924630788322977</v>
      </c>
      <c r="BE16">
        <f t="shared" si="0"/>
        <v>1.0219970999980492</v>
      </c>
      <c r="BF16">
        <f t="shared" si="0"/>
        <v>0.99983458034305495</v>
      </c>
      <c r="BG16">
        <f t="shared" si="0"/>
        <v>1.0463188036907414</v>
      </c>
      <c r="BH16">
        <f t="shared" si="0"/>
        <v>0.95343887027227558</v>
      </c>
      <c r="BI16">
        <f t="shared" si="0"/>
        <v>1.0165334592053479</v>
      </c>
      <c r="BJ16">
        <f t="shared" si="0"/>
        <v>1.0385153578263733</v>
      </c>
      <c r="BK16">
        <f t="shared" si="0"/>
        <v>0.97772850038972114</v>
      </c>
      <c r="BL16">
        <f t="shared" si="0"/>
        <v>1.0378822991403869</v>
      </c>
      <c r="BM16">
        <f t="shared" si="0"/>
        <v>0.98176805778013299</v>
      </c>
      <c r="BN16">
        <f t="shared" si="0"/>
        <v>0.9667040664705705</v>
      </c>
      <c r="BO16">
        <f t="shared" si="0"/>
        <v>1.0264374666708491</v>
      </c>
      <c r="BP16">
        <f t="shared" si="0"/>
        <v>0.93059672756388712</v>
      </c>
      <c r="BQ16">
        <f t="shared" si="0"/>
        <v>1.0243014961840082</v>
      </c>
      <c r="BR16">
        <f t="shared" ref="BR16:DK16" si="1">BR14/BQ14</f>
        <v>1.0156969362760815</v>
      </c>
      <c r="BS16">
        <f t="shared" si="1"/>
        <v>1.0341346700167926</v>
      </c>
      <c r="BT16">
        <f t="shared" si="1"/>
        <v>1.0254381627383111</v>
      </c>
      <c r="BU16">
        <f t="shared" si="1"/>
        <v>1.01035862266038</v>
      </c>
      <c r="BV16">
        <f t="shared" si="1"/>
        <v>0.97935963609795185</v>
      </c>
      <c r="BW16">
        <f t="shared" si="1"/>
        <v>0.95542466594069042</v>
      </c>
      <c r="BX16">
        <f t="shared" si="1"/>
        <v>1.0218571320621648</v>
      </c>
      <c r="BY16">
        <f t="shared" si="1"/>
        <v>0.99733169003235256</v>
      </c>
      <c r="BZ16">
        <f t="shared" si="1"/>
        <v>0.98884714721765665</v>
      </c>
      <c r="CA16">
        <f t="shared" si="1"/>
        <v>1.0200891043946088</v>
      </c>
      <c r="CB16">
        <f t="shared" si="1"/>
        <v>1.0015865043001004</v>
      </c>
      <c r="CC16">
        <f t="shared" si="1"/>
        <v>1.0362483258007107</v>
      </c>
      <c r="CD16">
        <f t="shared" si="1"/>
        <v>0.98193439488190359</v>
      </c>
      <c r="CE16">
        <f t="shared" si="1"/>
        <v>0.96509132872933168</v>
      </c>
      <c r="CF16">
        <f t="shared" si="1"/>
        <v>0.9752567432069702</v>
      </c>
      <c r="CG16">
        <f t="shared" si="1"/>
        <v>1.0122736212930088</v>
      </c>
      <c r="CH16">
        <f t="shared" si="1"/>
        <v>0.96259099912943646</v>
      </c>
      <c r="CI16">
        <f t="shared" si="1"/>
        <v>1.0177143681023408</v>
      </c>
      <c r="CJ16">
        <f t="shared" si="1"/>
        <v>1.0090088929815637</v>
      </c>
      <c r="CK16">
        <f t="shared" si="1"/>
        <v>1.0185525560022974</v>
      </c>
      <c r="CL16">
        <f t="shared" si="1"/>
        <v>1.0323690294930357</v>
      </c>
      <c r="CM16">
        <f t="shared" si="1"/>
        <v>0.97388976894084223</v>
      </c>
      <c r="CN16">
        <f t="shared" si="1"/>
        <v>0.9664529075600925</v>
      </c>
      <c r="CO16">
        <f t="shared" si="1"/>
        <v>0.96779685061710874</v>
      </c>
      <c r="CP16">
        <f t="shared" si="1"/>
        <v>0.95146717838010719</v>
      </c>
      <c r="CQ16">
        <f t="shared" si="1"/>
        <v>1.0190966386554621</v>
      </c>
      <c r="CR16">
        <f t="shared" si="1"/>
        <v>1.0596040597277481</v>
      </c>
      <c r="CS16">
        <f t="shared" si="1"/>
        <v>0.98074590955960073</v>
      </c>
      <c r="CT16">
        <f t="shared" si="1"/>
        <v>0.98411050571307657</v>
      </c>
      <c r="CU16">
        <f t="shared" si="1"/>
        <v>0.9712556020668015</v>
      </c>
      <c r="CV16">
        <f t="shared" si="1"/>
        <v>1.005755754024531</v>
      </c>
      <c r="CW16">
        <f t="shared" si="1"/>
        <v>1.0468830606054353</v>
      </c>
      <c r="CX16">
        <f t="shared" si="1"/>
        <v>0.99455318366086509</v>
      </c>
      <c r="CY16">
        <f t="shared" si="1"/>
        <v>0.99623439254806101</v>
      </c>
      <c r="CZ16">
        <f t="shared" si="1"/>
        <v>1.0012267904509282</v>
      </c>
      <c r="DA16">
        <f t="shared" si="1"/>
        <v>1.031903831506441</v>
      </c>
      <c r="DB16">
        <f t="shared" si="1"/>
        <v>1.0248392190087419</v>
      </c>
      <c r="DC16">
        <f t="shared" si="1"/>
        <v>1.0022859361691467</v>
      </c>
      <c r="DD16">
        <f t="shared" si="1"/>
        <v>0.99837537569437074</v>
      </c>
      <c r="DE16">
        <f t="shared" si="1"/>
        <v>0.98999856049368806</v>
      </c>
      <c r="DF16">
        <f t="shared" si="1"/>
        <v>1.0235239823238231</v>
      </c>
      <c r="DG16">
        <f t="shared" si="1"/>
        <v>1.0343483631871524</v>
      </c>
      <c r="DH16">
        <f t="shared" si="1"/>
        <v>1.0048787478875678</v>
      </c>
      <c r="DI16">
        <f t="shared" si="1"/>
        <v>1.0392980662950595</v>
      </c>
      <c r="DJ16">
        <f t="shared" si="1"/>
        <v>1.0247925850958597</v>
      </c>
      <c r="DK16">
        <f t="shared" si="1"/>
        <v>1.0615141691820986</v>
      </c>
    </row>
    <row r="17" spans="1:116" x14ac:dyDescent="0.4">
      <c r="C17" s="7" t="s">
        <v>30</v>
      </c>
      <c r="E17">
        <f>E15/D15</f>
        <v>0.96060642234690219</v>
      </c>
      <c r="F17">
        <f t="shared" ref="F17:BQ17" si="2">F15/E15</f>
        <v>1.0367217596619858</v>
      </c>
      <c r="G17">
        <f t="shared" si="2"/>
        <v>1.0181360503446208</v>
      </c>
      <c r="H17">
        <f t="shared" si="2"/>
        <v>0.92912477336410082</v>
      </c>
      <c r="I17">
        <f t="shared" si="2"/>
        <v>0.91717985757368425</v>
      </c>
      <c r="J17">
        <f t="shared" si="2"/>
        <v>0.90815396092951284</v>
      </c>
      <c r="K17">
        <f t="shared" si="2"/>
        <v>0.95401162260017647</v>
      </c>
      <c r="L17">
        <f t="shared" si="2"/>
        <v>0.6754317424375309</v>
      </c>
      <c r="M17">
        <f t="shared" si="2"/>
        <v>1.0432278017801071</v>
      </c>
      <c r="N17">
        <f t="shared" si="2"/>
        <v>1.0747261700009052</v>
      </c>
      <c r="O17">
        <f t="shared" si="2"/>
        <v>1.0516950937039378</v>
      </c>
      <c r="P17">
        <f t="shared" si="2"/>
        <v>0.98464310741815997</v>
      </c>
      <c r="Q17">
        <f t="shared" si="2"/>
        <v>1.1559843832608077</v>
      </c>
      <c r="R17">
        <f t="shared" si="2"/>
        <v>1.1921229924888741</v>
      </c>
      <c r="S17">
        <f t="shared" si="2"/>
        <v>1.0406663617181389</v>
      </c>
      <c r="T17">
        <f t="shared" si="2"/>
        <v>0.94022147546329782</v>
      </c>
      <c r="U17">
        <f t="shared" si="2"/>
        <v>1.0365399405830105</v>
      </c>
      <c r="V17">
        <f t="shared" si="2"/>
        <v>1.0318183140803678</v>
      </c>
      <c r="W17">
        <f t="shared" si="2"/>
        <v>0.99617884688597169</v>
      </c>
      <c r="X17">
        <f t="shared" si="2"/>
        <v>0.95682944090587407</v>
      </c>
      <c r="Y17">
        <f t="shared" si="2"/>
        <v>0.95494082840236683</v>
      </c>
      <c r="Z17">
        <f t="shared" si="2"/>
        <v>1.0845493695200918</v>
      </c>
      <c r="AA17">
        <f t="shared" si="2"/>
        <v>0.93168314003313712</v>
      </c>
      <c r="AB17">
        <f t="shared" si="2"/>
        <v>1.0124331202379311</v>
      </c>
      <c r="AC17">
        <f t="shared" si="2"/>
        <v>1.0324197456087219</v>
      </c>
      <c r="AD17">
        <f t="shared" si="2"/>
        <v>1.0064240770889252</v>
      </c>
      <c r="AE17">
        <f t="shared" si="2"/>
        <v>0.95313251431819168</v>
      </c>
      <c r="AF17">
        <f t="shared" si="2"/>
        <v>1.0451508340595996</v>
      </c>
      <c r="AG17">
        <f t="shared" si="2"/>
        <v>0.99884428579788176</v>
      </c>
      <c r="AH17">
        <f t="shared" si="2"/>
        <v>0.98446036000410098</v>
      </c>
      <c r="AI17">
        <f t="shared" si="2"/>
        <v>1.0923887169721496</v>
      </c>
      <c r="AJ17">
        <f t="shared" si="2"/>
        <v>1.0480075177729959</v>
      </c>
      <c r="AK17">
        <f t="shared" si="2"/>
        <v>0.94386037868253814</v>
      </c>
      <c r="AL17">
        <f t="shared" si="2"/>
        <v>1.0380829122550979</v>
      </c>
      <c r="AM17">
        <f t="shared" si="2"/>
        <v>1.0214597397774448</v>
      </c>
      <c r="AN17">
        <f t="shared" si="2"/>
        <v>0.94314094656885028</v>
      </c>
      <c r="AO17">
        <f t="shared" si="2"/>
        <v>1.0635222203865851</v>
      </c>
      <c r="AP17">
        <f t="shared" si="2"/>
        <v>1.0215145631067961</v>
      </c>
      <c r="AQ17">
        <f t="shared" si="2"/>
        <v>0.97987631792376317</v>
      </c>
      <c r="AR17">
        <f t="shared" si="2"/>
        <v>1.0094795923645958</v>
      </c>
      <c r="AS17">
        <f t="shared" si="2"/>
        <v>1.0845920289019562</v>
      </c>
      <c r="AT17">
        <f t="shared" si="2"/>
        <v>0.90270493739664537</v>
      </c>
      <c r="AU17">
        <f t="shared" si="2"/>
        <v>0.89547649267890561</v>
      </c>
      <c r="AV17">
        <f t="shared" si="2"/>
        <v>1.0825893183312632</v>
      </c>
      <c r="AW17">
        <f t="shared" si="2"/>
        <v>0.98385681698543603</v>
      </c>
      <c r="AX17">
        <f t="shared" si="2"/>
        <v>0.9921663854248125</v>
      </c>
      <c r="AY17">
        <f t="shared" si="2"/>
        <v>1.0395188053097344</v>
      </c>
      <c r="AZ17">
        <f t="shared" si="2"/>
        <v>1.0260714570752083</v>
      </c>
      <c r="BA17">
        <f t="shared" si="2"/>
        <v>0.95368041691513905</v>
      </c>
      <c r="BB17">
        <f t="shared" si="2"/>
        <v>0.93817712227281991</v>
      </c>
      <c r="BC17">
        <f t="shared" si="2"/>
        <v>0.95350420910790101</v>
      </c>
      <c r="BD17">
        <f t="shared" si="2"/>
        <v>1.0321085582300025</v>
      </c>
      <c r="BE17">
        <f t="shared" si="2"/>
        <v>0.97006816742980806</v>
      </c>
      <c r="BF17">
        <f t="shared" si="2"/>
        <v>1.0740043710539096</v>
      </c>
      <c r="BG17">
        <f t="shared" si="2"/>
        <v>1.0389746198632073</v>
      </c>
      <c r="BH17">
        <f t="shared" si="2"/>
        <v>0.96908408367563448</v>
      </c>
      <c r="BI17">
        <f t="shared" si="2"/>
        <v>0.98930511305421831</v>
      </c>
      <c r="BJ17">
        <f t="shared" si="2"/>
        <v>1.0030076468001192</v>
      </c>
      <c r="BK17">
        <f t="shared" si="2"/>
        <v>1.0017114810676249</v>
      </c>
      <c r="BL17">
        <f t="shared" si="2"/>
        <v>1.0380259813611974</v>
      </c>
      <c r="BM17">
        <f t="shared" si="2"/>
        <v>1.0329601567069771</v>
      </c>
      <c r="BN17">
        <f t="shared" si="2"/>
        <v>1.02548198482933</v>
      </c>
      <c r="BO17">
        <f t="shared" si="2"/>
        <v>0.99831773060574536</v>
      </c>
      <c r="BP17">
        <f t="shared" si="2"/>
        <v>0.90747363004888093</v>
      </c>
      <c r="BQ17">
        <f t="shared" si="2"/>
        <v>1.0444809843083334</v>
      </c>
      <c r="BR17">
        <f t="shared" ref="BR17:DK17" si="3">BR15/BQ15</f>
        <v>0.94855126552215518</v>
      </c>
      <c r="BS17">
        <f t="shared" si="3"/>
        <v>1.0532377600366267</v>
      </c>
      <c r="BT17">
        <f t="shared" si="3"/>
        <v>0.99434897778985265</v>
      </c>
      <c r="BU17">
        <f t="shared" si="3"/>
        <v>0.98805994617412807</v>
      </c>
      <c r="BV17">
        <f t="shared" si="3"/>
        <v>0.98537158658831658</v>
      </c>
      <c r="BW17">
        <f t="shared" si="3"/>
        <v>1.0150279933208919</v>
      </c>
      <c r="BX17">
        <f t="shared" si="3"/>
        <v>1.0209018772982388</v>
      </c>
      <c r="BY17">
        <f t="shared" si="3"/>
        <v>1.0165876777251184</v>
      </c>
      <c r="BZ17">
        <f t="shared" si="3"/>
        <v>1.0137196137196136</v>
      </c>
      <c r="CA17">
        <f t="shared" si="3"/>
        <v>0.98446882596412855</v>
      </c>
      <c r="CB17">
        <f t="shared" si="3"/>
        <v>1.0007207399596918</v>
      </c>
      <c r="CC17">
        <f t="shared" si="3"/>
        <v>1.0156047854675434</v>
      </c>
      <c r="CD17">
        <f t="shared" si="3"/>
        <v>1.0550120162317622</v>
      </c>
      <c r="CE17">
        <f t="shared" si="3"/>
        <v>1.0032239593706433</v>
      </c>
      <c r="CF17">
        <f t="shared" si="3"/>
        <v>0.96893107512873</v>
      </c>
      <c r="CG17">
        <f t="shared" si="3"/>
        <v>0.98672062081417833</v>
      </c>
      <c r="CH17">
        <f t="shared" si="3"/>
        <v>0.98856645988527536</v>
      </c>
      <c r="CI17">
        <f t="shared" si="3"/>
        <v>1.0548094469168865</v>
      </c>
      <c r="CJ17">
        <f t="shared" si="3"/>
        <v>1.0391173395728579</v>
      </c>
      <c r="CK17">
        <f t="shared" si="3"/>
        <v>1.0546765519636847</v>
      </c>
      <c r="CL17">
        <f t="shared" si="3"/>
        <v>1.0625056782047788</v>
      </c>
      <c r="CM17">
        <f t="shared" si="3"/>
        <v>1.0453398888413852</v>
      </c>
      <c r="CN17">
        <f t="shared" si="3"/>
        <v>1.0445594159628637</v>
      </c>
      <c r="CO17">
        <f t="shared" si="3"/>
        <v>0.97784847298355526</v>
      </c>
      <c r="CP17">
        <f t="shared" si="3"/>
        <v>0.96529425308067307</v>
      </c>
      <c r="CQ17">
        <f t="shared" si="3"/>
        <v>0.98180026962563527</v>
      </c>
      <c r="CR17">
        <f t="shared" si="3"/>
        <v>0.97582255083179303</v>
      </c>
      <c r="CS17">
        <f t="shared" si="3"/>
        <v>0.99732643474119453</v>
      </c>
      <c r="CT17">
        <f t="shared" si="3"/>
        <v>0.98806151575337264</v>
      </c>
      <c r="CU17">
        <f t="shared" si="3"/>
        <v>0.98556662529245709</v>
      </c>
      <c r="CV17">
        <f t="shared" si="3"/>
        <v>0.9746670381721928</v>
      </c>
      <c r="CW17">
        <f t="shared" si="3"/>
        <v>1.0327036545762247</v>
      </c>
      <c r="CX17">
        <f t="shared" si="3"/>
        <v>1.0154907432013465</v>
      </c>
      <c r="CY17">
        <f t="shared" si="3"/>
        <v>0.99503876307095107</v>
      </c>
      <c r="CZ17">
        <f t="shared" si="3"/>
        <v>0.97127860085912165</v>
      </c>
      <c r="DA17">
        <f t="shared" si="3"/>
        <v>1.0092852710554521</v>
      </c>
      <c r="DB17">
        <f t="shared" si="3"/>
        <v>0.95253638578997957</v>
      </c>
      <c r="DC17">
        <f t="shared" si="3"/>
        <v>1.0067009341407314</v>
      </c>
      <c r="DD17">
        <f t="shared" si="3"/>
        <v>0.92012403389949049</v>
      </c>
      <c r="DE17">
        <f t="shared" si="3"/>
        <v>0.97576364166170448</v>
      </c>
      <c r="DF17">
        <f t="shared" si="3"/>
        <v>1.0387701576254902</v>
      </c>
      <c r="DG17">
        <f t="shared" si="3"/>
        <v>0.96882655867206646</v>
      </c>
      <c r="DH17">
        <f t="shared" si="3"/>
        <v>1.0348471165010966</v>
      </c>
      <c r="DI17">
        <f t="shared" si="3"/>
        <v>1.0154218249367293</v>
      </c>
      <c r="DJ17">
        <f t="shared" si="3"/>
        <v>1.0190673804144976</v>
      </c>
      <c r="DK17">
        <f t="shared" si="3"/>
        <v>1.0577221961181191</v>
      </c>
    </row>
    <row r="18" spans="1:116" x14ac:dyDescent="0.4">
      <c r="C18">
        <v>25</v>
      </c>
      <c r="E18">
        <v>0.99628888438084595</v>
      </c>
      <c r="F18">
        <v>1.08247647681716</v>
      </c>
      <c r="G18">
        <v>1.0353784411114699</v>
      </c>
      <c r="H18">
        <v>0.94175666522216095</v>
      </c>
      <c r="I18">
        <v>0.92331557308854495</v>
      </c>
      <c r="J18">
        <v>0.92692722900394198</v>
      </c>
      <c r="K18">
        <v>1.0066114227446099</v>
      </c>
      <c r="L18">
        <v>0.67081588612048904</v>
      </c>
      <c r="M18">
        <v>0.99814780747826104</v>
      </c>
      <c r="N18">
        <v>1.09678209986389</v>
      </c>
      <c r="O18">
        <v>1.0729546491220401</v>
      </c>
      <c r="P18">
        <v>0.89976158615061896</v>
      </c>
      <c r="Q18">
        <v>1.2113788160646799</v>
      </c>
      <c r="R18">
        <v>1.2593249488543199</v>
      </c>
      <c r="S18">
        <v>1.01652975662086</v>
      </c>
      <c r="T18">
        <v>0.978443682228471</v>
      </c>
      <c r="U18">
        <v>1.0337722870291799</v>
      </c>
      <c r="V18">
        <v>1.0505414388952301</v>
      </c>
      <c r="W18">
        <v>0.99277188247652004</v>
      </c>
      <c r="X18">
        <v>0.97339056859322304</v>
      </c>
      <c r="Y18">
        <v>0.98533531927240903</v>
      </c>
      <c r="Z18">
        <v>1.1008836941782201</v>
      </c>
      <c r="AA18">
        <v>0.93071203236287903</v>
      </c>
      <c r="AB18">
        <v>0.98883477877275405</v>
      </c>
      <c r="AC18">
        <v>1.04386488200057</v>
      </c>
      <c r="AD18">
        <v>1.0105386164360299</v>
      </c>
      <c r="AE18">
        <v>0.94051736700993305</v>
      </c>
      <c r="AF18">
        <v>1.0670797297382999</v>
      </c>
      <c r="AG18">
        <v>1.00797107008325</v>
      </c>
      <c r="AH18">
        <v>1.0198764198986601</v>
      </c>
      <c r="AI18">
        <v>1.08323708477708</v>
      </c>
      <c r="AJ18">
        <v>1.10690011999656</v>
      </c>
      <c r="AK18">
        <v>0.95341537406996701</v>
      </c>
      <c r="AL18">
        <v>1.02681192558569</v>
      </c>
      <c r="AM18">
        <v>0.98410850301206398</v>
      </c>
      <c r="AN18">
        <v>0.93207334702440003</v>
      </c>
      <c r="AO18">
        <v>1.0402407210006599</v>
      </c>
      <c r="AP18">
        <v>1.02552582076782</v>
      </c>
      <c r="AQ18">
        <v>0.97583045087525699</v>
      </c>
      <c r="AR18">
        <v>1.0373301479344299</v>
      </c>
      <c r="AS18">
        <v>1.12220141043245</v>
      </c>
      <c r="AT18">
        <v>0.91417381765317196</v>
      </c>
      <c r="AU18">
        <v>0.90356649282101598</v>
      </c>
      <c r="AV18">
        <v>1.05821211649003</v>
      </c>
      <c r="AW18">
        <v>0.96742389894635195</v>
      </c>
      <c r="AX18">
        <v>0.98610707722523105</v>
      </c>
      <c r="AY18">
        <v>1.0727965236219801</v>
      </c>
      <c r="AZ18">
        <v>1.10517252374904</v>
      </c>
      <c r="BA18">
        <v>0.98133616156917303</v>
      </c>
      <c r="BB18">
        <v>0.952246443145218</v>
      </c>
      <c r="BC18">
        <v>0.92644164008158902</v>
      </c>
      <c r="BD18">
        <v>1.00061013524618</v>
      </c>
      <c r="BE18">
        <v>1.00330783806501</v>
      </c>
      <c r="BF18">
        <v>1.05582122282265</v>
      </c>
      <c r="BG18">
        <v>1.0736755770084401</v>
      </c>
      <c r="BH18">
        <v>0.96367523608909</v>
      </c>
      <c r="BI18">
        <v>0.97955745173345599</v>
      </c>
      <c r="BJ18">
        <v>1.06198610503375</v>
      </c>
      <c r="BK18">
        <v>0.99429281685353998</v>
      </c>
      <c r="BL18">
        <v>1.04278423131102</v>
      </c>
      <c r="BM18">
        <v>1.06047906652132</v>
      </c>
      <c r="BN18">
        <v>1.06363823633679</v>
      </c>
      <c r="BO18">
        <v>1.02947551029023</v>
      </c>
      <c r="BP18">
        <v>0.92503392281358698</v>
      </c>
      <c r="BQ18">
        <v>1.0796487413931199</v>
      </c>
      <c r="BR18">
        <v>0.99297151333299005</v>
      </c>
      <c r="BS18">
        <v>1.0475373819207401</v>
      </c>
      <c r="BT18">
        <v>0.99296908068345002</v>
      </c>
      <c r="BU18">
        <v>0.99590843491655801</v>
      </c>
      <c r="BV18">
        <v>0.98358740357725105</v>
      </c>
      <c r="BW18">
        <v>1.0253295862613301</v>
      </c>
      <c r="BX18">
        <v>1.0765470067092999</v>
      </c>
      <c r="BY18">
        <v>1.0529421736339299</v>
      </c>
      <c r="BZ18">
        <v>1.01284657562867</v>
      </c>
      <c r="CA18">
        <v>1.0075259462135</v>
      </c>
      <c r="CB18">
        <v>0.96593181633116698</v>
      </c>
      <c r="CC18">
        <v>1.06657034701812</v>
      </c>
      <c r="CD18">
        <v>1.02046548318051</v>
      </c>
      <c r="CE18">
        <v>1.0064730534617099</v>
      </c>
      <c r="CF18">
        <v>1.00040452387509</v>
      </c>
      <c r="CG18">
        <v>0.96764195970324296</v>
      </c>
      <c r="CH18">
        <v>0.94712192423823005</v>
      </c>
      <c r="CI18">
        <v>1.0117074869224101</v>
      </c>
      <c r="CJ18">
        <v>1.07746872741851</v>
      </c>
      <c r="CK18">
        <v>1.0586122134359801</v>
      </c>
      <c r="CL18">
        <v>1.0695642760959301</v>
      </c>
      <c r="CM18">
        <v>0.98107295370342895</v>
      </c>
      <c r="CN18">
        <v>0.97472490799098499</v>
      </c>
      <c r="CO18">
        <v>1.0037972191522799</v>
      </c>
      <c r="CP18">
        <v>0.97343208984623297</v>
      </c>
      <c r="CQ18">
        <v>1.02392756183569</v>
      </c>
      <c r="CR18">
        <v>1.0196460104465499</v>
      </c>
      <c r="CS18">
        <v>0.97126497278674795</v>
      </c>
      <c r="CT18">
        <v>0.97892518208165502</v>
      </c>
      <c r="CU18">
        <v>0.95937418595084101</v>
      </c>
      <c r="CV18">
        <v>1.0268022440228799</v>
      </c>
      <c r="CW18">
        <v>1.09114283077381</v>
      </c>
      <c r="CX18">
        <v>1.0380409580370999</v>
      </c>
      <c r="CY18">
        <v>0.94687255772008105</v>
      </c>
      <c r="CZ18">
        <v>0.97702056110034696</v>
      </c>
      <c r="DA18">
        <v>1.06644573034543</v>
      </c>
      <c r="DB18">
        <v>0.97292736924887802</v>
      </c>
      <c r="DC18">
        <v>0.99466720885047399</v>
      </c>
      <c r="DD18">
        <v>0.98020658741521705</v>
      </c>
      <c r="DE18">
        <v>0.99682533833311604</v>
      </c>
      <c r="DF18">
        <v>1.0045196976920201</v>
      </c>
      <c r="DG18">
        <v>0.97314902100965806</v>
      </c>
      <c r="DH18">
        <v>1.0051827785934999</v>
      </c>
      <c r="DI18">
        <v>1.01717127729204</v>
      </c>
      <c r="DJ18">
        <v>1.0328965259845</v>
      </c>
      <c r="DK18">
        <v>1.05290297618272</v>
      </c>
      <c r="DL18">
        <f>PRODUCT(E18:DK18)</f>
        <v>2.5671376906099912</v>
      </c>
    </row>
    <row r="19" spans="1:116" x14ac:dyDescent="0.4">
      <c r="C19">
        <v>50</v>
      </c>
      <c r="E19">
        <v>0.979809809334519</v>
      </c>
      <c r="F19">
        <v>1.08419443563911</v>
      </c>
      <c r="G19">
        <v>1.0544669644892499</v>
      </c>
      <c r="H19">
        <v>0.94292241473176697</v>
      </c>
      <c r="I19">
        <v>0.926865953033016</v>
      </c>
      <c r="J19">
        <v>0.92571864572190998</v>
      </c>
      <c r="K19">
        <v>0.97140768274839095</v>
      </c>
      <c r="L19">
        <v>0.66992498236841502</v>
      </c>
      <c r="M19">
        <v>1.00250531306796</v>
      </c>
      <c r="N19">
        <v>1.0825880846229099</v>
      </c>
      <c r="O19">
        <v>1.0759477490277201</v>
      </c>
      <c r="P19">
        <v>0.89873521075705698</v>
      </c>
      <c r="Q19">
        <v>1.1745992973941399</v>
      </c>
      <c r="R19">
        <v>1.2241324770923501</v>
      </c>
      <c r="S19">
        <v>1.0028648464029899</v>
      </c>
      <c r="T19">
        <v>0.98594805972955502</v>
      </c>
      <c r="U19">
        <v>1.06745800832539</v>
      </c>
      <c r="V19">
        <v>1.04000586026389</v>
      </c>
      <c r="W19">
        <v>1.0069032854920901</v>
      </c>
      <c r="X19">
        <v>0.95940272183833897</v>
      </c>
      <c r="Y19">
        <v>0.97704742284532897</v>
      </c>
      <c r="Z19">
        <v>1.0763124275051501</v>
      </c>
      <c r="AA19">
        <v>0.92256714354056901</v>
      </c>
      <c r="AB19">
        <v>0.98825890866089094</v>
      </c>
      <c r="AC19">
        <v>1.0459295103612201</v>
      </c>
      <c r="AD19">
        <v>1.0089238908982301</v>
      </c>
      <c r="AE19">
        <v>0.94996318767778998</v>
      </c>
      <c r="AF19">
        <v>1.0661704243827601</v>
      </c>
      <c r="AG19">
        <v>1.01757532497486</v>
      </c>
      <c r="AH19">
        <v>1.00403086164197</v>
      </c>
      <c r="AI19">
        <v>1.0763876965172099</v>
      </c>
      <c r="AJ19">
        <v>1.0840534220528999</v>
      </c>
      <c r="AK19">
        <v>0.956962650084491</v>
      </c>
      <c r="AL19">
        <v>1.0370953755832399</v>
      </c>
      <c r="AM19">
        <v>0.98088501399261296</v>
      </c>
      <c r="AN19">
        <v>0.92791195687218098</v>
      </c>
      <c r="AO19">
        <v>1.0374852048782099</v>
      </c>
      <c r="AP19">
        <v>1.0185008919273899</v>
      </c>
      <c r="AQ19">
        <v>0.98423871628488702</v>
      </c>
      <c r="AR19">
        <v>1.03131368662659</v>
      </c>
      <c r="AS19">
        <v>1.10390792279267</v>
      </c>
      <c r="AT19">
        <v>0.91535187373673699</v>
      </c>
      <c r="AU19">
        <v>0.90499710772522002</v>
      </c>
      <c r="AV19">
        <v>1.0542154351341</v>
      </c>
      <c r="AW19">
        <v>0.97708211541593404</v>
      </c>
      <c r="AX19">
        <v>1.0467144011929399</v>
      </c>
      <c r="AY19">
        <v>1.0840867758317601</v>
      </c>
      <c r="AZ19">
        <v>1.05728052775433</v>
      </c>
      <c r="BA19">
        <v>0.96756468119555294</v>
      </c>
      <c r="BB19">
        <v>0.95653998222521097</v>
      </c>
      <c r="BC19">
        <v>0.93222616080060505</v>
      </c>
      <c r="BD19">
        <v>1.0178186137087299</v>
      </c>
      <c r="BE19">
        <v>0.99827841737157996</v>
      </c>
      <c r="BF19">
        <v>1.04607289921291</v>
      </c>
      <c r="BG19">
        <v>1.07463105602849</v>
      </c>
      <c r="BH19">
        <v>0.98457817852456697</v>
      </c>
      <c r="BI19">
        <v>1.0092076925261699</v>
      </c>
      <c r="BJ19">
        <v>1.0566832694270001</v>
      </c>
      <c r="BK19">
        <v>1.01296160350269</v>
      </c>
      <c r="BL19">
        <v>1.0310841918051401</v>
      </c>
      <c r="BM19">
        <v>1.05826177755475</v>
      </c>
      <c r="BN19">
        <v>1.05090852768846</v>
      </c>
      <c r="BO19">
        <v>1.0209720983611501</v>
      </c>
      <c r="BP19">
        <v>0.94592840212368201</v>
      </c>
      <c r="BQ19">
        <v>1.0656264708302099</v>
      </c>
      <c r="BR19">
        <v>0.98523814219658001</v>
      </c>
      <c r="BS19">
        <v>1.0363893134622499</v>
      </c>
      <c r="BT19">
        <v>0.99260880123665496</v>
      </c>
      <c r="BU19">
        <v>0.99501412111079701</v>
      </c>
      <c r="BV19">
        <v>0.97302473767263198</v>
      </c>
      <c r="BW19">
        <v>0.99041311697495305</v>
      </c>
      <c r="BX19">
        <v>1.07540054064613</v>
      </c>
      <c r="BY19">
        <v>1.05201273814638</v>
      </c>
      <c r="BZ19">
        <v>1.0131234000713001</v>
      </c>
      <c r="CA19">
        <v>1.0085989575412799</v>
      </c>
      <c r="CB19">
        <v>1.02671357907542</v>
      </c>
      <c r="CC19">
        <v>1.07581401110789</v>
      </c>
      <c r="CD19">
        <v>1.02410168891037</v>
      </c>
      <c r="CE19">
        <v>1.0058377882148</v>
      </c>
      <c r="CF19">
        <v>0.99586383227494901</v>
      </c>
      <c r="CG19">
        <v>0.97425841211702002</v>
      </c>
      <c r="CH19">
        <v>0.96442449568191702</v>
      </c>
      <c r="CI19">
        <v>1.0006894930107</v>
      </c>
      <c r="CJ19">
        <v>1.0753212205756899</v>
      </c>
      <c r="CK19">
        <v>1.0410430708269101</v>
      </c>
      <c r="CL19">
        <v>1.0697335561421399</v>
      </c>
      <c r="CM19">
        <v>1.0051428090241601</v>
      </c>
      <c r="CN19">
        <v>1.0005945794441999</v>
      </c>
      <c r="CO19">
        <v>1.00891914679837</v>
      </c>
      <c r="CP19">
        <v>0.96104546378422095</v>
      </c>
      <c r="CQ19">
        <v>1.0238674747127501</v>
      </c>
      <c r="CR19">
        <v>1.0008235723900001</v>
      </c>
      <c r="CS19">
        <v>0.96752447765725702</v>
      </c>
      <c r="CT19">
        <v>0.98295552871914105</v>
      </c>
      <c r="CU19">
        <v>0.942321126283439</v>
      </c>
      <c r="CV19">
        <v>1.0256658428388199</v>
      </c>
      <c r="CW19">
        <v>1.0879128242785601</v>
      </c>
      <c r="CX19">
        <v>1.03797736915563</v>
      </c>
      <c r="CY19">
        <v>0.93840287841593795</v>
      </c>
      <c r="CZ19">
        <v>0.97587663722203399</v>
      </c>
      <c r="DA19">
        <v>1.06114994526321</v>
      </c>
      <c r="DB19">
        <v>0.98618709587558695</v>
      </c>
      <c r="DC19">
        <v>1.0003190421413499</v>
      </c>
      <c r="DD19">
        <v>0.98751651148011299</v>
      </c>
      <c r="DE19">
        <v>1.00270975900027</v>
      </c>
      <c r="DF19">
        <v>1.01048818829514</v>
      </c>
      <c r="DG19">
        <v>0.98943883319584602</v>
      </c>
      <c r="DH19">
        <v>1.0177211922980001</v>
      </c>
      <c r="DI19">
        <v>1.0150700219368101</v>
      </c>
      <c r="DJ19">
        <v>1.03272474580411</v>
      </c>
      <c r="DK19">
        <v>1.04853563836328</v>
      </c>
      <c r="DL19">
        <f>PRODUCT(E19:DK19)</f>
        <v>2.4646266985279754</v>
      </c>
    </row>
    <row r="20" spans="1:116" x14ac:dyDescent="0.4">
      <c r="C20">
        <v>75</v>
      </c>
      <c r="E20">
        <v>0.98178749676487498</v>
      </c>
      <c r="F20">
        <v>1.07079122916543</v>
      </c>
      <c r="G20">
        <v>1.0589830485512799</v>
      </c>
      <c r="H20">
        <v>0.94460452632985903</v>
      </c>
      <c r="I20">
        <v>0.93234709079422395</v>
      </c>
      <c r="J20">
        <v>0.92706916448446697</v>
      </c>
      <c r="K20">
        <v>0.96268276487207805</v>
      </c>
      <c r="L20">
        <v>0.67055209313018105</v>
      </c>
      <c r="M20">
        <v>0.99205430277871998</v>
      </c>
      <c r="N20">
        <v>1.08223127181667</v>
      </c>
      <c r="O20">
        <v>1.0666066195533599</v>
      </c>
      <c r="P20">
        <v>0.91860830531549498</v>
      </c>
      <c r="Q20">
        <v>1.1601685740318799</v>
      </c>
      <c r="R20">
        <v>1.20981461334898</v>
      </c>
      <c r="S20">
        <v>1.0080711976941299</v>
      </c>
      <c r="T20">
        <v>0.97891503409203495</v>
      </c>
      <c r="U20">
        <v>1.0545373354957699</v>
      </c>
      <c r="V20">
        <v>1.03066276093708</v>
      </c>
      <c r="W20">
        <v>1.0048717924572701</v>
      </c>
      <c r="X20">
        <v>0.96954501303567497</v>
      </c>
      <c r="Y20">
        <v>0.98100595891874298</v>
      </c>
      <c r="Z20">
        <v>1.07279919014836</v>
      </c>
      <c r="AA20">
        <v>0.92294816051873496</v>
      </c>
      <c r="AB20">
        <v>0.98976017528865401</v>
      </c>
      <c r="AC20">
        <v>1.0380503932421801</v>
      </c>
      <c r="AD20">
        <v>1.0050249938448099</v>
      </c>
      <c r="AE20">
        <v>0.94590152176782805</v>
      </c>
      <c r="AF20">
        <v>1.0526099422283599</v>
      </c>
      <c r="AG20">
        <v>1.0145138660627</v>
      </c>
      <c r="AH20">
        <v>1.0096876072868499</v>
      </c>
      <c r="AI20">
        <v>1.07568528301094</v>
      </c>
      <c r="AJ20">
        <v>1.08189228320999</v>
      </c>
      <c r="AK20">
        <v>0.95058800100556295</v>
      </c>
      <c r="AL20">
        <v>1.0327722043862999</v>
      </c>
      <c r="AM20">
        <v>0.99781422232833805</v>
      </c>
      <c r="AN20">
        <v>0.93521187287176999</v>
      </c>
      <c r="AO20">
        <v>1.0465289195902601</v>
      </c>
      <c r="AP20">
        <v>1.0193131453592299</v>
      </c>
      <c r="AQ20">
        <v>0.97468111407712399</v>
      </c>
      <c r="AR20">
        <v>1.0243561482694401</v>
      </c>
      <c r="AS20">
        <v>1.08631477465959</v>
      </c>
      <c r="AT20">
        <v>0.91127876027308896</v>
      </c>
      <c r="AU20">
        <v>0.89542153163211402</v>
      </c>
      <c r="AV20">
        <v>1.0505290162344001</v>
      </c>
      <c r="AW20">
        <v>0.97263205213387705</v>
      </c>
      <c r="AX20">
        <v>1.03566455218173</v>
      </c>
      <c r="AY20">
        <v>1.07717691684149</v>
      </c>
      <c r="AZ20">
        <v>1.06120341819041</v>
      </c>
      <c r="BA20">
        <v>0.96007044122823304</v>
      </c>
      <c r="BB20">
        <v>0.94665688164886796</v>
      </c>
      <c r="BC20">
        <v>0.935344892810267</v>
      </c>
      <c r="BD20">
        <v>1.0181829100425801</v>
      </c>
      <c r="BE20">
        <v>0.99687022092107702</v>
      </c>
      <c r="BF20">
        <v>1.04102753050178</v>
      </c>
      <c r="BG20">
        <v>1.0708302910043901</v>
      </c>
      <c r="BH20">
        <v>0.99261479651364504</v>
      </c>
      <c r="BI20">
        <v>1.0187301561686699</v>
      </c>
      <c r="BJ20">
        <v>1.04552263467379</v>
      </c>
      <c r="BK20">
        <v>1.0182407674553</v>
      </c>
      <c r="BL20">
        <v>1.02693966445995</v>
      </c>
      <c r="BM20">
        <v>1.0543300503019599</v>
      </c>
      <c r="BN20">
        <v>1.0691226218888801</v>
      </c>
      <c r="BO20">
        <v>1.0115481440015399</v>
      </c>
      <c r="BP20">
        <v>0.94399078633211697</v>
      </c>
      <c r="BQ20">
        <v>1.0561065615503999</v>
      </c>
      <c r="BR20">
        <v>0.98528367949200801</v>
      </c>
      <c r="BS20">
        <v>1.0399559457662899</v>
      </c>
      <c r="BT20">
        <v>0.99388391380239005</v>
      </c>
      <c r="BU20">
        <v>0.99328310470089598</v>
      </c>
      <c r="BV20">
        <v>0.98394434635669603</v>
      </c>
      <c r="BW20">
        <v>0.98819213490737801</v>
      </c>
      <c r="BX20">
        <v>1.0638568901860399</v>
      </c>
      <c r="BY20">
        <v>1.0472788686288099</v>
      </c>
      <c r="BZ20">
        <v>1.0112466355269301</v>
      </c>
      <c r="CA20">
        <v>0.99939223948763101</v>
      </c>
      <c r="CB20">
        <v>1.01226040258443</v>
      </c>
      <c r="CC20">
        <v>1.09052702749839</v>
      </c>
      <c r="CD20">
        <v>1.0335632980843501</v>
      </c>
      <c r="CE20">
        <v>1.0005505032967701</v>
      </c>
      <c r="CF20">
        <v>0.97170522867414899</v>
      </c>
      <c r="CG20">
        <v>0.98174764807195303</v>
      </c>
      <c r="CH20">
        <v>0.96787423554989704</v>
      </c>
      <c r="CI20">
        <v>1.00381543644223</v>
      </c>
      <c r="CJ20">
        <v>1.0812990375508</v>
      </c>
      <c r="CK20">
        <v>1.03595231273706</v>
      </c>
      <c r="CL20">
        <v>1.06030370425764</v>
      </c>
      <c r="CM20">
        <v>0.99568430616993697</v>
      </c>
      <c r="CN20">
        <v>0.97906999071748502</v>
      </c>
      <c r="CO20">
        <v>0.99940016079703398</v>
      </c>
      <c r="CP20">
        <v>0.96079731525304701</v>
      </c>
      <c r="CQ20">
        <v>1.0217441529701801</v>
      </c>
      <c r="CR20">
        <v>0.99746333698343903</v>
      </c>
      <c r="CS20">
        <v>0.96921984887288604</v>
      </c>
      <c r="CT20">
        <v>0.98801277357834105</v>
      </c>
      <c r="CU20">
        <v>0.948775538110459</v>
      </c>
      <c r="CV20">
        <v>1.03530939853485</v>
      </c>
      <c r="CW20">
        <v>1.0768242759234701</v>
      </c>
      <c r="CX20">
        <v>1.0412336120310901</v>
      </c>
      <c r="CY20">
        <v>0.94397790731237496</v>
      </c>
      <c r="CZ20">
        <v>0.97588342202935396</v>
      </c>
      <c r="DA20">
        <v>1.0589008836698801</v>
      </c>
      <c r="DB20">
        <v>0.99374402915420501</v>
      </c>
      <c r="DC20">
        <v>1.0032547134613301</v>
      </c>
      <c r="DD20">
        <v>0.99127560176729701</v>
      </c>
      <c r="DE20">
        <v>1.00447603329784</v>
      </c>
      <c r="DF20">
        <v>1.0173144940483101</v>
      </c>
      <c r="DG20">
        <v>0.99661087807483895</v>
      </c>
      <c r="DH20">
        <v>1.0177614476104899</v>
      </c>
      <c r="DI20">
        <v>1.0176648487076301</v>
      </c>
      <c r="DJ20">
        <v>1.0243130050585301</v>
      </c>
      <c r="DK20">
        <v>1.04473600443729</v>
      </c>
      <c r="DL20">
        <f>PRODUCT(E20:DK20)</f>
        <v>2.0768797569520046</v>
      </c>
    </row>
    <row r="21" spans="1:116" x14ac:dyDescent="0.4">
      <c r="C21">
        <v>100</v>
      </c>
      <c r="E21">
        <v>0.97711197214797596</v>
      </c>
      <c r="F21">
        <v>1.05956926864998</v>
      </c>
      <c r="G21">
        <v>1.0477585572448</v>
      </c>
      <c r="H21">
        <v>0.946134479881232</v>
      </c>
      <c r="I21">
        <v>0.93374959403228297</v>
      </c>
      <c r="J21">
        <v>0.93894677228346801</v>
      </c>
      <c r="K21">
        <v>0.95546958018702499</v>
      </c>
      <c r="L21">
        <v>0.67256480027089105</v>
      </c>
      <c r="M21">
        <v>0.99238354053302402</v>
      </c>
      <c r="N21">
        <v>1.08237970519773</v>
      </c>
      <c r="O21">
        <v>1.06282477581757</v>
      </c>
      <c r="P21">
        <v>0.91907813348743295</v>
      </c>
      <c r="Q21">
        <v>1.1672180851151299</v>
      </c>
      <c r="R21">
        <v>1.21764536685918</v>
      </c>
      <c r="S21">
        <v>1.0075774228427401</v>
      </c>
      <c r="T21">
        <v>0.97546841899244396</v>
      </c>
      <c r="U21">
        <v>1.0579493423217099</v>
      </c>
      <c r="V21">
        <v>1.0261221033052199</v>
      </c>
      <c r="W21">
        <v>1.0080074146653</v>
      </c>
      <c r="X21">
        <v>0.96749922869137395</v>
      </c>
      <c r="Y21">
        <v>0.97259310991343595</v>
      </c>
      <c r="Z21">
        <v>1.0816316528418399</v>
      </c>
      <c r="AA21">
        <v>0.92994057252934703</v>
      </c>
      <c r="AB21">
        <v>0.99088106252408503</v>
      </c>
      <c r="AC21">
        <v>1.04079662113576</v>
      </c>
      <c r="AD21">
        <v>1.0027706964579</v>
      </c>
      <c r="AE21">
        <v>0.95179228857768206</v>
      </c>
      <c r="AF21">
        <v>1.0527552936817901</v>
      </c>
      <c r="AG21">
        <v>1.01545624678047</v>
      </c>
      <c r="AH21">
        <v>1.00788211388367</v>
      </c>
      <c r="AI21">
        <v>1.07616604512013</v>
      </c>
      <c r="AJ21">
        <v>1.0763534259591601</v>
      </c>
      <c r="AK21">
        <v>0.97672778049197795</v>
      </c>
      <c r="AL21">
        <v>1.0379547102067599</v>
      </c>
      <c r="AM21">
        <v>0.987586209638037</v>
      </c>
      <c r="AN21">
        <v>0.93262347536057999</v>
      </c>
      <c r="AO21">
        <v>1.0514036577055501</v>
      </c>
      <c r="AP21">
        <v>1.02159482675491</v>
      </c>
      <c r="AQ21">
        <v>0.97880747304349403</v>
      </c>
      <c r="AR21">
        <v>1.01888160410744</v>
      </c>
      <c r="AS21">
        <v>1.0852383499290601</v>
      </c>
      <c r="AT21">
        <v>0.90514693885195396</v>
      </c>
      <c r="AU21">
        <v>0.88618963974485399</v>
      </c>
      <c r="AV21">
        <v>1.0533170392259901</v>
      </c>
      <c r="AW21">
        <v>0.97200685712481905</v>
      </c>
      <c r="AX21">
        <v>1.03300532364236</v>
      </c>
      <c r="AY21">
        <v>1.0736974438643301</v>
      </c>
      <c r="AZ21">
        <v>1.05603225552963</v>
      </c>
      <c r="BA21">
        <v>0.96480043868564302</v>
      </c>
      <c r="BB21">
        <v>0.94668951037617199</v>
      </c>
      <c r="BC21">
        <v>0.93209156540510396</v>
      </c>
      <c r="BD21">
        <v>1.0246796052981499</v>
      </c>
      <c r="BE21">
        <v>0.99590485209131496</v>
      </c>
      <c r="BF21">
        <v>1.0466012731915899</v>
      </c>
      <c r="BG21">
        <v>1.0645340054688599</v>
      </c>
      <c r="BH21">
        <v>0.99018259119133101</v>
      </c>
      <c r="BI21">
        <v>1.01282644444353</v>
      </c>
      <c r="BJ21">
        <v>1.0390019805345201</v>
      </c>
      <c r="BK21">
        <v>1.0179725168617</v>
      </c>
      <c r="BL21">
        <v>1.02667430038867</v>
      </c>
      <c r="BM21">
        <v>1.0524177429842501</v>
      </c>
      <c r="BN21">
        <v>1.0662955289817</v>
      </c>
      <c r="BO21">
        <v>1.01247515548189</v>
      </c>
      <c r="BP21">
        <v>0.94574188861846298</v>
      </c>
      <c r="BQ21">
        <v>1.05085579246157</v>
      </c>
      <c r="BR21">
        <v>0.98507637667965997</v>
      </c>
      <c r="BS21">
        <v>1.0365169994349599</v>
      </c>
      <c r="BT21">
        <v>0.99666866443403301</v>
      </c>
      <c r="BU21">
        <v>0.98831040286141303</v>
      </c>
      <c r="BV21">
        <v>0.98731498007989504</v>
      </c>
      <c r="BW21">
        <v>0.98805913559245495</v>
      </c>
      <c r="BX21">
        <v>1.05930781928727</v>
      </c>
      <c r="BY21">
        <v>1.03971163582446</v>
      </c>
      <c r="BZ21">
        <v>1.0145950242069199</v>
      </c>
      <c r="CA21">
        <v>1.00249049975988</v>
      </c>
      <c r="CB21">
        <v>1.0092140444137101</v>
      </c>
      <c r="CC21">
        <v>1.0777075470428601</v>
      </c>
      <c r="CD21">
        <v>1.0314391677772801</v>
      </c>
      <c r="CE21">
        <v>1.00176488696827</v>
      </c>
      <c r="CF21">
        <v>0.966329863669117</v>
      </c>
      <c r="CG21">
        <v>0.98250028972268799</v>
      </c>
      <c r="CH21">
        <v>0.97063805485681398</v>
      </c>
      <c r="CI21">
        <v>1.0124504577910101</v>
      </c>
      <c r="CJ21">
        <v>1.0719908019823099</v>
      </c>
      <c r="CK21">
        <v>1.05007435940546</v>
      </c>
      <c r="CL21">
        <v>1.0654842006556799</v>
      </c>
      <c r="CM21">
        <v>0.99915833441756696</v>
      </c>
      <c r="CN21">
        <v>0.98558738978873395</v>
      </c>
      <c r="CO21">
        <v>0.986445977672889</v>
      </c>
      <c r="CP21">
        <v>0.95723355368247698</v>
      </c>
      <c r="CQ21">
        <v>1.02739203767184</v>
      </c>
      <c r="CR21">
        <v>0.99385923556248001</v>
      </c>
      <c r="CS21">
        <v>0.96899226359328405</v>
      </c>
      <c r="CT21">
        <v>0.99005106260727904</v>
      </c>
      <c r="CU21">
        <v>0.94816066217217099</v>
      </c>
      <c r="CV21">
        <v>1.0390329678129799</v>
      </c>
      <c r="CW21">
        <v>1.0760335076663099</v>
      </c>
      <c r="CX21">
        <v>1.03573454175593</v>
      </c>
      <c r="CY21">
        <v>0.94967527406218799</v>
      </c>
      <c r="CZ21">
        <v>0.97817565402595996</v>
      </c>
      <c r="DA21">
        <v>1.0525713685529301</v>
      </c>
      <c r="DB21">
        <v>0.98860849067140599</v>
      </c>
      <c r="DC21">
        <v>1.00425696166264</v>
      </c>
      <c r="DD21">
        <v>0.99372020691561702</v>
      </c>
      <c r="DE21">
        <v>1.00208191616231</v>
      </c>
      <c r="DF21">
        <v>1.0169961865299799</v>
      </c>
      <c r="DG21">
        <v>0.99666494655970295</v>
      </c>
      <c r="DH21">
        <v>1.0164483869332499</v>
      </c>
      <c r="DI21">
        <v>1.0215267106238199</v>
      </c>
      <c r="DJ21">
        <v>1.02421136337143</v>
      </c>
      <c r="DK21">
        <v>1.04565363860248</v>
      </c>
      <c r="DL21">
        <f>PRODUCT(E21:DK21)</f>
        <v>2.0186235935026793</v>
      </c>
    </row>
    <row r="23" spans="1:116" x14ac:dyDescent="0.4">
      <c r="B23" t="s">
        <v>29</v>
      </c>
      <c r="C23" t="s">
        <v>30</v>
      </c>
      <c r="D23">
        <v>25</v>
      </c>
      <c r="E23">
        <v>50</v>
      </c>
      <c r="F23">
        <v>75</v>
      </c>
      <c r="G23">
        <v>100</v>
      </c>
      <c r="H23" t="s">
        <v>29</v>
      </c>
      <c r="I23" t="s">
        <v>30</v>
      </c>
      <c r="J23" t="s">
        <v>59</v>
      </c>
      <c r="K23" t="s">
        <v>60</v>
      </c>
      <c r="L23" t="s">
        <v>61</v>
      </c>
      <c r="M23" t="s">
        <v>62</v>
      </c>
    </row>
    <row r="24" spans="1:116" x14ac:dyDescent="0.4">
      <c r="A24">
        <v>20080229</v>
      </c>
      <c r="H24">
        <v>100</v>
      </c>
      <c r="I24">
        <v>100</v>
      </c>
      <c r="J24">
        <v>100</v>
      </c>
      <c r="K24">
        <v>100</v>
      </c>
      <c r="L24">
        <v>100</v>
      </c>
      <c r="M24">
        <v>100</v>
      </c>
    </row>
    <row r="25" spans="1:116" x14ac:dyDescent="0.4">
      <c r="A25">
        <v>20080331</v>
      </c>
      <c r="B25">
        <v>1.0068716147192192</v>
      </c>
      <c r="C25">
        <v>0.96060642234690219</v>
      </c>
      <c r="D25">
        <v>0.99628888438084595</v>
      </c>
      <c r="E25">
        <v>0.979809809334519</v>
      </c>
      <c r="F25">
        <v>0.98178749676487498</v>
      </c>
      <c r="G25">
        <v>0.97711197214797596</v>
      </c>
      <c r="H25">
        <f t="shared" ref="H25:H32" si="4">H24*$B25</f>
        <v>100.68716147192191</v>
      </c>
      <c r="I25">
        <f t="shared" ref="I25:I32" si="5">I24*$C25</f>
        <v>96.060642234690221</v>
      </c>
      <c r="J25">
        <f t="shared" ref="J25:J32" si="6">J24*$D25</f>
        <v>99.628888438084601</v>
      </c>
      <c r="K25">
        <f t="shared" ref="K25:K32" si="7">K24*$E25</f>
        <v>97.980980933451903</v>
      </c>
      <c r="L25">
        <f t="shared" ref="L25:L32" si="8">L24*$F25</f>
        <v>98.178749676487499</v>
      </c>
      <c r="M25">
        <f t="shared" ref="M25:M32" si="9">M24*$G25</f>
        <v>97.711197214797593</v>
      </c>
    </row>
    <row r="26" spans="1:116" x14ac:dyDescent="0.4">
      <c r="A26">
        <v>20080430</v>
      </c>
      <c r="B26">
        <v>1.0785098027766018</v>
      </c>
      <c r="C26">
        <v>1.0367217596619858</v>
      </c>
      <c r="D26">
        <v>1.08247647681716</v>
      </c>
      <c r="E26">
        <v>1.08419443563911</v>
      </c>
      <c r="F26">
        <v>1.07079122916543</v>
      </c>
      <c r="G26">
        <v>1.05956926864998</v>
      </c>
      <c r="H26">
        <f t="shared" si="4"/>
        <v>108.59209066121836</v>
      </c>
      <c r="I26">
        <f t="shared" si="5"/>
        <v>99.58815805180852</v>
      </c>
      <c r="J26">
        <f t="shared" si="6"/>
        <v>107.8459281456677</v>
      </c>
      <c r="K26">
        <f t="shared" si="7"/>
        <v>106.23043432651028</v>
      </c>
      <c r="L26">
        <f t="shared" si="8"/>
        <v>105.12894404401111</v>
      </c>
      <c r="M26">
        <f t="shared" si="9"/>
        <v>103.53178177179706</v>
      </c>
    </row>
    <row r="27" spans="1:116" x14ac:dyDescent="0.4">
      <c r="A27">
        <v>20080530</v>
      </c>
      <c r="B27">
        <v>1.0081687624358751</v>
      </c>
      <c r="C27">
        <v>1.0181360503446208</v>
      </c>
      <c r="D27">
        <v>1.0353784411114699</v>
      </c>
      <c r="E27">
        <v>1.0544669644892499</v>
      </c>
      <c r="F27">
        <v>1.0589830485512799</v>
      </c>
      <c r="G27">
        <v>1.0477585572448</v>
      </c>
      <c r="H27">
        <f t="shared" si="4"/>
        <v>109.47915365224486</v>
      </c>
      <c r="I27">
        <f t="shared" si="5"/>
        <v>101.39429389996418</v>
      </c>
      <c r="J27">
        <f t="shared" si="6"/>
        <v>111.66134896368102</v>
      </c>
      <c r="K27">
        <f t="shared" si="7"/>
        <v>112.01648362064991</v>
      </c>
      <c r="L27">
        <f t="shared" si="8"/>
        <v>111.3297696547038</v>
      </c>
      <c r="M27">
        <f t="shared" si="9"/>
        <v>108.47631029820157</v>
      </c>
    </row>
    <row r="28" spans="1:116" x14ac:dyDescent="0.4">
      <c r="A28">
        <v>20080630</v>
      </c>
      <c r="B28">
        <v>0.89651931661799744</v>
      </c>
      <c r="C28">
        <v>0.92912477336410082</v>
      </c>
      <c r="D28">
        <v>0.94175666522216095</v>
      </c>
      <c r="E28">
        <v>0.94292241473176697</v>
      </c>
      <c r="F28">
        <v>0.94460452632985903</v>
      </c>
      <c r="G28">
        <v>0.946134479881232</v>
      </c>
      <c r="H28">
        <f t="shared" si="4"/>
        <v>98.150176016227306</v>
      </c>
      <c r="I28">
        <f t="shared" si="5"/>
        <v>94.207950340217252</v>
      </c>
      <c r="J28">
        <f t="shared" si="6"/>
        <v>105.15781963424423</v>
      </c>
      <c r="K28">
        <f t="shared" si="7"/>
        <v>105.62285322534463</v>
      </c>
      <c r="L28">
        <f t="shared" si="8"/>
        <v>105.16260433109379</v>
      </c>
      <c r="M28">
        <f t="shared" si="9"/>
        <v>102.63317742342407</v>
      </c>
    </row>
    <row r="29" spans="1:116" x14ac:dyDescent="0.4">
      <c r="A29">
        <v>20080731</v>
      </c>
      <c r="B29">
        <v>0.9563459378509922</v>
      </c>
      <c r="C29">
        <v>0.91717985757368425</v>
      </c>
      <c r="D29">
        <v>0.92331557308854495</v>
      </c>
      <c r="E29">
        <v>0.926865953033016</v>
      </c>
      <c r="F29">
        <v>0.93234709079422395</v>
      </c>
      <c r="G29">
        <v>0.93374959403228297</v>
      </c>
      <c r="H29">
        <f t="shared" si="4"/>
        <v>93.865522132478858</v>
      </c>
      <c r="I29">
        <f t="shared" si="5"/>
        <v>86.405634475349174</v>
      </c>
      <c r="J29">
        <f t="shared" si="6"/>
        <v>97.093852500334066</v>
      </c>
      <c r="K29">
        <f t="shared" si="7"/>
        <v>97.898226516775409</v>
      </c>
      <c r="L29">
        <f t="shared" si="8"/>
        <v>98.048048208439354</v>
      </c>
      <c r="M29">
        <f t="shared" si="9"/>
        <v>95.833687753365496</v>
      </c>
    </row>
    <row r="30" spans="1:116" x14ac:dyDescent="0.4">
      <c r="A30">
        <v>20080829</v>
      </c>
      <c r="B30">
        <v>0.92665988098966479</v>
      </c>
      <c r="C30">
        <v>0.90815396092951284</v>
      </c>
      <c r="D30">
        <v>0.92692722900394198</v>
      </c>
      <c r="E30">
        <v>0.92571864572190998</v>
      </c>
      <c r="F30">
        <v>0.92706916448446697</v>
      </c>
      <c r="G30">
        <v>0.93894677228346801</v>
      </c>
      <c r="H30">
        <f t="shared" si="4"/>
        <v>86.981413568315602</v>
      </c>
      <c r="I30">
        <f t="shared" si="5"/>
        <v>78.469619195416016</v>
      </c>
      <c r="J30">
        <f t="shared" si="6"/>
        <v>89.998935651452115</v>
      </c>
      <c r="K30">
        <f t="shared" si="7"/>
        <v>90.626213669686109</v>
      </c>
      <c r="L30">
        <f t="shared" si="8"/>
        <v>90.897322131930608</v>
      </c>
      <c r="M30">
        <f t="shared" si="9"/>
        <v>89.982731792044248</v>
      </c>
    </row>
    <row r="31" spans="1:116" x14ac:dyDescent="0.4">
      <c r="A31">
        <v>20080930</v>
      </c>
      <c r="B31">
        <v>0.98654026513903315</v>
      </c>
      <c r="C31">
        <v>0.95401162260017647</v>
      </c>
      <c r="D31">
        <v>1.0066114227446099</v>
      </c>
      <c r="E31">
        <v>0.97140768274839095</v>
      </c>
      <c r="F31">
        <v>0.96268276487207805</v>
      </c>
      <c r="G31">
        <v>0.95546958018702499</v>
      </c>
      <c r="H31">
        <f t="shared" si="4"/>
        <v>85.810666803853977</v>
      </c>
      <c r="I31">
        <f t="shared" si="5"/>
        <v>74.860928733436793</v>
      </c>
      <c r="J31">
        <f t="shared" si="6"/>
        <v>90.593956661608814</v>
      </c>
      <c r="K31">
        <f t="shared" si="7"/>
        <v>88.035000217130332</v>
      </c>
      <c r="L31">
        <f t="shared" si="8"/>
        <v>87.505285389434889</v>
      </c>
      <c r="M31">
        <f t="shared" si="9"/>
        <v>85.975762969426185</v>
      </c>
      <c r="N31" t="s">
        <v>29</v>
      </c>
      <c r="O31" t="s">
        <v>30</v>
      </c>
      <c r="P31" t="s">
        <v>59</v>
      </c>
      <c r="Q31" t="s">
        <v>60</v>
      </c>
      <c r="R31" t="s">
        <v>61</v>
      </c>
      <c r="S31" t="s">
        <v>62</v>
      </c>
    </row>
    <row r="32" spans="1:116" x14ac:dyDescent="0.4">
      <c r="A32">
        <v>20081031</v>
      </c>
      <c r="B32">
        <v>0.79265159301130528</v>
      </c>
      <c r="C32">
        <v>0.6754317424375309</v>
      </c>
      <c r="D32">
        <v>0.67081588612048904</v>
      </c>
      <c r="E32">
        <v>0.66992498236841502</v>
      </c>
      <c r="F32">
        <v>0.67055209313018105</v>
      </c>
      <c r="G32">
        <v>0.67256480027089105</v>
      </c>
      <c r="H32">
        <f t="shared" si="4"/>
        <v>68.017961739437183</v>
      </c>
      <c r="I32">
        <f t="shared" si="5"/>
        <v>50.563447534917039</v>
      </c>
      <c r="J32">
        <f t="shared" si="6"/>
        <v>60.771865315118298</v>
      </c>
      <c r="K32">
        <f t="shared" si="7"/>
        <v>58.976845968264449</v>
      </c>
      <c r="L32">
        <f t="shared" si="8"/>
        <v>58.676852277839416</v>
      </c>
      <c r="M32">
        <f t="shared" si="9"/>
        <v>57.824271849669593</v>
      </c>
      <c r="N32">
        <v>100</v>
      </c>
      <c r="O32">
        <v>100</v>
      </c>
      <c r="P32">
        <v>100</v>
      </c>
      <c r="Q32">
        <v>100</v>
      </c>
      <c r="R32">
        <v>100</v>
      </c>
      <c r="S32">
        <v>100</v>
      </c>
    </row>
    <row r="33" spans="1:25" x14ac:dyDescent="0.4">
      <c r="A33">
        <v>20081128</v>
      </c>
      <c r="B33">
        <v>0.94894651539708263</v>
      </c>
      <c r="C33">
        <v>1.0432278017801071</v>
      </c>
      <c r="D33">
        <v>0.99814780747826104</v>
      </c>
      <c r="E33">
        <v>1.00250531306796</v>
      </c>
      <c r="F33">
        <v>0.99205430277871998</v>
      </c>
      <c r="G33">
        <v>0.99238354053302402</v>
      </c>
      <c r="N33">
        <f t="shared" ref="N33:N39" si="10">N32*$B33</f>
        <v>94.894651539708263</v>
      </c>
      <c r="O33">
        <f t="shared" ref="O33:O39" si="11">O32*$C33</f>
        <v>104.3227801780107</v>
      </c>
      <c r="P33">
        <f t="shared" ref="P33:P39" si="12">P32*$D33</f>
        <v>99.814780747826106</v>
      </c>
      <c r="Q33">
        <f t="shared" ref="Q33:Q39" si="13">Q32*$E33</f>
        <v>100.25053130679599</v>
      </c>
      <c r="R33">
        <f t="shared" ref="R33:R39" si="14">R32*$F33</f>
        <v>99.205430277871997</v>
      </c>
      <c r="S33">
        <f t="shared" ref="S33:S39" si="15">S32*$G33</f>
        <v>99.238354053302402</v>
      </c>
    </row>
    <row r="34" spans="1:25" x14ac:dyDescent="0.4">
      <c r="A34">
        <v>20081230</v>
      </c>
      <c r="B34">
        <v>1.0375064047822375</v>
      </c>
      <c r="C34">
        <v>1.0747261700009052</v>
      </c>
      <c r="D34">
        <v>1.09678209986389</v>
      </c>
      <c r="E34">
        <v>1.0825880846229099</v>
      </c>
      <c r="F34">
        <v>1.08223127181667</v>
      </c>
      <c r="G34">
        <v>1.08237970519773</v>
      </c>
      <c r="N34">
        <f t="shared" si="10"/>
        <v>98.45380875202595</v>
      </c>
      <c r="O34">
        <f t="shared" si="11"/>
        <v>112.11842198455979</v>
      </c>
      <c r="P34">
        <f t="shared" si="12"/>
        <v>109.47506482605449</v>
      </c>
      <c r="Q34">
        <f t="shared" si="13"/>
        <v>108.53003066985333</v>
      </c>
      <c r="R34">
        <f t="shared" si="14"/>
        <v>107.36321898074139</v>
      </c>
      <c r="S34">
        <f t="shared" si="15"/>
        <v>107.41358040452141</v>
      </c>
    </row>
    <row r="35" spans="1:25" x14ac:dyDescent="0.4">
      <c r="A35">
        <v>20090130</v>
      </c>
      <c r="B35">
        <v>1.0355030235186953</v>
      </c>
      <c r="C35">
        <v>1.0516950937039378</v>
      </c>
      <c r="D35">
        <v>1.0729546491220401</v>
      </c>
      <c r="E35">
        <v>1.0759477490277201</v>
      </c>
      <c r="F35">
        <v>1.0666066195533599</v>
      </c>
      <c r="G35">
        <v>1.06282477581757</v>
      </c>
      <c r="N35">
        <f t="shared" si="10"/>
        <v>101.94921663965425</v>
      </c>
      <c r="O35">
        <f t="shared" si="11"/>
        <v>117.91439431498924</v>
      </c>
      <c r="P35">
        <f t="shared" si="12"/>
        <v>117.46177976805188</v>
      </c>
      <c r="Q35">
        <f t="shared" si="13"/>
        <v>116.77264220113811</v>
      </c>
      <c r="R35">
        <f t="shared" si="14"/>
        <v>114.5143200614157</v>
      </c>
      <c r="S35">
        <f t="shared" si="15"/>
        <v>114.161814513198</v>
      </c>
    </row>
    <row r="36" spans="1:25" x14ac:dyDescent="0.4">
      <c r="A36">
        <v>20090227</v>
      </c>
      <c r="B36">
        <v>0.90924603090489009</v>
      </c>
      <c r="C36">
        <v>0.98464310741815997</v>
      </c>
      <c r="D36">
        <v>0.89976158615061896</v>
      </c>
      <c r="E36">
        <v>0.89873521075705698</v>
      </c>
      <c r="F36">
        <v>0.91860830531549498</v>
      </c>
      <c r="G36">
        <v>0.91907813348743295</v>
      </c>
      <c r="N36">
        <f t="shared" si="10"/>
        <v>92.696920583468412</v>
      </c>
      <c r="O36">
        <f t="shared" si="11"/>
        <v>116.10359562764123</v>
      </c>
      <c r="P36">
        <f t="shared" si="12"/>
        <v>105.68759727617704</v>
      </c>
      <c r="Q36">
        <f t="shared" si="13"/>
        <v>104.94768519929826</v>
      </c>
      <c r="R36">
        <f t="shared" si="14"/>
        <v>105.19380548597327</v>
      </c>
      <c r="S36">
        <f t="shared" si="15"/>
        <v>104.92362739832855</v>
      </c>
    </row>
    <row r="37" spans="1:25" x14ac:dyDescent="0.4">
      <c r="A37">
        <v>20090331</v>
      </c>
      <c r="B37">
        <v>1.1372871280204218</v>
      </c>
      <c r="C37">
        <v>1.1559843832608077</v>
      </c>
      <c r="D37">
        <v>1.2113788160646799</v>
      </c>
      <c r="E37">
        <v>1.1745992973941399</v>
      </c>
      <c r="F37">
        <v>1.1601685740318799</v>
      </c>
      <c r="G37">
        <v>1.1672180851151299</v>
      </c>
      <c r="N37">
        <f t="shared" si="10"/>
        <v>105.42301458670991</v>
      </c>
      <c r="O37">
        <f t="shared" si="11"/>
        <v>134.21394338598105</v>
      </c>
      <c r="P37">
        <f t="shared" si="12"/>
        <v>128.02771646113604</v>
      </c>
      <c r="Q37">
        <f t="shared" si="13"/>
        <v>123.27147729823712</v>
      </c>
      <c r="R37">
        <f t="shared" si="14"/>
        <v>122.04254730764856</v>
      </c>
      <c r="S37">
        <f t="shared" si="15"/>
        <v>122.46875545521043</v>
      </c>
    </row>
    <row r="38" spans="1:25" x14ac:dyDescent="0.4">
      <c r="A38">
        <v>20090430</v>
      </c>
      <c r="B38">
        <v>1.1172606053152128</v>
      </c>
      <c r="C38">
        <v>1.1921229924888741</v>
      </c>
      <c r="D38">
        <v>1.2593249488543199</v>
      </c>
      <c r="E38">
        <v>1.2241324770923501</v>
      </c>
      <c r="F38">
        <v>1.20981461334898</v>
      </c>
      <c r="G38">
        <v>1.21764536685918</v>
      </c>
      <c r="N38">
        <f t="shared" si="10"/>
        <v>117.78498109130201</v>
      </c>
      <c r="O38">
        <f t="shared" si="11"/>
        <v>159.99952782302807</v>
      </c>
      <c r="P38">
        <f t="shared" si="12"/>
        <v>161.2284974843555</v>
      </c>
      <c r="Q38">
        <f t="shared" si="13"/>
        <v>150.90061885992441</v>
      </c>
      <c r="R38">
        <f t="shared" si="14"/>
        <v>147.64885718312743</v>
      </c>
      <c r="S38">
        <f t="shared" si="15"/>
        <v>149.12351266504692</v>
      </c>
      <c r="T38" t="s">
        <v>29</v>
      </c>
      <c r="U38" t="s">
        <v>30</v>
      </c>
      <c r="V38" t="s">
        <v>59</v>
      </c>
      <c r="W38" t="s">
        <v>60</v>
      </c>
      <c r="X38" t="s">
        <v>61</v>
      </c>
      <c r="Y38" t="s">
        <v>62</v>
      </c>
    </row>
    <row r="39" spans="1:25" x14ac:dyDescent="0.4">
      <c r="A39">
        <v>20090529</v>
      </c>
      <c r="B39">
        <v>1.0164113384093203</v>
      </c>
      <c r="C39">
        <v>1.0406663617181389</v>
      </c>
      <c r="D39">
        <v>1.01652975662086</v>
      </c>
      <c r="E39">
        <v>1.0028648464029899</v>
      </c>
      <c r="F39">
        <v>1.0080711976941299</v>
      </c>
      <c r="G39">
        <v>1.0075774228427401</v>
      </c>
      <c r="N39">
        <f t="shared" si="10"/>
        <v>119.71799027552676</v>
      </c>
      <c r="O39">
        <f t="shared" si="11"/>
        <v>166.50612649621075</v>
      </c>
      <c r="P39">
        <f t="shared" si="12"/>
        <v>163.89356530811884</v>
      </c>
      <c r="Q39">
        <f t="shared" si="13"/>
        <v>151.33292595507422</v>
      </c>
      <c r="R39">
        <f t="shared" si="14"/>
        <v>148.84056029876481</v>
      </c>
      <c r="S39">
        <f t="shared" si="15"/>
        <v>150.25348457630469</v>
      </c>
      <c r="T39">
        <v>100</v>
      </c>
      <c r="U39">
        <v>100</v>
      </c>
      <c r="V39">
        <v>100</v>
      </c>
      <c r="W39">
        <v>100</v>
      </c>
      <c r="X39">
        <v>100</v>
      </c>
      <c r="Y39">
        <v>100</v>
      </c>
    </row>
    <row r="40" spans="1:25" x14ac:dyDescent="0.4">
      <c r="A40">
        <v>20090630</v>
      </c>
      <c r="B40">
        <v>1.0033664563759601</v>
      </c>
      <c r="C40">
        <v>0.94022147546329782</v>
      </c>
      <c r="D40">
        <v>0.978443682228471</v>
      </c>
      <c r="E40">
        <v>0.98594805972955502</v>
      </c>
      <c r="F40">
        <v>0.97891503409203495</v>
      </c>
      <c r="G40">
        <v>0.97546841899244396</v>
      </c>
      <c r="T40">
        <f t="shared" ref="T40:T53" si="16">T39*$B40</f>
        <v>100.33664563759601</v>
      </c>
      <c r="U40">
        <f t="shared" ref="U40:U53" si="17">U39*$C40</f>
        <v>94.022147546329776</v>
      </c>
      <c r="V40">
        <f t="shared" ref="V40:V53" si="18">V39*$D40</f>
        <v>97.844368222847095</v>
      </c>
      <c r="W40">
        <f t="shared" ref="W40:W53" si="19">W39*$E40</f>
        <v>98.594805972955498</v>
      </c>
      <c r="X40">
        <f t="shared" ref="X40:X53" si="20">X39*$F40</f>
        <v>97.891503409203494</v>
      </c>
      <c r="Y40">
        <f t="shared" ref="Y40:Y53" si="21">Y39*$G40</f>
        <v>97.546841899244399</v>
      </c>
    </row>
    <row r="41" spans="1:25" x14ac:dyDescent="0.4">
      <c r="A41">
        <v>20090731</v>
      </c>
      <c r="B41">
        <v>1.1396664627783974</v>
      </c>
      <c r="C41">
        <v>1.0365399405830105</v>
      </c>
      <c r="D41">
        <v>1.0337722870291799</v>
      </c>
      <c r="E41">
        <v>1.06745800832539</v>
      </c>
      <c r="F41">
        <v>1.0545373354957699</v>
      </c>
      <c r="G41">
        <v>1.0579493423217099</v>
      </c>
      <c r="T41">
        <f t="shared" si="16"/>
        <v>114.35031002084857</v>
      </c>
      <c r="U41">
        <f t="shared" si="17"/>
        <v>97.457711231159706</v>
      </c>
      <c r="V41">
        <f t="shared" si="18"/>
        <v>101.14879631065786</v>
      </c>
      <c r="W41">
        <f t="shared" si="19"/>
        <v>105.24581521511934</v>
      </c>
      <c r="X41">
        <f t="shared" si="20"/>
        <v>103.23024517281652</v>
      </c>
      <c r="Y41">
        <f t="shared" si="21"/>
        <v>103.19961723286542</v>
      </c>
    </row>
    <row r="42" spans="1:25" x14ac:dyDescent="0.4">
      <c r="A42">
        <v>20090831</v>
      </c>
      <c r="B42">
        <v>1.0237176299734014</v>
      </c>
      <c r="C42">
        <v>1.0318183140803678</v>
      </c>
      <c r="D42">
        <v>1.0505414388952301</v>
      </c>
      <c r="E42">
        <v>1.04000586026389</v>
      </c>
      <c r="F42">
        <v>1.03066276093708</v>
      </c>
      <c r="G42">
        <v>1.0261221033052199</v>
      </c>
      <c r="T42">
        <f t="shared" si="16"/>
        <v>117.0624283612668</v>
      </c>
      <c r="U42">
        <f t="shared" si="17"/>
        <v>100.55865129666654</v>
      </c>
      <c r="V42">
        <f t="shared" si="18"/>
        <v>106.26100201871905</v>
      </c>
      <c r="W42">
        <f t="shared" si="19"/>
        <v>109.45626459197459</v>
      </c>
      <c r="X42">
        <f t="shared" si="20"/>
        <v>106.39556950202675</v>
      </c>
      <c r="Y42">
        <f t="shared" si="21"/>
        <v>105.89540829528148</v>
      </c>
    </row>
    <row r="43" spans="1:25" x14ac:dyDescent="0.4">
      <c r="A43">
        <v>20090930</v>
      </c>
      <c r="B43">
        <v>1.0602371553691483</v>
      </c>
      <c r="C43">
        <v>0.99617884688597169</v>
      </c>
      <c r="D43">
        <v>0.99277188247652004</v>
      </c>
      <c r="E43">
        <v>1.0069032854920901</v>
      </c>
      <c r="F43">
        <v>1.0048717924572701</v>
      </c>
      <c r="G43">
        <v>1.0080074146653</v>
      </c>
      <c r="T43">
        <f t="shared" si="16"/>
        <v>124.11393604635421</v>
      </c>
      <c r="U43">
        <f t="shared" si="17"/>
        <v>100.17440129312179</v>
      </c>
      <c r="V43">
        <f t="shared" si="18"/>
        <v>105.49293500796502</v>
      </c>
      <c r="W43">
        <f t="shared" si="19"/>
        <v>110.21187243535074</v>
      </c>
      <c r="X43">
        <f t="shared" si="20"/>
        <v>106.91390663501367</v>
      </c>
      <c r="Y43">
        <f t="shared" si="21"/>
        <v>106.74335674065306</v>
      </c>
    </row>
    <row r="44" spans="1:25" x14ac:dyDescent="0.4">
      <c r="A44">
        <v>20091030</v>
      </c>
      <c r="B44">
        <v>0.94264709090512433</v>
      </c>
      <c r="C44">
        <v>0.95682944090587407</v>
      </c>
      <c r="D44">
        <v>0.97339056859322304</v>
      </c>
      <c r="E44">
        <v>0.95940272183833897</v>
      </c>
      <c r="F44">
        <v>0.96954501303567497</v>
      </c>
      <c r="G44">
        <v>0.96749922869137395</v>
      </c>
      <c r="T44">
        <f t="shared" si="16"/>
        <v>116.99564075488044</v>
      </c>
      <c r="U44">
        <f t="shared" si="17"/>
        <v>95.849816382378393</v>
      </c>
      <c r="V44">
        <f t="shared" si="18"/>
        <v>102.68582798997099</v>
      </c>
      <c r="W44">
        <f t="shared" si="19"/>
        <v>105.73757039337531</v>
      </c>
      <c r="X44">
        <f t="shared" si="20"/>
        <v>103.65784500213927</v>
      </c>
      <c r="Y44">
        <f t="shared" si="21"/>
        <v>103.27411531451</v>
      </c>
    </row>
    <row r="45" spans="1:25" x14ac:dyDescent="0.4">
      <c r="A45">
        <v>20091130</v>
      </c>
      <c r="B45">
        <v>0.99106688266604959</v>
      </c>
      <c r="C45">
        <v>0.95494082840236683</v>
      </c>
      <c r="D45">
        <v>0.98533531927240903</v>
      </c>
      <c r="E45">
        <v>0.97704742284532897</v>
      </c>
      <c r="F45">
        <v>0.98100595891874298</v>
      </c>
      <c r="G45">
        <v>0.97259310991343595</v>
      </c>
      <c r="T45">
        <f t="shared" si="16"/>
        <v>115.95050496845639</v>
      </c>
      <c r="U45">
        <f t="shared" si="17"/>
        <v>91.530903058403169</v>
      </c>
      <c r="V45">
        <f t="shared" si="18"/>
        <v>101.17997310724974</v>
      </c>
      <c r="W45">
        <f t="shared" si="19"/>
        <v>103.3106206507739</v>
      </c>
      <c r="X45">
        <f t="shared" si="20"/>
        <v>101.68896363577406</v>
      </c>
      <c r="Y45">
        <f t="shared" si="21"/>
        <v>100.44369298729808</v>
      </c>
    </row>
    <row r="46" spans="1:25" x14ac:dyDescent="0.4">
      <c r="A46">
        <v>20091230</v>
      </c>
      <c r="B46">
        <v>1.082983062457189</v>
      </c>
      <c r="C46">
        <v>1.0845493695200918</v>
      </c>
      <c r="D46">
        <v>1.1008836941782201</v>
      </c>
      <c r="E46">
        <v>1.0763124275051501</v>
      </c>
      <c r="F46">
        <v>1.07279919014836</v>
      </c>
      <c r="G46">
        <v>1.0816316528418399</v>
      </c>
      <c r="T46">
        <f t="shared" si="16"/>
        <v>125.57243296419641</v>
      </c>
      <c r="U46">
        <f t="shared" si="17"/>
        <v>99.269783203595807</v>
      </c>
      <c r="V46">
        <f t="shared" si="18"/>
        <v>111.38738257116205</v>
      </c>
      <c r="W46">
        <f t="shared" si="19"/>
        <v>111.19450489969815</v>
      </c>
      <c r="X46">
        <f t="shared" si="20"/>
        <v>109.09183783548444</v>
      </c>
      <c r="Y46">
        <f t="shared" si="21"/>
        <v>108.64307766338955</v>
      </c>
    </row>
    <row r="47" spans="1:25" x14ac:dyDescent="0.4">
      <c r="A47">
        <v>20100129</v>
      </c>
      <c r="B47">
        <v>0.95188057470190401</v>
      </c>
      <c r="C47">
        <v>0.93168314003313712</v>
      </c>
      <c r="D47">
        <v>0.93071203236287903</v>
      </c>
      <c r="E47">
        <v>0.92256714354056901</v>
      </c>
      <c r="F47">
        <v>0.92294816051873496</v>
      </c>
      <c r="G47">
        <v>0.92994057252934703</v>
      </c>
      <c r="T47">
        <f t="shared" si="16"/>
        <v>119.5299596566756</v>
      </c>
      <c r="U47">
        <f t="shared" si="17"/>
        <v>92.487983325534913</v>
      </c>
      <c r="V47">
        <f t="shared" si="18"/>
        <v>103.66957721238776</v>
      </c>
      <c r="W47">
        <f t="shared" si="19"/>
        <v>102.58439676272232</v>
      </c>
      <c r="X47">
        <f t="shared" si="20"/>
        <v>100.6861110578685</v>
      </c>
      <c r="Y47">
        <f t="shared" si="21"/>
        <v>101.03160584364279</v>
      </c>
    </row>
    <row r="48" spans="1:25" x14ac:dyDescent="0.4">
      <c r="A48">
        <v>20100226</v>
      </c>
      <c r="B48">
        <v>0.98787357102946272</v>
      </c>
      <c r="C48">
        <v>1.0124331202379311</v>
      </c>
      <c r="D48">
        <v>0.98883477877275405</v>
      </c>
      <c r="E48">
        <v>0.98825890866089094</v>
      </c>
      <c r="F48">
        <v>0.98976017528865401</v>
      </c>
      <c r="G48">
        <v>0.99088106252408503</v>
      </c>
      <c r="T48">
        <f t="shared" si="16"/>
        <v>118.08048809104774</v>
      </c>
      <c r="U48">
        <f t="shared" si="17"/>
        <v>93.637897542785055</v>
      </c>
      <c r="V48">
        <f t="shared" si="18"/>
        <v>102.5120834482764</v>
      </c>
      <c r="W48">
        <f t="shared" si="19"/>
        <v>101.3799439903638</v>
      </c>
      <c r="X48">
        <f t="shared" si="20"/>
        <v>99.655102929768816</v>
      </c>
      <c r="Y48">
        <f t="shared" si="21"/>
        <v>100.11030494686332</v>
      </c>
    </row>
    <row r="49" spans="1:43" x14ac:dyDescent="0.4">
      <c r="A49">
        <v>20100331</v>
      </c>
      <c r="B49">
        <v>1.0650987525987528</v>
      </c>
      <c r="C49">
        <v>1.0324197456087219</v>
      </c>
      <c r="D49">
        <v>1.04386488200057</v>
      </c>
      <c r="E49">
        <v>1.0459295103612201</v>
      </c>
      <c r="F49">
        <v>1.0380503932421801</v>
      </c>
      <c r="G49">
        <v>1.04079662113576</v>
      </c>
      <c r="T49">
        <f t="shared" si="16"/>
        <v>125.76738057202682</v>
      </c>
      <c r="U49">
        <f t="shared" si="17"/>
        <v>96.673614360457705</v>
      </c>
      <c r="V49">
        <f t="shared" si="18"/>
        <v>107.00876389236764</v>
      </c>
      <c r="W49">
        <f t="shared" si="19"/>
        <v>106.03627517828912</v>
      </c>
      <c r="X49">
        <f t="shared" si="20"/>
        <v>103.44701878483644</v>
      </c>
      <c r="Y49">
        <f t="shared" si="21"/>
        <v>104.19446712956591</v>
      </c>
    </row>
    <row r="50" spans="1:43" x14ac:dyDescent="0.4">
      <c r="A50">
        <v>20100430</v>
      </c>
      <c r="B50">
        <v>1.0323791344035478</v>
      </c>
      <c r="C50">
        <v>1.0064240770889252</v>
      </c>
      <c r="D50">
        <v>1.0105386164360299</v>
      </c>
      <c r="E50">
        <v>1.0089238908982301</v>
      </c>
      <c r="F50">
        <v>1.0050249938448099</v>
      </c>
      <c r="G50">
        <v>1.0027706964579</v>
      </c>
      <c r="T50">
        <f t="shared" si="16"/>
        <v>129.83961949115061</v>
      </c>
      <c r="U50">
        <f t="shared" si="17"/>
        <v>97.29465311157432</v>
      </c>
      <c r="V50">
        <f t="shared" si="18"/>
        <v>108.13648821032299</v>
      </c>
      <c r="W50">
        <f t="shared" si="19"/>
        <v>106.98253132923487</v>
      </c>
      <c r="X50">
        <f t="shared" si="20"/>
        <v>103.96683941749419</v>
      </c>
      <c r="Y50">
        <f t="shared" si="21"/>
        <v>104.48315837057457</v>
      </c>
    </row>
    <row r="51" spans="1:43" x14ac:dyDescent="0.4">
      <c r="A51">
        <v>20100531</v>
      </c>
      <c r="B51">
        <v>0.94033824316527759</v>
      </c>
      <c r="C51">
        <v>0.95313251431819168</v>
      </c>
      <c r="D51">
        <v>0.94051736700993305</v>
      </c>
      <c r="E51">
        <v>0.94996318767778998</v>
      </c>
      <c r="F51">
        <v>0.94590152176782805</v>
      </c>
      <c r="G51">
        <v>0.95179228857768206</v>
      </c>
      <c r="T51">
        <f t="shared" si="16"/>
        <v>122.0931596855567</v>
      </c>
      <c r="U51">
        <f t="shared" si="17"/>
        <v>92.734697349951105</v>
      </c>
      <c r="V51">
        <f t="shared" si="18"/>
        <v>101.70424516927365</v>
      </c>
      <c r="W51">
        <f t="shared" si="19"/>
        <v>101.629466487359</v>
      </c>
      <c r="X51">
        <f t="shared" si="20"/>
        <v>98.342391618399162</v>
      </c>
      <c r="Y51">
        <f t="shared" si="21"/>
        <v>99.446264423353568</v>
      </c>
    </row>
    <row r="52" spans="1:43" x14ac:dyDescent="0.4">
      <c r="A52">
        <v>20100630</v>
      </c>
      <c r="B52">
        <v>1.0282603231863274</v>
      </c>
      <c r="C52">
        <v>1.0451508340595996</v>
      </c>
      <c r="D52">
        <v>1.0670797297382999</v>
      </c>
      <c r="E52">
        <v>1.0661704243827601</v>
      </c>
      <c r="F52">
        <v>1.0526099422283599</v>
      </c>
      <c r="G52">
        <v>1.0527552936817901</v>
      </c>
      <c r="T52">
        <f t="shared" si="16"/>
        <v>125.54355183711041</v>
      </c>
      <c r="U52">
        <f t="shared" si="17"/>
        <v>96.921746281565945</v>
      </c>
      <c r="V52">
        <f t="shared" si="18"/>
        <v>108.52653844846631</v>
      </c>
      <c r="W52">
        <f t="shared" si="19"/>
        <v>108.35433141462104</v>
      </c>
      <c r="X52">
        <f t="shared" si="20"/>
        <v>103.51617916004189</v>
      </c>
      <c r="Y52">
        <f t="shared" si="21"/>
        <v>104.69258130856454</v>
      </c>
      <c r="Z52" t="s">
        <v>29</v>
      </c>
      <c r="AA52" t="s">
        <v>30</v>
      </c>
      <c r="AB52" t="s">
        <v>59</v>
      </c>
      <c r="AC52" t="s">
        <v>60</v>
      </c>
      <c r="AD52" t="s">
        <v>61</v>
      </c>
      <c r="AE52" t="s">
        <v>62</v>
      </c>
    </row>
    <row r="53" spans="1:43" x14ac:dyDescent="0.4">
      <c r="A53">
        <v>20100730</v>
      </c>
      <c r="B53">
        <v>1.0382096462282802</v>
      </c>
      <c r="C53">
        <v>0.99884428579788176</v>
      </c>
      <c r="D53">
        <v>1.00797107008325</v>
      </c>
      <c r="E53">
        <v>1.01757532497486</v>
      </c>
      <c r="F53">
        <v>1.0145138660627</v>
      </c>
      <c r="G53">
        <v>1.01545624678047</v>
      </c>
      <c r="T53">
        <f t="shared" si="16"/>
        <v>130.34052653904814</v>
      </c>
      <c r="U53">
        <f t="shared" si="17"/>
        <v>96.809732442894244</v>
      </c>
      <c r="V53">
        <f t="shared" si="18"/>
        <v>109.39161109233157</v>
      </c>
      <c r="W53">
        <f t="shared" si="19"/>
        <v>110.2586940016667</v>
      </c>
      <c r="X53">
        <f t="shared" si="20"/>
        <v>105.01859911969319</v>
      </c>
      <c r="Y53">
        <f t="shared" si="21"/>
        <v>106.31073568135413</v>
      </c>
      <c r="Z53">
        <v>100</v>
      </c>
      <c r="AA53">
        <v>100</v>
      </c>
      <c r="AB53">
        <v>100</v>
      </c>
      <c r="AC53">
        <v>100</v>
      </c>
      <c r="AD53">
        <v>100</v>
      </c>
      <c r="AE53">
        <v>100</v>
      </c>
    </row>
    <row r="54" spans="1:43" x14ac:dyDescent="0.4">
      <c r="A54">
        <v>20100831</v>
      </c>
      <c r="B54">
        <v>0.98736982051850208</v>
      </c>
      <c r="C54">
        <v>0.98446036000410098</v>
      </c>
      <c r="D54">
        <v>1.0198764198986601</v>
      </c>
      <c r="E54">
        <v>1.00403086164197</v>
      </c>
      <c r="F54">
        <v>1.0096876072868499</v>
      </c>
      <c r="G54">
        <v>1.00788211388367</v>
      </c>
      <c r="Z54">
        <f>Z53*$B54</f>
        <v>98.736982051850205</v>
      </c>
      <c r="AA54">
        <f>AA53*$C54</f>
        <v>98.446036000410103</v>
      </c>
      <c r="AB54">
        <f>AB53*$D54</f>
        <v>101.98764198986601</v>
      </c>
      <c r="AC54">
        <f>AC53*$E54</f>
        <v>100.40308616419699</v>
      </c>
      <c r="AD54">
        <f>AD53*$F54</f>
        <v>100.968760728685</v>
      </c>
      <c r="AE54">
        <f>AE53*$G54</f>
        <v>100.788211388367</v>
      </c>
    </row>
    <row r="55" spans="1:43" x14ac:dyDescent="0.4">
      <c r="A55">
        <v>20100930</v>
      </c>
      <c r="B55">
        <v>1.0665324842908437</v>
      </c>
      <c r="C55">
        <v>1.0923887169721496</v>
      </c>
      <c r="D55">
        <v>1.08323708477708</v>
      </c>
      <c r="E55">
        <v>1.0763876965172099</v>
      </c>
      <c r="F55">
        <v>1.07568528301094</v>
      </c>
      <c r="G55">
        <v>1.07616604512013</v>
      </c>
      <c r="Z55">
        <f>Z54*$B55</f>
        <v>105.30619875914024</v>
      </c>
      <c r="AA55">
        <f>AA54*$C55</f>
        <v>107.54133895748204</v>
      </c>
      <c r="AB55">
        <f>AB54*$D55</f>
        <v>110.47679599239098</v>
      </c>
      <c r="AC55">
        <f>AC54*$E55</f>
        <v>108.07264663949894</v>
      </c>
      <c r="AD55">
        <f>AD54*$F55</f>
        <v>108.6106099596994</v>
      </c>
      <c r="AE55">
        <f>AE54*$G55</f>
        <v>108.46485084455057</v>
      </c>
      <c r="AF55" t="s">
        <v>29</v>
      </c>
      <c r="AG55" t="s">
        <v>30</v>
      </c>
      <c r="AH55" t="s">
        <v>59</v>
      </c>
      <c r="AI55" t="s">
        <v>60</v>
      </c>
      <c r="AJ55" t="s">
        <v>61</v>
      </c>
      <c r="AK55" t="s">
        <v>62</v>
      </c>
    </row>
    <row r="56" spans="1:43" x14ac:dyDescent="0.4">
      <c r="A56">
        <v>20101029</v>
      </c>
      <c r="B56">
        <v>0.9985862610879872</v>
      </c>
      <c r="C56">
        <v>1.0480075177729959</v>
      </c>
      <c r="D56">
        <v>1.10690011999656</v>
      </c>
      <c r="E56">
        <v>1.0840534220528999</v>
      </c>
      <c r="F56">
        <v>1.08189228320999</v>
      </c>
      <c r="G56">
        <v>1.0763534259591601</v>
      </c>
      <c r="Z56">
        <f>Z55*$B56</f>
        <v>105.15732328827829</v>
      </c>
      <c r="AA56">
        <f>AA55*$C56</f>
        <v>112.70413169881515</v>
      </c>
      <c r="AB56">
        <f>AB55*$D56</f>
        <v>122.28677874081305</v>
      </c>
      <c r="AC56">
        <f>AC55*$E56</f>
        <v>117.15652241986265</v>
      </c>
      <c r="AD56">
        <f>AD55*$F56</f>
        <v>117.50498079012887</v>
      </c>
      <c r="AE56">
        <f>AE55*$G56</f>
        <v>116.74651380268131</v>
      </c>
      <c r="AF56">
        <v>100</v>
      </c>
      <c r="AG56">
        <v>100</v>
      </c>
      <c r="AH56">
        <v>100</v>
      </c>
      <c r="AI56">
        <v>100</v>
      </c>
      <c r="AJ56">
        <v>100</v>
      </c>
      <c r="AK56">
        <v>100</v>
      </c>
    </row>
    <row r="57" spans="1:43" x14ac:dyDescent="0.4">
      <c r="A57">
        <v>20101130</v>
      </c>
      <c r="B57">
        <v>1.0293354580414054</v>
      </c>
      <c r="C57">
        <v>0.94386037868253814</v>
      </c>
      <c r="D57">
        <v>0.95341537406996701</v>
      </c>
      <c r="E57">
        <v>0.956962650084491</v>
      </c>
      <c r="F57">
        <v>0.95058800100556295</v>
      </c>
      <c r="G57">
        <v>0.97672778049197795</v>
      </c>
      <c r="AF57">
        <f t="shared" ref="AF57:AF62" si="22">AF56*$B57</f>
        <v>102.93354580414054</v>
      </c>
      <c r="AG57">
        <f t="shared" ref="AG57:AG62" si="23">AG56*$C57</f>
        <v>94.386037868253808</v>
      </c>
      <c r="AH57">
        <f t="shared" ref="AH57:AH62" si="24">AH56*$D57</f>
        <v>95.341537406996707</v>
      </c>
      <c r="AI57">
        <f t="shared" ref="AI57:AI62" si="25">AI56*$E57</f>
        <v>95.696265008449103</v>
      </c>
      <c r="AJ57">
        <f t="shared" ref="AJ57:AJ62" si="26">AJ56*$F57</f>
        <v>95.058800100556297</v>
      </c>
      <c r="AK57">
        <f t="shared" ref="AK57:AK62" si="27">AK56*$G57</f>
        <v>97.672778049197788</v>
      </c>
    </row>
    <row r="58" spans="1:43" x14ac:dyDescent="0.4">
      <c r="A58">
        <v>20101230</v>
      </c>
      <c r="B58">
        <v>1.0860228123260769</v>
      </c>
      <c r="C58">
        <v>1.0380829122550979</v>
      </c>
      <c r="D58">
        <v>1.02681192558569</v>
      </c>
      <c r="E58">
        <v>1.0370953755832399</v>
      </c>
      <c r="F58">
        <v>1.0327722043862999</v>
      </c>
      <c r="G58">
        <v>1.0379547102067599</v>
      </c>
      <c r="AF58">
        <f t="shared" si="22"/>
        <v>111.78817889690775</v>
      </c>
      <c r="AG58">
        <f t="shared" si="23"/>
        <v>97.980533066496861</v>
      </c>
      <c r="AH58">
        <f t="shared" si="24"/>
        <v>97.897827613178379</v>
      </c>
      <c r="AI58">
        <f t="shared" si="25"/>
        <v>99.246153900850786</v>
      </c>
      <c r="AJ58">
        <f t="shared" si="26"/>
        <v>98.174086526168153</v>
      </c>
      <c r="AK58">
        <f t="shared" si="27"/>
        <v>101.37992003514427</v>
      </c>
    </row>
    <row r="59" spans="1:43" x14ac:dyDescent="0.4">
      <c r="A59">
        <v>20110131</v>
      </c>
      <c r="B59">
        <v>1.0080640410918558</v>
      </c>
      <c r="C59">
        <v>1.0214597397774448</v>
      </c>
      <c r="D59">
        <v>0.98410850301206398</v>
      </c>
      <c r="E59">
        <v>0.98088501399261296</v>
      </c>
      <c r="F59">
        <v>0.99781422232833805</v>
      </c>
      <c r="G59">
        <v>0.987586209638037</v>
      </c>
      <c r="AF59">
        <f t="shared" si="22"/>
        <v>112.68964336511614</v>
      </c>
      <c r="AG59">
        <f t="shared" si="23"/>
        <v>100.08316980935921</v>
      </c>
      <c r="AH59">
        <f t="shared" si="24"/>
        <v>96.342084580538071</v>
      </c>
      <c r="AI59">
        <f t="shared" si="25"/>
        <v>97.349065057749044</v>
      </c>
      <c r="AJ59">
        <f t="shared" si="26"/>
        <v>97.95949979990344</v>
      </c>
      <c r="AK59">
        <f t="shared" si="27"/>
        <v>100.12141096091541</v>
      </c>
    </row>
    <row r="60" spans="1:43" x14ac:dyDescent="0.4">
      <c r="A60">
        <v>20110228</v>
      </c>
      <c r="B60">
        <v>0.94060829169953553</v>
      </c>
      <c r="C60">
        <v>0.94314094656885028</v>
      </c>
      <c r="D60">
        <v>0.93207334702440003</v>
      </c>
      <c r="E60">
        <v>0.92791195687218098</v>
      </c>
      <c r="F60">
        <v>0.93521187287176999</v>
      </c>
      <c r="G60">
        <v>0.93262347536057999</v>
      </c>
      <c r="AF60">
        <f t="shared" si="22"/>
        <v>105.99681293789179</v>
      </c>
      <c r="AG60">
        <f t="shared" si="23"/>
        <v>94.392535509610013</v>
      </c>
      <c r="AH60">
        <f t="shared" si="24"/>
        <v>89.797889234289954</v>
      </c>
      <c r="AI60">
        <f t="shared" si="25"/>
        <v>90.331361457413166</v>
      </c>
      <c r="AJ60">
        <f t="shared" si="26"/>
        <v>91.612887273449473</v>
      </c>
      <c r="AK60">
        <f t="shared" si="27"/>
        <v>93.375578248373799</v>
      </c>
    </row>
    <row r="61" spans="1:43" x14ac:dyDescent="0.4">
      <c r="A61">
        <v>20110331</v>
      </c>
      <c r="B61">
        <v>1.0841083176472781</v>
      </c>
      <c r="C61">
        <v>1.0635222203865851</v>
      </c>
      <c r="D61">
        <v>1.0402407210006599</v>
      </c>
      <c r="E61">
        <v>1.0374852048782099</v>
      </c>
      <c r="F61">
        <v>1.0465289195902601</v>
      </c>
      <c r="G61">
        <v>1.0514036577055501</v>
      </c>
      <c r="AF61">
        <f t="shared" si="22"/>
        <v>114.9120265500711</v>
      </c>
      <c r="AG61">
        <f t="shared" si="23"/>
        <v>100.38855895310002</v>
      </c>
      <c r="AH61">
        <f t="shared" si="24"/>
        <v>93.411421041415181</v>
      </c>
      <c r="AI61">
        <f t="shared" si="25"/>
        <v>93.717451048571931</v>
      </c>
      <c r="AJ61">
        <f t="shared" si="26"/>
        <v>95.875535938827369</v>
      </c>
      <c r="AK61">
        <f t="shared" si="27"/>
        <v>98.175424510711011</v>
      </c>
      <c r="AL61" t="s">
        <v>29</v>
      </c>
      <c r="AM61" t="s">
        <v>30</v>
      </c>
      <c r="AN61" t="s">
        <v>59</v>
      </c>
      <c r="AO61" t="s">
        <v>60</v>
      </c>
      <c r="AP61" t="s">
        <v>61</v>
      </c>
      <c r="AQ61" t="s">
        <v>62</v>
      </c>
    </row>
    <row r="62" spans="1:43" x14ac:dyDescent="0.4">
      <c r="A62">
        <v>20110429</v>
      </c>
      <c r="B62">
        <v>1.0382843390063607</v>
      </c>
      <c r="C62">
        <v>1.0215145631067961</v>
      </c>
      <c r="D62">
        <v>1.02552582076782</v>
      </c>
      <c r="E62">
        <v>1.0185008919273899</v>
      </c>
      <c r="F62">
        <v>1.0193131453592299</v>
      </c>
      <c r="G62">
        <v>1.02159482675491</v>
      </c>
      <c r="AF62">
        <f t="shared" si="22"/>
        <v>119.31135753042196</v>
      </c>
      <c r="AG62">
        <f t="shared" si="23"/>
        <v>102.5483749398968</v>
      </c>
      <c r="AH62">
        <f t="shared" si="24"/>
        <v>95.795824232585716</v>
      </c>
      <c r="AI62">
        <f t="shared" si="25"/>
        <v>95.451307482132009</v>
      </c>
      <c r="AJ62">
        <f t="shared" si="26"/>
        <v>97.727194100808006</v>
      </c>
      <c r="AK62">
        <f t="shared" si="27"/>
        <v>100.29550579460955</v>
      </c>
      <c r="AL62">
        <v>100</v>
      </c>
      <c r="AM62">
        <v>100</v>
      </c>
      <c r="AN62">
        <v>100</v>
      </c>
      <c r="AO62">
        <v>100</v>
      </c>
      <c r="AP62">
        <v>100</v>
      </c>
      <c r="AQ62">
        <v>100</v>
      </c>
    </row>
    <row r="63" spans="1:43" x14ac:dyDescent="0.4">
      <c r="A63">
        <v>20110531</v>
      </c>
      <c r="B63">
        <v>0.97080428939627239</v>
      </c>
      <c r="C63">
        <v>0.97987631792376317</v>
      </c>
      <c r="D63">
        <v>0.97583045087525699</v>
      </c>
      <c r="E63">
        <v>0.98423871628488702</v>
      </c>
      <c r="F63">
        <v>0.97468111407712399</v>
      </c>
      <c r="G63">
        <v>0.97880747304349403</v>
      </c>
      <c r="AL63">
        <f t="shared" ref="AL63:AL72" si="28">AL62*$B63</f>
        <v>97.08042893962724</v>
      </c>
      <c r="AM63">
        <f t="shared" ref="AM63:AM72" si="29">AM62*$C63</f>
        <v>97.98763179237632</v>
      </c>
      <c r="AN63">
        <f t="shared" ref="AN63:AN72" si="30">AN62*$D63</f>
        <v>97.583045087525704</v>
      </c>
      <c r="AO63">
        <f t="shared" ref="AO63:AO72" si="31">AO62*$E63</f>
        <v>98.423871628488698</v>
      </c>
      <c r="AP63">
        <f t="shared" ref="AP63:AP72" si="32">AP62*$F63</f>
        <v>97.468111407712399</v>
      </c>
      <c r="AQ63">
        <f t="shared" ref="AQ63:AQ72" si="33">AQ62*$G63</f>
        <v>97.880747304349399</v>
      </c>
    </row>
    <row r="64" spans="1:43" x14ac:dyDescent="0.4">
      <c r="A64">
        <v>20110630</v>
      </c>
      <c r="B64">
        <v>0.97312124433630287</v>
      </c>
      <c r="C64">
        <v>1.0094795923645958</v>
      </c>
      <c r="D64">
        <v>1.0373301479344299</v>
      </c>
      <c r="E64">
        <v>1.03131368662659</v>
      </c>
      <c r="F64">
        <v>1.0243561482694401</v>
      </c>
      <c r="G64">
        <v>1.01888160410744</v>
      </c>
      <c r="AL64">
        <f t="shared" si="28"/>
        <v>94.471027810432091</v>
      </c>
      <c r="AM64">
        <f t="shared" si="29"/>
        <v>98.916514598540161</v>
      </c>
      <c r="AN64">
        <f t="shared" si="30"/>
        <v>101.22583459653518</v>
      </c>
      <c r="AO64">
        <f t="shared" si="31"/>
        <v>101.50588590123891</v>
      </c>
      <c r="AP64">
        <f t="shared" si="32"/>
        <v>99.842059180700943</v>
      </c>
      <c r="AQ64">
        <f t="shared" si="33"/>
        <v>99.728892824690504</v>
      </c>
    </row>
    <row r="65" spans="1:55" x14ac:dyDescent="0.4">
      <c r="A65">
        <v>20110729</v>
      </c>
      <c r="B65">
        <v>1.0043756900913112</v>
      </c>
      <c r="C65">
        <v>1.0845920289019562</v>
      </c>
      <c r="D65">
        <v>1.12220141043245</v>
      </c>
      <c r="E65">
        <v>1.10390792279267</v>
      </c>
      <c r="F65">
        <v>1.08631477465959</v>
      </c>
      <c r="G65">
        <v>1.0852383499290601</v>
      </c>
      <c r="AL65">
        <f t="shared" si="28"/>
        <v>94.884403750738187</v>
      </c>
      <c r="AM65">
        <f t="shared" si="29"/>
        <v>107.28406326034064</v>
      </c>
      <c r="AN65">
        <f t="shared" si="30"/>
        <v>113.59577435643368</v>
      </c>
      <c r="AO65">
        <f t="shared" si="31"/>
        <v>112.05315165646641</v>
      </c>
      <c r="AP65">
        <f t="shared" si="32"/>
        <v>108.4599040204326</v>
      </c>
      <c r="AQ65">
        <f t="shared" si="33"/>
        <v>108.2296190893192</v>
      </c>
    </row>
    <row r="66" spans="1:55" x14ac:dyDescent="0.4">
      <c r="A66">
        <v>20110831</v>
      </c>
      <c r="B66">
        <v>0.87531555007503392</v>
      </c>
      <c r="C66">
        <v>0.90270493739664537</v>
      </c>
      <c r="D66">
        <v>0.91417381765317196</v>
      </c>
      <c r="E66">
        <v>0.91535187373673699</v>
      </c>
      <c r="F66">
        <v>0.91127876027308896</v>
      </c>
      <c r="G66">
        <v>0.90514693885195396</v>
      </c>
      <c r="AL66">
        <f t="shared" si="28"/>
        <v>83.053794062619005</v>
      </c>
      <c r="AM66">
        <f t="shared" si="29"/>
        <v>96.845853609083548</v>
      </c>
      <c r="AN66">
        <f t="shared" si="30"/>
        <v>103.84628271268927</v>
      </c>
      <c r="AO66">
        <f t="shared" si="31"/>
        <v>102.56806232685328</v>
      </c>
      <c r="AP66">
        <f t="shared" si="32"/>
        <v>98.837206875078039</v>
      </c>
      <c r="AQ66">
        <f t="shared" si="33"/>
        <v>97.963708411810273</v>
      </c>
    </row>
    <row r="67" spans="1:55" x14ac:dyDescent="0.4">
      <c r="A67">
        <v>20110930</v>
      </c>
      <c r="B67">
        <v>0.95916563667052102</v>
      </c>
      <c r="C67">
        <v>0.89547649267890561</v>
      </c>
      <c r="D67">
        <v>0.90356649282101598</v>
      </c>
      <c r="E67">
        <v>0.90499710772522002</v>
      </c>
      <c r="F67">
        <v>0.89542153163211402</v>
      </c>
      <c r="G67">
        <v>0.88618963974485399</v>
      </c>
      <c r="AL67">
        <f t="shared" si="28"/>
        <v>79.662345259974302</v>
      </c>
      <c r="AM67">
        <f t="shared" si="29"/>
        <v>86.723185320356862</v>
      </c>
      <c r="AN67">
        <f t="shared" si="30"/>
        <v>93.832021463204342</v>
      </c>
      <c r="AO67">
        <f t="shared" si="31"/>
        <v>92.823799750782314</v>
      </c>
      <c r="AP67">
        <f t="shared" si="32"/>
        <v>88.500963162322492</v>
      </c>
      <c r="AQ67">
        <f t="shared" si="33"/>
        <v>86.814423465532073</v>
      </c>
    </row>
    <row r="68" spans="1:55" x14ac:dyDescent="0.4">
      <c r="A68">
        <v>20111031</v>
      </c>
      <c r="B68">
        <v>1.0807532163418572</v>
      </c>
      <c r="C68">
        <v>1.0825893183312632</v>
      </c>
      <c r="D68">
        <v>1.05821211649003</v>
      </c>
      <c r="E68">
        <v>1.0542154351341</v>
      </c>
      <c r="F68">
        <v>1.0505290162344001</v>
      </c>
      <c r="G68">
        <v>1.0533170392259901</v>
      </c>
      <c r="AL68">
        <f t="shared" si="28"/>
        <v>86.095335861052732</v>
      </c>
      <c r="AM68">
        <f t="shared" si="29"/>
        <v>93.885594079480938</v>
      </c>
      <c r="AN68">
        <f t="shared" si="30"/>
        <v>99.294182027115383</v>
      </c>
      <c r="AO68">
        <f t="shared" si="31"/>
        <v>97.856282445071542</v>
      </c>
      <c r="AP68">
        <f t="shared" si="32"/>
        <v>92.972829766711527</v>
      </c>
      <c r="AQ68">
        <f t="shared" si="33"/>
        <v>91.443111486825558</v>
      </c>
    </row>
    <row r="69" spans="1:55" x14ac:dyDescent="0.4">
      <c r="A69">
        <v>20111130</v>
      </c>
      <c r="B69">
        <v>0.96690320967710908</v>
      </c>
      <c r="C69">
        <v>0.98385681698543603</v>
      </c>
      <c r="D69">
        <v>0.96742389894635195</v>
      </c>
      <c r="E69">
        <v>0.97708211541593404</v>
      </c>
      <c r="F69">
        <v>0.97263205213387705</v>
      </c>
      <c r="G69">
        <v>0.97200685712481905</v>
      </c>
      <c r="AL69">
        <f t="shared" si="28"/>
        <v>83.245856582280595</v>
      </c>
      <c r="AM69">
        <f t="shared" si="29"/>
        <v>92.36998175182481</v>
      </c>
      <c r="AN69">
        <f t="shared" si="30"/>
        <v>96.05956471936075</v>
      </c>
      <c r="AO69">
        <f t="shared" si="31"/>
        <v>95.613623458169627</v>
      </c>
      <c r="AP69">
        <f t="shared" si="32"/>
        <v>90.428354208690237</v>
      </c>
      <c r="AQ69">
        <f t="shared" si="33"/>
        <v>88.883331402023742</v>
      </c>
    </row>
    <row r="70" spans="1:55" x14ac:dyDescent="0.4">
      <c r="A70">
        <v>20111229</v>
      </c>
      <c r="B70">
        <v>0.98923982656430243</v>
      </c>
      <c r="C70">
        <v>0.9921663854248125</v>
      </c>
      <c r="D70">
        <v>0.98610707722523105</v>
      </c>
      <c r="E70">
        <v>1.0467144011929399</v>
      </c>
      <c r="F70">
        <v>1.03566455218173</v>
      </c>
      <c r="G70">
        <v>1.03300532364236</v>
      </c>
      <c r="AL70">
        <f t="shared" si="28"/>
        <v>82.35011672765205</v>
      </c>
      <c r="AM70">
        <f t="shared" si="29"/>
        <v>91.646390916463915</v>
      </c>
      <c r="AN70">
        <f t="shared" si="30"/>
        <v>94.725016604936755</v>
      </c>
      <c r="AO70">
        <f t="shared" si="31"/>
        <v>100.08015662390525</v>
      </c>
      <c r="AP70">
        <f t="shared" si="32"/>
        <v>93.653440966074044</v>
      </c>
      <c r="AQ70">
        <f t="shared" si="33"/>
        <v>91.816954521358667</v>
      </c>
    </row>
    <row r="71" spans="1:55" x14ac:dyDescent="0.4">
      <c r="A71">
        <v>20120131</v>
      </c>
      <c r="B71">
        <v>1.0739087600780104</v>
      </c>
      <c r="C71">
        <v>1.0395188053097344</v>
      </c>
      <c r="D71">
        <v>1.0727965236219801</v>
      </c>
      <c r="E71">
        <v>1.0840867758317601</v>
      </c>
      <c r="F71">
        <v>1.07717691684149</v>
      </c>
      <c r="G71">
        <v>1.0736974438643301</v>
      </c>
      <c r="AL71">
        <f t="shared" si="28"/>
        <v>88.436511747272235</v>
      </c>
      <c r="AM71">
        <f t="shared" si="29"/>
        <v>95.268146796431466</v>
      </c>
      <c r="AN71">
        <f t="shared" si="30"/>
        <v>101.62066851381049</v>
      </c>
      <c r="AO71">
        <f t="shared" si="31"/>
        <v>108.49557431914701</v>
      </c>
      <c r="AP71">
        <f t="shared" si="32"/>
        <v>100.88132479143214</v>
      </c>
      <c r="AQ71">
        <f t="shared" si="33"/>
        <v>98.583629372990245</v>
      </c>
      <c r="AR71" t="s">
        <v>29</v>
      </c>
      <c r="AS71" t="s">
        <v>30</v>
      </c>
      <c r="AT71" t="s">
        <v>59</v>
      </c>
      <c r="AU71" t="s">
        <v>60</v>
      </c>
      <c r="AV71" t="s">
        <v>61</v>
      </c>
      <c r="AW71" t="s">
        <v>62</v>
      </c>
    </row>
    <row r="72" spans="1:55" x14ac:dyDescent="0.4">
      <c r="A72">
        <v>20120229</v>
      </c>
      <c r="B72">
        <v>1.0386048340291689</v>
      </c>
      <c r="C72">
        <v>1.0260714570752083</v>
      </c>
      <c r="D72">
        <v>1.10517252374904</v>
      </c>
      <c r="E72">
        <v>1.05728052775433</v>
      </c>
      <c r="F72">
        <v>1.06120341819041</v>
      </c>
      <c r="G72">
        <v>1.05603225552963</v>
      </c>
      <c r="AL72">
        <f t="shared" si="28"/>
        <v>91.850588605394321</v>
      </c>
      <c r="AM72">
        <f t="shared" si="29"/>
        <v>97.751926196269267</v>
      </c>
      <c r="AN72">
        <f t="shared" si="30"/>
        <v>112.30837068647254</v>
      </c>
      <c r="AO72">
        <f t="shared" si="31"/>
        <v>114.71025807515689</v>
      </c>
      <c r="AP72">
        <f t="shared" si="32"/>
        <v>107.05560670024472</v>
      </c>
      <c r="AQ72">
        <f t="shared" si="33"/>
        <v>104.10749248505597</v>
      </c>
      <c r="AR72">
        <v>100</v>
      </c>
      <c r="AS72">
        <v>100</v>
      </c>
      <c r="AT72">
        <v>100</v>
      </c>
      <c r="AU72">
        <v>100</v>
      </c>
      <c r="AV72">
        <v>100</v>
      </c>
      <c r="AW72">
        <v>100</v>
      </c>
    </row>
    <row r="73" spans="1:55" x14ac:dyDescent="0.4">
      <c r="A73">
        <v>20120330</v>
      </c>
      <c r="B73">
        <v>1.0011116118371639</v>
      </c>
      <c r="C73">
        <v>0.95368041691513905</v>
      </c>
      <c r="D73">
        <v>0.98133616156917303</v>
      </c>
      <c r="E73">
        <v>0.96756468119555294</v>
      </c>
      <c r="F73">
        <v>0.96007044122823304</v>
      </c>
      <c r="G73">
        <v>0.96480043868564302</v>
      </c>
      <c r="AR73">
        <f>AR72*$B73</f>
        <v>100.11116118371639</v>
      </c>
      <c r="AS73">
        <f>AS72*$C73</f>
        <v>95.368041691513909</v>
      </c>
      <c r="AT73">
        <f>AT72*$D73</f>
        <v>98.133616156917299</v>
      </c>
      <c r="AU73">
        <f>AU72*$E73</f>
        <v>96.756468119555294</v>
      </c>
      <c r="AV73">
        <f>AV72*$F73</f>
        <v>96.007044122823302</v>
      </c>
      <c r="AW73">
        <f>AW72*$G73</f>
        <v>96.480043868564309</v>
      </c>
    </row>
    <row r="74" spans="1:55" x14ac:dyDescent="0.4">
      <c r="A74">
        <v>20120430</v>
      </c>
      <c r="B74">
        <v>0.99576255927015189</v>
      </c>
      <c r="C74">
        <v>0.93817712227281991</v>
      </c>
      <c r="D74">
        <v>0.952246443145218</v>
      </c>
      <c r="E74">
        <v>0.95653998222521097</v>
      </c>
      <c r="F74">
        <v>0.94665688164886796</v>
      </c>
      <c r="G74">
        <v>0.94668951037617199</v>
      </c>
      <c r="AR74">
        <f>AR73*$B74</f>
        <v>99.686946071804115</v>
      </c>
      <c r="AS74">
        <f>AS73*$C74</f>
        <v>89.472114910938828</v>
      </c>
      <c r="AT74">
        <f>AT73*$D74</f>
        <v>93.447386938402602</v>
      </c>
      <c r="AU74">
        <f>AU73*$E74</f>
        <v>92.55143029525361</v>
      </c>
      <c r="AV74">
        <f>AV73*$F74</f>
        <v>90.885729005637188</v>
      </c>
      <c r="AW74">
        <f>AW73*$G74</f>
        <v>91.336645491002741</v>
      </c>
    </row>
    <row r="75" spans="1:55" x14ac:dyDescent="0.4">
      <c r="A75">
        <v>20120531</v>
      </c>
      <c r="B75">
        <v>0.92769915131642389</v>
      </c>
      <c r="C75">
        <v>0.95350420910790101</v>
      </c>
      <c r="D75">
        <v>0.92644164008158902</v>
      </c>
      <c r="E75">
        <v>0.93222616080060505</v>
      </c>
      <c r="F75">
        <v>0.935344892810267</v>
      </c>
      <c r="G75">
        <v>0.93209156540510396</v>
      </c>
      <c r="AR75">
        <f>AR74*$B75</f>
        <v>92.479495268138791</v>
      </c>
      <c r="AS75">
        <f>AS74*$C75</f>
        <v>85.312038165365962</v>
      </c>
      <c r="AT75">
        <f>AT74*$D75</f>
        <v>86.573550416552564</v>
      </c>
      <c r="AU75">
        <f>AU74*$E75</f>
        <v>86.278864540749083</v>
      </c>
      <c r="AV75">
        <f>AV74*$F75</f>
        <v>85.009502454760693</v>
      </c>
      <c r="AW75">
        <f>AW74*$G75</f>
        <v>85.13411687455978</v>
      </c>
    </row>
    <row r="76" spans="1:55" x14ac:dyDescent="0.4">
      <c r="A76">
        <v>20120629</v>
      </c>
      <c r="B76">
        <v>0.99924630788322977</v>
      </c>
      <c r="C76">
        <v>1.0321085582300025</v>
      </c>
      <c r="D76">
        <v>1.00061013524618</v>
      </c>
      <c r="E76">
        <v>1.0178186137087299</v>
      </c>
      <c r="F76">
        <v>1.0181829100425801</v>
      </c>
      <c r="G76">
        <v>1.0246796052981499</v>
      </c>
      <c r="AR76">
        <f>AR75*$B76</f>
        <v>92.409794201592305</v>
      </c>
      <c r="AS76">
        <f>AS75*$C76</f>
        <v>88.051284710518814</v>
      </c>
      <c r="AT76">
        <f>AT75*$D76</f>
        <v>86.626371991048643</v>
      </c>
      <c r="AU76">
        <f>AU75*$E76</f>
        <v>87.816234299228526</v>
      </c>
      <c r="AV76">
        <f>AV75*$F76</f>
        <v>86.555222590660094</v>
      </c>
      <c r="AW76">
        <f>AW75*$G76</f>
        <v>87.235193276430479</v>
      </c>
      <c r="AX76" t="s">
        <v>29</v>
      </c>
      <c r="AY76" t="s">
        <v>30</v>
      </c>
      <c r="AZ76" t="s">
        <v>59</v>
      </c>
      <c r="BA76" t="s">
        <v>60</v>
      </c>
      <c r="BB76" t="s">
        <v>61</v>
      </c>
      <c r="BC76" t="s">
        <v>62</v>
      </c>
    </row>
    <row r="77" spans="1:55" x14ac:dyDescent="0.4">
      <c r="A77">
        <v>20120731</v>
      </c>
      <c r="B77">
        <v>1.0219970999980492</v>
      </c>
      <c r="C77">
        <v>0.97006816742980806</v>
      </c>
      <c r="D77">
        <v>1.00330783806501</v>
      </c>
      <c r="E77">
        <v>0.99827841737157996</v>
      </c>
      <c r="F77">
        <v>0.99687022092107702</v>
      </c>
      <c r="G77">
        <v>0.99590485209131496</v>
      </c>
      <c r="AR77">
        <f>AR76*$B77</f>
        <v>94.442541685443885</v>
      </c>
      <c r="AS77">
        <f>AS76*$C77</f>
        <v>85.415748398973264</v>
      </c>
      <c r="AT77">
        <f>AT76*$D77</f>
        <v>86.912918001754349</v>
      </c>
      <c r="AU77">
        <f>AU76*$E77</f>
        <v>87.665051395765715</v>
      </c>
      <c r="AV77">
        <f>AV76*$F77</f>
        <v>86.284323865824319</v>
      </c>
      <c r="AW77">
        <f>AW76*$G77</f>
        <v>86.877952257120768</v>
      </c>
      <c r="AX77">
        <v>100</v>
      </c>
      <c r="AY77">
        <v>100</v>
      </c>
      <c r="AZ77">
        <v>100</v>
      </c>
      <c r="BA77">
        <v>100</v>
      </c>
      <c r="BB77">
        <v>100</v>
      </c>
      <c r="BC77">
        <v>100</v>
      </c>
    </row>
    <row r="78" spans="1:55" x14ac:dyDescent="0.4">
      <c r="A78">
        <v>20120831</v>
      </c>
      <c r="B78">
        <v>0.99983458034305495</v>
      </c>
      <c r="C78">
        <v>1.0740043710539096</v>
      </c>
      <c r="D78">
        <v>1.05582122282265</v>
      </c>
      <c r="E78">
        <v>1.04607289921291</v>
      </c>
      <c r="F78">
        <v>1.04102753050178</v>
      </c>
      <c r="G78">
        <v>1.0466012731915899</v>
      </c>
      <c r="AX78">
        <f t="shared" ref="AX78:AX93" si="34">AX77*$B78</f>
        <v>99.983458034305499</v>
      </c>
      <c r="AY78">
        <f t="shared" ref="AY78:AY93" si="35">AY77*$C78</f>
        <v>107.40043710539095</v>
      </c>
      <c r="AZ78">
        <f t="shared" ref="AZ78:AZ93" si="36">AZ77*$D78</f>
        <v>105.582122282265</v>
      </c>
      <c r="BA78">
        <f t="shared" ref="BA78:BA93" si="37">BA77*$E78</f>
        <v>104.607289921291</v>
      </c>
      <c r="BB78">
        <f t="shared" ref="BB78:BB93" si="38">BB77*$F78</f>
        <v>104.10275305017799</v>
      </c>
      <c r="BC78">
        <f t="shared" ref="BC78:BC93" si="39">BC77*$G78</f>
        <v>104.66012731915899</v>
      </c>
    </row>
    <row r="79" spans="1:55" x14ac:dyDescent="0.4">
      <c r="A79">
        <v>20120928</v>
      </c>
      <c r="B79">
        <v>1.0463188036907414</v>
      </c>
      <c r="C79">
        <v>1.0389746198632073</v>
      </c>
      <c r="D79">
        <v>1.0736755770084401</v>
      </c>
      <c r="E79">
        <v>1.07463105602849</v>
      </c>
      <c r="F79">
        <v>1.0708302910043901</v>
      </c>
      <c r="G79">
        <v>1.0645340054688599</v>
      </c>
      <c r="AX79">
        <f t="shared" si="34"/>
        <v>104.61457219931798</v>
      </c>
      <c r="AY79">
        <f t="shared" si="35"/>
        <v>111.58632831471586</v>
      </c>
      <c r="AZ79">
        <f t="shared" si="36"/>
        <v>113.36094606318656</v>
      </c>
      <c r="BA79">
        <f t="shared" si="37"/>
        <v>112.41424243639536</v>
      </c>
      <c r="BB79">
        <f t="shared" si="38"/>
        <v>111.47638134308026</v>
      </c>
      <c r="BC79">
        <f t="shared" si="39"/>
        <v>111.41426454794517</v>
      </c>
    </row>
    <row r="80" spans="1:55" x14ac:dyDescent="0.4">
      <c r="A80">
        <v>20121031</v>
      </c>
      <c r="B80">
        <v>0.95343887027227558</v>
      </c>
      <c r="C80">
        <v>0.96908408367563448</v>
      </c>
      <c r="D80">
        <v>0.96367523608909</v>
      </c>
      <c r="E80">
        <v>0.98457817852456697</v>
      </c>
      <c r="F80">
        <v>0.99261479651364504</v>
      </c>
      <c r="G80">
        <v>0.99018259119133101</v>
      </c>
      <c r="AX80">
        <f t="shared" si="34"/>
        <v>99.743599531735143</v>
      </c>
      <c r="AY80">
        <f t="shared" si="35"/>
        <v>108.13653472559493</v>
      </c>
      <c r="AZ80">
        <f t="shared" si="36"/>
        <v>109.2431364607239</v>
      </c>
      <c r="BA80">
        <f t="shared" si="37"/>
        <v>110.68061005824522</v>
      </c>
      <c r="BB80">
        <f t="shared" si="38"/>
        <v>110.65310558293911</v>
      </c>
      <c r="BC80">
        <f t="shared" si="39"/>
        <v>110.32046516576079</v>
      </c>
    </row>
    <row r="81" spans="1:55" x14ac:dyDescent="0.4">
      <c r="A81">
        <v>20121130</v>
      </c>
      <c r="B81">
        <v>1.0165334592053479</v>
      </c>
      <c r="C81">
        <v>0.98930511305421831</v>
      </c>
      <c r="D81">
        <v>0.97955745173345599</v>
      </c>
      <c r="E81">
        <v>1.0092076925261699</v>
      </c>
      <c r="F81">
        <v>1.0187301561686699</v>
      </c>
      <c r="G81">
        <v>1.01282644444353</v>
      </c>
      <c r="AX81">
        <f t="shared" si="34"/>
        <v>101.39270626558765</v>
      </c>
      <c r="AY81">
        <f t="shared" si="35"/>
        <v>106.98002671199609</v>
      </c>
      <c r="AZ81">
        <f t="shared" si="36"/>
        <v>107.0099283708369</v>
      </c>
      <c r="BA81">
        <f t="shared" si="37"/>
        <v>111.69972308427046</v>
      </c>
      <c r="BB81">
        <f t="shared" si="38"/>
        <v>112.72565553105588</v>
      </c>
      <c r="BC81">
        <f t="shared" si="39"/>
        <v>111.73548448319382</v>
      </c>
    </row>
    <row r="82" spans="1:55" x14ac:dyDescent="0.4">
      <c r="A82">
        <v>20121228</v>
      </c>
      <c r="B82">
        <v>1.0385153578263733</v>
      </c>
      <c r="C82">
        <v>1.0030076468001192</v>
      </c>
      <c r="D82">
        <v>1.06198610503375</v>
      </c>
      <c r="E82">
        <v>1.0566832694270001</v>
      </c>
      <c r="F82">
        <v>1.04552263467379</v>
      </c>
      <c r="G82">
        <v>1.0390019805345201</v>
      </c>
      <c r="AX82">
        <f t="shared" si="34"/>
        <v>105.29788262839112</v>
      </c>
      <c r="AY82">
        <f t="shared" si="35"/>
        <v>107.3017848470131</v>
      </c>
      <c r="AZ82">
        <f t="shared" si="36"/>
        <v>113.64305703048566</v>
      </c>
      <c r="BA82">
        <f t="shared" si="37"/>
        <v>118.03122858277746</v>
      </c>
      <c r="BB82">
        <f t="shared" si="38"/>
        <v>117.85722436615963</v>
      </c>
      <c r="BC82">
        <f t="shared" si="39"/>
        <v>116.09338967402252</v>
      </c>
    </row>
    <row r="83" spans="1:55" x14ac:dyDescent="0.4">
      <c r="A83">
        <v>20130131</v>
      </c>
      <c r="B83">
        <v>0.97772850038972114</v>
      </c>
      <c r="C83">
        <v>1.0017114810676249</v>
      </c>
      <c r="D83">
        <v>0.99429281685353998</v>
      </c>
      <c r="E83">
        <v>1.01296160350269</v>
      </c>
      <c r="F83">
        <v>1.0182407674553</v>
      </c>
      <c r="G83">
        <v>1.0179725168617</v>
      </c>
      <c r="AX83">
        <f t="shared" si="34"/>
        <v>102.95274087646972</v>
      </c>
      <c r="AY83">
        <f t="shared" si="35"/>
        <v>107.48542982030112</v>
      </c>
      <c r="AZ83">
        <f t="shared" si="36"/>
        <v>112.99447529068908</v>
      </c>
      <c r="BA83">
        <f t="shared" si="37"/>
        <v>119.56110256860279</v>
      </c>
      <c r="BB83">
        <f t="shared" si="38"/>
        <v>120.00703058874987</v>
      </c>
      <c r="BC83">
        <f t="shared" si="39"/>
        <v>118.1798800774708</v>
      </c>
    </row>
    <row r="84" spans="1:55" x14ac:dyDescent="0.4">
      <c r="A84">
        <v>20130228</v>
      </c>
      <c r="B84">
        <v>1.0378822991403869</v>
      </c>
      <c r="C84">
        <v>1.0380259813611974</v>
      </c>
      <c r="D84">
        <v>1.04278423131102</v>
      </c>
      <c r="E84">
        <v>1.0310841918051401</v>
      </c>
      <c r="F84">
        <v>1.02693966445995</v>
      </c>
      <c r="G84">
        <v>1.02667430038867</v>
      </c>
      <c r="AX84">
        <f t="shared" si="34"/>
        <v>106.85282740367488</v>
      </c>
      <c r="AY84">
        <f t="shared" si="35"/>
        <v>111.57266877124817</v>
      </c>
      <c r="AZ84">
        <f t="shared" si="36"/>
        <v>117.82885705839327</v>
      </c>
      <c r="BA84">
        <f t="shared" si="37"/>
        <v>123.27756281327927</v>
      </c>
      <c r="BB84">
        <f t="shared" si="38"/>
        <v>123.23997972564575</v>
      </c>
      <c r="BC84">
        <f t="shared" si="39"/>
        <v>121.33224569855426</v>
      </c>
    </row>
    <row r="85" spans="1:55" x14ac:dyDescent="0.4">
      <c r="A85">
        <v>20130329</v>
      </c>
      <c r="B85">
        <v>0.98176805778013299</v>
      </c>
      <c r="C85">
        <v>1.0329601567069771</v>
      </c>
      <c r="D85">
        <v>1.06047906652132</v>
      </c>
      <c r="E85">
        <v>1.05826177755475</v>
      </c>
      <c r="F85">
        <v>1.0543300503019599</v>
      </c>
      <c r="G85">
        <v>1.0524177429842501</v>
      </c>
      <c r="AX85">
        <f t="shared" si="34"/>
        <v>104.90469282842166</v>
      </c>
      <c r="AY85">
        <f t="shared" si="35"/>
        <v>115.25012141816416</v>
      </c>
      <c r="AZ85">
        <f t="shared" si="36"/>
        <v>124.95503634255894</v>
      </c>
      <c r="BA85">
        <f t="shared" si="37"/>
        <v>130.45993275539828</v>
      </c>
      <c r="BB85">
        <f t="shared" si="38"/>
        <v>129.9356140233526</v>
      </c>
      <c r="BC85">
        <f t="shared" si="39"/>
        <v>127.69220816928296</v>
      </c>
    </row>
    <row r="86" spans="1:55" x14ac:dyDescent="0.4">
      <c r="A86">
        <v>20130430</v>
      </c>
      <c r="B86">
        <v>0.9667040664705705</v>
      </c>
      <c r="C86">
        <v>1.02548198482933</v>
      </c>
      <c r="D86">
        <v>1.06363823633679</v>
      </c>
      <c r="E86">
        <v>1.05090852768846</v>
      </c>
      <c r="F86">
        <v>1.0691226218888801</v>
      </c>
      <c r="G86">
        <v>1.0662955289817</v>
      </c>
      <c r="AX86">
        <f t="shared" si="34"/>
        <v>101.4117931490813</v>
      </c>
      <c r="AY86">
        <f t="shared" si="35"/>
        <v>118.18692326372025</v>
      </c>
      <c r="AZ86">
        <f t="shared" si="36"/>
        <v>132.90695447679889</v>
      </c>
      <c r="BA86">
        <f t="shared" si="37"/>
        <v>137.1014558543111</v>
      </c>
      <c r="BB86">
        <f t="shared" si="38"/>
        <v>138.91710434138827</v>
      </c>
      <c r="BC86">
        <f t="shared" si="39"/>
        <v>136.15763065670694</v>
      </c>
    </row>
    <row r="87" spans="1:55" x14ac:dyDescent="0.4">
      <c r="A87">
        <v>20130531</v>
      </c>
      <c r="B87">
        <v>1.0264374666708491</v>
      </c>
      <c r="C87">
        <v>0.99831773060574536</v>
      </c>
      <c r="D87">
        <v>1.02947551029023</v>
      </c>
      <c r="E87">
        <v>1.0209720983611501</v>
      </c>
      <c r="F87">
        <v>1.0115481440015399</v>
      </c>
      <c r="G87">
        <v>1.01247515548189</v>
      </c>
      <c r="AX87">
        <f t="shared" si="34"/>
        <v>104.09286405049119</v>
      </c>
      <c r="AY87">
        <f t="shared" si="35"/>
        <v>117.98810101991256</v>
      </c>
      <c r="AZ87">
        <f t="shared" si="36"/>
        <v>136.82445478112291</v>
      </c>
      <c r="BA87">
        <f t="shared" si="37"/>
        <v>139.97676107194459</v>
      </c>
      <c r="BB87">
        <f t="shared" si="38"/>
        <v>140.52133906659955</v>
      </c>
      <c r="BC87">
        <f t="shared" si="39"/>
        <v>137.85621826919513</v>
      </c>
    </row>
    <row r="88" spans="1:55" x14ac:dyDescent="0.4">
      <c r="A88">
        <v>20130628</v>
      </c>
      <c r="B88">
        <v>0.93059672756388712</v>
      </c>
      <c r="C88">
        <v>0.90747363004888093</v>
      </c>
      <c r="D88">
        <v>0.92503392281358698</v>
      </c>
      <c r="E88">
        <v>0.94592840212368201</v>
      </c>
      <c r="F88">
        <v>0.94399078633211697</v>
      </c>
      <c r="G88">
        <v>0.94574188861846298</v>
      </c>
      <c r="AX88">
        <f t="shared" si="34"/>
        <v>96.868478648139686</v>
      </c>
      <c r="AY88">
        <f t="shared" si="35"/>
        <v>107.07109033511412</v>
      </c>
      <c r="AZ88">
        <f t="shared" si="36"/>
        <v>126.56726214301237</v>
      </c>
      <c r="BA88">
        <f t="shared" si="37"/>
        <v>132.40799393523295</v>
      </c>
      <c r="BB88">
        <f t="shared" si="38"/>
        <v>132.65084936192133</v>
      </c>
      <c r="BC88">
        <f t="shared" si="39"/>
        <v>130.37640022370766</v>
      </c>
    </row>
    <row r="89" spans="1:55" x14ac:dyDescent="0.4">
      <c r="A89">
        <v>20130731</v>
      </c>
      <c r="B89">
        <v>1.0243014961840082</v>
      </c>
      <c r="C89">
        <v>1.0444809843083334</v>
      </c>
      <c r="D89">
        <v>1.0796487413931199</v>
      </c>
      <c r="E89">
        <v>1.0656264708302099</v>
      </c>
      <c r="F89">
        <v>1.0561065615503999</v>
      </c>
      <c r="G89">
        <v>1.05085579246157</v>
      </c>
      <c r="AX89">
        <f t="shared" si="34"/>
        <v>99.222527612358135</v>
      </c>
      <c r="AY89">
        <f t="shared" si="35"/>
        <v>111.83371782418648</v>
      </c>
      <c r="AZ89">
        <f t="shared" si="36"/>
        <v>136.64818527427639</v>
      </c>
      <c r="BA89">
        <f t="shared" si="37"/>
        <v>141.09746328691011</v>
      </c>
      <c r="BB89">
        <f t="shared" si="38"/>
        <v>140.0934324063588</v>
      </c>
      <c r="BC89">
        <f t="shared" si="39"/>
        <v>137.00679537537113</v>
      </c>
    </row>
    <row r="90" spans="1:55" x14ac:dyDescent="0.4">
      <c r="A90">
        <v>20130830</v>
      </c>
      <c r="B90">
        <v>1.0156969362760815</v>
      </c>
      <c r="C90">
        <v>0.94855126552215518</v>
      </c>
      <c r="D90">
        <v>0.99297151333299005</v>
      </c>
      <c r="E90">
        <v>0.98523814219658001</v>
      </c>
      <c r="F90">
        <v>0.98528367949200801</v>
      </c>
      <c r="G90">
        <v>0.98507637667965997</v>
      </c>
      <c r="AX90">
        <f t="shared" si="34"/>
        <v>100.78001730544106</v>
      </c>
      <c r="AY90">
        <f t="shared" si="35"/>
        <v>106.08001457017969</v>
      </c>
      <c r="AZ90">
        <f t="shared" si="36"/>
        <v>135.68775532600503</v>
      </c>
      <c r="BA90">
        <f t="shared" si="37"/>
        <v>139.01460259744547</v>
      </c>
      <c r="BB90">
        <f t="shared" si="38"/>
        <v>138.03177255400212</v>
      </c>
      <c r="BC90">
        <f t="shared" si="39"/>
        <v>134.96215756886218</v>
      </c>
    </row>
    <row r="91" spans="1:55" x14ac:dyDescent="0.4">
      <c r="A91">
        <v>20130930</v>
      </c>
      <c r="B91">
        <v>1.0341346700167926</v>
      </c>
      <c r="C91">
        <v>1.0532377600366267</v>
      </c>
      <c r="D91">
        <v>1.0475373819207401</v>
      </c>
      <c r="E91">
        <v>1.0363893134622499</v>
      </c>
      <c r="F91">
        <v>1.0399559457662899</v>
      </c>
      <c r="G91">
        <v>1.0365169994349599</v>
      </c>
      <c r="AX91">
        <f t="shared" si="34"/>
        <v>104.22010994044894</v>
      </c>
      <c r="AY91">
        <f t="shared" si="35"/>
        <v>111.72747693054878</v>
      </c>
      <c r="AZ91">
        <f t="shared" si="36"/>
        <v>142.13799597290526</v>
      </c>
      <c r="BA91">
        <f t="shared" si="37"/>
        <v>144.07324854719403</v>
      </c>
      <c r="BB91">
        <f t="shared" si="38"/>
        <v>143.5469625721947</v>
      </c>
      <c r="BC91">
        <f t="shared" si="39"/>
        <v>139.89057060054529</v>
      </c>
    </row>
    <row r="92" spans="1:55" x14ac:dyDescent="0.4">
      <c r="A92">
        <v>20131031</v>
      </c>
      <c r="B92">
        <v>1.0254381627383111</v>
      </c>
      <c r="C92">
        <v>0.99434897778985265</v>
      </c>
      <c r="D92">
        <v>0.99296908068345002</v>
      </c>
      <c r="E92">
        <v>0.99260880123665496</v>
      </c>
      <c r="F92">
        <v>0.99388391380239005</v>
      </c>
      <c r="G92">
        <v>0.99666866443403301</v>
      </c>
      <c r="AX92">
        <f t="shared" si="34"/>
        <v>106.87127805771875</v>
      </c>
      <c r="AY92">
        <f t="shared" si="35"/>
        <v>111.09610247693053</v>
      </c>
      <c r="AZ92">
        <f t="shared" si="36"/>
        <v>141.13863519140367</v>
      </c>
      <c r="BA92">
        <f t="shared" si="37"/>
        <v>143.00837453070091</v>
      </c>
      <c r="BB92">
        <f t="shared" si="38"/>
        <v>142.66901697569807</v>
      </c>
      <c r="BC92">
        <f t="shared" si="39"/>
        <v>139.42454816736029</v>
      </c>
    </row>
    <row r="93" spans="1:55" x14ac:dyDescent="0.4">
      <c r="A93">
        <v>20131129</v>
      </c>
      <c r="B93">
        <v>1.01035862266038</v>
      </c>
      <c r="C93">
        <v>0.98805994617412807</v>
      </c>
      <c r="D93">
        <v>0.99590843491655801</v>
      </c>
      <c r="E93">
        <v>0.99501412111079701</v>
      </c>
      <c r="F93">
        <v>0.99328310470089598</v>
      </c>
      <c r="G93">
        <v>0.98831040286141303</v>
      </c>
      <c r="AX93">
        <f t="shared" si="34"/>
        <v>107.97831730035121</v>
      </c>
      <c r="AY93">
        <f t="shared" si="35"/>
        <v>109.76960903351139</v>
      </c>
      <c r="AZ93">
        <f t="shared" si="36"/>
        <v>140.56115727972985</v>
      </c>
      <c r="BA93">
        <f t="shared" si="37"/>
        <v>142.29535209514904</v>
      </c>
      <c r="BB93">
        <f t="shared" si="38"/>
        <v>141.71072412624622</v>
      </c>
      <c r="BC93">
        <f t="shared" si="39"/>
        <v>137.79473136805433</v>
      </c>
    </row>
    <row r="94" spans="1:55" x14ac:dyDescent="0.4">
      <c r="A94">
        <v>20131230</v>
      </c>
      <c r="B94">
        <v>0.97935963609795185</v>
      </c>
      <c r="C94">
        <v>0.98537158658831658</v>
      </c>
      <c r="D94">
        <v>0.98358740357725105</v>
      </c>
      <c r="E94">
        <v>0.97302473767263198</v>
      </c>
      <c r="F94">
        <v>0.98394434635669603</v>
      </c>
      <c r="G94">
        <v>0.98731498007989504</v>
      </c>
      <c r="AX94">
        <f t="shared" ref="AX94:AX114" si="40">AX93*$B94</f>
        <v>105.74960553774113</v>
      </c>
      <c r="AY94">
        <f t="shared" ref="AY94:AY114" si="41">AY93*$C94</f>
        <v>108.16385381253032</v>
      </c>
      <c r="AZ94">
        <f t="shared" ref="AZ94:AZ114" si="42">AZ93*$D94</f>
        <v>138.2541837325831</v>
      </c>
      <c r="BA94">
        <f t="shared" ref="BA94:BA114" si="43">BA93*$E94</f>
        <v>138.45689764441721</v>
      </c>
      <c r="BB94">
        <f t="shared" ref="BB94:BB114" si="44">BB93*$F94</f>
        <v>139.43546582213341</v>
      </c>
      <c r="BC94">
        <f t="shared" ref="BC94:BC114" si="45">BC93*$G94</f>
        <v>136.04680245576506</v>
      </c>
    </row>
    <row r="95" spans="1:55" x14ac:dyDescent="0.4">
      <c r="A95">
        <v>20140129</v>
      </c>
      <c r="B95">
        <v>0.95542466594069042</v>
      </c>
      <c r="C95">
        <v>1.0150279933208919</v>
      </c>
      <c r="D95">
        <v>1.0253295862613301</v>
      </c>
      <c r="E95">
        <v>0.99041311697495305</v>
      </c>
      <c r="F95">
        <v>0.98819213490737801</v>
      </c>
      <c r="G95">
        <v>0.98805913559245495</v>
      </c>
      <c r="AX95">
        <f t="shared" si="40"/>
        <v>101.03578154425611</v>
      </c>
      <c r="AY95">
        <f t="shared" si="41"/>
        <v>109.78933948518696</v>
      </c>
      <c r="AZ95">
        <f t="shared" si="42"/>
        <v>141.75610500542734</v>
      </c>
      <c r="BA95">
        <f t="shared" si="43"/>
        <v>137.12952756268928</v>
      </c>
      <c r="BB95">
        <f t="shared" si="44"/>
        <v>137.78903065257876</v>
      </c>
      <c r="BC95">
        <f t="shared" si="45"/>
        <v>134.4222860345607</v>
      </c>
    </row>
    <row r="96" spans="1:55" x14ac:dyDescent="0.4">
      <c r="A96">
        <v>20140228</v>
      </c>
      <c r="B96">
        <v>1.0218571320621648</v>
      </c>
      <c r="C96">
        <v>1.0209018772982388</v>
      </c>
      <c r="D96">
        <v>1.0765470067092999</v>
      </c>
      <c r="E96">
        <v>1.07540054064613</v>
      </c>
      <c r="F96">
        <v>1.0638568901860399</v>
      </c>
      <c r="G96">
        <v>1.05930781928727</v>
      </c>
      <c r="AX96">
        <f t="shared" si="40"/>
        <v>103.24413396447295</v>
      </c>
      <c r="AY96">
        <f t="shared" si="41"/>
        <v>112.08414278776101</v>
      </c>
      <c r="AZ96">
        <f t="shared" si="42"/>
        <v>152.60711052636202</v>
      </c>
      <c r="BA96">
        <f t="shared" si="43"/>
        <v>147.46916807946442</v>
      </c>
      <c r="BB96">
        <f t="shared" si="44"/>
        <v>146.58780965180136</v>
      </c>
      <c r="BC96">
        <f t="shared" si="45"/>
        <v>142.39457868288014</v>
      </c>
    </row>
    <row r="97" spans="1:55" x14ac:dyDescent="0.4">
      <c r="A97">
        <v>20140331</v>
      </c>
      <c r="B97">
        <v>0.99733169003235256</v>
      </c>
      <c r="C97">
        <v>1.0165876777251184</v>
      </c>
      <c r="D97">
        <v>1.0529421736339299</v>
      </c>
      <c r="E97">
        <v>1.05201273814638</v>
      </c>
      <c r="F97">
        <v>1.0472788686288099</v>
      </c>
      <c r="G97">
        <v>1.03971163582446</v>
      </c>
      <c r="AX97">
        <f t="shared" si="40"/>
        <v>102.96864661271442</v>
      </c>
      <c r="AY97">
        <f t="shared" si="41"/>
        <v>113.94335842642055</v>
      </c>
      <c r="AZ97">
        <f t="shared" si="42"/>
        <v>160.68646266962102</v>
      </c>
      <c r="BA97">
        <f t="shared" si="43"/>
        <v>155.13944330344611</v>
      </c>
      <c r="BB97">
        <f t="shared" si="44"/>
        <v>153.51831544691387</v>
      </c>
      <c r="BC97">
        <f t="shared" si="45"/>
        <v>148.04930033491209</v>
      </c>
    </row>
    <row r="98" spans="1:55" x14ac:dyDescent="0.4">
      <c r="A98">
        <v>20140430</v>
      </c>
      <c r="B98">
        <v>0.98884714721765665</v>
      </c>
      <c r="C98">
        <v>1.0137196137196136</v>
      </c>
      <c r="D98">
        <v>1.01284657562867</v>
      </c>
      <c r="E98">
        <v>1.0131234000713001</v>
      </c>
      <c r="F98">
        <v>1.0112466355269301</v>
      </c>
      <c r="G98">
        <v>1.0145950242069199</v>
      </c>
      <c r="AX98">
        <f t="shared" si="40"/>
        <v>101.82025245584568</v>
      </c>
      <c r="AY98">
        <f t="shared" si="41"/>
        <v>115.50661728994652</v>
      </c>
      <c r="AZ98">
        <f t="shared" si="42"/>
        <v>162.75073346480977</v>
      </c>
      <c r="BA98">
        <f t="shared" si="43"/>
        <v>157.17540028475602</v>
      </c>
      <c r="BB98">
        <f t="shared" si="44"/>
        <v>155.2448799874536</v>
      </c>
      <c r="BC98">
        <f t="shared" si="45"/>
        <v>150.21008345711769</v>
      </c>
    </row>
    <row r="99" spans="1:55" x14ac:dyDescent="0.4">
      <c r="A99">
        <v>20140530</v>
      </c>
      <c r="B99">
        <v>1.0200891043946088</v>
      </c>
      <c r="C99">
        <v>0.98446882596412855</v>
      </c>
      <c r="D99">
        <v>1.0075259462135</v>
      </c>
      <c r="E99">
        <v>1.0085989575412799</v>
      </c>
      <c r="F99">
        <v>0.99939223948763101</v>
      </c>
      <c r="G99">
        <v>1.00249049975988</v>
      </c>
      <c r="AX99">
        <f t="shared" si="40"/>
        <v>103.86573013691658</v>
      </c>
      <c r="AY99">
        <f t="shared" si="41"/>
        <v>113.71266391452156</v>
      </c>
      <c r="AZ99">
        <f t="shared" si="42"/>
        <v>163.97558673107361</v>
      </c>
      <c r="BA99">
        <f t="shared" si="43"/>
        <v>158.52694487833833</v>
      </c>
      <c r="BB99">
        <f t="shared" si="44"/>
        <v>155.15052827964976</v>
      </c>
      <c r="BC99">
        <f t="shared" si="45"/>
        <v>150.58418163389919</v>
      </c>
    </row>
    <row r="100" spans="1:55" x14ac:dyDescent="0.4">
      <c r="A100">
        <v>20140630</v>
      </c>
      <c r="B100">
        <v>1.0015865043001004</v>
      </c>
      <c r="C100">
        <v>1.0007207399596918</v>
      </c>
      <c r="D100">
        <v>0.96593181633116698</v>
      </c>
      <c r="E100">
        <v>1.02671357907542</v>
      </c>
      <c r="F100">
        <v>1.01226040258443</v>
      </c>
      <c r="G100">
        <v>1.0092140444137101</v>
      </c>
      <c r="AX100">
        <f t="shared" si="40"/>
        <v>104.03051356441188</v>
      </c>
      <c r="AY100">
        <f t="shared" si="41"/>
        <v>113.79462117532776</v>
      </c>
      <c r="AZ100">
        <f t="shared" si="42"/>
        <v>158.38923632511472</v>
      </c>
      <c r="BA100">
        <f t="shared" si="43"/>
        <v>162.76176695593057</v>
      </c>
      <c r="BB100">
        <f t="shared" si="44"/>
        <v>157.05273621754526</v>
      </c>
      <c r="BC100">
        <f t="shared" si="45"/>
        <v>151.97167097147613</v>
      </c>
    </row>
    <row r="101" spans="1:55" x14ac:dyDescent="0.4">
      <c r="A101">
        <v>20140731</v>
      </c>
      <c r="B101">
        <v>1.0362483258007107</v>
      </c>
      <c r="C101">
        <v>1.0156047854675434</v>
      </c>
      <c r="D101">
        <v>1.06657034701812</v>
      </c>
      <c r="E101">
        <v>1.07581401110789</v>
      </c>
      <c r="F101">
        <v>1.09052702749839</v>
      </c>
      <c r="G101">
        <v>1.0777075470428601</v>
      </c>
      <c r="AX101">
        <f t="shared" si="40"/>
        <v>107.80144551330993</v>
      </c>
      <c r="AY101">
        <f t="shared" si="41"/>
        <v>115.57036182612913</v>
      </c>
      <c r="AZ101">
        <f t="shared" si="42"/>
        <v>168.93326275121262</v>
      </c>
      <c r="BA101">
        <f t="shared" si="43"/>
        <v>175.1013893638673</v>
      </c>
      <c r="BB101">
        <f t="shared" si="44"/>
        <v>171.27025358780838</v>
      </c>
      <c r="BC101">
        <f t="shared" si="45"/>
        <v>163.78101674267415</v>
      </c>
    </row>
    <row r="102" spans="1:55" x14ac:dyDescent="0.4">
      <c r="A102">
        <v>20140829</v>
      </c>
      <c r="B102">
        <v>0.98193439488190359</v>
      </c>
      <c r="C102">
        <v>1.0550120162317622</v>
      </c>
      <c r="D102">
        <v>1.02046548318051</v>
      </c>
      <c r="E102">
        <v>1.02410168891037</v>
      </c>
      <c r="F102">
        <v>1.0335632980843501</v>
      </c>
      <c r="G102">
        <v>1.0314391677772801</v>
      </c>
      <c r="AX102">
        <f t="shared" si="40"/>
        <v>105.85394716750649</v>
      </c>
      <c r="AY102">
        <f t="shared" si="41"/>
        <v>121.92812044681878</v>
      </c>
      <c r="AZ102">
        <f t="shared" si="42"/>
        <v>172.39056359867624</v>
      </c>
      <c r="BA102">
        <f t="shared" si="43"/>
        <v>179.32162857808879</v>
      </c>
      <c r="BB102">
        <f t="shared" si="44"/>
        <v>177.01864816195823</v>
      </c>
      <c r="BC102">
        <f t="shared" si="45"/>
        <v>168.9301556067806</v>
      </c>
    </row>
    <row r="103" spans="1:55" x14ac:dyDescent="0.4">
      <c r="A103">
        <v>20140930</v>
      </c>
      <c r="B103">
        <v>0.96509132872933168</v>
      </c>
      <c r="C103">
        <v>1.0032239593706433</v>
      </c>
      <c r="D103">
        <v>1.0064730534617099</v>
      </c>
      <c r="E103">
        <v>1.0058377882148</v>
      </c>
      <c r="F103">
        <v>1.0005505032967701</v>
      </c>
      <c r="G103">
        <v>1.00176488696827</v>
      </c>
      <c r="AX103">
        <f t="shared" si="40"/>
        <v>102.15872652313331</v>
      </c>
      <c r="AY103">
        <f t="shared" si="41"/>
        <v>122.32121175327823</v>
      </c>
      <c r="AZ103">
        <f t="shared" si="42"/>
        <v>173.50645693314476</v>
      </c>
      <c r="BA103">
        <f t="shared" si="43"/>
        <v>180.36847026806069</v>
      </c>
      <c r="BB103">
        <f t="shared" si="44"/>
        <v>177.11609751136118</v>
      </c>
      <c r="BC103">
        <f t="shared" si="45"/>
        <v>169.22829823695884</v>
      </c>
    </row>
    <row r="104" spans="1:55" x14ac:dyDescent="0.4">
      <c r="A104">
        <v>20141031</v>
      </c>
      <c r="B104">
        <v>0.9752567432069702</v>
      </c>
      <c r="C104">
        <v>0.96893107512873</v>
      </c>
      <c r="D104">
        <v>1.00040452387509</v>
      </c>
      <c r="E104">
        <v>0.99586383227494901</v>
      </c>
      <c r="F104">
        <v>0.97170522867414899</v>
      </c>
      <c r="G104">
        <v>0.966329863669117</v>
      </c>
      <c r="AX104">
        <f t="shared" si="40"/>
        <v>99.63098691912252</v>
      </c>
      <c r="AY104">
        <f t="shared" si="41"/>
        <v>118.52082321515293</v>
      </c>
      <c r="AZ104">
        <f t="shared" si="42"/>
        <v>173.57664443745651</v>
      </c>
      <c r="BA104">
        <f t="shared" si="43"/>
        <v>179.62243602272113</v>
      </c>
      <c r="BB104">
        <f t="shared" si="44"/>
        <v>172.10463803415007</v>
      </c>
      <c r="BC104">
        <f t="shared" si="45"/>
        <v>163.53035836427711</v>
      </c>
    </row>
    <row r="105" spans="1:55" x14ac:dyDescent="0.4">
      <c r="A105">
        <v>20141128</v>
      </c>
      <c r="B105">
        <v>1.0122736212930088</v>
      </c>
      <c r="C105">
        <v>0.98672062081417833</v>
      </c>
      <c r="D105">
        <v>0.96764195970324296</v>
      </c>
      <c r="E105">
        <v>0.97425841211702002</v>
      </c>
      <c r="F105">
        <v>0.98174764807195303</v>
      </c>
      <c r="G105">
        <v>0.98250028972268799</v>
      </c>
      <c r="AX105">
        <f t="shared" si="40"/>
        <v>100.85381992161655</v>
      </c>
      <c r="AY105">
        <f t="shared" si="41"/>
        <v>116.94694026226318</v>
      </c>
      <c r="AZ105">
        <f t="shared" si="42"/>
        <v>167.96004438217344</v>
      </c>
      <c r="BA105">
        <f t="shared" si="43"/>
        <v>174.9986693000873</v>
      </c>
      <c r="BB105">
        <f t="shared" si="44"/>
        <v>168.96332361230162</v>
      </c>
      <c r="BC105">
        <f t="shared" si="45"/>
        <v>160.66862447135725</v>
      </c>
    </row>
    <row r="106" spans="1:55" x14ac:dyDescent="0.4">
      <c r="A106">
        <v>20141230</v>
      </c>
      <c r="B106">
        <v>0.96259099912943646</v>
      </c>
      <c r="C106">
        <v>0.98856645988527536</v>
      </c>
      <c r="D106">
        <v>0.94712192423823005</v>
      </c>
      <c r="E106">
        <v>0.96442449568191702</v>
      </c>
      <c r="F106">
        <v>0.96787423554989704</v>
      </c>
      <c r="G106">
        <v>0.97063805485681398</v>
      </c>
      <c r="AX106">
        <f t="shared" si="40"/>
        <v>97.080979284369135</v>
      </c>
      <c r="AY106">
        <f t="shared" si="41"/>
        <v>115.60982272948029</v>
      </c>
      <c r="AZ106">
        <f t="shared" si="42"/>
        <v>159.07864043038262</v>
      </c>
      <c r="BA106">
        <f t="shared" si="43"/>
        <v>168.77300338474328</v>
      </c>
      <c r="BB106">
        <f t="shared" si="44"/>
        <v>163.53524767722629</v>
      </c>
      <c r="BC106">
        <f t="shared" si="45"/>
        <v>155.95108113339811</v>
      </c>
    </row>
    <row r="107" spans="1:55" x14ac:dyDescent="0.4">
      <c r="A107">
        <v>20150130</v>
      </c>
      <c r="B107">
        <v>1.0177143681023408</v>
      </c>
      <c r="C107">
        <v>1.0548094469168865</v>
      </c>
      <c r="D107">
        <v>1.0117074869224101</v>
      </c>
      <c r="E107">
        <v>1.0006894930107</v>
      </c>
      <c r="F107">
        <v>1.00381543644223</v>
      </c>
      <c r="G107">
        <v>1.0124504577910101</v>
      </c>
      <c r="AX107">
        <f t="shared" si="40"/>
        <v>98.800707487148173</v>
      </c>
      <c r="AY107">
        <f t="shared" si="41"/>
        <v>121.94633317144239</v>
      </c>
      <c r="AZ107">
        <f t="shared" si="42"/>
        <v>160.94105153285611</v>
      </c>
      <c r="BA107">
        <f t="shared" si="43"/>
        <v>168.8893711909719</v>
      </c>
      <c r="BB107">
        <f t="shared" si="44"/>
        <v>164.15920602080311</v>
      </c>
      <c r="BC107">
        <f t="shared" si="45"/>
        <v>157.89274348651188</v>
      </c>
    </row>
    <row r="108" spans="1:55" x14ac:dyDescent="0.4">
      <c r="A108">
        <v>20150227</v>
      </c>
      <c r="B108">
        <v>1.0090088929815637</v>
      </c>
      <c r="C108">
        <v>1.0391173395728579</v>
      </c>
      <c r="D108">
        <v>1.07746872741851</v>
      </c>
      <c r="E108">
        <v>1.0753212205756899</v>
      </c>
      <c r="F108">
        <v>1.0812990375508</v>
      </c>
      <c r="G108">
        <v>1.0719908019823099</v>
      </c>
      <c r="AX108">
        <f t="shared" si="40"/>
        <v>99.690792487402675</v>
      </c>
      <c r="AY108">
        <f t="shared" si="41"/>
        <v>126.71654929577457</v>
      </c>
      <c r="AZ108">
        <f t="shared" si="42"/>
        <v>173.40894998450329</v>
      </c>
      <c r="BA108">
        <f t="shared" si="43"/>
        <v>181.61032477133665</v>
      </c>
      <c r="BB108">
        <f t="shared" si="44"/>
        <v>177.50519147539791</v>
      </c>
      <c r="BC108">
        <f t="shared" si="45"/>
        <v>169.25956871729301</v>
      </c>
    </row>
    <row r="109" spans="1:55" x14ac:dyDescent="0.4">
      <c r="A109">
        <v>20150331</v>
      </c>
      <c r="B109">
        <v>1.0185525560022974</v>
      </c>
      <c r="C109">
        <v>1.0546765519636847</v>
      </c>
      <c r="D109">
        <v>1.0586122134359801</v>
      </c>
      <c r="E109">
        <v>1.0410430708269101</v>
      </c>
      <c r="F109">
        <v>1.03595231273706</v>
      </c>
      <c r="G109">
        <v>1.05007435940546</v>
      </c>
      <c r="AX109">
        <f t="shared" si="40"/>
        <v>101.54031149793863</v>
      </c>
      <c r="AY109">
        <f t="shared" si="41"/>
        <v>133.6449732880038</v>
      </c>
      <c r="AZ109">
        <f t="shared" si="42"/>
        <v>183.5728323727042</v>
      </c>
      <c r="BA109">
        <f t="shared" si="43"/>
        <v>189.06417019382476</v>
      </c>
      <c r="BB109">
        <f t="shared" si="44"/>
        <v>183.88691363177313</v>
      </c>
      <c r="BC109">
        <f t="shared" si="45"/>
        <v>177.73513319405589</v>
      </c>
    </row>
    <row r="110" spans="1:55" x14ac:dyDescent="0.4">
      <c r="A110">
        <v>20150430</v>
      </c>
      <c r="B110">
        <v>1.0323690294930357</v>
      </c>
      <c r="C110">
        <v>1.0625056782047788</v>
      </c>
      <c r="D110">
        <v>1.0695642760959301</v>
      </c>
      <c r="E110">
        <v>1.0697335561421399</v>
      </c>
      <c r="F110">
        <v>1.06030370425764</v>
      </c>
      <c r="G110">
        <v>1.0654842006556799</v>
      </c>
      <c r="AX110">
        <f t="shared" si="40"/>
        <v>104.82707283554744</v>
      </c>
      <c r="AY110">
        <f t="shared" si="41"/>
        <v>141.99854298203002</v>
      </c>
      <c r="AZ110">
        <f t="shared" si="42"/>
        <v>196.34294356759088</v>
      </c>
      <c r="BA110">
        <f t="shared" si="43"/>
        <v>202.24828712050294</v>
      </c>
      <c r="BB110">
        <f t="shared" si="44"/>
        <v>194.97597568827376</v>
      </c>
      <c r="BC110">
        <f t="shared" si="45"/>
        <v>189.37397631969944</v>
      </c>
    </row>
    <row r="111" spans="1:55" x14ac:dyDescent="0.4">
      <c r="A111">
        <v>20150529</v>
      </c>
      <c r="B111">
        <v>0.97388976894084223</v>
      </c>
      <c r="C111">
        <v>1.0453398888413852</v>
      </c>
      <c r="D111">
        <v>0.98107295370342895</v>
      </c>
      <c r="E111">
        <v>1.0051428090241601</v>
      </c>
      <c r="F111">
        <v>0.99568430616993697</v>
      </c>
      <c r="G111">
        <v>0.99915833441756696</v>
      </c>
      <c r="AX111">
        <f t="shared" si="40"/>
        <v>102.09001374255614</v>
      </c>
      <c r="AY111">
        <f t="shared" si="41"/>
        <v>148.43674113647393</v>
      </c>
      <c r="AZ111">
        <f t="shared" si="42"/>
        <v>192.62675158468204</v>
      </c>
      <c r="BA111">
        <f t="shared" si="43"/>
        <v>203.28841143662717</v>
      </c>
      <c r="BB111">
        <f t="shared" si="44"/>
        <v>194.13451907298537</v>
      </c>
      <c r="BC111">
        <f t="shared" si="45"/>
        <v>189.21458676162266</v>
      </c>
    </row>
    <row r="112" spans="1:55" x14ac:dyDescent="0.4">
      <c r="A112">
        <v>20150630</v>
      </c>
      <c r="B112">
        <v>0.9664529075600925</v>
      </c>
      <c r="C112">
        <v>1.0445594159628637</v>
      </c>
      <c r="D112">
        <v>0.97472490799098499</v>
      </c>
      <c r="E112">
        <v>1.0005945794441999</v>
      </c>
      <c r="F112">
        <v>0.97906999071748502</v>
      </c>
      <c r="G112">
        <v>0.98558738978873395</v>
      </c>
      <c r="AX112">
        <f t="shared" si="40"/>
        <v>98.665190614343175</v>
      </c>
      <c r="AY112">
        <f t="shared" si="41"/>
        <v>155.050995628946</v>
      </c>
      <c r="AZ112">
        <f t="shared" si="42"/>
        <v>187.75809271498153</v>
      </c>
      <c r="BA112">
        <f t="shared" si="43"/>
        <v>203.40928254731145</v>
      </c>
      <c r="BB112">
        <f t="shared" si="44"/>
        <v>190.07128178673119</v>
      </c>
      <c r="BC112">
        <f t="shared" si="45"/>
        <v>186.4875106763416</v>
      </c>
    </row>
    <row r="113" spans="1:61" x14ac:dyDescent="0.4">
      <c r="A113">
        <v>20150731</v>
      </c>
      <c r="B113">
        <v>0.96779685061710874</v>
      </c>
      <c r="C113">
        <v>0.97784847298355526</v>
      </c>
      <c r="D113">
        <v>1.0037972191522799</v>
      </c>
      <c r="E113">
        <v>1.00891914679837</v>
      </c>
      <c r="F113">
        <v>0.99940016079703398</v>
      </c>
      <c r="G113">
        <v>0.986445977672889</v>
      </c>
      <c r="AX113">
        <f t="shared" si="40"/>
        <v>95.487860742098036</v>
      </c>
      <c r="AY113">
        <f t="shared" si="41"/>
        <v>151.61637931034474</v>
      </c>
      <c r="AZ113">
        <f t="shared" si="42"/>
        <v>188.4710513406344</v>
      </c>
      <c r="BA113">
        <f t="shared" si="43"/>
        <v>205.22351979850205</v>
      </c>
      <c r="BB113">
        <f t="shared" si="44"/>
        <v>189.95726958055749</v>
      </c>
      <c r="BC113">
        <f t="shared" si="45"/>
        <v>183.95985479290712</v>
      </c>
      <c r="BD113" t="s">
        <v>29</v>
      </c>
      <c r="BE113" t="s">
        <v>30</v>
      </c>
      <c r="BF113" t="s">
        <v>59</v>
      </c>
      <c r="BG113" t="s">
        <v>60</v>
      </c>
      <c r="BH113" t="s">
        <v>61</v>
      </c>
      <c r="BI113" t="s">
        <v>62</v>
      </c>
    </row>
    <row r="114" spans="1:61" x14ac:dyDescent="0.4">
      <c r="A114">
        <v>20150831</v>
      </c>
      <c r="B114">
        <v>0.95146717838010719</v>
      </c>
      <c r="C114">
        <v>0.96529425308067307</v>
      </c>
      <c r="D114">
        <v>0.97343208984623297</v>
      </c>
      <c r="E114">
        <v>0.96104546378422095</v>
      </c>
      <c r="F114">
        <v>0.96079731525304701</v>
      </c>
      <c r="G114">
        <v>0.95723355368247698</v>
      </c>
      <c r="AX114">
        <f t="shared" si="40"/>
        <v>90.853565429836621</v>
      </c>
      <c r="AY114">
        <f t="shared" si="41"/>
        <v>146.35441962117525</v>
      </c>
      <c r="AZ114">
        <f t="shared" si="42"/>
        <v>183.46376938203042</v>
      </c>
      <c r="BA114">
        <f t="shared" si="43"/>
        <v>197.22913276418166</v>
      </c>
      <c r="BB114">
        <f t="shared" si="44"/>
        <v>182.51043462579892</v>
      </c>
      <c r="BC114">
        <f t="shared" si="45"/>
        <v>176.09254553832693</v>
      </c>
      <c r="BD114">
        <v>100</v>
      </c>
      <c r="BE114">
        <v>100</v>
      </c>
      <c r="BF114">
        <v>100</v>
      </c>
      <c r="BG114">
        <v>100</v>
      </c>
      <c r="BH114">
        <v>100</v>
      </c>
      <c r="BI114">
        <v>100</v>
      </c>
    </row>
    <row r="115" spans="1:61" x14ac:dyDescent="0.4">
      <c r="A115">
        <v>20150930</v>
      </c>
      <c r="B115">
        <v>1.0190966386554621</v>
      </c>
      <c r="C115">
        <v>0.98180026962563527</v>
      </c>
      <c r="D115">
        <v>1.02392756183569</v>
      </c>
      <c r="E115">
        <v>1.0238674747127501</v>
      </c>
      <c r="F115">
        <v>1.0217441529701801</v>
      </c>
      <c r="G115">
        <v>1.02739203767184</v>
      </c>
      <c r="BD115">
        <f t="shared" ref="BD115" si="46">BD114*$B115</f>
        <v>101.90966386554621</v>
      </c>
      <c r="BE115">
        <f t="shared" ref="BE115" si="47">BE114*$C115</f>
        <v>98.180026962563531</v>
      </c>
      <c r="BF115">
        <f t="shared" ref="BF115" si="48">BF114*$D115</f>
        <v>102.39275618356901</v>
      </c>
      <c r="BG115">
        <f t="shared" ref="BG115" si="49">BG114*$E115</f>
        <v>102.38674747127502</v>
      </c>
      <c r="BH115">
        <f t="shared" ref="BH115" si="50">BH114*$F115</f>
        <v>102.174415297018</v>
      </c>
      <c r="BI115">
        <f t="shared" ref="BI115" si="51">BI114*$G115</f>
        <v>102.73920376718399</v>
      </c>
    </row>
    <row r="116" spans="1:61" x14ac:dyDescent="0.4">
      <c r="A116">
        <v>20151030</v>
      </c>
      <c r="B116">
        <v>1.0596040597277481</v>
      </c>
      <c r="C116">
        <v>0.97582255083179303</v>
      </c>
      <c r="D116">
        <v>1.0196460104465499</v>
      </c>
      <c r="E116">
        <v>1.0008235723900001</v>
      </c>
      <c r="F116">
        <v>0.99746333698343903</v>
      </c>
      <c r="G116">
        <v>0.99385923556248001</v>
      </c>
      <c r="BD116">
        <f t="shared" ref="BD116:BD119" si="52">BD115*$B116</f>
        <v>107.98389355742296</v>
      </c>
      <c r="BE116">
        <f t="shared" ref="BE116:BE119" si="53">BE115*$C116</f>
        <v>95.806284351342967</v>
      </c>
      <c r="BF116">
        <f t="shared" ref="BF116:BF119" si="54">BF115*$D116</f>
        <v>104.40436534120244</v>
      </c>
      <c r="BG116">
        <f t="shared" ref="BG116:BG119" si="55">BG115*$E116</f>
        <v>102.47107036959427</v>
      </c>
      <c r="BH116">
        <f t="shared" ref="BH116:BH119" si="56">BH115*$F116</f>
        <v>101.91523323649531</v>
      </c>
      <c r="BI116">
        <f t="shared" ref="BI116:BI119" si="57">BI115*$G116</f>
        <v>102.10830651835136</v>
      </c>
    </row>
    <row r="117" spans="1:61" x14ac:dyDescent="0.4">
      <c r="A117">
        <v>20151130</v>
      </c>
      <c r="B117">
        <v>0.98074590955960073</v>
      </c>
      <c r="C117">
        <v>0.99732643474119453</v>
      </c>
      <c r="D117">
        <v>0.97126497278674795</v>
      </c>
      <c r="E117">
        <v>0.96752447765725702</v>
      </c>
      <c r="F117">
        <v>0.96921984887288604</v>
      </c>
      <c r="G117">
        <v>0.96899226359328405</v>
      </c>
      <c r="BD117">
        <f t="shared" si="52"/>
        <v>105.90476190476188</v>
      </c>
      <c r="BE117">
        <f t="shared" si="53"/>
        <v>95.550139997925982</v>
      </c>
      <c r="BF117">
        <f t="shared" si="54"/>
        <v>101.40430306194068</v>
      </c>
      <c r="BG117">
        <f t="shared" si="55"/>
        <v>99.143268834321731</v>
      </c>
      <c r="BH117">
        <f t="shared" si="56"/>
        <v>98.778266955320916</v>
      </c>
      <c r="BI117">
        <f t="shared" si="57"/>
        <v>98.942159064894156</v>
      </c>
    </row>
    <row r="118" spans="1:61" x14ac:dyDescent="0.4">
      <c r="A118">
        <v>20151230</v>
      </c>
      <c r="B118">
        <v>0.98411050571307657</v>
      </c>
      <c r="C118">
        <v>0.98806151575337264</v>
      </c>
      <c r="D118">
        <v>0.97892518208165502</v>
      </c>
      <c r="E118">
        <v>0.98295552871914105</v>
      </c>
      <c r="F118">
        <v>0.98801277357834105</v>
      </c>
      <c r="G118">
        <v>0.99005106260727904</v>
      </c>
      <c r="BD118">
        <f t="shared" si="52"/>
        <v>104.22198879551819</v>
      </c>
      <c r="BE118">
        <f t="shared" si="53"/>
        <v>94.409416156797704</v>
      </c>
      <c r="BF118">
        <f t="shared" si="54"/>
        <v>99.267225838773612</v>
      </c>
      <c r="BG118">
        <f t="shared" si="55"/>
        <v>97.453424235984656</v>
      </c>
      <c r="BH118">
        <f t="shared" si="56"/>
        <v>97.594189503788414</v>
      </c>
      <c r="BI118">
        <f t="shared" si="57"/>
        <v>97.957789718856887</v>
      </c>
    </row>
    <row r="119" spans="1:61" x14ac:dyDescent="0.4">
      <c r="A119">
        <v>20160129</v>
      </c>
      <c r="B119">
        <v>0.9712556020668015</v>
      </c>
      <c r="C119">
        <v>0.98556662529245709</v>
      </c>
      <c r="D119">
        <v>0.95937418595084101</v>
      </c>
      <c r="E119">
        <v>0.942321126283439</v>
      </c>
      <c r="F119">
        <v>0.948775538110459</v>
      </c>
      <c r="G119">
        <v>0.94816066217217099</v>
      </c>
      <c r="BD119">
        <f t="shared" si="52"/>
        <v>101.22619047619045</v>
      </c>
      <c r="BE119">
        <f t="shared" si="53"/>
        <v>93.046769677486282</v>
      </c>
      <c r="BF119">
        <f t="shared" si="54"/>
        <v>95.234413980671718</v>
      </c>
      <c r="BG119">
        <f t="shared" si="55"/>
        <v>91.832420486230859</v>
      </c>
      <c r="BH119">
        <f t="shared" si="56"/>
        <v>92.594979662910958</v>
      </c>
      <c r="BI119">
        <f t="shared" si="57"/>
        <v>92.879722764753623</v>
      </c>
    </row>
    <row r="120" spans="1:61" x14ac:dyDescent="0.4">
      <c r="A120">
        <v>20160229</v>
      </c>
      <c r="B120">
        <v>1.005755754024531</v>
      </c>
      <c r="C120">
        <v>0.9746670381721928</v>
      </c>
      <c r="D120">
        <v>1.0268022440228799</v>
      </c>
      <c r="E120">
        <v>1.0256658428388199</v>
      </c>
      <c r="F120">
        <v>1.03530939853485</v>
      </c>
      <c r="G120">
        <v>1.0390329678129799</v>
      </c>
      <c r="BD120">
        <f t="shared" ref="BD120" si="58">BD119*$B120</f>
        <v>101.80882352941173</v>
      </c>
      <c r="BE120">
        <f t="shared" ref="BE120" si="59">BE119*$C120</f>
        <v>90.689619413045747</v>
      </c>
      <c r="BF120">
        <f t="shared" ref="BF120" si="60">BF119*$D120</f>
        <v>97.786909983557649</v>
      </c>
      <c r="BG120">
        <f t="shared" ref="BG120" si="61">BG119*$E120</f>
        <v>94.18937695793889</v>
      </c>
      <c r="BH120">
        <f t="shared" ref="BH120" si="62">BH119*$F120</f>
        <v>95.86445270215502</v>
      </c>
      <c r="BI120">
        <f t="shared" ref="BI120" si="63">BI119*$G120</f>
        <v>96.505093993908744</v>
      </c>
    </row>
    <row r="121" spans="1:61" x14ac:dyDescent="0.4">
      <c r="A121">
        <v>20160331</v>
      </c>
      <c r="B121">
        <v>1.0468830606054353</v>
      </c>
      <c r="C121">
        <v>1.0327036545762247</v>
      </c>
      <c r="D121">
        <v>1.09114283077381</v>
      </c>
      <c r="E121">
        <v>1.0879128242785601</v>
      </c>
      <c r="F121">
        <v>1.0768242759234701</v>
      </c>
      <c r="G121">
        <v>1.0760335076663099</v>
      </c>
      <c r="BD121">
        <f t="shared" ref="BD121:BD135" si="64">BD120*$B121</f>
        <v>106.5819327731092</v>
      </c>
      <c r="BE121">
        <f t="shared" ref="BE121:BE135" si="65">BE120*$C121</f>
        <v>93.655501399979272</v>
      </c>
      <c r="BF121">
        <f t="shared" ref="BF121:BF135" si="66">BF120*$D121</f>
        <v>106.69948577208284</v>
      </c>
      <c r="BG121">
        <f t="shared" ref="BG121:BG135" si="67">BG120*$E121</f>
        <v>102.46983110334922</v>
      </c>
      <c r="BH121">
        <f t="shared" ref="BH121:BH135" si="68">BH120*$F121</f>
        <v>103.22916986779782</v>
      </c>
      <c r="BI121">
        <f t="shared" ref="BI121:BI135" si="69">BI120*$G121</f>
        <v>103.84271479793256</v>
      </c>
    </row>
    <row r="122" spans="1:61" x14ac:dyDescent="0.4">
      <c r="A122">
        <v>20160429</v>
      </c>
      <c r="B122">
        <v>0.99455318366086509</v>
      </c>
      <c r="C122">
        <v>1.0154907432013465</v>
      </c>
      <c r="D122">
        <v>1.0380409580370999</v>
      </c>
      <c r="E122">
        <v>1.03797736915563</v>
      </c>
      <c r="F122">
        <v>1.0412336120310901</v>
      </c>
      <c r="G122">
        <v>1.03573454175593</v>
      </c>
      <c r="BD122">
        <f t="shared" si="64"/>
        <v>106.00140056022406</v>
      </c>
      <c r="BE122">
        <f t="shared" si="65"/>
        <v>95.106294721559692</v>
      </c>
      <c r="BF122">
        <f t="shared" si="66"/>
        <v>110.75843643291878</v>
      </c>
      <c r="BG122">
        <f t="shared" si="67"/>
        <v>106.36136570647618</v>
      </c>
      <c r="BH122">
        <f t="shared" si="68"/>
        <v>107.48568140841809</v>
      </c>
      <c r="BI122">
        <f t="shared" si="69"/>
        <v>107.55348662592841</v>
      </c>
    </row>
    <row r="123" spans="1:61" x14ac:dyDescent="0.4">
      <c r="A123">
        <v>20160531</v>
      </c>
      <c r="B123">
        <v>0.99623439254806101</v>
      </c>
      <c r="C123">
        <v>0.99503876307095107</v>
      </c>
      <c r="D123">
        <v>0.94687255772008105</v>
      </c>
      <c r="E123">
        <v>0.93840287841593795</v>
      </c>
      <c r="F123">
        <v>0.94397790731237496</v>
      </c>
      <c r="G123">
        <v>0.94967527406218799</v>
      </c>
      <c r="BD123">
        <f t="shared" si="64"/>
        <v>105.60224089635851</v>
      </c>
      <c r="BE123">
        <f t="shared" si="65"/>
        <v>94.634449860002078</v>
      </c>
      <c r="BF123">
        <f t="shared" si="66"/>
        <v>104.87412399431481</v>
      </c>
      <c r="BG123">
        <f t="shared" si="67"/>
        <v>99.809811731207475</v>
      </c>
      <c r="BH123">
        <f t="shared" si="68"/>
        <v>101.46410860196316</v>
      </c>
      <c r="BI123">
        <f t="shared" si="69"/>
        <v>102.14088688782243</v>
      </c>
    </row>
    <row r="124" spans="1:61" x14ac:dyDescent="0.4">
      <c r="A124">
        <v>20160630</v>
      </c>
      <c r="B124">
        <v>1.0012267904509282</v>
      </c>
      <c r="C124">
        <v>0.97127860085912165</v>
      </c>
      <c r="D124">
        <v>0.97702056110034696</v>
      </c>
      <c r="E124">
        <v>0.97587663722203399</v>
      </c>
      <c r="F124">
        <v>0.97588342202935396</v>
      </c>
      <c r="G124">
        <v>0.97817565402595996</v>
      </c>
      <c r="BD124">
        <f t="shared" si="64"/>
        <v>105.73179271708678</v>
      </c>
      <c r="BE124">
        <f t="shared" si="65"/>
        <v>91.916416053095517</v>
      </c>
      <c r="BF124">
        <f t="shared" si="66"/>
        <v>102.46417546983282</v>
      </c>
      <c r="BG124">
        <f t="shared" si="67"/>
        <v>97.402063434015076</v>
      </c>
      <c r="BH124">
        <f t="shared" si="68"/>
        <v>99.017141515641825</v>
      </c>
      <c r="BI124">
        <f t="shared" si="69"/>
        <v>99.911728834287302</v>
      </c>
    </row>
    <row r="125" spans="1:61" x14ac:dyDescent="0.4">
      <c r="A125">
        <v>20160729</v>
      </c>
      <c r="B125">
        <v>1.031903831506441</v>
      </c>
      <c r="C125">
        <v>1.0092852710554521</v>
      </c>
      <c r="D125">
        <v>1.06644573034543</v>
      </c>
      <c r="E125">
        <v>1.06114994526321</v>
      </c>
      <c r="F125">
        <v>1.0589008836698801</v>
      </c>
      <c r="G125">
        <v>1.0525713685529301</v>
      </c>
      <c r="BD125">
        <f t="shared" si="64"/>
        <v>109.10504201680666</v>
      </c>
      <c r="BE125">
        <f t="shared" si="65"/>
        <v>92.769884890594213</v>
      </c>
      <c r="BF125">
        <f t="shared" si="66"/>
        <v>109.27248244316816</v>
      </c>
      <c r="BG125">
        <f t="shared" si="67"/>
        <v>103.35819428152881</v>
      </c>
      <c r="BH125">
        <f t="shared" si="68"/>
        <v>104.84933864937869</v>
      </c>
      <c r="BI125">
        <f t="shared" si="69"/>
        <v>105.16422515359503</v>
      </c>
    </row>
    <row r="126" spans="1:61" x14ac:dyDescent="0.4">
      <c r="A126">
        <v>20160831</v>
      </c>
      <c r="B126">
        <v>1.0248392190087419</v>
      </c>
      <c r="C126">
        <v>0.95253638578997957</v>
      </c>
      <c r="D126">
        <v>0.97292736924887802</v>
      </c>
      <c r="E126">
        <v>0.98618709587558695</v>
      </c>
      <c r="F126">
        <v>0.99374402915420501</v>
      </c>
      <c r="G126">
        <v>0.98860849067140599</v>
      </c>
      <c r="BD126">
        <f t="shared" si="64"/>
        <v>111.8151260504201</v>
      </c>
      <c r="BE126">
        <f t="shared" si="65"/>
        <v>88.36669086383904</v>
      </c>
      <c r="BF126">
        <f t="shared" si="66"/>
        <v>106.3141888747258</v>
      </c>
      <c r="BG126">
        <f t="shared" si="67"/>
        <v>101.93051745344559</v>
      </c>
      <c r="BH126">
        <f t="shared" si="68"/>
        <v>104.1934042435873</v>
      </c>
      <c r="BI126">
        <f t="shared" si="69"/>
        <v>103.96624590172348</v>
      </c>
    </row>
    <row r="127" spans="1:61" x14ac:dyDescent="0.4">
      <c r="A127">
        <v>20160930</v>
      </c>
      <c r="B127">
        <v>1.0022859361691467</v>
      </c>
      <c r="C127">
        <v>1.0067009341407314</v>
      </c>
      <c r="D127">
        <v>0.99466720885047399</v>
      </c>
      <c r="E127">
        <v>1.0003190421413499</v>
      </c>
      <c r="F127">
        <v>1.0032547134613301</v>
      </c>
      <c r="G127">
        <v>1.00425696166264</v>
      </c>
      <c r="BD127">
        <f t="shared" si="64"/>
        <v>112.07072829131646</v>
      </c>
      <c r="BE127">
        <f t="shared" si="65"/>
        <v>88.958830239551986</v>
      </c>
      <c r="BF127">
        <f t="shared" si="66"/>
        <v>105.74723750922563</v>
      </c>
      <c r="BG127">
        <f t="shared" si="67"/>
        <v>101.96303758400285</v>
      </c>
      <c r="BH127">
        <f t="shared" si="68"/>
        <v>104.53252391896071</v>
      </c>
      <c r="BI127">
        <f t="shared" si="69"/>
        <v>104.40882622473572</v>
      </c>
    </row>
    <row r="128" spans="1:61" x14ac:dyDescent="0.4">
      <c r="A128">
        <v>20161031</v>
      </c>
      <c r="B128">
        <v>0.99837537569437074</v>
      </c>
      <c r="C128">
        <v>0.92012403389949049</v>
      </c>
      <c r="D128">
        <v>0.98020658741521705</v>
      </c>
      <c r="E128">
        <v>0.98751651148011299</v>
      </c>
      <c r="F128">
        <v>0.99127560176729701</v>
      </c>
      <c r="G128">
        <v>0.99372020691561702</v>
      </c>
      <c r="BD128">
        <f t="shared" si="64"/>
        <v>111.88865546218481</v>
      </c>
      <c r="BE128">
        <f t="shared" si="65"/>
        <v>81.853157730996557</v>
      </c>
      <c r="BF128">
        <f t="shared" si="66"/>
        <v>103.65413880750449</v>
      </c>
      <c r="BG128">
        <f t="shared" si="67"/>
        <v>100.69018317487014</v>
      </c>
      <c r="BH128">
        <f t="shared" si="68"/>
        <v>103.62054055202215</v>
      </c>
      <c r="BI128">
        <f t="shared" si="69"/>
        <v>103.75316039986107</v>
      </c>
    </row>
    <row r="129" spans="1:61" x14ac:dyDescent="0.4">
      <c r="A129">
        <v>20161130</v>
      </c>
      <c r="B129">
        <v>0.98999856049368806</v>
      </c>
      <c r="C129">
        <v>0.97576364166170448</v>
      </c>
      <c r="D129">
        <v>0.99682533833311604</v>
      </c>
      <c r="E129">
        <v>1.00270975900027</v>
      </c>
      <c r="F129">
        <v>1.00447603329784</v>
      </c>
      <c r="G129">
        <v>1.00208191616231</v>
      </c>
      <c r="BD129">
        <f t="shared" si="64"/>
        <v>110.76960784313719</v>
      </c>
      <c r="BE129">
        <f t="shared" si="65"/>
        <v>79.869335269107097</v>
      </c>
      <c r="BF129">
        <f t="shared" si="66"/>
        <v>103.32507198641844</v>
      </c>
      <c r="BG129">
        <f t="shared" si="67"/>
        <v>100.96302930496708</v>
      </c>
      <c r="BH129">
        <f t="shared" si="68"/>
        <v>104.08434954187318</v>
      </c>
      <c r="BI129">
        <f t="shared" si="69"/>
        <v>103.96916578138828</v>
      </c>
    </row>
    <row r="130" spans="1:61" x14ac:dyDescent="0.4">
      <c r="A130">
        <v>20161229</v>
      </c>
      <c r="B130">
        <v>1.0235239823238231</v>
      </c>
      <c r="C130">
        <v>1.0387701576254902</v>
      </c>
      <c r="D130">
        <v>1.0045196976920201</v>
      </c>
      <c r="E130">
        <v>1.01048818829514</v>
      </c>
      <c r="F130">
        <v>1.0173144940483101</v>
      </c>
      <c r="G130">
        <v>1.0169961865299799</v>
      </c>
      <c r="BD130">
        <f t="shared" si="64"/>
        <v>113.37535014005597</v>
      </c>
      <c r="BE130">
        <f t="shared" si="65"/>
        <v>82.965881986933496</v>
      </c>
      <c r="BF130">
        <f t="shared" si="66"/>
        <v>103.79207007580327</v>
      </c>
      <c r="BG130">
        <f t="shared" si="67"/>
        <v>102.02194856716531</v>
      </c>
      <c r="BH130">
        <f t="shared" si="68"/>
        <v>105.88651739253817</v>
      </c>
      <c r="BI130">
        <f t="shared" si="69"/>
        <v>105.73624511637516</v>
      </c>
    </row>
    <row r="131" spans="1:61" x14ac:dyDescent="0.4">
      <c r="A131">
        <v>20170131</v>
      </c>
      <c r="B131">
        <v>1.0343483631871524</v>
      </c>
      <c r="C131">
        <v>0.96882655867206646</v>
      </c>
      <c r="D131">
        <v>0.97314902100965806</v>
      </c>
      <c r="E131">
        <v>0.98943883319584602</v>
      </c>
      <c r="F131">
        <v>0.99661087807483895</v>
      </c>
      <c r="G131">
        <v>0.99666494655970295</v>
      </c>
      <c r="BD131">
        <f t="shared" si="64"/>
        <v>117.26960784313718</v>
      </c>
      <c r="BE131">
        <f t="shared" si="65"/>
        <v>80.379549932593562</v>
      </c>
      <c r="BF131">
        <f t="shared" si="66"/>
        <v>101.00515138283377</v>
      </c>
      <c r="BG131">
        <f t="shared" si="67"/>
        <v>100.94447775066266</v>
      </c>
      <c r="BH131">
        <f t="shared" si="68"/>
        <v>105.52765507486417</v>
      </c>
      <c r="BI131">
        <f t="shared" si="69"/>
        <v>105.3836090883357</v>
      </c>
    </row>
    <row r="132" spans="1:61" x14ac:dyDescent="0.4">
      <c r="A132">
        <v>20170228</v>
      </c>
      <c r="B132">
        <v>1.0048787478875678</v>
      </c>
      <c r="C132">
        <v>1.0348471165010966</v>
      </c>
      <c r="D132">
        <v>1.0051827785934999</v>
      </c>
      <c r="E132">
        <v>1.0177211922980001</v>
      </c>
      <c r="F132">
        <v>1.0177614476104899</v>
      </c>
      <c r="G132">
        <v>1.0164483869332499</v>
      </c>
      <c r="BD132">
        <f t="shared" si="64"/>
        <v>117.84173669467779</v>
      </c>
      <c r="BE132">
        <f t="shared" si="65"/>
        <v>83.180545473400358</v>
      </c>
      <c r="BF132">
        <f t="shared" si="66"/>
        <v>101.52863871925395</v>
      </c>
      <c r="BG132">
        <f t="shared" si="67"/>
        <v>102.73333425230334</v>
      </c>
      <c r="BH132">
        <f t="shared" si="68"/>
        <v>107.40197899193423</v>
      </c>
      <c r="BI132">
        <f t="shared" si="69"/>
        <v>107.116999467043</v>
      </c>
    </row>
    <row r="133" spans="1:61" x14ac:dyDescent="0.4">
      <c r="A133">
        <v>20170331</v>
      </c>
      <c r="B133">
        <v>1.0392980662950595</v>
      </c>
      <c r="C133">
        <v>1.0154218249367293</v>
      </c>
      <c r="D133">
        <v>1.01717127729204</v>
      </c>
      <c r="E133">
        <v>1.0150700219368101</v>
      </c>
      <c r="F133">
        <v>1.0176648487076301</v>
      </c>
      <c r="G133">
        <v>1.0215267106238199</v>
      </c>
      <c r="BD133">
        <f t="shared" si="64"/>
        <v>122.47268907563019</v>
      </c>
      <c r="BE133">
        <f t="shared" si="65"/>
        <v>84.46334128383279</v>
      </c>
      <c r="BF133">
        <f t="shared" si="66"/>
        <v>103.27201512778561</v>
      </c>
      <c r="BG133">
        <f t="shared" si="67"/>
        <v>104.28152785312719</v>
      </c>
      <c r="BH133">
        <f t="shared" si="68"/>
        <v>109.29921870172682</v>
      </c>
      <c r="BI133">
        <f t="shared" si="69"/>
        <v>109.42287611746191</v>
      </c>
    </row>
    <row r="134" spans="1:61" x14ac:dyDescent="0.4">
      <c r="A134">
        <v>20170428</v>
      </c>
      <c r="B134">
        <v>1.0247925850958597</v>
      </c>
      <c r="C134">
        <v>1.0190673804144976</v>
      </c>
      <c r="D134">
        <v>1.0328965259845</v>
      </c>
      <c r="E134">
        <v>1.03272474580411</v>
      </c>
      <c r="F134">
        <v>1.0243130050585301</v>
      </c>
      <c r="G134">
        <v>1.02421136337143</v>
      </c>
      <c r="BD134">
        <f t="shared" si="64"/>
        <v>125.50910364145651</v>
      </c>
      <c r="BE134">
        <f t="shared" si="65"/>
        <v>86.073835943171176</v>
      </c>
      <c r="BF134">
        <f t="shared" si="66"/>
        <v>106.66930565690848</v>
      </c>
      <c r="BG134">
        <f t="shared" si="67"/>
        <v>107.694114344185</v>
      </c>
      <c r="BH134">
        <f t="shared" si="68"/>
        <v>111.95661115891528</v>
      </c>
      <c r="BI134">
        <f t="shared" si="69"/>
        <v>112.07215313228876</v>
      </c>
    </row>
    <row r="135" spans="1:61" x14ac:dyDescent="0.4">
      <c r="A135">
        <v>20170531</v>
      </c>
      <c r="B135">
        <v>1.0615141691820986</v>
      </c>
      <c r="C135">
        <v>1.0577221961181191</v>
      </c>
      <c r="D135">
        <v>1.05290297618272</v>
      </c>
      <c r="E135">
        <v>1.04853563836328</v>
      </c>
      <c r="F135">
        <v>1.04473600443729</v>
      </c>
      <c r="G135">
        <v>1.04565363860248</v>
      </c>
      <c r="BD135">
        <f t="shared" si="64"/>
        <v>133.22969187675062</v>
      </c>
      <c r="BE135">
        <f t="shared" si="65"/>
        <v>91.04220678212171</v>
      </c>
      <c r="BF135">
        <f t="shared" si="66"/>
        <v>112.31242939350318</v>
      </c>
      <c r="BG135">
        <f t="shared" si="67"/>
        <v>112.92111693184809</v>
      </c>
      <c r="BH135">
        <f t="shared" si="68"/>
        <v>116.96510261250447</v>
      </c>
      <c r="BI135">
        <f t="shared" si="69"/>
        <v>117.18865470879206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20"/>
  <sheetViews>
    <sheetView workbookViewId="0">
      <selection activeCell="H22" sqref="H22"/>
    </sheetView>
  </sheetViews>
  <sheetFormatPr defaultRowHeight="17.399999999999999" x14ac:dyDescent="0.4"/>
  <cols>
    <col min="1" max="1" width="9.3984375" bestFit="1" customWidth="1"/>
  </cols>
  <sheetData>
    <row r="1" spans="1:1" x14ac:dyDescent="0.4">
      <c r="A1" s="16" t="s">
        <v>63</v>
      </c>
    </row>
    <row r="2" spans="1:1" x14ac:dyDescent="0.4">
      <c r="A2" t="s">
        <v>46</v>
      </c>
    </row>
    <row r="3" spans="1:1" x14ac:dyDescent="0.4">
      <c r="A3" t="s">
        <v>64</v>
      </c>
    </row>
    <row r="4" spans="1:1" x14ac:dyDescent="0.4">
      <c r="A4" t="s">
        <v>65</v>
      </c>
    </row>
    <row r="5" spans="1:1" x14ac:dyDescent="0.4">
      <c r="A5" t="s">
        <v>66</v>
      </c>
    </row>
    <row r="6" spans="1:1" x14ac:dyDescent="0.4">
      <c r="A6" t="s">
        <v>67</v>
      </c>
    </row>
    <row r="7" spans="1:1" x14ac:dyDescent="0.4">
      <c r="A7" t="s">
        <v>68</v>
      </c>
    </row>
    <row r="8" spans="1:1" x14ac:dyDescent="0.4">
      <c r="A8" t="s">
        <v>69</v>
      </c>
    </row>
    <row r="9" spans="1:1" x14ac:dyDescent="0.4">
      <c r="A9" t="s">
        <v>70</v>
      </c>
    </row>
    <row r="10" spans="1:1" x14ac:dyDescent="0.4">
      <c r="A10" t="s">
        <v>71</v>
      </c>
    </row>
    <row r="11" spans="1:1" x14ac:dyDescent="0.4">
      <c r="A11" t="s">
        <v>72</v>
      </c>
    </row>
    <row r="12" spans="1:1" x14ac:dyDescent="0.4">
      <c r="A12" t="s">
        <v>73</v>
      </c>
    </row>
    <row r="13" spans="1:1" x14ac:dyDescent="0.4">
      <c r="A13" t="s">
        <v>70</v>
      </c>
    </row>
    <row r="14" spans="1:1" x14ac:dyDescent="0.4">
      <c r="A14" t="s">
        <v>74</v>
      </c>
    </row>
    <row r="15" spans="1:1" x14ac:dyDescent="0.4">
      <c r="A15" t="s">
        <v>75</v>
      </c>
    </row>
    <row r="16" spans="1:1" x14ac:dyDescent="0.4">
      <c r="A16" t="s">
        <v>76</v>
      </c>
    </row>
    <row r="17" spans="1:1" x14ac:dyDescent="0.4">
      <c r="A17" t="s">
        <v>77</v>
      </c>
    </row>
    <row r="18" spans="1:1" x14ac:dyDescent="0.4">
      <c r="A18" t="s">
        <v>78</v>
      </c>
    </row>
    <row r="19" spans="1:1" x14ac:dyDescent="0.4">
      <c r="A19" t="s">
        <v>79</v>
      </c>
    </row>
    <row r="20" spans="1:1" x14ac:dyDescent="0.4">
      <c r="A20" t="s">
        <v>80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topLeftCell="AC1" zoomScale="85" zoomScaleNormal="85" workbookViewId="0">
      <selection activeCell="AQ26" sqref="AQ26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Y83"/>
  <sheetViews>
    <sheetView showGridLines="0" tabSelected="1" topLeftCell="U1" workbookViewId="0">
      <selection activeCell="AG4" sqref="AG4"/>
    </sheetView>
  </sheetViews>
  <sheetFormatPr defaultRowHeight="17.399999999999999" x14ac:dyDescent="0.4"/>
  <cols>
    <col min="1" max="129" width="14.69921875" customWidth="1"/>
  </cols>
  <sheetData>
    <row r="1" spans="1:129" ht="15" customHeight="1" x14ac:dyDescent="0.4">
      <c r="A1" s="4" t="s">
        <v>20</v>
      </c>
      <c r="B1" t="s">
        <v>83</v>
      </c>
    </row>
    <row r="3" spans="1:129" x14ac:dyDescent="0.4">
      <c r="A3" s="5" t="s">
        <v>33</v>
      </c>
    </row>
    <row r="4" spans="1:129" x14ac:dyDescent="0.4">
      <c r="A4" s="6" t="s">
        <v>28</v>
      </c>
      <c r="B4" s="6" t="s">
        <v>21</v>
      </c>
      <c r="C4" s="6" t="s">
        <v>22</v>
      </c>
    </row>
    <row r="5" spans="1:129" x14ac:dyDescent="0.4">
      <c r="A5" s="7"/>
      <c r="B5" s="7"/>
      <c r="C5" s="7"/>
    </row>
    <row r="6" spans="1:129" x14ac:dyDescent="0.4">
      <c r="A6" s="7"/>
      <c r="B6" s="7"/>
      <c r="C6" s="7"/>
    </row>
    <row r="7" spans="1:129" x14ac:dyDescent="0.4">
      <c r="A7" s="8"/>
      <c r="B7" s="8"/>
      <c r="C7" s="8"/>
    </row>
    <row r="9" spans="1:129" x14ac:dyDescent="0.4">
      <c r="A9" s="6"/>
      <c r="B9" s="6" t="s">
        <v>84</v>
      </c>
      <c r="C9" s="6" t="s">
        <v>25</v>
      </c>
      <c r="D9" s="6" t="s">
        <v>26</v>
      </c>
      <c r="E9" s="6" t="s">
        <v>26</v>
      </c>
      <c r="F9" s="6" t="s">
        <v>26</v>
      </c>
      <c r="G9" s="6" t="s">
        <v>26</v>
      </c>
      <c r="H9" s="6" t="s">
        <v>26</v>
      </c>
      <c r="I9" s="6" t="s">
        <v>26</v>
      </c>
      <c r="J9" s="6" t="s">
        <v>26</v>
      </c>
      <c r="K9" s="6" t="s">
        <v>26</v>
      </c>
      <c r="L9" s="6" t="s">
        <v>26</v>
      </c>
      <c r="M9" s="6" t="s">
        <v>26</v>
      </c>
      <c r="N9" s="6" t="s">
        <v>26</v>
      </c>
      <c r="O9" s="6" t="s">
        <v>26</v>
      </c>
      <c r="P9" s="6" t="s">
        <v>26</v>
      </c>
      <c r="Q9" s="6" t="s">
        <v>26</v>
      </c>
      <c r="R9" s="6" t="s">
        <v>26</v>
      </c>
      <c r="S9" s="6" t="s">
        <v>26</v>
      </c>
      <c r="T9" s="6" t="s">
        <v>26</v>
      </c>
      <c r="U9" s="6" t="s">
        <v>26</v>
      </c>
      <c r="V9" s="6" t="s">
        <v>26</v>
      </c>
      <c r="W9" s="6" t="s">
        <v>26</v>
      </c>
      <c r="X9" s="6" t="s">
        <v>26</v>
      </c>
      <c r="Y9" s="6" t="s">
        <v>26</v>
      </c>
      <c r="Z9" s="6" t="s">
        <v>26</v>
      </c>
      <c r="AA9" s="6" t="s">
        <v>26</v>
      </c>
      <c r="AB9" s="6" t="s">
        <v>26</v>
      </c>
      <c r="AC9" s="6" t="s">
        <v>26</v>
      </c>
      <c r="AD9" s="6" t="s">
        <v>26</v>
      </c>
      <c r="AE9" s="6" t="s">
        <v>26</v>
      </c>
      <c r="AF9" s="6" t="s">
        <v>26</v>
      </c>
      <c r="AG9" s="6" t="s">
        <v>26</v>
      </c>
      <c r="AH9" s="6" t="s">
        <v>26</v>
      </c>
      <c r="AI9" s="6" t="s">
        <v>26</v>
      </c>
      <c r="AJ9" s="6" t="s">
        <v>26</v>
      </c>
      <c r="AK9" s="6" t="s">
        <v>26</v>
      </c>
      <c r="AL9" s="6" t="s">
        <v>26</v>
      </c>
      <c r="AM9" s="6" t="s">
        <v>26</v>
      </c>
      <c r="AN9" s="6" t="s">
        <v>26</v>
      </c>
      <c r="AO9" s="6" t="s">
        <v>26</v>
      </c>
      <c r="AP9" s="6" t="s">
        <v>26</v>
      </c>
      <c r="AQ9" s="6" t="s">
        <v>26</v>
      </c>
      <c r="AR9" s="6" t="s">
        <v>26</v>
      </c>
      <c r="AS9" s="6" t="s">
        <v>26</v>
      </c>
      <c r="AT9" s="6" t="s">
        <v>26</v>
      </c>
      <c r="AU9" s="6" t="s">
        <v>26</v>
      </c>
      <c r="AV9" s="6" t="s">
        <v>26</v>
      </c>
      <c r="AW9" s="6" t="s">
        <v>26</v>
      </c>
      <c r="AX9" s="6" t="s">
        <v>26</v>
      </c>
      <c r="AY9" s="6" t="s">
        <v>26</v>
      </c>
      <c r="AZ9" s="6" t="s">
        <v>26</v>
      </c>
      <c r="BA9" s="6" t="s">
        <v>26</v>
      </c>
      <c r="BB9" s="6" t="s">
        <v>26</v>
      </c>
      <c r="BC9" s="6" t="s">
        <v>26</v>
      </c>
      <c r="BD9" s="6" t="s">
        <v>26</v>
      </c>
      <c r="BE9" s="6" t="s">
        <v>26</v>
      </c>
      <c r="BF9" s="6" t="s">
        <v>26</v>
      </c>
      <c r="BG9" s="6" t="s">
        <v>26</v>
      </c>
      <c r="BH9" s="6" t="s">
        <v>26</v>
      </c>
      <c r="BI9" s="6" t="s">
        <v>26</v>
      </c>
      <c r="BJ9" s="6" t="s">
        <v>26</v>
      </c>
      <c r="BK9" s="6" t="s">
        <v>26</v>
      </c>
      <c r="BL9" s="6" t="s">
        <v>26</v>
      </c>
      <c r="BM9" s="6" t="s">
        <v>26</v>
      </c>
      <c r="BN9" s="6" t="s">
        <v>26</v>
      </c>
      <c r="BO9" s="6" t="s">
        <v>26</v>
      </c>
      <c r="BP9" s="6" t="s">
        <v>26</v>
      </c>
      <c r="BQ9" s="6" t="s">
        <v>26</v>
      </c>
      <c r="BR9" s="6" t="s">
        <v>26</v>
      </c>
      <c r="BS9" s="6" t="s">
        <v>26</v>
      </c>
      <c r="BT9" s="6" t="s">
        <v>26</v>
      </c>
      <c r="BU9" s="6" t="s">
        <v>26</v>
      </c>
      <c r="BV9" s="6" t="s">
        <v>26</v>
      </c>
      <c r="BW9" s="6" t="s">
        <v>26</v>
      </c>
      <c r="BX9" s="6" t="s">
        <v>26</v>
      </c>
      <c r="BY9" s="6" t="s">
        <v>26</v>
      </c>
      <c r="BZ9" s="6" t="s">
        <v>26</v>
      </c>
      <c r="CA9" s="6" t="s">
        <v>26</v>
      </c>
      <c r="CB9" s="6" t="s">
        <v>26</v>
      </c>
      <c r="CC9" s="6" t="s">
        <v>26</v>
      </c>
      <c r="CD9" s="6" t="s">
        <v>26</v>
      </c>
      <c r="CE9" s="6" t="s">
        <v>26</v>
      </c>
      <c r="CF9" s="6" t="s">
        <v>26</v>
      </c>
      <c r="CG9" s="6" t="s">
        <v>26</v>
      </c>
      <c r="CH9" s="6" t="s">
        <v>26</v>
      </c>
      <c r="CI9" s="6" t="s">
        <v>26</v>
      </c>
      <c r="CJ9" s="6" t="s">
        <v>26</v>
      </c>
      <c r="CK9" s="6" t="s">
        <v>26</v>
      </c>
      <c r="CL9" s="6" t="s">
        <v>26</v>
      </c>
      <c r="CM9" s="6" t="s">
        <v>26</v>
      </c>
      <c r="CN9" s="6" t="s">
        <v>26</v>
      </c>
      <c r="CO9" s="6" t="s">
        <v>26</v>
      </c>
      <c r="CP9" s="6" t="s">
        <v>26</v>
      </c>
      <c r="CQ9" s="6" t="s">
        <v>26</v>
      </c>
      <c r="CR9" s="6" t="s">
        <v>26</v>
      </c>
      <c r="CS9" s="6" t="s">
        <v>26</v>
      </c>
      <c r="CT9" s="6" t="s">
        <v>26</v>
      </c>
      <c r="CU9" s="6" t="s">
        <v>26</v>
      </c>
      <c r="CV9" s="6" t="s">
        <v>26</v>
      </c>
      <c r="CW9" s="6" t="s">
        <v>26</v>
      </c>
      <c r="CX9" s="6" t="s">
        <v>26</v>
      </c>
      <c r="CY9" s="6" t="s">
        <v>26</v>
      </c>
      <c r="CZ9" s="6" t="s">
        <v>26</v>
      </c>
      <c r="DA9" s="6" t="s">
        <v>26</v>
      </c>
      <c r="DB9" s="6" t="s">
        <v>26</v>
      </c>
      <c r="DC9" s="6" t="s">
        <v>26</v>
      </c>
      <c r="DD9" s="6" t="s">
        <v>26</v>
      </c>
      <c r="DE9" s="6" t="s">
        <v>26</v>
      </c>
      <c r="DF9" s="6" t="s">
        <v>26</v>
      </c>
      <c r="DG9" s="6" t="s">
        <v>26</v>
      </c>
      <c r="DH9" s="6" t="s">
        <v>26</v>
      </c>
      <c r="DI9" s="6" t="s">
        <v>26</v>
      </c>
      <c r="DJ9" s="6" t="s">
        <v>26</v>
      </c>
      <c r="DK9" s="6" t="s">
        <v>26</v>
      </c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</row>
    <row r="10" spans="1:129" x14ac:dyDescent="0.4">
      <c r="A10" s="9"/>
      <c r="B10" s="9" t="s">
        <v>35</v>
      </c>
      <c r="C10" s="9"/>
      <c r="D10" s="9">
        <v>20080229</v>
      </c>
      <c r="E10" s="9">
        <v>20080331</v>
      </c>
      <c r="F10" s="9">
        <v>20080430</v>
      </c>
      <c r="G10" s="9">
        <v>20080530</v>
      </c>
      <c r="H10" s="9">
        <v>20080630</v>
      </c>
      <c r="I10" s="9">
        <v>20080731</v>
      </c>
      <c r="J10" s="9">
        <v>20080829</v>
      </c>
      <c r="K10" s="9">
        <v>20080930</v>
      </c>
      <c r="L10" s="9">
        <v>20081031</v>
      </c>
      <c r="M10" s="9">
        <v>20081128</v>
      </c>
      <c r="N10" s="9">
        <v>20081230</v>
      </c>
      <c r="O10" s="9">
        <v>20090130</v>
      </c>
      <c r="P10" s="9">
        <v>20090227</v>
      </c>
      <c r="Q10" s="9">
        <v>20090331</v>
      </c>
      <c r="R10" s="9">
        <v>20090430</v>
      </c>
      <c r="S10" s="9">
        <v>20090529</v>
      </c>
      <c r="T10" s="9">
        <v>20090630</v>
      </c>
      <c r="U10" s="9">
        <v>20090731</v>
      </c>
      <c r="V10" s="9">
        <v>20090831</v>
      </c>
      <c r="W10" s="9">
        <v>20090930</v>
      </c>
      <c r="X10" s="9">
        <v>20091030</v>
      </c>
      <c r="Y10" s="9">
        <v>20091130</v>
      </c>
      <c r="Z10" s="9">
        <v>20091230</v>
      </c>
      <c r="AA10" s="9">
        <v>20100129</v>
      </c>
      <c r="AB10" s="9">
        <v>20100226</v>
      </c>
      <c r="AC10" s="9">
        <v>20100331</v>
      </c>
      <c r="AD10" s="9">
        <v>20100430</v>
      </c>
      <c r="AE10" s="9">
        <v>20100531</v>
      </c>
      <c r="AF10" s="9">
        <v>20100630</v>
      </c>
      <c r="AG10" s="9">
        <v>20100730</v>
      </c>
      <c r="AH10" s="9">
        <v>20100831</v>
      </c>
      <c r="AI10" s="9">
        <v>20100930</v>
      </c>
      <c r="AJ10" s="9">
        <v>20101029</v>
      </c>
      <c r="AK10" s="9">
        <v>20101130</v>
      </c>
      <c r="AL10" s="9">
        <v>20101230</v>
      </c>
      <c r="AM10" s="9">
        <v>20110131</v>
      </c>
      <c r="AN10" s="9">
        <v>20110228</v>
      </c>
      <c r="AO10" s="9">
        <v>20110331</v>
      </c>
      <c r="AP10" s="9">
        <v>20110429</v>
      </c>
      <c r="AQ10" s="9">
        <v>20110531</v>
      </c>
      <c r="AR10" s="9">
        <v>20110630</v>
      </c>
      <c r="AS10" s="9">
        <v>20110729</v>
      </c>
      <c r="AT10" s="9">
        <v>20110831</v>
      </c>
      <c r="AU10" s="9">
        <v>20110930</v>
      </c>
      <c r="AV10" s="9">
        <v>20111031</v>
      </c>
      <c r="AW10" s="9">
        <v>20111130</v>
      </c>
      <c r="AX10" s="9">
        <v>20111229</v>
      </c>
      <c r="AY10" s="9">
        <v>20120131</v>
      </c>
      <c r="AZ10" s="9">
        <v>20120229</v>
      </c>
      <c r="BA10" s="9">
        <v>20120330</v>
      </c>
      <c r="BB10" s="9">
        <v>20120430</v>
      </c>
      <c r="BC10" s="9">
        <v>20120531</v>
      </c>
      <c r="BD10" s="9">
        <v>20120629</v>
      </c>
      <c r="BE10" s="9">
        <v>20120731</v>
      </c>
      <c r="BF10" s="9">
        <v>20120831</v>
      </c>
      <c r="BG10" s="9">
        <v>20120928</v>
      </c>
      <c r="BH10" s="9">
        <v>20121031</v>
      </c>
      <c r="BI10" s="9">
        <v>20121130</v>
      </c>
      <c r="BJ10" s="9">
        <v>20121228</v>
      </c>
      <c r="BK10" s="9">
        <v>20130131</v>
      </c>
      <c r="BL10" s="9">
        <v>20130228</v>
      </c>
      <c r="BM10" s="9">
        <v>20130329</v>
      </c>
      <c r="BN10" s="9">
        <v>20130430</v>
      </c>
      <c r="BO10" s="9">
        <v>20130531</v>
      </c>
      <c r="BP10" s="9">
        <v>20130628</v>
      </c>
      <c r="BQ10" s="9">
        <v>20130731</v>
      </c>
      <c r="BR10" s="9">
        <v>20130830</v>
      </c>
      <c r="BS10" s="9">
        <v>20130930</v>
      </c>
      <c r="BT10" s="9">
        <v>20131031</v>
      </c>
      <c r="BU10" s="9">
        <v>20131129</v>
      </c>
      <c r="BV10" s="9">
        <v>20131230</v>
      </c>
      <c r="BW10" s="9">
        <v>20140129</v>
      </c>
      <c r="BX10" s="9">
        <v>20140228</v>
      </c>
      <c r="BY10" s="9">
        <v>20140331</v>
      </c>
      <c r="BZ10" s="9">
        <v>20140430</v>
      </c>
      <c r="CA10" s="9">
        <v>20140530</v>
      </c>
      <c r="CB10" s="9">
        <v>20140630</v>
      </c>
      <c r="CC10" s="9">
        <v>20140731</v>
      </c>
      <c r="CD10" s="9">
        <v>20140829</v>
      </c>
      <c r="CE10" s="9">
        <v>20140930</v>
      </c>
      <c r="CF10" s="9">
        <v>20141031</v>
      </c>
      <c r="CG10" s="9">
        <v>20141128</v>
      </c>
      <c r="CH10" s="9">
        <v>20141230</v>
      </c>
      <c r="CI10" s="9">
        <v>20150130</v>
      </c>
      <c r="CJ10" s="9">
        <v>20150227</v>
      </c>
      <c r="CK10" s="9">
        <v>20150331</v>
      </c>
      <c r="CL10" s="9">
        <v>20150430</v>
      </c>
      <c r="CM10" s="9">
        <v>20150529</v>
      </c>
      <c r="CN10" s="9">
        <v>20150630</v>
      </c>
      <c r="CO10" s="9">
        <v>20150731</v>
      </c>
      <c r="CP10" s="9">
        <v>20150831</v>
      </c>
      <c r="CQ10" s="9">
        <v>20150930</v>
      </c>
      <c r="CR10" s="9">
        <v>20151030</v>
      </c>
      <c r="CS10" s="9">
        <v>20151130</v>
      </c>
      <c r="CT10" s="9">
        <v>20151230</v>
      </c>
      <c r="CU10" s="9">
        <v>20160129</v>
      </c>
      <c r="CV10" s="9">
        <v>20160229</v>
      </c>
      <c r="CW10" s="9">
        <v>20160331</v>
      </c>
      <c r="CX10" s="9">
        <v>20160429</v>
      </c>
      <c r="CY10" s="9">
        <v>20160531</v>
      </c>
      <c r="CZ10" s="9">
        <v>20160630</v>
      </c>
      <c r="DA10" s="9">
        <v>20160729</v>
      </c>
      <c r="DB10" s="9">
        <v>20160831</v>
      </c>
      <c r="DC10" s="9">
        <v>20160930</v>
      </c>
      <c r="DD10" s="9">
        <v>20161031</v>
      </c>
      <c r="DE10" s="9">
        <v>20161130</v>
      </c>
      <c r="DF10" s="9">
        <v>20161229</v>
      </c>
      <c r="DG10" s="9">
        <v>20170131</v>
      </c>
      <c r="DH10" s="9">
        <v>20170228</v>
      </c>
      <c r="DI10" s="9">
        <v>20170331</v>
      </c>
      <c r="DJ10" s="9">
        <v>20170428</v>
      </c>
      <c r="DK10" s="9">
        <v>20170531</v>
      </c>
    </row>
    <row r="11" spans="1:129" x14ac:dyDescent="0.4">
      <c r="A11" s="9"/>
      <c r="B11" s="9" t="s">
        <v>36</v>
      </c>
      <c r="C11" s="9" t="s">
        <v>31</v>
      </c>
      <c r="D11" s="9" t="s">
        <v>27</v>
      </c>
      <c r="E11" s="9" t="s">
        <v>27</v>
      </c>
      <c r="F11" s="9" t="s">
        <v>27</v>
      </c>
      <c r="G11" s="9" t="s">
        <v>27</v>
      </c>
      <c r="H11" s="9" t="s">
        <v>27</v>
      </c>
      <c r="I11" s="9" t="s">
        <v>27</v>
      </c>
      <c r="J11" s="9" t="s">
        <v>27</v>
      </c>
      <c r="K11" s="9" t="s">
        <v>27</v>
      </c>
      <c r="L11" s="9" t="s">
        <v>27</v>
      </c>
      <c r="M11" s="9" t="s">
        <v>27</v>
      </c>
      <c r="N11" s="9" t="s">
        <v>27</v>
      </c>
      <c r="O11" s="9" t="s">
        <v>27</v>
      </c>
      <c r="P11" s="9" t="s">
        <v>27</v>
      </c>
      <c r="Q11" s="9" t="s">
        <v>27</v>
      </c>
      <c r="R11" s="9" t="s">
        <v>27</v>
      </c>
      <c r="S11" s="9" t="s">
        <v>27</v>
      </c>
      <c r="T11" s="9" t="s">
        <v>27</v>
      </c>
      <c r="U11" s="9" t="s">
        <v>27</v>
      </c>
      <c r="V11" s="9" t="s">
        <v>27</v>
      </c>
      <c r="W11" s="9" t="s">
        <v>27</v>
      </c>
      <c r="X11" s="9" t="s">
        <v>27</v>
      </c>
      <c r="Y11" s="9" t="s">
        <v>27</v>
      </c>
      <c r="Z11" s="9" t="s">
        <v>27</v>
      </c>
      <c r="AA11" s="9" t="s">
        <v>27</v>
      </c>
      <c r="AB11" s="9" t="s">
        <v>27</v>
      </c>
      <c r="AC11" s="9" t="s">
        <v>27</v>
      </c>
      <c r="AD11" s="9" t="s">
        <v>27</v>
      </c>
      <c r="AE11" s="9" t="s">
        <v>27</v>
      </c>
      <c r="AF11" s="9" t="s">
        <v>27</v>
      </c>
      <c r="AG11" s="9" t="s">
        <v>27</v>
      </c>
      <c r="AH11" s="9" t="s">
        <v>27</v>
      </c>
      <c r="AI11" s="9" t="s">
        <v>27</v>
      </c>
      <c r="AJ11" s="9" t="s">
        <v>27</v>
      </c>
      <c r="AK11" s="9" t="s">
        <v>27</v>
      </c>
      <c r="AL11" s="9" t="s">
        <v>27</v>
      </c>
      <c r="AM11" s="9" t="s">
        <v>27</v>
      </c>
      <c r="AN11" s="9" t="s">
        <v>27</v>
      </c>
      <c r="AO11" s="9" t="s">
        <v>27</v>
      </c>
      <c r="AP11" s="9" t="s">
        <v>27</v>
      </c>
      <c r="AQ11" s="9" t="s">
        <v>27</v>
      </c>
      <c r="AR11" s="9" t="s">
        <v>27</v>
      </c>
      <c r="AS11" s="9" t="s">
        <v>27</v>
      </c>
      <c r="AT11" s="9" t="s">
        <v>27</v>
      </c>
      <c r="AU11" s="9" t="s">
        <v>27</v>
      </c>
      <c r="AV11" s="9" t="s">
        <v>27</v>
      </c>
      <c r="AW11" s="9" t="s">
        <v>27</v>
      </c>
      <c r="AX11" s="9" t="s">
        <v>27</v>
      </c>
      <c r="AY11" s="9" t="s">
        <v>27</v>
      </c>
      <c r="AZ11" s="9" t="s">
        <v>27</v>
      </c>
      <c r="BA11" s="9" t="s">
        <v>27</v>
      </c>
      <c r="BB11" s="9" t="s">
        <v>27</v>
      </c>
      <c r="BC11" s="9" t="s">
        <v>27</v>
      </c>
      <c r="BD11" s="9" t="s">
        <v>27</v>
      </c>
      <c r="BE11" s="9" t="s">
        <v>27</v>
      </c>
      <c r="BF11" s="9" t="s">
        <v>27</v>
      </c>
      <c r="BG11" s="9" t="s">
        <v>27</v>
      </c>
      <c r="BH11" s="9" t="s">
        <v>27</v>
      </c>
      <c r="BI11" s="9" t="s">
        <v>27</v>
      </c>
      <c r="BJ11" s="9" t="s">
        <v>27</v>
      </c>
      <c r="BK11" s="9" t="s">
        <v>27</v>
      </c>
      <c r="BL11" s="9" t="s">
        <v>27</v>
      </c>
      <c r="BM11" s="9" t="s">
        <v>27</v>
      </c>
      <c r="BN11" s="9" t="s">
        <v>27</v>
      </c>
      <c r="BO11" s="9" t="s">
        <v>27</v>
      </c>
      <c r="BP11" s="9" t="s">
        <v>27</v>
      </c>
      <c r="BQ11" s="9" t="s">
        <v>27</v>
      </c>
      <c r="BR11" s="9" t="s">
        <v>27</v>
      </c>
      <c r="BS11" s="9" t="s">
        <v>27</v>
      </c>
      <c r="BT11" s="9" t="s">
        <v>27</v>
      </c>
      <c r="BU11" s="9" t="s">
        <v>27</v>
      </c>
      <c r="BV11" s="9" t="s">
        <v>27</v>
      </c>
      <c r="BW11" s="9" t="s">
        <v>27</v>
      </c>
      <c r="BX11" s="9" t="s">
        <v>27</v>
      </c>
      <c r="BY11" s="9" t="s">
        <v>27</v>
      </c>
      <c r="BZ11" s="9" t="s">
        <v>27</v>
      </c>
      <c r="CA11" s="9" t="s">
        <v>27</v>
      </c>
      <c r="CB11" s="9" t="s">
        <v>27</v>
      </c>
      <c r="CC11" s="9" t="s">
        <v>27</v>
      </c>
      <c r="CD11" s="9" t="s">
        <v>27</v>
      </c>
      <c r="CE11" s="9" t="s">
        <v>27</v>
      </c>
      <c r="CF11" s="9" t="s">
        <v>27</v>
      </c>
      <c r="CG11" s="9" t="s">
        <v>27</v>
      </c>
      <c r="CH11" s="9" t="s">
        <v>27</v>
      </c>
      <c r="CI11" s="9" t="s">
        <v>27</v>
      </c>
      <c r="CJ11" s="9" t="s">
        <v>27</v>
      </c>
      <c r="CK11" s="9" t="s">
        <v>27</v>
      </c>
      <c r="CL11" s="9" t="s">
        <v>27</v>
      </c>
      <c r="CM11" s="9" t="s">
        <v>27</v>
      </c>
      <c r="CN11" s="9" t="s">
        <v>27</v>
      </c>
      <c r="CO11" s="9" t="s">
        <v>27</v>
      </c>
      <c r="CP11" s="9" t="s">
        <v>27</v>
      </c>
      <c r="CQ11" s="9" t="s">
        <v>27</v>
      </c>
      <c r="CR11" s="9" t="s">
        <v>27</v>
      </c>
      <c r="CS11" s="9" t="s">
        <v>27</v>
      </c>
      <c r="CT11" s="9" t="s">
        <v>27</v>
      </c>
      <c r="CU11" s="9" t="s">
        <v>27</v>
      </c>
      <c r="CV11" s="9" t="s">
        <v>27</v>
      </c>
      <c r="CW11" s="9" t="s">
        <v>27</v>
      </c>
      <c r="CX11" s="9" t="s">
        <v>27</v>
      </c>
      <c r="CY11" s="9" t="s">
        <v>27</v>
      </c>
      <c r="CZ11" s="9" t="s">
        <v>27</v>
      </c>
      <c r="DA11" s="9" t="s">
        <v>27</v>
      </c>
      <c r="DB11" s="9" t="s">
        <v>27</v>
      </c>
      <c r="DC11" s="9" t="s">
        <v>27</v>
      </c>
      <c r="DD11" s="9" t="s">
        <v>27</v>
      </c>
      <c r="DE11" s="9" t="s">
        <v>27</v>
      </c>
      <c r="DF11" s="9" t="s">
        <v>27</v>
      </c>
      <c r="DG11" s="9" t="s">
        <v>27</v>
      </c>
      <c r="DH11" s="9" t="s">
        <v>27</v>
      </c>
      <c r="DI11" s="9" t="s">
        <v>27</v>
      </c>
      <c r="DJ11" s="9" t="s">
        <v>27</v>
      </c>
      <c r="DK11" s="9" t="s">
        <v>27</v>
      </c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</row>
    <row r="12" spans="1:129" x14ac:dyDescent="0.4">
      <c r="A12" s="10"/>
      <c r="B12" s="10" t="s">
        <v>86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</row>
    <row r="13" spans="1:129" x14ac:dyDescent="0.4">
      <c r="A13" s="11" t="s">
        <v>85</v>
      </c>
      <c r="B13" s="12" t="s">
        <v>38</v>
      </c>
      <c r="C13" s="12" t="s">
        <v>87</v>
      </c>
      <c r="D13" s="12" t="s">
        <v>41</v>
      </c>
      <c r="E13" s="12" t="s">
        <v>82</v>
      </c>
      <c r="F13" s="12" t="s">
        <v>82</v>
      </c>
      <c r="G13" s="12" t="s">
        <v>41</v>
      </c>
      <c r="H13" s="12" t="s">
        <v>88</v>
      </c>
      <c r="I13" s="12" t="s">
        <v>41</v>
      </c>
      <c r="J13" s="12" t="s">
        <v>82</v>
      </c>
      <c r="K13" s="12" t="s">
        <v>82</v>
      </c>
      <c r="L13" s="12" t="s">
        <v>41</v>
      </c>
      <c r="M13" s="12" t="s">
        <v>41</v>
      </c>
      <c r="N13" s="12" t="s">
        <v>41</v>
      </c>
      <c r="O13" s="12" t="s">
        <v>41</v>
      </c>
      <c r="P13" s="12" t="s">
        <v>41</v>
      </c>
      <c r="Q13" s="12" t="s">
        <v>41</v>
      </c>
      <c r="R13" s="12" t="s">
        <v>41</v>
      </c>
      <c r="S13" s="12" t="s">
        <v>41</v>
      </c>
      <c r="T13" s="12" t="s">
        <v>41</v>
      </c>
      <c r="U13" s="12" t="s">
        <v>82</v>
      </c>
      <c r="V13" s="12" t="s">
        <v>41</v>
      </c>
      <c r="W13" s="12" t="s">
        <v>82</v>
      </c>
      <c r="X13" s="12" t="s">
        <v>41</v>
      </c>
      <c r="Y13" s="12" t="s">
        <v>41</v>
      </c>
      <c r="Z13" s="12" t="s">
        <v>41</v>
      </c>
      <c r="AA13" s="12" t="s">
        <v>41</v>
      </c>
      <c r="AB13" s="12" t="s">
        <v>82</v>
      </c>
      <c r="AC13" s="12" t="s">
        <v>88</v>
      </c>
      <c r="AD13" s="12" t="s">
        <v>88</v>
      </c>
      <c r="AE13" s="12" t="s">
        <v>41</v>
      </c>
      <c r="AF13" s="12" t="s">
        <v>41</v>
      </c>
      <c r="AG13" s="12" t="s">
        <v>41</v>
      </c>
      <c r="AH13" s="12" t="s">
        <v>41</v>
      </c>
      <c r="AI13" s="12" t="s">
        <v>41</v>
      </c>
      <c r="AJ13" s="12" t="s">
        <v>41</v>
      </c>
      <c r="AK13" s="12" t="s">
        <v>82</v>
      </c>
      <c r="AL13" s="12" t="s">
        <v>41</v>
      </c>
      <c r="AM13" s="12" t="s">
        <v>41</v>
      </c>
      <c r="AN13" s="12" t="s">
        <v>41</v>
      </c>
      <c r="AO13" s="12" t="s">
        <v>41</v>
      </c>
      <c r="AP13" s="12" t="s">
        <v>41</v>
      </c>
      <c r="AQ13" s="12" t="s">
        <v>41</v>
      </c>
      <c r="AR13" s="12" t="s">
        <v>41</v>
      </c>
      <c r="AS13" s="12" t="s">
        <v>41</v>
      </c>
      <c r="AT13" s="12" t="s">
        <v>41</v>
      </c>
      <c r="AU13" s="12" t="s">
        <v>41</v>
      </c>
      <c r="AV13" s="12" t="s">
        <v>41</v>
      </c>
      <c r="AW13" s="12" t="s">
        <v>41</v>
      </c>
      <c r="AX13" s="12" t="s">
        <v>41</v>
      </c>
      <c r="AY13" s="12" t="s">
        <v>41</v>
      </c>
      <c r="AZ13" s="12" t="s">
        <v>41</v>
      </c>
      <c r="BA13" s="12" t="s">
        <v>41</v>
      </c>
      <c r="BB13" s="12" t="s">
        <v>41</v>
      </c>
      <c r="BC13" s="12" t="s">
        <v>41</v>
      </c>
      <c r="BD13" s="12" t="s">
        <v>41</v>
      </c>
      <c r="BE13" s="12" t="s">
        <v>41</v>
      </c>
      <c r="BF13" s="12" t="s">
        <v>82</v>
      </c>
      <c r="BG13" s="12" t="s">
        <v>41</v>
      </c>
      <c r="BH13" s="12" t="s">
        <v>88</v>
      </c>
      <c r="BI13" s="12" t="s">
        <v>41</v>
      </c>
      <c r="BJ13" s="12" t="s">
        <v>82</v>
      </c>
      <c r="BK13" s="12" t="s">
        <v>82</v>
      </c>
      <c r="BL13" s="12" t="s">
        <v>88</v>
      </c>
      <c r="BM13" s="12" t="s">
        <v>41</v>
      </c>
      <c r="BN13" s="12" t="s">
        <v>41</v>
      </c>
      <c r="BO13" s="12" t="s">
        <v>82</v>
      </c>
      <c r="BP13" s="12" t="s">
        <v>41</v>
      </c>
      <c r="BQ13" s="12" t="s">
        <v>82</v>
      </c>
      <c r="BR13" s="12" t="s">
        <v>41</v>
      </c>
      <c r="BS13" s="12" t="s">
        <v>82</v>
      </c>
      <c r="BT13" s="12" t="s">
        <v>41</v>
      </c>
      <c r="BU13" s="12" t="s">
        <v>41</v>
      </c>
      <c r="BV13" s="12" t="s">
        <v>82</v>
      </c>
      <c r="BW13" s="12" t="s">
        <v>82</v>
      </c>
      <c r="BX13" s="12" t="s">
        <v>88</v>
      </c>
      <c r="BY13" s="12" t="s">
        <v>41</v>
      </c>
      <c r="BZ13" s="12" t="s">
        <v>41</v>
      </c>
      <c r="CA13" s="12" t="s">
        <v>41</v>
      </c>
      <c r="CB13" s="12" t="s">
        <v>41</v>
      </c>
      <c r="CC13" s="12" t="s">
        <v>41</v>
      </c>
      <c r="CD13" s="12" t="s">
        <v>88</v>
      </c>
      <c r="CE13" s="12" t="s">
        <v>41</v>
      </c>
      <c r="CF13" s="12" t="s">
        <v>41</v>
      </c>
      <c r="CG13" s="12" t="s">
        <v>41</v>
      </c>
      <c r="CH13" s="12" t="s">
        <v>41</v>
      </c>
      <c r="CI13" s="12" t="s">
        <v>41</v>
      </c>
      <c r="CJ13" s="12" t="s">
        <v>41</v>
      </c>
      <c r="CK13" s="12" t="s">
        <v>82</v>
      </c>
      <c r="CL13" s="12" t="s">
        <v>41</v>
      </c>
      <c r="CM13" s="12" t="s">
        <v>41</v>
      </c>
      <c r="CN13" s="12" t="s">
        <v>41</v>
      </c>
      <c r="CO13" s="12" t="s">
        <v>88</v>
      </c>
      <c r="CP13" s="12" t="s">
        <v>41</v>
      </c>
      <c r="CQ13" s="12" t="s">
        <v>41</v>
      </c>
      <c r="CR13" s="12" t="s">
        <v>41</v>
      </c>
      <c r="CS13" s="12" t="s">
        <v>41</v>
      </c>
      <c r="CT13" s="12" t="s">
        <v>41</v>
      </c>
      <c r="CU13" s="12" t="s">
        <v>41</v>
      </c>
      <c r="CV13" s="12" t="s">
        <v>41</v>
      </c>
      <c r="CW13" s="12" t="s">
        <v>82</v>
      </c>
      <c r="CX13" s="12" t="s">
        <v>41</v>
      </c>
      <c r="CY13" s="12" t="s">
        <v>41</v>
      </c>
      <c r="CZ13" s="12" t="s">
        <v>88</v>
      </c>
      <c r="DA13" s="12" t="s">
        <v>41</v>
      </c>
      <c r="DB13" s="12" t="s">
        <v>41</v>
      </c>
      <c r="DC13" s="12" t="s">
        <v>41</v>
      </c>
      <c r="DD13" s="12" t="s">
        <v>41</v>
      </c>
      <c r="DE13" s="12" t="s">
        <v>88</v>
      </c>
      <c r="DF13" s="12" t="s">
        <v>41</v>
      </c>
      <c r="DG13" s="12" t="s">
        <v>88</v>
      </c>
      <c r="DH13" s="12" t="s">
        <v>88</v>
      </c>
      <c r="DI13" s="12" t="s">
        <v>88</v>
      </c>
      <c r="DJ13" s="12" t="s">
        <v>88</v>
      </c>
      <c r="DK13" s="12" t="s">
        <v>82</v>
      </c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</row>
    <row r="14" spans="1:129" x14ac:dyDescent="0.4">
      <c r="A14" s="2" t="s">
        <v>81</v>
      </c>
      <c r="B14" s="7" t="s">
        <v>89</v>
      </c>
      <c r="C14" s="2"/>
      <c r="D14" s="14">
        <v>1711.62</v>
      </c>
      <c r="E14" s="14">
        <v>1703.99</v>
      </c>
      <c r="F14" s="14">
        <v>1825.47</v>
      </c>
      <c r="G14" s="14">
        <v>1852.02</v>
      </c>
      <c r="H14" s="14">
        <v>1674.92</v>
      </c>
      <c r="I14" s="14">
        <v>1594.67</v>
      </c>
      <c r="J14" s="14">
        <v>1474.24</v>
      </c>
      <c r="K14" s="14">
        <v>1448.06</v>
      </c>
      <c r="L14" s="14">
        <v>1113.06</v>
      </c>
      <c r="M14" s="14">
        <v>1076.07</v>
      </c>
      <c r="N14" s="14">
        <v>1124.47</v>
      </c>
      <c r="O14" s="15">
        <v>1162.1099999999999</v>
      </c>
      <c r="P14" s="14">
        <v>1063.03</v>
      </c>
      <c r="Q14" s="14">
        <v>1206.26</v>
      </c>
      <c r="R14" s="14">
        <v>1369.36</v>
      </c>
      <c r="S14" s="14">
        <v>1395.89</v>
      </c>
      <c r="T14" s="14">
        <v>1390.07</v>
      </c>
      <c r="U14" s="14">
        <v>1557.29</v>
      </c>
      <c r="V14" s="14">
        <v>1591.85</v>
      </c>
      <c r="W14" s="14">
        <v>1673.14</v>
      </c>
      <c r="X14" s="14">
        <v>1580.69</v>
      </c>
      <c r="Y14" s="14">
        <v>1555.6</v>
      </c>
      <c r="Z14" s="14">
        <v>1682.77</v>
      </c>
      <c r="AA14" s="14">
        <v>1602.43</v>
      </c>
      <c r="AB14" s="14">
        <v>1594.58</v>
      </c>
      <c r="AC14" s="14">
        <v>1692.85</v>
      </c>
      <c r="AD14" s="14">
        <v>1741.56</v>
      </c>
      <c r="AE14" s="14">
        <v>1641.25</v>
      </c>
      <c r="AF14" s="14">
        <v>1698.29</v>
      </c>
      <c r="AG14" s="14">
        <v>1759.33</v>
      </c>
      <c r="AH14" s="14">
        <v>1742.75</v>
      </c>
      <c r="AI14" s="14">
        <v>1872.81</v>
      </c>
      <c r="AJ14" s="14">
        <v>1882.95</v>
      </c>
      <c r="AK14" s="14">
        <v>1904.63</v>
      </c>
      <c r="AL14" s="14">
        <v>2051</v>
      </c>
      <c r="AM14" s="14">
        <v>2069.73</v>
      </c>
      <c r="AN14" s="14">
        <v>1939.3</v>
      </c>
      <c r="AO14" s="14">
        <v>2106.6999999999998</v>
      </c>
      <c r="AP14" s="14">
        <v>2192.36</v>
      </c>
      <c r="AQ14" s="14">
        <v>2142.4699999999998</v>
      </c>
      <c r="AR14" s="14">
        <v>2100.69</v>
      </c>
      <c r="AS14" s="14">
        <v>2133.21</v>
      </c>
      <c r="AT14" s="14">
        <v>1880.11</v>
      </c>
      <c r="AU14" s="14">
        <v>1769.65</v>
      </c>
      <c r="AV14" s="14">
        <v>1909.03</v>
      </c>
      <c r="AW14" s="14">
        <v>1847.51</v>
      </c>
      <c r="AX14" s="14">
        <v>1825.74</v>
      </c>
      <c r="AY14" s="14">
        <v>1955.79</v>
      </c>
      <c r="AZ14" s="15">
        <v>2030.25</v>
      </c>
      <c r="BA14" s="14">
        <v>2014.04</v>
      </c>
      <c r="BB14" s="14">
        <v>1981.99</v>
      </c>
      <c r="BC14" s="14">
        <v>1843.47</v>
      </c>
      <c r="BD14" s="14">
        <v>1854.01</v>
      </c>
      <c r="BE14" s="14">
        <v>1881.99</v>
      </c>
      <c r="BF14" s="14">
        <v>1905.12</v>
      </c>
      <c r="BG14" s="14">
        <v>1996.21</v>
      </c>
      <c r="BH14" s="14">
        <v>1912.06</v>
      </c>
      <c r="BI14" s="14">
        <v>1932.9</v>
      </c>
      <c r="BJ14" s="14">
        <v>1997.05</v>
      </c>
      <c r="BK14" s="14">
        <v>1961.94</v>
      </c>
      <c r="BL14" s="14">
        <v>2026.49</v>
      </c>
      <c r="BM14" s="14">
        <v>2004.89</v>
      </c>
      <c r="BN14" s="14">
        <v>1963.95</v>
      </c>
      <c r="BO14" s="14">
        <v>2001.05</v>
      </c>
      <c r="BP14" s="14">
        <v>1863.32</v>
      </c>
      <c r="BQ14" s="14">
        <v>1914.03</v>
      </c>
      <c r="BR14" s="14">
        <v>1926.36</v>
      </c>
      <c r="BS14" s="14">
        <v>1996.96</v>
      </c>
      <c r="BT14" s="14">
        <v>2030.09</v>
      </c>
      <c r="BU14" s="14">
        <v>2044.87</v>
      </c>
      <c r="BV14" s="14">
        <v>2011.34</v>
      </c>
      <c r="BW14" s="14">
        <v>1941.15</v>
      </c>
      <c r="BX14" s="14">
        <v>1979.99</v>
      </c>
      <c r="BY14" s="14">
        <v>1985.61</v>
      </c>
      <c r="BZ14" s="14">
        <v>1961.79</v>
      </c>
      <c r="CA14" s="14">
        <v>1994.96</v>
      </c>
      <c r="CB14" s="14">
        <v>2002.21</v>
      </c>
      <c r="CC14" s="14">
        <v>2076.12</v>
      </c>
      <c r="CD14" s="14">
        <v>2068.54</v>
      </c>
      <c r="CE14" s="14">
        <v>2020.09</v>
      </c>
      <c r="CF14" s="14">
        <v>1964.43</v>
      </c>
      <c r="CG14" s="14">
        <v>1980.78</v>
      </c>
      <c r="CH14" s="14">
        <v>1915.59</v>
      </c>
      <c r="CI14" s="14">
        <v>1949.26</v>
      </c>
      <c r="CJ14" s="14">
        <v>1985.8</v>
      </c>
      <c r="CK14" s="14">
        <v>2041.03</v>
      </c>
      <c r="CL14" s="14">
        <v>2127.17</v>
      </c>
      <c r="CM14" s="14">
        <v>2114.8000000000002</v>
      </c>
      <c r="CN14" s="14">
        <v>2074.1999999999998</v>
      </c>
      <c r="CO14" s="14">
        <v>2030.16</v>
      </c>
      <c r="CP14" s="14">
        <v>1941.49</v>
      </c>
      <c r="CQ14" s="14">
        <v>1962.81</v>
      </c>
      <c r="CR14" s="14">
        <v>2029.47</v>
      </c>
      <c r="CS14" s="14">
        <v>1991.97</v>
      </c>
      <c r="CT14" s="14">
        <v>1961.31</v>
      </c>
      <c r="CU14" s="14">
        <v>1912.06</v>
      </c>
      <c r="CV14" s="14">
        <v>1916.66</v>
      </c>
      <c r="CW14" s="14">
        <v>1995.85</v>
      </c>
      <c r="CX14" s="14">
        <v>1994.15</v>
      </c>
      <c r="CY14" s="14">
        <v>1983.4</v>
      </c>
      <c r="CZ14" s="14">
        <v>1970.35</v>
      </c>
      <c r="DA14" s="14">
        <v>2016.19</v>
      </c>
      <c r="DB14" s="14">
        <v>2034.65</v>
      </c>
      <c r="DC14" s="14">
        <v>2043.63</v>
      </c>
      <c r="DD14" s="14">
        <v>2008.19</v>
      </c>
      <c r="DE14" s="14">
        <v>1983.48</v>
      </c>
      <c r="DF14" s="14">
        <v>2026.46</v>
      </c>
      <c r="DG14" s="14">
        <v>2067.5700000000002</v>
      </c>
      <c r="DH14" s="14">
        <v>2091.64</v>
      </c>
      <c r="DI14" s="14">
        <v>2160.23</v>
      </c>
      <c r="DJ14" s="14">
        <v>2205.44</v>
      </c>
      <c r="DK14" s="14">
        <v>2347.38</v>
      </c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</row>
    <row r="15" spans="1:129" x14ac:dyDescent="0.4">
      <c r="E15">
        <f>E14/D14</f>
        <v>0.99554223484184579</v>
      </c>
      <c r="F15">
        <f t="shared" ref="F15:BQ15" si="0">F14/E14</f>
        <v>1.0712914981895434</v>
      </c>
      <c r="G15">
        <f t="shared" si="0"/>
        <v>1.0145441995759996</v>
      </c>
      <c r="H15">
        <f t="shared" si="0"/>
        <v>0.90437468277880373</v>
      </c>
      <c r="I15">
        <f t="shared" si="0"/>
        <v>0.95208726386931919</v>
      </c>
      <c r="J15">
        <f t="shared" si="0"/>
        <v>0.92447967291038269</v>
      </c>
      <c r="K15">
        <f t="shared" si="0"/>
        <v>0.98224169741697409</v>
      </c>
      <c r="L15">
        <f t="shared" si="0"/>
        <v>0.76865599491733771</v>
      </c>
      <c r="M15">
        <f t="shared" si="0"/>
        <v>0.96676729017303653</v>
      </c>
      <c r="N15">
        <f t="shared" si="0"/>
        <v>1.0449784865296867</v>
      </c>
      <c r="O15">
        <f t="shared" si="0"/>
        <v>1.0334735475379511</v>
      </c>
      <c r="P15">
        <f t="shared" si="0"/>
        <v>0.91474128955090317</v>
      </c>
      <c r="Q15">
        <f t="shared" si="0"/>
        <v>1.1347374956492291</v>
      </c>
      <c r="R15">
        <f t="shared" si="0"/>
        <v>1.1352113143103477</v>
      </c>
      <c r="S15">
        <f t="shared" si="0"/>
        <v>1.0193740141379917</v>
      </c>
      <c r="T15">
        <f t="shared" si="0"/>
        <v>0.99583061702569675</v>
      </c>
      <c r="U15">
        <f t="shared" si="0"/>
        <v>1.1202961001963929</v>
      </c>
      <c r="V15">
        <f t="shared" si="0"/>
        <v>1.0221923983330015</v>
      </c>
      <c r="W15">
        <f t="shared" si="0"/>
        <v>1.0510663693187174</v>
      </c>
      <c r="X15">
        <f t="shared" si="0"/>
        <v>0.94474461192727444</v>
      </c>
      <c r="Y15">
        <f t="shared" si="0"/>
        <v>0.98412718496352847</v>
      </c>
      <c r="Z15">
        <f t="shared" si="0"/>
        <v>1.0817498071483673</v>
      </c>
      <c r="AA15">
        <f t="shared" si="0"/>
        <v>0.95225729006340742</v>
      </c>
      <c r="AB15">
        <f t="shared" si="0"/>
        <v>0.9951011900675848</v>
      </c>
      <c r="AC15">
        <f t="shared" si="0"/>
        <v>1.0616275132009683</v>
      </c>
      <c r="AD15">
        <f t="shared" si="0"/>
        <v>1.0287739610715658</v>
      </c>
      <c r="AE15">
        <f t="shared" si="0"/>
        <v>0.94240221410689273</v>
      </c>
      <c r="AF15">
        <f t="shared" si="0"/>
        <v>1.0347539984767706</v>
      </c>
      <c r="AG15">
        <f t="shared" si="0"/>
        <v>1.0359420358124938</v>
      </c>
      <c r="AH15">
        <f t="shared" si="0"/>
        <v>0.99057595789306163</v>
      </c>
      <c r="AI15">
        <f t="shared" si="0"/>
        <v>1.0746291780232391</v>
      </c>
      <c r="AJ15">
        <f t="shared" si="0"/>
        <v>1.0054143239303508</v>
      </c>
      <c r="AK15">
        <f t="shared" si="0"/>
        <v>1.011513847951353</v>
      </c>
      <c r="AL15">
        <f t="shared" si="0"/>
        <v>1.0768495718328495</v>
      </c>
      <c r="AM15">
        <f t="shared" si="0"/>
        <v>1.0091321306679668</v>
      </c>
      <c r="AN15">
        <f t="shared" si="0"/>
        <v>0.93698211844056956</v>
      </c>
      <c r="AO15">
        <f t="shared" si="0"/>
        <v>1.0863198061156087</v>
      </c>
      <c r="AP15">
        <f t="shared" si="0"/>
        <v>1.0406607490387811</v>
      </c>
      <c r="AQ15">
        <f t="shared" si="0"/>
        <v>0.9772437008520497</v>
      </c>
      <c r="AR15">
        <f t="shared" si="0"/>
        <v>0.98049914351192791</v>
      </c>
      <c r="AS15">
        <f t="shared" si="0"/>
        <v>1.0154806277937249</v>
      </c>
      <c r="AT15">
        <f t="shared" si="0"/>
        <v>0.88135251569231343</v>
      </c>
      <c r="AU15">
        <f t="shared" si="0"/>
        <v>0.94124811846115397</v>
      </c>
      <c r="AV15">
        <f t="shared" si="0"/>
        <v>1.0787613369875397</v>
      </c>
      <c r="AW15">
        <f t="shared" si="0"/>
        <v>0.96777420993907903</v>
      </c>
      <c r="AX15">
        <f t="shared" si="0"/>
        <v>0.98821657257606188</v>
      </c>
      <c r="AY15">
        <f t="shared" si="0"/>
        <v>1.0712313911071676</v>
      </c>
      <c r="AZ15">
        <f t="shared" si="0"/>
        <v>1.0380715721012992</v>
      </c>
      <c r="BA15">
        <f t="shared" si="0"/>
        <v>0.99201576160571359</v>
      </c>
      <c r="BB15">
        <f t="shared" si="0"/>
        <v>0.98408671128676695</v>
      </c>
      <c r="BC15">
        <f t="shared" si="0"/>
        <v>0.93011064637056695</v>
      </c>
      <c r="BD15">
        <f t="shared" si="0"/>
        <v>1.0057174784509648</v>
      </c>
      <c r="BE15">
        <f t="shared" si="0"/>
        <v>1.0150916122351012</v>
      </c>
      <c r="BF15">
        <f t="shared" si="0"/>
        <v>1.0122901822007555</v>
      </c>
      <c r="BG15">
        <f t="shared" si="0"/>
        <v>1.047813261106912</v>
      </c>
      <c r="BH15">
        <f t="shared" si="0"/>
        <v>0.95784511649575943</v>
      </c>
      <c r="BI15">
        <f t="shared" si="0"/>
        <v>1.0108992395636121</v>
      </c>
      <c r="BJ15">
        <f t="shared" si="0"/>
        <v>1.0331884732784933</v>
      </c>
      <c r="BK15">
        <f t="shared" si="0"/>
        <v>0.98241906812548518</v>
      </c>
      <c r="BL15">
        <f t="shared" si="0"/>
        <v>1.0329011080868935</v>
      </c>
      <c r="BM15">
        <f t="shared" si="0"/>
        <v>0.98934117612226069</v>
      </c>
      <c r="BN15">
        <f t="shared" si="0"/>
        <v>0.97957992707829356</v>
      </c>
      <c r="BO15">
        <f t="shared" si="0"/>
        <v>1.0188905012856742</v>
      </c>
      <c r="BP15">
        <f t="shared" si="0"/>
        <v>0.93117113515404415</v>
      </c>
      <c r="BQ15">
        <f t="shared" si="0"/>
        <v>1.0272148637915119</v>
      </c>
      <c r="BR15">
        <f t="shared" ref="BR15:DK15" si="1">BR14/BQ14</f>
        <v>1.0064419052992899</v>
      </c>
      <c r="BS15">
        <f t="shared" si="1"/>
        <v>1.0366494320895367</v>
      </c>
      <c r="BT15">
        <f t="shared" si="1"/>
        <v>1.0165902171300376</v>
      </c>
      <c r="BU15">
        <f t="shared" si="1"/>
        <v>1.0072804653980858</v>
      </c>
      <c r="BV15">
        <f t="shared" si="1"/>
        <v>0.98360286962007371</v>
      </c>
      <c r="BW15">
        <f t="shared" si="1"/>
        <v>0.96510286674555279</v>
      </c>
      <c r="BX15">
        <f t="shared" si="1"/>
        <v>1.0200087576951806</v>
      </c>
      <c r="BY15">
        <f t="shared" si="1"/>
        <v>1.0028383981737281</v>
      </c>
      <c r="BZ15">
        <f t="shared" si="1"/>
        <v>0.98800368652454418</v>
      </c>
      <c r="CA15">
        <f t="shared" si="1"/>
        <v>1.0169080278725042</v>
      </c>
      <c r="CB15">
        <f t="shared" si="1"/>
        <v>1.0036341580783574</v>
      </c>
      <c r="CC15">
        <f t="shared" si="1"/>
        <v>1.0369142097981729</v>
      </c>
      <c r="CD15">
        <f t="shared" si="1"/>
        <v>0.99634895863437567</v>
      </c>
      <c r="CE15">
        <f t="shared" si="1"/>
        <v>0.97657768281009794</v>
      </c>
      <c r="CF15">
        <f t="shared" si="1"/>
        <v>0.97244677217351705</v>
      </c>
      <c r="CG15">
        <f t="shared" si="1"/>
        <v>1.0083230249996182</v>
      </c>
      <c r="CH15">
        <f t="shared" si="1"/>
        <v>0.96708872262442069</v>
      </c>
      <c r="CI15">
        <f t="shared" si="1"/>
        <v>1.0175768301150037</v>
      </c>
      <c r="CJ15">
        <f t="shared" si="1"/>
        <v>1.0187455752439387</v>
      </c>
      <c r="CK15">
        <f t="shared" si="1"/>
        <v>1.0278124685265384</v>
      </c>
      <c r="CL15">
        <f t="shared" si="1"/>
        <v>1.042204181222226</v>
      </c>
      <c r="CM15">
        <f t="shared" si="1"/>
        <v>0.99418476191371641</v>
      </c>
      <c r="CN15">
        <f t="shared" si="1"/>
        <v>0.98080196708908629</v>
      </c>
      <c r="CO15">
        <f t="shared" si="1"/>
        <v>0.97876771767428417</v>
      </c>
      <c r="CP15">
        <f t="shared" si="1"/>
        <v>0.95632363951609722</v>
      </c>
      <c r="CQ15">
        <f t="shared" si="1"/>
        <v>1.0109812566636964</v>
      </c>
      <c r="CR15">
        <f t="shared" si="1"/>
        <v>1.0339615143595153</v>
      </c>
      <c r="CS15">
        <f t="shared" si="1"/>
        <v>0.9815222693609662</v>
      </c>
      <c r="CT15">
        <f t="shared" si="1"/>
        <v>0.98460820193075194</v>
      </c>
      <c r="CU15">
        <f t="shared" si="1"/>
        <v>0.97488923219684798</v>
      </c>
      <c r="CV15">
        <f t="shared" si="1"/>
        <v>1.0024057822453272</v>
      </c>
      <c r="CW15">
        <f t="shared" si="1"/>
        <v>1.0413166654492709</v>
      </c>
      <c r="CX15">
        <f t="shared" si="1"/>
        <v>0.99914823258260899</v>
      </c>
      <c r="CY15">
        <f t="shared" si="1"/>
        <v>0.99460923200361051</v>
      </c>
      <c r="CZ15">
        <f t="shared" si="1"/>
        <v>0.99342038923061404</v>
      </c>
      <c r="DA15">
        <f t="shared" si="1"/>
        <v>1.0232649021747406</v>
      </c>
      <c r="DB15">
        <f t="shared" si="1"/>
        <v>1.0091558831260943</v>
      </c>
      <c r="DC15">
        <f t="shared" si="1"/>
        <v>1.0044135354975057</v>
      </c>
      <c r="DD15">
        <f t="shared" si="1"/>
        <v>0.98265830898939632</v>
      </c>
      <c r="DE15">
        <f t="shared" si="1"/>
        <v>0.98769538738864349</v>
      </c>
      <c r="DF15">
        <f t="shared" si="1"/>
        <v>1.0216689858228971</v>
      </c>
      <c r="DG15">
        <f t="shared" si="1"/>
        <v>1.02028660817386</v>
      </c>
      <c r="DH15">
        <f t="shared" si="1"/>
        <v>1.0116416856503043</v>
      </c>
      <c r="DI15">
        <f t="shared" si="1"/>
        <v>1.032792449943585</v>
      </c>
      <c r="DJ15">
        <f t="shared" si="1"/>
        <v>1.0209283270762837</v>
      </c>
      <c r="DK15">
        <f t="shared" si="1"/>
        <v>1.0643590394660476</v>
      </c>
    </row>
    <row r="16" spans="1:129" x14ac:dyDescent="0.4">
      <c r="C16">
        <v>25</v>
      </c>
      <c r="E16">
        <v>0.99628888438084595</v>
      </c>
      <c r="F16">
        <v>1.08247647681716</v>
      </c>
      <c r="G16">
        <v>1.0353784411114699</v>
      </c>
      <c r="H16">
        <v>0.94175666522216095</v>
      </c>
      <c r="I16">
        <v>0.92331557308854495</v>
      </c>
      <c r="J16">
        <v>0.92692722900394198</v>
      </c>
      <c r="K16">
        <v>1.0066114227446099</v>
      </c>
      <c r="L16">
        <v>0.67081588612048904</v>
      </c>
      <c r="M16">
        <v>0.99814780747826104</v>
      </c>
      <c r="N16">
        <v>1.09678209986389</v>
      </c>
      <c r="O16">
        <v>1.0729546491220401</v>
      </c>
      <c r="P16">
        <v>0.89976158615061896</v>
      </c>
      <c r="Q16">
        <v>1.2113788160646799</v>
      </c>
      <c r="R16">
        <v>1.2593249488543199</v>
      </c>
      <c r="S16">
        <v>1.01652975662086</v>
      </c>
      <c r="T16">
        <v>0.978443682228471</v>
      </c>
      <c r="U16">
        <v>1.0337722870291799</v>
      </c>
      <c r="V16">
        <v>1.0505414388952301</v>
      </c>
      <c r="W16">
        <v>0.99277188247652004</v>
      </c>
      <c r="X16">
        <v>0.97339056859322304</v>
      </c>
      <c r="Y16">
        <v>0.98533531927240903</v>
      </c>
      <c r="Z16">
        <v>1.1008836941782201</v>
      </c>
      <c r="AA16">
        <v>0.93071203236287903</v>
      </c>
      <c r="AB16">
        <v>0.98883477877275405</v>
      </c>
      <c r="AC16">
        <v>1.04386488200057</v>
      </c>
      <c r="AD16">
        <v>1.0105386164360299</v>
      </c>
      <c r="AE16">
        <v>0.94051736700993305</v>
      </c>
      <c r="AF16">
        <v>1.0670797297382999</v>
      </c>
      <c r="AG16">
        <v>1.00797107008325</v>
      </c>
      <c r="AH16">
        <v>1.0198764198986601</v>
      </c>
      <c r="AI16">
        <v>1.08323708477708</v>
      </c>
      <c r="AJ16">
        <v>1.10690011999656</v>
      </c>
      <c r="AK16">
        <v>0.95341537406996701</v>
      </c>
      <c r="AL16">
        <v>1.02681192558569</v>
      </c>
      <c r="AM16">
        <v>0.98410850301206398</v>
      </c>
      <c r="AN16">
        <v>0.93207334702440003</v>
      </c>
      <c r="AO16">
        <v>1.0402407210006599</v>
      </c>
      <c r="AP16">
        <v>1.02552582076782</v>
      </c>
      <c r="AQ16">
        <v>0.97583045087525699</v>
      </c>
      <c r="AR16">
        <v>1.0373301479344299</v>
      </c>
      <c r="AS16">
        <v>1.12220141043245</v>
      </c>
      <c r="AT16">
        <v>0.91417381765317196</v>
      </c>
      <c r="AU16">
        <v>0.90356649282101598</v>
      </c>
      <c r="AV16">
        <v>1.05821211649003</v>
      </c>
      <c r="AW16">
        <v>0.96742389894635195</v>
      </c>
      <c r="AX16">
        <v>0.98610707722523105</v>
      </c>
      <c r="AY16">
        <v>1.0727965236219801</v>
      </c>
      <c r="AZ16">
        <v>1.10517252374904</v>
      </c>
      <c r="BA16">
        <v>0.98133616156917303</v>
      </c>
      <c r="BB16">
        <v>0.952246443145218</v>
      </c>
      <c r="BC16">
        <v>0.92644164008158902</v>
      </c>
      <c r="BD16">
        <v>1.00061013524618</v>
      </c>
      <c r="BE16">
        <v>1.00330783806501</v>
      </c>
      <c r="BF16">
        <v>1.05582122282265</v>
      </c>
      <c r="BG16">
        <v>1.0736755770084401</v>
      </c>
      <c r="BH16">
        <v>0.96367523608909</v>
      </c>
      <c r="BI16">
        <v>0.97955745173345599</v>
      </c>
      <c r="BJ16">
        <v>1.06198610503375</v>
      </c>
      <c r="BK16">
        <v>0.99429281685353998</v>
      </c>
      <c r="BL16">
        <v>1.04278423131102</v>
      </c>
      <c r="BM16">
        <v>1.06047906652132</v>
      </c>
      <c r="BN16">
        <v>1.06363823633679</v>
      </c>
      <c r="BO16">
        <v>1.02947551029023</v>
      </c>
      <c r="BP16">
        <v>0.92503392281358698</v>
      </c>
      <c r="BQ16">
        <v>1.0796487413931199</v>
      </c>
      <c r="BR16">
        <v>0.99297151333299005</v>
      </c>
      <c r="BS16">
        <v>1.0475373819207401</v>
      </c>
      <c r="BT16">
        <v>0.99296908068345002</v>
      </c>
      <c r="BU16">
        <v>0.99590843491655801</v>
      </c>
      <c r="BV16">
        <v>0.98358740357725105</v>
      </c>
      <c r="BW16">
        <v>1.0253295862613301</v>
      </c>
      <c r="BX16">
        <v>1.0765470067092999</v>
      </c>
      <c r="BY16">
        <v>1.0529421736339299</v>
      </c>
      <c r="BZ16">
        <v>1.01284657562867</v>
      </c>
      <c r="CA16">
        <v>1.0075259462135</v>
      </c>
      <c r="CB16">
        <v>0.96593181633116698</v>
      </c>
      <c r="CC16">
        <v>1.06657034701812</v>
      </c>
      <c r="CD16">
        <v>1.02046548318051</v>
      </c>
      <c r="CE16">
        <v>1.0064730534617099</v>
      </c>
      <c r="CF16">
        <v>1.00040452387509</v>
      </c>
      <c r="CG16">
        <v>0.96764195970324296</v>
      </c>
      <c r="CH16">
        <v>0.94712192423823005</v>
      </c>
      <c r="CI16">
        <v>1.0117074869224101</v>
      </c>
      <c r="CJ16">
        <v>1.07746872741851</v>
      </c>
      <c r="CK16">
        <v>1.0586122134359801</v>
      </c>
      <c r="CL16">
        <v>1.0695642760959301</v>
      </c>
      <c r="CM16">
        <v>0.98107295370342895</v>
      </c>
      <c r="CN16">
        <v>0.97472490799098499</v>
      </c>
      <c r="CO16">
        <v>1.0037972191522799</v>
      </c>
      <c r="CP16">
        <v>0.97343208984623297</v>
      </c>
      <c r="CQ16">
        <v>1.02392756183569</v>
      </c>
      <c r="CR16">
        <v>1.0196460104465499</v>
      </c>
      <c r="CS16">
        <v>0.97126497278674795</v>
      </c>
      <c r="CT16">
        <v>0.97892518208165502</v>
      </c>
      <c r="CU16">
        <v>0.95937418595084101</v>
      </c>
      <c r="CV16">
        <v>1.0268022440228799</v>
      </c>
      <c r="CW16">
        <v>1.09114283077381</v>
      </c>
      <c r="CX16">
        <v>1.0380409580370999</v>
      </c>
      <c r="CY16">
        <v>0.94687255772008105</v>
      </c>
      <c r="CZ16">
        <v>0.97702056110034696</v>
      </c>
      <c r="DA16">
        <v>1.06644573034543</v>
      </c>
      <c r="DB16">
        <v>0.97292736924887802</v>
      </c>
      <c r="DC16">
        <v>0.99466720885047399</v>
      </c>
      <c r="DD16">
        <v>0.98020658741521705</v>
      </c>
      <c r="DE16">
        <v>0.99682533833311604</v>
      </c>
      <c r="DF16">
        <v>1.0045196976920201</v>
      </c>
      <c r="DG16">
        <v>0.97314902100965806</v>
      </c>
      <c r="DH16">
        <v>1.0051827785934999</v>
      </c>
      <c r="DI16">
        <v>1.01717127729204</v>
      </c>
      <c r="DJ16">
        <v>1.0328965259845</v>
      </c>
      <c r="DK16">
        <v>1.05290297618272</v>
      </c>
    </row>
    <row r="17" spans="3:115" x14ac:dyDescent="0.4">
      <c r="C17">
        <v>50</v>
      </c>
      <c r="E17">
        <v>0.979809809334519</v>
      </c>
      <c r="F17">
        <v>1.08419443563911</v>
      </c>
      <c r="G17">
        <v>1.0544669644892499</v>
      </c>
      <c r="H17">
        <v>0.94292241473176697</v>
      </c>
      <c r="I17">
        <v>0.926865953033016</v>
      </c>
      <c r="J17">
        <v>0.92571864572190998</v>
      </c>
      <c r="K17">
        <v>0.97140768274839095</v>
      </c>
      <c r="L17">
        <v>0.66992498236841502</v>
      </c>
      <c r="M17">
        <v>1.00250531306796</v>
      </c>
      <c r="N17">
        <v>1.0825880846229099</v>
      </c>
      <c r="O17">
        <v>1.0759477490277201</v>
      </c>
      <c r="P17">
        <v>0.89873521075705698</v>
      </c>
      <c r="Q17">
        <v>1.1745992973941399</v>
      </c>
      <c r="R17">
        <v>1.2241324770923501</v>
      </c>
      <c r="S17">
        <v>1.0028648464029899</v>
      </c>
      <c r="T17">
        <v>0.98594805972955502</v>
      </c>
      <c r="U17">
        <v>1.06745800832539</v>
      </c>
      <c r="V17">
        <v>1.04000586026389</v>
      </c>
      <c r="W17">
        <v>1.0069032854920901</v>
      </c>
      <c r="X17">
        <v>0.95940272183833897</v>
      </c>
      <c r="Y17">
        <v>0.97704742284532897</v>
      </c>
      <c r="Z17">
        <v>1.0763124275051501</v>
      </c>
      <c r="AA17">
        <v>0.92256714354056901</v>
      </c>
      <c r="AB17">
        <v>0.98825890866089094</v>
      </c>
      <c r="AC17">
        <v>1.0459295103612201</v>
      </c>
      <c r="AD17">
        <v>1.0089238908982301</v>
      </c>
      <c r="AE17">
        <v>0.94996318767778998</v>
      </c>
      <c r="AF17">
        <v>1.0661704243827601</v>
      </c>
      <c r="AG17">
        <v>1.01757532497486</v>
      </c>
      <c r="AH17">
        <v>1.00403086164197</v>
      </c>
      <c r="AI17">
        <v>1.0763876965172099</v>
      </c>
      <c r="AJ17">
        <v>1.0840534220528999</v>
      </c>
      <c r="AK17">
        <v>0.956962650084491</v>
      </c>
      <c r="AL17">
        <v>1.0370953755832399</v>
      </c>
      <c r="AM17">
        <v>0.98088501399261296</v>
      </c>
      <c r="AN17">
        <v>0.92791195687218098</v>
      </c>
      <c r="AO17">
        <v>1.0374852048782099</v>
      </c>
      <c r="AP17">
        <v>1.0185008919273899</v>
      </c>
      <c r="AQ17">
        <v>0.98423871628488702</v>
      </c>
      <c r="AR17">
        <v>1.03131368662659</v>
      </c>
      <c r="AS17">
        <v>1.10390792279267</v>
      </c>
      <c r="AT17">
        <v>0.91535187373673699</v>
      </c>
      <c r="AU17">
        <v>0.90499710772522002</v>
      </c>
      <c r="AV17">
        <v>1.0542154351341</v>
      </c>
      <c r="AW17">
        <v>0.97708211541593404</v>
      </c>
      <c r="AX17">
        <v>1.0467144011929399</v>
      </c>
      <c r="AY17">
        <v>1.0840867758317601</v>
      </c>
      <c r="AZ17">
        <v>1.05728052775433</v>
      </c>
      <c r="BA17">
        <v>0.96756468119555294</v>
      </c>
      <c r="BB17">
        <v>0.95653998222521097</v>
      </c>
      <c r="BC17">
        <v>0.93222616080060505</v>
      </c>
      <c r="BD17">
        <v>1.0178186137087299</v>
      </c>
      <c r="BE17">
        <v>0.99827841737157996</v>
      </c>
      <c r="BF17">
        <v>1.04607289921291</v>
      </c>
      <c r="BG17">
        <v>1.07463105602849</v>
      </c>
      <c r="BH17">
        <v>0.98457817852456697</v>
      </c>
      <c r="BI17">
        <v>1.0092076925261699</v>
      </c>
      <c r="BJ17">
        <v>1.0566832694270001</v>
      </c>
      <c r="BK17">
        <v>1.01296160350269</v>
      </c>
      <c r="BL17">
        <v>1.0310841918051401</v>
      </c>
      <c r="BM17">
        <v>1.05826177755475</v>
      </c>
      <c r="BN17">
        <v>1.05090852768846</v>
      </c>
      <c r="BO17">
        <v>1.0209720983611501</v>
      </c>
      <c r="BP17">
        <v>0.94592840212368201</v>
      </c>
      <c r="BQ17">
        <v>1.0656264708302099</v>
      </c>
      <c r="BR17">
        <v>0.98523814219658001</v>
      </c>
      <c r="BS17">
        <v>1.0363893134622499</v>
      </c>
      <c r="BT17">
        <v>0.99260880123665496</v>
      </c>
      <c r="BU17">
        <v>0.99501412111079701</v>
      </c>
      <c r="BV17">
        <v>0.97302473767263198</v>
      </c>
      <c r="BW17">
        <v>0.99041311697495305</v>
      </c>
      <c r="BX17">
        <v>1.07540054064613</v>
      </c>
      <c r="BY17">
        <v>1.05201273814638</v>
      </c>
      <c r="BZ17">
        <v>1.0131234000713001</v>
      </c>
      <c r="CA17">
        <v>1.0085989575412799</v>
      </c>
      <c r="CB17">
        <v>1.02671357907542</v>
      </c>
      <c r="CC17">
        <v>1.07581401110789</v>
      </c>
      <c r="CD17">
        <v>1.02410168891037</v>
      </c>
      <c r="CE17">
        <v>1.0058377882148</v>
      </c>
      <c r="CF17">
        <v>0.99586383227494901</v>
      </c>
      <c r="CG17">
        <v>0.97425841211702002</v>
      </c>
      <c r="CH17">
        <v>0.96442449568191702</v>
      </c>
      <c r="CI17">
        <v>1.0006894930107</v>
      </c>
      <c r="CJ17">
        <v>1.0753212205756899</v>
      </c>
      <c r="CK17">
        <v>1.0410430708269101</v>
      </c>
      <c r="CL17">
        <v>1.0697335561421399</v>
      </c>
      <c r="CM17">
        <v>1.0051428090241601</v>
      </c>
      <c r="CN17">
        <v>1.0005945794441999</v>
      </c>
      <c r="CO17">
        <v>1.00891914679837</v>
      </c>
      <c r="CP17">
        <v>0.96104546378422095</v>
      </c>
      <c r="CQ17">
        <v>1.0238674747127501</v>
      </c>
      <c r="CR17">
        <v>1.0008235723900001</v>
      </c>
      <c r="CS17">
        <v>0.96752447765725702</v>
      </c>
      <c r="CT17">
        <v>0.98295552871914105</v>
      </c>
      <c r="CU17">
        <v>0.942321126283439</v>
      </c>
      <c r="CV17">
        <v>1.0256658428388199</v>
      </c>
      <c r="CW17">
        <v>1.0879128242785601</v>
      </c>
      <c r="CX17">
        <v>1.03797736915563</v>
      </c>
      <c r="CY17">
        <v>0.93840287841593795</v>
      </c>
      <c r="CZ17">
        <v>0.97587663722203399</v>
      </c>
      <c r="DA17">
        <v>1.06114994526321</v>
      </c>
      <c r="DB17">
        <v>0.98618709587558695</v>
      </c>
      <c r="DC17">
        <v>1.0003190421413499</v>
      </c>
      <c r="DD17">
        <v>0.98751651148011299</v>
      </c>
      <c r="DE17">
        <v>1.00270975900027</v>
      </c>
      <c r="DF17">
        <v>1.01048818829514</v>
      </c>
      <c r="DG17">
        <v>0.98943883319584602</v>
      </c>
      <c r="DH17">
        <v>1.0177211922980001</v>
      </c>
      <c r="DI17">
        <v>1.0150700219368101</v>
      </c>
      <c r="DJ17">
        <v>1.03272474580411</v>
      </c>
      <c r="DK17">
        <v>1.04853563836328</v>
      </c>
    </row>
    <row r="18" spans="3:115" x14ac:dyDescent="0.4">
      <c r="C18">
        <v>75</v>
      </c>
      <c r="E18">
        <v>0.98178749676487498</v>
      </c>
      <c r="F18">
        <v>1.07079122916543</v>
      </c>
      <c r="G18">
        <v>1.0589830485512799</v>
      </c>
      <c r="H18">
        <v>0.94460452632985903</v>
      </c>
      <c r="I18">
        <v>0.93234709079422395</v>
      </c>
      <c r="J18">
        <v>0.92706916448446697</v>
      </c>
      <c r="K18">
        <v>0.96268276487207805</v>
      </c>
      <c r="L18">
        <v>0.67055209313018105</v>
      </c>
      <c r="M18">
        <v>0.99205430277871998</v>
      </c>
      <c r="N18">
        <v>1.08223127181667</v>
      </c>
      <c r="O18">
        <v>1.0666066195533599</v>
      </c>
      <c r="P18">
        <v>0.91860830531549498</v>
      </c>
      <c r="Q18">
        <v>1.1601685740318799</v>
      </c>
      <c r="R18">
        <v>1.20981461334898</v>
      </c>
      <c r="S18">
        <v>1.0080711976941299</v>
      </c>
      <c r="T18">
        <v>0.97891503409203495</v>
      </c>
      <c r="U18">
        <v>1.0545373354957699</v>
      </c>
      <c r="V18">
        <v>1.03066276093708</v>
      </c>
      <c r="W18">
        <v>1.0048717924572701</v>
      </c>
      <c r="X18">
        <v>0.96954501303567497</v>
      </c>
      <c r="Y18">
        <v>0.98100595891874298</v>
      </c>
      <c r="Z18">
        <v>1.07279919014836</v>
      </c>
      <c r="AA18">
        <v>0.92294816051873496</v>
      </c>
      <c r="AB18">
        <v>0.98976017528865401</v>
      </c>
      <c r="AC18">
        <v>1.0380503932421801</v>
      </c>
      <c r="AD18">
        <v>1.0050249938448099</v>
      </c>
      <c r="AE18">
        <v>0.94590152176782805</v>
      </c>
      <c r="AF18">
        <v>1.0526099422283599</v>
      </c>
      <c r="AG18">
        <v>1.0145138660627</v>
      </c>
      <c r="AH18">
        <v>1.0096876072868499</v>
      </c>
      <c r="AI18">
        <v>1.07568528301094</v>
      </c>
      <c r="AJ18">
        <v>1.08189228320999</v>
      </c>
      <c r="AK18">
        <v>0.95058800100556295</v>
      </c>
      <c r="AL18">
        <v>1.0327722043862999</v>
      </c>
      <c r="AM18">
        <v>0.99781422232833805</v>
      </c>
      <c r="AN18">
        <v>0.93521187287176999</v>
      </c>
      <c r="AO18">
        <v>1.0465289195902601</v>
      </c>
      <c r="AP18">
        <v>1.0193131453592299</v>
      </c>
      <c r="AQ18">
        <v>0.97468111407712399</v>
      </c>
      <c r="AR18">
        <v>1.0243561482694401</v>
      </c>
      <c r="AS18">
        <v>1.08631477465959</v>
      </c>
      <c r="AT18">
        <v>0.91127876027308896</v>
      </c>
      <c r="AU18">
        <v>0.89542153163211402</v>
      </c>
      <c r="AV18">
        <v>1.0505290162344001</v>
      </c>
      <c r="AW18">
        <v>0.97263205213387705</v>
      </c>
      <c r="AX18">
        <v>1.03566455218173</v>
      </c>
      <c r="AY18">
        <v>1.07717691684149</v>
      </c>
      <c r="AZ18">
        <v>1.06120341819041</v>
      </c>
      <c r="BA18">
        <v>0.96007044122823304</v>
      </c>
      <c r="BB18">
        <v>0.94665688164886796</v>
      </c>
      <c r="BC18">
        <v>0.935344892810267</v>
      </c>
      <c r="BD18">
        <v>1.0181829100425801</v>
      </c>
      <c r="BE18">
        <v>0.99687022092107702</v>
      </c>
      <c r="BF18">
        <v>1.04102753050178</v>
      </c>
      <c r="BG18">
        <v>1.0708302910043901</v>
      </c>
      <c r="BH18">
        <v>0.99261479651364504</v>
      </c>
      <c r="BI18">
        <v>1.0187301561686699</v>
      </c>
      <c r="BJ18">
        <v>1.04552263467379</v>
      </c>
      <c r="BK18">
        <v>1.0182407674553</v>
      </c>
      <c r="BL18">
        <v>1.02693966445995</v>
      </c>
      <c r="BM18">
        <v>1.0543300503019599</v>
      </c>
      <c r="BN18">
        <v>1.0691226218888801</v>
      </c>
      <c r="BO18">
        <v>1.0115481440015399</v>
      </c>
      <c r="BP18">
        <v>0.94399078633211697</v>
      </c>
      <c r="BQ18">
        <v>1.0561065615503999</v>
      </c>
      <c r="BR18">
        <v>0.98528367949200801</v>
      </c>
      <c r="BS18">
        <v>1.0399559457662899</v>
      </c>
      <c r="BT18">
        <v>0.99388391380239005</v>
      </c>
      <c r="BU18">
        <v>0.99328310470089598</v>
      </c>
      <c r="BV18">
        <v>0.98394434635669603</v>
      </c>
      <c r="BW18">
        <v>0.98819213490737801</v>
      </c>
      <c r="BX18">
        <v>1.0638568901860399</v>
      </c>
      <c r="BY18">
        <v>1.0472788686288099</v>
      </c>
      <c r="BZ18">
        <v>1.0112466355269301</v>
      </c>
      <c r="CA18">
        <v>0.99939223948763101</v>
      </c>
      <c r="CB18">
        <v>1.01226040258443</v>
      </c>
      <c r="CC18">
        <v>1.09052702749839</v>
      </c>
      <c r="CD18">
        <v>1.0335632980843501</v>
      </c>
      <c r="CE18">
        <v>1.0005505032967701</v>
      </c>
      <c r="CF18">
        <v>0.97170522867414899</v>
      </c>
      <c r="CG18">
        <v>0.98174764807195303</v>
      </c>
      <c r="CH18">
        <v>0.96787423554989704</v>
      </c>
      <c r="CI18">
        <v>1.00381543644223</v>
      </c>
      <c r="CJ18">
        <v>1.0812990375508</v>
      </c>
      <c r="CK18">
        <v>1.03595231273706</v>
      </c>
      <c r="CL18">
        <v>1.06030370425764</v>
      </c>
      <c r="CM18">
        <v>0.99568430616993697</v>
      </c>
      <c r="CN18">
        <v>0.97906999071748502</v>
      </c>
      <c r="CO18">
        <v>0.99940016079703398</v>
      </c>
      <c r="CP18">
        <v>0.96079731525304701</v>
      </c>
      <c r="CQ18">
        <v>1.0217441529701801</v>
      </c>
      <c r="CR18">
        <v>0.99746333698343903</v>
      </c>
      <c r="CS18">
        <v>0.96921984887288604</v>
      </c>
      <c r="CT18">
        <v>0.98801277357834105</v>
      </c>
      <c r="CU18">
        <v>0.948775538110459</v>
      </c>
      <c r="CV18">
        <v>1.03530939853485</v>
      </c>
      <c r="CW18">
        <v>1.0768242759234701</v>
      </c>
      <c r="CX18">
        <v>1.0412336120310901</v>
      </c>
      <c r="CY18">
        <v>0.94397790731237496</v>
      </c>
      <c r="CZ18">
        <v>0.97588342202935396</v>
      </c>
      <c r="DA18">
        <v>1.0589008836698801</v>
      </c>
      <c r="DB18">
        <v>0.99374402915420501</v>
      </c>
      <c r="DC18">
        <v>1.0032547134613301</v>
      </c>
      <c r="DD18">
        <v>0.99127560176729701</v>
      </c>
      <c r="DE18">
        <v>1.00447603329784</v>
      </c>
      <c r="DF18">
        <v>1.0173144940483101</v>
      </c>
      <c r="DG18">
        <v>0.99661087807483895</v>
      </c>
      <c r="DH18">
        <v>1.0177614476104899</v>
      </c>
      <c r="DI18">
        <v>1.0176648487076301</v>
      </c>
      <c r="DJ18">
        <v>1.0243130050585301</v>
      </c>
      <c r="DK18">
        <v>1.04473600443729</v>
      </c>
    </row>
    <row r="19" spans="3:115" x14ac:dyDescent="0.4">
      <c r="C19">
        <v>100</v>
      </c>
      <c r="E19">
        <v>0.97711197214797596</v>
      </c>
      <c r="F19">
        <v>1.05956926864998</v>
      </c>
      <c r="G19">
        <v>1.0477585572448</v>
      </c>
      <c r="H19">
        <v>0.946134479881232</v>
      </c>
      <c r="I19">
        <v>0.93374959403228297</v>
      </c>
      <c r="J19">
        <v>0.93894677228346801</v>
      </c>
      <c r="K19">
        <v>0.95546958018702499</v>
      </c>
      <c r="L19">
        <v>0.67256480027089105</v>
      </c>
      <c r="M19">
        <v>0.99238354053302402</v>
      </c>
      <c r="N19">
        <v>1.08237970519773</v>
      </c>
      <c r="O19">
        <v>1.06282477581757</v>
      </c>
      <c r="P19">
        <v>0.91907813348743295</v>
      </c>
      <c r="Q19">
        <v>1.1672180851151299</v>
      </c>
      <c r="R19">
        <v>1.21764536685918</v>
      </c>
      <c r="S19">
        <v>1.0075774228427401</v>
      </c>
      <c r="T19">
        <v>0.97546841899244396</v>
      </c>
      <c r="U19">
        <v>1.0579493423217099</v>
      </c>
      <c r="V19">
        <v>1.0261221033052199</v>
      </c>
      <c r="W19">
        <v>1.0080074146653</v>
      </c>
      <c r="X19">
        <v>0.96749922869137395</v>
      </c>
      <c r="Y19">
        <v>0.97259310991343595</v>
      </c>
      <c r="Z19">
        <v>1.0816316528418399</v>
      </c>
      <c r="AA19">
        <v>0.92994057252934703</v>
      </c>
      <c r="AB19">
        <v>0.99088106252408503</v>
      </c>
      <c r="AC19">
        <v>1.04079662113576</v>
      </c>
      <c r="AD19">
        <v>1.0027706964579</v>
      </c>
      <c r="AE19">
        <v>0.95179228857768206</v>
      </c>
      <c r="AF19">
        <v>1.0527552936817901</v>
      </c>
      <c r="AG19">
        <v>1.01545624678047</v>
      </c>
      <c r="AH19">
        <v>1.00788211388367</v>
      </c>
      <c r="AI19">
        <v>1.07616604512013</v>
      </c>
      <c r="AJ19">
        <v>1.0763534259591601</v>
      </c>
      <c r="AK19">
        <v>0.97672778049197795</v>
      </c>
      <c r="AL19">
        <v>1.0379547102067599</v>
      </c>
      <c r="AM19">
        <v>0.987586209638037</v>
      </c>
      <c r="AN19">
        <v>0.93262347536057999</v>
      </c>
      <c r="AO19">
        <v>1.0514036577055501</v>
      </c>
      <c r="AP19">
        <v>1.02159482675491</v>
      </c>
      <c r="AQ19">
        <v>0.97880747304349403</v>
      </c>
      <c r="AR19">
        <v>1.01888160410744</v>
      </c>
      <c r="AS19">
        <v>1.0852383499290601</v>
      </c>
      <c r="AT19">
        <v>0.90514693885195396</v>
      </c>
      <c r="AU19">
        <v>0.88618963974485399</v>
      </c>
      <c r="AV19">
        <v>1.0533170392259901</v>
      </c>
      <c r="AW19">
        <v>0.97200685712481905</v>
      </c>
      <c r="AX19">
        <v>1.03300532364236</v>
      </c>
      <c r="AY19">
        <v>1.0736974438643301</v>
      </c>
      <c r="AZ19">
        <v>1.05603225552963</v>
      </c>
      <c r="BA19">
        <v>0.96480043868564302</v>
      </c>
      <c r="BB19">
        <v>0.94668951037617199</v>
      </c>
      <c r="BC19">
        <v>0.93209156540510396</v>
      </c>
      <c r="BD19">
        <v>1.0246796052981499</v>
      </c>
      <c r="BE19">
        <v>0.99590485209131496</v>
      </c>
      <c r="BF19">
        <v>1.0466012731915899</v>
      </c>
      <c r="BG19">
        <v>1.0645340054688599</v>
      </c>
      <c r="BH19">
        <v>0.99018259119133101</v>
      </c>
      <c r="BI19">
        <v>1.01282644444353</v>
      </c>
      <c r="BJ19">
        <v>1.0390019805345201</v>
      </c>
      <c r="BK19">
        <v>1.0179725168617</v>
      </c>
      <c r="BL19">
        <v>1.02667430038867</v>
      </c>
      <c r="BM19">
        <v>1.0524177429842501</v>
      </c>
      <c r="BN19">
        <v>1.0662955289817</v>
      </c>
      <c r="BO19">
        <v>1.01247515548189</v>
      </c>
      <c r="BP19">
        <v>0.94574188861846298</v>
      </c>
      <c r="BQ19">
        <v>1.05085579246157</v>
      </c>
      <c r="BR19">
        <v>0.98507637667965997</v>
      </c>
      <c r="BS19">
        <v>1.0365169994349599</v>
      </c>
      <c r="BT19">
        <v>0.99666866443403301</v>
      </c>
      <c r="BU19">
        <v>0.98831040286141303</v>
      </c>
      <c r="BV19">
        <v>0.98731498007989504</v>
      </c>
      <c r="BW19">
        <v>0.98805913559245495</v>
      </c>
      <c r="BX19">
        <v>1.05930781928727</v>
      </c>
      <c r="BY19">
        <v>1.03971163582446</v>
      </c>
      <c r="BZ19">
        <v>1.0145950242069199</v>
      </c>
      <c r="CA19">
        <v>1.00249049975988</v>
      </c>
      <c r="CB19">
        <v>1.0092140444137101</v>
      </c>
      <c r="CC19">
        <v>1.0777075470428601</v>
      </c>
      <c r="CD19">
        <v>1.0314391677772801</v>
      </c>
      <c r="CE19">
        <v>1.00176488696827</v>
      </c>
      <c r="CF19">
        <v>0.966329863669117</v>
      </c>
      <c r="CG19">
        <v>0.98250028972268799</v>
      </c>
      <c r="CH19">
        <v>0.97063805485681398</v>
      </c>
      <c r="CI19">
        <v>1.0124504577910101</v>
      </c>
      <c r="CJ19">
        <v>1.0719908019823099</v>
      </c>
      <c r="CK19">
        <v>1.05007435940546</v>
      </c>
      <c r="CL19">
        <v>1.0654842006556799</v>
      </c>
      <c r="CM19">
        <v>0.99915833441756696</v>
      </c>
      <c r="CN19">
        <v>0.98558738978873395</v>
      </c>
      <c r="CO19">
        <v>0.986445977672889</v>
      </c>
      <c r="CP19">
        <v>0.95723355368247698</v>
      </c>
      <c r="CQ19">
        <v>1.02739203767184</v>
      </c>
      <c r="CR19">
        <v>0.99385923556248001</v>
      </c>
      <c r="CS19">
        <v>0.96899226359328405</v>
      </c>
      <c r="CT19">
        <v>0.99005106260727904</v>
      </c>
      <c r="CU19">
        <v>0.94816066217217099</v>
      </c>
      <c r="CV19">
        <v>1.0390329678129799</v>
      </c>
      <c r="CW19">
        <v>1.0760335076663099</v>
      </c>
      <c r="CX19">
        <v>1.03573454175593</v>
      </c>
      <c r="CY19">
        <v>0.94967527406218799</v>
      </c>
      <c r="CZ19">
        <v>0.97817565402595996</v>
      </c>
      <c r="DA19">
        <v>1.0525713685529301</v>
      </c>
      <c r="DB19">
        <v>0.98860849067140599</v>
      </c>
      <c r="DC19">
        <v>1.00425696166264</v>
      </c>
      <c r="DD19">
        <v>0.99372020691561702</v>
      </c>
      <c r="DE19">
        <v>1.00208191616231</v>
      </c>
      <c r="DF19">
        <v>1.0169961865299799</v>
      </c>
      <c r="DG19">
        <v>0.99666494655970295</v>
      </c>
      <c r="DH19">
        <v>1.0164483869332499</v>
      </c>
      <c r="DI19">
        <v>1.0215267106238199</v>
      </c>
      <c r="DJ19">
        <v>1.02421136337143</v>
      </c>
      <c r="DK19">
        <v>1.04565363860248</v>
      </c>
    </row>
    <row r="20" spans="3:115" x14ac:dyDescent="0.4">
      <c r="C20" t="s">
        <v>90</v>
      </c>
      <c r="D20" s="7" t="s">
        <v>89</v>
      </c>
      <c r="E20">
        <f ca="1">PRODUCT(OFFSET(E15,0,0,1,12))</f>
        <v>0.6210665918837126</v>
      </c>
      <c r="F20">
        <f t="shared" ref="F20:BQ20" ca="1" si="2">PRODUCT(OFFSET(F15,0,0,1,12))</f>
        <v>0.70790321539445655</v>
      </c>
      <c r="G20">
        <f t="shared" ca="1" si="2"/>
        <v>0.75014105956274268</v>
      </c>
      <c r="H20">
        <f t="shared" ca="1" si="2"/>
        <v>0.75371216293560561</v>
      </c>
      <c r="I20">
        <f t="shared" ca="1" si="2"/>
        <v>0.82993217586511614</v>
      </c>
      <c r="J20">
        <f t="shared" ca="1" si="2"/>
        <v>0.97655941354637643</v>
      </c>
      <c r="K20">
        <f t="shared" ca="1" si="2"/>
        <v>1.079776698502279</v>
      </c>
      <c r="L20">
        <f t="shared" ca="1" si="2"/>
        <v>1.1554355482507634</v>
      </c>
      <c r="M20">
        <f t="shared" ca="1" si="2"/>
        <v>1.4201300918189499</v>
      </c>
      <c r="N20">
        <f t="shared" ca="1" si="2"/>
        <v>1.4456308604458818</v>
      </c>
      <c r="O20">
        <f t="shared" ca="1" si="2"/>
        <v>1.4965005736035641</v>
      </c>
      <c r="P20">
        <f t="shared" ca="1" si="2"/>
        <v>1.378897006307493</v>
      </c>
      <c r="Q20">
        <f t="shared" ca="1" si="2"/>
        <v>1.5000329247528295</v>
      </c>
      <c r="R20">
        <f t="shared" ca="1" si="2"/>
        <v>1.4033873294314663</v>
      </c>
      <c r="S20">
        <f t="shared" ca="1" si="2"/>
        <v>1.2718058070923643</v>
      </c>
      <c r="T20">
        <f t="shared" ca="1" si="2"/>
        <v>1.1757731626417554</v>
      </c>
      <c r="U20">
        <f t="shared" ca="1" si="2"/>
        <v>1.2217298409432622</v>
      </c>
      <c r="V20">
        <f t="shared" ca="1" si="2"/>
        <v>1.1297381990509157</v>
      </c>
      <c r="W20">
        <f t="shared" ca="1" si="2"/>
        <v>1.0947953638847887</v>
      </c>
      <c r="X20">
        <f t="shared" ca="1" si="2"/>
        <v>1.1193384893075298</v>
      </c>
      <c r="Y20">
        <f t="shared" ca="1" si="2"/>
        <v>1.1912202898734099</v>
      </c>
      <c r="Z20">
        <f t="shared" ca="1" si="2"/>
        <v>1.2243700179994863</v>
      </c>
      <c r="AA20">
        <f t="shared" ca="1" si="2"/>
        <v>1.218823725167433</v>
      </c>
      <c r="AB20">
        <f t="shared" ca="1" si="2"/>
        <v>1.2916196027283564</v>
      </c>
      <c r="AC20">
        <f t="shared" ca="1" si="2"/>
        <v>1.2161823176008733</v>
      </c>
      <c r="AD20">
        <f t="shared" ca="1" si="2"/>
        <v>1.2444693859467766</v>
      </c>
      <c r="AE20">
        <f t="shared" ca="1" si="2"/>
        <v>1.2588483888008457</v>
      </c>
      <c r="AF20">
        <f t="shared" ca="1" si="2"/>
        <v>1.3053891850723538</v>
      </c>
      <c r="AG20">
        <f t="shared" ca="1" si="2"/>
        <v>1.236944220362836</v>
      </c>
      <c r="AH20">
        <f t="shared" ca="1" si="2"/>
        <v>1.2125127179096593</v>
      </c>
      <c r="AI20">
        <f t="shared" ca="1" si="2"/>
        <v>1.0788179601204992</v>
      </c>
      <c r="AJ20">
        <f t="shared" ca="1" si="2"/>
        <v>0.94491699638511151</v>
      </c>
      <c r="AK20">
        <f t="shared" ca="1" si="2"/>
        <v>1.0138506067606681</v>
      </c>
      <c r="AL20">
        <f t="shared" ca="1" si="2"/>
        <v>0.9700099231871806</v>
      </c>
      <c r="AM20">
        <f t="shared" ca="1" si="2"/>
        <v>0.89017064846416394</v>
      </c>
      <c r="AN20">
        <f t="shared" ca="1" si="2"/>
        <v>0.94494934121842011</v>
      </c>
      <c r="AO20">
        <f t="shared" ca="1" si="2"/>
        <v>1.0468983653895736</v>
      </c>
      <c r="AP20">
        <f t="shared" ca="1" si="2"/>
        <v>0.95601651872596982</v>
      </c>
      <c r="AQ20">
        <f t="shared" ca="1" si="2"/>
        <v>0.9040440438614098</v>
      </c>
      <c r="AR20">
        <f t="shared" ca="1" si="2"/>
        <v>0.86044145308919162</v>
      </c>
      <c r="AS20">
        <f t="shared" ca="1" si="2"/>
        <v>0.8825719168463696</v>
      </c>
      <c r="AT20">
        <f t="shared" ca="1" si="2"/>
        <v>0.88223381664252487</v>
      </c>
      <c r="AU20">
        <f t="shared" ca="1" si="2"/>
        <v>1.0133024131566772</v>
      </c>
      <c r="AV20">
        <f t="shared" ca="1" si="2"/>
        <v>1.1280253157404003</v>
      </c>
      <c r="AW20">
        <f t="shared" ca="1" si="2"/>
        <v>1.0015871934961738</v>
      </c>
      <c r="AX20">
        <f t="shared" ca="1" si="2"/>
        <v>1.0462189649853049</v>
      </c>
      <c r="AY20">
        <f t="shared" ca="1" si="2"/>
        <v>1.0938304468325175</v>
      </c>
      <c r="AZ20">
        <f t="shared" ca="1" si="2"/>
        <v>1.0031445093798412</v>
      </c>
      <c r="BA20">
        <f t="shared" ca="1" si="2"/>
        <v>0.99814801132865427</v>
      </c>
      <c r="BB20">
        <f t="shared" ca="1" si="2"/>
        <v>0.99545689261385084</v>
      </c>
      <c r="BC20">
        <f t="shared" ca="1" si="2"/>
        <v>0.99089803682157829</v>
      </c>
      <c r="BD20">
        <f t="shared" ca="1" si="2"/>
        <v>1.0854801000287502</v>
      </c>
      <c r="BE20">
        <f t="shared" ca="1" si="2"/>
        <v>1.0050215478880906</v>
      </c>
      <c r="BF20">
        <f t="shared" ca="1" si="2"/>
        <v>1.0170245325426803</v>
      </c>
      <c r="BG20">
        <f t="shared" ca="1" si="2"/>
        <v>1.0111489040060466</v>
      </c>
      <c r="BH20">
        <f t="shared" ca="1" si="2"/>
        <v>1.000375711974191</v>
      </c>
      <c r="BI20">
        <f t="shared" ca="1" si="2"/>
        <v>1.0617292344382496</v>
      </c>
      <c r="BJ20">
        <f t="shared" ca="1" si="2"/>
        <v>1.0579285012157891</v>
      </c>
      <c r="BK20">
        <f t="shared" ca="1" si="2"/>
        <v>1.007155554442803</v>
      </c>
      <c r="BL20">
        <f t="shared" ca="1" si="2"/>
        <v>0.98940334566806309</v>
      </c>
      <c r="BM20">
        <f t="shared" ca="1" si="2"/>
        <v>0.97705392081875542</v>
      </c>
      <c r="BN20">
        <f t="shared" ca="1" si="2"/>
        <v>0.99038351231239619</v>
      </c>
      <c r="BO20">
        <f t="shared" ca="1" si="2"/>
        <v>0.99890017566638645</v>
      </c>
      <c r="BP20">
        <f t="shared" ca="1" si="2"/>
        <v>0.99695659778616263</v>
      </c>
      <c r="BQ20">
        <f t="shared" ca="1" si="2"/>
        <v>1.074538994912307</v>
      </c>
      <c r="BR20">
        <f t="shared" ref="BR20:CZ20" ca="1" si="3">PRODUCT(OFFSET(BR15,0,0,1,12))</f>
        <v>1.0846851930220525</v>
      </c>
      <c r="BS20">
        <f t="shared" ca="1" si="3"/>
        <v>1.0738075956726678</v>
      </c>
      <c r="BT20">
        <f t="shared" ca="1" si="3"/>
        <v>1.0115826055604518</v>
      </c>
      <c r="BU20">
        <f t="shared" ca="1" si="3"/>
        <v>0.96765660635735351</v>
      </c>
      <c r="BV20">
        <f t="shared" ca="1" si="3"/>
        <v>0.96865815430809799</v>
      </c>
      <c r="BW20">
        <f t="shared" ca="1" si="3"/>
        <v>0.95239492079906929</v>
      </c>
      <c r="BX20">
        <f t="shared" ca="1" si="3"/>
        <v>1.0041779357597302</v>
      </c>
      <c r="BY20">
        <f t="shared" ca="1" si="3"/>
        <v>1.0029343582543346</v>
      </c>
      <c r="BZ20">
        <f t="shared" ca="1" si="3"/>
        <v>1.0279108183379415</v>
      </c>
      <c r="CA20">
        <f t="shared" ca="1" si="3"/>
        <v>1.0843005622416266</v>
      </c>
      <c r="CB20">
        <f t="shared" ca="1" si="3"/>
        <v>1.0600713798772905</v>
      </c>
      <c r="CC20">
        <f t="shared" ca="1" si="3"/>
        <v>1.0359552694272824</v>
      </c>
      <c r="CD20">
        <f t="shared" ca="1" si="3"/>
        <v>0.9778625512976129</v>
      </c>
      <c r="CE20">
        <f t="shared" ca="1" si="3"/>
        <v>0.9385798679261701</v>
      </c>
      <c r="CF20">
        <f t="shared" ca="1" si="3"/>
        <v>0.97164482770569627</v>
      </c>
      <c r="CG20">
        <f t="shared" ca="1" si="3"/>
        <v>1.033108840732426</v>
      </c>
      <c r="CH20">
        <f t="shared" ca="1" si="3"/>
        <v>1.005649289673765</v>
      </c>
      <c r="CI20">
        <f t="shared" ca="1" si="3"/>
        <v>1.0238673202512023</v>
      </c>
      <c r="CJ20">
        <f t="shared" ca="1" si="3"/>
        <v>0.98091583472702515</v>
      </c>
      <c r="CK20">
        <f t="shared" ca="1" si="3"/>
        <v>0.96518279786484051</v>
      </c>
      <c r="CL20">
        <f t="shared" ca="1" si="3"/>
        <v>0.97786411762688452</v>
      </c>
      <c r="CM20">
        <f t="shared" ca="1" si="3"/>
        <v>0.93746621097514526</v>
      </c>
      <c r="CN20">
        <f t="shared" ca="1" si="3"/>
        <v>0.93786646491393988</v>
      </c>
      <c r="CO20">
        <f t="shared" ca="1" si="3"/>
        <v>0.94993250409796559</v>
      </c>
      <c r="CP20">
        <f t="shared" ca="1" si="3"/>
        <v>0.99311876896402262</v>
      </c>
      <c r="CQ20">
        <f t="shared" ca="1" si="3"/>
        <v>1.0479837650464339</v>
      </c>
      <c r="CR20">
        <f t="shared" ca="1" si="3"/>
        <v>1.0411756614241825</v>
      </c>
      <c r="CS20">
        <f t="shared" ca="1" si="3"/>
        <v>0.98951450378670303</v>
      </c>
      <c r="CT20">
        <f t="shared" ca="1" si="3"/>
        <v>0.99573788761878945</v>
      </c>
      <c r="CU20">
        <f t="shared" ca="1" si="3"/>
        <v>1.0332175943629514</v>
      </c>
      <c r="CV20">
        <f t="shared" ca="1" si="3"/>
        <v>1.0813311297762624</v>
      </c>
      <c r="CW20">
        <f t="shared" ca="1" si="3"/>
        <v>1.091294230588628</v>
      </c>
      <c r="CX20">
        <f t="shared" ca="1" si="3"/>
        <v>1.082360898865145</v>
      </c>
      <c r="CY20">
        <f t="shared" ca="1" si="3"/>
        <v>1.1059549181355468</v>
      </c>
      <c r="CZ20">
        <f t="shared" ca="1" si="3"/>
        <v>1.1835131592215384</v>
      </c>
    </row>
    <row r="21" spans="3:115" x14ac:dyDescent="0.4">
      <c r="D21">
        <v>25</v>
      </c>
      <c r="E21">
        <f ca="1">PRODUCT(OFFSET(E16,0,0,1,12))</f>
        <v>0.64228324271462944</v>
      </c>
      <c r="F21">
        <f t="shared" ref="F21:AK21" ca="1" si="4">PRODUCT(OFFSET(F16,0,0,1,12))</f>
        <v>0.78094649688012674</v>
      </c>
      <c r="G21">
        <f t="shared" ca="1" si="4"/>
        <v>0.90853282108562827</v>
      </c>
      <c r="H21">
        <f t="shared" ca="1" si="4"/>
        <v>0.89199331454961839</v>
      </c>
      <c r="I21">
        <f t="shared" ca="1" si="4"/>
        <v>0.92674175340741705</v>
      </c>
      <c r="J21">
        <f t="shared" ca="1" si="4"/>
        <v>1.0376083430508141</v>
      </c>
      <c r="K21">
        <f t="shared" ca="1" si="4"/>
        <v>1.175982890145157</v>
      </c>
      <c r="L21">
        <f t="shared" ca="1" si="4"/>
        <v>1.1598147221758595</v>
      </c>
      <c r="M21">
        <f t="shared" ca="1" si="4"/>
        <v>1.682954645589257</v>
      </c>
      <c r="N21">
        <f t="shared" ca="1" si="4"/>
        <v>1.6613517964059556</v>
      </c>
      <c r="O21">
        <f t="shared" ca="1" si="4"/>
        <v>1.6675646905469941</v>
      </c>
      <c r="P21">
        <f t="shared" ca="1" si="4"/>
        <v>1.4464940559282089</v>
      </c>
      <c r="Q21">
        <f t="shared" ca="1" si="4"/>
        <v>1.5896918159278217</v>
      </c>
      <c r="R21">
        <f t="shared" ca="1" si="4"/>
        <v>1.3698633638333033</v>
      </c>
      <c r="S21">
        <f t="shared" ca="1" si="4"/>
        <v>1.0992395804227406</v>
      </c>
      <c r="T21">
        <f t="shared" ca="1" si="4"/>
        <v>1.0170424516927363</v>
      </c>
      <c r="U21">
        <f t="shared" ca="1" si="4"/>
        <v>1.1091751157439114</v>
      </c>
      <c r="V21">
        <f t="shared" ca="1" si="4"/>
        <v>1.0814919710597211</v>
      </c>
      <c r="W21">
        <f t="shared" ca="1" si="4"/>
        <v>1.0499235144436159</v>
      </c>
      <c r="X21">
        <f t="shared" ca="1" si="4"/>
        <v>1.14559659383958</v>
      </c>
      <c r="Y21">
        <f t="shared" ca="1" si="4"/>
        <v>1.3027258000057733</v>
      </c>
      <c r="Z21">
        <f t="shared" ca="1" si="4"/>
        <v>1.2605239877529686</v>
      </c>
      <c r="AA21">
        <f t="shared" ca="1" si="4"/>
        <v>1.1757109946820987</v>
      </c>
      <c r="AB21">
        <f t="shared" ca="1" si="4"/>
        <v>1.2431634562776417</v>
      </c>
      <c r="AC21">
        <f t="shared" ca="1" si="4"/>
        <v>1.1718029629067186</v>
      </c>
      <c r="AD21">
        <f t="shared" ca="1" si="4"/>
        <v>1.1677346177875623</v>
      </c>
      <c r="AE21">
        <f t="shared" ca="1" si="4"/>
        <v>1.1850531814104051</v>
      </c>
      <c r="AF21">
        <f t="shared" ca="1" si="4"/>
        <v>1.2295477158527153</v>
      </c>
      <c r="AG21">
        <f t="shared" ca="1" si="4"/>
        <v>1.1952686181104197</v>
      </c>
      <c r="AH21">
        <f t="shared" ca="1" si="4"/>
        <v>1.3307248282218811</v>
      </c>
      <c r="AI21">
        <f t="shared" ca="1" si="4"/>
        <v>1.1928051014085967</v>
      </c>
      <c r="AJ21">
        <f t="shared" ca="1" si="4"/>
        <v>0.99496106369048409</v>
      </c>
      <c r="AK21">
        <f t="shared" ca="1" si="4"/>
        <v>0.95119680087879177</v>
      </c>
      <c r="AL21">
        <f t="shared" ref="AL21:BQ21" ca="1" si="5">PRODUCT(OFFSET(AL16,0,0,1,12))</f>
        <v>0.96517272827606759</v>
      </c>
      <c r="AM21">
        <f t="shared" ca="1" si="5"/>
        <v>0.92691137917484956</v>
      </c>
      <c r="AN21">
        <f t="shared" ca="1" si="5"/>
        <v>1.0104447855504848</v>
      </c>
      <c r="AO21">
        <f t="shared" ca="1" si="5"/>
        <v>1.1980986446194917</v>
      </c>
      <c r="AP21">
        <f t="shared" ca="1" si="5"/>
        <v>1.1302552393460621</v>
      </c>
      <c r="AQ21">
        <f t="shared" ca="1" si="5"/>
        <v>1.0494923771960347</v>
      </c>
      <c r="AR21">
        <f t="shared" ca="1" si="5"/>
        <v>0.99637538294745331</v>
      </c>
      <c r="AS21">
        <f t="shared" ca="1" si="5"/>
        <v>0.96110511072318261</v>
      </c>
      <c r="AT21">
        <f t="shared" ca="1" si="5"/>
        <v>0.85927916488833611</v>
      </c>
      <c r="AU21">
        <f t="shared" ca="1" si="5"/>
        <v>0.99242087346963159</v>
      </c>
      <c r="AV21">
        <f t="shared" ca="1" si="5"/>
        <v>1.1792580429039827</v>
      </c>
      <c r="AW21">
        <f t="shared" ca="1" si="5"/>
        <v>1.0739073529745966</v>
      </c>
      <c r="AX21">
        <f t="shared" ca="1" si="5"/>
        <v>1.0873764346976846</v>
      </c>
      <c r="AY21">
        <f t="shared" ca="1" si="5"/>
        <v>1.1710479432309389</v>
      </c>
      <c r="AZ21">
        <f t="shared" ca="1" si="5"/>
        <v>1.0853545220434742</v>
      </c>
      <c r="BA21">
        <f t="shared" ca="1" si="5"/>
        <v>1.0240849791756568</v>
      </c>
      <c r="BB21">
        <f t="shared" ca="1" si="5"/>
        <v>1.1066754953961349</v>
      </c>
      <c r="BC21">
        <f t="shared" ca="1" si="5"/>
        <v>1.236132075466077</v>
      </c>
      <c r="BD21">
        <f t="shared" ca="1" si="5"/>
        <v>1.3736080548630021</v>
      </c>
      <c r="BE21">
        <f t="shared" ca="1" si="5"/>
        <v>1.2698592615051316</v>
      </c>
      <c r="BF21">
        <f t="shared" ca="1" si="5"/>
        <v>1.3664818527427633</v>
      </c>
      <c r="BG21">
        <f t="shared" ca="1" si="5"/>
        <v>1.2851394951434587</v>
      </c>
      <c r="BH21">
        <f t="shared" ca="1" si="5"/>
        <v>1.2538532970047602</v>
      </c>
      <c r="BI21">
        <f t="shared" ca="1" si="5"/>
        <v>1.2919679877751138</v>
      </c>
      <c r="BJ21">
        <f t="shared" ca="1" si="5"/>
        <v>1.3135337946645755</v>
      </c>
      <c r="BK21">
        <f t="shared" ca="1" si="5"/>
        <v>1.216565158885996</v>
      </c>
      <c r="BL21">
        <f t="shared" ca="1" si="5"/>
        <v>1.2545401413719233</v>
      </c>
      <c r="BM21">
        <f t="shared" ca="1" si="5"/>
        <v>1.2951590496268113</v>
      </c>
      <c r="BN21">
        <f t="shared" ca="1" si="5"/>
        <v>1.2859542710155827</v>
      </c>
      <c r="BO21">
        <f t="shared" ca="1" si="5"/>
        <v>1.2245464062094706</v>
      </c>
      <c r="BP21">
        <f t="shared" ca="1" si="5"/>
        <v>1.1984377134437272</v>
      </c>
      <c r="BQ21">
        <f t="shared" ca="1" si="5"/>
        <v>1.251423422165407</v>
      </c>
      <c r="BR21">
        <f t="shared" ref="BR21:CZ21" ca="1" si="6">PRODUCT(OFFSET(BR16,0,0,1,12))</f>
        <v>1.2362642241617379</v>
      </c>
      <c r="BS21">
        <f t="shared" ca="1" si="6"/>
        <v>1.2704946233688414</v>
      </c>
      <c r="BT21">
        <f t="shared" ca="1" si="6"/>
        <v>1.2206901873459581</v>
      </c>
      <c r="BU21">
        <f t="shared" ca="1" si="6"/>
        <v>1.2298308269883891</v>
      </c>
      <c r="BV21">
        <f t="shared" ca="1" si="6"/>
        <v>1.1949250250402903</v>
      </c>
      <c r="BW21">
        <f t="shared" ca="1" si="6"/>
        <v>1.1506244233308631</v>
      </c>
      <c r="BX21">
        <f t="shared" ca="1" si="6"/>
        <v>1.1353377092767485</v>
      </c>
      <c r="BY21">
        <f t="shared" ca="1" si="6"/>
        <v>1.1363097655567489</v>
      </c>
      <c r="BZ21">
        <f t="shared" ca="1" si="6"/>
        <v>1.1424287355814076</v>
      </c>
      <c r="CA21">
        <f t="shared" ca="1" si="6"/>
        <v>1.2064028185166034</v>
      </c>
      <c r="CB21">
        <f t="shared" ca="1" si="6"/>
        <v>1.1747282350060895</v>
      </c>
      <c r="CC21">
        <f t="shared" ca="1" si="6"/>
        <v>1.185422046796055</v>
      </c>
      <c r="CD21">
        <f t="shared" ca="1" si="6"/>
        <v>1.1156538876431639</v>
      </c>
      <c r="CE21">
        <f t="shared" ca="1" si="6"/>
        <v>1.0642332477613594</v>
      </c>
      <c r="CF21">
        <f t="shared" ca="1" si="6"/>
        <v>1.082689447925913</v>
      </c>
      <c r="CG21">
        <f t="shared" ca="1" si="6"/>
        <v>1.1035135785412287</v>
      </c>
      <c r="CH21">
        <f t="shared" ca="1" si="6"/>
        <v>1.1076453176548431</v>
      </c>
      <c r="CI21">
        <f t="shared" ca="1" si="6"/>
        <v>1.1448387652300034</v>
      </c>
      <c r="CJ21">
        <f t="shared" ca="1" si="6"/>
        <v>1.0856188894861205</v>
      </c>
      <c r="CK21">
        <f t="shared" ca="1" si="6"/>
        <v>1.034569155940799</v>
      </c>
      <c r="CL21">
        <f t="shared" ca="1" si="6"/>
        <v>1.0663609422949318</v>
      </c>
      <c r="CM21">
        <f t="shared" ca="1" si="6"/>
        <v>1.0349320362434158</v>
      </c>
      <c r="CN21">
        <f t="shared" ca="1" si="6"/>
        <v>0.99885410205741521</v>
      </c>
      <c r="CO21">
        <f t="shared" ca="1" si="6"/>
        <v>1.0012065837744497</v>
      </c>
      <c r="CP21">
        <f t="shared" ca="1" si="6"/>
        <v>1.0636934094733899</v>
      </c>
      <c r="CQ21">
        <f t="shared" ca="1" si="6"/>
        <v>1.0631418887472581</v>
      </c>
      <c r="CR21">
        <f t="shared" ca="1" si="6"/>
        <v>1.0327609242165796</v>
      </c>
      <c r="CS21">
        <f t="shared" ca="1" si="6"/>
        <v>0.99281422255433338</v>
      </c>
      <c r="CT21">
        <f t="shared" ca="1" si="6"/>
        <v>1.0189416905050317</v>
      </c>
      <c r="CU21">
        <f t="shared" ca="1" si="6"/>
        <v>1.0455824588508069</v>
      </c>
      <c r="CV21">
        <f t="shared" ca="1" si="6"/>
        <v>1.0605950849168169</v>
      </c>
      <c r="CW21">
        <f t="shared" ca="1" si="6"/>
        <v>1.0382641064772931</v>
      </c>
      <c r="CX21">
        <f t="shared" ca="1" si="6"/>
        <v>0.96787734617935717</v>
      </c>
      <c r="CY21">
        <f t="shared" ca="1" si="6"/>
        <v>0.96308063829984714</v>
      </c>
      <c r="CZ21">
        <f t="shared" ca="1" si="6"/>
        <v>1.0709260312829083</v>
      </c>
    </row>
    <row r="22" spans="3:115" x14ac:dyDescent="0.4">
      <c r="D22">
        <v>50</v>
      </c>
      <c r="E22">
        <f ca="1">PRODUCT(OFFSET(E17,0,0,1,12))</f>
        <v>0.61894834647249219</v>
      </c>
      <c r="F22">
        <f t="shared" ref="F22:AK22" ca="1" si="7">PRODUCT(OFFSET(F17,0,0,1,12))</f>
        <v>0.74199736108341185</v>
      </c>
      <c r="G22">
        <f t="shared" ca="1" si="7"/>
        <v>0.83776768978121363</v>
      </c>
      <c r="H22">
        <f t="shared" ca="1" si="7"/>
        <v>0.79677011592371205</v>
      </c>
      <c r="I22">
        <f t="shared" ca="1" si="7"/>
        <v>0.83312681676885247</v>
      </c>
      <c r="J22">
        <f t="shared" ca="1" si="7"/>
        <v>0.95950001140981822</v>
      </c>
      <c r="K22">
        <f t="shared" ca="1" si="7"/>
        <v>1.0779578000303669</v>
      </c>
      <c r="L22">
        <f t="shared" ca="1" si="7"/>
        <v>1.1173467842064992</v>
      </c>
      <c r="M22">
        <f t="shared" ca="1" si="7"/>
        <v>1.6001575911010115</v>
      </c>
      <c r="N22">
        <f t="shared" ca="1" si="7"/>
        <v>1.5595227577867687</v>
      </c>
      <c r="O22">
        <f t="shared" ca="1" si="7"/>
        <v>1.5504823570709028</v>
      </c>
      <c r="P22">
        <f t="shared" ca="1" si="7"/>
        <v>1.3294549670888327</v>
      </c>
      <c r="Q22">
        <f t="shared" ca="1" si="7"/>
        <v>1.4618829875178498</v>
      </c>
      <c r="R22">
        <f t="shared" ca="1" si="7"/>
        <v>1.3017431227245768</v>
      </c>
      <c r="S22">
        <f t="shared" ca="1" si="7"/>
        <v>1.072890198492962</v>
      </c>
      <c r="T22">
        <f t="shared" ca="1" si="7"/>
        <v>1.01629466487359</v>
      </c>
      <c r="U22">
        <f t="shared" ca="1" si="7"/>
        <v>1.0989862026235191</v>
      </c>
      <c r="V22">
        <f t="shared" ca="1" si="7"/>
        <v>1.0476301958068468</v>
      </c>
      <c r="W22">
        <f t="shared" ca="1" si="7"/>
        <v>1.0113914626511797</v>
      </c>
      <c r="X22">
        <f t="shared" ca="1" si="7"/>
        <v>1.081185593935404</v>
      </c>
      <c r="Y22">
        <f t="shared" ca="1" si="7"/>
        <v>1.2216589720885391</v>
      </c>
      <c r="Z22">
        <f t="shared" ca="1" si="7"/>
        <v>1.1965458176275388</v>
      </c>
      <c r="AA22">
        <f t="shared" ca="1" si="7"/>
        <v>1.1529478824391342</v>
      </c>
      <c r="AB22">
        <f t="shared" ca="1" si="7"/>
        <v>1.2258287190447004</v>
      </c>
      <c r="AC22">
        <f t="shared" ca="1" si="7"/>
        <v>1.1509748260404427</v>
      </c>
      <c r="AD22">
        <f t="shared" ca="1" si="7"/>
        <v>1.1416824378459618</v>
      </c>
      <c r="AE22">
        <f t="shared" ca="1" si="7"/>
        <v>1.1525196218802203</v>
      </c>
      <c r="AF22">
        <f t="shared" ca="1" si="7"/>
        <v>1.1941035693240813</v>
      </c>
      <c r="AG22">
        <f t="shared" ca="1" si="7"/>
        <v>1.1550642618946592</v>
      </c>
      <c r="AH22">
        <f t="shared" ca="1" si="7"/>
        <v>1.2530616247713002</v>
      </c>
      <c r="AI22">
        <f t="shared" ca="1" si="7"/>
        <v>1.1423875001872388</v>
      </c>
      <c r="AJ22">
        <f t="shared" ca="1" si="7"/>
        <v>0.96048792355772283</v>
      </c>
      <c r="AK22">
        <f t="shared" ca="1" si="7"/>
        <v>0.93405101047228845</v>
      </c>
      <c r="AL22">
        <f t="shared" ref="AL22:BQ22" ca="1" si="8">PRODUCT(OFFSET(AL17,0,0,1,12))</f>
        <v>0.95368877472707625</v>
      </c>
      <c r="AM22">
        <f t="shared" ca="1" si="8"/>
        <v>0.96253420684813296</v>
      </c>
      <c r="AN22">
        <f t="shared" ca="1" si="8"/>
        <v>1.0638052269576534</v>
      </c>
      <c r="AO22">
        <f t="shared" ca="1" si="8"/>
        <v>1.2121199036780326</v>
      </c>
      <c r="AP22">
        <f t="shared" ca="1" si="8"/>
        <v>1.1304300077326837</v>
      </c>
      <c r="AQ22">
        <f t="shared" ca="1" si="8"/>
        <v>1.061659845439344</v>
      </c>
      <c r="AR22">
        <f t="shared" ca="1" si="8"/>
        <v>1.0055559341597911</v>
      </c>
      <c r="AS22">
        <f t="shared" ca="1" si="8"/>
        <v>0.99239790975805886</v>
      </c>
      <c r="AT22">
        <f t="shared" ca="1" si="8"/>
        <v>0.89743844962167618</v>
      </c>
      <c r="AU22">
        <f t="shared" ca="1" si="8"/>
        <v>1.0256012663507028</v>
      </c>
      <c r="AV22">
        <f t="shared" ca="1" si="8"/>
        <v>1.2178414301156537</v>
      </c>
      <c r="AW22">
        <f t="shared" ca="1" si="8"/>
        <v>1.1373956944981545</v>
      </c>
      <c r="AX22">
        <f t="shared" ca="1" si="8"/>
        <v>1.1747922372369355</v>
      </c>
      <c r="AY22">
        <f t="shared" ca="1" si="8"/>
        <v>1.1859809139209139</v>
      </c>
      <c r="AZ22">
        <f t="shared" ca="1" si="8"/>
        <v>1.1081706327126657</v>
      </c>
      <c r="BA22">
        <f t="shared" ca="1" si="8"/>
        <v>1.0807133879970863</v>
      </c>
      <c r="BB22">
        <f t="shared" ca="1" si="8"/>
        <v>1.1820167615004811</v>
      </c>
      <c r="BC22">
        <f t="shared" ca="1" si="8"/>
        <v>1.2986299763882598</v>
      </c>
      <c r="BD22">
        <f t="shared" ca="1" si="8"/>
        <v>1.4222567738810792</v>
      </c>
      <c r="BE22">
        <f t="shared" ca="1" si="8"/>
        <v>1.3218004263301015</v>
      </c>
      <c r="BF22">
        <f t="shared" ca="1" si="8"/>
        <v>1.4109746328691015</v>
      </c>
      <c r="BG22">
        <f t="shared" ca="1" si="8"/>
        <v>1.3289188803384868</v>
      </c>
      <c r="BH22">
        <f t="shared" ca="1" si="8"/>
        <v>1.2816280697591458</v>
      </c>
      <c r="BI22">
        <f t="shared" ca="1" si="8"/>
        <v>1.2920815529968919</v>
      </c>
      <c r="BJ22">
        <f t="shared" ca="1" si="8"/>
        <v>1.2739096227462989</v>
      </c>
      <c r="BK22">
        <f t="shared" ca="1" si="8"/>
        <v>1.1730530920239879</v>
      </c>
      <c r="BL22">
        <f t="shared" ca="1" si="8"/>
        <v>1.1469409750884987</v>
      </c>
      <c r="BM22">
        <f t="shared" ca="1" si="8"/>
        <v>1.1962368878335687</v>
      </c>
      <c r="BN22">
        <f t="shared" ca="1" si="8"/>
        <v>1.1891731049280849</v>
      </c>
      <c r="BO22">
        <f t="shared" ca="1" si="8"/>
        <v>1.1464167123927278</v>
      </c>
      <c r="BP22">
        <f t="shared" ca="1" si="8"/>
        <v>1.1325233107577006</v>
      </c>
      <c r="BQ22">
        <f t="shared" ca="1" si="8"/>
        <v>1.2292442632696716</v>
      </c>
      <c r="BR22">
        <f t="shared" ref="BR22:CZ22" ca="1" si="9">PRODUCT(OFFSET(BR17,0,0,1,12))</f>
        <v>1.240996012861074</v>
      </c>
      <c r="BS22">
        <f t="shared" ca="1" si="9"/>
        <v>1.2899481437742424</v>
      </c>
      <c r="BT22">
        <f t="shared" ca="1" si="9"/>
        <v>1.2519220055552323</v>
      </c>
      <c r="BU22">
        <f t="shared" ca="1" si="9"/>
        <v>1.2560273942849407</v>
      </c>
      <c r="BV22">
        <f t="shared" ca="1" si="9"/>
        <v>1.2298270233244897</v>
      </c>
      <c r="BW22">
        <f t="shared" ca="1" si="9"/>
        <v>1.2189569913532468</v>
      </c>
      <c r="BX22">
        <f t="shared" ca="1" si="9"/>
        <v>1.2316047039085982</v>
      </c>
      <c r="BY22">
        <f t="shared" ca="1" si="9"/>
        <v>1.2315138624330957</v>
      </c>
      <c r="BZ22">
        <f t="shared" ca="1" si="9"/>
        <v>1.2186724804988716</v>
      </c>
      <c r="CA22">
        <f t="shared" ca="1" si="9"/>
        <v>1.2867680741012137</v>
      </c>
      <c r="CB22">
        <f t="shared" ca="1" si="9"/>
        <v>1.2823587283072988</v>
      </c>
      <c r="CC22">
        <f t="shared" ca="1" si="9"/>
        <v>1.2497362639371357</v>
      </c>
      <c r="CD22">
        <f t="shared" ca="1" si="9"/>
        <v>1.1720267928430872</v>
      </c>
      <c r="CE22">
        <f t="shared" ca="1" si="9"/>
        <v>1.0998624891380278</v>
      </c>
      <c r="CF22">
        <f t="shared" ca="1" si="9"/>
        <v>1.119577572526582</v>
      </c>
      <c r="CG22">
        <f t="shared" ca="1" si="9"/>
        <v>1.1251534490856161</v>
      </c>
      <c r="CH22">
        <f t="shared" ca="1" si="9"/>
        <v>1.1173765497649777</v>
      </c>
      <c r="CI22">
        <f t="shared" ca="1" si="9"/>
        <v>1.1388464956772013</v>
      </c>
      <c r="CJ22">
        <f t="shared" ca="1" si="9"/>
        <v>1.0724196865920461</v>
      </c>
      <c r="CK22">
        <f t="shared" ca="1" si="9"/>
        <v>1.0228982937177615</v>
      </c>
      <c r="CL22">
        <f t="shared" ca="1" si="9"/>
        <v>1.0689511345426694</v>
      </c>
      <c r="CM22">
        <f t="shared" ca="1" si="9"/>
        <v>1.0372181745798164</v>
      </c>
      <c r="CN22">
        <f t="shared" ca="1" si="9"/>
        <v>0.96834848922212124</v>
      </c>
      <c r="CO22">
        <f t="shared" ca="1" si="9"/>
        <v>0.94442713036286208</v>
      </c>
      <c r="CP22">
        <f t="shared" ca="1" si="9"/>
        <v>0.99331923759191421</v>
      </c>
      <c r="CQ22">
        <f t="shared" ca="1" si="9"/>
        <v>1.0193051745344555</v>
      </c>
      <c r="CR22">
        <f t="shared" ca="1" si="9"/>
        <v>0.9958616725529732</v>
      </c>
      <c r="CS22">
        <f t="shared" ca="1" si="9"/>
        <v>0.98262058561210675</v>
      </c>
      <c r="CT22">
        <f t="shared" ca="1" si="9"/>
        <v>1.0183548564823532</v>
      </c>
      <c r="CU22">
        <f t="shared" ca="1" si="9"/>
        <v>1.0468790539377859</v>
      </c>
      <c r="CV22">
        <f t="shared" ca="1" si="9"/>
        <v>1.099224840379744</v>
      </c>
      <c r="CW22">
        <f t="shared" ca="1" si="9"/>
        <v>1.0907104131093239</v>
      </c>
      <c r="CX22">
        <f t="shared" ca="1" si="9"/>
        <v>1.0176802940950562</v>
      </c>
      <c r="CY22">
        <f t="shared" ca="1" si="9"/>
        <v>1.0125303828966128</v>
      </c>
      <c r="CZ22">
        <f t="shared" ca="1" si="9"/>
        <v>1.1313628888104703</v>
      </c>
    </row>
    <row r="23" spans="3:115" x14ac:dyDescent="0.4">
      <c r="D23">
        <v>75</v>
      </c>
      <c r="E23">
        <f ca="1">PRODUCT(OFFSET(E18,0,0,1,12))</f>
        <v>0.61724413850442272</v>
      </c>
      <c r="F23">
        <f t="shared" ref="F23:AK23" ca="1" si="10">PRODUCT(OFFSET(F18,0,0,1,12))</f>
        <v>0.72939129328687169</v>
      </c>
      <c r="G23">
        <f t="shared" ca="1" si="10"/>
        <v>0.82408990794193349</v>
      </c>
      <c r="H23">
        <f t="shared" ca="1" si="10"/>
        <v>0.78447082004112201</v>
      </c>
      <c r="I23">
        <f t="shared" ca="1" si="10"/>
        <v>0.81296485263357487</v>
      </c>
      <c r="J23">
        <f t="shared" ca="1" si="10"/>
        <v>0.91950926646601649</v>
      </c>
      <c r="K23">
        <f t="shared" ca="1" si="10"/>
        <v>1.0222580963633943</v>
      </c>
      <c r="L23">
        <f t="shared" ca="1" si="10"/>
        <v>1.0670579791496952</v>
      </c>
      <c r="M23">
        <f t="shared" ca="1" si="10"/>
        <v>1.5428491729480927</v>
      </c>
      <c r="N23">
        <f t="shared" ca="1" si="10"/>
        <v>1.5256667181781611</v>
      </c>
      <c r="O23">
        <f t="shared" ca="1" si="10"/>
        <v>1.5123699178922823</v>
      </c>
      <c r="P23">
        <f t="shared" ca="1" si="10"/>
        <v>1.3086727647790688</v>
      </c>
      <c r="Q23">
        <f t="shared" ca="1" si="10"/>
        <v>1.4100375291276723</v>
      </c>
      <c r="R23">
        <f t="shared" ca="1" si="10"/>
        <v>1.2616183926707467</v>
      </c>
      <c r="S23">
        <f t="shared" ca="1" si="10"/>
        <v>1.0480597633206667</v>
      </c>
      <c r="T23">
        <f t="shared" ca="1" si="10"/>
        <v>0.98342391618399161</v>
      </c>
      <c r="U23">
        <f t="shared" ca="1" si="10"/>
        <v>1.0574582630254055</v>
      </c>
      <c r="V23">
        <f t="shared" ca="1" si="10"/>
        <v>1.0173239339292746</v>
      </c>
      <c r="W23">
        <f t="shared" ca="1" si="10"/>
        <v>0.99662024050503339</v>
      </c>
      <c r="X23">
        <f t="shared" ca="1" si="10"/>
        <v>1.0668522427528231</v>
      </c>
      <c r="Y23">
        <f t="shared" ca="1" si="10"/>
        <v>1.1904751128012661</v>
      </c>
      <c r="Z23">
        <f t="shared" ca="1" si="10"/>
        <v>1.1535621648740289</v>
      </c>
      <c r="AA23">
        <f t="shared" ca="1" si="10"/>
        <v>1.1105218486871025</v>
      </c>
      <c r="AB23">
        <f t="shared" ca="1" si="10"/>
        <v>1.2006031781931883</v>
      </c>
      <c r="AC23">
        <f t="shared" ca="1" si="10"/>
        <v>1.1344347599421154</v>
      </c>
      <c r="AD23">
        <f t="shared" ca="1" si="10"/>
        <v>1.1437005287958855</v>
      </c>
      <c r="AE23">
        <f t="shared" ca="1" si="10"/>
        <v>1.1599601905382693</v>
      </c>
      <c r="AF23">
        <f t="shared" ca="1" si="10"/>
        <v>1.195252639710265</v>
      </c>
      <c r="AG23">
        <f t="shared" ca="1" si="10"/>
        <v>1.1631700795363251</v>
      </c>
      <c r="AH23">
        <f t="shared" ca="1" si="10"/>
        <v>1.2454919396480564</v>
      </c>
      <c r="AI23">
        <f t="shared" ca="1" si="10"/>
        <v>1.1241005064353109</v>
      </c>
      <c r="AJ23">
        <f t="shared" ca="1" si="10"/>
        <v>0.93572331338710379</v>
      </c>
      <c r="AK23">
        <f t="shared" ca="1" si="10"/>
        <v>0.90859737807127972</v>
      </c>
      <c r="AL23">
        <f t="shared" ref="AL23:BQ23" ca="1" si="11">PRODUCT(OFFSET(AL18,0,0,1,12))</f>
        <v>0.92966767039147336</v>
      </c>
      <c r="AM23">
        <f t="shared" ca="1" si="11"/>
        <v>0.93227126702732299</v>
      </c>
      <c r="AN23">
        <f t="shared" ca="1" si="11"/>
        <v>1.0064209014109993</v>
      </c>
      <c r="AO23">
        <f t="shared" ca="1" si="11"/>
        <v>1.1420057119634808</v>
      </c>
      <c r="AP23">
        <f t="shared" ca="1" si="11"/>
        <v>1.0476594647754309</v>
      </c>
      <c r="AQ23">
        <f t="shared" ca="1" si="11"/>
        <v>0.97298268590925185</v>
      </c>
      <c r="AR23">
        <f t="shared" ca="1" si="11"/>
        <v>0.93371500987760281</v>
      </c>
      <c r="AS23">
        <f t="shared" ca="1" si="11"/>
        <v>0.92808801656896955</v>
      </c>
      <c r="AT23">
        <f t="shared" ca="1" si="11"/>
        <v>0.85167147468948912</v>
      </c>
      <c r="AU23">
        <f t="shared" ca="1" si="11"/>
        <v>0.97293330070494644</v>
      </c>
      <c r="AV23">
        <f t="shared" ca="1" si="11"/>
        <v>1.163526241794445</v>
      </c>
      <c r="AW23">
        <f t="shared" ca="1" si="11"/>
        <v>1.0993826404499656</v>
      </c>
      <c r="AX23">
        <f t="shared" ca="1" si="11"/>
        <v>1.15148811571404</v>
      </c>
      <c r="AY23">
        <f t="shared" ca="1" si="11"/>
        <v>1.1624486770361617</v>
      </c>
      <c r="AZ23">
        <f t="shared" ca="1" si="11"/>
        <v>1.098847008812089</v>
      </c>
      <c r="BA23">
        <f t="shared" ca="1" si="11"/>
        <v>1.0633678323865241</v>
      </c>
      <c r="BB23">
        <f t="shared" ca="1" si="11"/>
        <v>1.1677691678282245</v>
      </c>
      <c r="BC23">
        <f t="shared" ca="1" si="11"/>
        <v>1.318839442961546</v>
      </c>
      <c r="BD23">
        <f t="shared" ca="1" si="11"/>
        <v>1.4262862832933543</v>
      </c>
      <c r="BE23">
        <f t="shared" ca="1" si="11"/>
        <v>1.3223568150878704</v>
      </c>
      <c r="BF23">
        <f t="shared" ca="1" si="11"/>
        <v>1.4009343240635881</v>
      </c>
      <c r="BG23">
        <f t="shared" ca="1" si="11"/>
        <v>1.3259185613224871</v>
      </c>
      <c r="BH23">
        <f t="shared" ca="1" si="11"/>
        <v>1.2876894714622449</v>
      </c>
      <c r="BI23">
        <f t="shared" ca="1" si="11"/>
        <v>1.2893358593425259</v>
      </c>
      <c r="BJ23">
        <f t="shared" ca="1" si="11"/>
        <v>1.2571292973071688</v>
      </c>
      <c r="BK23">
        <f t="shared" ca="1" si="11"/>
        <v>1.1830879827012926</v>
      </c>
      <c r="BL23">
        <f t="shared" ca="1" si="11"/>
        <v>1.1481746525731955</v>
      </c>
      <c r="BM23">
        <f t="shared" ca="1" si="11"/>
        <v>1.1894501279384506</v>
      </c>
      <c r="BN23">
        <f t="shared" ca="1" si="11"/>
        <v>1.1814952859600361</v>
      </c>
      <c r="BO23">
        <f t="shared" ca="1" si="11"/>
        <v>1.117536107043664</v>
      </c>
      <c r="BP23">
        <f t="shared" ca="1" si="11"/>
        <v>1.1041065315077643</v>
      </c>
      <c r="BQ23">
        <f t="shared" ca="1" si="11"/>
        <v>1.1839557528127573</v>
      </c>
      <c r="BR23">
        <f t="shared" ref="BR23:CZ23" ca="1" si="12">PRODUCT(OFFSET(BR18,0,0,1,12))</f>
        <v>1.2225430603414527</v>
      </c>
      <c r="BS23">
        <f t="shared" ca="1" si="12"/>
        <v>1.2824485615636303</v>
      </c>
      <c r="BT23">
        <f t="shared" ca="1" si="12"/>
        <v>1.2338547213932398</v>
      </c>
      <c r="BU23">
        <f t="shared" ca="1" si="12"/>
        <v>1.2063210477118937</v>
      </c>
      <c r="BV23">
        <f t="shared" ca="1" si="12"/>
        <v>1.1923114828047647</v>
      </c>
      <c r="BW23">
        <f t="shared" ca="1" si="12"/>
        <v>1.1728382496734013</v>
      </c>
      <c r="BX23">
        <f t="shared" ca="1" si="12"/>
        <v>1.19138080327101</v>
      </c>
      <c r="BY23">
        <f t="shared" ca="1" si="12"/>
        <v>1.2109137308009199</v>
      </c>
      <c r="BZ23">
        <f t="shared" ca="1" si="12"/>
        <v>1.1978174271679041</v>
      </c>
      <c r="CA23">
        <f t="shared" ca="1" si="12"/>
        <v>1.2559253207193124</v>
      </c>
      <c r="CB23">
        <f t="shared" ca="1" si="12"/>
        <v>1.2512656013846708</v>
      </c>
      <c r="CC23">
        <f t="shared" ca="1" si="12"/>
        <v>1.2102385884156104</v>
      </c>
      <c r="CD23">
        <f t="shared" ca="1" si="12"/>
        <v>1.1091083571215037</v>
      </c>
      <c r="CE23">
        <f t="shared" ca="1" si="12"/>
        <v>1.0310237736016161</v>
      </c>
      <c r="CF23">
        <f t="shared" ca="1" si="12"/>
        <v>1.0528629077489393</v>
      </c>
      <c r="CG23">
        <f t="shared" ca="1" si="12"/>
        <v>1.080772356018179</v>
      </c>
      <c r="CH23">
        <f t="shared" ca="1" si="12"/>
        <v>1.066980931019414</v>
      </c>
      <c r="CI23">
        <f t="shared" ca="1" si="12"/>
        <v>1.0891815798906501</v>
      </c>
      <c r="CJ23">
        <f t="shared" ca="1" si="12"/>
        <v>1.0294609965586274</v>
      </c>
      <c r="CK23">
        <f t="shared" ca="1" si="12"/>
        <v>0.98567612487320577</v>
      </c>
      <c r="CL23">
        <f t="shared" ca="1" si="12"/>
        <v>1.024564515578277</v>
      </c>
      <c r="CM23">
        <f t="shared" ca="1" si="12"/>
        <v>1.0061372105281567</v>
      </c>
      <c r="CN23">
        <f t="shared" ca="1" si="12"/>
        <v>0.95388798696338895</v>
      </c>
      <c r="CO23">
        <f t="shared" ca="1" si="12"/>
        <v>0.95078337787511091</v>
      </c>
      <c r="CP23">
        <f t="shared" ca="1" si="12"/>
        <v>1.0073896308038059</v>
      </c>
      <c r="CQ23">
        <f t="shared" ca="1" si="12"/>
        <v>1.041934042435873</v>
      </c>
      <c r="CR23">
        <f t="shared" ca="1" si="12"/>
        <v>1.0230792475306831</v>
      </c>
      <c r="CS23">
        <f t="shared" ca="1" si="12"/>
        <v>1.0167326047478071</v>
      </c>
      <c r="CT23">
        <f t="shared" ca="1" si="12"/>
        <v>1.0537171054939873</v>
      </c>
      <c r="CU23">
        <f t="shared" ca="1" si="12"/>
        <v>1.084967434341241</v>
      </c>
      <c r="CV23">
        <f t="shared" ca="1" si="12"/>
        <v>1.1396692937245005</v>
      </c>
      <c r="CW23">
        <f t="shared" ca="1" si="12"/>
        <v>1.120352497349832</v>
      </c>
      <c r="CX23">
        <f t="shared" ca="1" si="12"/>
        <v>1.0588016821379329</v>
      </c>
      <c r="CY23">
        <f t="shared" ca="1" si="12"/>
        <v>1.041595584564504</v>
      </c>
      <c r="CZ23">
        <f t="shared" ca="1" si="12"/>
        <v>1.1527731749100623</v>
      </c>
    </row>
    <row r="24" spans="3:115" x14ac:dyDescent="0.4">
      <c r="D24">
        <v>100</v>
      </c>
      <c r="E24">
        <f ca="1">PRODUCT(OFFSET(E19,0,0,1,12))</f>
        <v>0.60671323541343902</v>
      </c>
      <c r="F24">
        <f t="shared" ref="F24:AK24" ca="1" si="13">PRODUCT(OFFSET(F19,0,0,1,12))</f>
        <v>0.72475487051552878</v>
      </c>
      <c r="G24">
        <f t="shared" ca="1" si="13"/>
        <v>0.83288033760762392</v>
      </c>
      <c r="H24">
        <f t="shared" ca="1" si="13"/>
        <v>0.80093969960964106</v>
      </c>
      <c r="I24">
        <f t="shared" ca="1" si="13"/>
        <v>0.82577202194826982</v>
      </c>
      <c r="J24">
        <f t="shared" ca="1" si="13"/>
        <v>0.93560947507907166</v>
      </c>
      <c r="K24">
        <f t="shared" ca="1" si="13"/>
        <v>1.0224749589432436</v>
      </c>
      <c r="L24">
        <f t="shared" ca="1" si="13"/>
        <v>1.0786971781170094</v>
      </c>
      <c r="M24">
        <f t="shared" ca="1" si="13"/>
        <v>1.5517295692540236</v>
      </c>
      <c r="N24">
        <f t="shared" ca="1" si="13"/>
        <v>1.5207844808618975</v>
      </c>
      <c r="O24">
        <f t="shared" ca="1" si="13"/>
        <v>1.5197334389694395</v>
      </c>
      <c r="P24">
        <f t="shared" ca="1" si="13"/>
        <v>1.3297222801755757</v>
      </c>
      <c r="Q24">
        <f t="shared" ca="1" si="13"/>
        <v>1.4336067607687668</v>
      </c>
      <c r="R24">
        <f t="shared" ca="1" si="13"/>
        <v>1.2783327226277006</v>
      </c>
      <c r="S24">
        <f t="shared" ca="1" si="13"/>
        <v>1.0527487144149339</v>
      </c>
      <c r="T24">
        <f t="shared" ca="1" si="13"/>
        <v>0.99446264423353581</v>
      </c>
      <c r="U24">
        <f t="shared" ca="1" si="13"/>
        <v>1.0732544413554765</v>
      </c>
      <c r="V24">
        <f t="shared" ca="1" si="13"/>
        <v>1.0301466084071669</v>
      </c>
      <c r="W24">
        <f t="shared" ca="1" si="13"/>
        <v>1.0118350807834382</v>
      </c>
      <c r="X24">
        <f t="shared" ca="1" si="13"/>
        <v>1.0802525272714194</v>
      </c>
      <c r="Y24">
        <f t="shared" ca="1" si="13"/>
        <v>1.2017926982767013</v>
      </c>
      <c r="Z24">
        <f t="shared" ca="1" si="13"/>
        <v>1.2069017380801124</v>
      </c>
      <c r="AA24">
        <f t="shared" ca="1" si="13"/>
        <v>1.1581663133707807</v>
      </c>
      <c r="AB24">
        <f t="shared" ca="1" si="13"/>
        <v>1.2299593257247763</v>
      </c>
      <c r="AC24">
        <f t="shared" ca="1" si="13"/>
        <v>1.1576454372713521</v>
      </c>
      <c r="AD24">
        <f t="shared" ca="1" si="13"/>
        <v>1.1694433113599407</v>
      </c>
      <c r="AE24">
        <f t="shared" ca="1" si="13"/>
        <v>1.1913962397270794</v>
      </c>
      <c r="AF24">
        <f t="shared" ca="1" si="13"/>
        <v>1.2252122199302802</v>
      </c>
      <c r="AG24">
        <f t="shared" ca="1" si="13"/>
        <v>1.1857895177603652</v>
      </c>
      <c r="AH24">
        <f t="shared" ca="1" si="13"/>
        <v>1.2672769148818279</v>
      </c>
      <c r="AI24">
        <f t="shared" ca="1" si="13"/>
        <v>1.1381011770940412</v>
      </c>
      <c r="AJ24">
        <f t="shared" ca="1" si="13"/>
        <v>0.93719131605715911</v>
      </c>
      <c r="AK24">
        <f t="shared" ca="1" si="13"/>
        <v>0.91713331180040403</v>
      </c>
      <c r="AL24">
        <f t="shared" ref="AL24:BQ24" ca="1" si="14">PRODUCT(OFFSET(AL19,0,0,1,12))</f>
        <v>0.91270043278441326</v>
      </c>
      <c r="AM24">
        <f t="shared" ca="1" si="14"/>
        <v>0.90834830911762487</v>
      </c>
      <c r="AN24">
        <f t="shared" ca="1" si="14"/>
        <v>0.98755050254856924</v>
      </c>
      <c r="AO24">
        <f t="shared" ca="1" si="14"/>
        <v>1.1182274650041109</v>
      </c>
      <c r="AP24">
        <f t="shared" ca="1" si="14"/>
        <v>1.0261200261949648</v>
      </c>
      <c r="AQ24">
        <f t="shared" ca="1" si="14"/>
        <v>0.9508829134064789</v>
      </c>
      <c r="AR24">
        <f t="shared" ca="1" si="14"/>
        <v>0.90549977159259687</v>
      </c>
      <c r="AS24">
        <f t="shared" ca="1" si="14"/>
        <v>0.91065256729792399</v>
      </c>
      <c r="AT24">
        <f t="shared" ca="1" si="14"/>
        <v>0.8356904364840213</v>
      </c>
      <c r="AU24">
        <f t="shared" ca="1" si="14"/>
        <v>0.96629026434929788</v>
      </c>
      <c r="AV24">
        <f t="shared" ca="1" si="14"/>
        <v>1.1607547633365283</v>
      </c>
      <c r="AW24">
        <f t="shared" ca="1" si="14"/>
        <v>1.0911806383981295</v>
      </c>
      <c r="AX24">
        <f t="shared" ca="1" si="14"/>
        <v>1.1370049481991249</v>
      </c>
      <c r="AY24">
        <f t="shared" ca="1" si="14"/>
        <v>1.143605329051953</v>
      </c>
      <c r="AZ24">
        <f t="shared" ca="1" si="14"/>
        <v>1.0842521808765428</v>
      </c>
      <c r="BA24">
        <f t="shared" ca="1" si="14"/>
        <v>1.0541097049048243</v>
      </c>
      <c r="BB24">
        <f t="shared" ca="1" si="14"/>
        <v>1.1498375332467985</v>
      </c>
      <c r="BC24">
        <f t="shared" ca="1" si="14"/>
        <v>1.295109544700906</v>
      </c>
      <c r="BD24">
        <f t="shared" ca="1" si="14"/>
        <v>1.4067998105607034</v>
      </c>
      <c r="BE24">
        <f t="shared" ca="1" si="14"/>
        <v>1.2984248958098958</v>
      </c>
      <c r="BF24">
        <f t="shared" ca="1" si="14"/>
        <v>1.3700679537537108</v>
      </c>
      <c r="BG24">
        <f t="shared" ca="1" si="14"/>
        <v>1.2895279322305588</v>
      </c>
      <c r="BH24">
        <f t="shared" ca="1" si="14"/>
        <v>1.2555894092030364</v>
      </c>
      <c r="BI24">
        <f t="shared" ca="1" si="14"/>
        <v>1.2638139982266152</v>
      </c>
      <c r="BJ24">
        <f t="shared" ca="1" si="14"/>
        <v>1.233222659796853</v>
      </c>
      <c r="BK24">
        <f t="shared" ca="1" si="14"/>
        <v>1.17187380640508</v>
      </c>
      <c r="BL24">
        <f t="shared" ca="1" si="14"/>
        <v>1.1374379966068879</v>
      </c>
      <c r="BM24">
        <f t="shared" ca="1" si="14"/>
        <v>1.173592212548793</v>
      </c>
      <c r="BN24">
        <f t="shared" ca="1" si="14"/>
        <v>1.1594231351895914</v>
      </c>
      <c r="BO24">
        <f t="shared" ca="1" si="14"/>
        <v>1.1032072365877243</v>
      </c>
      <c r="BP24">
        <f t="shared" ca="1" si="14"/>
        <v>1.0923278146209543</v>
      </c>
      <c r="BQ24">
        <f t="shared" ca="1" si="14"/>
        <v>1.1656378816312924</v>
      </c>
      <c r="BR24">
        <f t="shared" ref="BR24:CZ24" ca="1" si="15">PRODUCT(OFFSET(BR19,0,0,1,12))</f>
        <v>1.1954225795439346</v>
      </c>
      <c r="BS24">
        <f t="shared" ca="1" si="15"/>
        <v>1.2516853512851323</v>
      </c>
      <c r="BT24">
        <f t="shared" ca="1" si="15"/>
        <v>1.2097191219570249</v>
      </c>
      <c r="BU24">
        <f t="shared" ca="1" si="15"/>
        <v>1.1728950210975839</v>
      </c>
      <c r="BV24">
        <f t="shared" ca="1" si="15"/>
        <v>1.1659997655658256</v>
      </c>
      <c r="BW24">
        <f t="shared" ca="1" si="15"/>
        <v>1.1463046416258467</v>
      </c>
      <c r="BX24">
        <f t="shared" ca="1" si="15"/>
        <v>1.174602427501618</v>
      </c>
      <c r="BY24">
        <f t="shared" ca="1" si="15"/>
        <v>1.1886658205874716</v>
      </c>
      <c r="BZ24">
        <f t="shared" ca="1" si="15"/>
        <v>1.2005131587382685</v>
      </c>
      <c r="CA24">
        <f t="shared" ca="1" si="15"/>
        <v>1.2607274555823165</v>
      </c>
      <c r="CB24">
        <f t="shared" ca="1" si="15"/>
        <v>1.2565369397274537</v>
      </c>
      <c r="CC24">
        <f t="shared" ca="1" si="15"/>
        <v>1.2271202223692326</v>
      </c>
      <c r="CD24">
        <f t="shared" ca="1" si="15"/>
        <v>1.1232062082135992</v>
      </c>
      <c r="CE24">
        <f t="shared" ca="1" si="15"/>
        <v>1.042398527994127</v>
      </c>
      <c r="CF24">
        <f t="shared" ca="1" si="15"/>
        <v>1.0690651685577937</v>
      </c>
      <c r="CG24">
        <f t="shared" ca="1" si="15"/>
        <v>1.0995213240694544</v>
      </c>
      <c r="CH24">
        <f t="shared" ca="1" si="15"/>
        <v>1.0844044198499561</v>
      </c>
      <c r="CI24">
        <f t="shared" ca="1" si="15"/>
        <v>1.1060927838099817</v>
      </c>
      <c r="CJ24">
        <f t="shared" ca="1" si="15"/>
        <v>1.0358567752631862</v>
      </c>
      <c r="CK24">
        <f t="shared" ca="1" si="15"/>
        <v>1.0040098641150954</v>
      </c>
      <c r="CL24">
        <f t="shared" ca="1" si="15"/>
        <v>1.0288302405812688</v>
      </c>
      <c r="CM24">
        <f t="shared" ca="1" si="15"/>
        <v>1.0001040063450359</v>
      </c>
      <c r="CN24">
        <f t="shared" ca="1" si="15"/>
        <v>0.95057411182989326</v>
      </c>
      <c r="CO24">
        <f t="shared" ca="1" si="15"/>
        <v>0.94342568013036965</v>
      </c>
      <c r="CP24">
        <f t="shared" ca="1" si="15"/>
        <v>1.0066672496403994</v>
      </c>
      <c r="CQ24">
        <f t="shared" ca="1" si="15"/>
        <v>1.0396624590172354</v>
      </c>
      <c r="CR24">
        <f t="shared" ca="1" si="15"/>
        <v>1.0162510745297897</v>
      </c>
      <c r="CS24">
        <f t="shared" ca="1" si="15"/>
        <v>1.0161089135408796</v>
      </c>
      <c r="CT24">
        <f t="shared" ca="1" si="15"/>
        <v>1.0508075300155624</v>
      </c>
      <c r="CU24">
        <f t="shared" ca="1" si="15"/>
        <v>1.0794061954627894</v>
      </c>
      <c r="CV24">
        <f t="shared" ca="1" si="15"/>
        <v>1.134624500928497</v>
      </c>
      <c r="CW24">
        <f t="shared" ca="1" si="15"/>
        <v>1.1099621277380869</v>
      </c>
      <c r="CX24">
        <f t="shared" ca="1" si="15"/>
        <v>1.0537366663649717</v>
      </c>
      <c r="CY24">
        <f t="shared" ca="1" si="15"/>
        <v>1.0420132033662126</v>
      </c>
      <c r="CZ24">
        <f t="shared" ca="1" si="15"/>
        <v>1.1473236455984179</v>
      </c>
    </row>
    <row r="25" spans="3:115" x14ac:dyDescent="0.4">
      <c r="E25" s="9">
        <v>20090227</v>
      </c>
      <c r="F25" s="9">
        <v>20090331</v>
      </c>
      <c r="G25" s="9">
        <v>20090430</v>
      </c>
      <c r="H25" s="9">
        <v>20090529</v>
      </c>
      <c r="I25" s="9">
        <v>20090630</v>
      </c>
      <c r="J25" s="9">
        <v>20090731</v>
      </c>
      <c r="K25" s="9">
        <v>20090831</v>
      </c>
      <c r="L25" s="9">
        <v>20090930</v>
      </c>
      <c r="M25" s="9">
        <v>20091030</v>
      </c>
      <c r="N25" s="9">
        <v>20091130</v>
      </c>
      <c r="O25" s="9">
        <v>20091230</v>
      </c>
      <c r="P25" s="9">
        <v>20100129</v>
      </c>
      <c r="Q25" s="9">
        <v>20100226</v>
      </c>
      <c r="R25" s="9">
        <v>20100331</v>
      </c>
      <c r="S25" s="9">
        <v>20100430</v>
      </c>
      <c r="T25" s="9">
        <v>20100531</v>
      </c>
      <c r="U25" s="9">
        <v>20100630</v>
      </c>
      <c r="V25" s="9">
        <v>20100730</v>
      </c>
      <c r="W25" s="9">
        <v>20100831</v>
      </c>
      <c r="X25" s="9">
        <v>20100930</v>
      </c>
      <c r="Y25" s="9">
        <v>20101029</v>
      </c>
      <c r="Z25" s="9">
        <v>20101130</v>
      </c>
      <c r="AA25" s="9">
        <v>20101230</v>
      </c>
      <c r="AB25" s="9">
        <v>20110131</v>
      </c>
      <c r="AC25" s="9">
        <v>20110228</v>
      </c>
      <c r="AD25" s="9">
        <v>20110331</v>
      </c>
      <c r="AE25" s="9">
        <v>20110429</v>
      </c>
      <c r="AF25" s="9">
        <v>20110531</v>
      </c>
      <c r="AG25" s="9">
        <v>20110630</v>
      </c>
      <c r="AH25" s="9">
        <v>20110729</v>
      </c>
      <c r="AI25" s="9">
        <v>20110831</v>
      </c>
      <c r="AJ25" s="9">
        <v>20110930</v>
      </c>
      <c r="AK25" s="9">
        <v>20111031</v>
      </c>
      <c r="AL25" s="9">
        <v>20111130</v>
      </c>
      <c r="AM25" s="9">
        <v>20111229</v>
      </c>
      <c r="AN25" s="9">
        <v>20120131</v>
      </c>
      <c r="AO25" s="9">
        <v>20120229</v>
      </c>
      <c r="AP25" s="9">
        <v>20120330</v>
      </c>
      <c r="AQ25" s="9">
        <v>20120430</v>
      </c>
      <c r="AR25" s="9">
        <v>20120531</v>
      </c>
      <c r="AS25" s="9">
        <v>20120629</v>
      </c>
      <c r="AT25" s="9">
        <v>20120731</v>
      </c>
      <c r="AU25" s="9">
        <v>20120831</v>
      </c>
      <c r="AV25" s="9">
        <v>20120928</v>
      </c>
      <c r="AW25" s="9">
        <v>20121031</v>
      </c>
      <c r="AX25" s="9">
        <v>20121130</v>
      </c>
      <c r="AY25" s="9">
        <v>20121228</v>
      </c>
      <c r="AZ25" s="9">
        <v>20130131</v>
      </c>
      <c r="BA25" s="9">
        <v>20130228</v>
      </c>
      <c r="BB25" s="9">
        <v>20130329</v>
      </c>
      <c r="BC25" s="9">
        <v>20130430</v>
      </c>
      <c r="BD25" s="9">
        <v>20130531</v>
      </c>
      <c r="BE25" s="9">
        <v>20130628</v>
      </c>
      <c r="BF25" s="9">
        <v>20130731</v>
      </c>
      <c r="BG25" s="9">
        <v>20130830</v>
      </c>
      <c r="BH25" s="9">
        <v>20130930</v>
      </c>
      <c r="BI25" s="9">
        <v>20131031</v>
      </c>
      <c r="BJ25" s="9">
        <v>20131129</v>
      </c>
      <c r="BK25" s="9">
        <v>20131230</v>
      </c>
      <c r="BL25" s="9">
        <v>20140129</v>
      </c>
      <c r="BM25" s="9">
        <v>20140228</v>
      </c>
      <c r="BN25" s="9">
        <v>20140331</v>
      </c>
      <c r="BO25" s="9">
        <v>20140430</v>
      </c>
      <c r="BP25" s="9">
        <v>20140530</v>
      </c>
      <c r="BQ25" s="9">
        <v>20140630</v>
      </c>
      <c r="BR25" s="9">
        <v>20140731</v>
      </c>
      <c r="BS25" s="9">
        <v>20140829</v>
      </c>
      <c r="BT25" s="9">
        <v>20140930</v>
      </c>
      <c r="BU25" s="9">
        <v>20141031</v>
      </c>
      <c r="BV25" s="9">
        <v>20141128</v>
      </c>
      <c r="BW25" s="9">
        <v>20141230</v>
      </c>
      <c r="BX25" s="9">
        <v>20150130</v>
      </c>
      <c r="BY25" s="9">
        <v>20150227</v>
      </c>
      <c r="BZ25" s="9">
        <v>20150331</v>
      </c>
      <c r="CA25" s="9">
        <v>20150430</v>
      </c>
      <c r="CB25" s="9">
        <v>20150529</v>
      </c>
      <c r="CC25" s="9">
        <v>20150630</v>
      </c>
      <c r="CD25" s="9">
        <v>20150731</v>
      </c>
      <c r="CE25" s="9">
        <v>20150831</v>
      </c>
      <c r="CF25" s="9">
        <v>20150930</v>
      </c>
      <c r="CG25" s="9">
        <v>20151030</v>
      </c>
      <c r="CH25" s="9">
        <v>20151130</v>
      </c>
      <c r="CI25" s="9">
        <v>20151230</v>
      </c>
      <c r="CJ25" s="9">
        <v>20160129</v>
      </c>
      <c r="CK25" s="9">
        <v>20160229</v>
      </c>
      <c r="CL25" s="9">
        <v>20160331</v>
      </c>
      <c r="CM25" s="9">
        <v>20160429</v>
      </c>
      <c r="CN25" s="9">
        <v>20160531</v>
      </c>
      <c r="CO25" s="9">
        <v>20160630</v>
      </c>
      <c r="CP25" s="9">
        <v>20160729</v>
      </c>
      <c r="CQ25" s="9">
        <v>20160831</v>
      </c>
      <c r="CR25" s="9">
        <v>20160930</v>
      </c>
      <c r="CS25" s="9">
        <v>20161031</v>
      </c>
      <c r="CT25" s="9">
        <v>20161130</v>
      </c>
      <c r="CU25" s="9">
        <v>20161229</v>
      </c>
      <c r="CV25" s="9">
        <v>20170131</v>
      </c>
      <c r="CW25" s="9">
        <v>20170228</v>
      </c>
      <c r="CX25" s="9">
        <v>20170331</v>
      </c>
      <c r="CY25" s="9">
        <v>20170428</v>
      </c>
      <c r="CZ25" s="9">
        <v>20170531</v>
      </c>
    </row>
    <row r="26" spans="3:115" x14ac:dyDescent="0.4">
      <c r="D26" t="s">
        <v>91</v>
      </c>
      <c r="E26" s="18">
        <f ca="1">E21-E20</f>
        <v>2.1216650830916839E-2</v>
      </c>
      <c r="F26" s="18">
        <f t="shared" ref="F26:BQ26" ca="1" si="16">F21-F20</f>
        <v>7.3043281485670186E-2</v>
      </c>
      <c r="G26" s="18">
        <f t="shared" ca="1" si="16"/>
        <v>0.15839176152288559</v>
      </c>
      <c r="H26" s="18">
        <f t="shared" ca="1" si="16"/>
        <v>0.13828115161401278</v>
      </c>
      <c r="I26" s="18">
        <f t="shared" ca="1" si="16"/>
        <v>9.6809577542300906E-2</v>
      </c>
      <c r="J26" s="18">
        <f t="shared" ca="1" si="16"/>
        <v>6.1048929504437632E-2</v>
      </c>
      <c r="K26" s="18">
        <f t="shared" ca="1" si="16"/>
        <v>9.6206191642878025E-2</v>
      </c>
      <c r="L26" s="18">
        <f t="shared" ca="1" si="16"/>
        <v>4.3791739250960138E-3</v>
      </c>
      <c r="M26" s="18">
        <f t="shared" ca="1" si="16"/>
        <v>0.26282455377030711</v>
      </c>
      <c r="N26" s="18">
        <f t="shared" ca="1" si="16"/>
        <v>0.2157209359600738</v>
      </c>
      <c r="O26" s="18">
        <f t="shared" ca="1" si="16"/>
        <v>0.17106411694342993</v>
      </c>
      <c r="P26" s="18">
        <f t="shared" ca="1" si="16"/>
        <v>6.7597049620715888E-2</v>
      </c>
      <c r="Q26" s="18">
        <f t="shared" ca="1" si="16"/>
        <v>8.9658891174992261E-2</v>
      </c>
      <c r="R26" s="18">
        <f t="shared" ca="1" si="16"/>
        <v>-3.3523965598162953E-2</v>
      </c>
      <c r="S26" s="18">
        <f t="shared" ca="1" si="16"/>
        <v>-0.17256622666962373</v>
      </c>
      <c r="T26" s="18">
        <f t="shared" ca="1" si="16"/>
        <v>-0.15873071094901903</v>
      </c>
      <c r="U26" s="18">
        <f t="shared" ca="1" si="16"/>
        <v>-0.11255472519935084</v>
      </c>
      <c r="V26" s="18">
        <f t="shared" ca="1" si="16"/>
        <v>-4.8246227991194601E-2</v>
      </c>
      <c r="W26" s="18">
        <f t="shared" ca="1" si="16"/>
        <v>-4.487184944117284E-2</v>
      </c>
      <c r="X26" s="18">
        <f t="shared" ca="1" si="16"/>
        <v>2.6258104532050242E-2</v>
      </c>
      <c r="Y26" s="18">
        <f t="shared" ca="1" si="16"/>
        <v>0.11150551013236343</v>
      </c>
      <c r="Z26" s="18">
        <f t="shared" ca="1" si="16"/>
        <v>3.6153969753482285E-2</v>
      </c>
      <c r="AA26" s="18">
        <f t="shared" ca="1" si="16"/>
        <v>-4.3112730485334261E-2</v>
      </c>
      <c r="AB26" s="18">
        <f t="shared" ca="1" si="16"/>
        <v>-4.8456146450714721E-2</v>
      </c>
      <c r="AC26" s="18">
        <f t="shared" ca="1" si="16"/>
        <v>-4.437935469415466E-2</v>
      </c>
      <c r="AD26" s="18">
        <f t="shared" ca="1" si="16"/>
        <v>-7.6734768159214317E-2</v>
      </c>
      <c r="AE26" s="18">
        <f t="shared" ca="1" si="16"/>
        <v>-7.3795207390440654E-2</v>
      </c>
      <c r="AF26" s="18">
        <f t="shared" ca="1" si="16"/>
        <v>-7.5841469219638524E-2</v>
      </c>
      <c r="AG26" s="18">
        <f t="shared" ca="1" si="16"/>
        <v>-4.1675602252416288E-2</v>
      </c>
      <c r="AH26" s="18">
        <f t="shared" ca="1" si="16"/>
        <v>0.11821211031222179</v>
      </c>
      <c r="AI26" s="18">
        <f t="shared" ca="1" si="16"/>
        <v>0.1139871412880975</v>
      </c>
      <c r="AJ26" s="18">
        <f t="shared" ca="1" si="16"/>
        <v>5.0044067305372586E-2</v>
      </c>
      <c r="AK26" s="18">
        <f t="shared" ca="1" si="16"/>
        <v>-6.2653805881876301E-2</v>
      </c>
      <c r="AL26" s="18">
        <f t="shared" ca="1" si="16"/>
        <v>-4.8371949111130075E-3</v>
      </c>
      <c r="AM26" s="18">
        <f t="shared" ca="1" si="16"/>
        <v>3.6740730710685621E-2</v>
      </c>
      <c r="AN26" s="18">
        <f t="shared" ca="1" si="16"/>
        <v>6.5495444332064667E-2</v>
      </c>
      <c r="AO26" s="18">
        <f t="shared" ca="1" si="16"/>
        <v>0.15120027922991808</v>
      </c>
      <c r="AP26" s="18">
        <f t="shared" ca="1" si="16"/>
        <v>0.17423872062009227</v>
      </c>
      <c r="AQ26" s="18">
        <f t="shared" ca="1" si="16"/>
        <v>0.14544833333462492</v>
      </c>
      <c r="AR26" s="18">
        <f t="shared" ca="1" si="16"/>
        <v>0.13593392985826169</v>
      </c>
      <c r="AS26" s="18">
        <f t="shared" ca="1" si="16"/>
        <v>7.8533193876813012E-2</v>
      </c>
      <c r="AT26" s="18">
        <f t="shared" ca="1" si="16"/>
        <v>-2.295465175418876E-2</v>
      </c>
      <c r="AU26" s="18">
        <f t="shared" ca="1" si="16"/>
        <v>-2.0881539687045647E-2</v>
      </c>
      <c r="AV26" s="18">
        <f t="shared" ca="1" si="16"/>
        <v>5.1232727163582403E-2</v>
      </c>
      <c r="AW26" s="18">
        <f t="shared" ca="1" si="16"/>
        <v>7.2320159478422852E-2</v>
      </c>
      <c r="AX26" s="18">
        <f t="shared" ca="1" si="16"/>
        <v>4.1157469712379768E-2</v>
      </c>
      <c r="AY26" s="18">
        <f t="shared" ca="1" si="16"/>
        <v>7.7217496398421348E-2</v>
      </c>
      <c r="AZ26" s="18">
        <f t="shared" ca="1" si="16"/>
        <v>8.2210012663632925E-2</v>
      </c>
      <c r="BA26" s="18">
        <f t="shared" ca="1" si="16"/>
        <v>2.5936967847002501E-2</v>
      </c>
      <c r="BB26" s="18">
        <f t="shared" ca="1" si="16"/>
        <v>0.11121860278228402</v>
      </c>
      <c r="BC26" s="18">
        <f t="shared" ca="1" si="16"/>
        <v>0.24523403864449866</v>
      </c>
      <c r="BD26" s="18">
        <f t="shared" ca="1" si="16"/>
        <v>0.28812795483425191</v>
      </c>
      <c r="BE26" s="18">
        <f t="shared" ca="1" si="16"/>
        <v>0.264837713617041</v>
      </c>
      <c r="BF26" s="18">
        <f t="shared" ca="1" si="16"/>
        <v>0.34945732020008302</v>
      </c>
      <c r="BG26" s="18">
        <f t="shared" ca="1" si="16"/>
        <v>0.27399059113741209</v>
      </c>
      <c r="BH26" s="18">
        <f t="shared" ca="1" si="16"/>
        <v>0.25347758503056927</v>
      </c>
      <c r="BI26" s="18">
        <f t="shared" ca="1" si="16"/>
        <v>0.23023875333686417</v>
      </c>
      <c r="BJ26" s="18">
        <f t="shared" ca="1" si="16"/>
        <v>0.25560529344878646</v>
      </c>
      <c r="BK26" s="18">
        <f t="shared" ca="1" si="16"/>
        <v>0.20940960444319301</v>
      </c>
      <c r="BL26" s="18">
        <f t="shared" ca="1" si="16"/>
        <v>0.26513679570386017</v>
      </c>
      <c r="BM26" s="18">
        <f t="shared" ca="1" si="16"/>
        <v>0.31810512880805586</v>
      </c>
      <c r="BN26" s="18">
        <f t="shared" ca="1" si="16"/>
        <v>0.2955707587031865</v>
      </c>
      <c r="BO26" s="18">
        <f t="shared" ca="1" si="16"/>
        <v>0.22564623054308419</v>
      </c>
      <c r="BP26" s="18">
        <f t="shared" ca="1" si="16"/>
        <v>0.20148111565756455</v>
      </c>
      <c r="BQ26" s="18">
        <f t="shared" ca="1" si="16"/>
        <v>0.17688442725310005</v>
      </c>
      <c r="BR26" s="18">
        <f t="shared" ref="BR26:CZ26" ca="1" si="17">BR21-BR20</f>
        <v>0.15157903113968541</v>
      </c>
      <c r="BS26" s="18">
        <f t="shared" ca="1" si="17"/>
        <v>0.19668702769617363</v>
      </c>
      <c r="BT26" s="18">
        <f t="shared" ca="1" si="17"/>
        <v>0.20910758178550637</v>
      </c>
      <c r="BU26" s="18">
        <f t="shared" ca="1" si="17"/>
        <v>0.26217422063103557</v>
      </c>
      <c r="BV26" s="18">
        <f t="shared" ca="1" si="17"/>
        <v>0.22626687073219232</v>
      </c>
      <c r="BW26" s="18">
        <f t="shared" ca="1" si="17"/>
        <v>0.19822950253179383</v>
      </c>
      <c r="BX26" s="18">
        <f t="shared" ca="1" si="17"/>
        <v>0.13115977351701824</v>
      </c>
      <c r="BY26" s="18">
        <f t="shared" ca="1" si="17"/>
        <v>0.13337540730241426</v>
      </c>
      <c r="BZ26" s="18">
        <f t="shared" ca="1" si="17"/>
        <v>0.11451791724346605</v>
      </c>
      <c r="CA26" s="18">
        <f t="shared" ca="1" si="17"/>
        <v>0.12210225627497673</v>
      </c>
      <c r="CB26" s="18">
        <f t="shared" ca="1" si="17"/>
        <v>0.11465685512879897</v>
      </c>
      <c r="CC26" s="18">
        <f t="shared" ca="1" si="17"/>
        <v>0.14946677736877256</v>
      </c>
      <c r="CD26" s="18">
        <f t="shared" ca="1" si="17"/>
        <v>0.13779133634555096</v>
      </c>
      <c r="CE26" s="18">
        <f t="shared" ca="1" si="17"/>
        <v>0.12565337983518932</v>
      </c>
      <c r="CF26" s="18">
        <f t="shared" ca="1" si="17"/>
        <v>0.11104462022021677</v>
      </c>
      <c r="CG26" s="18">
        <f t="shared" ca="1" si="17"/>
        <v>7.0404737808802631E-2</v>
      </c>
      <c r="CH26" s="18">
        <f t="shared" ca="1" si="17"/>
        <v>0.1019960279810781</v>
      </c>
      <c r="CI26" s="18">
        <f t="shared" ca="1" si="17"/>
        <v>0.12097144497880108</v>
      </c>
      <c r="CJ26" s="18">
        <f t="shared" ca="1" si="17"/>
        <v>0.10470305475909536</v>
      </c>
      <c r="CK26" s="18">
        <f t="shared" ca="1" si="17"/>
        <v>6.9386358075958499E-2</v>
      </c>
      <c r="CL26" s="18">
        <f t="shared" ca="1" si="17"/>
        <v>8.8496824668047314E-2</v>
      </c>
      <c r="CM26" s="18">
        <f t="shared" ca="1" si="17"/>
        <v>9.7465825268270523E-2</v>
      </c>
      <c r="CN26" s="18">
        <f t="shared" ca="1" si="17"/>
        <v>6.0987637143475326E-2</v>
      </c>
      <c r="CO26" s="18">
        <f t="shared" ca="1" si="17"/>
        <v>5.1274079676484119E-2</v>
      </c>
      <c r="CP26" s="18">
        <f t="shared" ca="1" si="17"/>
        <v>7.0574640509367237E-2</v>
      </c>
      <c r="CQ26" s="18">
        <f t="shared" ca="1" si="17"/>
        <v>1.5158123700824255E-2</v>
      </c>
      <c r="CR26" s="18">
        <f t="shared" ca="1" si="17"/>
        <v>-8.4147372076028848E-3</v>
      </c>
      <c r="CS26" s="18">
        <f t="shared" ca="1" si="17"/>
        <v>3.2997187676303552E-3</v>
      </c>
      <c r="CT26" s="18">
        <f t="shared" ca="1" si="17"/>
        <v>2.3203802886242242E-2</v>
      </c>
      <c r="CU26" s="18">
        <f t="shared" ca="1" si="17"/>
        <v>1.2364864487855565E-2</v>
      </c>
      <c r="CV26" s="18">
        <f t="shared" ca="1" si="17"/>
        <v>-2.0736044859445579E-2</v>
      </c>
      <c r="CW26" s="18">
        <f t="shared" ca="1" si="17"/>
        <v>-5.3030124111334898E-2</v>
      </c>
      <c r="CX26" s="18">
        <f t="shared" ca="1" si="17"/>
        <v>-0.1144835526857878</v>
      </c>
      <c r="CY26" s="18">
        <f t="shared" ca="1" si="17"/>
        <v>-0.14287427983569967</v>
      </c>
      <c r="CZ26" s="18">
        <f t="shared" ca="1" si="17"/>
        <v>-0.11258712793863013</v>
      </c>
      <c r="DA26">
        <f ca="1">COUNTIF(E26:CZ26,"&gt;0")</f>
        <v>77</v>
      </c>
    </row>
    <row r="27" spans="3:115" x14ac:dyDescent="0.4">
      <c r="D27" t="s">
        <v>92</v>
      </c>
      <c r="E27" s="18">
        <f ca="1">E22-E20</f>
        <v>-2.1182454112204097E-3</v>
      </c>
      <c r="F27" s="18">
        <f t="shared" ref="F27:BQ27" ca="1" si="18">F22-F20</f>
        <v>3.4094145688955302E-2</v>
      </c>
      <c r="G27" s="18">
        <f t="shared" ca="1" si="18"/>
        <v>8.7626630218470947E-2</v>
      </c>
      <c r="H27" s="18">
        <f t="shared" ca="1" si="18"/>
        <v>4.305795298810644E-2</v>
      </c>
      <c r="I27" s="18">
        <f t="shared" ca="1" si="18"/>
        <v>3.1946409037363344E-3</v>
      </c>
      <c r="J27" s="18">
        <f t="shared" ca="1" si="18"/>
        <v>-1.705940213655821E-2</v>
      </c>
      <c r="K27" s="18">
        <f t="shared" ca="1" si="18"/>
        <v>-1.8188984719120782E-3</v>
      </c>
      <c r="L27" s="18">
        <f t="shared" ca="1" si="18"/>
        <v>-3.8088764044264201E-2</v>
      </c>
      <c r="M27" s="18">
        <f t="shared" ca="1" si="18"/>
        <v>0.18002749928206163</v>
      </c>
      <c r="N27" s="18">
        <f t="shared" ca="1" si="18"/>
        <v>0.11389189734088689</v>
      </c>
      <c r="O27" s="18">
        <f t="shared" ca="1" si="18"/>
        <v>5.3981783467338618E-2</v>
      </c>
      <c r="P27" s="18">
        <f t="shared" ca="1" si="18"/>
        <v>-4.9442039218660305E-2</v>
      </c>
      <c r="Q27" s="18">
        <f t="shared" ca="1" si="18"/>
        <v>-3.8149937234979614E-2</v>
      </c>
      <c r="R27" s="18">
        <f t="shared" ca="1" si="18"/>
        <v>-0.10164420670688945</v>
      </c>
      <c r="S27" s="18">
        <f t="shared" ca="1" si="18"/>
        <v>-0.19891560859940238</v>
      </c>
      <c r="T27" s="18">
        <f t="shared" ca="1" si="18"/>
        <v>-0.15947849776816536</v>
      </c>
      <c r="U27" s="18">
        <f t="shared" ca="1" si="18"/>
        <v>-0.12274363831974311</v>
      </c>
      <c r="V27" s="18">
        <f t="shared" ca="1" si="18"/>
        <v>-8.2108003244068861E-2</v>
      </c>
      <c r="W27" s="18">
        <f t="shared" ca="1" si="18"/>
        <v>-8.3403901233608968E-2</v>
      </c>
      <c r="X27" s="18">
        <f t="shared" ca="1" si="18"/>
        <v>-3.8152895372125739E-2</v>
      </c>
      <c r="Y27" s="18">
        <f t="shared" ca="1" si="18"/>
        <v>3.0438682215129242E-2</v>
      </c>
      <c r="Z27" s="18">
        <f t="shared" ca="1" si="18"/>
        <v>-2.7824200371947549E-2</v>
      </c>
      <c r="AA27" s="18">
        <f t="shared" ca="1" si="18"/>
        <v>-6.5875842728298828E-2</v>
      </c>
      <c r="AB27" s="18">
        <f t="shared" ca="1" si="18"/>
        <v>-6.5790883683656043E-2</v>
      </c>
      <c r="AC27" s="18">
        <f t="shared" ca="1" si="18"/>
        <v>-6.5207491560430597E-2</v>
      </c>
      <c r="AD27" s="18">
        <f t="shared" ca="1" si="18"/>
        <v>-0.10278694810081479</v>
      </c>
      <c r="AE27" s="18">
        <f t="shared" ca="1" si="18"/>
        <v>-0.10632876692062543</v>
      </c>
      <c r="AF27" s="18">
        <f t="shared" ca="1" si="18"/>
        <v>-0.11128561574827245</v>
      </c>
      <c r="AG27" s="18">
        <f t="shared" ca="1" si="18"/>
        <v>-8.1879958468176861E-2</v>
      </c>
      <c r="AH27" s="18">
        <f t="shared" ca="1" si="18"/>
        <v>4.0548906861640921E-2</v>
      </c>
      <c r="AI27" s="18">
        <f t="shared" ca="1" si="18"/>
        <v>6.3569540066739538E-2</v>
      </c>
      <c r="AJ27" s="18">
        <f t="shared" ca="1" si="18"/>
        <v>1.5570927172611326E-2</v>
      </c>
      <c r="AK27" s="18">
        <f t="shared" ca="1" si="18"/>
        <v>-7.9799596288379626E-2</v>
      </c>
      <c r="AL27" s="18">
        <f t="shared" ca="1" si="18"/>
        <v>-1.6321148460104351E-2</v>
      </c>
      <c r="AM27" s="18">
        <f t="shared" ca="1" si="18"/>
        <v>7.2363558383969018E-2</v>
      </c>
      <c r="AN27" s="18">
        <f t="shared" ca="1" si="18"/>
        <v>0.11885588573923334</v>
      </c>
      <c r="AO27" s="18">
        <f t="shared" ca="1" si="18"/>
        <v>0.16522153828845898</v>
      </c>
      <c r="AP27" s="18">
        <f t="shared" ca="1" si="18"/>
        <v>0.17441348900671383</v>
      </c>
      <c r="AQ27" s="18">
        <f t="shared" ca="1" si="18"/>
        <v>0.1576158015779342</v>
      </c>
      <c r="AR27" s="18">
        <f t="shared" ca="1" si="18"/>
        <v>0.14511448107059943</v>
      </c>
      <c r="AS27" s="18">
        <f t="shared" ca="1" si="18"/>
        <v>0.10982599291168926</v>
      </c>
      <c r="AT27" s="18">
        <f t="shared" ca="1" si="18"/>
        <v>1.5204632979151311E-2</v>
      </c>
      <c r="AU27" s="18">
        <f t="shared" ca="1" si="18"/>
        <v>1.2298853194025572E-2</v>
      </c>
      <c r="AV27" s="18">
        <f t="shared" ca="1" si="18"/>
        <v>8.9816114375253386E-2</v>
      </c>
      <c r="AW27" s="18">
        <f t="shared" ca="1" si="18"/>
        <v>0.13580850100198072</v>
      </c>
      <c r="AX27" s="18">
        <f t="shared" ca="1" si="18"/>
        <v>0.12857327225163062</v>
      </c>
      <c r="AY27" s="18">
        <f t="shared" ca="1" si="18"/>
        <v>9.2150467088396359E-2</v>
      </c>
      <c r="AZ27" s="18">
        <f t="shared" ca="1" si="18"/>
        <v>0.10502612333282446</v>
      </c>
      <c r="BA27" s="18">
        <f t="shared" ca="1" si="18"/>
        <v>8.2565376668432E-2</v>
      </c>
      <c r="BB27" s="18">
        <f t="shared" ca="1" si="18"/>
        <v>0.18655986888663023</v>
      </c>
      <c r="BC27" s="18">
        <f t="shared" ca="1" si="18"/>
        <v>0.30773193956668154</v>
      </c>
      <c r="BD27" s="18">
        <f t="shared" ca="1" si="18"/>
        <v>0.33677667385232901</v>
      </c>
      <c r="BE27" s="18">
        <f t="shared" ca="1" si="18"/>
        <v>0.31677887844201091</v>
      </c>
      <c r="BF27" s="18">
        <f t="shared" ca="1" si="18"/>
        <v>0.39395010032642119</v>
      </c>
      <c r="BG27" s="18">
        <f t="shared" ca="1" si="18"/>
        <v>0.3177699763324402</v>
      </c>
      <c r="BH27" s="18">
        <f t="shared" ca="1" si="18"/>
        <v>0.28125235778495483</v>
      </c>
      <c r="BI27" s="18">
        <f t="shared" ca="1" si="18"/>
        <v>0.23035231855864224</v>
      </c>
      <c r="BJ27" s="18">
        <f t="shared" ca="1" si="18"/>
        <v>0.21598112153050986</v>
      </c>
      <c r="BK27" s="18">
        <f t="shared" ca="1" si="18"/>
        <v>0.16589753758118486</v>
      </c>
      <c r="BL27" s="18">
        <f t="shared" ca="1" si="18"/>
        <v>0.15753762942043559</v>
      </c>
      <c r="BM27" s="18">
        <f t="shared" ca="1" si="18"/>
        <v>0.21918296701481332</v>
      </c>
      <c r="BN27" s="18">
        <f t="shared" ca="1" si="18"/>
        <v>0.19878959261568874</v>
      </c>
      <c r="BO27" s="18">
        <f t="shared" ca="1" si="18"/>
        <v>0.14751653672634135</v>
      </c>
      <c r="BP27" s="18">
        <f t="shared" ca="1" si="18"/>
        <v>0.13556671297153799</v>
      </c>
      <c r="BQ27" s="18">
        <f t="shared" ca="1" si="18"/>
        <v>0.15470526835736464</v>
      </c>
      <c r="BR27" s="18">
        <f t="shared" ref="BR27:CZ27" ca="1" si="19">BR22-BR20</f>
        <v>0.15631081983902151</v>
      </c>
      <c r="BS27" s="18">
        <f t="shared" ca="1" si="19"/>
        <v>0.21614054810157457</v>
      </c>
      <c r="BT27" s="18">
        <f t="shared" ca="1" si="19"/>
        <v>0.24033939999478049</v>
      </c>
      <c r="BU27" s="18">
        <f t="shared" ca="1" si="19"/>
        <v>0.28837078792758719</v>
      </c>
      <c r="BV27" s="18">
        <f t="shared" ca="1" si="19"/>
        <v>0.26116886901639169</v>
      </c>
      <c r="BW27" s="18">
        <f t="shared" ca="1" si="19"/>
        <v>0.26656207055417747</v>
      </c>
      <c r="BX27" s="18">
        <f t="shared" ca="1" si="19"/>
        <v>0.22742676814886797</v>
      </c>
      <c r="BY27" s="18">
        <f t="shared" ca="1" si="19"/>
        <v>0.22857950417876105</v>
      </c>
      <c r="BZ27" s="18">
        <f t="shared" ca="1" si="19"/>
        <v>0.19076166216093005</v>
      </c>
      <c r="CA27" s="18">
        <f t="shared" ca="1" si="19"/>
        <v>0.20246751185958711</v>
      </c>
      <c r="CB27" s="18">
        <f t="shared" ca="1" si="19"/>
        <v>0.2222873484300083</v>
      </c>
      <c r="CC27" s="18">
        <f t="shared" ca="1" si="19"/>
        <v>0.21378099450985322</v>
      </c>
      <c r="CD27" s="18">
        <f t="shared" ca="1" si="19"/>
        <v>0.19416424154547429</v>
      </c>
      <c r="CE27" s="18">
        <f t="shared" ca="1" si="19"/>
        <v>0.16128262121185766</v>
      </c>
      <c r="CF27" s="18">
        <f t="shared" ca="1" si="19"/>
        <v>0.1479327448208857</v>
      </c>
      <c r="CG27" s="18">
        <f t="shared" ca="1" si="19"/>
        <v>9.2044608353190061E-2</v>
      </c>
      <c r="CH27" s="18">
        <f t="shared" ca="1" si="19"/>
        <v>0.1117272600912127</v>
      </c>
      <c r="CI27" s="18">
        <f t="shared" ca="1" si="19"/>
        <v>0.114979175425999</v>
      </c>
      <c r="CJ27" s="18">
        <f t="shared" ca="1" si="19"/>
        <v>9.1503851865020969E-2</v>
      </c>
      <c r="CK27" s="18">
        <f t="shared" ca="1" si="19"/>
        <v>5.7715495852921017E-2</v>
      </c>
      <c r="CL27" s="18">
        <f t="shared" ca="1" si="19"/>
        <v>9.1087016915784913E-2</v>
      </c>
      <c r="CM27" s="18">
        <f t="shared" ca="1" si="19"/>
        <v>9.975196360467109E-2</v>
      </c>
      <c r="CN27" s="18">
        <f t="shared" ca="1" si="19"/>
        <v>3.0482024308181366E-2</v>
      </c>
      <c r="CO27" s="18">
        <f t="shared" ca="1" si="19"/>
        <v>-5.5053737351035137E-3</v>
      </c>
      <c r="CP27" s="18">
        <f t="shared" ca="1" si="19"/>
        <v>2.0046862789158126E-4</v>
      </c>
      <c r="CQ27" s="18">
        <f t="shared" ca="1" si="19"/>
        <v>-2.8678590511978408E-2</v>
      </c>
      <c r="CR27" s="18">
        <f t="shared" ca="1" si="19"/>
        <v>-4.5313988871209299E-2</v>
      </c>
      <c r="CS27" s="18">
        <f t="shared" ca="1" si="19"/>
        <v>-6.8939181745962808E-3</v>
      </c>
      <c r="CT27" s="18">
        <f t="shared" ca="1" si="19"/>
        <v>2.2616968863563791E-2</v>
      </c>
      <c r="CU27" s="18">
        <f t="shared" ca="1" si="19"/>
        <v>1.3661459574834556E-2</v>
      </c>
      <c r="CV27" s="18">
        <f t="shared" ca="1" si="19"/>
        <v>1.789371060348155E-2</v>
      </c>
      <c r="CW27" s="18">
        <f t="shared" ca="1" si="19"/>
        <v>-5.8381747930402739E-4</v>
      </c>
      <c r="CX27" s="18">
        <f t="shared" ca="1" si="19"/>
        <v>-6.4680604770088745E-2</v>
      </c>
      <c r="CY27" s="18">
        <f t="shared" ca="1" si="19"/>
        <v>-9.3424535238934014E-2</v>
      </c>
      <c r="CZ27" s="18">
        <f t="shared" ca="1" si="19"/>
        <v>-5.2150270411068123E-2</v>
      </c>
      <c r="DA27">
        <f ca="1">COUNTIF(E27:CZ27,"&gt;0")</f>
        <v>69</v>
      </c>
    </row>
    <row r="28" spans="3:115" x14ac:dyDescent="0.4">
      <c r="D28" t="s">
        <v>93</v>
      </c>
      <c r="E28" s="18">
        <f ca="1">E23-E20</f>
        <v>-3.8224533792898807E-3</v>
      </c>
      <c r="F28" s="18">
        <f t="shared" ref="F28:BQ28" ca="1" si="20">F23-F20</f>
        <v>2.1488077892415136E-2</v>
      </c>
      <c r="G28" s="18">
        <f t="shared" ca="1" si="20"/>
        <v>7.3948848379190801E-2</v>
      </c>
      <c r="H28" s="18">
        <f t="shared" ca="1" si="20"/>
        <v>3.0758657105516396E-2</v>
      </c>
      <c r="I28" s="18">
        <f t="shared" ca="1" si="20"/>
        <v>-1.6967323231541265E-2</v>
      </c>
      <c r="J28" s="18">
        <f t="shared" ca="1" si="20"/>
        <v>-5.7050147080359936E-2</v>
      </c>
      <c r="K28" s="18">
        <f t="shared" ca="1" si="20"/>
        <v>-5.7518602138884711E-2</v>
      </c>
      <c r="L28" s="18">
        <f t="shared" ca="1" si="20"/>
        <v>-8.8377569101068199E-2</v>
      </c>
      <c r="M28" s="18">
        <f t="shared" ca="1" si="20"/>
        <v>0.12271908112914276</v>
      </c>
      <c r="N28" s="18">
        <f t="shared" ca="1" si="20"/>
        <v>8.0035857732279281E-2</v>
      </c>
      <c r="O28" s="18">
        <f t="shared" ca="1" si="20"/>
        <v>1.5869344288718112E-2</v>
      </c>
      <c r="P28" s="18">
        <f t="shared" ca="1" si="20"/>
        <v>-7.0224241528424214E-2</v>
      </c>
      <c r="Q28" s="18">
        <f t="shared" ca="1" si="20"/>
        <v>-8.9995395625157126E-2</v>
      </c>
      <c r="R28" s="18">
        <f t="shared" ca="1" si="20"/>
        <v>-0.14176893676071955</v>
      </c>
      <c r="S28" s="18">
        <f t="shared" ca="1" si="20"/>
        <v>-0.2237460437716976</v>
      </c>
      <c r="T28" s="18">
        <f t="shared" ca="1" si="20"/>
        <v>-0.19234924645776375</v>
      </c>
      <c r="U28" s="18">
        <f t="shared" ca="1" si="20"/>
        <v>-0.16427157791785674</v>
      </c>
      <c r="V28" s="18">
        <f t="shared" ca="1" si="20"/>
        <v>-0.1124142651216411</v>
      </c>
      <c r="W28" s="18">
        <f t="shared" ca="1" si="20"/>
        <v>-9.8175123379755314E-2</v>
      </c>
      <c r="X28" s="18">
        <f t="shared" ca="1" si="20"/>
        <v>-5.2486246554706684E-2</v>
      </c>
      <c r="Y28" s="18">
        <f t="shared" ca="1" si="20"/>
        <v>-7.4517707214383222E-4</v>
      </c>
      <c r="Z28" s="18">
        <f t="shared" ca="1" si="20"/>
        <v>-7.0807853125457454E-2</v>
      </c>
      <c r="AA28" s="18">
        <f t="shared" ca="1" si="20"/>
        <v>-0.10830187648033052</v>
      </c>
      <c r="AB28" s="18">
        <f t="shared" ca="1" si="20"/>
        <v>-9.1016424535168117E-2</v>
      </c>
      <c r="AC28" s="18">
        <f t="shared" ca="1" si="20"/>
        <v>-8.1747557658757852E-2</v>
      </c>
      <c r="AD28" s="18">
        <f t="shared" ca="1" si="20"/>
        <v>-0.10076885715089112</v>
      </c>
      <c r="AE28" s="18">
        <f t="shared" ca="1" si="20"/>
        <v>-9.8888198262576443E-2</v>
      </c>
      <c r="AF28" s="18">
        <f t="shared" ca="1" si="20"/>
        <v>-0.11013654536208883</v>
      </c>
      <c r="AG28" s="18">
        <f t="shared" ca="1" si="20"/>
        <v>-7.3774140826510903E-2</v>
      </c>
      <c r="AH28" s="18">
        <f t="shared" ca="1" si="20"/>
        <v>3.2979221738397069E-2</v>
      </c>
      <c r="AI28" s="18">
        <f t="shared" ca="1" si="20"/>
        <v>4.5282546314811656E-2</v>
      </c>
      <c r="AJ28" s="18">
        <f t="shared" ca="1" si="20"/>
        <v>-9.1936829980077128E-3</v>
      </c>
      <c r="AK28" s="18">
        <f t="shared" ca="1" si="20"/>
        <v>-0.10525322868938836</v>
      </c>
      <c r="AL28" s="18">
        <f t="shared" ca="1" si="20"/>
        <v>-4.0342252795707245E-2</v>
      </c>
      <c r="AM28" s="18">
        <f t="shared" ca="1" si="20"/>
        <v>4.2100618563159053E-2</v>
      </c>
      <c r="AN28" s="18">
        <f t="shared" ca="1" si="20"/>
        <v>6.1471560192579155E-2</v>
      </c>
      <c r="AO28" s="18">
        <f t="shared" ca="1" si="20"/>
        <v>9.5107346573907181E-2</v>
      </c>
      <c r="AP28" s="18">
        <f t="shared" ca="1" si="20"/>
        <v>9.1642946049461105E-2</v>
      </c>
      <c r="AQ28" s="18">
        <f t="shared" ca="1" si="20"/>
        <v>6.8938642047842058E-2</v>
      </c>
      <c r="AR28" s="18">
        <f t="shared" ca="1" si="20"/>
        <v>7.3273556788411187E-2</v>
      </c>
      <c r="AS28" s="18">
        <f t="shared" ca="1" si="20"/>
        <v>4.5516099722599956E-2</v>
      </c>
      <c r="AT28" s="18">
        <f t="shared" ca="1" si="20"/>
        <v>-3.0562341953035754E-2</v>
      </c>
      <c r="AU28" s="18">
        <f t="shared" ca="1" si="20"/>
        <v>-4.0369112451730804E-2</v>
      </c>
      <c r="AV28" s="18">
        <f t="shared" ca="1" si="20"/>
        <v>3.5500926054044646E-2</v>
      </c>
      <c r="AW28" s="18">
        <f t="shared" ca="1" si="20"/>
        <v>9.7795446953791831E-2</v>
      </c>
      <c r="AX28" s="18">
        <f t="shared" ca="1" si="20"/>
        <v>0.10526915072873511</v>
      </c>
      <c r="AY28" s="18">
        <f t="shared" ca="1" si="20"/>
        <v>6.8618230203644215E-2</v>
      </c>
      <c r="AZ28" s="18">
        <f t="shared" ca="1" si="20"/>
        <v>9.5702499432247734E-2</v>
      </c>
      <c r="BA28" s="18">
        <f t="shared" ca="1" si="20"/>
        <v>6.5219821057869831E-2</v>
      </c>
      <c r="BB28" s="18">
        <f t="shared" ca="1" si="20"/>
        <v>0.17231227521437364</v>
      </c>
      <c r="BC28" s="18">
        <f t="shared" ca="1" si="20"/>
        <v>0.32794140613996769</v>
      </c>
      <c r="BD28" s="18">
        <f t="shared" ca="1" si="20"/>
        <v>0.3408061832646041</v>
      </c>
      <c r="BE28" s="18">
        <f t="shared" ca="1" si="20"/>
        <v>0.31733526719977978</v>
      </c>
      <c r="BF28" s="18">
        <f t="shared" ca="1" si="20"/>
        <v>0.38390979152090776</v>
      </c>
      <c r="BG28" s="18">
        <f t="shared" ca="1" si="20"/>
        <v>0.31476965731644047</v>
      </c>
      <c r="BH28" s="18">
        <f t="shared" ca="1" si="20"/>
        <v>0.28731375948805393</v>
      </c>
      <c r="BI28" s="18">
        <f t="shared" ca="1" si="20"/>
        <v>0.2276066249042763</v>
      </c>
      <c r="BJ28" s="18">
        <f t="shared" ca="1" si="20"/>
        <v>0.19920079609137975</v>
      </c>
      <c r="BK28" s="18">
        <f t="shared" ca="1" si="20"/>
        <v>0.17593242825848954</v>
      </c>
      <c r="BL28" s="18">
        <f t="shared" ca="1" si="20"/>
        <v>0.15877130690513241</v>
      </c>
      <c r="BM28" s="18">
        <f t="shared" ca="1" si="20"/>
        <v>0.2123962071196952</v>
      </c>
      <c r="BN28" s="18">
        <f t="shared" ca="1" si="20"/>
        <v>0.19111177364763987</v>
      </c>
      <c r="BO28" s="18">
        <f t="shared" ca="1" si="20"/>
        <v>0.11863593137727757</v>
      </c>
      <c r="BP28" s="18">
        <f t="shared" ca="1" si="20"/>
        <v>0.10714993372160164</v>
      </c>
      <c r="BQ28" s="18">
        <f t="shared" ca="1" si="20"/>
        <v>0.10941675790045036</v>
      </c>
      <c r="BR28" s="18">
        <f t="shared" ref="BR28:CZ28" ca="1" si="21">BR23-BR20</f>
        <v>0.1378578673194002</v>
      </c>
      <c r="BS28" s="18">
        <f t="shared" ca="1" si="21"/>
        <v>0.20864096589096248</v>
      </c>
      <c r="BT28" s="18">
        <f t="shared" ca="1" si="21"/>
        <v>0.22227211583278805</v>
      </c>
      <c r="BU28" s="18">
        <f t="shared" ca="1" si="21"/>
        <v>0.23866444135454024</v>
      </c>
      <c r="BV28" s="18">
        <f t="shared" ca="1" si="21"/>
        <v>0.22365332849666675</v>
      </c>
      <c r="BW28" s="18">
        <f t="shared" ca="1" si="21"/>
        <v>0.22044332887433205</v>
      </c>
      <c r="BX28" s="18">
        <f t="shared" ca="1" si="21"/>
        <v>0.18720286751127979</v>
      </c>
      <c r="BY28" s="18">
        <f t="shared" ca="1" si="21"/>
        <v>0.20797937254658527</v>
      </c>
      <c r="BZ28" s="18">
        <f t="shared" ca="1" si="21"/>
        <v>0.16990660882996256</v>
      </c>
      <c r="CA28" s="18">
        <f t="shared" ca="1" si="21"/>
        <v>0.17162475847768577</v>
      </c>
      <c r="CB28" s="18">
        <f t="shared" ca="1" si="21"/>
        <v>0.1911942215073803</v>
      </c>
      <c r="CC28" s="18">
        <f t="shared" ca="1" si="21"/>
        <v>0.17428331898832794</v>
      </c>
      <c r="CD28" s="18">
        <f t="shared" ca="1" si="21"/>
        <v>0.13124580582389078</v>
      </c>
      <c r="CE28" s="18">
        <f t="shared" ca="1" si="21"/>
        <v>9.2443905675446025E-2</v>
      </c>
      <c r="CF28" s="18">
        <f t="shared" ca="1" si="21"/>
        <v>8.1218080043243046E-2</v>
      </c>
      <c r="CG28" s="18">
        <f t="shared" ca="1" si="21"/>
        <v>4.7663515285752966E-2</v>
      </c>
      <c r="CH28" s="18">
        <f t="shared" ca="1" si="21"/>
        <v>6.1331641345649057E-2</v>
      </c>
      <c r="CI28" s="18">
        <f t="shared" ca="1" si="21"/>
        <v>6.5314259639447814E-2</v>
      </c>
      <c r="CJ28" s="18">
        <f t="shared" ca="1" si="21"/>
        <v>4.854516183160229E-2</v>
      </c>
      <c r="CK28" s="18">
        <f t="shared" ca="1" si="21"/>
        <v>2.0493327008365259E-2</v>
      </c>
      <c r="CL28" s="18">
        <f t="shared" ca="1" si="21"/>
        <v>4.6700397951392469E-2</v>
      </c>
      <c r="CM28" s="18">
        <f t="shared" ca="1" si="21"/>
        <v>6.867099955301148E-2</v>
      </c>
      <c r="CN28" s="18">
        <f t="shared" ca="1" si="21"/>
        <v>1.6021522049449066E-2</v>
      </c>
      <c r="CO28" s="18">
        <f t="shared" ca="1" si="21"/>
        <v>8.5087377714532231E-4</v>
      </c>
      <c r="CP28" s="18">
        <f t="shared" ca="1" si="21"/>
        <v>1.4270861839783322E-2</v>
      </c>
      <c r="CQ28" s="18">
        <f t="shared" ca="1" si="21"/>
        <v>-6.0497226105609148E-3</v>
      </c>
      <c r="CR28" s="18">
        <f t="shared" ca="1" si="21"/>
        <v>-1.8096413893499363E-2</v>
      </c>
      <c r="CS28" s="18">
        <f t="shared" ca="1" si="21"/>
        <v>2.7218100961104108E-2</v>
      </c>
      <c r="CT28" s="18">
        <f t="shared" ca="1" si="21"/>
        <v>5.7979217875197886E-2</v>
      </c>
      <c r="CU28" s="18">
        <f t="shared" ca="1" si="21"/>
        <v>5.1749839978289636E-2</v>
      </c>
      <c r="CV28" s="18">
        <f t="shared" ca="1" si="21"/>
        <v>5.8338163948238098E-2</v>
      </c>
      <c r="CW28" s="18">
        <f t="shared" ca="1" si="21"/>
        <v>2.9058266761204044E-2</v>
      </c>
      <c r="CX28" s="18">
        <f t="shared" ca="1" si="21"/>
        <v>-2.3559216727212062E-2</v>
      </c>
      <c r="CY28" s="18">
        <f t="shared" ca="1" si="21"/>
        <v>-6.4359333571042843E-2</v>
      </c>
      <c r="CZ28" s="18">
        <f t="shared" ca="1" si="21"/>
        <v>-3.0739984311476176E-2</v>
      </c>
      <c r="DA28">
        <f ca="1">COUNTIF(E28:CZ28,"&gt;0")</f>
        <v>67</v>
      </c>
    </row>
    <row r="29" spans="3:115" x14ac:dyDescent="0.4">
      <c r="D29" t="s">
        <v>94</v>
      </c>
      <c r="E29" s="18">
        <f ca="1">E24-E20</f>
        <v>-1.4353356470273582E-2</v>
      </c>
      <c r="F29" s="18">
        <f t="shared" ref="F29:BQ29" ca="1" si="22">F24-F20</f>
        <v>1.6851655121072229E-2</v>
      </c>
      <c r="G29" s="18">
        <f t="shared" ca="1" si="22"/>
        <v>8.2739278044881237E-2</v>
      </c>
      <c r="H29" s="18">
        <f t="shared" ca="1" si="22"/>
        <v>4.7227536674035453E-2</v>
      </c>
      <c r="I29" s="18">
        <f t="shared" ca="1" si="22"/>
        <v>-4.1601539168463209E-3</v>
      </c>
      <c r="J29" s="18">
        <f t="shared" ca="1" si="22"/>
        <v>-4.0949938467304769E-2</v>
      </c>
      <c r="K29" s="18">
        <f t="shared" ca="1" si="22"/>
        <v>-5.7301739559035392E-2</v>
      </c>
      <c r="L29" s="18">
        <f t="shared" ca="1" si="22"/>
        <v>-7.6738370133754064E-2</v>
      </c>
      <c r="M29" s="18">
        <f t="shared" ca="1" si="22"/>
        <v>0.13159947743507372</v>
      </c>
      <c r="N29" s="18">
        <f t="shared" ca="1" si="22"/>
        <v>7.5153620416015698E-2</v>
      </c>
      <c r="O29" s="18">
        <f t="shared" ca="1" si="22"/>
        <v>2.3232865365875321E-2</v>
      </c>
      <c r="P29" s="18">
        <f t="shared" ca="1" si="22"/>
        <v>-4.9174726131917312E-2</v>
      </c>
      <c r="Q29" s="18">
        <f t="shared" ca="1" si="22"/>
        <v>-6.6426163984062647E-2</v>
      </c>
      <c r="R29" s="18">
        <f t="shared" ca="1" si="22"/>
        <v>-0.12505460680376568</v>
      </c>
      <c r="S29" s="18">
        <f t="shared" ca="1" si="22"/>
        <v>-0.21905709267743045</v>
      </c>
      <c r="T29" s="18">
        <f t="shared" ca="1" si="22"/>
        <v>-0.18131051840821955</v>
      </c>
      <c r="U29" s="18">
        <f t="shared" ca="1" si="22"/>
        <v>-0.14847539958778566</v>
      </c>
      <c r="V29" s="18">
        <f t="shared" ca="1" si="22"/>
        <v>-9.9591590643748784E-2</v>
      </c>
      <c r="W29" s="18">
        <f t="shared" ca="1" si="22"/>
        <v>-8.2960283101350507E-2</v>
      </c>
      <c r="X29" s="18">
        <f t="shared" ca="1" si="22"/>
        <v>-3.9085962036110367E-2</v>
      </c>
      <c r="Y29" s="18">
        <f t="shared" ca="1" si="22"/>
        <v>1.0572408403291433E-2</v>
      </c>
      <c r="Z29" s="18">
        <f t="shared" ca="1" si="22"/>
        <v>-1.7468279919373941E-2</v>
      </c>
      <c r="AA29" s="18">
        <f t="shared" ca="1" si="22"/>
        <v>-6.0657411796652294E-2</v>
      </c>
      <c r="AB29" s="18">
        <f t="shared" ca="1" si="22"/>
        <v>-6.1660277003580122E-2</v>
      </c>
      <c r="AC29" s="18">
        <f t="shared" ca="1" si="22"/>
        <v>-5.8536880329521201E-2</v>
      </c>
      <c r="AD29" s="18">
        <f t="shared" ca="1" si="22"/>
        <v>-7.5026074586835856E-2</v>
      </c>
      <c r="AE29" s="18">
        <f t="shared" ca="1" si="22"/>
        <v>-6.7452149073766288E-2</v>
      </c>
      <c r="AF29" s="18">
        <f t="shared" ca="1" si="22"/>
        <v>-8.017696514207362E-2</v>
      </c>
      <c r="AG29" s="18">
        <f t="shared" ca="1" si="22"/>
        <v>-5.1154702602470792E-2</v>
      </c>
      <c r="AH29" s="18">
        <f t="shared" ca="1" si="22"/>
        <v>5.4764196972168611E-2</v>
      </c>
      <c r="AI29" s="18">
        <f t="shared" ca="1" si="22"/>
        <v>5.9283216973541997E-2</v>
      </c>
      <c r="AJ29" s="18">
        <f t="shared" ca="1" si="22"/>
        <v>-7.7256803279524E-3</v>
      </c>
      <c r="AK29" s="18">
        <f t="shared" ca="1" si="22"/>
        <v>-9.6717294960264044E-2</v>
      </c>
      <c r="AL29" s="18">
        <f t="shared" ca="1" si="22"/>
        <v>-5.7309490402767338E-2</v>
      </c>
      <c r="AM29" s="18">
        <f t="shared" ca="1" si="22"/>
        <v>1.8177660653460936E-2</v>
      </c>
      <c r="AN29" s="18">
        <f t="shared" ca="1" si="22"/>
        <v>4.2601161330149129E-2</v>
      </c>
      <c r="AO29" s="18">
        <f t="shared" ca="1" si="22"/>
        <v>7.1329099614537261E-2</v>
      </c>
      <c r="AP29" s="18">
        <f t="shared" ca="1" si="22"/>
        <v>7.0103507468994963E-2</v>
      </c>
      <c r="AQ29" s="18">
        <f t="shared" ca="1" si="22"/>
        <v>4.6838869545069106E-2</v>
      </c>
      <c r="AR29" s="18">
        <f t="shared" ca="1" si="22"/>
        <v>4.5058318503405248E-2</v>
      </c>
      <c r="AS29" s="18">
        <f t="shared" ca="1" si="22"/>
        <v>2.808065045155439E-2</v>
      </c>
      <c r="AT29" s="18">
        <f t="shared" ca="1" si="22"/>
        <v>-4.6543380158503567E-2</v>
      </c>
      <c r="AU29" s="18">
        <f t="shared" ca="1" si="22"/>
        <v>-4.7012148807379361E-2</v>
      </c>
      <c r="AV29" s="18">
        <f t="shared" ca="1" si="22"/>
        <v>3.2729447596127947E-2</v>
      </c>
      <c r="AW29" s="18">
        <f t="shared" ca="1" si="22"/>
        <v>8.9593444901955754E-2</v>
      </c>
      <c r="AX29" s="18">
        <f t="shared" ca="1" si="22"/>
        <v>9.0785983213820032E-2</v>
      </c>
      <c r="AY29" s="18">
        <f t="shared" ca="1" si="22"/>
        <v>4.977488221943549E-2</v>
      </c>
      <c r="AZ29" s="18">
        <f t="shared" ca="1" si="22"/>
        <v>8.1107671496701617E-2</v>
      </c>
      <c r="BA29" s="18">
        <f t="shared" ca="1" si="22"/>
        <v>5.596169357616998E-2</v>
      </c>
      <c r="BB29" s="18">
        <f t="shared" ca="1" si="22"/>
        <v>0.15438064063294765</v>
      </c>
      <c r="BC29" s="18">
        <f t="shared" ca="1" si="22"/>
        <v>0.30421150787932771</v>
      </c>
      <c r="BD29" s="18">
        <f t="shared" ca="1" si="22"/>
        <v>0.32131971053195318</v>
      </c>
      <c r="BE29" s="18">
        <f t="shared" ca="1" si="22"/>
        <v>0.29340334792180522</v>
      </c>
      <c r="BF29" s="18">
        <f t="shared" ca="1" si="22"/>
        <v>0.35304342121103049</v>
      </c>
      <c r="BG29" s="18">
        <f t="shared" ca="1" si="22"/>
        <v>0.27837902822451221</v>
      </c>
      <c r="BH29" s="18">
        <f t="shared" ca="1" si="22"/>
        <v>0.25521369722884546</v>
      </c>
      <c r="BI29" s="18">
        <f t="shared" ca="1" si="22"/>
        <v>0.2020847637883656</v>
      </c>
      <c r="BJ29" s="18">
        <f t="shared" ca="1" si="22"/>
        <v>0.1752941585810639</v>
      </c>
      <c r="BK29" s="18">
        <f t="shared" ca="1" si="22"/>
        <v>0.16471825196227696</v>
      </c>
      <c r="BL29" s="18">
        <f t="shared" ca="1" si="22"/>
        <v>0.14803465093882484</v>
      </c>
      <c r="BM29" s="18">
        <f t="shared" ca="1" si="22"/>
        <v>0.19653829173003756</v>
      </c>
      <c r="BN29" s="18">
        <f t="shared" ca="1" si="22"/>
        <v>0.16903962287719521</v>
      </c>
      <c r="BO29" s="18">
        <f t="shared" ca="1" si="22"/>
        <v>0.1043070609213379</v>
      </c>
      <c r="BP29" s="18">
        <f t="shared" ca="1" si="22"/>
        <v>9.5371216834791661E-2</v>
      </c>
      <c r="BQ29" s="18">
        <f t="shared" ca="1" si="22"/>
        <v>9.1098886718985472E-2</v>
      </c>
      <c r="BR29" s="18">
        <f t="shared" ref="BR29:CZ29" ca="1" si="23">BR24-BR20</f>
        <v>0.11073738652188214</v>
      </c>
      <c r="BS29" s="18">
        <f t="shared" ca="1" si="23"/>
        <v>0.17787775561246444</v>
      </c>
      <c r="BT29" s="18">
        <f t="shared" ca="1" si="23"/>
        <v>0.19813651639657315</v>
      </c>
      <c r="BU29" s="18">
        <f t="shared" ca="1" si="23"/>
        <v>0.20523841474023041</v>
      </c>
      <c r="BV29" s="18">
        <f t="shared" ca="1" si="23"/>
        <v>0.19734161125772764</v>
      </c>
      <c r="BW29" s="18">
        <f t="shared" ca="1" si="23"/>
        <v>0.19390972082677738</v>
      </c>
      <c r="BX29" s="18">
        <f t="shared" ca="1" si="23"/>
        <v>0.17042449174188778</v>
      </c>
      <c r="BY29" s="18">
        <f t="shared" ca="1" si="23"/>
        <v>0.18573146233313698</v>
      </c>
      <c r="BZ29" s="18">
        <f t="shared" ca="1" si="23"/>
        <v>0.17260234040032696</v>
      </c>
      <c r="CA29" s="18">
        <f t="shared" ca="1" si="23"/>
        <v>0.17642689334068984</v>
      </c>
      <c r="CB29" s="18">
        <f t="shared" ca="1" si="23"/>
        <v>0.19646555985016323</v>
      </c>
      <c r="CC29" s="18">
        <f t="shared" ca="1" si="23"/>
        <v>0.19116495294195013</v>
      </c>
      <c r="CD29" s="18">
        <f t="shared" ca="1" si="23"/>
        <v>0.14534365691598627</v>
      </c>
      <c r="CE29" s="18">
        <f t="shared" ca="1" si="23"/>
        <v>0.10381866006795692</v>
      </c>
      <c r="CF29" s="18">
        <f t="shared" ca="1" si="23"/>
        <v>9.7420340852097387E-2</v>
      </c>
      <c r="CG29" s="18">
        <f t="shared" ca="1" si="23"/>
        <v>6.6412483337028316E-2</v>
      </c>
      <c r="CH29" s="18">
        <f t="shared" ca="1" si="23"/>
        <v>7.8755130176191068E-2</v>
      </c>
      <c r="CI29" s="18">
        <f t="shared" ca="1" si="23"/>
        <v>8.2225463558779355E-2</v>
      </c>
      <c r="CJ29" s="18">
        <f t="shared" ca="1" si="23"/>
        <v>5.4940940536161054E-2</v>
      </c>
      <c r="CK29" s="18">
        <f t="shared" ca="1" si="23"/>
        <v>3.8827066250254894E-2</v>
      </c>
      <c r="CL29" s="18">
        <f t="shared" ca="1" si="23"/>
        <v>5.0966122954384296E-2</v>
      </c>
      <c r="CM29" s="18">
        <f t="shared" ca="1" si="23"/>
        <v>6.263779536989067E-2</v>
      </c>
      <c r="CN29" s="18">
        <f t="shared" ca="1" si="23"/>
        <v>1.2707646915953386E-2</v>
      </c>
      <c r="CO29" s="18">
        <f t="shared" ca="1" si="23"/>
        <v>-6.5068239675959427E-3</v>
      </c>
      <c r="CP29" s="18">
        <f t="shared" ca="1" si="23"/>
        <v>1.3548480676376817E-2</v>
      </c>
      <c r="CQ29" s="18">
        <f t="shared" ca="1" si="23"/>
        <v>-8.3213060291984497E-3</v>
      </c>
      <c r="CR29" s="18">
        <f t="shared" ca="1" si="23"/>
        <v>-2.4924586894392808E-2</v>
      </c>
      <c r="CS29" s="18">
        <f t="shared" ca="1" si="23"/>
        <v>2.6594409754176596E-2</v>
      </c>
      <c r="CT29" s="18">
        <f t="shared" ca="1" si="23"/>
        <v>5.5069642396772922E-2</v>
      </c>
      <c r="CU29" s="18">
        <f t="shared" ca="1" si="23"/>
        <v>4.6188601099838023E-2</v>
      </c>
      <c r="CV29" s="18">
        <f t="shared" ca="1" si="23"/>
        <v>5.3293371152234537E-2</v>
      </c>
      <c r="CW29" s="18">
        <f t="shared" ca="1" si="23"/>
        <v>1.8667897149458934E-2</v>
      </c>
      <c r="CX29" s="18">
        <f t="shared" ca="1" si="23"/>
        <v>-2.8624232500173319E-2</v>
      </c>
      <c r="CY29" s="18">
        <f t="shared" ca="1" si="23"/>
        <v>-6.394171476933419E-2</v>
      </c>
      <c r="CZ29" s="18">
        <f t="shared" ca="1" si="23"/>
        <v>-3.6189513623120506E-2</v>
      </c>
      <c r="DA29">
        <f ca="1">COUNTIF(E29:CZ29,"&gt;0")</f>
        <v>67</v>
      </c>
    </row>
    <row r="37" spans="1:112" x14ac:dyDescent="0.4">
      <c r="C37" t="s">
        <v>95</v>
      </c>
      <c r="D37" t="s">
        <v>96</v>
      </c>
      <c r="E37" t="s">
        <v>97</v>
      </c>
      <c r="F37" t="s">
        <v>98</v>
      </c>
    </row>
    <row r="38" spans="1:112" x14ac:dyDescent="0.4">
      <c r="A38" s="17" t="s">
        <v>105</v>
      </c>
      <c r="C38">
        <v>77</v>
      </c>
      <c r="D38">
        <v>69</v>
      </c>
      <c r="E38">
        <v>67</v>
      </c>
      <c r="F38">
        <v>67</v>
      </c>
    </row>
    <row r="39" spans="1:112" s="17" customFormat="1" x14ac:dyDescent="0.4">
      <c r="B39" s="9">
        <v>20080331</v>
      </c>
      <c r="C39" s="9">
        <v>20080430</v>
      </c>
      <c r="D39" s="9">
        <v>20080530</v>
      </c>
      <c r="E39" s="9">
        <v>20080630</v>
      </c>
      <c r="F39" s="9">
        <v>20080731</v>
      </c>
      <c r="G39" s="9">
        <v>20080829</v>
      </c>
      <c r="H39" s="9">
        <v>20080930</v>
      </c>
      <c r="I39" s="9">
        <v>20081031</v>
      </c>
      <c r="J39" s="9">
        <v>20081128</v>
      </c>
      <c r="K39" s="9">
        <v>20081230</v>
      </c>
      <c r="L39" s="9">
        <v>20090130</v>
      </c>
      <c r="M39" s="9">
        <v>20090227</v>
      </c>
      <c r="N39" s="9">
        <v>20090331</v>
      </c>
      <c r="O39" s="9">
        <v>20090430</v>
      </c>
      <c r="P39" s="9">
        <v>20090529</v>
      </c>
      <c r="Q39" s="9">
        <v>20090630</v>
      </c>
      <c r="R39" s="9">
        <v>20090731</v>
      </c>
      <c r="S39" s="9">
        <v>20090831</v>
      </c>
      <c r="T39" s="9">
        <v>20090930</v>
      </c>
      <c r="U39" s="9">
        <v>20091030</v>
      </c>
      <c r="V39" s="9">
        <v>20091130</v>
      </c>
      <c r="W39" s="9">
        <v>20091230</v>
      </c>
      <c r="X39" s="9">
        <v>20100129</v>
      </c>
      <c r="Y39" s="9">
        <v>20100226</v>
      </c>
      <c r="Z39" s="9">
        <v>20100331</v>
      </c>
      <c r="AA39" s="9">
        <v>20100430</v>
      </c>
      <c r="AB39" s="9">
        <v>20100531</v>
      </c>
      <c r="AC39" s="9">
        <v>20100630</v>
      </c>
      <c r="AD39" s="9">
        <v>20100730</v>
      </c>
      <c r="AE39" s="9">
        <v>20100831</v>
      </c>
      <c r="AF39" s="9">
        <v>20100930</v>
      </c>
      <c r="AG39" s="9">
        <v>20101029</v>
      </c>
      <c r="AH39" s="9">
        <v>20101130</v>
      </c>
      <c r="AI39" s="9">
        <v>20101230</v>
      </c>
      <c r="AJ39" s="9">
        <v>20110131</v>
      </c>
      <c r="AK39" s="9">
        <v>20110228</v>
      </c>
      <c r="AL39" s="9">
        <v>20110331</v>
      </c>
      <c r="AM39" s="9">
        <v>20110429</v>
      </c>
      <c r="AN39" s="9">
        <v>20110531</v>
      </c>
      <c r="AO39" s="9">
        <v>20110630</v>
      </c>
      <c r="AP39" s="9">
        <v>20110729</v>
      </c>
      <c r="AQ39" s="9">
        <v>20110831</v>
      </c>
      <c r="AR39" s="9">
        <v>20110930</v>
      </c>
      <c r="AS39" s="9">
        <v>20111031</v>
      </c>
      <c r="AT39" s="9">
        <v>20111130</v>
      </c>
      <c r="AU39" s="9">
        <v>20111229</v>
      </c>
      <c r="AV39" s="9">
        <v>20120131</v>
      </c>
      <c r="AW39" s="9">
        <v>20120229</v>
      </c>
      <c r="AX39" s="9">
        <v>20120330</v>
      </c>
      <c r="AY39" s="9">
        <v>20120430</v>
      </c>
      <c r="AZ39" s="9">
        <v>20120531</v>
      </c>
      <c r="BA39" s="9">
        <v>20120629</v>
      </c>
      <c r="BB39" s="9">
        <v>20120731</v>
      </c>
      <c r="BC39" s="9">
        <v>20120831</v>
      </c>
      <c r="BD39" s="9">
        <v>20120928</v>
      </c>
      <c r="BE39" s="9">
        <v>20121031</v>
      </c>
      <c r="BF39" s="9">
        <v>20121130</v>
      </c>
      <c r="BG39" s="9">
        <v>20121228</v>
      </c>
      <c r="BH39" s="9">
        <v>20130131</v>
      </c>
      <c r="BI39" s="9">
        <v>20130228</v>
      </c>
      <c r="BJ39" s="9">
        <v>20130329</v>
      </c>
      <c r="BK39" s="9">
        <v>20130430</v>
      </c>
      <c r="BL39" s="9">
        <v>20130531</v>
      </c>
      <c r="BM39" s="9">
        <v>20130628</v>
      </c>
      <c r="BN39" s="9">
        <v>20130731</v>
      </c>
      <c r="BO39" s="9">
        <v>20130830</v>
      </c>
      <c r="BP39" s="9">
        <v>20130930</v>
      </c>
      <c r="BQ39" s="9">
        <v>20131031</v>
      </c>
      <c r="BR39" s="9">
        <v>20131129</v>
      </c>
      <c r="BS39" s="9">
        <v>20131230</v>
      </c>
      <c r="BT39" s="9">
        <v>20140129</v>
      </c>
      <c r="BU39" s="9">
        <v>20140228</v>
      </c>
      <c r="BV39" s="9">
        <v>20140331</v>
      </c>
      <c r="BW39" s="9">
        <v>20140430</v>
      </c>
      <c r="BX39" s="9">
        <v>20140530</v>
      </c>
      <c r="BY39" s="9">
        <v>20140630</v>
      </c>
      <c r="BZ39" s="9">
        <v>20140731</v>
      </c>
      <c r="CA39" s="9">
        <v>20140829</v>
      </c>
      <c r="CB39" s="9">
        <v>20140930</v>
      </c>
      <c r="CC39" s="9">
        <v>20141031</v>
      </c>
      <c r="CD39" s="9">
        <v>20141128</v>
      </c>
      <c r="CE39" s="9">
        <v>20141230</v>
      </c>
      <c r="CF39" s="9">
        <v>20150130</v>
      </c>
      <c r="CG39" s="9">
        <v>20150227</v>
      </c>
      <c r="CH39" s="9">
        <v>20150331</v>
      </c>
      <c r="CI39" s="9">
        <v>20150430</v>
      </c>
      <c r="CJ39" s="9">
        <v>20150529</v>
      </c>
      <c r="CK39" s="9">
        <v>20150630</v>
      </c>
      <c r="CL39" s="9">
        <v>20150731</v>
      </c>
      <c r="CM39" s="9">
        <v>20150831</v>
      </c>
      <c r="CN39" s="9">
        <v>20150930</v>
      </c>
      <c r="CO39" s="9">
        <v>20151030</v>
      </c>
      <c r="CP39" s="9">
        <v>20151130</v>
      </c>
      <c r="CQ39" s="9">
        <v>20151230</v>
      </c>
      <c r="CR39" s="9">
        <v>20160129</v>
      </c>
      <c r="CS39" s="9">
        <v>20160229</v>
      </c>
      <c r="CT39" s="9">
        <v>20160331</v>
      </c>
      <c r="CU39" s="9">
        <v>20160429</v>
      </c>
      <c r="CV39" s="9">
        <v>20160531</v>
      </c>
      <c r="CW39" s="9">
        <v>20160630</v>
      </c>
      <c r="CX39" s="9">
        <v>20160729</v>
      </c>
      <c r="CY39" s="9">
        <v>20160831</v>
      </c>
      <c r="CZ39" s="9">
        <v>20160930</v>
      </c>
      <c r="DA39" s="9">
        <v>20161031</v>
      </c>
      <c r="DB39" s="9">
        <v>20161130</v>
      </c>
      <c r="DC39" s="9">
        <v>20161229</v>
      </c>
      <c r="DD39" s="9">
        <v>20170131</v>
      </c>
      <c r="DE39" s="9">
        <v>20170228</v>
      </c>
      <c r="DF39" s="9">
        <v>20170331</v>
      </c>
      <c r="DG39" s="9">
        <v>20170428</v>
      </c>
      <c r="DH39" s="9">
        <v>20170531</v>
      </c>
    </row>
    <row r="40" spans="1:112" x14ac:dyDescent="0.4">
      <c r="A40" t="s">
        <v>106</v>
      </c>
      <c r="B40">
        <v>0.96698990252106498</v>
      </c>
      <c r="C40">
        <v>1.0542882078476099</v>
      </c>
      <c r="D40">
        <v>1.0130159071481</v>
      </c>
      <c r="E40">
        <v>0.89963096128650799</v>
      </c>
      <c r="F40">
        <v>0.87803104469939297</v>
      </c>
      <c r="G40">
        <v>0.889586817502242</v>
      </c>
      <c r="H40">
        <v>0.95628707290969295</v>
      </c>
      <c r="I40">
        <v>0.60565416304312603</v>
      </c>
      <c r="J40">
        <v>0.99031418474510002</v>
      </c>
      <c r="K40">
        <v>1.10852497915809</v>
      </c>
      <c r="L40">
        <v>1.0364352150905001</v>
      </c>
      <c r="M40">
        <v>0.923373802736972</v>
      </c>
      <c r="N40">
        <v>1.18614982676656</v>
      </c>
      <c r="O40">
        <v>1.2054368273407801</v>
      </c>
      <c r="P40">
        <v>0.99010746911303005</v>
      </c>
      <c r="Q40">
        <v>0.95698889585326397</v>
      </c>
      <c r="R40">
        <v>1.0444314883158301</v>
      </c>
      <c r="S40">
        <v>1.0598674218820801</v>
      </c>
      <c r="T40">
        <v>0.98781574169470199</v>
      </c>
      <c r="U40">
        <v>0.96467143066453498</v>
      </c>
      <c r="V40">
        <v>0.94673078043041603</v>
      </c>
      <c r="W40">
        <v>1.07472693793963</v>
      </c>
      <c r="X40">
        <v>0.91093789640629796</v>
      </c>
      <c r="Y40">
        <v>0.95455880087141698</v>
      </c>
      <c r="Z40">
        <v>1.05256237540637</v>
      </c>
      <c r="AA40">
        <v>0.98775299553533502</v>
      </c>
      <c r="AB40">
        <v>0.922524696361819</v>
      </c>
      <c r="AC40">
        <v>1.0763785511430899</v>
      </c>
      <c r="AD40">
        <v>1.00418606919634</v>
      </c>
      <c r="AE40">
        <v>1.0017431925334299</v>
      </c>
      <c r="AF40">
        <v>1.1212540378367</v>
      </c>
      <c r="AG40">
        <v>1.0917812768195101</v>
      </c>
      <c r="AH40">
        <v>0.92491902599192899</v>
      </c>
      <c r="AI40">
        <v>1.0449559862711499</v>
      </c>
      <c r="AJ40">
        <v>0.98255510388399803</v>
      </c>
      <c r="AK40">
        <v>0.91649165024393497</v>
      </c>
      <c r="AL40">
        <v>1.0351945349712299</v>
      </c>
      <c r="AM40">
        <v>1.0289560205691499</v>
      </c>
      <c r="AN40">
        <v>1.0034066182043699</v>
      </c>
      <c r="AO40">
        <v>0.99668035621363504</v>
      </c>
      <c r="AP40">
        <v>1.1246538211208501</v>
      </c>
      <c r="AQ40">
        <v>0.87596580324361395</v>
      </c>
      <c r="AR40">
        <v>0.90710636629737196</v>
      </c>
      <c r="AS40">
        <v>1.10637981458046</v>
      </c>
      <c r="AT40">
        <v>1.00721264723</v>
      </c>
      <c r="AU40">
        <v>0.99965411430656703</v>
      </c>
      <c r="AV40">
        <v>1.0546239838673499</v>
      </c>
      <c r="AW40">
        <v>1.07225879571229</v>
      </c>
      <c r="AX40">
        <v>0.97301784347095599</v>
      </c>
      <c r="AY40">
        <v>0.96208213476312698</v>
      </c>
      <c r="AZ40">
        <v>0.94879961920992895</v>
      </c>
      <c r="BA40">
        <v>1.0415001487650599</v>
      </c>
      <c r="BB40">
        <v>0.99781535881729899</v>
      </c>
      <c r="BC40">
        <v>1.0599943251506101</v>
      </c>
      <c r="BD40">
        <v>1.09555711458478</v>
      </c>
      <c r="BE40">
        <v>1.0911014793022</v>
      </c>
      <c r="BF40">
        <v>1.07532183882952</v>
      </c>
      <c r="BG40">
        <v>1.04318081464072</v>
      </c>
      <c r="BH40">
        <v>1.03152539055876</v>
      </c>
      <c r="BI40">
        <v>1.0568228124569801</v>
      </c>
      <c r="BJ40">
        <v>1.0620958482293399</v>
      </c>
      <c r="BK40">
        <v>1.0485769302577801</v>
      </c>
      <c r="BL40">
        <v>1.0241500560497601</v>
      </c>
      <c r="BM40">
        <v>0.95739311810764305</v>
      </c>
      <c r="BN40">
        <v>1.07091890993695</v>
      </c>
      <c r="BO40">
        <v>0.98049741374006205</v>
      </c>
      <c r="BP40">
        <v>1.0445122067708801</v>
      </c>
      <c r="BQ40">
        <v>1.0343035146192301</v>
      </c>
      <c r="BR40">
        <v>0.99540245989853204</v>
      </c>
      <c r="BS40">
        <v>1.0050997481242001</v>
      </c>
      <c r="BT40">
        <v>0.98461862327526195</v>
      </c>
      <c r="BU40">
        <v>1.0574602014991901</v>
      </c>
      <c r="BV40">
        <v>1.0604976501243899</v>
      </c>
      <c r="BW40">
        <v>1.0419552148576701</v>
      </c>
      <c r="BX40">
        <v>0.99809456439844602</v>
      </c>
      <c r="BY40">
        <v>0.99553889755296898</v>
      </c>
      <c r="BZ40">
        <v>1.05495467021842</v>
      </c>
      <c r="CA40">
        <v>1.03797472876454</v>
      </c>
      <c r="CB40">
        <v>1.0168083055107</v>
      </c>
      <c r="CC40">
        <v>0.96850750381898298</v>
      </c>
      <c r="CD40">
        <v>0.98245136988781701</v>
      </c>
      <c r="CE40">
        <v>0.99326000458837804</v>
      </c>
      <c r="CF40">
        <v>1.0659608616313001</v>
      </c>
      <c r="CG40">
        <v>1.1095367876359601</v>
      </c>
      <c r="CH40">
        <v>1.0799912651344199</v>
      </c>
      <c r="CI40">
        <v>1.0479147012309</v>
      </c>
      <c r="CJ40">
        <v>1.006266732434</v>
      </c>
      <c r="CK40">
        <v>0.97402789324902095</v>
      </c>
      <c r="CL40">
        <v>1.0023446625616099</v>
      </c>
      <c r="CM40">
        <v>0.95877597365849598</v>
      </c>
      <c r="CN40">
        <v>1.0269009045337201</v>
      </c>
      <c r="CO40">
        <v>1.0155216998032299</v>
      </c>
      <c r="CP40">
        <v>0.97651083199224098</v>
      </c>
      <c r="CQ40">
        <v>1.0415978458838899</v>
      </c>
      <c r="CR40">
        <v>0.99180217293703099</v>
      </c>
      <c r="CS40">
        <v>0.98663023435077302</v>
      </c>
      <c r="CT40">
        <v>1.0806668411695799</v>
      </c>
      <c r="CU40">
        <v>1.0415207874947401</v>
      </c>
      <c r="CV40">
        <v>0.98855923249698197</v>
      </c>
      <c r="CW40">
        <v>0.997923685008552</v>
      </c>
      <c r="CX40">
        <v>1.0504209440547301</v>
      </c>
      <c r="CY40">
        <v>0.97757041952050105</v>
      </c>
      <c r="CZ40">
        <v>1.0048198009668601</v>
      </c>
      <c r="DA40">
        <v>0.95430676443851603</v>
      </c>
      <c r="DB40">
        <v>1.0188330042937499</v>
      </c>
      <c r="DC40">
        <v>1.0437128723461699</v>
      </c>
      <c r="DD40">
        <v>0.96888492889353695</v>
      </c>
      <c r="DE40">
        <v>1.0023023134031701</v>
      </c>
      <c r="DF40">
        <v>1.01725467042365</v>
      </c>
      <c r="DG40">
        <v>1.0403174216692199</v>
      </c>
      <c r="DH40">
        <v>1.0565553913143</v>
      </c>
    </row>
    <row r="41" spans="1:112" x14ac:dyDescent="0.4">
      <c r="A41" t="s">
        <v>107</v>
      </c>
      <c r="B41">
        <v>0.95377187832863897</v>
      </c>
      <c r="C41">
        <v>1.0590186922049301</v>
      </c>
      <c r="D41">
        <v>1.0517003652277199</v>
      </c>
      <c r="E41">
        <v>0.91871054511990102</v>
      </c>
      <c r="F41">
        <v>0.91446799505835197</v>
      </c>
      <c r="G41">
        <v>0.90427791375106703</v>
      </c>
      <c r="H41">
        <v>0.96906973063554802</v>
      </c>
      <c r="I41">
        <v>0.64607143829281999</v>
      </c>
      <c r="J41">
        <v>1.0161656896604301</v>
      </c>
      <c r="K41">
        <v>1.09911611309837</v>
      </c>
      <c r="L41">
        <v>1.06012138981272</v>
      </c>
      <c r="M41">
        <v>0.93484012711731201</v>
      </c>
      <c r="N41">
        <v>1.1855989955711399</v>
      </c>
      <c r="O41">
        <v>1.22112741353201</v>
      </c>
      <c r="P41">
        <v>0.98316116808334197</v>
      </c>
      <c r="Q41">
        <v>0.96580537016210999</v>
      </c>
      <c r="R41">
        <v>1.0332233889936699</v>
      </c>
      <c r="S41">
        <v>1.03374896100077</v>
      </c>
      <c r="T41">
        <v>0.98543410823466604</v>
      </c>
      <c r="U41">
        <v>0.95491104459165099</v>
      </c>
      <c r="V41">
        <v>0.95604725116937295</v>
      </c>
      <c r="W41">
        <v>1.08160178998344</v>
      </c>
      <c r="X41">
        <v>0.92598854844721201</v>
      </c>
      <c r="Y41">
        <v>0.974329362422098</v>
      </c>
      <c r="Z41">
        <v>1.0492559055106401</v>
      </c>
      <c r="AA41">
        <v>0.99329594616776096</v>
      </c>
      <c r="AB41">
        <v>0.92831427789169296</v>
      </c>
      <c r="AC41">
        <v>1.0573838357990899</v>
      </c>
      <c r="AD41">
        <v>1.0082666184484199</v>
      </c>
      <c r="AE41">
        <v>0.99982359702429502</v>
      </c>
      <c r="AF41">
        <v>1.0911723135006299</v>
      </c>
      <c r="AG41">
        <v>1.09991497919723</v>
      </c>
      <c r="AH41">
        <v>0.94181209729089499</v>
      </c>
      <c r="AI41">
        <v>1.0457192115042899</v>
      </c>
      <c r="AJ41">
        <v>0.98962867844713998</v>
      </c>
      <c r="AK41">
        <v>0.92152036672075899</v>
      </c>
      <c r="AL41">
        <v>1.05457162295353</v>
      </c>
      <c r="AM41">
        <v>1.0208133821477801</v>
      </c>
      <c r="AN41">
        <v>0.98157655646802799</v>
      </c>
      <c r="AO41">
        <v>1.01709261248578</v>
      </c>
      <c r="AP41">
        <v>1.0933536985910699</v>
      </c>
      <c r="AQ41">
        <v>0.882537876446577</v>
      </c>
      <c r="AR41">
        <v>0.91156825936974295</v>
      </c>
      <c r="AS41">
        <v>1.08327108424884</v>
      </c>
      <c r="AT41">
        <v>0.99292306458913904</v>
      </c>
      <c r="AU41">
        <v>1.00278556372651</v>
      </c>
      <c r="AV41">
        <v>1.05977086720129</v>
      </c>
      <c r="AW41">
        <v>1.05763954524752</v>
      </c>
      <c r="AX41">
        <v>0.96137400635596704</v>
      </c>
      <c r="AY41">
        <v>0.95617684609012399</v>
      </c>
      <c r="AZ41">
        <v>0.94750863019523501</v>
      </c>
      <c r="BA41">
        <v>1.03322705816391</v>
      </c>
      <c r="BB41">
        <v>0.98193006678839301</v>
      </c>
      <c r="BC41">
        <v>1.05050582975929</v>
      </c>
      <c r="BD41">
        <v>1.07955518149634</v>
      </c>
      <c r="BE41">
        <v>1.03619205357164</v>
      </c>
      <c r="BF41">
        <v>1.0609255834912701</v>
      </c>
      <c r="BG41">
        <v>1.02498284484581</v>
      </c>
      <c r="BH41">
        <v>1.0303381263558899</v>
      </c>
      <c r="BI41">
        <v>1.0571781689800599</v>
      </c>
      <c r="BJ41">
        <v>1.06571023242425</v>
      </c>
      <c r="BK41">
        <v>1.08250309250101</v>
      </c>
      <c r="BL41">
        <v>1.0105926059486701</v>
      </c>
      <c r="BM41">
        <v>0.945455216615956</v>
      </c>
      <c r="BN41">
        <v>1.06557971346055</v>
      </c>
      <c r="BO41">
        <v>0.99223985965508099</v>
      </c>
      <c r="BP41">
        <v>1.04716499219405</v>
      </c>
      <c r="BQ41">
        <v>1.0179953147876</v>
      </c>
      <c r="BR41">
        <v>0.98895601887670104</v>
      </c>
      <c r="BS41">
        <v>1.0016334929300299</v>
      </c>
      <c r="BT41">
        <v>1.0029254704208499</v>
      </c>
      <c r="BU41">
        <v>1.0583919334183201</v>
      </c>
      <c r="BV41">
        <v>1.05179060459787</v>
      </c>
      <c r="BW41">
        <v>1.0365153760552801</v>
      </c>
      <c r="BX41">
        <v>0.99853697450554602</v>
      </c>
      <c r="BY41">
        <v>0.99020670939125499</v>
      </c>
      <c r="BZ41">
        <v>1.0583024805408301</v>
      </c>
      <c r="CA41">
        <v>1.0455852810403199</v>
      </c>
      <c r="CB41">
        <v>1.01333093881359</v>
      </c>
      <c r="CC41">
        <v>0.95138280048713397</v>
      </c>
      <c r="CD41">
        <v>0.99576592088452398</v>
      </c>
      <c r="CE41">
        <v>0.99532204855193995</v>
      </c>
      <c r="CF41">
        <v>1.0625425211388999</v>
      </c>
      <c r="CG41">
        <v>1.0875691859954599</v>
      </c>
      <c r="CH41">
        <v>1.07757127484996</v>
      </c>
      <c r="CI41">
        <v>1.0452121901050699</v>
      </c>
      <c r="CJ41">
        <v>1.00527881646609</v>
      </c>
      <c r="CK41">
        <v>0.99866022121700304</v>
      </c>
      <c r="CL41">
        <v>0.98778296856544501</v>
      </c>
      <c r="CM41">
        <v>0.94378837706333696</v>
      </c>
      <c r="CN41">
        <v>1.00940060940597</v>
      </c>
      <c r="CO41">
        <v>1.0001678765208599</v>
      </c>
      <c r="CP41">
        <v>0.99362862274710995</v>
      </c>
      <c r="CQ41">
        <v>1.0201111867964101</v>
      </c>
      <c r="CR41">
        <v>0.99920308451495599</v>
      </c>
      <c r="CS41">
        <v>1.00769040681925</v>
      </c>
      <c r="CT41">
        <v>1.0742280977955501</v>
      </c>
      <c r="CU41">
        <v>1.03533110031126</v>
      </c>
      <c r="CV41">
        <v>0.99590537446801197</v>
      </c>
      <c r="CW41">
        <v>0.99934111953985305</v>
      </c>
      <c r="CX41">
        <v>1.03055920053493</v>
      </c>
      <c r="CY41">
        <v>0.95614772383401303</v>
      </c>
      <c r="CZ41">
        <v>1.00779057363715</v>
      </c>
      <c r="DA41">
        <v>0.95881708005304001</v>
      </c>
      <c r="DB41">
        <v>1.00165831971693</v>
      </c>
      <c r="DC41">
        <v>1.0599029638372801</v>
      </c>
      <c r="DD41">
        <v>1.0022331397406099</v>
      </c>
      <c r="DE41">
        <v>0.99992056884231995</v>
      </c>
      <c r="DF41">
        <v>1.00734494598076</v>
      </c>
      <c r="DG41">
        <v>1.02882137366227</v>
      </c>
      <c r="DH41">
        <v>1.0415379350704901</v>
      </c>
    </row>
    <row r="42" spans="1:112" x14ac:dyDescent="0.4">
      <c r="A42" s="7" t="s">
        <v>108</v>
      </c>
      <c r="B42">
        <v>0.96882118463810596</v>
      </c>
      <c r="C42">
        <v>1.0542337051078201</v>
      </c>
      <c r="D42">
        <v>1.0479724379561499</v>
      </c>
      <c r="E42">
        <v>0.917626593162024</v>
      </c>
      <c r="F42">
        <v>0.91132670619129297</v>
      </c>
      <c r="G42">
        <v>0.90435771944431498</v>
      </c>
      <c r="H42">
        <v>0.96565192825267399</v>
      </c>
      <c r="I42">
        <v>0.66352713973174404</v>
      </c>
      <c r="J42">
        <v>0.99506150826623796</v>
      </c>
      <c r="K42">
        <v>1.08469128991537</v>
      </c>
      <c r="L42">
        <v>1.05007471222838</v>
      </c>
      <c r="M42">
        <v>0.93848111725112704</v>
      </c>
      <c r="N42">
        <v>1.17005212827788</v>
      </c>
      <c r="O42">
        <v>1.2042639079766</v>
      </c>
      <c r="P42">
        <v>0.99119176113985397</v>
      </c>
      <c r="Q42">
        <v>0.96376084501948101</v>
      </c>
      <c r="R42">
        <v>1.0307524305331399</v>
      </c>
      <c r="S42">
        <v>1.0199596506807</v>
      </c>
      <c r="T42">
        <v>0.97958992321175298</v>
      </c>
      <c r="U42">
        <v>0.96380064177784996</v>
      </c>
      <c r="V42">
        <v>0.96680129561811501</v>
      </c>
      <c r="W42">
        <v>1.0833998617101801</v>
      </c>
      <c r="X42">
        <v>0.93690587001765002</v>
      </c>
      <c r="Y42">
        <v>0.98388406956268204</v>
      </c>
      <c r="Z42">
        <v>1.0457324509572401</v>
      </c>
      <c r="AA42">
        <v>0.99551803717227405</v>
      </c>
      <c r="AB42">
        <v>0.92890718425249297</v>
      </c>
      <c r="AC42">
        <v>1.05088342636021</v>
      </c>
      <c r="AD42">
        <v>1.0072283898030701</v>
      </c>
      <c r="AE42">
        <v>1.0064890859317299</v>
      </c>
      <c r="AF42">
        <v>1.08471402665157</v>
      </c>
      <c r="AG42">
        <v>1.1042020702300099</v>
      </c>
      <c r="AH42">
        <v>0.93916748522794302</v>
      </c>
      <c r="AI42">
        <v>1.0501446567998101</v>
      </c>
      <c r="AJ42">
        <v>0.98594643773836999</v>
      </c>
      <c r="AK42">
        <v>0.92570745828719203</v>
      </c>
      <c r="AL42">
        <v>1.06282584712031</v>
      </c>
      <c r="AM42">
        <v>1.0349679897889399</v>
      </c>
      <c r="AN42">
        <v>0.97069278838020101</v>
      </c>
      <c r="AO42">
        <v>1.01181867141937</v>
      </c>
      <c r="AP42">
        <v>1.1013001378463401</v>
      </c>
      <c r="AQ42">
        <v>0.90431748881146801</v>
      </c>
      <c r="AR42">
        <v>0.90208963746945103</v>
      </c>
      <c r="AS42">
        <v>1.0678747854272299</v>
      </c>
      <c r="AT42">
        <v>0.99092037386106202</v>
      </c>
      <c r="AU42">
        <v>1.0109368939879499</v>
      </c>
      <c r="AV42">
        <v>1.0532639637696799</v>
      </c>
      <c r="AW42">
        <v>1.0437026973477901</v>
      </c>
      <c r="AX42">
        <v>0.96596898433853495</v>
      </c>
      <c r="AY42">
        <v>0.95240839495651197</v>
      </c>
      <c r="AZ42">
        <v>0.93909823959901695</v>
      </c>
      <c r="BA42">
        <v>1.03472802919651</v>
      </c>
      <c r="BB42">
        <v>0.984429917898065</v>
      </c>
      <c r="BC42">
        <v>1.06097225130193</v>
      </c>
      <c r="BD42">
        <v>1.0839728432407501</v>
      </c>
      <c r="BE42">
        <v>1.0126919679286599</v>
      </c>
      <c r="BF42">
        <v>1.03453697177438</v>
      </c>
      <c r="BG42">
        <v>1.0282589861559699</v>
      </c>
      <c r="BH42">
        <v>1.02989436375918</v>
      </c>
      <c r="BI42">
        <v>1.06271581704605</v>
      </c>
      <c r="BJ42">
        <v>1.06147911099213</v>
      </c>
      <c r="BK42">
        <v>1.0802820559814099</v>
      </c>
      <c r="BL42">
        <v>1.0197909518702399</v>
      </c>
      <c r="BM42">
        <v>0.94390951507068999</v>
      </c>
      <c r="BN42">
        <v>1.05663163912318</v>
      </c>
      <c r="BO42">
        <v>0.99142834076894404</v>
      </c>
      <c r="BP42">
        <v>1.03919063638258</v>
      </c>
      <c r="BQ42">
        <v>1.0105060123701499</v>
      </c>
      <c r="BR42">
        <v>0.98343578685719102</v>
      </c>
      <c r="BS42">
        <v>0.99096455873918898</v>
      </c>
      <c r="BT42">
        <v>1.01902202038615</v>
      </c>
      <c r="BU42">
        <v>1.04824190535921</v>
      </c>
      <c r="BV42">
        <v>1.0404871462401799</v>
      </c>
      <c r="BW42">
        <v>1.0301086327779501</v>
      </c>
      <c r="BX42">
        <v>1.0043969345691399</v>
      </c>
      <c r="BY42">
        <v>0.98123672090176195</v>
      </c>
      <c r="BZ42">
        <v>1.0435891111881901</v>
      </c>
      <c r="CA42">
        <v>1.0374860188960799</v>
      </c>
      <c r="CB42">
        <v>1.00480728089405</v>
      </c>
      <c r="CC42">
        <v>0.95156256472057499</v>
      </c>
      <c r="CD42">
        <v>0.99181342398595296</v>
      </c>
      <c r="CE42">
        <v>1.00249984820371</v>
      </c>
      <c r="CF42">
        <v>1.0460037313696</v>
      </c>
      <c r="CG42">
        <v>1.0858958521930999</v>
      </c>
      <c r="CH42">
        <v>1.0770159688054901</v>
      </c>
      <c r="CI42">
        <v>1.0598823190264699</v>
      </c>
      <c r="CJ42">
        <v>1.0125977305409299</v>
      </c>
      <c r="CK42">
        <v>0.99274477514432402</v>
      </c>
      <c r="CL42">
        <v>0.97352059887488696</v>
      </c>
      <c r="CM42">
        <v>0.94557176422943701</v>
      </c>
      <c r="CN42">
        <v>1.0177585724636899</v>
      </c>
      <c r="CO42">
        <v>0.99736787907458102</v>
      </c>
      <c r="CP42">
        <v>0.99235778190911295</v>
      </c>
      <c r="CQ42">
        <v>1.0139754302966599</v>
      </c>
      <c r="CR42">
        <v>1.00557967372358</v>
      </c>
      <c r="CS42">
        <v>0.99271628411021495</v>
      </c>
      <c r="CT42">
        <v>1.0757694079287601</v>
      </c>
      <c r="CU42">
        <v>1.0351667909371001</v>
      </c>
      <c r="CV42">
        <v>0.98662264624955598</v>
      </c>
      <c r="CW42">
        <v>0.99444566964856496</v>
      </c>
      <c r="CX42">
        <v>1.0284411028589799</v>
      </c>
      <c r="CY42">
        <v>0.963320236612493</v>
      </c>
      <c r="CZ42">
        <v>1.0081570920279199</v>
      </c>
      <c r="DA42">
        <v>0.94920598544347601</v>
      </c>
      <c r="DB42">
        <v>0.99704614993823204</v>
      </c>
      <c r="DC42">
        <v>1.05798406521735</v>
      </c>
      <c r="DD42">
        <v>0.98967356760499703</v>
      </c>
      <c r="DE42">
        <v>1.0045568075458999</v>
      </c>
      <c r="DF42">
        <v>1.00363104024218</v>
      </c>
      <c r="DG42">
        <v>1.02330198018588</v>
      </c>
      <c r="DH42">
        <v>1.04496052071231</v>
      </c>
    </row>
    <row r="43" spans="1:112" x14ac:dyDescent="0.4">
      <c r="A43" t="s">
        <v>109</v>
      </c>
      <c r="B43">
        <v>0.97610894000721005</v>
      </c>
      <c r="C43">
        <v>1.04468766704845</v>
      </c>
      <c r="D43">
        <v>1.04703217668602</v>
      </c>
      <c r="E43">
        <v>0.92247035528957699</v>
      </c>
      <c r="F43">
        <v>0.91091406229485805</v>
      </c>
      <c r="G43">
        <v>0.90743788974883199</v>
      </c>
      <c r="H43">
        <v>0.96784390636777695</v>
      </c>
      <c r="I43">
        <v>0.67213614524791299</v>
      </c>
      <c r="J43">
        <v>0.99716801385756904</v>
      </c>
      <c r="K43">
        <v>1.0747705484992001</v>
      </c>
      <c r="L43">
        <v>1.0609988280810101</v>
      </c>
      <c r="M43">
        <v>0.93163631664083202</v>
      </c>
      <c r="N43">
        <v>1.1602835004320899</v>
      </c>
      <c r="O43">
        <v>1.2030750310588001</v>
      </c>
      <c r="P43">
        <v>0.98993317986958496</v>
      </c>
      <c r="Q43">
        <v>0.95847209277151402</v>
      </c>
      <c r="R43">
        <v>1.03935098033647</v>
      </c>
      <c r="S43">
        <v>1.01556790539332</v>
      </c>
      <c r="T43">
        <v>0.97907431641341203</v>
      </c>
      <c r="U43">
        <v>0.95667194781440401</v>
      </c>
      <c r="V43">
        <v>0.96322112403640703</v>
      </c>
      <c r="W43">
        <v>1.0889801588989201</v>
      </c>
      <c r="X43">
        <v>0.93219632751830495</v>
      </c>
      <c r="Y43">
        <v>0.99158016462082399</v>
      </c>
      <c r="Z43">
        <v>1.0424370601439801</v>
      </c>
      <c r="AA43">
        <v>1.00303752358529</v>
      </c>
      <c r="AB43">
        <v>0.94058580580999895</v>
      </c>
      <c r="AC43">
        <v>1.0418987288164401</v>
      </c>
      <c r="AD43">
        <v>1.00798669040897</v>
      </c>
      <c r="AE43">
        <v>1.00173374872806</v>
      </c>
      <c r="AF43">
        <v>1.08480497213767</v>
      </c>
      <c r="AG43">
        <v>1.09438916284587</v>
      </c>
      <c r="AH43">
        <v>0.94018548526953805</v>
      </c>
      <c r="AI43">
        <v>1.04248772882566</v>
      </c>
      <c r="AJ43">
        <v>0.99319108005026002</v>
      </c>
      <c r="AK43">
        <v>0.93437840905435798</v>
      </c>
      <c r="AL43">
        <v>1.06928979147218</v>
      </c>
      <c r="AM43">
        <v>1.02993399234497</v>
      </c>
      <c r="AN43">
        <v>0.970072978871655</v>
      </c>
      <c r="AO43">
        <v>1.00549248233532</v>
      </c>
      <c r="AP43">
        <v>1.1020441289043601</v>
      </c>
      <c r="AQ43">
        <v>0.90821252926829399</v>
      </c>
      <c r="AR43">
        <v>0.90335147766423796</v>
      </c>
      <c r="AS43">
        <v>1.0649656385311701</v>
      </c>
      <c r="AT43">
        <v>0.98661229199330003</v>
      </c>
      <c r="AU43">
        <v>1.0109862628883799</v>
      </c>
      <c r="AV43">
        <v>1.05832500833531</v>
      </c>
      <c r="AW43">
        <v>1.0603294736157001</v>
      </c>
      <c r="AX43">
        <v>0.96507891869318696</v>
      </c>
      <c r="AY43">
        <v>0.94816160366402702</v>
      </c>
      <c r="AZ43">
        <v>0.94620378436543995</v>
      </c>
      <c r="BA43">
        <v>1.03336378300662</v>
      </c>
      <c r="BB43">
        <v>0.98594148479227794</v>
      </c>
      <c r="BC43">
        <v>1.0523436186531701</v>
      </c>
      <c r="BD43">
        <v>1.09307002497311</v>
      </c>
      <c r="BE43">
        <v>1.0151108963887701</v>
      </c>
      <c r="BF43">
        <v>1.03038348320563</v>
      </c>
      <c r="BG43">
        <v>1.02315999602663</v>
      </c>
      <c r="BH43">
        <v>1.02752929834911</v>
      </c>
      <c r="BI43">
        <v>1.0596955668186101</v>
      </c>
      <c r="BJ43">
        <v>1.05707847058396</v>
      </c>
      <c r="BK43">
        <v>1.0774773456350799</v>
      </c>
      <c r="BL43">
        <v>1.0155341845336301</v>
      </c>
      <c r="BM43">
        <v>0.93596854624956705</v>
      </c>
      <c r="BN43">
        <v>1.0519898306123701</v>
      </c>
      <c r="BO43">
        <v>0.98146893896817</v>
      </c>
      <c r="BP43">
        <v>1.04179083139746</v>
      </c>
      <c r="BQ43">
        <v>1.00393132209263</v>
      </c>
      <c r="BR43">
        <v>0.98816379654470998</v>
      </c>
      <c r="BS43">
        <v>0.99078687501446605</v>
      </c>
      <c r="BT43">
        <v>1.00848623879222</v>
      </c>
      <c r="BU43">
        <v>1.04442444712682</v>
      </c>
      <c r="BV43">
        <v>1.04509333041234</v>
      </c>
      <c r="BW43">
        <v>1.02779345043014</v>
      </c>
      <c r="BX43">
        <v>1.0049767513783301</v>
      </c>
      <c r="BY43">
        <v>0.97664332769808504</v>
      </c>
      <c r="BZ43">
        <v>1.0354326008127599</v>
      </c>
      <c r="CA43">
        <v>1.03342341494158</v>
      </c>
      <c r="CB43">
        <v>1.00898073322861</v>
      </c>
      <c r="CC43">
        <v>0.95701073472337095</v>
      </c>
      <c r="CD43">
        <v>0.98577415193182405</v>
      </c>
      <c r="CE43">
        <v>0.998386323742674</v>
      </c>
      <c r="CF43">
        <v>1.04079771438246</v>
      </c>
      <c r="CG43">
        <v>1.0717721978110399</v>
      </c>
      <c r="CH43">
        <v>1.06992677295912</v>
      </c>
      <c r="CI43">
        <v>1.05831239379478</v>
      </c>
      <c r="CJ43">
        <v>1.02095944126258</v>
      </c>
      <c r="CK43">
        <v>1.01546913394573</v>
      </c>
      <c r="CL43">
        <v>0.95488010372472898</v>
      </c>
      <c r="CM43">
        <v>0.94813466149237302</v>
      </c>
      <c r="CN43">
        <v>1.0172392514334601</v>
      </c>
      <c r="CO43">
        <v>0.99596910631495195</v>
      </c>
      <c r="CP43">
        <v>0.98477057673248203</v>
      </c>
      <c r="CQ43">
        <v>1.0092801617074001</v>
      </c>
      <c r="CR43">
        <v>0.99668800071728103</v>
      </c>
      <c r="CS43">
        <v>1.00494254846655</v>
      </c>
      <c r="CT43">
        <v>1.0715888257994299</v>
      </c>
      <c r="CU43">
        <v>1.03254576425974</v>
      </c>
      <c r="CV43">
        <v>0.98571053386970597</v>
      </c>
      <c r="CW43">
        <v>0.98670130627196195</v>
      </c>
      <c r="CX43">
        <v>1.0301606848201701</v>
      </c>
      <c r="CY43">
        <v>0.97257066281209603</v>
      </c>
      <c r="CZ43">
        <v>1.00781964322379</v>
      </c>
      <c r="DA43">
        <v>0.94395974337072397</v>
      </c>
      <c r="DB43">
        <v>0.99604014031074495</v>
      </c>
      <c r="DC43">
        <v>1.05598862903202</v>
      </c>
      <c r="DD43">
        <v>0.98229500531981495</v>
      </c>
      <c r="DE43">
        <v>1.0171712483833</v>
      </c>
      <c r="DF43">
        <v>1.00602526312912</v>
      </c>
      <c r="DG43">
        <v>1.02510657575853</v>
      </c>
      <c r="DH43">
        <v>1.0415933331471201</v>
      </c>
    </row>
    <row r="44" spans="1:112" x14ac:dyDescent="0.4">
      <c r="B44">
        <f ca="1">PRODUCT(OFFSET(B40,0,0,1,12))</f>
        <v>0.44158197923974685</v>
      </c>
      <c r="C44">
        <f t="shared" ref="C44:BN44" ca="1" si="24">PRODUCT(OFFSET(C40,0,0,1,12))</f>
        <v>0.54166272761783074</v>
      </c>
      <c r="D44">
        <f t="shared" ca="1" si="24"/>
        <v>0.61931850798313115</v>
      </c>
      <c r="E44">
        <f t="shared" ca="1" si="24"/>
        <v>0.60531318036291115</v>
      </c>
      <c r="F44">
        <f t="shared" ca="1" si="24"/>
        <v>0.64390624272483854</v>
      </c>
      <c r="G44">
        <f t="shared" ca="1" si="24"/>
        <v>0.76593642045447619</v>
      </c>
      <c r="H44">
        <f t="shared" ca="1" si="24"/>
        <v>0.91254843630889182</v>
      </c>
      <c r="I44">
        <f t="shared" ca="1" si="24"/>
        <v>0.94263504755118122</v>
      </c>
      <c r="J44">
        <f t="shared" ca="1" si="24"/>
        <v>1.5014065045747575</v>
      </c>
      <c r="K44">
        <f t="shared" ca="1" si="24"/>
        <v>1.4353300939390552</v>
      </c>
      <c r="L44">
        <f t="shared" ca="1" si="24"/>
        <v>1.3915680257952303</v>
      </c>
      <c r="M44">
        <f t="shared" ca="1" si="24"/>
        <v>1.2230692586159226</v>
      </c>
      <c r="N44">
        <f t="shared" ca="1" si="24"/>
        <v>1.2643758372032501</v>
      </c>
      <c r="O44">
        <f t="shared" ca="1" si="24"/>
        <v>1.1219783576927385</v>
      </c>
      <c r="P44">
        <f t="shared" ca="1" si="24"/>
        <v>0.91936587517540358</v>
      </c>
      <c r="Q44">
        <f t="shared" ca="1" si="24"/>
        <v>0.85661178336670463</v>
      </c>
      <c r="R44">
        <f t="shared" ca="1" si="24"/>
        <v>0.9634788389579485</v>
      </c>
      <c r="S44">
        <f t="shared" ca="1" si="24"/>
        <v>0.92635279467413545</v>
      </c>
      <c r="T44">
        <f t="shared" ca="1" si="24"/>
        <v>0.87555064604332966</v>
      </c>
      <c r="U44">
        <f t="shared" ca="1" si="24"/>
        <v>0.99382370190049762</v>
      </c>
      <c r="V44">
        <f t="shared" ca="1" si="24"/>
        <v>1.1247747945090123</v>
      </c>
      <c r="W44">
        <f t="shared" ca="1" si="24"/>
        <v>1.0988610795189111</v>
      </c>
      <c r="X44">
        <f t="shared" ca="1" si="24"/>
        <v>1.068421589324827</v>
      </c>
      <c r="Y44">
        <f t="shared" ca="1" si="24"/>
        <v>1.1524200385475407</v>
      </c>
      <c r="Z44">
        <f t="shared" ca="1" si="24"/>
        <v>1.1064623173956645</v>
      </c>
      <c r="AA44">
        <f t="shared" ca="1" si="24"/>
        <v>1.0882050991775005</v>
      </c>
      <c r="AB44">
        <f t="shared" ca="1" si="24"/>
        <v>1.1335983727448815</v>
      </c>
      <c r="AC44">
        <f t="shared" ca="1" si="24"/>
        <v>1.2329860805718753</v>
      </c>
      <c r="AD44">
        <f t="shared" ca="1" si="24"/>
        <v>1.1416922092007256</v>
      </c>
      <c r="AE44">
        <f t="shared" ca="1" si="24"/>
        <v>1.2786559632808943</v>
      </c>
      <c r="AF44">
        <f t="shared" ca="1" si="24"/>
        <v>1.1181098172625785</v>
      </c>
      <c r="AG44">
        <f t="shared" ca="1" si="24"/>
        <v>0.90456265862401397</v>
      </c>
      <c r="AH44">
        <f t="shared" ca="1" si="24"/>
        <v>0.91665783959976477</v>
      </c>
      <c r="AI44">
        <f t="shared" ca="1" si="24"/>
        <v>0.99821643114893399</v>
      </c>
      <c r="AJ44">
        <f t="shared" ca="1" si="24"/>
        <v>0.95494085442515286</v>
      </c>
      <c r="AK44">
        <f t="shared" ca="1" si="24"/>
        <v>1.0249842724041722</v>
      </c>
      <c r="AL44">
        <f t="shared" ca="1" si="24"/>
        <v>1.1991908505217814</v>
      </c>
      <c r="AM44">
        <f t="shared" ca="1" si="24"/>
        <v>1.1271640796647309</v>
      </c>
      <c r="AN44">
        <f t="shared" ca="1" si="24"/>
        <v>1.0539074579614474</v>
      </c>
      <c r="AO44">
        <f t="shared" ca="1" si="24"/>
        <v>0.99655212219525158</v>
      </c>
      <c r="AP44">
        <f t="shared" ca="1" si="24"/>
        <v>1.0413661481816325</v>
      </c>
      <c r="AQ44">
        <f t="shared" ca="1" si="24"/>
        <v>0.92392086995486988</v>
      </c>
      <c r="AR44">
        <f t="shared" ca="1" si="24"/>
        <v>1.1180241002718807</v>
      </c>
      <c r="AS44">
        <f t="shared" ca="1" si="24"/>
        <v>1.3502928684424722</v>
      </c>
      <c r="AT44">
        <f t="shared" ca="1" si="24"/>
        <v>1.3316462636363906</v>
      </c>
      <c r="AU44">
        <f t="shared" ca="1" si="24"/>
        <v>1.4216941306505995</v>
      </c>
      <c r="AV44">
        <f t="shared" ca="1" si="24"/>
        <v>1.483597196427084</v>
      </c>
      <c r="AW44">
        <f t="shared" ca="1" si="24"/>
        <v>1.4511031428134273</v>
      </c>
      <c r="AX44">
        <f t="shared" ca="1" si="24"/>
        <v>1.4302134062090139</v>
      </c>
      <c r="AY44">
        <f t="shared" ca="1" si="24"/>
        <v>1.5611468289192565</v>
      </c>
      <c r="AZ44">
        <f t="shared" ca="1" si="24"/>
        <v>1.701499789259532</v>
      </c>
      <c r="BA44">
        <f t="shared" ca="1" si="24"/>
        <v>1.8366271120448709</v>
      </c>
      <c r="BB44">
        <f t="shared" ca="1" si="24"/>
        <v>1.6883090796354037</v>
      </c>
      <c r="BC44">
        <f t="shared" ca="1" si="24"/>
        <v>1.8120006905314197</v>
      </c>
      <c r="BD44">
        <f t="shared" ca="1" si="24"/>
        <v>1.6761051909488525</v>
      </c>
      <c r="BE44">
        <f t="shared" ca="1" si="24"/>
        <v>1.5980110105365335</v>
      </c>
      <c r="BF44">
        <f t="shared" ca="1" si="24"/>
        <v>1.5148255555983752</v>
      </c>
      <c r="BG44">
        <f t="shared" ca="1" si="24"/>
        <v>1.4022416637618733</v>
      </c>
      <c r="BH44">
        <f t="shared" ca="1" si="24"/>
        <v>1.3510531666954828</v>
      </c>
      <c r="BI44">
        <f t="shared" ca="1" si="24"/>
        <v>1.2896164468068041</v>
      </c>
      <c r="BJ44">
        <f t="shared" ca="1" si="24"/>
        <v>1.2903942379200919</v>
      </c>
      <c r="BK44">
        <f t="shared" ca="1" si="24"/>
        <v>1.2884525057975906</v>
      </c>
      <c r="BL44">
        <f t="shared" ca="1" si="24"/>
        <v>1.2803159870990029</v>
      </c>
      <c r="BM44">
        <f t="shared" ca="1" si="24"/>
        <v>1.2477433554657325</v>
      </c>
      <c r="BN44">
        <f t="shared" ca="1" si="24"/>
        <v>1.2974576702458966</v>
      </c>
      <c r="BO44">
        <f t="shared" ref="BO44:CV44" ca="1" si="25">PRODUCT(OFFSET(BO40,0,0,1,12))</f>
        <v>1.2781164063273525</v>
      </c>
      <c r="BP44">
        <f t="shared" ca="1" si="25"/>
        <v>1.3530403156564048</v>
      </c>
      <c r="BQ44">
        <f t="shared" ca="1" si="25"/>
        <v>1.3171532335687077</v>
      </c>
      <c r="BR44">
        <f t="shared" ca="1" si="25"/>
        <v>1.2333640680514935</v>
      </c>
      <c r="BS44">
        <f t="shared" ca="1" si="25"/>
        <v>1.2173168814060586</v>
      </c>
      <c r="BT44">
        <f t="shared" ca="1" si="25"/>
        <v>1.2029772900325932</v>
      </c>
      <c r="BU44">
        <f t="shared" ca="1" si="25"/>
        <v>1.3023587796262306</v>
      </c>
      <c r="BV44">
        <f t="shared" ca="1" si="25"/>
        <v>1.3664958498176485</v>
      </c>
      <c r="BW44">
        <f t="shared" ca="1" si="25"/>
        <v>1.3916141930841559</v>
      </c>
      <c r="BX44">
        <f t="shared" ca="1" si="25"/>
        <v>1.3995735618768066</v>
      </c>
      <c r="BY44">
        <f t="shared" ca="1" si="25"/>
        <v>1.4110329473235848</v>
      </c>
      <c r="BZ44">
        <f t="shared" ca="1" si="25"/>
        <v>1.380544198086868</v>
      </c>
      <c r="CA44">
        <f t="shared" ca="1" si="25"/>
        <v>1.3116972202192054</v>
      </c>
      <c r="CB44">
        <f t="shared" ca="1" si="25"/>
        <v>1.2116131005980375</v>
      </c>
      <c r="CC44">
        <f t="shared" ca="1" si="25"/>
        <v>1.2236392859951288</v>
      </c>
      <c r="CD44">
        <f t="shared" ca="1" si="25"/>
        <v>1.2830383272818044</v>
      </c>
      <c r="CE44">
        <f t="shared" ca="1" si="25"/>
        <v>1.2752802457743562</v>
      </c>
      <c r="CF44">
        <f t="shared" ca="1" si="25"/>
        <v>1.3373428415124056</v>
      </c>
      <c r="CG44">
        <f t="shared" ca="1" si="25"/>
        <v>1.2443041615467516</v>
      </c>
      <c r="CH44">
        <f t="shared" ca="1" si="25"/>
        <v>1.1064690420281158</v>
      </c>
      <c r="CI44">
        <f t="shared" ca="1" si="25"/>
        <v>1.1071611809301352</v>
      </c>
      <c r="CJ44">
        <f t="shared" ca="1" si="25"/>
        <v>1.1004057712822153</v>
      </c>
      <c r="CK44">
        <f t="shared" ca="1" si="25"/>
        <v>1.0810416856997158</v>
      </c>
      <c r="CL44">
        <f t="shared" ca="1" si="25"/>
        <v>1.1075628430340148</v>
      </c>
      <c r="CM44">
        <f t="shared" ca="1" si="25"/>
        <v>1.1606857906605761</v>
      </c>
      <c r="CN44">
        <f t="shared" ca="1" si="25"/>
        <v>1.1834381820999746</v>
      </c>
      <c r="CO44">
        <f t="shared" ca="1" si="25"/>
        <v>1.1579911102855904</v>
      </c>
      <c r="CP44">
        <f t="shared" ca="1" si="25"/>
        <v>1.0881882188429153</v>
      </c>
      <c r="CQ44">
        <f t="shared" ca="1" si="25"/>
        <v>1.1353505111447666</v>
      </c>
      <c r="CR44">
        <f t="shared" ca="1" si="25"/>
        <v>1.1376559079776452</v>
      </c>
      <c r="CS44">
        <f t="shared" ca="1" si="25"/>
        <v>1.1113684700267492</v>
      </c>
      <c r="CT44">
        <f t="shared" ca="1" si="25"/>
        <v>1.1290219474007337</v>
      </c>
      <c r="CU44">
        <f t="shared" ca="1" si="25"/>
        <v>1.0627723598525551</v>
      </c>
      <c r="CV44">
        <f t="shared" ca="1" si="25"/>
        <v>1.0615444401091285</v>
      </c>
      <c r="CW44">
        <f t="shared" ref="CW44" ca="1" si="26">PRODUCT(OFFSET(CW40,0,0,1,12))</f>
        <v>1.1345607470419778</v>
      </c>
    </row>
    <row r="45" spans="1:112" x14ac:dyDescent="0.4">
      <c r="B45">
        <f ca="1">PRODUCT(OFFSET(B41,0,0,1,12))</f>
        <v>0.55927565405816604</v>
      </c>
      <c r="C45">
        <f t="shared" ref="C45:BN45" ca="1" si="27">PRODUCT(OFFSET(C41,0,0,1,12))</f>
        <v>0.69521514396158268</v>
      </c>
      <c r="D45">
        <f t="shared" ca="1" si="27"/>
        <v>0.80163483122903412</v>
      </c>
      <c r="E45">
        <f t="shared" ca="1" si="27"/>
        <v>0.74939237743516274</v>
      </c>
      <c r="F45">
        <f t="shared" ca="1" si="27"/>
        <v>0.78780763574556756</v>
      </c>
      <c r="G45">
        <f t="shared" ca="1" si="27"/>
        <v>0.89011455805862949</v>
      </c>
      <c r="H45">
        <f t="shared" ca="1" si="27"/>
        <v>1.0175577503024933</v>
      </c>
      <c r="I45">
        <f t="shared" ca="1" si="27"/>
        <v>1.0347409299318255</v>
      </c>
      <c r="J45">
        <f t="shared" ca="1" si="27"/>
        <v>1.5293750562536157</v>
      </c>
      <c r="K45">
        <f t="shared" ca="1" si="27"/>
        <v>1.4388941030147153</v>
      </c>
      <c r="L45">
        <f t="shared" ca="1" si="27"/>
        <v>1.4159654461166511</v>
      </c>
      <c r="M45">
        <f t="shared" ca="1" si="27"/>
        <v>1.2368091057313688</v>
      </c>
      <c r="N45">
        <f t="shared" ca="1" si="27"/>
        <v>1.2890540237516659</v>
      </c>
      <c r="O45">
        <f t="shared" ca="1" si="27"/>
        <v>1.1408136747721553</v>
      </c>
      <c r="P45">
        <f t="shared" ca="1" si="27"/>
        <v>0.92796671823650267</v>
      </c>
      <c r="Q45">
        <f t="shared" ca="1" si="27"/>
        <v>0.87619892029159074</v>
      </c>
      <c r="R45">
        <f t="shared" ca="1" si="27"/>
        <v>0.95928082808799686</v>
      </c>
      <c r="S45">
        <f t="shared" ca="1" si="27"/>
        <v>0.93611008711361077</v>
      </c>
      <c r="T45">
        <f t="shared" ca="1" si="27"/>
        <v>0.90538901591985199</v>
      </c>
      <c r="U45">
        <f t="shared" ca="1" si="27"/>
        <v>1.0025382913619039</v>
      </c>
      <c r="V45">
        <f t="shared" ca="1" si="27"/>
        <v>1.1547744579279697</v>
      </c>
      <c r="W45">
        <f t="shared" ca="1" si="27"/>
        <v>1.1375803369434323</v>
      </c>
      <c r="X45">
        <f t="shared" ca="1" si="27"/>
        <v>1.0998406474433475</v>
      </c>
      <c r="Y45">
        <f t="shared" ca="1" si="27"/>
        <v>1.1754290571487074</v>
      </c>
      <c r="Z45">
        <f t="shared" ca="1" si="27"/>
        <v>1.1117203869389893</v>
      </c>
      <c r="AA45">
        <f t="shared" ca="1" si="27"/>
        <v>1.1173525605788333</v>
      </c>
      <c r="AB45">
        <f t="shared" ca="1" si="27"/>
        <v>1.1483067567289957</v>
      </c>
      <c r="AC45">
        <f t="shared" ca="1" si="27"/>
        <v>1.2141911622849377</v>
      </c>
      <c r="AD45">
        <f t="shared" ca="1" si="27"/>
        <v>1.1679248532981936</v>
      </c>
      <c r="AE45">
        <f t="shared" ca="1" si="27"/>
        <v>1.2664854064047719</v>
      </c>
      <c r="AF45">
        <f t="shared" ca="1" si="27"/>
        <v>1.1179185452770306</v>
      </c>
      <c r="AG45">
        <f t="shared" ca="1" si="27"/>
        <v>0.9339121326915425</v>
      </c>
      <c r="AH45">
        <f t="shared" ca="1" si="27"/>
        <v>0.91978019002185563</v>
      </c>
      <c r="AI45">
        <f t="shared" ca="1" si="27"/>
        <v>0.96969551320469183</v>
      </c>
      <c r="AJ45">
        <f t="shared" ca="1" si="27"/>
        <v>0.92988313799190958</v>
      </c>
      <c r="AK45">
        <f t="shared" ca="1" si="27"/>
        <v>0.99579072535758184</v>
      </c>
      <c r="AL45">
        <f t="shared" ca="1" si="27"/>
        <v>1.1428804918079798</v>
      </c>
      <c r="AM45">
        <f t="shared" ca="1" si="27"/>
        <v>1.0418785915349174</v>
      </c>
      <c r="AN45">
        <f t="shared" ca="1" si="27"/>
        <v>0.97590823463407339</v>
      </c>
      <c r="AO45">
        <f t="shared" ca="1" si="27"/>
        <v>0.94203704082097184</v>
      </c>
      <c r="AP45">
        <f t="shared" ca="1" si="27"/>
        <v>0.95698085741675398</v>
      </c>
      <c r="AQ45">
        <f t="shared" ca="1" si="27"/>
        <v>0.85945497641738344</v>
      </c>
      <c r="AR45">
        <f t="shared" ca="1" si="27"/>
        <v>1.0230297047163026</v>
      </c>
      <c r="AS45">
        <f t="shared" ca="1" si="27"/>
        <v>1.2115571238897098</v>
      </c>
      <c r="AT45">
        <f t="shared" ca="1" si="27"/>
        <v>1.1589027737162858</v>
      </c>
      <c r="AU45">
        <f t="shared" ca="1" si="27"/>
        <v>1.2382727778847187</v>
      </c>
      <c r="AV45">
        <f t="shared" ca="1" si="27"/>
        <v>1.2656827147120306</v>
      </c>
      <c r="AW45">
        <f t="shared" ca="1" si="27"/>
        <v>1.2305312376451052</v>
      </c>
      <c r="AX45">
        <f t="shared" ca="1" si="27"/>
        <v>1.2299944404801648</v>
      </c>
      <c r="AY45">
        <f t="shared" ca="1" si="27"/>
        <v>1.3634835687031222</v>
      </c>
      <c r="AZ45">
        <f t="shared" ca="1" si="27"/>
        <v>1.5436215442057735</v>
      </c>
      <c r="BA45">
        <f t="shared" ca="1" si="27"/>
        <v>1.6463939949929418</v>
      </c>
      <c r="BB45">
        <f t="shared" ca="1" si="27"/>
        <v>1.5065340951652897</v>
      </c>
      <c r="BC45">
        <f t="shared" ca="1" si="27"/>
        <v>1.634874237729935</v>
      </c>
      <c r="BD45">
        <f t="shared" ca="1" si="27"/>
        <v>1.5441964606427385</v>
      </c>
      <c r="BE45">
        <f t="shared" ca="1" si="27"/>
        <v>1.4978655119914452</v>
      </c>
      <c r="BF45">
        <f t="shared" ca="1" si="27"/>
        <v>1.4715612498024224</v>
      </c>
      <c r="BG45">
        <f t="shared" ca="1" si="27"/>
        <v>1.3717355654189491</v>
      </c>
      <c r="BH45">
        <f t="shared" ca="1" si="27"/>
        <v>1.3404871044194122</v>
      </c>
      <c r="BI45">
        <f t="shared" ca="1" si="27"/>
        <v>1.3048227813793902</v>
      </c>
      <c r="BJ45">
        <f t="shared" ca="1" si="27"/>
        <v>1.3063208708563969</v>
      </c>
      <c r="BK45">
        <f t="shared" ca="1" si="27"/>
        <v>1.2892585402238093</v>
      </c>
      <c r="BL45">
        <f t="shared" ca="1" si="27"/>
        <v>1.2344872822165325</v>
      </c>
      <c r="BM45">
        <f t="shared" ca="1" si="27"/>
        <v>1.2197607508645094</v>
      </c>
      <c r="BN45">
        <f t="shared" ca="1" si="27"/>
        <v>1.277496023218587</v>
      </c>
      <c r="BO45">
        <f t="shared" ref="BO45:CV45" ca="1" si="28">PRODUCT(OFFSET(BO41,0,0,1,12))</f>
        <v>1.2687715364462313</v>
      </c>
      <c r="BP45">
        <f t="shared" ca="1" si="28"/>
        <v>1.3369840272010864</v>
      </c>
      <c r="BQ45">
        <f t="shared" ca="1" si="28"/>
        <v>1.2937858785976222</v>
      </c>
      <c r="BR45">
        <f t="shared" ca="1" si="28"/>
        <v>1.2091270112257166</v>
      </c>
      <c r="BS45">
        <f t="shared" ca="1" si="28"/>
        <v>1.2174529997472399</v>
      </c>
      <c r="BT45">
        <f t="shared" ca="1" si="28"/>
        <v>1.2097816439618356</v>
      </c>
      <c r="BU45">
        <f t="shared" ca="1" si="28"/>
        <v>1.2816948775499448</v>
      </c>
      <c r="BV45">
        <f t="shared" ca="1" si="28"/>
        <v>1.3170280409918855</v>
      </c>
      <c r="BW45">
        <f t="shared" ca="1" si="28"/>
        <v>1.3493100042354618</v>
      </c>
      <c r="BX45">
        <f t="shared" ca="1" si="28"/>
        <v>1.3606313010280058</v>
      </c>
      <c r="BY45">
        <f t="shared" ca="1" si="28"/>
        <v>1.3698179024582056</v>
      </c>
      <c r="BZ45">
        <f t="shared" ca="1" si="28"/>
        <v>1.3815121999495554</v>
      </c>
      <c r="CA45">
        <f t="shared" ca="1" si="28"/>
        <v>1.2894557530264639</v>
      </c>
      <c r="CB45">
        <f t="shared" ca="1" si="28"/>
        <v>1.1639159182051457</v>
      </c>
      <c r="CC45">
        <f t="shared" ca="1" si="28"/>
        <v>1.1594015263257518</v>
      </c>
      <c r="CD45">
        <f t="shared" ca="1" si="28"/>
        <v>1.2188534016239583</v>
      </c>
      <c r="CE45">
        <f t="shared" ca="1" si="28"/>
        <v>1.216237271617463</v>
      </c>
      <c r="CF45">
        <f t="shared" ca="1" si="28"/>
        <v>1.2465284461253181</v>
      </c>
      <c r="CG45">
        <f t="shared" ca="1" si="28"/>
        <v>1.1722213874029337</v>
      </c>
      <c r="CH45">
        <f t="shared" ca="1" si="28"/>
        <v>1.0861251513604573</v>
      </c>
      <c r="CI45">
        <f t="shared" ca="1" si="28"/>
        <v>1.0827554358075335</v>
      </c>
      <c r="CJ45">
        <f t="shared" ca="1" si="28"/>
        <v>1.0725194246059475</v>
      </c>
      <c r="CK45">
        <f t="shared" ca="1" si="28"/>
        <v>1.0625190163075842</v>
      </c>
      <c r="CL45">
        <f t="shared" ca="1" si="28"/>
        <v>1.0632434543104503</v>
      </c>
      <c r="CM45">
        <f t="shared" ca="1" si="28"/>
        <v>1.1092875248087228</v>
      </c>
      <c r="CN45">
        <f t="shared" ca="1" si="28"/>
        <v>1.1238141597204134</v>
      </c>
      <c r="CO45">
        <f t="shared" ca="1" si="28"/>
        <v>1.122021629601256</v>
      </c>
      <c r="CP45">
        <f t="shared" ca="1" si="28"/>
        <v>1.0756329291367637</v>
      </c>
      <c r="CQ45">
        <f t="shared" ca="1" si="28"/>
        <v>1.0843253180977914</v>
      </c>
      <c r="CR45">
        <f t="shared" ca="1" si="28"/>
        <v>1.126621914641369</v>
      </c>
      <c r="CS45">
        <f t="shared" ca="1" si="28"/>
        <v>1.1300383638824687</v>
      </c>
      <c r="CT45">
        <f t="shared" ca="1" si="28"/>
        <v>1.1213251569930665</v>
      </c>
      <c r="CU45">
        <f t="shared" ca="1" si="28"/>
        <v>1.0515096672820674</v>
      </c>
      <c r="CV45">
        <f t="shared" ca="1" si="28"/>
        <v>1.044898216606319</v>
      </c>
      <c r="CW45">
        <f t="shared" ref="CW45" ca="1" si="29">PRODUCT(OFFSET(CW41,0,0,1,12))</f>
        <v>1.0927756379107068</v>
      </c>
    </row>
    <row r="46" spans="1:112" x14ac:dyDescent="0.4">
      <c r="B46">
        <f ca="1">PRODUCT(OFFSET(B42,0,0,1,12))</f>
        <v>0.55168584930645748</v>
      </c>
      <c r="C46">
        <f t="shared" ref="C46:BN46" ca="1" si="30">PRODUCT(OFFSET(C42,0,0,1,12))</f>
        <v>0.66627486305734651</v>
      </c>
      <c r="D46">
        <f t="shared" ca="1" si="30"/>
        <v>0.76109383193165225</v>
      </c>
      <c r="E46">
        <f t="shared" ca="1" si="30"/>
        <v>0.71985665685663758</v>
      </c>
      <c r="F46">
        <f t="shared" ca="1" si="30"/>
        <v>0.75604790126494725</v>
      </c>
      <c r="G46">
        <f t="shared" ca="1" si="30"/>
        <v>0.85512495851816339</v>
      </c>
      <c r="H46">
        <f t="shared" ca="1" si="30"/>
        <v>0.96443358112147815</v>
      </c>
      <c r="I46">
        <f t="shared" ca="1" si="30"/>
        <v>0.97835399074191065</v>
      </c>
      <c r="J46">
        <f t="shared" ca="1" si="30"/>
        <v>1.421099677315675</v>
      </c>
      <c r="K46">
        <f t="shared" ca="1" si="30"/>
        <v>1.3807397812273476</v>
      </c>
      <c r="L46">
        <f t="shared" ca="1" si="30"/>
        <v>1.3790958791198233</v>
      </c>
      <c r="M46">
        <f t="shared" ca="1" si="30"/>
        <v>1.23046770807628</v>
      </c>
      <c r="N46">
        <f t="shared" ca="1" si="30"/>
        <v>1.2899967339072247</v>
      </c>
      <c r="O46">
        <f t="shared" ca="1" si="30"/>
        <v>1.1529327742526523</v>
      </c>
      <c r="P46">
        <f t="shared" ca="1" si="30"/>
        <v>0.95308458952660668</v>
      </c>
      <c r="Q46">
        <f t="shared" ca="1" si="30"/>
        <v>0.89319459374187271</v>
      </c>
      <c r="R46">
        <f t="shared" ca="1" si="30"/>
        <v>0.97393808840501495</v>
      </c>
      <c r="S46">
        <f t="shared" ca="1" si="30"/>
        <v>0.95171067609772042</v>
      </c>
      <c r="T46">
        <f t="shared" ca="1" si="30"/>
        <v>0.9391414727217785</v>
      </c>
      <c r="U46">
        <f t="shared" ca="1" si="30"/>
        <v>1.03992487502479</v>
      </c>
      <c r="V46">
        <f t="shared" ca="1" si="30"/>
        <v>1.1914156829859535</v>
      </c>
      <c r="W46">
        <f t="shared" ca="1" si="30"/>
        <v>1.1573617825322295</v>
      </c>
      <c r="X46">
        <f t="shared" ca="1" si="30"/>
        <v>1.1218362996576188</v>
      </c>
      <c r="Y46">
        <f t="shared" ca="1" si="30"/>
        <v>1.1805567013388296</v>
      </c>
      <c r="Z46">
        <f t="shared" ca="1" si="30"/>
        <v>1.1107509280499188</v>
      </c>
      <c r="AA46">
        <f t="shared" ca="1" si="30"/>
        <v>1.1289071071321262</v>
      </c>
      <c r="AB46">
        <f t="shared" ca="1" si="30"/>
        <v>1.1736429433722011</v>
      </c>
      <c r="AC46">
        <f t="shared" ca="1" si="30"/>
        <v>1.2264376469232274</v>
      </c>
      <c r="AD46">
        <f t="shared" ca="1" si="30"/>
        <v>1.1808469706165154</v>
      </c>
      <c r="AE46">
        <f t="shared" ca="1" si="30"/>
        <v>1.2911341108739642</v>
      </c>
      <c r="AF46">
        <f t="shared" ca="1" si="30"/>
        <v>1.1600673799492831</v>
      </c>
      <c r="AG46">
        <f t="shared" ca="1" si="30"/>
        <v>0.96475636573909151</v>
      </c>
      <c r="AH46">
        <f t="shared" ca="1" si="30"/>
        <v>0.93301672296139015</v>
      </c>
      <c r="AI46">
        <f t="shared" ca="1" si="30"/>
        <v>0.98443067341830881</v>
      </c>
      <c r="AJ46">
        <f t="shared" ca="1" si="30"/>
        <v>0.94767638047572944</v>
      </c>
      <c r="AK46">
        <f t="shared" ca="1" si="30"/>
        <v>1.0123809394356158</v>
      </c>
      <c r="AL46">
        <f t="shared" ca="1" si="30"/>
        <v>1.1414240079554745</v>
      </c>
      <c r="AM46">
        <f t="shared" ca="1" si="30"/>
        <v>1.0374043806440845</v>
      </c>
      <c r="AN46">
        <f t="shared" ca="1" si="30"/>
        <v>0.95465043444635989</v>
      </c>
      <c r="AO46">
        <f t="shared" ca="1" si="30"/>
        <v>0.92357803947119443</v>
      </c>
      <c r="AP46">
        <f t="shared" ca="1" si="30"/>
        <v>0.94448947384082704</v>
      </c>
      <c r="AQ46">
        <f t="shared" ca="1" si="30"/>
        <v>0.84426003705671093</v>
      </c>
      <c r="AR46">
        <f t="shared" ca="1" si="30"/>
        <v>0.99051105754635294</v>
      </c>
      <c r="AS46">
        <f t="shared" ca="1" si="30"/>
        <v>1.1902221716256913</v>
      </c>
      <c r="AT46">
        <f t="shared" ca="1" si="30"/>
        <v>1.1287170084961999</v>
      </c>
      <c r="AU46">
        <f t="shared" ca="1" si="30"/>
        <v>1.1783988973907407</v>
      </c>
      <c r="AV46">
        <f t="shared" ca="1" si="30"/>
        <v>1.198590399385264</v>
      </c>
      <c r="AW46">
        <f t="shared" ca="1" si="30"/>
        <v>1.1719963268891282</v>
      </c>
      <c r="AX46">
        <f t="shared" ca="1" si="30"/>
        <v>1.1933465701199728</v>
      </c>
      <c r="AY46">
        <f t="shared" ca="1" si="30"/>
        <v>1.311338642227587</v>
      </c>
      <c r="AZ46">
        <f t="shared" ca="1" si="30"/>
        <v>1.4874035256463409</v>
      </c>
      <c r="BA46">
        <f t="shared" ca="1" si="30"/>
        <v>1.615209776009914</v>
      </c>
      <c r="BB46">
        <f t="shared" ca="1" si="30"/>
        <v>1.4734421349297471</v>
      </c>
      <c r="BC46">
        <f t="shared" ca="1" si="30"/>
        <v>1.5815098158619638</v>
      </c>
      <c r="BD46">
        <f t="shared" ca="1" si="30"/>
        <v>1.47784605179426</v>
      </c>
      <c r="BE46">
        <f t="shared" ca="1" si="30"/>
        <v>1.4167917477047609</v>
      </c>
      <c r="BF46">
        <f t="shared" ca="1" si="30"/>
        <v>1.4137335188511431</v>
      </c>
      <c r="BG46">
        <f t="shared" ca="1" si="30"/>
        <v>1.34390183574896</v>
      </c>
      <c r="BH46">
        <f t="shared" ca="1" si="30"/>
        <v>1.2951592036461408</v>
      </c>
      <c r="BI46">
        <f t="shared" ca="1" si="30"/>
        <v>1.2814865241167737</v>
      </c>
      <c r="BJ46">
        <f t="shared" ca="1" si="30"/>
        <v>1.2640330125754675</v>
      </c>
      <c r="BK46">
        <f t="shared" ca="1" si="30"/>
        <v>1.2390353125072258</v>
      </c>
      <c r="BL46">
        <f t="shared" ca="1" si="30"/>
        <v>1.181488634994398</v>
      </c>
      <c r="BM46">
        <f t="shared" ca="1" si="30"/>
        <v>1.1636537478983702</v>
      </c>
      <c r="BN46">
        <f t="shared" ca="1" si="30"/>
        <v>1.209670810201898</v>
      </c>
      <c r="BO46">
        <f t="shared" ref="BO46:CV46" ca="1" si="31">PRODUCT(OFFSET(BO42,0,0,1,12))</f>
        <v>1.1947392439397968</v>
      </c>
      <c r="BP46">
        <f t="shared" ca="1" si="31"/>
        <v>1.2502419094179273</v>
      </c>
      <c r="BQ46">
        <f t="shared" ca="1" si="31"/>
        <v>1.2088755705449998</v>
      </c>
      <c r="BR46">
        <f t="shared" ca="1" si="31"/>
        <v>1.1383611025111688</v>
      </c>
      <c r="BS46">
        <f t="shared" ca="1" si="31"/>
        <v>1.1480585086517499</v>
      </c>
      <c r="BT46">
        <f t="shared" ca="1" si="31"/>
        <v>1.1614224449325323</v>
      </c>
      <c r="BU46">
        <f t="shared" ca="1" si="31"/>
        <v>1.1921746407751561</v>
      </c>
      <c r="BV46">
        <f t="shared" ca="1" si="31"/>
        <v>1.2349988021743104</v>
      </c>
      <c r="BW46">
        <f t="shared" ca="1" si="31"/>
        <v>1.2783564277596069</v>
      </c>
      <c r="BX46">
        <f t="shared" ca="1" si="31"/>
        <v>1.3153053300236832</v>
      </c>
      <c r="BY46">
        <f t="shared" ca="1" si="31"/>
        <v>1.3260446605422089</v>
      </c>
      <c r="BZ46">
        <f t="shared" ca="1" si="31"/>
        <v>1.3415966609479371</v>
      </c>
      <c r="CA46">
        <f t="shared" ca="1" si="31"/>
        <v>1.2515193679316385</v>
      </c>
      <c r="CB46">
        <f t="shared" ca="1" si="31"/>
        <v>1.1406432040034704</v>
      </c>
      <c r="CC46">
        <f t="shared" ca="1" si="31"/>
        <v>1.1553453294685971</v>
      </c>
      <c r="CD46">
        <f t="shared" ca="1" si="31"/>
        <v>1.2109601234567171</v>
      </c>
      <c r="CE46">
        <f t="shared" ca="1" si="31"/>
        <v>1.2116247602945465</v>
      </c>
      <c r="CF46">
        <f t="shared" ca="1" si="31"/>
        <v>1.2254941882326396</v>
      </c>
      <c r="CG46">
        <f t="shared" ca="1" si="31"/>
        <v>1.1781335085100979</v>
      </c>
      <c r="CH46">
        <f t="shared" ca="1" si="31"/>
        <v>1.0770391252455942</v>
      </c>
      <c r="CI46">
        <f t="shared" ca="1" si="31"/>
        <v>1.0757925375671142</v>
      </c>
      <c r="CJ46">
        <f t="shared" ca="1" si="31"/>
        <v>1.0507059971057193</v>
      </c>
      <c r="CK46">
        <f t="shared" ca="1" si="31"/>
        <v>1.0237533622961452</v>
      </c>
      <c r="CL46">
        <f t="shared" ca="1" si="31"/>
        <v>1.0255073845899163</v>
      </c>
      <c r="CM46">
        <f t="shared" ca="1" si="31"/>
        <v>1.0833606878134732</v>
      </c>
      <c r="CN46">
        <f t="shared" ca="1" si="31"/>
        <v>1.1036954714607141</v>
      </c>
      <c r="CO46">
        <f t="shared" ca="1" si="31"/>
        <v>1.0932832668740942</v>
      </c>
      <c r="CP46">
        <f t="shared" ca="1" si="31"/>
        <v>1.0404897154548196</v>
      </c>
      <c r="CQ46">
        <f t="shared" ca="1" si="31"/>
        <v>1.0454054815277989</v>
      </c>
      <c r="CR46">
        <f t="shared" ca="1" si="31"/>
        <v>1.0907782458039361</v>
      </c>
      <c r="CS46">
        <f t="shared" ca="1" si="31"/>
        <v>1.0735244816488254</v>
      </c>
      <c r="CT46">
        <f t="shared" ca="1" si="31"/>
        <v>1.0863288367170385</v>
      </c>
      <c r="CU46">
        <f t="shared" ca="1" si="31"/>
        <v>1.0134823805210862</v>
      </c>
      <c r="CV46">
        <f t="shared" ca="1" si="31"/>
        <v>1.001866110805079</v>
      </c>
      <c r="CW46">
        <f t="shared" ref="CW46" ca="1" si="32">PRODUCT(OFFSET(CW42,0,0,1,12))</f>
        <v>1.0611053139825124</v>
      </c>
    </row>
    <row r="47" spans="1:112" x14ac:dyDescent="0.4">
      <c r="B47">
        <f ca="1">PRODUCT(OFFSET(B43,0,0,1,12))</f>
        <v>0.5610473324587173</v>
      </c>
      <c r="C47">
        <f t="shared" ref="C47:BN47" ca="1" si="33">PRODUCT(OFFSET(C43,0,0,1,12))</f>
        <v>0.66690707986803044</v>
      </c>
      <c r="D47">
        <f t="shared" ca="1" si="33"/>
        <v>0.76801830933106452</v>
      </c>
      <c r="E47">
        <f t="shared" ca="1" si="33"/>
        <v>0.72613509315497882</v>
      </c>
      <c r="F47">
        <f t="shared" ca="1" si="33"/>
        <v>0.75447435072600477</v>
      </c>
      <c r="G47">
        <f t="shared" ca="1" si="33"/>
        <v>0.86085360685974932</v>
      </c>
      <c r="H47">
        <f t="shared" ca="1" si="33"/>
        <v>0.96343265389857535</v>
      </c>
      <c r="I47">
        <f t="shared" ca="1" si="33"/>
        <v>0.97461187782450875</v>
      </c>
      <c r="J47">
        <f t="shared" ca="1" si="33"/>
        <v>1.3871949159608474</v>
      </c>
      <c r="K47">
        <f t="shared" ca="1" si="33"/>
        <v>1.3399702233130899</v>
      </c>
      <c r="L47">
        <f t="shared" ca="1" si="33"/>
        <v>1.3576860556338513</v>
      </c>
      <c r="M47">
        <f t="shared" ca="1" si="33"/>
        <v>1.1928664966329776</v>
      </c>
      <c r="N47">
        <f t="shared" ca="1" si="33"/>
        <v>1.2696185582018265</v>
      </c>
      <c r="O47">
        <f t="shared" ca="1" si="33"/>
        <v>1.140667291074362</v>
      </c>
      <c r="P47">
        <f t="shared" ca="1" si="33"/>
        <v>0.95100643379411165</v>
      </c>
      <c r="Q47">
        <f t="shared" ca="1" si="33"/>
        <v>0.90359952676661548</v>
      </c>
      <c r="R47">
        <f t="shared" ca="1" si="33"/>
        <v>0.98224998453001799</v>
      </c>
      <c r="S47">
        <f t="shared" ca="1" si="33"/>
        <v>0.9526088201120958</v>
      </c>
      <c r="T47">
        <f t="shared" ca="1" si="33"/>
        <v>0.93963229772678525</v>
      </c>
      <c r="U47">
        <f t="shared" ca="1" si="33"/>
        <v>1.0411035929214956</v>
      </c>
      <c r="V47">
        <f t="shared" ca="1" si="33"/>
        <v>1.1909751217187596</v>
      </c>
      <c r="W47">
        <f t="shared" ca="1" si="33"/>
        <v>1.1624926974865393</v>
      </c>
      <c r="X47">
        <f t="shared" ca="1" si="33"/>
        <v>1.1128617560897593</v>
      </c>
      <c r="Y47">
        <f t="shared" ca="1" si="33"/>
        <v>1.1856776698744436</v>
      </c>
      <c r="Z47">
        <f t="shared" ca="1" si="33"/>
        <v>1.1172789194025536</v>
      </c>
      <c r="AA47">
        <f t="shared" ca="1" si="33"/>
        <v>1.1460595449083606</v>
      </c>
      <c r="AB47">
        <f t="shared" ca="1" si="33"/>
        <v>1.1767911516743554</v>
      </c>
      <c r="AC47">
        <f t="shared" ca="1" si="33"/>
        <v>1.2136833141251437</v>
      </c>
      <c r="AD47">
        <f t="shared" ca="1" si="33"/>
        <v>1.171274534210174</v>
      </c>
      <c r="AE47">
        <f t="shared" ca="1" si="33"/>
        <v>1.2805687178645158</v>
      </c>
      <c r="AF47">
        <f t="shared" ca="1" si="33"/>
        <v>1.1610156447562341</v>
      </c>
      <c r="AG47">
        <f t="shared" ca="1" si="33"/>
        <v>0.9668145198625997</v>
      </c>
      <c r="AH47">
        <f t="shared" ca="1" si="33"/>
        <v>0.94082094143661466</v>
      </c>
      <c r="AI47">
        <f t="shared" ca="1" si="33"/>
        <v>0.98727912728833866</v>
      </c>
      <c r="AJ47">
        <f t="shared" ca="1" si="33"/>
        <v>0.95744593219270369</v>
      </c>
      <c r="AK47">
        <f t="shared" ca="1" si="33"/>
        <v>1.0202356772245424</v>
      </c>
      <c r="AL47">
        <f t="shared" ca="1" si="33"/>
        <v>1.1577600125523904</v>
      </c>
      <c r="AM47">
        <f t="shared" ca="1" si="33"/>
        <v>1.0449270066274094</v>
      </c>
      <c r="AN47">
        <f t="shared" ca="1" si="33"/>
        <v>0.96196423623218674</v>
      </c>
      <c r="AO47">
        <f t="shared" ca="1" si="33"/>
        <v>0.93829456192649052</v>
      </c>
      <c r="AP47">
        <f t="shared" ca="1" si="33"/>
        <v>0.96430319979612455</v>
      </c>
      <c r="AQ47">
        <f t="shared" ca="1" si="33"/>
        <v>0.86271184942671741</v>
      </c>
      <c r="AR47">
        <f t="shared" ca="1" si="33"/>
        <v>0.99962209309324312</v>
      </c>
      <c r="AS47">
        <f t="shared" ca="1" si="33"/>
        <v>1.2095590401715466</v>
      </c>
      <c r="AT47">
        <f t="shared" ca="1" si="33"/>
        <v>1.1529353784570404</v>
      </c>
      <c r="AU47">
        <f t="shared" ca="1" si="33"/>
        <v>1.204085516475234</v>
      </c>
      <c r="AV47">
        <f t="shared" ca="1" si="33"/>
        <v>1.2185844432077524</v>
      </c>
      <c r="AW47">
        <f t="shared" ca="1" si="33"/>
        <v>1.1831254180395301</v>
      </c>
      <c r="AX47">
        <f t="shared" ca="1" si="33"/>
        <v>1.1824180989816639</v>
      </c>
      <c r="AY47">
        <f t="shared" ca="1" si="33"/>
        <v>1.2951362748186774</v>
      </c>
      <c r="AZ47">
        <f t="shared" ca="1" si="33"/>
        <v>1.4717744214010702</v>
      </c>
      <c r="BA47">
        <f t="shared" ca="1" si="33"/>
        <v>1.5796145202033309</v>
      </c>
      <c r="BB47">
        <f t="shared" ca="1" si="33"/>
        <v>1.4307347813252593</v>
      </c>
      <c r="BC47">
        <f t="shared" ca="1" si="33"/>
        <v>1.526579886812137</v>
      </c>
      <c r="BD47">
        <f t="shared" ca="1" si="33"/>
        <v>1.4237656932601801</v>
      </c>
      <c r="BE47">
        <f t="shared" ca="1" si="33"/>
        <v>1.3569725739512366</v>
      </c>
      <c r="BF47">
        <f t="shared" ca="1" si="33"/>
        <v>1.342028023791958</v>
      </c>
      <c r="BG47">
        <f t="shared" ca="1" si="33"/>
        <v>1.28703878572848</v>
      </c>
      <c r="BH47">
        <f t="shared" ca="1" si="33"/>
        <v>1.2463164524477208</v>
      </c>
      <c r="BI47">
        <f t="shared" ca="1" si="33"/>
        <v>1.2232186405713823</v>
      </c>
      <c r="BJ47">
        <f t="shared" ca="1" si="33"/>
        <v>1.2055910134921504</v>
      </c>
      <c r="BK47">
        <f t="shared" ca="1" si="33"/>
        <v>1.191922040290599</v>
      </c>
      <c r="BL47">
        <f t="shared" ca="1" si="33"/>
        <v>1.1369609499417788</v>
      </c>
      <c r="BM47">
        <f t="shared" ca="1" si="33"/>
        <v>1.1251411713346129</v>
      </c>
      <c r="BN47">
        <f t="shared" ca="1" si="33"/>
        <v>1.1740369076562498</v>
      </c>
      <c r="BO47">
        <f t="shared" ref="BO47:CV47" ca="1" si="34">PRODUCT(OFFSET(BO43,0,0,1,12))</f>
        <v>1.1555587833363858</v>
      </c>
      <c r="BP47">
        <f t="shared" ca="1" si="34"/>
        <v>1.2167287793097992</v>
      </c>
      <c r="BQ47">
        <f t="shared" ca="1" si="34"/>
        <v>1.178409195866672</v>
      </c>
      <c r="BR47">
        <f t="shared" ca="1" si="34"/>
        <v>1.1233340623245203</v>
      </c>
      <c r="BS47">
        <f t="shared" ca="1" si="34"/>
        <v>1.1206175398209726</v>
      </c>
      <c r="BT47">
        <f t="shared" ca="1" si="34"/>
        <v>1.1292128046075345</v>
      </c>
      <c r="BU47">
        <f t="shared" ca="1" si="34"/>
        <v>1.1653923086689482</v>
      </c>
      <c r="BV47">
        <f t="shared" ca="1" si="34"/>
        <v>1.1959075444952074</v>
      </c>
      <c r="BW47">
        <f t="shared" ca="1" si="34"/>
        <v>1.2243246249924729</v>
      </c>
      <c r="BX47">
        <f t="shared" ca="1" si="34"/>
        <v>1.2606792971052816</v>
      </c>
      <c r="BY47">
        <f t="shared" ca="1" si="34"/>
        <v>1.2807285631420269</v>
      </c>
      <c r="BZ47">
        <f t="shared" ca="1" si="34"/>
        <v>1.3316430757774402</v>
      </c>
      <c r="CA47">
        <f t="shared" ca="1" si="34"/>
        <v>1.2280465935924487</v>
      </c>
      <c r="CB47">
        <f t="shared" ca="1" si="34"/>
        <v>1.1266955291297127</v>
      </c>
      <c r="CC47">
        <f t="shared" ca="1" si="34"/>
        <v>1.1359175442110776</v>
      </c>
      <c r="CD47">
        <f t="shared" ca="1" si="34"/>
        <v>1.1821589249805031</v>
      </c>
      <c r="CE47">
        <f t="shared" ca="1" si="34"/>
        <v>1.1809554187042774</v>
      </c>
      <c r="CF47">
        <f t="shared" ca="1" si="34"/>
        <v>1.1938413493996241</v>
      </c>
      <c r="CG47">
        <f t="shared" ca="1" si="34"/>
        <v>1.1432455425910806</v>
      </c>
      <c r="CH47">
        <f t="shared" ca="1" si="34"/>
        <v>1.0719592199172365</v>
      </c>
      <c r="CI47">
        <f t="shared" ca="1" si="34"/>
        <v>1.0736244300149631</v>
      </c>
      <c r="CJ47">
        <f t="shared" ca="1" si="34"/>
        <v>1.0474849998144242</v>
      </c>
      <c r="CK47">
        <f t="shared" ca="1" si="34"/>
        <v>1.0113202901681499</v>
      </c>
      <c r="CL47">
        <f t="shared" ca="1" si="34"/>
        <v>0.98266999755167617</v>
      </c>
      <c r="CM47">
        <f t="shared" ca="1" si="34"/>
        <v>1.0601414708310812</v>
      </c>
      <c r="CN47">
        <f t="shared" ca="1" si="34"/>
        <v>1.087464191360616</v>
      </c>
      <c r="CO47">
        <f t="shared" ca="1" si="34"/>
        <v>1.0773943020890138</v>
      </c>
      <c r="CP47">
        <f t="shared" ca="1" si="34"/>
        <v>1.0211329271767777</v>
      </c>
      <c r="CQ47">
        <f t="shared" ca="1" si="34"/>
        <v>1.0328186159215196</v>
      </c>
      <c r="CR47">
        <f t="shared" ca="1" si="34"/>
        <v>1.0806164191523091</v>
      </c>
      <c r="CS47">
        <f t="shared" ca="1" si="34"/>
        <v>1.0650114282864693</v>
      </c>
      <c r="CT47">
        <f t="shared" ca="1" si="34"/>
        <v>1.0779710797454485</v>
      </c>
      <c r="CU47">
        <f t="shared" ca="1" si="34"/>
        <v>1.0120170283946917</v>
      </c>
      <c r="CV47">
        <f t="shared" ca="1" si="34"/>
        <v>1.0047257433967236</v>
      </c>
      <c r="CW47">
        <f t="shared" ref="CW47" ca="1" si="35">PRODUCT(OFFSET(CW43,0,0,1,12))</f>
        <v>1.0616865702498852</v>
      </c>
    </row>
    <row r="48" spans="1:112" x14ac:dyDescent="0.4">
      <c r="A48" t="s">
        <v>106</v>
      </c>
      <c r="B48" s="18">
        <f ca="1">B44-E$20</f>
        <v>-0.17948461264396576</v>
      </c>
      <c r="C48" s="18">
        <f t="shared" ref="C48:BN48" ca="1" si="36">C44-F$20</f>
        <v>-0.16624048777662581</v>
      </c>
      <c r="D48" s="18">
        <f t="shared" ca="1" si="36"/>
        <v>-0.13082255157961153</v>
      </c>
      <c r="E48" s="18">
        <f t="shared" ca="1" si="36"/>
        <v>-0.14839898257269446</v>
      </c>
      <c r="F48" s="18">
        <f t="shared" ca="1" si="36"/>
        <v>-0.1860259331402776</v>
      </c>
      <c r="G48" s="18">
        <f t="shared" ca="1" si="36"/>
        <v>-0.21062299309190025</v>
      </c>
      <c r="H48" s="18">
        <f t="shared" ca="1" si="36"/>
        <v>-0.16722826219338716</v>
      </c>
      <c r="I48" s="18">
        <f t="shared" ca="1" si="36"/>
        <v>-0.21280050069958223</v>
      </c>
      <c r="J48" s="18">
        <f t="shared" ca="1" si="36"/>
        <v>8.1276412755807659E-2</v>
      </c>
      <c r="K48" s="18">
        <f t="shared" ca="1" si="36"/>
        <v>-1.0300766506826653E-2</v>
      </c>
      <c r="L48" s="18">
        <f t="shared" ca="1" si="36"/>
        <v>-0.10493254780833383</v>
      </c>
      <c r="M48" s="18">
        <f t="shared" ca="1" si="36"/>
        <v>-0.15582774769157037</v>
      </c>
      <c r="N48" s="18">
        <f t="shared" ca="1" si="36"/>
        <v>-0.23565708754957937</v>
      </c>
      <c r="O48" s="18">
        <f t="shared" ca="1" si="36"/>
        <v>-0.28140897173872781</v>
      </c>
      <c r="P48" s="18">
        <f t="shared" ca="1" si="36"/>
        <v>-0.35243993191696077</v>
      </c>
      <c r="Q48" s="18">
        <f t="shared" ca="1" si="36"/>
        <v>-0.31916137927505073</v>
      </c>
      <c r="R48" s="18">
        <f t="shared" ca="1" si="36"/>
        <v>-0.2582510019853137</v>
      </c>
      <c r="S48" s="18">
        <f t="shared" ca="1" si="36"/>
        <v>-0.20338540437678021</v>
      </c>
      <c r="T48" s="18">
        <f t="shared" ca="1" si="36"/>
        <v>-0.21924471784145905</v>
      </c>
      <c r="U48" s="18">
        <f t="shared" ca="1" si="36"/>
        <v>-0.12551478740703215</v>
      </c>
      <c r="V48" s="18">
        <f t="shared" ca="1" si="36"/>
        <v>-6.6445495364397589E-2</v>
      </c>
      <c r="W48" s="18">
        <f t="shared" ca="1" si="36"/>
        <v>-0.12550893848057521</v>
      </c>
      <c r="X48" s="18">
        <f t="shared" ca="1" si="36"/>
        <v>-0.15040213584260598</v>
      </c>
      <c r="Y48" s="18">
        <f t="shared" ca="1" si="36"/>
        <v>-0.13919956418081569</v>
      </c>
      <c r="Z48" s="18">
        <f t="shared" ca="1" si="36"/>
        <v>-0.10972000020520878</v>
      </c>
      <c r="AA48" s="18">
        <f t="shared" ca="1" si="36"/>
        <v>-0.15626428676927606</v>
      </c>
      <c r="AB48" s="18">
        <f t="shared" ca="1" si="36"/>
        <v>-0.1252500160559642</v>
      </c>
      <c r="AC48" s="18">
        <f t="shared" ca="1" si="36"/>
        <v>-7.2403104500478488E-2</v>
      </c>
      <c r="AD48" s="18">
        <f t="shared" ca="1" si="36"/>
        <v>-9.5252011162110461E-2</v>
      </c>
      <c r="AE48" s="18">
        <f t="shared" ca="1" si="36"/>
        <v>6.6143245371234949E-2</v>
      </c>
      <c r="AF48" s="18">
        <f t="shared" ca="1" si="36"/>
        <v>3.9291857142079278E-2</v>
      </c>
      <c r="AG48" s="18">
        <f t="shared" ca="1" si="36"/>
        <v>-4.0354337761097536E-2</v>
      </c>
      <c r="AH48" s="18">
        <f t="shared" ca="1" si="36"/>
        <v>-9.7192767160903304E-2</v>
      </c>
      <c r="AI48" s="18">
        <f t="shared" ca="1" si="36"/>
        <v>2.8206507961753391E-2</v>
      </c>
      <c r="AJ48" s="18">
        <f t="shared" ca="1" si="36"/>
        <v>6.4770205960988925E-2</v>
      </c>
      <c r="AK48" s="18">
        <f t="shared" ca="1" si="36"/>
        <v>8.0034931185752112E-2</v>
      </c>
      <c r="AL48" s="18">
        <f t="shared" ca="1" si="36"/>
        <v>0.15229248513220783</v>
      </c>
      <c r="AM48" s="18">
        <f t="shared" ca="1" si="36"/>
        <v>0.17114756093876105</v>
      </c>
      <c r="AN48" s="18">
        <f t="shared" ca="1" si="36"/>
        <v>0.14986341410003756</v>
      </c>
      <c r="AO48" s="18">
        <f t="shared" ca="1" si="36"/>
        <v>0.13611066910605996</v>
      </c>
      <c r="AP48" s="18">
        <f t="shared" ca="1" si="36"/>
        <v>0.15879423133526294</v>
      </c>
      <c r="AQ48" s="18">
        <f t="shared" ca="1" si="36"/>
        <v>4.1687053312345013E-2</v>
      </c>
      <c r="AR48" s="18">
        <f t="shared" ca="1" si="36"/>
        <v>0.10472168711520347</v>
      </c>
      <c r="AS48" s="18">
        <f t="shared" ca="1" si="36"/>
        <v>0.22226755270207188</v>
      </c>
      <c r="AT48" s="18">
        <f t="shared" ca="1" si="36"/>
        <v>0.33005907014021685</v>
      </c>
      <c r="AU48" s="18">
        <f t="shared" ca="1" si="36"/>
        <v>0.3754751656652946</v>
      </c>
      <c r="AV48" s="18">
        <f t="shared" ca="1" si="36"/>
        <v>0.38976674959456648</v>
      </c>
      <c r="AW48" s="18">
        <f t="shared" ca="1" si="36"/>
        <v>0.44795863343358611</v>
      </c>
      <c r="AX48" s="18">
        <f t="shared" ca="1" si="36"/>
        <v>0.43206539488035967</v>
      </c>
      <c r="AY48" s="18">
        <f t="shared" ca="1" si="36"/>
        <v>0.56568993630540565</v>
      </c>
      <c r="AZ48" s="18">
        <f t="shared" ca="1" si="36"/>
        <v>0.71060175243795376</v>
      </c>
      <c r="BA48" s="18">
        <f t="shared" ca="1" si="36"/>
        <v>0.75114701201612077</v>
      </c>
      <c r="BB48" s="18">
        <f t="shared" ca="1" si="36"/>
        <v>0.68328753174731305</v>
      </c>
      <c r="BC48" s="18">
        <f t="shared" ca="1" si="36"/>
        <v>0.79497615798873933</v>
      </c>
      <c r="BD48" s="18">
        <f t="shared" ca="1" si="36"/>
        <v>0.66495628694280584</v>
      </c>
      <c r="BE48" s="18">
        <f t="shared" ca="1" si="36"/>
        <v>0.59763529856234254</v>
      </c>
      <c r="BF48" s="18">
        <f t="shared" ca="1" si="36"/>
        <v>0.45309632116012555</v>
      </c>
      <c r="BG48" s="18">
        <f t="shared" ca="1" si="36"/>
        <v>0.34431316254608424</v>
      </c>
      <c r="BH48" s="18">
        <f t="shared" ca="1" si="36"/>
        <v>0.34389761225267979</v>
      </c>
      <c r="BI48" s="18">
        <f t="shared" ca="1" si="36"/>
        <v>0.300213101138741</v>
      </c>
      <c r="BJ48" s="18">
        <f t="shared" ca="1" si="36"/>
        <v>0.31334031710133647</v>
      </c>
      <c r="BK48" s="18">
        <f t="shared" ca="1" si="36"/>
        <v>0.29806899348519444</v>
      </c>
      <c r="BL48" s="18">
        <f t="shared" ca="1" si="36"/>
        <v>0.2814158114326164</v>
      </c>
      <c r="BM48" s="18">
        <f t="shared" ca="1" si="36"/>
        <v>0.25078675767956982</v>
      </c>
      <c r="BN48" s="18">
        <f t="shared" ca="1" si="36"/>
        <v>0.22291867533358967</v>
      </c>
      <c r="BO48" s="18">
        <f t="shared" ref="BO48:CW48" ca="1" si="37">BO44-BR$20</f>
        <v>0.1934312133053</v>
      </c>
      <c r="BP48" s="18">
        <f t="shared" ca="1" si="37"/>
        <v>0.279232719983737</v>
      </c>
      <c r="BQ48" s="18">
        <f t="shared" ca="1" si="37"/>
        <v>0.30557062800825596</v>
      </c>
      <c r="BR48" s="18">
        <f t="shared" ca="1" si="37"/>
        <v>0.26570746169413995</v>
      </c>
      <c r="BS48" s="18">
        <f t="shared" ca="1" si="37"/>
        <v>0.24865872709796066</v>
      </c>
      <c r="BT48" s="18">
        <f t="shared" ca="1" si="37"/>
        <v>0.25058236923352395</v>
      </c>
      <c r="BU48" s="18">
        <f t="shared" ca="1" si="37"/>
        <v>0.29818084386650034</v>
      </c>
      <c r="BV48" s="18">
        <f t="shared" ca="1" si="37"/>
        <v>0.36356149156331385</v>
      </c>
      <c r="BW48" s="18">
        <f t="shared" ca="1" si="37"/>
        <v>0.36370337474621439</v>
      </c>
      <c r="BX48" s="18">
        <f t="shared" ca="1" si="37"/>
        <v>0.31527299963517996</v>
      </c>
      <c r="BY48" s="18">
        <f t="shared" ca="1" si="37"/>
        <v>0.35096156744629425</v>
      </c>
      <c r="BZ48" s="18">
        <f t="shared" ca="1" si="37"/>
        <v>0.34458892865958557</v>
      </c>
      <c r="CA48" s="18">
        <f t="shared" ca="1" si="37"/>
        <v>0.33383466892159253</v>
      </c>
      <c r="CB48" s="18">
        <f t="shared" ca="1" si="37"/>
        <v>0.27303323267186741</v>
      </c>
      <c r="CC48" s="18">
        <f t="shared" ca="1" si="37"/>
        <v>0.25199445828943257</v>
      </c>
      <c r="CD48" s="18">
        <f t="shared" ca="1" si="37"/>
        <v>0.24992948654937841</v>
      </c>
      <c r="CE48" s="18">
        <f t="shared" ca="1" si="37"/>
        <v>0.26963095610059118</v>
      </c>
      <c r="CF48" s="18">
        <f t="shared" ca="1" si="37"/>
        <v>0.31347552126120326</v>
      </c>
      <c r="CG48" s="18">
        <f t="shared" ca="1" si="37"/>
        <v>0.26338832681972646</v>
      </c>
      <c r="CH48" s="18">
        <f t="shared" ca="1" si="37"/>
        <v>0.14128624416327529</v>
      </c>
      <c r="CI48" s="18">
        <f t="shared" ca="1" si="37"/>
        <v>0.12929706330325064</v>
      </c>
      <c r="CJ48" s="18">
        <f t="shared" ca="1" si="37"/>
        <v>0.16293956030707002</v>
      </c>
      <c r="CK48" s="18">
        <f t="shared" ca="1" si="37"/>
        <v>0.14317522078577594</v>
      </c>
      <c r="CL48" s="18">
        <f t="shared" ca="1" si="37"/>
        <v>0.15763033893604916</v>
      </c>
      <c r="CM48" s="18">
        <f t="shared" ca="1" si="37"/>
        <v>0.16756702169655346</v>
      </c>
      <c r="CN48" s="18">
        <f t="shared" ca="1" si="37"/>
        <v>0.13545441705354078</v>
      </c>
      <c r="CO48" s="18">
        <f t="shared" ca="1" si="37"/>
        <v>0.11681544886140793</v>
      </c>
      <c r="CP48" s="18">
        <f t="shared" ca="1" si="37"/>
        <v>9.8673715056212252E-2</v>
      </c>
      <c r="CQ48" s="18">
        <f t="shared" ca="1" si="37"/>
        <v>0.13961262352597714</v>
      </c>
      <c r="CR48" s="18">
        <f t="shared" ca="1" si="37"/>
        <v>0.1044383136146938</v>
      </c>
      <c r="CS48" s="18">
        <f t="shared" ca="1" si="37"/>
        <v>3.0037340250486766E-2</v>
      </c>
      <c r="CT48" s="18">
        <f t="shared" ca="1" si="37"/>
        <v>3.7727716812105738E-2</v>
      </c>
      <c r="CU48" s="18">
        <f t="shared" ca="1" si="37"/>
        <v>-1.9588539012589834E-2</v>
      </c>
      <c r="CV48" s="18">
        <f t="shared" ca="1" si="37"/>
        <v>-4.4410478026418287E-2</v>
      </c>
      <c r="CW48" s="18">
        <f t="shared" ca="1" si="37"/>
        <v>-4.8952412179560589E-2</v>
      </c>
      <c r="CX48">
        <f ca="1">COUNTIF(B48:CW48,"&gt;0")</f>
        <v>67</v>
      </c>
    </row>
    <row r="49" spans="1:112" x14ac:dyDescent="0.4">
      <c r="A49" t="s">
        <v>107</v>
      </c>
      <c r="B49" s="18">
        <f ca="1">B45-E$20</f>
        <v>-6.1790937825546566E-2</v>
      </c>
      <c r="C49" s="18">
        <f t="shared" ref="C49:BN49" ca="1" si="38">C45-F$20</f>
        <v>-1.2688071432873871E-2</v>
      </c>
      <c r="D49" s="18">
        <f t="shared" ca="1" si="38"/>
        <v>5.1493771666291432E-2</v>
      </c>
      <c r="E49" s="18">
        <f t="shared" ca="1" si="38"/>
        <v>-4.3197855004428742E-3</v>
      </c>
      <c r="F49" s="18">
        <f t="shared" ca="1" si="38"/>
        <v>-4.2124540119548581E-2</v>
      </c>
      <c r="G49" s="18">
        <f t="shared" ca="1" si="38"/>
        <v>-8.6444855487746941E-2</v>
      </c>
      <c r="H49" s="18">
        <f t="shared" ca="1" si="38"/>
        <v>-6.2218948199785684E-2</v>
      </c>
      <c r="I49" s="18">
        <f t="shared" ca="1" si="38"/>
        <v>-0.12069461831893791</v>
      </c>
      <c r="J49" s="18">
        <f t="shared" ca="1" si="38"/>
        <v>0.1092449644346658</v>
      </c>
      <c r="K49" s="18">
        <f t="shared" ca="1" si="38"/>
        <v>-6.736757431166529E-3</v>
      </c>
      <c r="L49" s="18">
        <f t="shared" ca="1" si="38"/>
        <v>-8.053512748691305E-2</v>
      </c>
      <c r="M49" s="18">
        <f t="shared" ca="1" si="38"/>
        <v>-0.14208790057612419</v>
      </c>
      <c r="N49" s="18">
        <f t="shared" ca="1" si="38"/>
        <v>-0.21097890100116357</v>
      </c>
      <c r="O49" s="18">
        <f t="shared" ca="1" si="38"/>
        <v>-0.26257365465931093</v>
      </c>
      <c r="P49" s="18">
        <f t="shared" ca="1" si="38"/>
        <v>-0.34383908885586167</v>
      </c>
      <c r="Q49" s="18">
        <f t="shared" ca="1" si="38"/>
        <v>-0.29957424235016461</v>
      </c>
      <c r="R49" s="18">
        <f t="shared" ca="1" si="38"/>
        <v>-0.26244901285526534</v>
      </c>
      <c r="S49" s="18">
        <f t="shared" ca="1" si="38"/>
        <v>-0.19362811193730489</v>
      </c>
      <c r="T49" s="18">
        <f t="shared" ca="1" si="38"/>
        <v>-0.18940634796493672</v>
      </c>
      <c r="U49" s="18">
        <f t="shared" ca="1" si="38"/>
        <v>-0.11680019794562591</v>
      </c>
      <c r="V49" s="18">
        <f t="shared" ca="1" si="38"/>
        <v>-3.6445831945440155E-2</v>
      </c>
      <c r="W49" s="18">
        <f t="shared" ca="1" si="38"/>
        <v>-8.6789681056054002E-2</v>
      </c>
      <c r="X49" s="18">
        <f t="shared" ca="1" si="38"/>
        <v>-0.11898307772408545</v>
      </c>
      <c r="Y49" s="18">
        <f t="shared" ca="1" si="38"/>
        <v>-0.11619054557964903</v>
      </c>
      <c r="Z49" s="18">
        <f t="shared" ca="1" si="38"/>
        <v>-0.10446193066188392</v>
      </c>
      <c r="AA49" s="18">
        <f t="shared" ca="1" si="38"/>
        <v>-0.12711682536794333</v>
      </c>
      <c r="AB49" s="18">
        <f t="shared" ca="1" si="38"/>
        <v>-0.11054163207184997</v>
      </c>
      <c r="AC49" s="18">
        <f t="shared" ca="1" si="38"/>
        <v>-9.1198022787416066E-2</v>
      </c>
      <c r="AD49" s="18">
        <f t="shared" ca="1" si="38"/>
        <v>-6.9019367064642401E-2</v>
      </c>
      <c r="AE49" s="18">
        <f t="shared" ca="1" si="38"/>
        <v>5.3972688495112608E-2</v>
      </c>
      <c r="AF49" s="18">
        <f t="shared" ca="1" si="38"/>
        <v>3.9100585156531364E-2</v>
      </c>
      <c r="AG49" s="18">
        <f t="shared" ca="1" si="38"/>
        <v>-1.1004863693569011E-2</v>
      </c>
      <c r="AH49" s="18">
        <f t="shared" ca="1" si="38"/>
        <v>-9.4070416738812446E-2</v>
      </c>
      <c r="AI49" s="18">
        <f t="shared" ca="1" si="38"/>
        <v>-3.144099824887725E-4</v>
      </c>
      <c r="AJ49" s="18">
        <f t="shared" ca="1" si="38"/>
        <v>3.9712489527745642E-2</v>
      </c>
      <c r="AK49" s="18">
        <f t="shared" ca="1" si="38"/>
        <v>5.0841384139161727E-2</v>
      </c>
      <c r="AL49" s="18">
        <f t="shared" ca="1" si="38"/>
        <v>9.59821264184062E-2</v>
      </c>
      <c r="AM49" s="18">
        <f t="shared" ca="1" si="38"/>
        <v>8.5862072808947532E-2</v>
      </c>
      <c r="AN49" s="18">
        <f t="shared" ca="1" si="38"/>
        <v>7.1864190772663594E-2</v>
      </c>
      <c r="AO49" s="18">
        <f t="shared" ca="1" si="38"/>
        <v>8.1595587731780217E-2</v>
      </c>
      <c r="AP49" s="18">
        <f t="shared" ca="1" si="38"/>
        <v>7.4408940570384385E-2</v>
      </c>
      <c r="AQ49" s="18">
        <f t="shared" ca="1" si="38"/>
        <v>-2.2778840225141428E-2</v>
      </c>
      <c r="AR49" s="18">
        <f t="shared" ca="1" si="38"/>
        <v>9.7272915596253728E-3</v>
      </c>
      <c r="AS49" s="18">
        <f t="shared" ca="1" si="38"/>
        <v>8.3531808149309494E-2</v>
      </c>
      <c r="AT49" s="18">
        <f t="shared" ca="1" si="38"/>
        <v>0.15731558022011205</v>
      </c>
      <c r="AU49" s="18">
        <f t="shared" ca="1" si="38"/>
        <v>0.19205381289941381</v>
      </c>
      <c r="AV49" s="18">
        <f t="shared" ca="1" si="38"/>
        <v>0.17185226787951313</v>
      </c>
      <c r="AW49" s="18">
        <f t="shared" ca="1" si="38"/>
        <v>0.22738672826526396</v>
      </c>
      <c r="AX49" s="18">
        <f t="shared" ca="1" si="38"/>
        <v>0.23184642915151055</v>
      </c>
      <c r="AY49" s="18">
        <f t="shared" ca="1" si="38"/>
        <v>0.36802667608927131</v>
      </c>
      <c r="AZ49" s="18">
        <f t="shared" ca="1" si="38"/>
        <v>0.55272350738419518</v>
      </c>
      <c r="BA49" s="18">
        <f t="shared" ca="1" si="38"/>
        <v>0.56091389496419164</v>
      </c>
      <c r="BB49" s="18">
        <f t="shared" ca="1" si="38"/>
        <v>0.50151254727719907</v>
      </c>
      <c r="BC49" s="18">
        <f t="shared" ca="1" si="38"/>
        <v>0.61784970518725468</v>
      </c>
      <c r="BD49" s="18">
        <f t="shared" ca="1" si="38"/>
        <v>0.5330475566366919</v>
      </c>
      <c r="BE49" s="18">
        <f t="shared" ca="1" si="38"/>
        <v>0.49748980001725429</v>
      </c>
      <c r="BF49" s="18">
        <f t="shared" ca="1" si="38"/>
        <v>0.4098320153641728</v>
      </c>
      <c r="BG49" s="18">
        <f t="shared" ca="1" si="38"/>
        <v>0.31380706420316007</v>
      </c>
      <c r="BH49" s="18">
        <f t="shared" ca="1" si="38"/>
        <v>0.33333154997660919</v>
      </c>
      <c r="BI49" s="18">
        <f t="shared" ca="1" si="38"/>
        <v>0.31541943571132713</v>
      </c>
      <c r="BJ49" s="18">
        <f t="shared" ca="1" si="38"/>
        <v>0.3292669500376415</v>
      </c>
      <c r="BK49" s="18">
        <f t="shared" ca="1" si="38"/>
        <v>0.29887502791141307</v>
      </c>
      <c r="BL49" s="18">
        <f t="shared" ca="1" si="38"/>
        <v>0.23558710655014603</v>
      </c>
      <c r="BM49" s="18">
        <f t="shared" ca="1" si="38"/>
        <v>0.22280415307834678</v>
      </c>
      <c r="BN49" s="18">
        <f t="shared" ca="1" si="38"/>
        <v>0.20295702830628004</v>
      </c>
      <c r="BO49" s="18">
        <f t="shared" ref="BO49:CW49" ca="1" si="39">BO45-BR$20</f>
        <v>0.18408634342417884</v>
      </c>
      <c r="BP49" s="18">
        <f t="shared" ca="1" si="39"/>
        <v>0.26317643152841863</v>
      </c>
      <c r="BQ49" s="18">
        <f t="shared" ca="1" si="39"/>
        <v>0.28220327303717041</v>
      </c>
      <c r="BR49" s="18">
        <f t="shared" ca="1" si="39"/>
        <v>0.24147040486836313</v>
      </c>
      <c r="BS49" s="18">
        <f t="shared" ca="1" si="39"/>
        <v>0.24879484543914188</v>
      </c>
      <c r="BT49" s="18">
        <f t="shared" ca="1" si="39"/>
        <v>0.25738672316276634</v>
      </c>
      <c r="BU49" s="18">
        <f t="shared" ca="1" si="39"/>
        <v>0.27751694179021458</v>
      </c>
      <c r="BV49" s="18">
        <f t="shared" ca="1" si="39"/>
        <v>0.31409368273755089</v>
      </c>
      <c r="BW49" s="18">
        <f t="shared" ca="1" si="39"/>
        <v>0.32139918589752026</v>
      </c>
      <c r="BX49" s="18">
        <f t="shared" ca="1" si="39"/>
        <v>0.27633073878637915</v>
      </c>
      <c r="BY49" s="18">
        <f t="shared" ca="1" si="39"/>
        <v>0.30974652258091506</v>
      </c>
      <c r="BZ49" s="18">
        <f t="shared" ca="1" si="39"/>
        <v>0.34555693052227299</v>
      </c>
      <c r="CA49" s="18">
        <f t="shared" ca="1" si="39"/>
        <v>0.31159320172885097</v>
      </c>
      <c r="CB49" s="18">
        <f t="shared" ca="1" si="39"/>
        <v>0.22533605027897563</v>
      </c>
      <c r="CC49" s="18">
        <f t="shared" ca="1" si="39"/>
        <v>0.18775669862005551</v>
      </c>
      <c r="CD49" s="18">
        <f t="shared" ca="1" si="39"/>
        <v>0.18574456089153224</v>
      </c>
      <c r="CE49" s="18">
        <f t="shared" ca="1" si="39"/>
        <v>0.21058798194369799</v>
      </c>
      <c r="CF49" s="18">
        <f t="shared" ca="1" si="39"/>
        <v>0.2226611258741158</v>
      </c>
      <c r="CG49" s="18">
        <f t="shared" ca="1" si="39"/>
        <v>0.19130555267590854</v>
      </c>
      <c r="CH49" s="18">
        <f t="shared" ca="1" si="39"/>
        <v>0.12094235349561677</v>
      </c>
      <c r="CI49" s="18">
        <f t="shared" ca="1" si="39"/>
        <v>0.10489131818064901</v>
      </c>
      <c r="CJ49" s="18">
        <f t="shared" ca="1" si="39"/>
        <v>0.13505321363080225</v>
      </c>
      <c r="CK49" s="18">
        <f t="shared" ca="1" si="39"/>
        <v>0.12465255139364428</v>
      </c>
      <c r="CL49" s="18">
        <f t="shared" ca="1" si="39"/>
        <v>0.11331095021248472</v>
      </c>
      <c r="CM49" s="18">
        <f t="shared" ca="1" si="39"/>
        <v>0.11616875584470021</v>
      </c>
      <c r="CN49" s="18">
        <f t="shared" ca="1" si="39"/>
        <v>7.5830394673979562E-2</v>
      </c>
      <c r="CO49" s="18">
        <f t="shared" ca="1" si="39"/>
        <v>8.0845968177073457E-2</v>
      </c>
      <c r="CP49" s="18">
        <f t="shared" ca="1" si="39"/>
        <v>8.6118425350060646E-2</v>
      </c>
      <c r="CQ49" s="18">
        <f t="shared" ca="1" si="39"/>
        <v>8.8587430479001972E-2</v>
      </c>
      <c r="CR49" s="18">
        <f t="shared" ca="1" si="39"/>
        <v>9.3404320278417607E-2</v>
      </c>
      <c r="CS49" s="18">
        <f t="shared" ca="1" si="39"/>
        <v>4.8707234106206254E-2</v>
      </c>
      <c r="CT49" s="18">
        <f t="shared" ca="1" si="39"/>
        <v>3.0030926404438496E-2</v>
      </c>
      <c r="CU49" s="18">
        <f t="shared" ca="1" si="39"/>
        <v>-3.0851231583077565E-2</v>
      </c>
      <c r="CV49" s="18">
        <f t="shared" ca="1" si="39"/>
        <v>-6.1056701529227819E-2</v>
      </c>
      <c r="CW49" s="18">
        <f t="shared" ca="1" si="39"/>
        <v>-9.0737521310831681E-2</v>
      </c>
      <c r="CX49">
        <f ca="1">COUNTIF(B49:CW49,"&gt;0")</f>
        <v>66</v>
      </c>
    </row>
    <row r="50" spans="1:112" x14ac:dyDescent="0.4">
      <c r="A50" s="7" t="s">
        <v>108</v>
      </c>
      <c r="B50" s="18">
        <f ca="1">B46-E$20</f>
        <v>-6.9380742577255128E-2</v>
      </c>
      <c r="C50" s="18">
        <f t="shared" ref="C50:BN50" ca="1" si="40">C46-F$20</f>
        <v>-4.1628352337110042E-2</v>
      </c>
      <c r="D50" s="18">
        <f t="shared" ca="1" si="40"/>
        <v>1.0952772368909569E-2</v>
      </c>
      <c r="E50" s="18">
        <f t="shared" ca="1" si="40"/>
        <v>-3.3855506078968034E-2</v>
      </c>
      <c r="F50" s="18">
        <f t="shared" ca="1" si="40"/>
        <v>-7.3884274600168887E-2</v>
      </c>
      <c r="G50" s="18">
        <f t="shared" ca="1" si="40"/>
        <v>-0.12143445502821304</v>
      </c>
      <c r="H50" s="18">
        <f t="shared" ca="1" si="40"/>
        <v>-0.11534311738080083</v>
      </c>
      <c r="I50" s="18">
        <f t="shared" ca="1" si="40"/>
        <v>-0.17708155750885279</v>
      </c>
      <c r="J50" s="18">
        <f t="shared" ca="1" si="40"/>
        <v>9.6958549672510053E-4</v>
      </c>
      <c r="K50" s="18">
        <f t="shared" ca="1" si="40"/>
        <v>-6.4891079218534209E-2</v>
      </c>
      <c r="L50" s="18">
        <f t="shared" ca="1" si="40"/>
        <v>-0.1174046944837408</v>
      </c>
      <c r="M50" s="18">
        <f t="shared" ca="1" si="40"/>
        <v>-0.14842929823121298</v>
      </c>
      <c r="N50" s="18">
        <f t="shared" ca="1" si="40"/>
        <v>-0.21003619084560476</v>
      </c>
      <c r="O50" s="18">
        <f t="shared" ca="1" si="40"/>
        <v>-0.25045455517881399</v>
      </c>
      <c r="P50" s="18">
        <f t="shared" ca="1" si="40"/>
        <v>-0.31872121756575766</v>
      </c>
      <c r="Q50" s="18">
        <f t="shared" ca="1" si="40"/>
        <v>-0.28257856889988264</v>
      </c>
      <c r="R50" s="18">
        <f t="shared" ca="1" si="40"/>
        <v>-0.24779175253824726</v>
      </c>
      <c r="S50" s="18">
        <f t="shared" ca="1" si="40"/>
        <v>-0.17802752295319524</v>
      </c>
      <c r="T50" s="18">
        <f t="shared" ca="1" si="40"/>
        <v>-0.15565389116301021</v>
      </c>
      <c r="U50" s="18">
        <f t="shared" ca="1" si="40"/>
        <v>-7.9413614282739742E-2</v>
      </c>
      <c r="V50" s="18">
        <f t="shared" ca="1" si="40"/>
        <v>1.9539311254357372E-4</v>
      </c>
      <c r="W50" s="18">
        <f t="shared" ca="1" si="40"/>
        <v>-6.700823546725676E-2</v>
      </c>
      <c r="X50" s="18">
        <f t="shared" ca="1" si="40"/>
        <v>-9.6987425509814207E-2</v>
      </c>
      <c r="Y50" s="18">
        <f t="shared" ca="1" si="40"/>
        <v>-0.11106290138952679</v>
      </c>
      <c r="Z50" s="18">
        <f t="shared" ca="1" si="40"/>
        <v>-0.10543138955095444</v>
      </c>
      <c r="AA50" s="18">
        <f t="shared" ca="1" si="40"/>
        <v>-0.11556227881465042</v>
      </c>
      <c r="AB50" s="18">
        <f t="shared" ca="1" si="40"/>
        <v>-8.5205445428644611E-2</v>
      </c>
      <c r="AC50" s="18">
        <f t="shared" ca="1" si="40"/>
        <v>-7.8951538149126366E-2</v>
      </c>
      <c r="AD50" s="18">
        <f t="shared" ca="1" si="40"/>
        <v>-5.6097249746320577E-2</v>
      </c>
      <c r="AE50" s="18">
        <f t="shared" ca="1" si="40"/>
        <v>7.8621392964304926E-2</v>
      </c>
      <c r="AF50" s="18">
        <f t="shared" ca="1" si="40"/>
        <v>8.1249419828783864E-2</v>
      </c>
      <c r="AG50" s="18">
        <f t="shared" ca="1" si="40"/>
        <v>1.9839369353980008E-2</v>
      </c>
      <c r="AH50" s="18">
        <f t="shared" ca="1" si="40"/>
        <v>-8.0833883799277917E-2</v>
      </c>
      <c r="AI50" s="18">
        <f t="shared" ca="1" si="40"/>
        <v>1.442075023112821E-2</v>
      </c>
      <c r="AJ50" s="18">
        <f t="shared" ca="1" si="40"/>
        <v>5.7505732011565502E-2</v>
      </c>
      <c r="AK50" s="18">
        <f t="shared" ca="1" si="40"/>
        <v>6.7431598217195687E-2</v>
      </c>
      <c r="AL50" s="18">
        <f t="shared" ca="1" si="40"/>
        <v>9.4525642565900903E-2</v>
      </c>
      <c r="AM50" s="18">
        <f t="shared" ca="1" si="40"/>
        <v>8.1387861918114646E-2</v>
      </c>
      <c r="AN50" s="18">
        <f t="shared" ca="1" si="40"/>
        <v>5.0606390584950089E-2</v>
      </c>
      <c r="AO50" s="18">
        <f t="shared" ca="1" si="40"/>
        <v>6.3136586382002813E-2</v>
      </c>
      <c r="AP50" s="18">
        <f t="shared" ca="1" si="40"/>
        <v>6.1917556994457446E-2</v>
      </c>
      <c r="AQ50" s="18">
        <f t="shared" ca="1" si="40"/>
        <v>-3.7973779585813938E-2</v>
      </c>
      <c r="AR50" s="18">
        <f t="shared" ca="1" si="40"/>
        <v>-2.2791355610324304E-2</v>
      </c>
      <c r="AS50" s="18">
        <f t="shared" ca="1" si="40"/>
        <v>6.2196855885291003E-2</v>
      </c>
      <c r="AT50" s="18">
        <f t="shared" ca="1" si="40"/>
        <v>0.12712981500002618</v>
      </c>
      <c r="AU50" s="18">
        <f t="shared" ca="1" si="40"/>
        <v>0.1321799324054358</v>
      </c>
      <c r="AV50" s="18">
        <f t="shared" ca="1" si="40"/>
        <v>0.1047599525527465</v>
      </c>
      <c r="AW50" s="18">
        <f t="shared" ca="1" si="40"/>
        <v>0.16885181750928702</v>
      </c>
      <c r="AX50" s="18">
        <f t="shared" ca="1" si="40"/>
        <v>0.19519855879131853</v>
      </c>
      <c r="AY50" s="18">
        <f t="shared" ca="1" si="40"/>
        <v>0.31588174961373616</v>
      </c>
      <c r="AZ50" s="18">
        <f t="shared" ca="1" si="40"/>
        <v>0.49650548882476264</v>
      </c>
      <c r="BA50" s="18">
        <f t="shared" ca="1" si="40"/>
        <v>0.52972967598116383</v>
      </c>
      <c r="BB50" s="18">
        <f t="shared" ca="1" si="40"/>
        <v>0.46842058704165646</v>
      </c>
      <c r="BC50" s="18">
        <f t="shared" ca="1" si="40"/>
        <v>0.56448528331928349</v>
      </c>
      <c r="BD50" s="18">
        <f t="shared" ca="1" si="40"/>
        <v>0.46669714778821336</v>
      </c>
      <c r="BE50" s="18">
        <f t="shared" ca="1" si="40"/>
        <v>0.41641603573056996</v>
      </c>
      <c r="BF50" s="18">
        <f t="shared" ca="1" si="40"/>
        <v>0.35200428441289344</v>
      </c>
      <c r="BG50" s="18">
        <f t="shared" ca="1" si="40"/>
        <v>0.28597333453317098</v>
      </c>
      <c r="BH50" s="18">
        <f t="shared" ca="1" si="40"/>
        <v>0.28800364920333776</v>
      </c>
      <c r="BI50" s="18">
        <f t="shared" ca="1" si="40"/>
        <v>0.29208317844871057</v>
      </c>
      <c r="BJ50" s="18">
        <f t="shared" ca="1" si="40"/>
        <v>0.2869790917567121</v>
      </c>
      <c r="BK50" s="18">
        <f t="shared" ca="1" si="40"/>
        <v>0.24865180019482958</v>
      </c>
      <c r="BL50" s="18">
        <f t="shared" ca="1" si="40"/>
        <v>0.1825884593280116</v>
      </c>
      <c r="BM50" s="18">
        <f t="shared" ca="1" si="40"/>
        <v>0.16669715011220754</v>
      </c>
      <c r="BN50" s="18">
        <f t="shared" ca="1" si="40"/>
        <v>0.13513181528959106</v>
      </c>
      <c r="BO50" s="18">
        <f t="shared" ref="BO50:CW50" ca="1" si="41">BO46-BR$20</f>
        <v>0.11005405091774434</v>
      </c>
      <c r="BP50" s="18">
        <f t="shared" ca="1" si="41"/>
        <v>0.17643431374525953</v>
      </c>
      <c r="BQ50" s="18">
        <f t="shared" ca="1" si="41"/>
        <v>0.19729296498454807</v>
      </c>
      <c r="BR50" s="18">
        <f t="shared" ca="1" si="41"/>
        <v>0.17070449615381533</v>
      </c>
      <c r="BS50" s="18">
        <f t="shared" ca="1" si="41"/>
        <v>0.17940035434365187</v>
      </c>
      <c r="BT50" s="18">
        <f t="shared" ca="1" si="41"/>
        <v>0.20902752413346304</v>
      </c>
      <c r="BU50" s="18">
        <f t="shared" ca="1" si="41"/>
        <v>0.18799670501542587</v>
      </c>
      <c r="BV50" s="18">
        <f t="shared" ca="1" si="41"/>
        <v>0.23206444391997572</v>
      </c>
      <c r="BW50" s="18">
        <f t="shared" ca="1" si="41"/>
        <v>0.25044560942166538</v>
      </c>
      <c r="BX50" s="18">
        <f t="shared" ca="1" si="41"/>
        <v>0.23100476778205659</v>
      </c>
      <c r="BY50" s="18">
        <f t="shared" ca="1" si="41"/>
        <v>0.26597328066491843</v>
      </c>
      <c r="BZ50" s="18">
        <f t="shared" ca="1" si="41"/>
        <v>0.30564139152065462</v>
      </c>
      <c r="CA50" s="18">
        <f t="shared" ca="1" si="41"/>
        <v>0.27365681663402563</v>
      </c>
      <c r="CB50" s="18">
        <f t="shared" ca="1" si="41"/>
        <v>0.20206333607730032</v>
      </c>
      <c r="CC50" s="18">
        <f t="shared" ca="1" si="41"/>
        <v>0.18370050176290087</v>
      </c>
      <c r="CD50" s="18">
        <f t="shared" ca="1" si="41"/>
        <v>0.17785128272429107</v>
      </c>
      <c r="CE50" s="18">
        <f t="shared" ca="1" si="41"/>
        <v>0.20597547062078148</v>
      </c>
      <c r="CF50" s="18">
        <f t="shared" ca="1" si="41"/>
        <v>0.20162686798143725</v>
      </c>
      <c r="CG50" s="18">
        <f t="shared" ca="1" si="41"/>
        <v>0.19721767378307276</v>
      </c>
      <c r="CH50" s="18">
        <f t="shared" ca="1" si="41"/>
        <v>0.11185632738075368</v>
      </c>
      <c r="CI50" s="18">
        <f t="shared" ca="1" si="41"/>
        <v>9.7928419940229716E-2</v>
      </c>
      <c r="CJ50" s="18">
        <f t="shared" ca="1" si="41"/>
        <v>0.11323978613057406</v>
      </c>
      <c r="CK50" s="18">
        <f t="shared" ca="1" si="41"/>
        <v>8.5886897382205341E-2</v>
      </c>
      <c r="CL50" s="18">
        <f t="shared" ca="1" si="41"/>
        <v>7.5574880491950713E-2</v>
      </c>
      <c r="CM50" s="18">
        <f t="shared" ca="1" si="41"/>
        <v>9.0241918849450542E-2</v>
      </c>
      <c r="CN50" s="18">
        <f t="shared" ca="1" si="41"/>
        <v>5.5711706414280249E-2</v>
      </c>
      <c r="CO50" s="18">
        <f t="shared" ca="1" si="41"/>
        <v>5.2107605449911665E-2</v>
      </c>
      <c r="CP50" s="18">
        <f t="shared" ca="1" si="41"/>
        <v>5.0975211668116582E-2</v>
      </c>
      <c r="CQ50" s="18">
        <f t="shared" ca="1" si="41"/>
        <v>4.9667593909009433E-2</v>
      </c>
      <c r="CR50" s="18">
        <f t="shared" ca="1" si="41"/>
        <v>5.7560651440984767E-2</v>
      </c>
      <c r="CS50" s="18">
        <f t="shared" ca="1" si="41"/>
        <v>-7.8066481274370325E-3</v>
      </c>
      <c r="CT50" s="18">
        <f t="shared" ca="1" si="41"/>
        <v>-4.9653938715894519E-3</v>
      </c>
      <c r="CU50" s="18">
        <f t="shared" ca="1" si="41"/>
        <v>-6.8878518344058781E-2</v>
      </c>
      <c r="CV50" s="18">
        <f t="shared" ca="1" si="41"/>
        <v>-0.10408880733046777</v>
      </c>
      <c r="CW50" s="18">
        <f t="shared" ca="1" si="41"/>
        <v>-0.12240784523902604</v>
      </c>
      <c r="CX50">
        <f ca="1">COUNTIF(B50:CW50,"&gt;0")</f>
        <v>66</v>
      </c>
    </row>
    <row r="51" spans="1:112" x14ac:dyDescent="0.4">
      <c r="A51" t="s">
        <v>109</v>
      </c>
      <c r="B51" s="18">
        <f ca="1">B47-E$20</f>
        <v>-6.0019259424995308E-2</v>
      </c>
      <c r="C51" s="18">
        <f t="shared" ref="C51:BN51" ca="1" si="42">C47-F$20</f>
        <v>-4.0996135526426114E-2</v>
      </c>
      <c r="D51" s="18">
        <f t="shared" ca="1" si="42"/>
        <v>1.7877249768321835E-2</v>
      </c>
      <c r="E51" s="18">
        <f t="shared" ca="1" si="42"/>
        <v>-2.7577069780626795E-2</v>
      </c>
      <c r="F51" s="18">
        <f t="shared" ca="1" si="42"/>
        <v>-7.5457825139111367E-2</v>
      </c>
      <c r="G51" s="18">
        <f t="shared" ca="1" si="42"/>
        <v>-0.11570580668662711</v>
      </c>
      <c r="H51" s="18">
        <f t="shared" ca="1" si="42"/>
        <v>-0.11634404460370362</v>
      </c>
      <c r="I51" s="18">
        <f t="shared" ca="1" si="42"/>
        <v>-0.18082367042625469</v>
      </c>
      <c r="J51" s="18">
        <f t="shared" ca="1" si="42"/>
        <v>-3.2935175858102461E-2</v>
      </c>
      <c r="K51" s="18">
        <f t="shared" ca="1" si="42"/>
        <v>-0.10566063713279195</v>
      </c>
      <c r="L51" s="18">
        <f t="shared" ca="1" si="42"/>
        <v>-0.13881451796971289</v>
      </c>
      <c r="M51" s="18">
        <f t="shared" ca="1" si="42"/>
        <v>-0.1860305096745154</v>
      </c>
      <c r="N51" s="18">
        <f t="shared" ca="1" si="42"/>
        <v>-0.230414366551003</v>
      </c>
      <c r="O51" s="18">
        <f t="shared" ca="1" si="42"/>
        <v>-0.26272003835710422</v>
      </c>
      <c r="P51" s="18">
        <f t="shared" ca="1" si="42"/>
        <v>-0.3207993732982527</v>
      </c>
      <c r="Q51" s="18">
        <f t="shared" ca="1" si="42"/>
        <v>-0.27217363587513987</v>
      </c>
      <c r="R51" s="18">
        <f t="shared" ca="1" si="42"/>
        <v>-0.23947985641324421</v>
      </c>
      <c r="S51" s="18">
        <f t="shared" ca="1" si="42"/>
        <v>-0.17712937893881986</v>
      </c>
      <c r="T51" s="18">
        <f t="shared" ca="1" si="42"/>
        <v>-0.15516306615800346</v>
      </c>
      <c r="U51" s="18">
        <f t="shared" ca="1" si="42"/>
        <v>-7.8234896386034203E-2</v>
      </c>
      <c r="V51" s="18">
        <f t="shared" ca="1" si="42"/>
        <v>-2.4516815465025488E-4</v>
      </c>
      <c r="W51" s="18">
        <f t="shared" ca="1" si="42"/>
        <v>-6.1877320512947032E-2</v>
      </c>
      <c r="X51" s="18">
        <f t="shared" ca="1" si="42"/>
        <v>-0.10596196907767363</v>
      </c>
      <c r="Y51" s="18">
        <f t="shared" ca="1" si="42"/>
        <v>-0.10594193285391285</v>
      </c>
      <c r="Z51" s="18">
        <f t="shared" ca="1" si="42"/>
        <v>-9.8903398198319614E-2</v>
      </c>
      <c r="AA51" s="18">
        <f t="shared" ca="1" si="42"/>
        <v>-9.8409841038415991E-2</v>
      </c>
      <c r="AB51" s="18">
        <f t="shared" ca="1" si="42"/>
        <v>-8.2057237126490268E-2</v>
      </c>
      <c r="AC51" s="18">
        <f t="shared" ca="1" si="42"/>
        <v>-9.1705870947210055E-2</v>
      </c>
      <c r="AD51" s="18">
        <f t="shared" ca="1" si="42"/>
        <v>-6.5669686152661999E-2</v>
      </c>
      <c r="AE51" s="18">
        <f t="shared" ca="1" si="42"/>
        <v>6.805599995485645E-2</v>
      </c>
      <c r="AF51" s="18">
        <f t="shared" ca="1" si="42"/>
        <v>8.2197684635734847E-2</v>
      </c>
      <c r="AG51" s="18">
        <f t="shared" ca="1" si="42"/>
        <v>2.189752347748819E-2</v>
      </c>
      <c r="AH51" s="18">
        <f t="shared" ca="1" si="42"/>
        <v>-7.3029665324053417E-2</v>
      </c>
      <c r="AI51" s="18">
        <f t="shared" ca="1" si="42"/>
        <v>1.7269204101158064E-2</v>
      </c>
      <c r="AJ51" s="18">
        <f t="shared" ca="1" si="42"/>
        <v>6.7275283728539748E-2</v>
      </c>
      <c r="AK51" s="18">
        <f t="shared" ca="1" si="42"/>
        <v>7.5286336006122334E-2</v>
      </c>
      <c r="AL51" s="18">
        <f t="shared" ca="1" si="42"/>
        <v>0.11086164716281677</v>
      </c>
      <c r="AM51" s="18">
        <f t="shared" ca="1" si="42"/>
        <v>8.8910487901439628E-2</v>
      </c>
      <c r="AN51" s="18">
        <f t="shared" ca="1" si="42"/>
        <v>5.7920192370776946E-2</v>
      </c>
      <c r="AO51" s="18">
        <f t="shared" ca="1" si="42"/>
        <v>7.7853108837298901E-2</v>
      </c>
      <c r="AP51" s="18">
        <f t="shared" ca="1" si="42"/>
        <v>8.1731282949754958E-2</v>
      </c>
      <c r="AQ51" s="18">
        <f t="shared" ca="1" si="42"/>
        <v>-1.9521967215807456E-2</v>
      </c>
      <c r="AR51" s="18">
        <f t="shared" ca="1" si="42"/>
        <v>-1.3680320063434115E-2</v>
      </c>
      <c r="AS51" s="18">
        <f t="shared" ca="1" si="42"/>
        <v>8.1533724431146259E-2</v>
      </c>
      <c r="AT51" s="18">
        <f t="shared" ca="1" si="42"/>
        <v>0.15134818496086666</v>
      </c>
      <c r="AU51" s="18">
        <f t="shared" ca="1" si="42"/>
        <v>0.15786655148992912</v>
      </c>
      <c r="AV51" s="18">
        <f t="shared" ca="1" si="42"/>
        <v>0.12475399637523488</v>
      </c>
      <c r="AW51" s="18">
        <f t="shared" ca="1" si="42"/>
        <v>0.17998090865968885</v>
      </c>
      <c r="AX51" s="18">
        <f t="shared" ca="1" si="42"/>
        <v>0.18427008765300967</v>
      </c>
      <c r="AY51" s="18">
        <f t="shared" ca="1" si="42"/>
        <v>0.29967938220482659</v>
      </c>
      <c r="AZ51" s="18">
        <f t="shared" ca="1" si="42"/>
        <v>0.48087638457949189</v>
      </c>
      <c r="BA51" s="18">
        <f t="shared" ca="1" si="42"/>
        <v>0.49413442017458076</v>
      </c>
      <c r="BB51" s="18">
        <f t="shared" ca="1" si="42"/>
        <v>0.42571323343716871</v>
      </c>
      <c r="BC51" s="18">
        <f t="shared" ca="1" si="42"/>
        <v>0.50955535426945664</v>
      </c>
      <c r="BD51" s="18">
        <f t="shared" ca="1" si="42"/>
        <v>0.41261678925413348</v>
      </c>
      <c r="BE51" s="18">
        <f t="shared" ca="1" si="42"/>
        <v>0.35659686197704565</v>
      </c>
      <c r="BF51" s="18">
        <f t="shared" ca="1" si="42"/>
        <v>0.28029878935370833</v>
      </c>
      <c r="BG51" s="18">
        <f t="shared" ca="1" si="42"/>
        <v>0.22911028451269089</v>
      </c>
      <c r="BH51" s="18">
        <f t="shared" ca="1" si="42"/>
        <v>0.2391608980049178</v>
      </c>
      <c r="BI51" s="18">
        <f t="shared" ca="1" si="42"/>
        <v>0.2338152949033192</v>
      </c>
      <c r="BJ51" s="18">
        <f t="shared" ca="1" si="42"/>
        <v>0.22853709267339495</v>
      </c>
      <c r="BK51" s="18">
        <f t="shared" ca="1" si="42"/>
        <v>0.20153852797820282</v>
      </c>
      <c r="BL51" s="18">
        <f t="shared" ca="1" si="42"/>
        <v>0.13806077427539232</v>
      </c>
      <c r="BM51" s="18">
        <f t="shared" ca="1" si="42"/>
        <v>0.12818457354845025</v>
      </c>
      <c r="BN51" s="18">
        <f t="shared" ca="1" si="42"/>
        <v>9.9497912743942818E-2</v>
      </c>
      <c r="BO51" s="18">
        <f t="shared" ref="BO51:CW51" ca="1" si="43">BO47-BR$20</f>
        <v>7.0873590314333379E-2</v>
      </c>
      <c r="BP51" s="18">
        <f t="shared" ca="1" si="43"/>
        <v>0.14292118363713135</v>
      </c>
      <c r="BQ51" s="18">
        <f t="shared" ca="1" si="43"/>
        <v>0.16682659030622027</v>
      </c>
      <c r="BR51" s="18">
        <f t="shared" ca="1" si="43"/>
        <v>0.15567745596716676</v>
      </c>
      <c r="BS51" s="18">
        <f t="shared" ca="1" si="43"/>
        <v>0.15195938551287458</v>
      </c>
      <c r="BT51" s="18">
        <f t="shared" ca="1" si="43"/>
        <v>0.17681788380846519</v>
      </c>
      <c r="BU51" s="18">
        <f t="shared" ca="1" si="43"/>
        <v>0.16121437290921792</v>
      </c>
      <c r="BV51" s="18">
        <f t="shared" ca="1" si="43"/>
        <v>0.19297318624087278</v>
      </c>
      <c r="BW51" s="18">
        <f t="shared" ca="1" si="43"/>
        <v>0.19641380665453134</v>
      </c>
      <c r="BX51" s="18">
        <f t="shared" ca="1" si="43"/>
        <v>0.17637873486365496</v>
      </c>
      <c r="BY51" s="18">
        <f t="shared" ca="1" si="43"/>
        <v>0.22065718326473638</v>
      </c>
      <c r="BZ51" s="18">
        <f t="shared" ca="1" si="43"/>
        <v>0.29568780635015779</v>
      </c>
      <c r="CA51" s="18">
        <f t="shared" ca="1" si="43"/>
        <v>0.25018404229483582</v>
      </c>
      <c r="CB51" s="18">
        <f t="shared" ca="1" si="43"/>
        <v>0.18811566120354262</v>
      </c>
      <c r="CC51" s="18">
        <f t="shared" ca="1" si="43"/>
        <v>0.16427271650538133</v>
      </c>
      <c r="CD51" s="18">
        <f t="shared" ca="1" si="43"/>
        <v>0.14905008424807709</v>
      </c>
      <c r="CE51" s="18">
        <f t="shared" ca="1" si="43"/>
        <v>0.17530612903051246</v>
      </c>
      <c r="CF51" s="18">
        <f t="shared" ca="1" si="43"/>
        <v>0.16997402914842175</v>
      </c>
      <c r="CG51" s="18">
        <f t="shared" ca="1" si="43"/>
        <v>0.16232970786405543</v>
      </c>
      <c r="CH51" s="18">
        <f t="shared" ca="1" si="43"/>
        <v>0.10677642205239601</v>
      </c>
      <c r="CI51" s="18">
        <f t="shared" ca="1" si="43"/>
        <v>9.5760312388078583E-2</v>
      </c>
      <c r="CJ51" s="18">
        <f t="shared" ca="1" si="43"/>
        <v>0.11001878883927896</v>
      </c>
      <c r="CK51" s="18">
        <f t="shared" ca="1" si="43"/>
        <v>7.345382525421007E-2</v>
      </c>
      <c r="CL51" s="18">
        <f t="shared" ca="1" si="43"/>
        <v>3.2737493453710576E-2</v>
      </c>
      <c r="CM51" s="18">
        <f t="shared" ca="1" si="43"/>
        <v>6.7022701867058609E-2</v>
      </c>
      <c r="CN51" s="18">
        <f t="shared" ca="1" si="43"/>
        <v>3.9480426314182138E-2</v>
      </c>
      <c r="CO51" s="18">
        <f t="shared" ca="1" si="43"/>
        <v>3.621864066483127E-2</v>
      </c>
      <c r="CP51" s="18">
        <f t="shared" ca="1" si="43"/>
        <v>3.1618423390074701E-2</v>
      </c>
      <c r="CQ51" s="18">
        <f t="shared" ca="1" si="43"/>
        <v>3.7080728302730126E-2</v>
      </c>
      <c r="CR51" s="18">
        <f t="shared" ca="1" si="43"/>
        <v>4.7398824789357752E-2</v>
      </c>
      <c r="CS51" s="18">
        <f t="shared" ca="1" si="43"/>
        <v>-1.6319701489793115E-2</v>
      </c>
      <c r="CT51" s="18">
        <f t="shared" ca="1" si="43"/>
        <v>-1.3323150843179477E-2</v>
      </c>
      <c r="CU51" s="18">
        <f t="shared" ca="1" si="43"/>
        <v>-7.0343870470453318E-2</v>
      </c>
      <c r="CV51" s="18">
        <f t="shared" ca="1" si="43"/>
        <v>-0.1012291747388232</v>
      </c>
      <c r="CW51" s="18">
        <f t="shared" ca="1" si="43"/>
        <v>-0.12182658897165322</v>
      </c>
      <c r="CX51">
        <f ca="1">COUNTIF(B51:CW51,"&gt;0")</f>
        <v>64</v>
      </c>
    </row>
    <row r="52" spans="1:112" s="22" customFormat="1" x14ac:dyDescent="0.4">
      <c r="A52" s="22" t="s">
        <v>110</v>
      </c>
    </row>
    <row r="53" spans="1:112" x14ac:dyDescent="0.4">
      <c r="A53" t="s">
        <v>109</v>
      </c>
      <c r="B53">
        <v>0.97476605241611303</v>
      </c>
      <c r="C53">
        <v>1.06213671723535</v>
      </c>
      <c r="D53">
        <v>1.05640523509217</v>
      </c>
      <c r="E53">
        <v>0.93350493330581497</v>
      </c>
      <c r="F53">
        <v>0.91410306229278704</v>
      </c>
      <c r="G53">
        <v>0.92555574644641103</v>
      </c>
      <c r="H53">
        <v>0.97958454186648702</v>
      </c>
      <c r="I53">
        <v>0.69979991647640905</v>
      </c>
      <c r="J53">
        <v>1.00417759202168</v>
      </c>
      <c r="K53">
        <v>1.0692588858399601</v>
      </c>
      <c r="L53">
        <v>1.04520501214094</v>
      </c>
      <c r="M53">
        <v>0.93399014503810796</v>
      </c>
      <c r="N53">
        <v>1.16138332320763</v>
      </c>
      <c r="O53">
        <v>1.1973884684946401</v>
      </c>
      <c r="P53">
        <v>1.0040178817598799</v>
      </c>
      <c r="Q53">
        <v>0.98354640507551505</v>
      </c>
      <c r="R53">
        <v>1.0724784165332699</v>
      </c>
      <c r="S53">
        <v>1.04629867994924</v>
      </c>
      <c r="T53">
        <v>1.0167917961022399</v>
      </c>
      <c r="U53">
        <v>0.95843279916476198</v>
      </c>
      <c r="V53">
        <v>0.97278908652621099</v>
      </c>
      <c r="W53">
        <v>1.0858368114514501</v>
      </c>
      <c r="X53">
        <v>0.94788946522795303</v>
      </c>
      <c r="Y53">
        <v>0.99469018935179199</v>
      </c>
      <c r="Z53">
        <v>1.06292821237768</v>
      </c>
      <c r="AA53">
        <v>1.03874099847055</v>
      </c>
      <c r="AB53">
        <v>0.95016856210062195</v>
      </c>
      <c r="AC53">
        <v>1.0412743301684699</v>
      </c>
      <c r="AD53">
        <v>0.99650984340442605</v>
      </c>
      <c r="AE53">
        <v>0.99298122261933497</v>
      </c>
      <c r="AF53">
        <v>1.0775464368260299</v>
      </c>
      <c r="AG53">
        <v>1.0758983781389699</v>
      </c>
      <c r="AH53">
        <v>0.97759305258654305</v>
      </c>
      <c r="AI53">
        <v>1.0392606154050601</v>
      </c>
      <c r="AJ53">
        <v>0.99372910858366903</v>
      </c>
      <c r="AK53">
        <v>0.94503473021928996</v>
      </c>
      <c r="AL53">
        <v>1.0697550028987599</v>
      </c>
      <c r="AM53">
        <v>1.01985757253958</v>
      </c>
      <c r="AN53">
        <v>0.962897797409897</v>
      </c>
      <c r="AO53">
        <v>1.00590185385575</v>
      </c>
      <c r="AP53">
        <v>1.07919670319899</v>
      </c>
      <c r="AQ53">
        <v>0.88756276962203995</v>
      </c>
      <c r="AR53">
        <v>0.89363556609209105</v>
      </c>
      <c r="AS53">
        <v>1.06620248111489</v>
      </c>
      <c r="AT53">
        <v>0.98726966377506198</v>
      </c>
      <c r="AU53">
        <v>1.0065544015677499</v>
      </c>
      <c r="AV53">
        <v>1.06752331780535</v>
      </c>
      <c r="AW53">
        <v>1.0696958245069901</v>
      </c>
      <c r="AX53">
        <v>0.960893376502853</v>
      </c>
      <c r="AY53">
        <v>0.93646882388038299</v>
      </c>
      <c r="AZ53">
        <v>0.93828083286872799</v>
      </c>
      <c r="BA53">
        <v>1.02968966130415</v>
      </c>
      <c r="BB53">
        <v>0.995902325102071</v>
      </c>
      <c r="BC53">
        <v>1.04728468693258</v>
      </c>
      <c r="BD53">
        <v>1.0684243892032199</v>
      </c>
      <c r="BE53">
        <v>0.99478023074102295</v>
      </c>
      <c r="BF53">
        <v>1.00876920686678</v>
      </c>
      <c r="BG53">
        <v>1.02837742313398</v>
      </c>
      <c r="BH53">
        <v>1.0146561992637899</v>
      </c>
      <c r="BI53">
        <v>1.0418314619249101</v>
      </c>
      <c r="BJ53">
        <v>1.05757257926524</v>
      </c>
      <c r="BK53">
        <v>1.05387065011134</v>
      </c>
      <c r="BL53">
        <v>1.0251614002943801</v>
      </c>
      <c r="BM53">
        <v>0.931433154997654</v>
      </c>
      <c r="BN53">
        <v>1.0528011620187701</v>
      </c>
      <c r="BO53">
        <v>0.98934369728721805</v>
      </c>
      <c r="BP53">
        <v>1.04165761215785</v>
      </c>
      <c r="BQ53">
        <v>1.0199484283326601</v>
      </c>
      <c r="BR53">
        <v>0.99682220098068797</v>
      </c>
      <c r="BS53">
        <v>0.99117476459301401</v>
      </c>
      <c r="BT53">
        <v>1.0109023064165099</v>
      </c>
      <c r="BU53">
        <v>1.0465560859896399</v>
      </c>
      <c r="BV53">
        <v>1.0426342632238701</v>
      </c>
      <c r="BW53">
        <v>1.02996303674014</v>
      </c>
      <c r="BX53">
        <v>1.0128071134013601</v>
      </c>
      <c r="BY53">
        <v>1.00357991892764</v>
      </c>
      <c r="BZ53">
        <v>1.04478907302338</v>
      </c>
      <c r="CA53">
        <v>1.0391353385109401</v>
      </c>
      <c r="CB53">
        <v>1.0099372386890799</v>
      </c>
      <c r="CC53">
        <v>0.97348112806463905</v>
      </c>
      <c r="CD53">
        <v>0.99241955696744599</v>
      </c>
      <c r="CE53">
        <v>0.97887854921811801</v>
      </c>
      <c r="CF53">
        <v>1.03460216580581</v>
      </c>
      <c r="CG53">
        <v>1.0654241360171599</v>
      </c>
      <c r="CH53">
        <v>1.0520960417613501</v>
      </c>
      <c r="CI53">
        <v>1.08030113448085</v>
      </c>
      <c r="CJ53">
        <v>1.01460346819697</v>
      </c>
      <c r="CK53">
        <v>0.99508464704288202</v>
      </c>
      <c r="CL53">
        <v>1.0028336287123101</v>
      </c>
      <c r="CM53">
        <v>0.95240075224061005</v>
      </c>
      <c r="CN53">
        <v>1.02579187911112</v>
      </c>
      <c r="CO53">
        <v>0.99927426549298703</v>
      </c>
      <c r="CP53">
        <v>0.96915024189127896</v>
      </c>
      <c r="CQ53">
        <v>0.99815296947901699</v>
      </c>
      <c r="CR53">
        <v>0.95165710730061503</v>
      </c>
      <c r="CS53">
        <v>1.02643225115129</v>
      </c>
      <c r="CT53">
        <v>1.0672398300772099</v>
      </c>
      <c r="CU53">
        <v>1.02979084224103</v>
      </c>
      <c r="CV53">
        <v>0.96999137311675498</v>
      </c>
      <c r="CW53">
        <v>0.96555136625689197</v>
      </c>
      <c r="CX53">
        <v>1.0453501919897801</v>
      </c>
      <c r="CY53">
        <v>0.99253581525318502</v>
      </c>
      <c r="CZ53">
        <v>1.00437756160627</v>
      </c>
      <c r="DA53">
        <v>0.97242957788490902</v>
      </c>
      <c r="DB53">
        <v>0.99740081602484398</v>
      </c>
      <c r="DC53">
        <v>1.0413349907807401</v>
      </c>
      <c r="DD53">
        <v>0.98874464822298502</v>
      </c>
      <c r="DE53">
        <v>1.0122224764921699</v>
      </c>
      <c r="DF53">
        <v>1.01199178213466</v>
      </c>
      <c r="DG53">
        <v>1.0373604831276</v>
      </c>
      <c r="DH53">
        <v>1.0511629432037699</v>
      </c>
    </row>
    <row r="54" spans="1:112" x14ac:dyDescent="0.4">
      <c r="B54">
        <f ca="1">PRODUCT(OFFSET(B53,0,0,1,12))</f>
        <v>0.62069565712387287</v>
      </c>
      <c r="C54">
        <f t="shared" ref="C54:BN54" ca="1" si="44">PRODUCT(OFFSET(C53,0,0,1,12))</f>
        <v>0.73952676458549926</v>
      </c>
      <c r="D54">
        <f t="shared" ca="1" si="44"/>
        <v>0.83369758872728683</v>
      </c>
      <c r="E54">
        <f t="shared" ca="1" si="44"/>
        <v>0.79235435347805605</v>
      </c>
      <c r="F54">
        <f t="shared" ca="1" si="44"/>
        <v>0.83482930631066365</v>
      </c>
      <c r="G54">
        <f t="shared" ca="1" si="44"/>
        <v>0.97946987537916452</v>
      </c>
      <c r="H54">
        <f t="shared" ca="1" si="44"/>
        <v>1.1072461508601337</v>
      </c>
      <c r="I54">
        <f t="shared" ca="1" si="44"/>
        <v>1.1493023361875527</v>
      </c>
      <c r="J54">
        <f t="shared" ca="1" si="44"/>
        <v>1.5740628560020269</v>
      </c>
      <c r="K54">
        <f t="shared" ca="1" si="44"/>
        <v>1.5248609210072788</v>
      </c>
      <c r="L54">
        <f t="shared" ca="1" si="44"/>
        <v>1.5485025584545737</v>
      </c>
      <c r="M54">
        <f t="shared" ca="1" si="44"/>
        <v>1.40432665839503</v>
      </c>
      <c r="N54">
        <f t="shared" ca="1" si="44"/>
        <v>1.4955938851942896</v>
      </c>
      <c r="O54">
        <f t="shared" ca="1" si="44"/>
        <v>1.3688064078980664</v>
      </c>
      <c r="P54">
        <f t="shared" ca="1" si="44"/>
        <v>1.1874469917356558</v>
      </c>
      <c r="Q54">
        <f t="shared" ca="1" si="44"/>
        <v>1.1237596672386898</v>
      </c>
      <c r="R54">
        <f t="shared" ca="1" si="44"/>
        <v>1.1897172199866546</v>
      </c>
      <c r="S54">
        <f t="shared" ca="1" si="44"/>
        <v>1.1054440838228956</v>
      </c>
      <c r="T54">
        <f t="shared" ca="1" si="44"/>
        <v>1.049112685437988</v>
      </c>
      <c r="U54">
        <f t="shared" ca="1" si="44"/>
        <v>1.111798541605288</v>
      </c>
      <c r="V54">
        <f t="shared" ca="1" si="44"/>
        <v>1.2480606347913277</v>
      </c>
      <c r="W54">
        <f t="shared" ca="1" si="44"/>
        <v>1.2542239861424243</v>
      </c>
      <c r="X54">
        <f t="shared" ca="1" si="44"/>
        <v>1.2004249422634756</v>
      </c>
      <c r="Y54">
        <f t="shared" ca="1" si="44"/>
        <v>1.2584771237121117</v>
      </c>
      <c r="Z54">
        <f t="shared" ca="1" si="44"/>
        <v>1.1956532816207384</v>
      </c>
      <c r="AA54">
        <f t="shared" ca="1" si="44"/>
        <v>1.2033325156408867</v>
      </c>
      <c r="AB54">
        <f t="shared" ca="1" si="44"/>
        <v>1.1814569562253154</v>
      </c>
      <c r="AC54">
        <f t="shared" ca="1" si="44"/>
        <v>1.1972847200594756</v>
      </c>
      <c r="AD54">
        <f t="shared" ca="1" si="44"/>
        <v>1.1566125127718598</v>
      </c>
      <c r="AE54">
        <f t="shared" ca="1" si="44"/>
        <v>1.2525841254088974</v>
      </c>
      <c r="AF54">
        <f t="shared" ca="1" si="44"/>
        <v>1.1196052958583655</v>
      </c>
      <c r="AG54">
        <f t="shared" ca="1" si="44"/>
        <v>0.9285160046662817</v>
      </c>
      <c r="AH54">
        <f t="shared" ca="1" si="44"/>
        <v>0.92014830400850522</v>
      </c>
      <c r="AI54">
        <f t="shared" ca="1" si="44"/>
        <v>0.92925630385579028</v>
      </c>
      <c r="AJ54">
        <f t="shared" ca="1" si="44"/>
        <v>0.90001199792033448</v>
      </c>
      <c r="AK54">
        <f t="shared" ca="1" si="44"/>
        <v>0.96684678529132773</v>
      </c>
      <c r="AL54">
        <f t="shared" ca="1" si="44"/>
        <v>1.094385143839266</v>
      </c>
      <c r="AM54">
        <f t="shared" ca="1" si="44"/>
        <v>0.98301707700243723</v>
      </c>
      <c r="AN54">
        <f t="shared" ca="1" si="44"/>
        <v>0.90264059486510095</v>
      </c>
      <c r="AO54">
        <f t="shared" ca="1" si="44"/>
        <v>0.87956413589200511</v>
      </c>
      <c r="AP54">
        <f t="shared" ca="1" si="44"/>
        <v>0.90036427879155045</v>
      </c>
      <c r="AQ54">
        <f t="shared" ca="1" si="44"/>
        <v>0.83087251474119728</v>
      </c>
      <c r="AR54">
        <f t="shared" ca="1" si="44"/>
        <v>0.98039270152371261</v>
      </c>
      <c r="AS54">
        <f t="shared" ca="1" si="44"/>
        <v>1.1721506093198879</v>
      </c>
      <c r="AT54">
        <f t="shared" ca="1" si="44"/>
        <v>1.0936311575482269</v>
      </c>
      <c r="AU54">
        <f t="shared" ca="1" si="44"/>
        <v>1.1174469102861844</v>
      </c>
      <c r="AV54">
        <f t="shared" ca="1" si="44"/>
        <v>1.1416741830339963</v>
      </c>
      <c r="AW54">
        <f t="shared" ca="1" si="44"/>
        <v>1.0851348799915288</v>
      </c>
      <c r="AX54">
        <f t="shared" ca="1" si="44"/>
        <v>1.0568683475307881</v>
      </c>
      <c r="AY54">
        <f t="shared" ca="1" si="44"/>
        <v>1.1632039637007623</v>
      </c>
      <c r="AZ54">
        <f t="shared" ca="1" si="44"/>
        <v>1.3090307826349941</v>
      </c>
      <c r="BA54">
        <f t="shared" ca="1" si="44"/>
        <v>1.4302411209355794</v>
      </c>
      <c r="BB54">
        <f t="shared" ca="1" si="44"/>
        <v>1.29376262552073</v>
      </c>
      <c r="BC54">
        <f t="shared" ca="1" si="44"/>
        <v>1.3676790998405175</v>
      </c>
      <c r="BD54">
        <f t="shared" ca="1" si="44"/>
        <v>1.2920123002101902</v>
      </c>
      <c r="BE54">
        <f t="shared" ca="1" si="44"/>
        <v>1.2596440713218628</v>
      </c>
      <c r="BF54">
        <f t="shared" ca="1" si="44"/>
        <v>1.2915133927081019</v>
      </c>
      <c r="BG54">
        <f t="shared" ca="1" si="44"/>
        <v>1.2762178047781585</v>
      </c>
      <c r="BH54">
        <f t="shared" ca="1" si="44"/>
        <v>1.2300492540622434</v>
      </c>
      <c r="BI54">
        <f t="shared" ca="1" si="44"/>
        <v>1.2254984780457199</v>
      </c>
      <c r="BJ54">
        <f t="shared" ca="1" si="44"/>
        <v>1.2310560176404326</v>
      </c>
      <c r="BK54">
        <f t="shared" ca="1" si="44"/>
        <v>1.2136672310770364</v>
      </c>
      <c r="BL54">
        <f t="shared" ca="1" si="44"/>
        <v>1.1861345477075744</v>
      </c>
      <c r="BM54">
        <f t="shared" ca="1" si="44"/>
        <v>1.1718403629168734</v>
      </c>
      <c r="BN54">
        <f t="shared" ca="1" si="44"/>
        <v>1.2626085405078953</v>
      </c>
      <c r="BO54">
        <f t="shared" ref="BO54:CW54" ca="1" si="45">PRODUCT(OFFSET(BO53,0,0,1,12))</f>
        <v>1.2529997631263323</v>
      </c>
      <c r="BP54">
        <f t="shared" ca="1" si="45"/>
        <v>1.3160606739403051</v>
      </c>
      <c r="BQ54">
        <f t="shared" ca="1" si="45"/>
        <v>1.2759842269411144</v>
      </c>
      <c r="BR54">
        <f t="shared" ca="1" si="45"/>
        <v>1.217852324814007</v>
      </c>
      <c r="BS54">
        <f t="shared" ca="1" si="45"/>
        <v>1.2124734616209716</v>
      </c>
      <c r="BT54">
        <f t="shared" ca="1" si="45"/>
        <v>1.1974318813134273</v>
      </c>
      <c r="BU54">
        <f t="shared" ca="1" si="45"/>
        <v>1.2255047890862782</v>
      </c>
      <c r="BV54">
        <f t="shared" ca="1" si="45"/>
        <v>1.2475990523359923</v>
      </c>
      <c r="BW54">
        <f t="shared" ca="1" si="45"/>
        <v>1.2589208612896643</v>
      </c>
      <c r="BX54">
        <f t="shared" ca="1" si="45"/>
        <v>1.3204489735644411</v>
      </c>
      <c r="BY54">
        <f t="shared" ca="1" si="45"/>
        <v>1.3227909741434603</v>
      </c>
      <c r="BZ54">
        <f t="shared" ca="1" si="45"/>
        <v>1.3115935908956371</v>
      </c>
      <c r="CA54">
        <f t="shared" ca="1" si="45"/>
        <v>1.2589241159916369</v>
      </c>
      <c r="CB54">
        <f t="shared" ca="1" si="45"/>
        <v>1.1538441920399161</v>
      </c>
      <c r="CC54">
        <f t="shared" ca="1" si="45"/>
        <v>1.1719579758148346</v>
      </c>
      <c r="CD54">
        <f t="shared" ca="1" si="45"/>
        <v>1.2030099112442736</v>
      </c>
      <c r="CE54">
        <f t="shared" ca="1" si="45"/>
        <v>1.1748028727312136</v>
      </c>
      <c r="CF54">
        <f t="shared" ca="1" si="45"/>
        <v>1.1979351032932373</v>
      </c>
      <c r="CG54">
        <f t="shared" ca="1" si="45"/>
        <v>1.1018954848659024</v>
      </c>
      <c r="CH54">
        <f t="shared" ca="1" si="45"/>
        <v>1.0615688389531042</v>
      </c>
      <c r="CI54">
        <f t="shared" ca="1" si="45"/>
        <v>1.0768489779724515</v>
      </c>
      <c r="CJ54">
        <f t="shared" ca="1" si="45"/>
        <v>1.0265000939071964</v>
      </c>
      <c r="CK54">
        <f t="shared" ca="1" si="45"/>
        <v>0.98136490442216762</v>
      </c>
      <c r="CL54">
        <f t="shared" ca="1" si="45"/>
        <v>0.95223881413231604</v>
      </c>
      <c r="CM54">
        <f t="shared" ca="1" si="45"/>
        <v>0.99261033801938947</v>
      </c>
      <c r="CN54">
        <f t="shared" ca="1" si="45"/>
        <v>1.0344398707760762</v>
      </c>
      <c r="CO54">
        <f t="shared" ca="1" si="45"/>
        <v>1.0128450187563174</v>
      </c>
      <c r="CP54">
        <f t="shared" ca="1" si="45"/>
        <v>0.98563576393727381</v>
      </c>
      <c r="CQ54">
        <f t="shared" ca="1" si="45"/>
        <v>1.0143668883947823</v>
      </c>
      <c r="CR54">
        <f t="shared" ca="1" si="45"/>
        <v>1.0582503550795423</v>
      </c>
      <c r="CS54">
        <f t="shared" ca="1" si="45"/>
        <v>1.0994919987861203</v>
      </c>
      <c r="CT54">
        <f t="shared" ca="1" si="45"/>
        <v>1.0842707959013396</v>
      </c>
      <c r="CU54">
        <f t="shared" ca="1" si="45"/>
        <v>1.0281411020626734</v>
      </c>
      <c r="CV54">
        <f t="shared" ca="1" si="45"/>
        <v>1.035698616272452</v>
      </c>
      <c r="CW54">
        <f t="shared" ca="1" si="45"/>
        <v>1.1223687508218492</v>
      </c>
    </row>
    <row r="55" spans="1:112" x14ac:dyDescent="0.4">
      <c r="B55" s="18">
        <f ca="1">B54-E$20</f>
        <v>-3.7093475983973612E-4</v>
      </c>
      <c r="C55" s="18">
        <f ca="1">C54-F$20</f>
        <v>3.162354919104271E-2</v>
      </c>
      <c r="D55" s="18">
        <f t="shared" ref="D55:BO55" ca="1" si="46">D54-G$20</f>
        <v>8.3556529164544147E-2</v>
      </c>
      <c r="E55" s="18">
        <f t="shared" ca="1" si="46"/>
        <v>3.8642190542450439E-2</v>
      </c>
      <c r="F55" s="18">
        <f t="shared" ca="1" si="46"/>
        <v>4.8971304455475151E-3</v>
      </c>
      <c r="G55" s="18">
        <f t="shared" ca="1" si="46"/>
        <v>2.9104618327880916E-3</v>
      </c>
      <c r="H55" s="18">
        <f t="shared" ca="1" si="46"/>
        <v>2.7469452357854696E-2</v>
      </c>
      <c r="I55" s="18">
        <f t="shared" ca="1" si="46"/>
        <v>-6.1332120632107134E-3</v>
      </c>
      <c r="J55" s="18">
        <f t="shared" ca="1" si="46"/>
        <v>0.153932764183077</v>
      </c>
      <c r="K55" s="18">
        <f t="shared" ca="1" si="46"/>
        <v>7.923006056139692E-2</v>
      </c>
      <c r="L55" s="18">
        <f t="shared" ca="1" si="46"/>
        <v>5.2001984851009597E-2</v>
      </c>
      <c r="M55" s="18">
        <f t="shared" ca="1" si="46"/>
        <v>2.5429652087537002E-2</v>
      </c>
      <c r="N55" s="18">
        <f t="shared" ca="1" si="46"/>
        <v>-4.439039558539859E-3</v>
      </c>
      <c r="O55" s="18">
        <f t="shared" ca="1" si="46"/>
        <v>-3.4580921533399867E-2</v>
      </c>
      <c r="P55" s="18">
        <f t="shared" ca="1" si="46"/>
        <v>-8.4358815356708527E-2</v>
      </c>
      <c r="Q55" s="18">
        <f t="shared" ca="1" si="46"/>
        <v>-5.2013495403065546E-2</v>
      </c>
      <c r="R55" s="18">
        <f t="shared" ca="1" si="46"/>
        <v>-3.2012620956607618E-2</v>
      </c>
      <c r="S55" s="18">
        <f t="shared" ca="1" si="46"/>
        <v>-2.4294115228020052E-2</v>
      </c>
      <c r="T55" s="18">
        <f t="shared" ca="1" si="46"/>
        <v>-4.568267844680074E-2</v>
      </c>
      <c r="U55" s="18">
        <f t="shared" ca="1" si="46"/>
        <v>-7.539947702241756E-3</v>
      </c>
      <c r="V55" s="18">
        <f t="shared" ca="1" si="46"/>
        <v>5.6840344917917784E-2</v>
      </c>
      <c r="W55" s="18">
        <f t="shared" ca="1" si="46"/>
        <v>2.9853968142937948E-2</v>
      </c>
      <c r="X55" s="18">
        <f t="shared" ca="1" si="46"/>
        <v>-1.8398782903957356E-2</v>
      </c>
      <c r="Y55" s="18">
        <f t="shared" ca="1" si="46"/>
        <v>-3.3142479016244675E-2</v>
      </c>
      <c r="Z55" s="18">
        <f t="shared" ca="1" si="46"/>
        <v>-2.0529035980134891E-2</v>
      </c>
      <c r="AA55" s="18">
        <f t="shared" ca="1" si="46"/>
        <v>-4.1136870305889861E-2</v>
      </c>
      <c r="AB55" s="18">
        <f t="shared" ca="1" si="46"/>
        <v>-7.7391432575530272E-2</v>
      </c>
      <c r="AC55" s="18">
        <f t="shared" ca="1" si="46"/>
        <v>-0.10810446501287818</v>
      </c>
      <c r="AD55" s="18">
        <f t="shared" ca="1" si="46"/>
        <v>-8.0331707590976187E-2</v>
      </c>
      <c r="AE55" s="18">
        <f t="shared" ca="1" si="46"/>
        <v>4.0071407499238099E-2</v>
      </c>
      <c r="AF55" s="18">
        <f t="shared" ca="1" si="46"/>
        <v>4.0787335737866304E-2</v>
      </c>
      <c r="AG55" s="18">
        <f t="shared" ca="1" si="46"/>
        <v>-1.6400991718829805E-2</v>
      </c>
      <c r="AH55" s="18">
        <f t="shared" ca="1" si="46"/>
        <v>-9.3702302752162847E-2</v>
      </c>
      <c r="AI55" s="18">
        <f t="shared" ca="1" si="46"/>
        <v>-4.0753619331390323E-2</v>
      </c>
      <c r="AJ55" s="18">
        <f t="shared" ca="1" si="46"/>
        <v>9.841349456170545E-3</v>
      </c>
      <c r="AK55" s="18">
        <f t="shared" ca="1" si="46"/>
        <v>2.1897444072907613E-2</v>
      </c>
      <c r="AL55" s="18">
        <f t="shared" ca="1" si="46"/>
        <v>4.7486778449692402E-2</v>
      </c>
      <c r="AM55" s="18">
        <f t="shared" ca="1" si="46"/>
        <v>2.7000558276467412E-2</v>
      </c>
      <c r="AN55" s="18">
        <f t="shared" ca="1" si="46"/>
        <v>-1.4034489963088426E-3</v>
      </c>
      <c r="AO55" s="18">
        <f t="shared" ca="1" si="46"/>
        <v>1.9122682802813484E-2</v>
      </c>
      <c r="AP55" s="18">
        <f t="shared" ca="1" si="46"/>
        <v>1.7792361945180857E-2</v>
      </c>
      <c r="AQ55" s="18">
        <f t="shared" ca="1" si="46"/>
        <v>-5.1361301901327594E-2</v>
      </c>
      <c r="AR55" s="18">
        <f t="shared" ca="1" si="46"/>
        <v>-3.2909711632964633E-2</v>
      </c>
      <c r="AS55" s="18">
        <f t="shared" ca="1" si="46"/>
        <v>4.4125293579487579E-2</v>
      </c>
      <c r="AT55" s="18">
        <f t="shared" ca="1" si="46"/>
        <v>9.2043964052053173E-2</v>
      </c>
      <c r="AU55" s="18">
        <f t="shared" ca="1" si="46"/>
        <v>7.1227945300879503E-2</v>
      </c>
      <c r="AV55" s="18">
        <f t="shared" ca="1" si="46"/>
        <v>4.7843736201478748E-2</v>
      </c>
      <c r="AW55" s="18">
        <f t="shared" ca="1" si="46"/>
        <v>8.1990370611687569E-2</v>
      </c>
      <c r="AX55" s="18">
        <f t="shared" ca="1" si="46"/>
        <v>5.8720336202133794E-2</v>
      </c>
      <c r="AY55" s="18">
        <f t="shared" ca="1" si="46"/>
        <v>0.16774707108691145</v>
      </c>
      <c r="AZ55" s="18">
        <f t="shared" ca="1" si="46"/>
        <v>0.31813274581341577</v>
      </c>
      <c r="BA55" s="18">
        <f t="shared" ca="1" si="46"/>
        <v>0.34476102090682925</v>
      </c>
      <c r="BB55" s="18">
        <f t="shared" ca="1" si="46"/>
        <v>0.28874107763263934</v>
      </c>
      <c r="BC55" s="18">
        <f t="shared" ca="1" si="46"/>
        <v>0.35065456729783717</v>
      </c>
      <c r="BD55" s="18">
        <f t="shared" ca="1" si="46"/>
        <v>0.28086339620414358</v>
      </c>
      <c r="BE55" s="18">
        <f t="shared" ca="1" si="46"/>
        <v>0.2592683593476719</v>
      </c>
      <c r="BF55" s="18">
        <f t="shared" ca="1" si="46"/>
        <v>0.22978415826985232</v>
      </c>
      <c r="BG55" s="18">
        <f t="shared" ca="1" si="46"/>
        <v>0.21828930356236942</v>
      </c>
      <c r="BH55" s="18">
        <f t="shared" ca="1" si="46"/>
        <v>0.22289369961944039</v>
      </c>
      <c r="BI55" s="18">
        <f t="shared" ca="1" si="46"/>
        <v>0.23609513237765678</v>
      </c>
      <c r="BJ55" s="18">
        <f t="shared" ca="1" si="46"/>
        <v>0.25400209682167718</v>
      </c>
      <c r="BK55" s="18">
        <f t="shared" ca="1" si="46"/>
        <v>0.22328371876464026</v>
      </c>
      <c r="BL55" s="18">
        <f t="shared" ca="1" si="46"/>
        <v>0.18723437204118798</v>
      </c>
      <c r="BM55" s="18">
        <f t="shared" ca="1" si="46"/>
        <v>0.1748837651307108</v>
      </c>
      <c r="BN55" s="18">
        <f t="shared" ca="1" si="46"/>
        <v>0.18806954559558831</v>
      </c>
      <c r="BO55" s="18">
        <f t="shared" ca="1" si="46"/>
        <v>0.16831457010427986</v>
      </c>
      <c r="BP55" s="18">
        <f t="shared" ref="BP55:CW55" ca="1" si="47">BP54-BS$20</f>
        <v>0.24225307826763731</v>
      </c>
      <c r="BQ55" s="18">
        <f t="shared" ca="1" si="47"/>
        <v>0.26440162138066259</v>
      </c>
      <c r="BR55" s="18">
        <f t="shared" ca="1" si="47"/>
        <v>0.25019571845665345</v>
      </c>
      <c r="BS55" s="18">
        <f t="shared" ca="1" si="47"/>
        <v>0.2438153073128736</v>
      </c>
      <c r="BT55" s="18">
        <f t="shared" ca="1" si="47"/>
        <v>0.24503696051435797</v>
      </c>
      <c r="BU55" s="18">
        <f t="shared" ca="1" si="47"/>
        <v>0.221326853326548</v>
      </c>
      <c r="BV55" s="18">
        <f t="shared" ca="1" si="47"/>
        <v>0.2446646940816577</v>
      </c>
      <c r="BW55" s="18">
        <f t="shared" ca="1" si="47"/>
        <v>0.23101004295172278</v>
      </c>
      <c r="BX55" s="18">
        <f t="shared" ca="1" si="47"/>
        <v>0.2361484113228145</v>
      </c>
      <c r="BY55" s="18">
        <f t="shared" ca="1" si="47"/>
        <v>0.26271959426616975</v>
      </c>
      <c r="BZ55" s="18">
        <f t="shared" ca="1" si="47"/>
        <v>0.27563832146835465</v>
      </c>
      <c r="CA55" s="18">
        <f t="shared" ca="1" si="47"/>
        <v>0.28106156469402399</v>
      </c>
      <c r="CB55" s="18">
        <f t="shared" ca="1" si="47"/>
        <v>0.21526432411374596</v>
      </c>
      <c r="CC55" s="18">
        <f t="shared" ca="1" si="47"/>
        <v>0.20031314810913836</v>
      </c>
      <c r="CD55" s="18">
        <f t="shared" ca="1" si="47"/>
        <v>0.16990107051184755</v>
      </c>
      <c r="CE55" s="18">
        <f t="shared" ca="1" si="47"/>
        <v>0.16915358305744865</v>
      </c>
      <c r="CF55" s="18">
        <f t="shared" ca="1" si="47"/>
        <v>0.17406778304203496</v>
      </c>
      <c r="CG55" s="18">
        <f t="shared" ca="1" si="47"/>
        <v>0.12097965013887724</v>
      </c>
      <c r="CH55" s="18">
        <f t="shared" ca="1" si="47"/>
        <v>9.6386041088263652E-2</v>
      </c>
      <c r="CI55" s="18">
        <f t="shared" ca="1" si="47"/>
        <v>9.8984860345566972E-2</v>
      </c>
      <c r="CJ55" s="18">
        <f t="shared" ca="1" si="47"/>
        <v>8.9033882932051167E-2</v>
      </c>
      <c r="CK55" s="18">
        <f t="shared" ca="1" si="47"/>
        <v>4.3498439508227738E-2</v>
      </c>
      <c r="CL55" s="18">
        <f t="shared" ca="1" si="47"/>
        <v>2.306310034350445E-3</v>
      </c>
      <c r="CM55" s="18">
        <f t="shared" ca="1" si="47"/>
        <v>-5.0843094463315364E-4</v>
      </c>
      <c r="CN55" s="18">
        <f t="shared" ca="1" si="47"/>
        <v>-1.3543894270357626E-2</v>
      </c>
      <c r="CO55" s="18">
        <f t="shared" ca="1" si="47"/>
        <v>-2.8330642667865114E-2</v>
      </c>
      <c r="CP55" s="18">
        <f t="shared" ca="1" si="47"/>
        <v>-3.8787398494292136E-3</v>
      </c>
      <c r="CQ55" s="18">
        <f t="shared" ca="1" si="47"/>
        <v>1.8629000775992832E-2</v>
      </c>
      <c r="CR55" s="18">
        <f t="shared" ca="1" si="47"/>
        <v>2.5032760716590996E-2</v>
      </c>
      <c r="CS55" s="18">
        <f t="shared" ca="1" si="47"/>
        <v>1.8160869009857805E-2</v>
      </c>
      <c r="CT55" s="18">
        <f t="shared" ca="1" si="47"/>
        <v>-7.0234346872883879E-3</v>
      </c>
      <c r="CU55" s="18">
        <f t="shared" ca="1" si="47"/>
        <v>-5.4219796802471576E-2</v>
      </c>
      <c r="CV55" s="18">
        <f t="shared" ca="1" si="47"/>
        <v>-7.0256301863094839E-2</v>
      </c>
      <c r="CW55" s="18">
        <f t="shared" ca="1" si="47"/>
        <v>-6.1144408399689265E-2</v>
      </c>
      <c r="CX55">
        <f ca="1">COUNTIF(B55:CW55,"&gt;0")</f>
        <v>69</v>
      </c>
    </row>
    <row r="56" spans="1:112" s="23" customFormat="1" x14ac:dyDescent="0.4">
      <c r="A56" s="23" t="s">
        <v>143</v>
      </c>
    </row>
    <row r="57" spans="1:112" x14ac:dyDescent="0.4">
      <c r="A57" t="s">
        <v>144</v>
      </c>
      <c r="B57">
        <v>0.967555096879128</v>
      </c>
      <c r="C57">
        <v>1.0675243876764899</v>
      </c>
      <c r="D57">
        <v>1.0169629688283299</v>
      </c>
      <c r="E57">
        <v>0.91313706372566805</v>
      </c>
      <c r="F57">
        <v>0.92958422846607702</v>
      </c>
      <c r="G57">
        <v>0.91420040060886398</v>
      </c>
      <c r="H57">
        <v>0.97406408089369001</v>
      </c>
      <c r="I57">
        <v>0.69015319173856604</v>
      </c>
      <c r="J57">
        <v>1.0013163972355901</v>
      </c>
      <c r="K57">
        <v>1.1013681783042499</v>
      </c>
      <c r="L57">
        <v>1.06021813634233</v>
      </c>
      <c r="M57">
        <v>0.91952256078285599</v>
      </c>
      <c r="N57">
        <v>1.1772052758623699</v>
      </c>
      <c r="O57">
        <v>1.1909078993684099</v>
      </c>
      <c r="P57">
        <v>1.01310608618933</v>
      </c>
      <c r="Q57">
        <v>0.98408418646826601</v>
      </c>
      <c r="R57">
        <v>1.0675059313319899</v>
      </c>
      <c r="S57">
        <v>1.0199589501528901</v>
      </c>
      <c r="T57">
        <v>1.0193095950716</v>
      </c>
      <c r="U57">
        <v>0.96733832303394596</v>
      </c>
      <c r="V57">
        <v>0.98307406064607805</v>
      </c>
      <c r="W57">
        <v>1.0721803228079501</v>
      </c>
      <c r="X57">
        <v>0.94998422262610904</v>
      </c>
      <c r="Y57">
        <v>0.99553504158129003</v>
      </c>
      <c r="Z57">
        <v>1.0517564799226</v>
      </c>
      <c r="AA57">
        <v>1.00645336075881</v>
      </c>
      <c r="AB57">
        <v>0.94656701175335001</v>
      </c>
      <c r="AC57">
        <v>1.05020373465657</v>
      </c>
      <c r="AD57">
        <v>1.02341825001049</v>
      </c>
      <c r="AE57">
        <v>1.0104312245627001</v>
      </c>
      <c r="AF57">
        <v>1.10518566522947</v>
      </c>
      <c r="AG57">
        <v>1.0420439238771899</v>
      </c>
      <c r="AH57">
        <v>0.99432013010305897</v>
      </c>
      <c r="AI57">
        <v>1.0571704892968501</v>
      </c>
      <c r="AJ57">
        <v>0.99204890556736902</v>
      </c>
      <c r="AK57">
        <v>0.93144613704381596</v>
      </c>
      <c r="AL57">
        <v>1.08615385631688</v>
      </c>
      <c r="AM57">
        <v>1.0167098005800499</v>
      </c>
      <c r="AN57">
        <v>0.97094531724064603</v>
      </c>
      <c r="AO57">
        <v>1.0021783097358901</v>
      </c>
      <c r="AP57">
        <v>1.0732298456603599</v>
      </c>
      <c r="AQ57">
        <v>0.89210466028013702</v>
      </c>
      <c r="AR57">
        <v>0.893347129886085</v>
      </c>
      <c r="AS57">
        <v>1.0791134967562599</v>
      </c>
      <c r="AT57">
        <v>0.96995452139027905</v>
      </c>
      <c r="AU57">
        <v>1.0021878154524499</v>
      </c>
      <c r="AV57">
        <v>1.08895310525509</v>
      </c>
      <c r="AW57">
        <v>1.06030452416802</v>
      </c>
      <c r="AX57">
        <v>0.97306397324825999</v>
      </c>
      <c r="AY57">
        <v>0.94701969183040702</v>
      </c>
      <c r="AZ57">
        <v>0.95049310881842997</v>
      </c>
      <c r="BA57">
        <v>1.0305899924223301</v>
      </c>
      <c r="BB57">
        <v>0.99591962949898205</v>
      </c>
      <c r="BC57">
        <v>1.0508333654187101</v>
      </c>
      <c r="BD57">
        <v>1.06675513012086</v>
      </c>
      <c r="BE57">
        <v>1.00009530727513</v>
      </c>
      <c r="BF57">
        <v>1.02749781501082</v>
      </c>
      <c r="BG57">
        <v>1.0346795372486699</v>
      </c>
      <c r="BH57">
        <v>1.02125652796176</v>
      </c>
      <c r="BI57">
        <v>1.02911061358817</v>
      </c>
      <c r="BJ57">
        <v>1.0279704420474001</v>
      </c>
      <c r="BK57">
        <v>1.0309194148296501</v>
      </c>
      <c r="BL57">
        <v>1.0118363808867501</v>
      </c>
      <c r="BM57">
        <v>0.94209618004627205</v>
      </c>
      <c r="BN57">
        <v>1.04904639517142</v>
      </c>
      <c r="BO57">
        <v>0.99151982445654596</v>
      </c>
      <c r="BP57">
        <v>1.04499679352221</v>
      </c>
      <c r="BQ57">
        <v>1.01522260527995</v>
      </c>
      <c r="BR57">
        <v>0.99740028717215901</v>
      </c>
      <c r="BS57">
        <v>1.00296497170501</v>
      </c>
      <c r="BT57">
        <v>1.00098688630782</v>
      </c>
      <c r="BU57">
        <v>1.03593239317214</v>
      </c>
      <c r="BV57">
        <v>1.04064465336113</v>
      </c>
      <c r="BW57">
        <v>1.0041799387113499</v>
      </c>
      <c r="BX57">
        <v>1.01984219271345</v>
      </c>
      <c r="BY57">
        <v>1.0146263506245601</v>
      </c>
      <c r="BZ57">
        <v>1.0521699273063101</v>
      </c>
      <c r="CA57">
        <v>1.0416807325742501</v>
      </c>
      <c r="CB57">
        <v>0.99000052303368602</v>
      </c>
      <c r="CC57">
        <v>0.962632156024538</v>
      </c>
      <c r="CD57">
        <v>0.99239146628050401</v>
      </c>
      <c r="CE57">
        <v>0.97316886108413603</v>
      </c>
      <c r="CF57">
        <v>1.02701403235293</v>
      </c>
      <c r="CG57">
        <v>1.0559571331329001</v>
      </c>
      <c r="CH57">
        <v>1.0506722653826299</v>
      </c>
      <c r="CI57">
        <v>1.06573239444296</v>
      </c>
      <c r="CJ57">
        <v>0.99456943102643502</v>
      </c>
      <c r="CK57">
        <v>0.99276184482163699</v>
      </c>
      <c r="CL57">
        <v>0.98906485411803202</v>
      </c>
      <c r="CM57">
        <v>0.95288139937414595</v>
      </c>
      <c r="CN57">
        <v>1.0232129195296</v>
      </c>
      <c r="CO57">
        <v>1.00775646536604</v>
      </c>
      <c r="CP57">
        <v>0.97336272988299399</v>
      </c>
      <c r="CQ57">
        <v>0.99360993170615397</v>
      </c>
      <c r="CR57">
        <v>0.98808070812116</v>
      </c>
      <c r="CS57">
        <v>1.01816016413831</v>
      </c>
      <c r="CT57">
        <v>1.0668769735800201</v>
      </c>
      <c r="CU57">
        <v>1.0251660915404399</v>
      </c>
      <c r="CV57">
        <v>0.97744615078665997</v>
      </c>
      <c r="CW57">
        <v>0.97378589070967603</v>
      </c>
      <c r="CX57">
        <v>1.03057555461324</v>
      </c>
      <c r="CY57">
        <v>0.98258290793352199</v>
      </c>
      <c r="CZ57">
        <v>1.0138335782882799</v>
      </c>
      <c r="DA57">
        <v>0.97419723834815897</v>
      </c>
      <c r="DB57">
        <v>0.98745422819887396</v>
      </c>
      <c r="DC57">
        <v>1.0349378376282601</v>
      </c>
      <c r="DD57">
        <v>0.98990076144820505</v>
      </c>
      <c r="DE57">
        <v>1.0252829486736701</v>
      </c>
      <c r="DF57">
        <v>1.01371158400709</v>
      </c>
      <c r="DG57">
        <v>1.0305027597341501</v>
      </c>
      <c r="DH57">
        <v>1.06722779862041</v>
      </c>
    </row>
    <row r="58" spans="1:112" x14ac:dyDescent="0.4">
      <c r="B58">
        <f ca="1">PRODUCT(OFFSET(B57,0,0,1,12))</f>
        <v>0.58914103678936203</v>
      </c>
      <c r="C58">
        <f t="shared" ref="C58:BN58" ca="1" si="48">PRODUCT(OFFSET(C57,0,0,1,12))</f>
        <v>0.71679632402588056</v>
      </c>
      <c r="D58">
        <f t="shared" ca="1" si="48"/>
        <v>0.7996430005488101</v>
      </c>
      <c r="E58">
        <f t="shared" ca="1" si="48"/>
        <v>0.79661031469814647</v>
      </c>
      <c r="F58">
        <f t="shared" ca="1" si="48"/>
        <v>0.85850377190194704</v>
      </c>
      <c r="G58">
        <f t="shared" ca="1" si="48"/>
        <v>0.98587932164950487</v>
      </c>
      <c r="H58">
        <f t="shared" ca="1" si="48"/>
        <v>1.0999299904237243</v>
      </c>
      <c r="I58">
        <f t="shared" ca="1" si="48"/>
        <v>1.1510220068039652</v>
      </c>
      <c r="J58">
        <f t="shared" ca="1" si="48"/>
        <v>1.6133051490091306</v>
      </c>
      <c r="K58">
        <f t="shared" ca="1" si="48"/>
        <v>1.5839133846966043</v>
      </c>
      <c r="L58">
        <f t="shared" ca="1" si="48"/>
        <v>1.5419373807572487</v>
      </c>
      <c r="M58">
        <f t="shared" ca="1" si="48"/>
        <v>1.3816177386384989</v>
      </c>
      <c r="N58">
        <f t="shared" ca="1" si="48"/>
        <v>1.4958293918464673</v>
      </c>
      <c r="O58">
        <f t="shared" ca="1" si="48"/>
        <v>1.3364264397988785</v>
      </c>
      <c r="P58">
        <f t="shared" ca="1" si="48"/>
        <v>1.1294331681365555</v>
      </c>
      <c r="Q58">
        <f t="shared" ca="1" si="48"/>
        <v>1.0552539299801889</v>
      </c>
      <c r="R58">
        <f t="shared" ca="1" si="48"/>
        <v>1.1261552959747247</v>
      </c>
      <c r="S58">
        <f t="shared" ca="1" si="48"/>
        <v>1.0796454131251729</v>
      </c>
      <c r="T58">
        <f t="shared" ca="1" si="48"/>
        <v>1.0695601393703595</v>
      </c>
      <c r="U58">
        <f t="shared" ca="1" si="48"/>
        <v>1.1596697802593754</v>
      </c>
      <c r="V58">
        <f t="shared" ca="1" si="48"/>
        <v>1.2492287542513412</v>
      </c>
      <c r="W58">
        <f t="shared" ca="1" si="48"/>
        <v>1.2635195527784999</v>
      </c>
      <c r="X58">
        <f t="shared" ca="1" si="48"/>
        <v>1.245831093363803</v>
      </c>
      <c r="Y58">
        <f t="shared" ca="1" si="48"/>
        <v>1.3009956831459819</v>
      </c>
      <c r="Z58">
        <f t="shared" ca="1" si="48"/>
        <v>1.2172423398097492</v>
      </c>
      <c r="AA58">
        <f t="shared" ca="1" si="48"/>
        <v>1.2570518810151157</v>
      </c>
      <c r="AB58">
        <f t="shared" ca="1" si="48"/>
        <v>1.2698620890908157</v>
      </c>
      <c r="AC58">
        <f t="shared" ca="1" si="48"/>
        <v>1.3025666789932773</v>
      </c>
      <c r="AD58">
        <f t="shared" ca="1" si="48"/>
        <v>1.2430007907929008</v>
      </c>
      <c r="AE58">
        <f t="shared" ca="1" si="48"/>
        <v>1.3034998612196889</v>
      </c>
      <c r="AF58">
        <f t="shared" ca="1" si="48"/>
        <v>1.1508534896789873</v>
      </c>
      <c r="AG58">
        <f t="shared" ca="1" si="48"/>
        <v>0.93026148842660006</v>
      </c>
      <c r="AH58">
        <f t="shared" ca="1" si="48"/>
        <v>0.96335452342412098</v>
      </c>
      <c r="AI58">
        <f t="shared" ca="1" si="48"/>
        <v>0.93974772048530697</v>
      </c>
      <c r="AJ58">
        <f t="shared" ca="1" si="48"/>
        <v>0.89087212006457528</v>
      </c>
      <c r="AK58">
        <f t="shared" ca="1" si="48"/>
        <v>0.9778932833706202</v>
      </c>
      <c r="AL58">
        <f t="shared" ca="1" si="48"/>
        <v>1.1131772748579376</v>
      </c>
      <c r="AM58">
        <f t="shared" ca="1" si="48"/>
        <v>0.99727372480728815</v>
      </c>
      <c r="AN58">
        <f t="shared" ca="1" si="48"/>
        <v>0.92891585681454303</v>
      </c>
      <c r="AO58">
        <f t="shared" ca="1" si="48"/>
        <v>0.90934896630801665</v>
      </c>
      <c r="AP58">
        <f t="shared" ca="1" si="48"/>
        <v>0.93512894381400957</v>
      </c>
      <c r="AQ58">
        <f t="shared" ca="1" si="48"/>
        <v>0.8677668395291267</v>
      </c>
      <c r="AR58">
        <f t="shared" ca="1" si="48"/>
        <v>1.0221652110805068</v>
      </c>
      <c r="AS58">
        <f t="shared" ca="1" si="48"/>
        <v>1.2205781451273532</v>
      </c>
      <c r="AT58">
        <f t="shared" ca="1" si="48"/>
        <v>1.1312011931773354</v>
      </c>
      <c r="AU58">
        <f t="shared" ca="1" si="48"/>
        <v>1.1983105688928168</v>
      </c>
      <c r="AV58">
        <f t="shared" ca="1" si="48"/>
        <v>1.2371607455060276</v>
      </c>
      <c r="AW58">
        <f t="shared" ca="1" si="48"/>
        <v>1.1602505942531838</v>
      </c>
      <c r="AX58">
        <f t="shared" ca="1" si="48"/>
        <v>1.1261162937174483</v>
      </c>
      <c r="AY58">
        <f t="shared" ca="1" si="48"/>
        <v>1.1896589495397549</v>
      </c>
      <c r="AZ58">
        <f t="shared" ca="1" si="48"/>
        <v>1.2950549166891165</v>
      </c>
      <c r="BA58">
        <f t="shared" ca="1" si="48"/>
        <v>1.3786356447983736</v>
      </c>
      <c r="BB58">
        <f t="shared" ca="1" si="48"/>
        <v>1.2602561486041806</v>
      </c>
      <c r="BC58">
        <f t="shared" ca="1" si="48"/>
        <v>1.3274837954051837</v>
      </c>
      <c r="BD58">
        <f t="shared" ca="1" si="48"/>
        <v>1.2525549179384874</v>
      </c>
      <c r="BE58">
        <f t="shared" ca="1" si="48"/>
        <v>1.2270068697095446</v>
      </c>
      <c r="BF58">
        <f t="shared" ca="1" si="48"/>
        <v>1.2455663994233974</v>
      </c>
      <c r="BG58">
        <f t="shared" ca="1" si="48"/>
        <v>1.2090811934853665</v>
      </c>
      <c r="BH58">
        <f t="shared" ca="1" si="48"/>
        <v>1.1720209411290059</v>
      </c>
      <c r="BI58">
        <f t="shared" ca="1" si="48"/>
        <v>1.1487589654772934</v>
      </c>
      <c r="BJ58">
        <f t="shared" ca="1" si="48"/>
        <v>1.1563738713524467</v>
      </c>
      <c r="BK58">
        <f t="shared" ca="1" si="48"/>
        <v>1.170631213979932</v>
      </c>
      <c r="BL58">
        <f t="shared" ca="1" si="48"/>
        <v>1.1402679625567103</v>
      </c>
      <c r="BM58">
        <f t="shared" ca="1" si="48"/>
        <v>1.1492899456684889</v>
      </c>
      <c r="BN58">
        <f t="shared" ca="1" si="48"/>
        <v>1.2377715652406569</v>
      </c>
      <c r="BO58">
        <f t="shared" ref="BO58:CW58" ca="1" si="49">PRODUCT(OFFSET(BO57,0,0,1,12))</f>
        <v>1.2414570259385611</v>
      </c>
      <c r="BP58">
        <f t="shared" ca="1" si="49"/>
        <v>1.304262236963277</v>
      </c>
      <c r="BQ58">
        <f t="shared" ca="1" si="49"/>
        <v>1.2356213002478329</v>
      </c>
      <c r="BR58">
        <f t="shared" ca="1" si="49"/>
        <v>1.1716137821413277</v>
      </c>
      <c r="BS58">
        <f t="shared" ca="1" si="49"/>
        <v>1.1657300826232755</v>
      </c>
      <c r="BT58">
        <f t="shared" ca="1" si="49"/>
        <v>1.1310985416663897</v>
      </c>
      <c r="BU58">
        <f t="shared" ca="1" si="49"/>
        <v>1.1605087840362474</v>
      </c>
      <c r="BV58">
        <f t="shared" ca="1" si="49"/>
        <v>1.1829416056910889</v>
      </c>
      <c r="BW58">
        <f t="shared" ca="1" si="49"/>
        <v>1.1943403856950485</v>
      </c>
      <c r="BX58">
        <f t="shared" ca="1" si="49"/>
        <v>1.2675489620517011</v>
      </c>
      <c r="BY58">
        <f t="shared" ca="1" si="49"/>
        <v>1.236137766208427</v>
      </c>
      <c r="BZ58">
        <f t="shared" ca="1" si="49"/>
        <v>1.2094998404874568</v>
      </c>
      <c r="CA58">
        <f t="shared" ca="1" si="49"/>
        <v>1.1369587290430583</v>
      </c>
      <c r="CB58">
        <f t="shared" ca="1" si="49"/>
        <v>1.0400373078648422</v>
      </c>
      <c r="CC58">
        <f t="shared" ca="1" si="49"/>
        <v>1.0749283312892564</v>
      </c>
      <c r="CD58">
        <f t="shared" ca="1" si="49"/>
        <v>1.1253166319890344</v>
      </c>
      <c r="CE58">
        <f t="shared" ca="1" si="49"/>
        <v>1.1037391050942194</v>
      </c>
      <c r="CF58">
        <f t="shared" ca="1" si="49"/>
        <v>1.1269227578987073</v>
      </c>
      <c r="CG58">
        <f t="shared" ca="1" si="49"/>
        <v>1.0842019695401377</v>
      </c>
      <c r="CH58">
        <f t="shared" ca="1" si="49"/>
        <v>1.0453940038180816</v>
      </c>
      <c r="CI58">
        <f t="shared" ca="1" si="49"/>
        <v>1.0615173044336206</v>
      </c>
      <c r="CJ58">
        <f t="shared" ca="1" si="49"/>
        <v>1.0211114457654804</v>
      </c>
      <c r="CK58">
        <f t="shared" ca="1" si="49"/>
        <v>1.0035311975732157</v>
      </c>
      <c r="CL58">
        <f t="shared" ca="1" si="49"/>
        <v>0.98434939475272987</v>
      </c>
      <c r="CM58">
        <f t="shared" ca="1" si="49"/>
        <v>1.0256621890938618</v>
      </c>
      <c r="CN58">
        <f t="shared" ca="1" si="49"/>
        <v>1.0576322897888781</v>
      </c>
      <c r="CO58">
        <f t="shared" ca="1" si="49"/>
        <v>1.0479374413712788</v>
      </c>
      <c r="CP58">
        <f t="shared" ca="1" si="49"/>
        <v>1.0130401505037456</v>
      </c>
      <c r="CQ58">
        <f t="shared" ca="1" si="49"/>
        <v>1.0277060639771927</v>
      </c>
      <c r="CR58">
        <f t="shared" ca="1" si="49"/>
        <v>1.0704521539389704</v>
      </c>
      <c r="CS58">
        <f t="shared" ca="1" si="49"/>
        <v>1.0724239361913779</v>
      </c>
      <c r="CT58">
        <f t="shared" ca="1" si="49"/>
        <v>1.0799263360073423</v>
      </c>
      <c r="CU58">
        <f t="shared" ca="1" si="49"/>
        <v>1.0261106611116366</v>
      </c>
      <c r="CV58">
        <f t="shared" ca="1" si="49"/>
        <v>1.0314522464152946</v>
      </c>
      <c r="CW58">
        <f t="shared" ca="1" si="49"/>
        <v>1.1261945319831066</v>
      </c>
    </row>
    <row r="59" spans="1:112" x14ac:dyDescent="0.4">
      <c r="B59" s="18">
        <f ca="1">B58-E$20</f>
        <v>-3.1925555094350577E-2</v>
      </c>
      <c r="C59" s="18">
        <f ca="1">C58-F$20</f>
        <v>8.8931086314240071E-3</v>
      </c>
      <c r="D59" s="18">
        <f t="shared" ref="D59" ca="1" si="50">D58-G$20</f>
        <v>4.9501940986067416E-2</v>
      </c>
      <c r="E59" s="18">
        <f t="shared" ref="E59" ca="1" si="51">E58-H$20</f>
        <v>4.2898151762540859E-2</v>
      </c>
      <c r="F59" s="18">
        <f t="shared" ref="F59" ca="1" si="52">F58-I$20</f>
        <v>2.8571596036830904E-2</v>
      </c>
      <c r="G59" s="18">
        <f t="shared" ref="G59" ca="1" si="53">G58-J$20</f>
        <v>9.3199081031284381E-3</v>
      </c>
      <c r="H59" s="18">
        <f t="shared" ref="H59" ca="1" si="54">H58-K$20</f>
        <v>2.0153291921445327E-2</v>
      </c>
      <c r="I59" s="18">
        <f t="shared" ref="I59" ca="1" si="55">I58-L$20</f>
        <v>-4.4135414467982859E-3</v>
      </c>
      <c r="J59" s="18">
        <f t="shared" ref="J59" ca="1" si="56">J58-M$20</f>
        <v>0.19317505719018069</v>
      </c>
      <c r="K59" s="18">
        <f t="shared" ref="K59" ca="1" si="57">K58-N$20</f>
        <v>0.13828252425072241</v>
      </c>
      <c r="L59" s="18">
        <f t="shared" ref="L59" ca="1" si="58">L58-O$20</f>
        <v>4.5436807153684589E-2</v>
      </c>
      <c r="M59" s="18">
        <f t="shared" ref="M59" ca="1" si="59">M58-P$20</f>
        <v>2.7207323310058928E-3</v>
      </c>
      <c r="N59" s="18">
        <f t="shared" ref="N59" ca="1" si="60">N58-Q$20</f>
        <v>-4.2035329063621063E-3</v>
      </c>
      <c r="O59" s="18">
        <f t="shared" ref="O59" ca="1" si="61">O58-R$20</f>
        <v>-6.6960889632587728E-2</v>
      </c>
      <c r="P59" s="18">
        <f t="shared" ref="P59" ca="1" si="62">P58-S$20</f>
        <v>-0.14237263895580887</v>
      </c>
      <c r="Q59" s="18">
        <f t="shared" ref="Q59" ca="1" si="63">Q58-T$20</f>
        <v>-0.1205192326615665</v>
      </c>
      <c r="R59" s="18">
        <f t="shared" ref="R59" ca="1" si="64">R58-U$20</f>
        <v>-9.5574544968537456E-2</v>
      </c>
      <c r="S59" s="18">
        <f t="shared" ref="S59" ca="1" si="65">S58-V$20</f>
        <v>-5.0092785925742733E-2</v>
      </c>
      <c r="T59" s="18">
        <f t="shared" ref="T59" ca="1" si="66">T58-W$20</f>
        <v>-2.5235224514429166E-2</v>
      </c>
      <c r="U59" s="18">
        <f t="shared" ref="U59" ca="1" si="67">U58-X$20</f>
        <v>4.0331290951845622E-2</v>
      </c>
      <c r="V59" s="18">
        <f t="shared" ref="V59" ca="1" si="68">V58-Y$20</f>
        <v>5.8008464377931279E-2</v>
      </c>
      <c r="W59" s="18">
        <f t="shared" ref="W59" ca="1" si="69">W58-Z$20</f>
        <v>3.9149534779013617E-2</v>
      </c>
      <c r="X59" s="18">
        <f t="shared" ref="X59" ca="1" si="70">X58-AA$20</f>
        <v>2.7007368196370063E-2</v>
      </c>
      <c r="Y59" s="18">
        <f t="shared" ref="Y59" ca="1" si="71">Y58-AB$20</f>
        <v>9.3760804176254986E-3</v>
      </c>
      <c r="Z59" s="18">
        <f t="shared" ref="Z59" ca="1" si="72">Z58-AC$20</f>
        <v>1.0600222088759104E-3</v>
      </c>
      <c r="AA59" s="18">
        <f t="shared" ref="AA59" ca="1" si="73">AA58-AD$20</f>
        <v>1.2582495068339083E-2</v>
      </c>
      <c r="AB59" s="18">
        <f t="shared" ref="AB59" ca="1" si="74">AB58-AE$20</f>
        <v>1.1013700289969952E-2</v>
      </c>
      <c r="AC59" s="18">
        <f t="shared" ref="AC59" ca="1" si="75">AC58-AF$20</f>
        <v>-2.8225060790765255E-3</v>
      </c>
      <c r="AD59" s="18">
        <f t="shared" ref="AD59" ca="1" si="76">AD58-AG$20</f>
        <v>6.0565704300648004E-3</v>
      </c>
      <c r="AE59" s="18">
        <f t="shared" ref="AE59" ca="1" si="77">AE58-AH$20</f>
        <v>9.098714331002955E-2</v>
      </c>
      <c r="AF59" s="18">
        <f t="shared" ref="AF59" ca="1" si="78">AF58-AI$20</f>
        <v>7.2035529558488021E-2</v>
      </c>
      <c r="AG59" s="18">
        <f t="shared" ref="AG59" ca="1" si="79">AG58-AJ$20</f>
        <v>-1.4655507958511449E-2</v>
      </c>
      <c r="AH59" s="18">
        <f t="shared" ref="AH59" ca="1" si="80">AH58-AK$20</f>
        <v>-5.0496083336547093E-2</v>
      </c>
      <c r="AI59" s="18">
        <f t="shared" ref="AI59" ca="1" si="81">AI58-AL$20</f>
        <v>-3.0262202701873631E-2</v>
      </c>
      <c r="AJ59" s="18">
        <f t="shared" ref="AJ59" ca="1" si="82">AJ58-AM$20</f>
        <v>7.0147160041134082E-4</v>
      </c>
      <c r="AK59" s="18">
        <f t="shared" ref="AK59" ca="1" si="83">AK58-AN$20</f>
        <v>3.294394215220009E-2</v>
      </c>
      <c r="AL59" s="18">
        <f t="shared" ref="AL59" ca="1" si="84">AL58-AO$20</f>
        <v>6.6278909468364011E-2</v>
      </c>
      <c r="AM59" s="18">
        <f t="shared" ref="AM59" ca="1" si="85">AM58-AP$20</f>
        <v>4.1257206081318332E-2</v>
      </c>
      <c r="AN59" s="18">
        <f t="shared" ref="AN59" ca="1" si="86">AN58-AQ$20</f>
        <v>2.4871812953133232E-2</v>
      </c>
      <c r="AO59" s="18">
        <f t="shared" ref="AO59" ca="1" si="87">AO58-AR$20</f>
        <v>4.8907513218825027E-2</v>
      </c>
      <c r="AP59" s="18">
        <f t="shared" ref="AP59" ca="1" si="88">AP58-AS$20</f>
        <v>5.2557026967639975E-2</v>
      </c>
      <c r="AQ59" s="18">
        <f t="shared" ref="AQ59" ca="1" si="89">AQ58-AT$20</f>
        <v>-1.4466977113398172E-2</v>
      </c>
      <c r="AR59" s="18">
        <f t="shared" ref="AR59" ca="1" si="90">AR58-AU$20</f>
        <v>8.8627979238296017E-3</v>
      </c>
      <c r="AS59" s="18">
        <f t="shared" ref="AS59" ca="1" si="91">AS58-AV$20</f>
        <v>9.2552829386952862E-2</v>
      </c>
      <c r="AT59" s="18">
        <f t="shared" ref="AT59" ca="1" si="92">AT58-AW$20</f>
        <v>0.12961399968116161</v>
      </c>
      <c r="AU59" s="18">
        <f t="shared" ref="AU59" ca="1" si="93">AU58-AX$20</f>
        <v>0.15209160390751197</v>
      </c>
      <c r="AV59" s="18">
        <f t="shared" ref="AV59" ca="1" si="94">AV58-AY$20</f>
        <v>0.1433302986735101</v>
      </c>
      <c r="AW59" s="18">
        <f t="shared" ref="AW59" ca="1" si="95">AW58-AZ$20</f>
        <v>0.15710608487334254</v>
      </c>
      <c r="AX59" s="18">
        <f t="shared" ref="AX59" ca="1" si="96">AX58-BA$20</f>
        <v>0.12796828238879399</v>
      </c>
      <c r="AY59" s="18">
        <f t="shared" ref="AY59" ca="1" si="97">AY58-BB$20</f>
        <v>0.19420205692590409</v>
      </c>
      <c r="AZ59" s="18">
        <f t="shared" ref="AZ59" ca="1" si="98">AZ58-BC$20</f>
        <v>0.30415687986753825</v>
      </c>
      <c r="BA59" s="18">
        <f t="shared" ref="BA59" ca="1" si="99">BA58-BD$20</f>
        <v>0.29315554476962347</v>
      </c>
      <c r="BB59" s="18">
        <f t="shared" ref="BB59" ca="1" si="100">BB58-BE$20</f>
        <v>0.25523460071608994</v>
      </c>
      <c r="BC59" s="18">
        <f t="shared" ref="BC59" ca="1" si="101">BC58-BF$20</f>
        <v>0.31045926286250336</v>
      </c>
      <c r="BD59" s="18">
        <f t="shared" ref="BD59" ca="1" si="102">BD58-BG$20</f>
        <v>0.24140601393244077</v>
      </c>
      <c r="BE59" s="18">
        <f t="shared" ref="BE59" ca="1" si="103">BE58-BH$20</f>
        <v>0.22663115773535369</v>
      </c>
      <c r="BF59" s="18">
        <f t="shared" ref="BF59" ca="1" si="104">BF58-BI$20</f>
        <v>0.18383716498514779</v>
      </c>
      <c r="BG59" s="18">
        <f t="shared" ref="BG59" ca="1" si="105">BG58-BJ$20</f>
        <v>0.15115269226957739</v>
      </c>
      <c r="BH59" s="18">
        <f t="shared" ref="BH59" ca="1" si="106">BH58-BK$20</f>
        <v>0.16486538668620287</v>
      </c>
      <c r="BI59" s="18">
        <f t="shared" ref="BI59" ca="1" si="107">BI58-BL$20</f>
        <v>0.1593556198092303</v>
      </c>
      <c r="BJ59" s="18">
        <f t="shared" ref="BJ59" ca="1" si="108">BJ58-BM$20</f>
        <v>0.17931995053369132</v>
      </c>
      <c r="BK59" s="18">
        <f t="shared" ref="BK59" ca="1" si="109">BK58-BN$20</f>
        <v>0.18024770166753579</v>
      </c>
      <c r="BL59" s="18">
        <f t="shared" ref="BL59" ca="1" si="110">BL58-BO$20</f>
        <v>0.14136778689032381</v>
      </c>
      <c r="BM59" s="18">
        <f t="shared" ref="BM59" ca="1" si="111">BM58-BP$20</f>
        <v>0.15233334788232622</v>
      </c>
      <c r="BN59" s="18">
        <f t="shared" ref="BN59" ca="1" si="112">BN58-BQ$20</f>
        <v>0.16323257032834992</v>
      </c>
      <c r="BO59" s="18">
        <f t="shared" ref="BO59" ca="1" si="113">BO58-BR$20</f>
        <v>0.15677183291650865</v>
      </c>
      <c r="BP59" s="18">
        <f t="shared" ref="BP59" ca="1" si="114">BP58-BS$20</f>
        <v>0.23045464129060922</v>
      </c>
      <c r="BQ59" s="18">
        <f t="shared" ref="BQ59" ca="1" si="115">BQ58-BT$20</f>
        <v>0.22403869468738113</v>
      </c>
      <c r="BR59" s="18">
        <f t="shared" ref="BR59" ca="1" si="116">BR58-BU$20</f>
        <v>0.20395717578397421</v>
      </c>
      <c r="BS59" s="18">
        <f t="shared" ref="BS59" ca="1" si="117">BS58-BV$20</f>
        <v>0.1970719283151775</v>
      </c>
      <c r="BT59" s="18">
        <f t="shared" ref="BT59" ca="1" si="118">BT58-BW$20</f>
        <v>0.17870362086732039</v>
      </c>
      <c r="BU59" s="18">
        <f t="shared" ref="BU59" ca="1" si="119">BU58-BX$20</f>
        <v>0.15633084827651711</v>
      </c>
      <c r="BV59" s="18">
        <f t="shared" ref="BV59" ca="1" si="120">BV58-BY$20</f>
        <v>0.18000724743675423</v>
      </c>
      <c r="BW59" s="18">
        <f t="shared" ref="BW59" ca="1" si="121">BW58-BZ$20</f>
        <v>0.16642956735710701</v>
      </c>
      <c r="BX59" s="18">
        <f t="shared" ref="BX59" ca="1" si="122">BX58-CA$20</f>
        <v>0.18324839981007446</v>
      </c>
      <c r="BY59" s="18">
        <f t="shared" ref="BY59" ca="1" si="123">BY58-CB$20</f>
        <v>0.17606638633113647</v>
      </c>
      <c r="BZ59" s="18">
        <f t="shared" ref="BZ59" ca="1" si="124">BZ58-CC$20</f>
        <v>0.1735445710601744</v>
      </c>
      <c r="CA59" s="18">
        <f t="shared" ref="CA59" ca="1" si="125">CA58-CD$20</f>
        <v>0.15909617774544538</v>
      </c>
      <c r="CB59" s="18">
        <f t="shared" ref="CB59" ca="1" si="126">CB58-CE$20</f>
        <v>0.10145743993867207</v>
      </c>
      <c r="CC59" s="18">
        <f t="shared" ref="CC59" ca="1" si="127">CC58-CF$20</f>
        <v>0.10328350358356009</v>
      </c>
      <c r="CD59" s="18">
        <f t="shared" ref="CD59" ca="1" si="128">CD58-CG$20</f>
        <v>9.2207791256608385E-2</v>
      </c>
      <c r="CE59" s="18">
        <f t="shared" ref="CE59" ca="1" si="129">CE58-CH$20</f>
        <v>9.8089815420454363E-2</v>
      </c>
      <c r="CF59" s="18">
        <f t="shared" ref="CF59" ca="1" si="130">CF58-CI$20</f>
        <v>0.10305543764750502</v>
      </c>
      <c r="CG59" s="18">
        <f t="shared" ref="CG59" ca="1" si="131">CG58-CJ$20</f>
        <v>0.10328613481311255</v>
      </c>
      <c r="CH59" s="18">
        <f t="shared" ref="CH59" ca="1" si="132">CH58-CK$20</f>
        <v>8.0211205953241049E-2</v>
      </c>
      <c r="CI59" s="18">
        <f t="shared" ref="CI59" ca="1" si="133">CI58-CL$20</f>
        <v>8.3653186806736057E-2</v>
      </c>
      <c r="CJ59" s="18">
        <f t="shared" ref="CJ59" ca="1" si="134">CJ58-CM$20</f>
        <v>8.3645234790335143E-2</v>
      </c>
      <c r="CK59" s="18">
        <f t="shared" ref="CK59" ca="1" si="135">CK58-CN$20</f>
        <v>6.566473265927586E-2</v>
      </c>
      <c r="CL59" s="18">
        <f t="shared" ref="CL59" ca="1" si="136">CL58-CO$20</f>
        <v>3.4416890654764276E-2</v>
      </c>
      <c r="CM59" s="18">
        <f t="shared" ref="CM59" ca="1" si="137">CM58-CP$20</f>
        <v>3.2543420129839129E-2</v>
      </c>
      <c r="CN59" s="18">
        <f t="shared" ref="CN59" ca="1" si="138">CN58-CQ$20</f>
        <v>9.6485247424442644E-3</v>
      </c>
      <c r="CO59" s="18">
        <f t="shared" ref="CO59" ca="1" si="139">CO58-CR$20</f>
        <v>6.7617799470962581E-3</v>
      </c>
      <c r="CP59" s="18">
        <f t="shared" ref="CP59" ca="1" si="140">CP58-CS$20</f>
        <v>2.3525646717042603E-2</v>
      </c>
      <c r="CQ59" s="18">
        <f t="shared" ref="CQ59" ca="1" si="141">CQ58-CT$20</f>
        <v>3.1968176358403211E-2</v>
      </c>
      <c r="CR59" s="18">
        <f t="shared" ref="CR59" ca="1" si="142">CR58-CU$20</f>
        <v>3.7234559576019066E-2</v>
      </c>
      <c r="CS59" s="18">
        <f t="shared" ref="CS59" ca="1" si="143">CS58-CV$20</f>
        <v>-8.9071935848845651E-3</v>
      </c>
      <c r="CT59" s="18">
        <f t="shared" ref="CT59" ca="1" si="144">CT58-CW$20</f>
        <v>-1.136789458128562E-2</v>
      </c>
      <c r="CU59" s="18">
        <f t="shared" ref="CU59" ca="1" si="145">CU58-CX$20</f>
        <v>-5.6250237753508348E-2</v>
      </c>
      <c r="CV59" s="18">
        <f t="shared" ref="CV59" ca="1" si="146">CV58-CY$20</f>
        <v>-7.4502671720252156E-2</v>
      </c>
      <c r="CW59" s="18">
        <f t="shared" ref="CW59" ca="1" si="147">CW58-CZ$20</f>
        <v>-5.7318627238431841E-2</v>
      </c>
    </row>
    <row r="60" spans="1:112" s="25" customFormat="1" x14ac:dyDescent="0.4">
      <c r="A60" s="25" t="s">
        <v>145</v>
      </c>
    </row>
    <row r="61" spans="1:112" x14ac:dyDescent="0.4">
      <c r="A61" t="s">
        <v>144</v>
      </c>
      <c r="B61">
        <v>0.98101167940121203</v>
      </c>
      <c r="C61">
        <v>1.06005006864233</v>
      </c>
      <c r="D61">
        <v>1.01946014965833</v>
      </c>
      <c r="E61">
        <v>0.90563260181434002</v>
      </c>
      <c r="F61">
        <v>0.93988623162083196</v>
      </c>
      <c r="G61">
        <v>0.91012310879365799</v>
      </c>
      <c r="H61">
        <v>0.97130887505270402</v>
      </c>
      <c r="I61">
        <v>0.68978736695587495</v>
      </c>
      <c r="J61">
        <v>0.97815033213187497</v>
      </c>
      <c r="K61">
        <v>1.0801579607996901</v>
      </c>
      <c r="L61">
        <v>1.06946181151176</v>
      </c>
      <c r="M61">
        <v>0.90571080059988196</v>
      </c>
      <c r="N61">
        <v>1.1712315756613401</v>
      </c>
      <c r="O61">
        <v>1.1967823490532401</v>
      </c>
      <c r="P61">
        <v>1.01267365852248</v>
      </c>
      <c r="Q61">
        <v>0.99222727921416298</v>
      </c>
      <c r="R61">
        <v>1.0814216655295601</v>
      </c>
      <c r="S61">
        <v>1.0231306571162899</v>
      </c>
      <c r="T61">
        <v>1.0375442833423301</v>
      </c>
      <c r="U61">
        <v>0.960385389772207</v>
      </c>
      <c r="V61">
        <v>0.98059732935420796</v>
      </c>
      <c r="W61">
        <v>1.07360331857393</v>
      </c>
      <c r="X61">
        <v>0.94964830118903998</v>
      </c>
      <c r="Y61">
        <v>0.99567126989002397</v>
      </c>
      <c r="Z61">
        <v>1.0637681227195701</v>
      </c>
      <c r="AA61">
        <v>1.0093947966405401</v>
      </c>
      <c r="AB61">
        <v>0.94079689703998004</v>
      </c>
      <c r="AC61">
        <v>1.0599113024839599</v>
      </c>
      <c r="AD61">
        <v>1.02707130801397</v>
      </c>
      <c r="AE61">
        <v>1.01534201151559</v>
      </c>
      <c r="AF61">
        <v>1.10317164795886</v>
      </c>
      <c r="AG61">
        <v>1.0228824868433399</v>
      </c>
      <c r="AH61">
        <v>1.0126614035697701</v>
      </c>
      <c r="AI61">
        <v>1.06523652345729</v>
      </c>
      <c r="AJ61">
        <v>1.00604066017611</v>
      </c>
      <c r="AK61">
        <v>0.92032488198762297</v>
      </c>
      <c r="AL61">
        <v>1.08595184376083</v>
      </c>
      <c r="AM61">
        <v>1.0288050180828401</v>
      </c>
      <c r="AN61">
        <v>0.96443109981647002</v>
      </c>
      <c r="AO61">
        <v>0.99665518534159303</v>
      </c>
      <c r="AP61">
        <v>1.04639352593132</v>
      </c>
      <c r="AQ61">
        <v>0.88203098930882695</v>
      </c>
      <c r="AR61">
        <v>0.900922380281865</v>
      </c>
      <c r="AS61">
        <v>1.0787680737729699</v>
      </c>
      <c r="AT61">
        <v>0.96595736606971105</v>
      </c>
      <c r="AU61">
        <v>0.98798956573309704</v>
      </c>
      <c r="AV61">
        <v>1.0972598328718699</v>
      </c>
      <c r="AW61">
        <v>1.0484422649066101</v>
      </c>
      <c r="AX61">
        <v>0.97411172919903699</v>
      </c>
      <c r="AY61">
        <v>0.94666559620976998</v>
      </c>
      <c r="AZ61">
        <v>0.94969848172304705</v>
      </c>
      <c r="BA61">
        <v>1.0301329220600399</v>
      </c>
      <c r="BB61">
        <v>1.0046298542238099</v>
      </c>
      <c r="BC61">
        <v>1.0455943295908301</v>
      </c>
      <c r="BD61">
        <v>1.0570254667187899</v>
      </c>
      <c r="BE61">
        <v>0.99159633846255302</v>
      </c>
      <c r="BF61">
        <v>1.0088163286191301</v>
      </c>
      <c r="BG61">
        <v>1.03846947583469</v>
      </c>
      <c r="BH61">
        <v>1.0076043852810199</v>
      </c>
      <c r="BI61">
        <v>1.02624347561119</v>
      </c>
      <c r="BJ61">
        <v>1.01118382130744</v>
      </c>
      <c r="BK61">
        <v>0.99469221021958498</v>
      </c>
      <c r="BL61">
        <v>1.02790285570177</v>
      </c>
      <c r="BM61">
        <v>0.946443704402538</v>
      </c>
      <c r="BN61">
        <v>1.0533446204692301</v>
      </c>
      <c r="BO61">
        <v>1.0024079201160301</v>
      </c>
      <c r="BP61">
        <v>1.04768959076261</v>
      </c>
      <c r="BQ61">
        <v>1.01218678038549</v>
      </c>
      <c r="BR61">
        <v>0.99854838616673802</v>
      </c>
      <c r="BS61">
        <v>1.0050966762315301</v>
      </c>
      <c r="BT61">
        <v>0.98499535471663702</v>
      </c>
      <c r="BU61">
        <v>1.0277234733863201</v>
      </c>
      <c r="BV61">
        <v>1.0245002732948401</v>
      </c>
      <c r="BW61">
        <v>0.98980114213165005</v>
      </c>
      <c r="BX61">
        <v>1.0029091828500001</v>
      </c>
      <c r="BY61">
        <v>1.0194995040435</v>
      </c>
      <c r="BZ61">
        <v>1.05251283896948</v>
      </c>
      <c r="CA61">
        <v>1.02493039381509</v>
      </c>
      <c r="CB61">
        <v>0.98678457594510105</v>
      </c>
      <c r="CC61">
        <v>0.96612528856545199</v>
      </c>
      <c r="CD61">
        <v>0.99877842102244796</v>
      </c>
      <c r="CE61">
        <v>0.956084697418908</v>
      </c>
      <c r="CF61">
        <v>1.0271848041807801</v>
      </c>
      <c r="CG61">
        <v>1.03701387575202</v>
      </c>
      <c r="CH61">
        <v>1.0241809807992801</v>
      </c>
      <c r="CI61">
        <v>1.0707955272449601</v>
      </c>
      <c r="CJ61">
        <v>0.98428471030640197</v>
      </c>
      <c r="CK61">
        <v>0.98563928710127402</v>
      </c>
      <c r="CL61">
        <v>0.97748593092462399</v>
      </c>
      <c r="CM61">
        <v>0.95547868456354901</v>
      </c>
      <c r="CN61">
        <v>1.02798713573321</v>
      </c>
      <c r="CO61">
        <v>1.01209473872398</v>
      </c>
      <c r="CP61">
        <v>0.97964350826838298</v>
      </c>
      <c r="CQ61">
        <v>0.98798318753415604</v>
      </c>
      <c r="CR61">
        <v>0.98345211565438495</v>
      </c>
      <c r="CS61">
        <v>1.0203739020097899</v>
      </c>
      <c r="CT61">
        <v>1.05728065564958</v>
      </c>
      <c r="CU61">
        <v>1.03075310708807</v>
      </c>
      <c r="CV61">
        <v>0.97283350897829302</v>
      </c>
      <c r="CW61">
        <v>0.97149079864017995</v>
      </c>
      <c r="CX61">
        <v>1.02525580734663</v>
      </c>
      <c r="CY61">
        <v>1.0003826012450601</v>
      </c>
      <c r="CZ61">
        <v>1.01090165989231</v>
      </c>
      <c r="DA61">
        <v>0.97493574718570897</v>
      </c>
      <c r="DB61">
        <v>0.97603755789090496</v>
      </c>
      <c r="DC61">
        <v>1.0335029507820199</v>
      </c>
      <c r="DD61">
        <v>0.98753018432608697</v>
      </c>
      <c r="DE61">
        <v>1.0306481390572</v>
      </c>
      <c r="DF61">
        <v>1.02038529565073</v>
      </c>
      <c r="DG61">
        <v>1.0222135311370399</v>
      </c>
      <c r="DH61">
        <v>1.0811283300879699</v>
      </c>
    </row>
    <row r="62" spans="1:112" x14ac:dyDescent="0.4">
      <c r="B62">
        <f ca="1">PRODUCT(OFFSET(B61,0,0,1,12))</f>
        <v>0.56314286600964381</v>
      </c>
      <c r="C62">
        <f t="shared" ref="C62:BN62" ca="1" si="148">PRODUCT(OFFSET(C61,0,0,1,12))</f>
        <v>0.67233726175564557</v>
      </c>
      <c r="D62">
        <f t="shared" ca="1" si="148"/>
        <v>0.75905977583728446</v>
      </c>
      <c r="E62">
        <f t="shared" ca="1" si="148"/>
        <v>0.7540067559207857</v>
      </c>
      <c r="F62">
        <f t="shared" ca="1" si="148"/>
        <v>0.82610329005111605</v>
      </c>
      <c r="G62">
        <f t="shared" ca="1" si="148"/>
        <v>0.95050439699060107</v>
      </c>
      <c r="H62">
        <f t="shared" ca="1" si="148"/>
        <v>1.0685259816926571</v>
      </c>
      <c r="I62">
        <f t="shared" ca="1" si="148"/>
        <v>1.1413908102587984</v>
      </c>
      <c r="J62">
        <f t="shared" ca="1" si="148"/>
        <v>1.5891492229415281</v>
      </c>
      <c r="K62">
        <f t="shared" ca="1" si="148"/>
        <v>1.5931247301889009</v>
      </c>
      <c r="L62">
        <f t="shared" ca="1" si="148"/>
        <v>1.5834572898640913</v>
      </c>
      <c r="M62">
        <f t="shared" ca="1" si="148"/>
        <v>1.4060600473421394</v>
      </c>
      <c r="N62">
        <f t="shared" ca="1" si="148"/>
        <v>1.5457181165903369</v>
      </c>
      <c r="O62">
        <f t="shared" ca="1" si="148"/>
        <v>1.4038945784145886</v>
      </c>
      <c r="P62">
        <f t="shared" ca="1" si="148"/>
        <v>1.1840781940046066</v>
      </c>
      <c r="Q62">
        <f t="shared" ca="1" si="148"/>
        <v>1.100035615024846</v>
      </c>
      <c r="R62">
        <f t="shared" ca="1" si="148"/>
        <v>1.175073701282578</v>
      </c>
      <c r="S62">
        <f t="shared" ca="1" si="148"/>
        <v>1.1160165565927664</v>
      </c>
      <c r="T62">
        <f t="shared" ca="1" si="148"/>
        <v>1.107520811319809</v>
      </c>
      <c r="U62">
        <f t="shared" ca="1" si="148"/>
        <v>1.1775743726682821</v>
      </c>
      <c r="V62">
        <f t="shared" ca="1" si="148"/>
        <v>1.2542050468339769</v>
      </c>
      <c r="W62">
        <f t="shared" ca="1" si="148"/>
        <v>1.2952156864710453</v>
      </c>
      <c r="X62">
        <f t="shared" ca="1" si="148"/>
        <v>1.2851218239679414</v>
      </c>
      <c r="Y62">
        <f t="shared" ca="1" si="148"/>
        <v>1.361435393053021</v>
      </c>
      <c r="Z62">
        <f t="shared" ca="1" si="148"/>
        <v>1.2584101855059955</v>
      </c>
      <c r="AA62">
        <f t="shared" ca="1" si="148"/>
        <v>1.2846529539388152</v>
      </c>
      <c r="AB62">
        <f t="shared" ca="1" si="148"/>
        <v>1.3093562696240624</v>
      </c>
      <c r="AC62">
        <f t="shared" ca="1" si="148"/>
        <v>1.3422492263082597</v>
      </c>
      <c r="AD62">
        <f t="shared" ca="1" si="148"/>
        <v>1.2621430192184537</v>
      </c>
      <c r="AE62">
        <f t="shared" ca="1" si="148"/>
        <v>1.2858876241644903</v>
      </c>
      <c r="AF62">
        <f t="shared" ca="1" si="148"/>
        <v>1.1170548646842511</v>
      </c>
      <c r="AG62">
        <f t="shared" ca="1" si="148"/>
        <v>0.91226032635884247</v>
      </c>
      <c r="AH62">
        <f t="shared" ca="1" si="148"/>
        <v>0.96210202804689571</v>
      </c>
      <c r="AI62">
        <f t="shared" ca="1" si="148"/>
        <v>0.91772979361751339</v>
      </c>
      <c r="AJ62">
        <f t="shared" ca="1" si="148"/>
        <v>0.8511794707467577</v>
      </c>
      <c r="AK62">
        <f t="shared" ca="1" si="148"/>
        <v>0.92835715372782313</v>
      </c>
      <c r="AL62">
        <f t="shared" ca="1" si="148"/>
        <v>1.0575927000849499</v>
      </c>
      <c r="AM62">
        <f t="shared" ca="1" si="148"/>
        <v>0.94867323978218976</v>
      </c>
      <c r="AN62">
        <f t="shared" ca="1" si="148"/>
        <v>0.8729315102099815</v>
      </c>
      <c r="AO62">
        <f t="shared" ca="1" si="148"/>
        <v>0.85959663686953658</v>
      </c>
      <c r="AP62">
        <f t="shared" ca="1" si="148"/>
        <v>0.88847056469976948</v>
      </c>
      <c r="AQ62">
        <f t="shared" ca="1" si="148"/>
        <v>0.8530099162282665</v>
      </c>
      <c r="AR62">
        <f t="shared" ca="1" si="148"/>
        <v>1.0111916047212048</v>
      </c>
      <c r="AS62">
        <f t="shared" ca="1" si="148"/>
        <v>1.1864010721857619</v>
      </c>
      <c r="AT62">
        <f t="shared" ca="1" si="148"/>
        <v>1.0905318647528237</v>
      </c>
      <c r="AU62">
        <f t="shared" ca="1" si="148"/>
        <v>1.1389181248427087</v>
      </c>
      <c r="AV62">
        <f t="shared" ca="1" si="148"/>
        <v>1.197109513243126</v>
      </c>
      <c r="AW62">
        <f t="shared" ca="1" si="148"/>
        <v>1.0992954987228212</v>
      </c>
      <c r="AX62">
        <f t="shared" ca="1" si="148"/>
        <v>1.076019988028176</v>
      </c>
      <c r="AY62">
        <f t="shared" ca="1" si="148"/>
        <v>1.1169704364325528</v>
      </c>
      <c r="AZ62">
        <f t="shared" ca="1" si="148"/>
        <v>1.173637023055855</v>
      </c>
      <c r="BA62">
        <f t="shared" ca="1" si="148"/>
        <v>1.2702819587198682</v>
      </c>
      <c r="BB62">
        <f t="shared" ca="1" si="148"/>
        <v>1.1670827491294098</v>
      </c>
      <c r="BC62">
        <f t="shared" ca="1" si="148"/>
        <v>1.2236748990380231</v>
      </c>
      <c r="BD62">
        <f t="shared" ca="1" si="148"/>
        <v>1.1731331891622905</v>
      </c>
      <c r="BE62">
        <f t="shared" ca="1" si="148"/>
        <v>1.1627718248631933</v>
      </c>
      <c r="BF62">
        <f t="shared" ca="1" si="148"/>
        <v>1.1869167160863641</v>
      </c>
      <c r="BG62">
        <f t="shared" ca="1" si="148"/>
        <v>1.1748360308408754</v>
      </c>
      <c r="BH62">
        <f t="shared" ca="1" si="148"/>
        <v>1.1370808841214111</v>
      </c>
      <c r="BI62">
        <f t="shared" ca="1" si="148"/>
        <v>1.1115666080435964</v>
      </c>
      <c r="BJ62">
        <f t="shared" ca="1" si="148"/>
        <v>1.1131696546362522</v>
      </c>
      <c r="BK62">
        <f t="shared" ca="1" si="148"/>
        <v>1.1278291754349805</v>
      </c>
      <c r="BL62">
        <f t="shared" ca="1" si="148"/>
        <v>1.1222834506047901</v>
      </c>
      <c r="BM62">
        <f t="shared" ca="1" si="148"/>
        <v>1.0949948938547254</v>
      </c>
      <c r="BN62">
        <f t="shared" ca="1" si="148"/>
        <v>1.1795173300030284</v>
      </c>
      <c r="BO62">
        <f t="shared" ref="BO62:CW62" ca="1" si="149">PRODUCT(OFFSET(BO61,0,0,1,12))</f>
        <v>1.1785859152744904</v>
      </c>
      <c r="BP62">
        <f t="shared" ca="1" si="149"/>
        <v>1.2050668216461995</v>
      </c>
      <c r="BQ62">
        <f t="shared" ca="1" si="149"/>
        <v>1.1350130449593219</v>
      </c>
      <c r="BR62">
        <f t="shared" ca="1" si="149"/>
        <v>1.0833621094806754</v>
      </c>
      <c r="BS62">
        <f t="shared" ca="1" si="149"/>
        <v>1.0836116828113105</v>
      </c>
      <c r="BT62">
        <f t="shared" ca="1" si="149"/>
        <v>1.0307710416123101</v>
      </c>
      <c r="BU62">
        <f t="shared" ca="1" si="149"/>
        <v>1.0749211612661382</v>
      </c>
      <c r="BV62">
        <f t="shared" ca="1" si="149"/>
        <v>1.0846382207263676</v>
      </c>
      <c r="BW62">
        <f t="shared" ca="1" si="149"/>
        <v>1.0843001858294496</v>
      </c>
      <c r="BX62">
        <f t="shared" ca="1" si="149"/>
        <v>1.1730273281727779</v>
      </c>
      <c r="BY62">
        <f t="shared" ca="1" si="149"/>
        <v>1.1512436855059911</v>
      </c>
      <c r="BZ62">
        <f t="shared" ca="1" si="149"/>
        <v>1.1130079033501445</v>
      </c>
      <c r="CA62">
        <f t="shared" ca="1" si="149"/>
        <v>1.0336686891134708</v>
      </c>
      <c r="CB62">
        <f t="shared" ca="1" si="149"/>
        <v>0.96362485229104378</v>
      </c>
      <c r="CC62">
        <f t="shared" ca="1" si="149"/>
        <v>1.0038603926082426</v>
      </c>
      <c r="CD62">
        <f t="shared" ca="1" si="149"/>
        <v>1.0516253262356881</v>
      </c>
      <c r="CE62">
        <f t="shared" ca="1" si="149"/>
        <v>1.0314779557639815</v>
      </c>
      <c r="CF62">
        <f t="shared" ca="1" si="149"/>
        <v>1.065891841337989</v>
      </c>
      <c r="CG62">
        <f t="shared" ca="1" si="149"/>
        <v>1.0205111895698422</v>
      </c>
      <c r="CH62">
        <f t="shared" ca="1" si="149"/>
        <v>1.0041360187113231</v>
      </c>
      <c r="CI62">
        <f t="shared" ca="1" si="149"/>
        <v>1.036587876681661</v>
      </c>
      <c r="CJ62">
        <f t="shared" ca="1" si="149"/>
        <v>0.99782465230172734</v>
      </c>
      <c r="CK62">
        <f t="shared" ca="1" si="149"/>
        <v>0.9862159268343772</v>
      </c>
      <c r="CL62">
        <f t="shared" ca="1" si="149"/>
        <v>0.97205916092257993</v>
      </c>
      <c r="CM62">
        <f t="shared" ca="1" si="149"/>
        <v>1.0195638303230146</v>
      </c>
      <c r="CN62">
        <f t="shared" ca="1" si="149"/>
        <v>1.0674795086400246</v>
      </c>
      <c r="CO62">
        <f t="shared" ca="1" si="149"/>
        <v>1.04973765689738</v>
      </c>
      <c r="CP62">
        <f t="shared" ca="1" si="149"/>
        <v>1.0111966081026462</v>
      </c>
      <c r="CQ62">
        <f t="shared" ca="1" si="149"/>
        <v>1.0074745145452275</v>
      </c>
      <c r="CR62">
        <f t="shared" ca="1" si="149"/>
        <v>1.0538923098670432</v>
      </c>
      <c r="CS62">
        <f t="shared" ca="1" si="149"/>
        <v>1.0582624720170906</v>
      </c>
      <c r="CT62">
        <f t="shared" ca="1" si="149"/>
        <v>1.0689182125005205</v>
      </c>
      <c r="CU62">
        <f t="shared" ca="1" si="149"/>
        <v>1.0316167428776766</v>
      </c>
      <c r="CV62">
        <f t="shared" ca="1" si="149"/>
        <v>1.0230700118830491</v>
      </c>
      <c r="CW62">
        <f t="shared" ca="1" si="149"/>
        <v>1.1369571085928536</v>
      </c>
    </row>
    <row r="63" spans="1:112" x14ac:dyDescent="0.4">
      <c r="B63" s="18">
        <f ca="1">B62-E$20</f>
        <v>-5.7923725874068799E-2</v>
      </c>
      <c r="C63" s="18">
        <f ca="1">C62-F$20</f>
        <v>-3.5565953638810988E-2</v>
      </c>
      <c r="D63" s="18">
        <f t="shared" ref="D63" ca="1" si="150">D62-G$20</f>
        <v>8.9187162745417714E-3</v>
      </c>
      <c r="E63" s="18">
        <f t="shared" ref="E63" ca="1" si="151">E62-H$20</f>
        <v>2.9459298518008659E-4</v>
      </c>
      <c r="F63" s="18">
        <f t="shared" ref="F63" ca="1" si="152">F62-I$20</f>
        <v>-3.8288858140000936E-3</v>
      </c>
      <c r="G63" s="18">
        <f t="shared" ref="G63" ca="1" si="153">G62-J$20</f>
        <v>-2.6055016555775357E-2</v>
      </c>
      <c r="H63" s="18">
        <f t="shared" ref="H63" ca="1" si="154">H62-K$20</f>
        <v>-1.1250716809621863E-2</v>
      </c>
      <c r="I63" s="18">
        <f t="shared" ref="I63" ca="1" si="155">I62-L$20</f>
        <v>-1.4044737991965039E-2</v>
      </c>
      <c r="J63" s="18">
        <f t="shared" ref="J63" ca="1" si="156">J62-M$20</f>
        <v>0.16901913112257816</v>
      </c>
      <c r="K63" s="18">
        <f t="shared" ref="K63" ca="1" si="157">K62-N$20</f>
        <v>0.14749386974301903</v>
      </c>
      <c r="L63" s="18">
        <f t="shared" ref="L63" ca="1" si="158">L62-O$20</f>
        <v>8.6956716260527145E-2</v>
      </c>
      <c r="M63" s="18">
        <f t="shared" ref="M63" ca="1" si="159">M62-P$20</f>
        <v>2.7163041034646396E-2</v>
      </c>
      <c r="N63" s="18">
        <f t="shared" ref="N63" ca="1" si="160">N62-Q$20</f>
        <v>4.5685191837507411E-2</v>
      </c>
      <c r="O63" s="18">
        <f t="shared" ref="O63" ca="1" si="161">O62-R$20</f>
        <v>5.0724898312237698E-4</v>
      </c>
      <c r="P63" s="18">
        <f t="shared" ref="P63" ca="1" si="162">P62-S$20</f>
        <v>-8.7727613087757783E-2</v>
      </c>
      <c r="Q63" s="18">
        <f t="shared" ref="Q63" ca="1" si="163">Q62-T$20</f>
        <v>-7.5737547616909318E-2</v>
      </c>
      <c r="R63" s="18">
        <f t="shared" ref="R63" ca="1" si="164">R62-U$20</f>
        <v>-4.6656139660684159E-2</v>
      </c>
      <c r="S63" s="18">
        <f t="shared" ref="S63" ca="1" si="165">S62-V$20</f>
        <v>-1.3721642458149219E-2</v>
      </c>
      <c r="T63" s="18">
        <f t="shared" ref="T63" ca="1" si="166">T62-W$20</f>
        <v>1.2725447435020243E-2</v>
      </c>
      <c r="U63" s="18">
        <f t="shared" ref="U63" ca="1" si="167">U62-X$20</f>
        <v>5.8235883360752361E-2</v>
      </c>
      <c r="V63" s="18">
        <f t="shared" ref="V63" ca="1" si="168">V62-Y$20</f>
        <v>6.2984756960567045E-2</v>
      </c>
      <c r="W63" s="18">
        <f t="shared" ref="W63" ca="1" si="169">W62-Z$20</f>
        <v>7.0845668471559042E-2</v>
      </c>
      <c r="X63" s="18">
        <f t="shared" ref="X63" ca="1" si="170">X62-AA$20</f>
        <v>6.6298098800508409E-2</v>
      </c>
      <c r="Y63" s="18">
        <f t="shared" ref="Y63" ca="1" si="171">Y62-AB$20</f>
        <v>6.9815790324664562E-2</v>
      </c>
      <c r="Z63" s="18">
        <f t="shared" ref="Z63" ca="1" si="172">Z62-AC$20</f>
        <v>4.2227867905122229E-2</v>
      </c>
      <c r="AA63" s="18">
        <f t="shared" ref="AA63" ca="1" si="173">AA62-AD$20</f>
        <v>4.0183567992038594E-2</v>
      </c>
      <c r="AB63" s="18">
        <f t="shared" ref="AB63" ca="1" si="174">AB62-AE$20</f>
        <v>5.0507880823216666E-2</v>
      </c>
      <c r="AC63" s="18">
        <f t="shared" ref="AC63" ca="1" si="175">AC62-AF$20</f>
        <v>3.6860041235905916E-2</v>
      </c>
      <c r="AD63" s="18">
        <f t="shared" ref="AD63" ca="1" si="176">AD62-AG$20</f>
        <v>2.519879885561771E-2</v>
      </c>
      <c r="AE63" s="18">
        <f t="shared" ref="AE63" ca="1" si="177">AE62-AH$20</f>
        <v>7.3374906254831007E-2</v>
      </c>
      <c r="AF63" s="18">
        <f t="shared" ref="AF63" ca="1" si="178">AF62-AI$20</f>
        <v>3.8236904563751839E-2</v>
      </c>
      <c r="AG63" s="18">
        <f t="shared" ref="AG63" ca="1" si="179">AG62-AJ$20</f>
        <v>-3.2656670026269041E-2</v>
      </c>
      <c r="AH63" s="18">
        <f t="shared" ref="AH63" ca="1" si="180">AH62-AK$20</f>
        <v>-5.1748578713772364E-2</v>
      </c>
      <c r="AI63" s="18">
        <f t="shared" ref="AI63" ca="1" si="181">AI62-AL$20</f>
        <v>-5.2280129569667211E-2</v>
      </c>
      <c r="AJ63" s="18">
        <f t="shared" ref="AJ63" ca="1" si="182">AJ62-AM$20</f>
        <v>-3.8991177717406234E-2</v>
      </c>
      <c r="AK63" s="18">
        <f t="shared" ref="AK63" ca="1" si="183">AK62-AN$20</f>
        <v>-1.6592187490596988E-2</v>
      </c>
      <c r="AL63" s="18">
        <f t="shared" ref="AL63" ca="1" si="184">AL62-AO$20</f>
        <v>1.0694334695376284E-2</v>
      </c>
      <c r="AM63" s="18">
        <f t="shared" ref="AM63" ca="1" si="185">AM62-AP$20</f>
        <v>-7.3432789437800627E-3</v>
      </c>
      <c r="AN63" s="18">
        <f t="shared" ref="AN63" ca="1" si="186">AN62-AQ$20</f>
        <v>-3.1112533651428298E-2</v>
      </c>
      <c r="AO63" s="18">
        <f t="shared" ref="AO63" ca="1" si="187">AO62-AR$20</f>
        <v>-8.4481621965504239E-4</v>
      </c>
      <c r="AP63" s="18">
        <f t="shared" ref="AP63" ca="1" si="188">AP62-AS$20</f>
        <v>5.8986478533998854E-3</v>
      </c>
      <c r="AQ63" s="18">
        <f t="shared" ref="AQ63" ca="1" si="189">AQ62-AT$20</f>
        <v>-2.9223900414258375E-2</v>
      </c>
      <c r="AR63" s="18">
        <f t="shared" ref="AR63" ca="1" si="190">AR62-AU$20</f>
        <v>-2.1108084354723999E-3</v>
      </c>
      <c r="AS63" s="18">
        <f t="shared" ref="AS63" ca="1" si="191">AS62-AV$20</f>
        <v>5.8375756445361526E-2</v>
      </c>
      <c r="AT63" s="18">
        <f t="shared" ref="AT63" ca="1" si="192">AT62-AW$20</f>
        <v>8.8944671256649954E-2</v>
      </c>
      <c r="AU63" s="18">
        <f t="shared" ref="AU63" ca="1" si="193">AU62-AX$20</f>
        <v>9.2699159857403846E-2</v>
      </c>
      <c r="AV63" s="18">
        <f t="shared" ref="AV63" ca="1" si="194">AV62-AY$20</f>
        <v>0.10327906641060847</v>
      </c>
      <c r="AW63" s="18">
        <f t="shared" ref="AW63" ca="1" si="195">AW62-AZ$20</f>
        <v>9.6150989342979942E-2</v>
      </c>
      <c r="AX63" s="18">
        <f t="shared" ref="AX63" ca="1" si="196">AX62-BA$20</f>
        <v>7.7871976699521728E-2</v>
      </c>
      <c r="AY63" s="18">
        <f t="shared" ref="AY63" ca="1" si="197">AY62-BB$20</f>
        <v>0.12151354381870194</v>
      </c>
      <c r="AZ63" s="18">
        <f t="shared" ref="AZ63" ca="1" si="198">AZ62-BC$20</f>
        <v>0.18273898623427676</v>
      </c>
      <c r="BA63" s="18">
        <f t="shared" ref="BA63" ca="1" si="199">BA62-BD$20</f>
        <v>0.18480185869111798</v>
      </c>
      <c r="BB63" s="18">
        <f t="shared" ref="BB63" ca="1" si="200">BB62-BE$20</f>
        <v>0.16206120124131917</v>
      </c>
      <c r="BC63" s="18">
        <f t="shared" ref="BC63" ca="1" si="201">BC62-BF$20</f>
        <v>0.20665036649534274</v>
      </c>
      <c r="BD63" s="18">
        <f t="shared" ref="BD63" ca="1" si="202">BD62-BG$20</f>
        <v>0.16198428515624386</v>
      </c>
      <c r="BE63" s="18">
        <f t="shared" ref="BE63" ca="1" si="203">BE62-BH$20</f>
        <v>0.16239611288900235</v>
      </c>
      <c r="BF63" s="18">
        <f t="shared" ref="BF63" ca="1" si="204">BF62-BI$20</f>
        <v>0.12518748164811444</v>
      </c>
      <c r="BG63" s="18">
        <f t="shared" ref="BG63" ca="1" si="205">BG62-BJ$20</f>
        <v>0.11690752962508633</v>
      </c>
      <c r="BH63" s="18">
        <f t="shared" ref="BH63" ca="1" si="206">BH62-BK$20</f>
        <v>0.12992532967860804</v>
      </c>
      <c r="BI63" s="18">
        <f t="shared" ref="BI63" ca="1" si="207">BI62-BL$20</f>
        <v>0.12216326237553332</v>
      </c>
      <c r="BJ63" s="18">
        <f t="shared" ref="BJ63" ca="1" si="208">BJ62-BM$20</f>
        <v>0.13611573381749675</v>
      </c>
      <c r="BK63" s="18">
        <f t="shared" ref="BK63" ca="1" si="209">BK62-BN$20</f>
        <v>0.13744566312258433</v>
      </c>
      <c r="BL63" s="18">
        <f t="shared" ref="BL63" ca="1" si="210">BL62-BO$20</f>
        <v>0.12338327493840362</v>
      </c>
      <c r="BM63" s="18">
        <f t="shared" ref="BM63" ca="1" si="211">BM62-BP$20</f>
        <v>9.8038296068562736E-2</v>
      </c>
      <c r="BN63" s="18">
        <f t="shared" ref="BN63" ca="1" si="212">BN62-BQ$20</f>
        <v>0.10497833509072141</v>
      </c>
      <c r="BO63" s="18">
        <f t="shared" ref="BO63" ca="1" si="213">BO62-BR$20</f>
        <v>9.3900722252437951E-2</v>
      </c>
      <c r="BP63" s="18">
        <f t="shared" ref="BP63" ca="1" si="214">BP62-BS$20</f>
        <v>0.13125922597353168</v>
      </c>
      <c r="BQ63" s="18">
        <f t="shared" ref="BQ63" ca="1" si="215">BQ62-BT$20</f>
        <v>0.12343043939887011</v>
      </c>
      <c r="BR63" s="18">
        <f t="shared" ref="BR63" ca="1" si="216">BR62-BU$20</f>
        <v>0.11570550312332184</v>
      </c>
      <c r="BS63" s="18">
        <f t="shared" ref="BS63" ca="1" si="217">BS62-BV$20</f>
        <v>0.1149535285032125</v>
      </c>
      <c r="BT63" s="18">
        <f t="shared" ref="BT63" ca="1" si="218">BT62-BW$20</f>
        <v>7.8376120813240857E-2</v>
      </c>
      <c r="BU63" s="18">
        <f t="shared" ref="BU63" ca="1" si="219">BU62-BX$20</f>
        <v>7.0743225506407992E-2</v>
      </c>
      <c r="BV63" s="18">
        <f t="shared" ref="BV63" ca="1" si="220">BV62-BY$20</f>
        <v>8.1703862472032984E-2</v>
      </c>
      <c r="BW63" s="18">
        <f t="shared" ref="BW63" ca="1" si="221">BW62-BZ$20</f>
        <v>5.6389367491508136E-2</v>
      </c>
      <c r="BX63" s="18">
        <f t="shared" ref="BX63" ca="1" si="222">BX62-CA$20</f>
        <v>8.8726765931151252E-2</v>
      </c>
      <c r="BY63" s="18">
        <f t="shared" ref="BY63" ca="1" si="223">BY62-CB$20</f>
        <v>9.1172305628700601E-2</v>
      </c>
      <c r="BZ63" s="18">
        <f t="shared" ref="BZ63" ca="1" si="224">BZ62-CC$20</f>
        <v>7.7052633922862102E-2</v>
      </c>
      <c r="CA63" s="18">
        <f t="shared" ref="CA63" ca="1" si="225">CA62-CD$20</f>
        <v>5.5806137815857859E-2</v>
      </c>
      <c r="CB63" s="18">
        <f t="shared" ref="CB63" ca="1" si="226">CB62-CE$20</f>
        <v>2.5044984364873679E-2</v>
      </c>
      <c r="CC63" s="18">
        <f t="shared" ref="CC63" ca="1" si="227">CC62-CF$20</f>
        <v>3.221556490254629E-2</v>
      </c>
      <c r="CD63" s="18">
        <f t="shared" ref="CD63" ca="1" si="228">CD62-CG$20</f>
        <v>1.8516485503262015E-2</v>
      </c>
      <c r="CE63" s="18">
        <f t="shared" ref="CE63" ca="1" si="229">CE62-CH$20</f>
        <v>2.5828666090216501E-2</v>
      </c>
      <c r="CF63" s="18">
        <f t="shared" ref="CF63" ca="1" si="230">CF62-CI$20</f>
        <v>4.202452108678667E-2</v>
      </c>
      <c r="CG63" s="18">
        <f t="shared" ref="CG63" ca="1" si="231">CG62-CJ$20</f>
        <v>3.9595354842817065E-2</v>
      </c>
      <c r="CH63" s="18">
        <f t="shared" ref="CH63" ca="1" si="232">CH62-CK$20</f>
        <v>3.8953220846482561E-2</v>
      </c>
      <c r="CI63" s="18">
        <f t="shared" ref="CI63" ca="1" si="233">CI62-CL$20</f>
        <v>5.8723759054776448E-2</v>
      </c>
      <c r="CJ63" s="18">
        <f t="shared" ref="CJ63" ca="1" si="234">CJ62-CM$20</f>
        <v>6.035844132658208E-2</v>
      </c>
      <c r="CK63" s="18">
        <f t="shared" ref="CK63" ca="1" si="235">CK62-CN$20</f>
        <v>4.834946192043732E-2</v>
      </c>
      <c r="CL63" s="18">
        <f t="shared" ref="CL63" ca="1" si="236">CL62-CO$20</f>
        <v>2.2126656824614344E-2</v>
      </c>
      <c r="CM63" s="18">
        <f t="shared" ref="CM63" ca="1" si="237">CM62-CP$20</f>
        <v>2.6445061358991939E-2</v>
      </c>
      <c r="CN63" s="18">
        <f t="shared" ref="CN63" ca="1" si="238">CN62-CQ$20</f>
        <v>1.9495743593590742E-2</v>
      </c>
      <c r="CO63" s="18">
        <f t="shared" ref="CO63" ca="1" si="239">CO62-CR$20</f>
        <v>8.5619954731974701E-3</v>
      </c>
      <c r="CP63" s="18">
        <f t="shared" ref="CP63" ca="1" si="240">CP62-CS$20</f>
        <v>2.1682104315943196E-2</v>
      </c>
      <c r="CQ63" s="18">
        <f t="shared" ref="CQ63" ca="1" si="241">CQ62-CT$20</f>
        <v>1.1736626926438065E-2</v>
      </c>
      <c r="CR63" s="18">
        <f t="shared" ref="CR63" ca="1" si="242">CR62-CU$20</f>
        <v>2.0674715504091834E-2</v>
      </c>
      <c r="CS63" s="18">
        <f t="shared" ref="CS63" ca="1" si="243">CS62-CV$20</f>
        <v>-2.3068657759171884E-2</v>
      </c>
      <c r="CT63" s="18">
        <f t="shared" ref="CT63" ca="1" si="244">CT62-CW$20</f>
        <v>-2.2376018088107408E-2</v>
      </c>
      <c r="CU63" s="18">
        <f t="shared" ref="CU63" ca="1" si="245">CU62-CX$20</f>
        <v>-5.0744155987468398E-2</v>
      </c>
      <c r="CV63" s="18">
        <f t="shared" ref="CV63" ca="1" si="246">CV62-CY$20</f>
        <v>-8.288490625249767E-2</v>
      </c>
      <c r="CW63" s="18">
        <f t="shared" ref="CW63" ca="1" si="247">CW62-CZ$20</f>
        <v>-4.6556050628684842E-2</v>
      </c>
    </row>
    <row r="65" spans="1:112" s="24" customFormat="1" x14ac:dyDescent="0.4">
      <c r="A65" s="24" t="s">
        <v>147</v>
      </c>
    </row>
    <row r="66" spans="1:112" x14ac:dyDescent="0.4">
      <c r="A66" t="s">
        <v>144</v>
      </c>
      <c r="B66">
        <v>0.96693611550978098</v>
      </c>
      <c r="C66">
        <v>1.05909399498446</v>
      </c>
      <c r="D66">
        <v>1.04326344781776</v>
      </c>
      <c r="E66">
        <v>0.92457253748522295</v>
      </c>
      <c r="F66">
        <v>0.92295454089585205</v>
      </c>
      <c r="G66">
        <v>0.926356700280064</v>
      </c>
      <c r="H66">
        <v>0.97094633268540198</v>
      </c>
      <c r="I66">
        <v>0.67814460360159601</v>
      </c>
      <c r="J66">
        <v>1.0170857738710199</v>
      </c>
      <c r="K66">
        <v>1.08905329378769</v>
      </c>
      <c r="L66">
        <v>1.0540639039828801</v>
      </c>
      <c r="M66">
        <v>0.934230002908639</v>
      </c>
      <c r="N66">
        <v>1.1574427450929801</v>
      </c>
      <c r="O66">
        <v>1.191067240647</v>
      </c>
      <c r="P66">
        <v>1.0176130603664799</v>
      </c>
      <c r="Q66">
        <v>0.98108115001226404</v>
      </c>
      <c r="R66">
        <v>1.05568433748331</v>
      </c>
      <c r="S66">
        <v>1.04009690429871</v>
      </c>
      <c r="T66">
        <v>1.01298605125351</v>
      </c>
      <c r="U66">
        <v>0.96553110701210498</v>
      </c>
      <c r="V66">
        <v>0.97704739878421598</v>
      </c>
      <c r="W66">
        <v>1.0771521664260799</v>
      </c>
      <c r="X66">
        <v>0.95011535013767401</v>
      </c>
      <c r="Y66">
        <v>0.99672226610462</v>
      </c>
      <c r="Z66">
        <v>1.05152723578653</v>
      </c>
      <c r="AA66">
        <v>1.01277772909609</v>
      </c>
      <c r="AB66">
        <v>0.94452164951837303</v>
      </c>
      <c r="AC66">
        <v>1.0504211266310699</v>
      </c>
      <c r="AD66">
        <v>1.0121971458821899</v>
      </c>
      <c r="AE66">
        <v>1.0075447783410101</v>
      </c>
      <c r="AF66">
        <v>1.0911501000333901</v>
      </c>
      <c r="AG66">
        <v>1.06682110787895</v>
      </c>
      <c r="AH66">
        <v>0.98682977513328596</v>
      </c>
      <c r="AI66">
        <v>1.0554819986775701</v>
      </c>
      <c r="AJ66">
        <v>0.99166796936800905</v>
      </c>
      <c r="AK66">
        <v>0.93222339413982203</v>
      </c>
      <c r="AL66">
        <v>1.07744663789418</v>
      </c>
      <c r="AM66">
        <v>1.0039761455201499</v>
      </c>
      <c r="AN66">
        <v>0.96744793419910002</v>
      </c>
      <c r="AO66">
        <v>1.0022085805571499</v>
      </c>
      <c r="AP66">
        <v>1.08965702796133</v>
      </c>
      <c r="AQ66">
        <v>0.90299245148767604</v>
      </c>
      <c r="AR66">
        <v>0.89075925909685005</v>
      </c>
      <c r="AS66">
        <v>1.07697724225628</v>
      </c>
      <c r="AT66">
        <v>0.97296397374759303</v>
      </c>
      <c r="AU66">
        <v>1.0169721850240201</v>
      </c>
      <c r="AV66">
        <v>1.0755996279887301</v>
      </c>
      <c r="AW66">
        <v>1.06165899787498</v>
      </c>
      <c r="AX66">
        <v>0.96791802640333902</v>
      </c>
      <c r="AY66">
        <v>0.94851882668418996</v>
      </c>
      <c r="AZ66">
        <v>0.94852055920894096</v>
      </c>
      <c r="BA66">
        <v>1.0383721921751601</v>
      </c>
      <c r="BB66">
        <v>0.99414729090588205</v>
      </c>
      <c r="BC66">
        <v>1.0558353040339601</v>
      </c>
      <c r="BD66">
        <v>1.08030031334774</v>
      </c>
      <c r="BE66">
        <v>1.0171414700593899</v>
      </c>
      <c r="BF66">
        <v>1.0313668006132</v>
      </c>
      <c r="BG66">
        <v>1.0313224843211299</v>
      </c>
      <c r="BH66">
        <v>1.03018916555572</v>
      </c>
      <c r="BI66">
        <v>1.0388619364812599</v>
      </c>
      <c r="BJ66">
        <v>1.04291393418561</v>
      </c>
      <c r="BK66">
        <v>1.0602076011030499</v>
      </c>
      <c r="BL66">
        <v>1.0178166466485401</v>
      </c>
      <c r="BM66">
        <v>0.93315648738972701</v>
      </c>
      <c r="BN66">
        <v>1.05287373070562</v>
      </c>
      <c r="BO66">
        <v>0.99136197501602397</v>
      </c>
      <c r="BP66">
        <v>1.03831211361665</v>
      </c>
      <c r="BQ66">
        <v>1.0102676352589599</v>
      </c>
      <c r="BR66">
        <v>1.00488033947374</v>
      </c>
      <c r="BS66">
        <v>0.99994171867065995</v>
      </c>
      <c r="BT66">
        <v>1.00833223812103</v>
      </c>
      <c r="BU66">
        <v>1.04115963128142</v>
      </c>
      <c r="BV66">
        <v>1.0414927804632601</v>
      </c>
      <c r="BW66">
        <v>1.01528094862643</v>
      </c>
      <c r="BX66">
        <v>1.0205675138516399</v>
      </c>
      <c r="BY66">
        <v>1.0056414212100899</v>
      </c>
      <c r="BZ66">
        <v>1.0438763881618001</v>
      </c>
      <c r="CA66">
        <v>1.0488634391709699</v>
      </c>
      <c r="CB66">
        <v>1.01236081558238</v>
      </c>
      <c r="CC66">
        <v>0.97289235819337405</v>
      </c>
      <c r="CD66">
        <v>0.98087027573032004</v>
      </c>
      <c r="CE66">
        <v>0.99524105923197503</v>
      </c>
      <c r="CF66">
        <v>1.03146884002084</v>
      </c>
      <c r="CG66">
        <v>1.0708232178958399</v>
      </c>
      <c r="CH66">
        <v>1.0674596683853901</v>
      </c>
      <c r="CI66">
        <v>1.0648815139458201</v>
      </c>
      <c r="CJ66">
        <v>1.00584751922201</v>
      </c>
      <c r="CK66">
        <v>1.00079254439733</v>
      </c>
      <c r="CL66">
        <v>0.99856025835315898</v>
      </c>
      <c r="CM66">
        <v>0.94320614584688101</v>
      </c>
      <c r="CN66">
        <v>1.01868757720456</v>
      </c>
      <c r="CO66">
        <v>0.99368853825663395</v>
      </c>
      <c r="CP66">
        <v>0.97948087449036203</v>
      </c>
      <c r="CQ66">
        <v>1.0005002092172199</v>
      </c>
      <c r="CR66">
        <v>0.97950327816449001</v>
      </c>
      <c r="CS66">
        <v>1.0127520228504101</v>
      </c>
      <c r="CT66">
        <v>1.0741812844916701</v>
      </c>
      <c r="CU66">
        <v>1.0298463406828899</v>
      </c>
      <c r="CV66">
        <v>0.97338005691359997</v>
      </c>
      <c r="CW66">
        <v>0.979091646370292</v>
      </c>
      <c r="CX66">
        <v>1.0343936990723099</v>
      </c>
      <c r="CY66">
        <v>0.97572570534274095</v>
      </c>
      <c r="CZ66">
        <v>1.01008754453878</v>
      </c>
      <c r="DA66">
        <v>0.96179404024309301</v>
      </c>
      <c r="DB66">
        <v>0.995554605774707</v>
      </c>
      <c r="DC66">
        <v>1.0450505270768</v>
      </c>
      <c r="DD66">
        <v>0.98134731257360597</v>
      </c>
      <c r="DE66">
        <v>1.0193655308044201</v>
      </c>
      <c r="DF66">
        <v>1.00923295414948</v>
      </c>
      <c r="DG66">
        <v>1.0345087146702701</v>
      </c>
      <c r="DH66">
        <v>1.05411060829531</v>
      </c>
    </row>
    <row r="67" spans="1:112" x14ac:dyDescent="0.4">
      <c r="B67">
        <f ca="1">PRODUCT(OFFSET(B66,0,0,1,12))</f>
        <v>0.606555893315322</v>
      </c>
      <c r="C67">
        <f t="shared" ref="C67:BN67" ca="1" si="248">PRODUCT(OFFSET(C66,0,0,1,12))</f>
        <v>0.72606008499442531</v>
      </c>
      <c r="D67">
        <f t="shared" ca="1" si="248"/>
        <v>0.81653411885403548</v>
      </c>
      <c r="E67">
        <f t="shared" ca="1" si="248"/>
        <v>0.79645825349173793</v>
      </c>
      <c r="F67">
        <f t="shared" ca="1" si="248"/>
        <v>0.84513669570779604</v>
      </c>
      <c r="G67">
        <f t="shared" ca="1" si="248"/>
        <v>0.96667553293049535</v>
      </c>
      <c r="H67">
        <f t="shared" ca="1" si="248"/>
        <v>1.0853661758568185</v>
      </c>
      <c r="I67">
        <f t="shared" ca="1" si="248"/>
        <v>1.1323600075860829</v>
      </c>
      <c r="J67">
        <f t="shared" ca="1" si="248"/>
        <v>1.6122355112083842</v>
      </c>
      <c r="K67">
        <f t="shared" ca="1" si="248"/>
        <v>1.5487686023356499</v>
      </c>
      <c r="L67">
        <f t="shared" ca="1" si="248"/>
        <v>1.5318437259359354</v>
      </c>
      <c r="M67">
        <f t="shared" ca="1" si="248"/>
        <v>1.3807779893840848</v>
      </c>
      <c r="N67">
        <f t="shared" ca="1" si="248"/>
        <v>1.4731406209193145</v>
      </c>
      <c r="O67">
        <f t="shared" ca="1" si="248"/>
        <v>1.338336165315634</v>
      </c>
      <c r="P67">
        <f t="shared" ca="1" si="248"/>
        <v>1.1380021345723936</v>
      </c>
      <c r="Q67">
        <f t="shared" ca="1" si="248"/>
        <v>1.0562636184274674</v>
      </c>
      <c r="R67">
        <f t="shared" ca="1" si="248"/>
        <v>1.1309172743499565</v>
      </c>
      <c r="S67">
        <f t="shared" ca="1" si="248"/>
        <v>1.0843309848233771</v>
      </c>
      <c r="T67">
        <f t="shared" ca="1" si="248"/>
        <v>1.0503944557827425</v>
      </c>
      <c r="U67">
        <f t="shared" ca="1" si="248"/>
        <v>1.1314450125779916</v>
      </c>
      <c r="V67">
        <f t="shared" ca="1" si="248"/>
        <v>1.2501403766864161</v>
      </c>
      <c r="W67">
        <f t="shared" ca="1" si="248"/>
        <v>1.2626570096247283</v>
      </c>
      <c r="X67">
        <f t="shared" ca="1" si="248"/>
        <v>1.2372548519164217</v>
      </c>
      <c r="Y67">
        <f t="shared" ca="1" si="248"/>
        <v>1.2913653130779197</v>
      </c>
      <c r="Z67">
        <f t="shared" ca="1" si="248"/>
        <v>1.2077998015804055</v>
      </c>
      <c r="AA67">
        <f t="shared" ca="1" si="248"/>
        <v>1.2375712118276028</v>
      </c>
      <c r="AB67">
        <f t="shared" ca="1" si="248"/>
        <v>1.226816051895522</v>
      </c>
      <c r="AC67">
        <f t="shared" ca="1" si="248"/>
        <v>1.2565944419101756</v>
      </c>
      <c r="AD67">
        <f t="shared" ca="1" si="248"/>
        <v>1.1989188907518222</v>
      </c>
      <c r="AE67">
        <f t="shared" ca="1" si="248"/>
        <v>1.2906679302328117</v>
      </c>
      <c r="AF67">
        <f t="shared" ca="1" si="248"/>
        <v>1.1567360810469034</v>
      </c>
      <c r="AG67">
        <f t="shared" ca="1" si="248"/>
        <v>0.94430030707269608</v>
      </c>
      <c r="AH67">
        <f t="shared" ca="1" si="248"/>
        <v>0.95329004372146964</v>
      </c>
      <c r="AI67">
        <f t="shared" ca="1" si="248"/>
        <v>0.93989550421498247</v>
      </c>
      <c r="AJ67">
        <f t="shared" ca="1" si="248"/>
        <v>0.90560292436380752</v>
      </c>
      <c r="AK67">
        <f t="shared" ca="1" si="248"/>
        <v>0.98225030820748493</v>
      </c>
      <c r="AL67">
        <f t="shared" ca="1" si="248"/>
        <v>1.1186319549898991</v>
      </c>
      <c r="AM67">
        <f t="shared" ca="1" si="248"/>
        <v>1.0049166205221127</v>
      </c>
      <c r="AN67">
        <f t="shared" ca="1" si="248"/>
        <v>0.94940735202352988</v>
      </c>
      <c r="AO67">
        <f t="shared" ca="1" si="248"/>
        <v>0.93083292715275934</v>
      </c>
      <c r="AP67">
        <f t="shared" ca="1" si="248"/>
        <v>0.96442102559040677</v>
      </c>
      <c r="AQ67">
        <f t="shared" ca="1" si="248"/>
        <v>0.87988837338770431</v>
      </c>
      <c r="AR67">
        <f t="shared" ca="1" si="248"/>
        <v>1.0288205695420838</v>
      </c>
      <c r="AS67">
        <f t="shared" ca="1" si="248"/>
        <v>1.2477391307521288</v>
      </c>
      <c r="AT67">
        <f t="shared" ca="1" si="248"/>
        <v>1.1784159998079518</v>
      </c>
      <c r="AU67">
        <f t="shared" ca="1" si="248"/>
        <v>1.249151224820815</v>
      </c>
      <c r="AV67">
        <f t="shared" ca="1" si="248"/>
        <v>1.2667777579821977</v>
      </c>
      <c r="AW67">
        <f t="shared" ca="1" si="248"/>
        <v>1.2132959955373841</v>
      </c>
      <c r="AX67">
        <f t="shared" ca="1" si="248"/>
        <v>1.1872428246469342</v>
      </c>
      <c r="AY67">
        <f t="shared" ca="1" si="248"/>
        <v>1.2792323846753171</v>
      </c>
      <c r="AZ67">
        <f t="shared" ca="1" si="248"/>
        <v>1.4298629185370058</v>
      </c>
      <c r="BA67">
        <f t="shared" ca="1" si="248"/>
        <v>1.5343244453511593</v>
      </c>
      <c r="BB67">
        <f t="shared" ca="1" si="248"/>
        <v>1.3788551164306979</v>
      </c>
      <c r="BC67">
        <f t="shared" ca="1" si="248"/>
        <v>1.4603070830842928</v>
      </c>
      <c r="BD67">
        <f t="shared" ca="1" si="248"/>
        <v>1.3711351651959629</v>
      </c>
      <c r="BE67">
        <f t="shared" ca="1" si="248"/>
        <v>1.3178430421971634</v>
      </c>
      <c r="BF67">
        <f t="shared" ca="1" si="248"/>
        <v>1.3089370683168238</v>
      </c>
      <c r="BG67">
        <f t="shared" ca="1" si="248"/>
        <v>1.2753223438818706</v>
      </c>
      <c r="BH67">
        <f t="shared" ca="1" si="248"/>
        <v>1.2365172250072358</v>
      </c>
      <c r="BI67">
        <f t="shared" ca="1" si="248"/>
        <v>1.210282754521276</v>
      </c>
      <c r="BJ67">
        <f t="shared" ca="1" si="248"/>
        <v>1.212959587981173</v>
      </c>
      <c r="BK67">
        <f t="shared" ca="1" si="248"/>
        <v>1.2113067171382252</v>
      </c>
      <c r="BL67">
        <f t="shared" ca="1" si="248"/>
        <v>1.159977188971435</v>
      </c>
      <c r="BM67">
        <f t="shared" ca="1" si="248"/>
        <v>1.1631122754489378</v>
      </c>
      <c r="BN67">
        <f t="shared" ca="1" si="248"/>
        <v>1.2534595188650972</v>
      </c>
      <c r="BO67">
        <f t="shared" ref="BO67:CW67" ca="1" si="249">PRODUCT(OFFSET(BO66,0,0,1,12))</f>
        <v>1.2427480685485599</v>
      </c>
      <c r="BP67">
        <f t="shared" ca="1" si="249"/>
        <v>1.3148305523619199</v>
      </c>
      <c r="BQ67">
        <f t="shared" ca="1" si="249"/>
        <v>1.2819680256886483</v>
      </c>
      <c r="BR67">
        <f t="shared" ca="1" si="249"/>
        <v>1.2345410781382065</v>
      </c>
      <c r="BS67">
        <f t="shared" ca="1" si="249"/>
        <v>1.2050436257395543</v>
      </c>
      <c r="BT67">
        <f t="shared" ca="1" si="249"/>
        <v>1.1993787958923801</v>
      </c>
      <c r="BU67">
        <f t="shared" ca="1" si="249"/>
        <v>1.2268990403897153</v>
      </c>
      <c r="BV67">
        <f t="shared" ca="1" si="249"/>
        <v>1.2618545120179765</v>
      </c>
      <c r="BW67">
        <f t="shared" ca="1" si="249"/>
        <v>1.293315541131429</v>
      </c>
      <c r="BX67">
        <f t="shared" ca="1" si="249"/>
        <v>1.3564992166089003</v>
      </c>
      <c r="BY67">
        <f t="shared" ca="1" si="249"/>
        <v>1.3369339640287727</v>
      </c>
      <c r="BZ67">
        <f t="shared" ca="1" si="249"/>
        <v>1.3304877020096828</v>
      </c>
      <c r="CA67">
        <f t="shared" ca="1" si="249"/>
        <v>1.2727293753564259</v>
      </c>
      <c r="CB67">
        <f t="shared" ca="1" si="249"/>
        <v>1.1445209395275378</v>
      </c>
      <c r="CC67">
        <f t="shared" ca="1" si="249"/>
        <v>1.1516736375029313</v>
      </c>
      <c r="CD67">
        <f t="shared" ca="1" si="249"/>
        <v>1.1762913787544871</v>
      </c>
      <c r="CE67">
        <f t="shared" ca="1" si="249"/>
        <v>1.1746251638220631</v>
      </c>
      <c r="CF67">
        <f t="shared" ca="1" si="249"/>
        <v>1.1808322328086962</v>
      </c>
      <c r="CG67">
        <f t="shared" ca="1" si="249"/>
        <v>1.1213417198090476</v>
      </c>
      <c r="CH67">
        <f t="shared" ca="1" si="249"/>
        <v>1.060530885083625</v>
      </c>
      <c r="CI67">
        <f t="shared" ca="1" si="249"/>
        <v>1.067208871793107</v>
      </c>
      <c r="CJ67">
        <f t="shared" ca="1" si="249"/>
        <v>1.0320971272080564</v>
      </c>
      <c r="CK67">
        <f t="shared" ca="1" si="249"/>
        <v>0.99878236136545173</v>
      </c>
      <c r="CL67">
        <f t="shared" ca="1" si="249"/>
        <v>0.97712505156979534</v>
      </c>
      <c r="CM67">
        <f t="shared" ca="1" si="249"/>
        <v>1.0121892876213772</v>
      </c>
      <c r="CN67">
        <f t="shared" ca="1" si="249"/>
        <v>1.0470872257919572</v>
      </c>
      <c r="CO67">
        <f t="shared" ca="1" si="249"/>
        <v>1.0382474357059304</v>
      </c>
      <c r="CP67">
        <f t="shared" ca="1" si="249"/>
        <v>1.0049227273080814</v>
      </c>
      <c r="CQ67">
        <f t="shared" ca="1" si="249"/>
        <v>1.02141397108932</v>
      </c>
      <c r="CR67">
        <f t="shared" ca="1" si="249"/>
        <v>1.0668955378686487</v>
      </c>
      <c r="CS67">
        <f t="shared" ca="1" si="249"/>
        <v>1.0689040988674936</v>
      </c>
      <c r="CT67">
        <f t="shared" ca="1" si="249"/>
        <v>1.0758842930319426</v>
      </c>
      <c r="CU67">
        <f t="shared" ca="1" si="249"/>
        <v>1.010832993514208</v>
      </c>
      <c r="CV67">
        <f t="shared" ca="1" si="249"/>
        <v>1.0154092892860813</v>
      </c>
      <c r="CW67">
        <f t="shared" ca="1" si="249"/>
        <v>1.0996256765234578</v>
      </c>
    </row>
    <row r="68" spans="1:112" x14ac:dyDescent="0.4">
      <c r="B68" s="18">
        <f ca="1">B67-E$20</f>
        <v>-1.4510698568390601E-2</v>
      </c>
      <c r="C68" s="18">
        <f ca="1">C67-F$20</f>
        <v>1.8156869599968761E-2</v>
      </c>
      <c r="D68" s="18">
        <f t="shared" ref="D68" ca="1" si="250">D67-G$20</f>
        <v>6.63930592912928E-2</v>
      </c>
      <c r="E68" s="18">
        <f t="shared" ref="E68" ca="1" si="251">E67-H$20</f>
        <v>4.2746090556132321E-2</v>
      </c>
      <c r="F68" s="18">
        <f t="shared" ref="F68" ca="1" si="252">F67-I$20</f>
        <v>1.5204519842679898E-2</v>
      </c>
      <c r="G68" s="18">
        <f t="shared" ref="G68" ca="1" si="253">G67-J$20</f>
        <v>-9.8838806158810799E-3</v>
      </c>
      <c r="H68" s="18">
        <f t="shared" ref="H68" ca="1" si="254">H67-K$20</f>
        <v>5.5894773545395182E-3</v>
      </c>
      <c r="I68" s="18">
        <f t="shared" ref="I68" ca="1" si="255">I67-L$20</f>
        <v>-2.3075540664680538E-2</v>
      </c>
      <c r="J68" s="18">
        <f t="shared" ref="J68" ca="1" si="256">J67-M$20</f>
        <v>0.19210541938943426</v>
      </c>
      <c r="K68" s="18">
        <f t="shared" ref="K68" ca="1" si="257">K67-N$20</f>
        <v>0.1031377418897681</v>
      </c>
      <c r="L68" s="18">
        <f t="shared" ref="L68" ca="1" si="258">L67-O$20</f>
        <v>3.5343152332371286E-2</v>
      </c>
      <c r="M68" s="18">
        <f t="shared" ref="M68" ca="1" si="259">M67-P$20</f>
        <v>1.8809830765917912E-3</v>
      </c>
      <c r="N68" s="18">
        <f t="shared" ref="N68" ca="1" si="260">N67-Q$20</f>
        <v>-2.689230383351493E-2</v>
      </c>
      <c r="O68" s="18">
        <f t="shared" ref="O68" ca="1" si="261">O67-R$20</f>
        <v>-6.5051164115832227E-2</v>
      </c>
      <c r="P68" s="18">
        <f t="shared" ref="P68" ca="1" si="262">P67-S$20</f>
        <v>-0.13380367251997072</v>
      </c>
      <c r="Q68" s="18">
        <f t="shared" ref="Q68" ca="1" si="263">Q67-T$20</f>
        <v>-0.11950954421428794</v>
      </c>
      <c r="R68" s="18">
        <f t="shared" ref="R68" ca="1" si="264">R67-U$20</f>
        <v>-9.0812566593305721E-2</v>
      </c>
      <c r="S68" s="18">
        <f t="shared" ref="S68" ca="1" si="265">S67-V$20</f>
        <v>-4.5407214227538573E-2</v>
      </c>
      <c r="T68" s="18">
        <f t="shared" ref="T68" ca="1" si="266">T67-W$20</f>
        <v>-4.4400908102046222E-2</v>
      </c>
      <c r="U68" s="18">
        <f t="shared" ref="U68" ca="1" si="267">U67-X$20</f>
        <v>1.21065232704618E-2</v>
      </c>
      <c r="V68" s="18">
        <f t="shared" ref="V68" ca="1" si="268">V67-Y$20</f>
        <v>5.8920086813006201E-2</v>
      </c>
      <c r="W68" s="18">
        <f t="shared" ref="W68" ca="1" si="269">W67-Z$20</f>
        <v>3.8286991625241962E-2</v>
      </c>
      <c r="X68" s="18">
        <f t="shared" ref="X68" ca="1" si="270">X67-AA$20</f>
        <v>1.8431126748988724E-2</v>
      </c>
      <c r="Y68" s="18">
        <f t="shared" ref="Y68" ca="1" si="271">Y67-AB$20</f>
        <v>-2.5428965043672314E-4</v>
      </c>
      <c r="Z68" s="18">
        <f t="shared" ref="Z68" ca="1" si="272">Z67-AC$20</f>
        <v>-8.3825160204678006E-3</v>
      </c>
      <c r="AA68" s="18">
        <f t="shared" ref="AA68" ca="1" si="273">AA67-AD$20</f>
        <v>-6.8981741191738166E-3</v>
      </c>
      <c r="AB68" s="18">
        <f t="shared" ref="AB68" ca="1" si="274">AB67-AE$20</f>
        <v>-3.2032336905323699E-2</v>
      </c>
      <c r="AC68" s="18">
        <f t="shared" ref="AC68" ca="1" si="275">AC67-AF$20</f>
        <v>-4.8794743162178245E-2</v>
      </c>
      <c r="AD68" s="18">
        <f t="shared" ref="AD68" ca="1" si="276">AD67-AG$20</f>
        <v>-3.8025329611013792E-2</v>
      </c>
      <c r="AE68" s="18">
        <f t="shared" ref="AE68" ca="1" si="277">AE67-AH$20</f>
        <v>7.8155212323152368E-2</v>
      </c>
      <c r="AF68" s="18">
        <f t="shared" ref="AF68" ca="1" si="278">AF67-AI$20</f>
        <v>7.7918120926404155E-2</v>
      </c>
      <c r="AG68" s="18">
        <f t="shared" ref="AG68" ca="1" si="279">AG67-AJ$20</f>
        <v>-6.1668931241543046E-4</v>
      </c>
      <c r="AH68" s="18">
        <f t="shared" ref="AH68" ca="1" si="280">AH67-AK$20</f>
        <v>-6.0560563039198434E-2</v>
      </c>
      <c r="AI68" s="18">
        <f t="shared" ref="AI68" ca="1" si="281">AI67-AL$20</f>
        <v>-3.0114418972198131E-2</v>
      </c>
      <c r="AJ68" s="18">
        <f t="shared" ref="AJ68" ca="1" si="282">AJ67-AM$20</f>
        <v>1.5432275899643577E-2</v>
      </c>
      <c r="AK68" s="18">
        <f t="shared" ref="AK68" ca="1" si="283">AK67-AN$20</f>
        <v>3.7300966989064821E-2</v>
      </c>
      <c r="AL68" s="18">
        <f t="shared" ref="AL68" ca="1" si="284">AL67-AO$20</f>
        <v>7.1733589600325498E-2</v>
      </c>
      <c r="AM68" s="18">
        <f t="shared" ref="AM68" ca="1" si="285">AM67-AP$20</f>
        <v>4.8900101796142903E-2</v>
      </c>
      <c r="AN68" s="18">
        <f t="shared" ref="AN68" ca="1" si="286">AN67-AQ$20</f>
        <v>4.5363308162120086E-2</v>
      </c>
      <c r="AO68" s="18">
        <f t="shared" ref="AO68" ca="1" si="287">AO67-AR$20</f>
        <v>7.0391474063567716E-2</v>
      </c>
      <c r="AP68" s="18">
        <f t="shared" ref="AP68" ca="1" si="288">AP67-AS$20</f>
        <v>8.1849108744037169E-2</v>
      </c>
      <c r="AQ68" s="18">
        <f t="shared" ref="AQ68" ca="1" si="289">AQ67-AT$20</f>
        <v>-2.3454432548205562E-3</v>
      </c>
      <c r="AR68" s="18">
        <f t="shared" ref="AR68" ca="1" si="290">AR67-AU$20</f>
        <v>1.5518156385406545E-2</v>
      </c>
      <c r="AS68" s="18">
        <f t="shared" ref="AS68" ca="1" si="291">AS67-AV$20</f>
        <v>0.11971381501172851</v>
      </c>
      <c r="AT68" s="18">
        <f t="shared" ref="AT68" ca="1" si="292">AT67-AW$20</f>
        <v>0.176828806311778</v>
      </c>
      <c r="AU68" s="18">
        <f t="shared" ref="AU68" ca="1" si="293">AU67-AX$20</f>
        <v>0.20293225983551011</v>
      </c>
      <c r="AV68" s="18">
        <f t="shared" ref="AV68" ca="1" si="294">AV67-AY$20</f>
        <v>0.17294731114968021</v>
      </c>
      <c r="AW68" s="18">
        <f t="shared" ref="AW68" ca="1" si="295">AW67-AZ$20</f>
        <v>0.21015148615754287</v>
      </c>
      <c r="AX68" s="18">
        <f t="shared" ref="AX68" ca="1" si="296">AX67-BA$20</f>
        <v>0.18909481331827993</v>
      </c>
      <c r="AY68" s="18">
        <f t="shared" ref="AY68" ca="1" si="297">AY67-BB$20</f>
        <v>0.28377549206146624</v>
      </c>
      <c r="AZ68" s="18">
        <f t="shared" ref="AZ68" ca="1" si="298">AZ67-BC$20</f>
        <v>0.43896488171542747</v>
      </c>
      <c r="BA68" s="18">
        <f t="shared" ref="BA68" ca="1" si="299">BA67-BD$20</f>
        <v>0.44884434532240913</v>
      </c>
      <c r="BB68" s="18">
        <f t="shared" ref="BB68" ca="1" si="300">BB67-BE$20</f>
        <v>0.3738335685426073</v>
      </c>
      <c r="BC68" s="18">
        <f t="shared" ref="BC68" ca="1" si="301">BC67-BF$20</f>
        <v>0.44328255054161247</v>
      </c>
      <c r="BD68" s="18">
        <f t="shared" ref="BD68" ca="1" si="302">BD67-BG$20</f>
        <v>0.35998626118991628</v>
      </c>
      <c r="BE68" s="18">
        <f t="shared" ref="BE68" ca="1" si="303">BE67-BH$20</f>
        <v>0.31746733022297247</v>
      </c>
      <c r="BF68" s="18">
        <f t="shared" ref="BF68" ca="1" si="304">BF67-BI$20</f>
        <v>0.24720783387857415</v>
      </c>
      <c r="BG68" s="18">
        <f t="shared" ref="BG68" ca="1" si="305">BG67-BJ$20</f>
        <v>0.21739384266608153</v>
      </c>
      <c r="BH68" s="18">
        <f t="shared" ref="BH68" ca="1" si="306">BH67-BK$20</f>
        <v>0.2293616705644328</v>
      </c>
      <c r="BI68" s="18">
        <f t="shared" ref="BI68" ca="1" si="307">BI67-BL$20</f>
        <v>0.22087940885321289</v>
      </c>
      <c r="BJ68" s="18">
        <f t="shared" ref="BJ68" ca="1" si="308">BJ67-BM$20</f>
        <v>0.23590566716241756</v>
      </c>
      <c r="BK68" s="18">
        <f t="shared" ref="BK68" ca="1" si="309">BK67-BN$20</f>
        <v>0.22092320482582906</v>
      </c>
      <c r="BL68" s="18">
        <f t="shared" ref="BL68" ca="1" si="310">BL67-BO$20</f>
        <v>0.16107701330504853</v>
      </c>
      <c r="BM68" s="18">
        <f t="shared" ref="BM68" ca="1" si="311">BM67-BP$20</f>
        <v>0.16615567766277517</v>
      </c>
      <c r="BN68" s="18">
        <f t="shared" ref="BN68" ca="1" si="312">BN67-BQ$20</f>
        <v>0.17892052395279023</v>
      </c>
      <c r="BO68" s="18">
        <f t="shared" ref="BO68" ca="1" si="313">BO67-BR$20</f>
        <v>0.15806287552650744</v>
      </c>
      <c r="BP68" s="18">
        <f t="shared" ref="BP68" ca="1" si="314">BP67-BS$20</f>
        <v>0.24102295668925211</v>
      </c>
      <c r="BQ68" s="18">
        <f t="shared" ref="BQ68" ca="1" si="315">BQ67-BT$20</f>
        <v>0.27038542012819655</v>
      </c>
      <c r="BR68" s="18">
        <f t="shared" ref="BR68" ca="1" si="316">BR67-BU$20</f>
        <v>0.26688447178085295</v>
      </c>
      <c r="BS68" s="18">
        <f t="shared" ref="BS68" ca="1" si="317">BS67-BV$20</f>
        <v>0.23638547143145627</v>
      </c>
      <c r="BT68" s="18">
        <f t="shared" ref="BT68" ca="1" si="318">BT67-BW$20</f>
        <v>0.24698387509331077</v>
      </c>
      <c r="BU68" s="18">
        <f t="shared" ref="BU68" ca="1" si="319">BU67-BX$20</f>
        <v>0.22272110462998507</v>
      </c>
      <c r="BV68" s="18">
        <f t="shared" ref="BV68" ca="1" si="320">BV67-BY$20</f>
        <v>0.25892015376364186</v>
      </c>
      <c r="BW68" s="18">
        <f t="shared" ref="BW68" ca="1" si="321">BW67-BZ$20</f>
        <v>0.26540472279348748</v>
      </c>
      <c r="BX68" s="18">
        <f t="shared" ref="BX68" ca="1" si="322">BX67-CA$20</f>
        <v>0.27219865436727364</v>
      </c>
      <c r="BY68" s="18">
        <f t="shared" ref="BY68" ca="1" si="323">BY67-CB$20</f>
        <v>0.27686258415148224</v>
      </c>
      <c r="BZ68" s="18">
        <f t="shared" ref="BZ68" ca="1" si="324">BZ67-CC$20</f>
        <v>0.29453243258240036</v>
      </c>
      <c r="CA68" s="18">
        <f t="shared" ref="CA68" ca="1" si="325">CA67-CD$20</f>
        <v>0.29486682405881304</v>
      </c>
      <c r="CB68" s="18">
        <f t="shared" ref="CB68" ca="1" si="326">CB67-CE$20</f>
        <v>0.20594107160136765</v>
      </c>
      <c r="CC68" s="18">
        <f t="shared" ref="CC68" ca="1" si="327">CC67-CF$20</f>
        <v>0.18002880979723501</v>
      </c>
      <c r="CD68" s="18">
        <f t="shared" ref="CD68" ca="1" si="328">CD67-CG$20</f>
        <v>0.14318253802206105</v>
      </c>
      <c r="CE68" s="18">
        <f t="shared" ref="CE68" ca="1" si="329">CE67-CH$20</f>
        <v>0.16897587414829807</v>
      </c>
      <c r="CF68" s="18">
        <f t="shared" ref="CF68" ca="1" si="330">CF67-CI$20</f>
        <v>0.1569649125574939</v>
      </c>
      <c r="CG68" s="18">
        <f t="shared" ref="CG68" ca="1" si="331">CG67-CJ$20</f>
        <v>0.14042588508202247</v>
      </c>
      <c r="CH68" s="18">
        <f t="shared" ref="CH68" ca="1" si="332">CH67-CK$20</f>
        <v>9.5348087218784516E-2</v>
      </c>
      <c r="CI68" s="18">
        <f t="shared" ref="CI68" ca="1" si="333">CI67-CL$20</f>
        <v>8.9344754166222451E-2</v>
      </c>
      <c r="CJ68" s="18">
        <f t="shared" ref="CJ68" ca="1" si="334">CJ67-CM$20</f>
        <v>9.4630916232911089E-2</v>
      </c>
      <c r="CK68" s="18">
        <f t="shared" ref="CK68" ca="1" si="335">CK67-CN$20</f>
        <v>6.0915896451511853E-2</v>
      </c>
      <c r="CL68" s="18">
        <f t="shared" ref="CL68" ca="1" si="336">CL67-CO$20</f>
        <v>2.7192547471829753E-2</v>
      </c>
      <c r="CM68" s="18">
        <f t="shared" ref="CM68" ca="1" si="337">CM67-CP$20</f>
        <v>1.907051865735454E-2</v>
      </c>
      <c r="CN68" s="18">
        <f t="shared" ref="CN68" ca="1" si="338">CN67-CQ$20</f>
        <v>-8.9653925447663596E-4</v>
      </c>
      <c r="CO68" s="18">
        <f t="shared" ref="CO68" ca="1" si="339">CO67-CR$20</f>
        <v>-2.928225718252131E-3</v>
      </c>
      <c r="CP68" s="18">
        <f t="shared" ref="CP68" ca="1" si="340">CP67-CS$20</f>
        <v>1.5408223521378384E-2</v>
      </c>
      <c r="CQ68" s="18">
        <f t="shared" ref="CQ68" ca="1" si="341">CQ67-CT$20</f>
        <v>2.567608347053052E-2</v>
      </c>
      <c r="CR68" s="18">
        <f t="shared" ref="CR68" ca="1" si="342">CR67-CU$20</f>
        <v>3.3677943505697305E-2</v>
      </c>
      <c r="CS68" s="18">
        <f t="shared" ref="CS68" ca="1" si="343">CS67-CV$20</f>
        <v>-1.2427030908768844E-2</v>
      </c>
      <c r="CT68" s="18">
        <f t="shared" ref="CT68" ca="1" si="344">CT67-CW$20</f>
        <v>-1.5409937556685405E-2</v>
      </c>
      <c r="CU68" s="18">
        <f t="shared" ref="CU68" ca="1" si="345">CU67-CX$20</f>
        <v>-7.1527905350937004E-2</v>
      </c>
      <c r="CV68" s="18">
        <f t="shared" ref="CV68" ca="1" si="346">CV67-CY$20</f>
        <v>-9.0545628849465487E-2</v>
      </c>
      <c r="CW68" s="18">
        <f t="shared" ref="CW68" ca="1" si="347">CW67-CZ$20</f>
        <v>-8.3887482698080662E-2</v>
      </c>
    </row>
    <row r="70" spans="1:112" s="26" customFormat="1" x14ac:dyDescent="0.4">
      <c r="A70" s="26" t="s">
        <v>147</v>
      </c>
    </row>
    <row r="71" spans="1:112" x14ac:dyDescent="0.4">
      <c r="A71" t="s">
        <v>144</v>
      </c>
      <c r="B71">
        <v>0.97578514019090301</v>
      </c>
      <c r="C71">
        <v>1.04594689403567</v>
      </c>
      <c r="D71">
        <v>1.060303495151</v>
      </c>
      <c r="E71">
        <v>0.94460793903050999</v>
      </c>
      <c r="F71">
        <v>0.91721256442358101</v>
      </c>
      <c r="G71">
        <v>0.93759718224321997</v>
      </c>
      <c r="H71">
        <v>0.95803892606991203</v>
      </c>
      <c r="I71">
        <v>0.68821745646668597</v>
      </c>
      <c r="J71">
        <v>1.0090956341210999</v>
      </c>
      <c r="K71">
        <v>1.07175355468926</v>
      </c>
      <c r="L71">
        <v>1.0374488572907301</v>
      </c>
      <c r="M71">
        <v>0.98250838717081002</v>
      </c>
      <c r="N71">
        <v>1.14304335297691</v>
      </c>
      <c r="O71">
        <v>1.180428880999</v>
      </c>
      <c r="P71">
        <v>1.00790801423008</v>
      </c>
      <c r="Q71">
        <v>0.97883716796321596</v>
      </c>
      <c r="R71">
        <v>1.0453124018993001</v>
      </c>
      <c r="S71">
        <v>1.0451359365302699</v>
      </c>
      <c r="T71">
        <v>0.99334032303706499</v>
      </c>
      <c r="U71">
        <v>0.96912500410928104</v>
      </c>
      <c r="V71">
        <v>0.98175642092930604</v>
      </c>
      <c r="W71">
        <v>1.0965494174560499</v>
      </c>
      <c r="X71">
        <v>0.94048840314654802</v>
      </c>
      <c r="Y71">
        <v>0.99596890234864999</v>
      </c>
      <c r="Z71">
        <v>1.0510373550857499</v>
      </c>
      <c r="AA71">
        <v>1.0160493375618</v>
      </c>
      <c r="AB71">
        <v>0.94658979352598904</v>
      </c>
      <c r="AC71">
        <v>1.04648598162311</v>
      </c>
      <c r="AD71">
        <v>0.99208390396414603</v>
      </c>
      <c r="AE71">
        <v>0.99906324409897596</v>
      </c>
      <c r="AF71">
        <v>1.07492190302517</v>
      </c>
      <c r="AG71">
        <v>1.08956717598171</v>
      </c>
      <c r="AH71">
        <v>0.97130212708360997</v>
      </c>
      <c r="AI71">
        <v>1.03474598026376</v>
      </c>
      <c r="AJ71">
        <v>0.99764949522934698</v>
      </c>
      <c r="AK71">
        <v>0.93314964537206802</v>
      </c>
      <c r="AL71">
        <v>1.06490099475961</v>
      </c>
      <c r="AM71">
        <v>1.0128065554757999</v>
      </c>
      <c r="AN71">
        <v>0.96284961348689502</v>
      </c>
      <c r="AO71">
        <v>1.00674104819988</v>
      </c>
      <c r="AP71">
        <v>1.0970275315923901</v>
      </c>
      <c r="AQ71">
        <v>0.91337164971495599</v>
      </c>
      <c r="AR71">
        <v>0.89507172247151401</v>
      </c>
      <c r="AS71">
        <v>1.0650415572226899</v>
      </c>
      <c r="AT71">
        <v>1.00393557342109</v>
      </c>
      <c r="AU71">
        <v>1.02837621198806</v>
      </c>
      <c r="AV71">
        <v>1.06462439266127</v>
      </c>
      <c r="AW71">
        <v>1.0513306553559201</v>
      </c>
      <c r="AX71">
        <v>0.96515660928621805</v>
      </c>
      <c r="AY71">
        <v>0.95769052844629798</v>
      </c>
      <c r="AZ71">
        <v>0.94656499223072199</v>
      </c>
      <c r="BA71">
        <v>1.0268903217488199</v>
      </c>
      <c r="BB71">
        <v>0.986558747267689</v>
      </c>
      <c r="BC71">
        <v>1.0578857488859601</v>
      </c>
      <c r="BD71">
        <v>1.07978274526162</v>
      </c>
      <c r="BE71">
        <v>1.0153328930696199</v>
      </c>
      <c r="BF71">
        <v>1.0316298408036599</v>
      </c>
      <c r="BG71">
        <v>1.01897220307631</v>
      </c>
      <c r="BH71">
        <v>1.0318147678523799</v>
      </c>
      <c r="BI71">
        <v>1.04084528181001</v>
      </c>
      <c r="BJ71">
        <v>1.0613619691321601</v>
      </c>
      <c r="BK71">
        <v>1.0758381780588899</v>
      </c>
      <c r="BL71">
        <v>1.01155798729858</v>
      </c>
      <c r="BM71">
        <v>0.93657967384332097</v>
      </c>
      <c r="BN71">
        <v>1.05769796396967</v>
      </c>
      <c r="BO71">
        <v>0.97772184622413205</v>
      </c>
      <c r="BP71">
        <v>1.03439794057159</v>
      </c>
      <c r="BQ71">
        <v>1.00919027186043</v>
      </c>
      <c r="BR71">
        <v>0.99651240681193098</v>
      </c>
      <c r="BS71">
        <v>0.98895565996163304</v>
      </c>
      <c r="BT71">
        <v>1.0160591699961601</v>
      </c>
      <c r="BU71">
        <v>1.05266030675276</v>
      </c>
      <c r="BV71">
        <v>1.0442943979703201</v>
      </c>
      <c r="BW71">
        <v>1.02343323535688</v>
      </c>
      <c r="BX71">
        <v>1.0164750339755999</v>
      </c>
      <c r="BY71">
        <v>1.00718981803923</v>
      </c>
      <c r="BZ71">
        <v>1.0442853294149499</v>
      </c>
      <c r="CA71">
        <v>1.0456220464566699</v>
      </c>
      <c r="CB71">
        <v>1.02836243371023</v>
      </c>
      <c r="CC71">
        <v>0.97176805410205103</v>
      </c>
      <c r="CD71">
        <v>0.97496244724701497</v>
      </c>
      <c r="CE71">
        <v>1.0049197505638401</v>
      </c>
      <c r="CF71">
        <v>1.0490258851654</v>
      </c>
      <c r="CG71">
        <v>1.08162479633592</v>
      </c>
      <c r="CH71">
        <v>1.0694834212390301</v>
      </c>
      <c r="CI71">
        <v>1.05670238554297</v>
      </c>
      <c r="CJ71">
        <v>1.0271481142082499</v>
      </c>
      <c r="CK71">
        <v>1.0164404421870601</v>
      </c>
      <c r="CL71">
        <v>1.0000852809843599</v>
      </c>
      <c r="CM71">
        <v>0.93498953011359798</v>
      </c>
      <c r="CN71">
        <v>1.0236336270204101</v>
      </c>
      <c r="CO71">
        <v>0.98896851934496</v>
      </c>
      <c r="CP71">
        <v>0.97533957500802604</v>
      </c>
      <c r="CQ71">
        <v>1.00068097981093</v>
      </c>
      <c r="CR71">
        <v>0.96980188948870705</v>
      </c>
      <c r="CS71">
        <v>1.00914905506417</v>
      </c>
      <c r="CT71">
        <v>1.06552314631956</v>
      </c>
      <c r="CU71">
        <v>1.0224948045831399</v>
      </c>
      <c r="CV71">
        <v>0.98368208570517202</v>
      </c>
      <c r="CW71">
        <v>0.97992700424811396</v>
      </c>
      <c r="CX71">
        <v>1.0396134299868001</v>
      </c>
      <c r="CY71">
        <v>0.976694164371955</v>
      </c>
      <c r="CZ71">
        <v>1.0051554170293799</v>
      </c>
      <c r="DA71">
        <v>0.95960780246518296</v>
      </c>
      <c r="DB71">
        <v>0.99980367304096696</v>
      </c>
      <c r="DC71">
        <v>1.04795858939987</v>
      </c>
      <c r="DD71">
        <v>0.97814097542043599</v>
      </c>
      <c r="DE71">
        <v>1.0116962484705501</v>
      </c>
      <c r="DF71">
        <v>1.0072111886692099</v>
      </c>
      <c r="DG71">
        <v>1.0312181129372899</v>
      </c>
      <c r="DH71">
        <v>1.04223456277722</v>
      </c>
    </row>
    <row r="72" spans="1:112" x14ac:dyDescent="0.4">
      <c r="B72">
        <f ca="1">PRODUCT(OFFSET(B71,0,0,1,12))</f>
        <v>0.63895602578082078</v>
      </c>
      <c r="C72">
        <f t="shared" ref="C72:BN72" ca="1" si="348">PRODUCT(OFFSET(C71,0,0,1,12))</f>
        <v>0.7484787460182305</v>
      </c>
      <c r="D72">
        <f t="shared" ca="1" si="348"/>
        <v>0.84471394642690489</v>
      </c>
      <c r="E72">
        <f t="shared" ca="1" si="348"/>
        <v>0.8029719417404606</v>
      </c>
      <c r="F72">
        <f t="shared" ca="1" si="348"/>
        <v>0.8320687863515519</v>
      </c>
      <c r="G72">
        <f t="shared" ca="1" si="348"/>
        <v>0.94827726455446149</v>
      </c>
      <c r="H72">
        <f t="shared" ca="1" si="348"/>
        <v>1.0570409827910474</v>
      </c>
      <c r="I72">
        <f t="shared" ca="1" si="348"/>
        <v>1.0959903639995232</v>
      </c>
      <c r="J72">
        <f t="shared" ca="1" si="348"/>
        <v>1.5433372926456497</v>
      </c>
      <c r="K72">
        <f t="shared" ca="1" si="348"/>
        <v>1.5015239839326109</v>
      </c>
      <c r="L72">
        <f t="shared" ca="1" si="348"/>
        <v>1.5362629241336831</v>
      </c>
      <c r="M72">
        <f t="shared" ca="1" si="348"/>
        <v>1.3926830746191077</v>
      </c>
      <c r="N72">
        <f t="shared" ca="1" si="348"/>
        <v>1.4117630457507662</v>
      </c>
      <c r="O72">
        <f t="shared" ca="1" si="348"/>
        <v>1.2981272265389407</v>
      </c>
      <c r="P72">
        <f t="shared" ca="1" si="348"/>
        <v>1.1173577077168659</v>
      </c>
      <c r="Q72">
        <f t="shared" ca="1" si="348"/>
        <v>1.0493808828877305</v>
      </c>
      <c r="R72">
        <f t="shared" ca="1" si="348"/>
        <v>1.1219050719236281</v>
      </c>
      <c r="S72">
        <f t="shared" ca="1" si="348"/>
        <v>1.0647763880050016</v>
      </c>
      <c r="T72">
        <f t="shared" ca="1" si="348"/>
        <v>1.0178378862101796</v>
      </c>
      <c r="U72">
        <f t="shared" ca="1" si="348"/>
        <v>1.1014314150371387</v>
      </c>
      <c r="V72">
        <f t="shared" ca="1" si="348"/>
        <v>1.2383165343283511</v>
      </c>
      <c r="W72">
        <f t="shared" ca="1" si="348"/>
        <v>1.2251302442793404</v>
      </c>
      <c r="X72">
        <f t="shared" ca="1" si="348"/>
        <v>1.1560797674842738</v>
      </c>
      <c r="Y72">
        <f t="shared" ca="1" si="348"/>
        <v>1.2263440916621575</v>
      </c>
      <c r="Z72">
        <f t="shared" ca="1" si="348"/>
        <v>1.1489942623108889</v>
      </c>
      <c r="AA72">
        <f t="shared" ca="1" si="348"/>
        <v>1.1641499961798452</v>
      </c>
      <c r="AB72">
        <f t="shared" ca="1" si="348"/>
        <v>1.1604345420050621</v>
      </c>
      <c r="AC72">
        <f t="shared" ca="1" si="348"/>
        <v>1.1803676290280429</v>
      </c>
      <c r="AD72">
        <f t="shared" ca="1" si="348"/>
        <v>1.1355379479291214</v>
      </c>
      <c r="AE72">
        <f t="shared" ca="1" si="348"/>
        <v>1.255656287808488</v>
      </c>
      <c r="AF72">
        <f t="shared" ca="1" si="348"/>
        <v>1.1479562098242666</v>
      </c>
      <c r="AG72">
        <f t="shared" ca="1" si="348"/>
        <v>0.95588631988757355</v>
      </c>
      <c r="AH72">
        <f t="shared" ca="1" si="348"/>
        <v>0.93436979114541263</v>
      </c>
      <c r="AI72">
        <f t="shared" ca="1" si="348"/>
        <v>0.96576239864464619</v>
      </c>
      <c r="AJ72">
        <f t="shared" ca="1" si="348"/>
        <v>0.95981728476540917</v>
      </c>
      <c r="AK72">
        <f t="shared" ca="1" si="348"/>
        <v>1.0242524040211674</v>
      </c>
      <c r="AL72">
        <f t="shared" ca="1" si="348"/>
        <v>1.1539713447997879</v>
      </c>
      <c r="AM72">
        <f t="shared" ca="1" si="348"/>
        <v>1.0458841487060879</v>
      </c>
      <c r="AN72">
        <f t="shared" ca="1" si="348"/>
        <v>0.98896806863319409</v>
      </c>
      <c r="AO72">
        <f t="shared" ca="1" si="348"/>
        <v>0.97224170741691063</v>
      </c>
      <c r="AP72">
        <f t="shared" ca="1" si="348"/>
        <v>0.99170049888415079</v>
      </c>
      <c r="AQ72">
        <f t="shared" ca="1" si="348"/>
        <v>0.8918379654736065</v>
      </c>
      <c r="AR72">
        <f t="shared" ca="1" si="348"/>
        <v>1.0329449948270368</v>
      </c>
      <c r="AS72">
        <f t="shared" ca="1" si="348"/>
        <v>1.2461081656549418</v>
      </c>
      <c r="AT72">
        <f t="shared" ca="1" si="348"/>
        <v>1.1879485831627179</v>
      </c>
      <c r="AU72">
        <f t="shared" ca="1" si="348"/>
        <v>1.2207189785644301</v>
      </c>
      <c r="AV72">
        <f t="shared" ca="1" si="348"/>
        <v>1.2095560869890116</v>
      </c>
      <c r="AW72">
        <f t="shared" ca="1" si="348"/>
        <v>1.1722799531027523</v>
      </c>
      <c r="AX72">
        <f t="shared" ca="1" si="348"/>
        <v>1.1605883001046735</v>
      </c>
      <c r="AY72">
        <f t="shared" ca="1" si="348"/>
        <v>1.2762739970892645</v>
      </c>
      <c r="AZ72">
        <f t="shared" ca="1" si="348"/>
        <v>1.4337244140443071</v>
      </c>
      <c r="BA72">
        <f t="shared" ca="1" si="348"/>
        <v>1.5321667233790852</v>
      </c>
      <c r="BB72">
        <f t="shared" ca="1" si="348"/>
        <v>1.3974191592458864</v>
      </c>
      <c r="BC72">
        <f t="shared" ca="1" si="348"/>
        <v>1.4981848811741718</v>
      </c>
      <c r="BD72">
        <f t="shared" ca="1" si="348"/>
        <v>1.3846562254470818</v>
      </c>
      <c r="BE72">
        <f t="shared" ca="1" si="348"/>
        <v>1.326457154726125</v>
      </c>
      <c r="BF72">
        <f t="shared" ca="1" si="348"/>
        <v>1.318432275489652</v>
      </c>
      <c r="BG72">
        <f t="shared" ca="1" si="348"/>
        <v>1.2735518769437892</v>
      </c>
      <c r="BH72">
        <f t="shared" ca="1" si="348"/>
        <v>1.2360360107526895</v>
      </c>
      <c r="BI72">
        <f t="shared" ca="1" si="348"/>
        <v>1.2171619968036942</v>
      </c>
      <c r="BJ72">
        <f t="shared" ca="1" si="348"/>
        <v>1.2309784588686372</v>
      </c>
      <c r="BK72">
        <f t="shared" ca="1" si="348"/>
        <v>1.2111833154053646</v>
      </c>
      <c r="BL72">
        <f t="shared" ca="1" si="348"/>
        <v>1.1521856022362991</v>
      </c>
      <c r="BM72">
        <f t="shared" ca="1" si="348"/>
        <v>1.1577862207454916</v>
      </c>
      <c r="BN72">
        <f t="shared" ca="1" si="348"/>
        <v>1.2450734577825742</v>
      </c>
      <c r="BO72">
        <f t="shared" ref="BO72:CW72" ca="1" si="349">PRODUCT(OFFSET(BO71,0,0,1,12))</f>
        <v>1.2292847204947164</v>
      </c>
      <c r="BP72">
        <f t="shared" ca="1" si="349"/>
        <v>1.314655298012994</v>
      </c>
      <c r="BQ72">
        <f t="shared" ca="1" si="349"/>
        <v>1.3069845450462045</v>
      </c>
      <c r="BR72">
        <f t="shared" ca="1" si="349"/>
        <v>1.2585196899883075</v>
      </c>
      <c r="BS72">
        <f t="shared" ca="1" si="349"/>
        <v>1.231303723337511</v>
      </c>
      <c r="BT72">
        <f t="shared" ca="1" si="349"/>
        <v>1.2511798866418975</v>
      </c>
      <c r="BU72">
        <f t="shared" ca="1" si="349"/>
        <v>1.291775249753045</v>
      </c>
      <c r="BV72">
        <f t="shared" ca="1" si="349"/>
        <v>1.3273191099377948</v>
      </c>
      <c r="BW72">
        <f t="shared" ca="1" si="349"/>
        <v>1.3593348633596343</v>
      </c>
      <c r="BX72">
        <f t="shared" ca="1" si="349"/>
        <v>1.4035233010221368</v>
      </c>
      <c r="BY72">
        <f t="shared" ca="1" si="349"/>
        <v>1.418260423233209</v>
      </c>
      <c r="BZ72">
        <f t="shared" ca="1" si="349"/>
        <v>1.4312865617863317</v>
      </c>
      <c r="CA72">
        <f t="shared" ca="1" si="349"/>
        <v>1.3707064372101772</v>
      </c>
      <c r="CB72">
        <f t="shared" ca="1" si="349"/>
        <v>1.2256782190025637</v>
      </c>
      <c r="CC72">
        <f t="shared" ca="1" si="349"/>
        <v>1.2200420783078145</v>
      </c>
      <c r="CD72">
        <f t="shared" ca="1" si="349"/>
        <v>1.2416370373870271</v>
      </c>
      <c r="CE72">
        <f t="shared" ca="1" si="349"/>
        <v>1.2421173182401208</v>
      </c>
      <c r="CF72">
        <f t="shared" ca="1" si="349"/>
        <v>1.2368780436042259</v>
      </c>
      <c r="CG72">
        <f t="shared" ca="1" si="349"/>
        <v>1.1434671734199808</v>
      </c>
      <c r="CH72">
        <f t="shared" ca="1" si="349"/>
        <v>1.0668475995212812</v>
      </c>
      <c r="CI72">
        <f t="shared" ca="1" si="349"/>
        <v>1.0628970849949446</v>
      </c>
      <c r="CJ72">
        <f t="shared" ca="1" si="349"/>
        <v>1.0284889691580061</v>
      </c>
      <c r="CK72">
        <f t="shared" ca="1" si="349"/>
        <v>0.98496619943264663</v>
      </c>
      <c r="CL72">
        <f t="shared" ca="1" si="349"/>
        <v>0.94958340600742686</v>
      </c>
      <c r="CM72">
        <f t="shared" ca="1" si="349"/>
        <v>0.98711547959815216</v>
      </c>
      <c r="CN72">
        <f t="shared" ca="1" si="349"/>
        <v>1.031145159847515</v>
      </c>
      <c r="CO72">
        <f t="shared" ca="1" si="349"/>
        <v>1.0125313547790371</v>
      </c>
      <c r="CP72">
        <f t="shared" ca="1" si="349"/>
        <v>0.98247109921169606</v>
      </c>
      <c r="CQ72">
        <f t="shared" ca="1" si="349"/>
        <v>1.0071140747471123</v>
      </c>
      <c r="CR72">
        <f t="shared" ca="1" si="349"/>
        <v>1.0546956187137186</v>
      </c>
      <c r="CS72">
        <f t="shared" ca="1" si="349"/>
        <v>1.0637646847689608</v>
      </c>
      <c r="CT72">
        <f t="shared" ca="1" si="349"/>
        <v>1.0664497335012428</v>
      </c>
      <c r="CU72">
        <f t="shared" ca="1" si="349"/>
        <v>1.0080870673208302</v>
      </c>
      <c r="CV72">
        <f t="shared" ca="1" si="349"/>
        <v>1.0166874575591505</v>
      </c>
      <c r="CW72">
        <f t="shared" ca="1" si="349"/>
        <v>1.0772045391582286</v>
      </c>
    </row>
    <row r="73" spans="1:112" x14ac:dyDescent="0.4">
      <c r="B73" s="18">
        <f ca="1">B72-E$20</f>
        <v>1.7889433897108176E-2</v>
      </c>
      <c r="C73" s="18">
        <f ca="1">C72-F$20</f>
        <v>4.0575530623773948E-2</v>
      </c>
      <c r="D73" s="18">
        <f t="shared" ref="D73" ca="1" si="350">D72-G$20</f>
        <v>9.4572886864162209E-2</v>
      </c>
      <c r="E73" s="18">
        <f t="shared" ref="E73" ca="1" si="351">E72-H$20</f>
        <v>4.9259778804854992E-2</v>
      </c>
      <c r="F73" s="18">
        <f t="shared" ref="F73" ca="1" si="352">F72-I$20</f>
        <v>2.1366104864357638E-3</v>
      </c>
      <c r="G73" s="18">
        <f t="shared" ref="G73" ca="1" si="353">G72-J$20</f>
        <v>-2.8282148991914946E-2</v>
      </c>
      <c r="H73" s="18">
        <f t="shared" ref="H73" ca="1" si="354">H72-K$20</f>
        <v>-2.2735715711231563E-2</v>
      </c>
      <c r="I73" s="18">
        <f t="shared" ref="I73" ca="1" si="355">I72-L$20</f>
        <v>-5.9445184251240235E-2</v>
      </c>
      <c r="J73" s="18">
        <f t="shared" ref="J73" ca="1" si="356">J72-M$20</f>
        <v>0.12320720082669978</v>
      </c>
      <c r="K73" s="18">
        <f t="shared" ref="K73" ca="1" si="357">K72-N$20</f>
        <v>5.5893123486729035E-2</v>
      </c>
      <c r="L73" s="18">
        <f t="shared" ref="L73" ca="1" si="358">L72-O$20</f>
        <v>3.9762350530119006E-2</v>
      </c>
      <c r="M73" s="18">
        <f t="shared" ref="M73" ca="1" si="359">M72-P$20</f>
        <v>1.3786068311614663E-2</v>
      </c>
      <c r="N73" s="18">
        <f t="shared" ref="N73" ca="1" si="360">N72-Q$20</f>
        <v>-8.826987900206329E-2</v>
      </c>
      <c r="O73" s="18">
        <f t="shared" ref="O73" ca="1" si="361">O72-R$20</f>
        <v>-0.10526010289252552</v>
      </c>
      <c r="P73" s="18">
        <f t="shared" ref="P73" ca="1" si="362">P72-S$20</f>
        <v>-0.15444809937549842</v>
      </c>
      <c r="Q73" s="18">
        <f t="shared" ref="Q73" ca="1" si="363">Q72-T$20</f>
        <v>-0.12639227975402489</v>
      </c>
      <c r="R73" s="18">
        <f t="shared" ref="R73" ca="1" si="364">R72-U$20</f>
        <v>-9.9824769019634108E-2</v>
      </c>
      <c r="S73" s="18">
        <f t="shared" ref="S73" ca="1" si="365">S72-V$20</f>
        <v>-6.4961811045914031E-2</v>
      </c>
      <c r="T73" s="18">
        <f t="shared" ref="T73" ca="1" si="366">T72-W$20</f>
        <v>-7.6957477674609143E-2</v>
      </c>
      <c r="U73" s="18">
        <f t="shared" ref="U73" ca="1" si="367">U72-X$20</f>
        <v>-1.7907074270391066E-2</v>
      </c>
      <c r="V73" s="18">
        <f t="shared" ref="V73" ca="1" si="368">V72-Y$20</f>
        <v>4.7096244454941205E-2</v>
      </c>
      <c r="W73" s="18">
        <f t="shared" ref="W73" ca="1" si="369">W72-Z$20</f>
        <v>7.6022627985405933E-4</v>
      </c>
      <c r="X73" s="18">
        <f t="shared" ref="X73" ca="1" si="370">X72-AA$20</f>
        <v>-6.2743957683159213E-2</v>
      </c>
      <c r="Y73" s="18">
        <f t="shared" ref="Y73" ca="1" si="371">Y72-AB$20</f>
        <v>-6.5275511066198888E-2</v>
      </c>
      <c r="Z73" s="18">
        <f t="shared" ref="Z73" ca="1" si="372">Z72-AC$20</f>
        <v>-6.7188055289984394E-2</v>
      </c>
      <c r="AA73" s="18">
        <f t="shared" ref="AA73" ca="1" si="373">AA72-AD$20</f>
        <v>-8.0319389766931426E-2</v>
      </c>
      <c r="AB73" s="18">
        <f t="shared" ref="AB73" ca="1" si="374">AB72-AE$20</f>
        <v>-9.8413846795783577E-2</v>
      </c>
      <c r="AC73" s="18">
        <f t="shared" ref="AC73" ca="1" si="375">AC72-AF$20</f>
        <v>-0.12502155604431087</v>
      </c>
      <c r="AD73" s="18">
        <f t="shared" ref="AD73" ca="1" si="376">AD72-AG$20</f>
        <v>-0.10140627243371458</v>
      </c>
      <c r="AE73" s="18">
        <f t="shared" ref="AE73" ca="1" si="377">AE72-AH$20</f>
        <v>4.3143569898828726E-2</v>
      </c>
      <c r="AF73" s="18">
        <f t="shared" ref="AF73" ca="1" si="378">AF72-AI$20</f>
        <v>6.9138249703767363E-2</v>
      </c>
      <c r="AG73" s="18">
        <f t="shared" ref="AG73" ca="1" si="379">AG72-AJ$20</f>
        <v>1.0969323502462047E-2</v>
      </c>
      <c r="AH73" s="18">
        <f t="shared" ref="AH73" ca="1" si="380">AH72-AK$20</f>
        <v>-7.948081561525544E-2</v>
      </c>
      <c r="AI73" s="18">
        <f t="shared" ref="AI73" ca="1" si="381">AI72-AL$20</f>
        <v>-4.2475245425344088E-3</v>
      </c>
      <c r="AJ73" s="18">
        <f t="shared" ref="AJ73" ca="1" si="382">AJ72-AM$20</f>
        <v>6.9646636301245235E-2</v>
      </c>
      <c r="AK73" s="18">
        <f t="shared" ref="AK73" ca="1" si="383">AK72-AN$20</f>
        <v>7.9303062802747237E-2</v>
      </c>
      <c r="AL73" s="18">
        <f t="shared" ref="AL73" ca="1" si="384">AL72-AO$20</f>
        <v>0.10707297941021432</v>
      </c>
      <c r="AM73" s="18">
        <f t="shared" ref="AM73" ca="1" si="385">AM72-AP$20</f>
        <v>8.9867629980118102E-2</v>
      </c>
      <c r="AN73" s="18">
        <f t="shared" ref="AN73" ca="1" si="386">AN72-AQ$20</f>
        <v>8.492402477178429E-2</v>
      </c>
      <c r="AO73" s="18">
        <f t="shared" ref="AO73" ca="1" si="387">AO72-AR$20</f>
        <v>0.11180025432771901</v>
      </c>
      <c r="AP73" s="18">
        <f t="shared" ref="AP73" ca="1" si="388">AP72-AS$20</f>
        <v>0.1091285820377812</v>
      </c>
      <c r="AQ73" s="18">
        <f t="shared" ref="AQ73" ca="1" si="389">AQ72-AT$20</f>
        <v>9.604148831081627E-3</v>
      </c>
      <c r="AR73" s="18">
        <f t="shared" ref="AR73" ca="1" si="390">AR72-AU$20</f>
        <v>1.9642581670359593E-2</v>
      </c>
      <c r="AS73" s="18">
        <f t="shared" ref="AS73" ca="1" si="391">AS72-AV$20</f>
        <v>0.11808284991454143</v>
      </c>
      <c r="AT73" s="18">
        <f t="shared" ref="AT73" ca="1" si="392">AT72-AW$20</f>
        <v>0.18636138966654414</v>
      </c>
      <c r="AU73" s="18">
        <f t="shared" ref="AU73" ca="1" si="393">AU72-AX$20</f>
        <v>0.17450001357912526</v>
      </c>
      <c r="AV73" s="18">
        <f t="shared" ref="AV73" ca="1" si="394">AV72-AY$20</f>
        <v>0.11572564015649411</v>
      </c>
      <c r="AW73" s="18">
        <f t="shared" ref="AW73" ca="1" si="395">AW72-AZ$20</f>
        <v>0.16913544372291112</v>
      </c>
      <c r="AX73" s="18">
        <f t="shared" ref="AX73" ca="1" si="396">AX72-BA$20</f>
        <v>0.16244028877601924</v>
      </c>
      <c r="AY73" s="18">
        <f t="shared" ref="AY73" ca="1" si="397">AY72-BB$20</f>
        <v>0.28081710447541364</v>
      </c>
      <c r="AZ73" s="18">
        <f t="shared" ref="AZ73" ca="1" si="398">AZ72-BC$20</f>
        <v>0.44282637722272877</v>
      </c>
      <c r="BA73" s="18">
        <f t="shared" ref="BA73" ca="1" si="399">BA72-BD$20</f>
        <v>0.44668662335033504</v>
      </c>
      <c r="BB73" s="18">
        <f t="shared" ref="BB73" ca="1" si="400">BB72-BE$20</f>
        <v>0.39239761135779583</v>
      </c>
      <c r="BC73" s="18">
        <f t="shared" ref="BC73" ca="1" si="401">BC72-BF$20</f>
        <v>0.48116034863149149</v>
      </c>
      <c r="BD73" s="18">
        <f t="shared" ref="BD73" ca="1" si="402">BD72-BG$20</f>
        <v>0.37350732144103516</v>
      </c>
      <c r="BE73" s="18">
        <f t="shared" ref="BE73" ca="1" si="403">BE72-BH$20</f>
        <v>0.32608144275193407</v>
      </c>
      <c r="BF73" s="18">
        <f t="shared" ref="BF73" ca="1" si="404">BF72-BI$20</f>
        <v>0.2567030410514024</v>
      </c>
      <c r="BG73" s="18">
        <f t="shared" ref="BG73" ca="1" si="405">BG72-BJ$20</f>
        <v>0.21562337572800017</v>
      </c>
      <c r="BH73" s="18">
        <f t="shared" ref="BH73" ca="1" si="406">BH72-BK$20</f>
        <v>0.22888045630988652</v>
      </c>
      <c r="BI73" s="18">
        <f t="shared" ref="BI73" ca="1" si="407">BI72-BL$20</f>
        <v>0.2277586511356311</v>
      </c>
      <c r="BJ73" s="18">
        <f t="shared" ref="BJ73" ca="1" si="408">BJ72-BM$20</f>
        <v>0.2539245380498818</v>
      </c>
      <c r="BK73" s="18">
        <f t="shared" ref="BK73" ca="1" si="409">BK72-BN$20</f>
        <v>0.22079980309296843</v>
      </c>
      <c r="BL73" s="18">
        <f t="shared" ref="BL73" ca="1" si="410">BL72-BO$20</f>
        <v>0.15328542656991262</v>
      </c>
      <c r="BM73" s="18">
        <f t="shared" ref="BM73" ca="1" si="411">BM72-BP$20</f>
        <v>0.16082962295932901</v>
      </c>
      <c r="BN73" s="18">
        <f t="shared" ref="BN73" ca="1" si="412">BN72-BQ$20</f>
        <v>0.17053446287026719</v>
      </c>
      <c r="BO73" s="18">
        <f t="shared" ref="BO73" ca="1" si="413">BO72-BR$20</f>
        <v>0.14459952747266391</v>
      </c>
      <c r="BP73" s="18">
        <f t="shared" ref="BP73" ca="1" si="414">BP72-BS$20</f>
        <v>0.24084770234032615</v>
      </c>
      <c r="BQ73" s="18">
        <f t="shared" ref="BQ73" ca="1" si="415">BQ72-BT$20</f>
        <v>0.29540193948575277</v>
      </c>
      <c r="BR73" s="18">
        <f t="shared" ref="BR73" ca="1" si="416">BR72-BU$20</f>
        <v>0.29086308363095403</v>
      </c>
      <c r="BS73" s="18">
        <f t="shared" ref="BS73" ca="1" si="417">BS72-BV$20</f>
        <v>0.26264556902941305</v>
      </c>
      <c r="BT73" s="18">
        <f t="shared" ref="BT73" ca="1" si="418">BT72-BW$20</f>
        <v>0.29878496584282821</v>
      </c>
      <c r="BU73" s="18">
        <f t="shared" ref="BU73" ca="1" si="419">BU72-BX$20</f>
        <v>0.28759731399331478</v>
      </c>
      <c r="BV73" s="18">
        <f t="shared" ref="BV73" ca="1" si="420">BV72-BY$20</f>
        <v>0.32438475168346015</v>
      </c>
      <c r="BW73" s="18">
        <f t="shared" ref="BW73" ca="1" si="421">BW72-BZ$20</f>
        <v>0.33142404502169276</v>
      </c>
      <c r="BX73" s="18">
        <f t="shared" ref="BX73" ca="1" si="422">BX72-CA$20</f>
        <v>0.31922273878051022</v>
      </c>
      <c r="BY73" s="18">
        <f t="shared" ref="BY73" ca="1" si="423">BY72-CB$20</f>
        <v>0.3581890433559185</v>
      </c>
      <c r="BZ73" s="18">
        <f t="shared" ref="BZ73" ca="1" si="424">BZ72-CC$20</f>
        <v>0.39533129235904929</v>
      </c>
      <c r="CA73" s="18">
        <f t="shared" ref="CA73" ca="1" si="425">CA72-CD$20</f>
        <v>0.39284388591256425</v>
      </c>
      <c r="CB73" s="18">
        <f t="shared" ref="CB73" ca="1" si="426">CB72-CE$20</f>
        <v>0.28709835107639359</v>
      </c>
      <c r="CC73" s="18">
        <f t="shared" ref="CC73" ca="1" si="427">CC72-CF$20</f>
        <v>0.24839725060211826</v>
      </c>
      <c r="CD73" s="18">
        <f t="shared" ref="CD73" ca="1" si="428">CD72-CG$20</f>
        <v>0.20852819665460109</v>
      </c>
      <c r="CE73" s="18">
        <f t="shared" ref="CE73" ca="1" si="429">CE72-CH$20</f>
        <v>0.23646802856635585</v>
      </c>
      <c r="CF73" s="18">
        <f t="shared" ref="CF73" ca="1" si="430">CF72-CI$20</f>
        <v>0.21301072335302362</v>
      </c>
      <c r="CG73" s="18">
        <f t="shared" ref="CG73" ca="1" si="431">CG72-CJ$20</f>
        <v>0.16255133869295568</v>
      </c>
      <c r="CH73" s="18">
        <f t="shared" ref="CH73" ca="1" si="432">CH72-CK$20</f>
        <v>0.10166480165644065</v>
      </c>
      <c r="CI73" s="18">
        <f t="shared" ref="CI73" ca="1" si="433">CI72-CL$20</f>
        <v>8.5032967368060097E-2</v>
      </c>
      <c r="CJ73" s="18">
        <f t="shared" ref="CJ73" ca="1" si="434">CJ72-CM$20</f>
        <v>9.1022758182860874E-2</v>
      </c>
      <c r="CK73" s="18">
        <f t="shared" ref="CK73" ca="1" si="435">CK72-CN$20</f>
        <v>4.7099734518706748E-2</v>
      </c>
      <c r="CL73" s="18">
        <f t="shared" ref="CL73" ca="1" si="436">CL72-CO$20</f>
        <v>-3.4909809053873531E-4</v>
      </c>
      <c r="CM73" s="18">
        <f t="shared" ref="CM73" ca="1" si="437">CM72-CP$20</f>
        <v>-6.0032893658704678E-3</v>
      </c>
      <c r="CN73" s="18">
        <f t="shared" ref="CN73" ca="1" si="438">CN72-CQ$20</f>
        <v>-1.6838605198918888E-2</v>
      </c>
      <c r="CO73" s="18">
        <f t="shared" ref="CO73" ca="1" si="439">CO72-CR$20</f>
        <v>-2.864430664514539E-2</v>
      </c>
      <c r="CP73" s="18">
        <f t="shared" ref="CP73" ca="1" si="440">CP72-CS$20</f>
        <v>-7.0434045750069618E-3</v>
      </c>
      <c r="CQ73" s="18">
        <f t="shared" ref="CQ73" ca="1" si="441">CQ72-CT$20</f>
        <v>1.137618712832289E-2</v>
      </c>
      <c r="CR73" s="18">
        <f t="shared" ref="CR73" ca="1" si="442">CR72-CU$20</f>
        <v>2.1478024350767289E-2</v>
      </c>
      <c r="CS73" s="18">
        <f t="shared" ref="CS73" ca="1" si="443">CS72-CV$20</f>
        <v>-1.7566445007301645E-2</v>
      </c>
      <c r="CT73" s="18">
        <f t="shared" ref="CT73" ca="1" si="444">CT72-CW$20</f>
        <v>-2.484449708738512E-2</v>
      </c>
      <c r="CU73" s="18">
        <f t="shared" ref="CU73" ca="1" si="445">CU72-CX$20</f>
        <v>-7.4273831544314772E-2</v>
      </c>
      <c r="CV73" s="18">
        <f t="shared" ref="CV73" ca="1" si="446">CV72-CY$20</f>
        <v>-8.926746057639634E-2</v>
      </c>
      <c r="CW73" s="18">
        <f t="shared" ref="CW73" ca="1" si="447">CW72-CZ$20</f>
        <v>-0.10630862006330988</v>
      </c>
    </row>
    <row r="75" spans="1:112" s="27" customFormat="1" x14ac:dyDescent="0.4">
      <c r="A75" s="27" t="s">
        <v>147</v>
      </c>
    </row>
    <row r="76" spans="1:112" x14ac:dyDescent="0.4">
      <c r="A76" t="s">
        <v>144</v>
      </c>
      <c r="B76">
        <v>0.99626178636073104</v>
      </c>
      <c r="C76">
        <v>1.0606825895238701</v>
      </c>
      <c r="D76">
        <v>1.0045781006507899</v>
      </c>
      <c r="E76">
        <v>0.90163367864113197</v>
      </c>
      <c r="F76">
        <v>0.96001107036477995</v>
      </c>
      <c r="G76">
        <v>0.91463519311419905</v>
      </c>
      <c r="H76">
        <v>0.984974410206086</v>
      </c>
      <c r="I76">
        <v>0.71270401875805001</v>
      </c>
      <c r="J76">
        <v>0.97495999059776695</v>
      </c>
      <c r="K76">
        <v>1.0793973355705599</v>
      </c>
      <c r="L76">
        <v>1.0662560140896999</v>
      </c>
      <c r="M76">
        <v>0.88564421929019999</v>
      </c>
      <c r="N76">
        <v>1.17097688155516</v>
      </c>
      <c r="O76">
        <v>1.2068735778872</v>
      </c>
      <c r="P76">
        <v>1.0222976138614199</v>
      </c>
      <c r="Q76">
        <v>0.99750558352843699</v>
      </c>
      <c r="R76">
        <v>1.09495375675401</v>
      </c>
      <c r="S76">
        <v>1.0189052363226201</v>
      </c>
      <c r="T76">
        <v>1.0548732209104901</v>
      </c>
      <c r="U76">
        <v>0.95036788218652202</v>
      </c>
      <c r="V76">
        <v>0.98582293060412296</v>
      </c>
      <c r="W76">
        <v>1.0707404492608601</v>
      </c>
      <c r="X76">
        <v>0.96188126401409502</v>
      </c>
      <c r="Y76">
        <v>1.01109578973237</v>
      </c>
      <c r="Z76">
        <v>1.06546191658544</v>
      </c>
      <c r="AA76">
        <v>1.02015544559933</v>
      </c>
      <c r="AB76">
        <v>0.94386607033776804</v>
      </c>
      <c r="AC76">
        <v>1.05989360082546</v>
      </c>
      <c r="AD76">
        <v>1.04153273794543</v>
      </c>
      <c r="AE76">
        <v>1.0213349005285699</v>
      </c>
      <c r="AF76">
        <v>1.1000015266098799</v>
      </c>
      <c r="AG76">
        <v>0.99253201898145904</v>
      </c>
      <c r="AH76">
        <v>1.0152517640365399</v>
      </c>
      <c r="AI76">
        <v>1.07614165467246</v>
      </c>
      <c r="AJ76">
        <v>1.0094799564871</v>
      </c>
      <c r="AK76">
        <v>0.92257372608532096</v>
      </c>
      <c r="AL76">
        <v>1.09914102628843</v>
      </c>
      <c r="AM76">
        <v>1.0411556737669101</v>
      </c>
      <c r="AN76">
        <v>0.965434999080242</v>
      </c>
      <c r="AO76">
        <v>0.995611953867371</v>
      </c>
      <c r="AP76">
        <v>1.0105644910626499</v>
      </c>
      <c r="AQ76">
        <v>0.87747051741620896</v>
      </c>
      <c r="AR76">
        <v>0.89806304105450696</v>
      </c>
      <c r="AS76">
        <v>1.0814826523021099</v>
      </c>
      <c r="AT76">
        <v>0.95928055307244997</v>
      </c>
      <c r="AU76">
        <v>0.98220680514655201</v>
      </c>
      <c r="AV76">
        <v>1.0981609747882699</v>
      </c>
      <c r="AW76">
        <v>1.04411832749571</v>
      </c>
      <c r="AX76">
        <v>0.97912678947188103</v>
      </c>
      <c r="AY76">
        <v>0.94633369001871204</v>
      </c>
      <c r="AZ76">
        <v>0.94852516524032904</v>
      </c>
      <c r="BA76">
        <v>1.02225859028514</v>
      </c>
      <c r="BB76">
        <v>1.00620322203626</v>
      </c>
      <c r="BC76">
        <v>1.0356948967209301</v>
      </c>
      <c r="BD76">
        <v>1.03874640797332</v>
      </c>
      <c r="BE76">
        <v>0.94740967576748902</v>
      </c>
      <c r="BF76">
        <v>1.0023748307451501</v>
      </c>
      <c r="BG76">
        <v>1.04254916030042</v>
      </c>
      <c r="BH76">
        <v>0.99303966654767195</v>
      </c>
      <c r="BI76">
        <v>1.0233944677612199</v>
      </c>
      <c r="BJ76">
        <v>0.97864471624118399</v>
      </c>
      <c r="BK76">
        <v>0.96456326167943995</v>
      </c>
      <c r="BL76">
        <v>1.0293103653814499</v>
      </c>
      <c r="BM76">
        <v>0.94538702031678601</v>
      </c>
      <c r="BN76">
        <v>1.05359370377067</v>
      </c>
      <c r="BO76">
        <v>1.0101634122954699</v>
      </c>
      <c r="BP76">
        <v>1.05359133975143</v>
      </c>
      <c r="BQ76">
        <v>1.01075840336629</v>
      </c>
      <c r="BR76">
        <v>1.00468080934719</v>
      </c>
      <c r="BS76">
        <v>1.0023737883324599</v>
      </c>
      <c r="BT76">
        <v>0.96929276651949203</v>
      </c>
      <c r="BU76">
        <v>1.01382348574746</v>
      </c>
      <c r="BV76">
        <v>1.0133968229200601</v>
      </c>
      <c r="BW76">
        <v>0.98280973730254395</v>
      </c>
      <c r="BX76">
        <v>1.00351651171668</v>
      </c>
      <c r="BY76">
        <v>1.02174050451397</v>
      </c>
      <c r="BZ76">
        <v>1.04895523710269</v>
      </c>
      <c r="CA76">
        <v>1.0212872584766099</v>
      </c>
      <c r="CB76">
        <v>0.97190981048776803</v>
      </c>
      <c r="CC76">
        <v>0.95841705266794197</v>
      </c>
      <c r="CD76">
        <v>1.00355227569156</v>
      </c>
      <c r="CE76">
        <v>0.94815022580281005</v>
      </c>
      <c r="CF76">
        <v>1.0096004244733501</v>
      </c>
      <c r="CG76">
        <v>1.02157548613413</v>
      </c>
      <c r="CH76">
        <v>1.0067695055208301</v>
      </c>
      <c r="CI76">
        <v>1.0797104434653799</v>
      </c>
      <c r="CJ76">
        <v>0.98307432283527296</v>
      </c>
      <c r="CK76">
        <v>0.98024195520157698</v>
      </c>
      <c r="CL76">
        <v>0.96613364306659499</v>
      </c>
      <c r="CM76">
        <v>0.96467053484777199</v>
      </c>
      <c r="CN76">
        <v>1.03309076189786</v>
      </c>
      <c r="CO76">
        <v>1.01264371388219</v>
      </c>
      <c r="CP76">
        <v>0.98671424197480495</v>
      </c>
      <c r="CQ76">
        <v>0.97827398508471797</v>
      </c>
      <c r="CR76">
        <v>0.98266351343715697</v>
      </c>
      <c r="CS76">
        <v>1.0226241036482</v>
      </c>
      <c r="CT76">
        <v>1.0553015472756799</v>
      </c>
      <c r="CU76">
        <v>1.02788852063242</v>
      </c>
      <c r="CV76">
        <v>0.96178325852670499</v>
      </c>
      <c r="CW76">
        <v>0.96366711328685095</v>
      </c>
      <c r="CX76">
        <v>1.0149171502752099</v>
      </c>
      <c r="CY76">
        <v>1.0011613158200401</v>
      </c>
      <c r="CZ76">
        <v>1.01159682055991</v>
      </c>
      <c r="DA76">
        <v>0.98531140414831597</v>
      </c>
      <c r="DB76">
        <v>0.97077866086003195</v>
      </c>
      <c r="DC76">
        <v>1.0266472537306299</v>
      </c>
      <c r="DD76">
        <v>0.99996059422539196</v>
      </c>
      <c r="DE76">
        <v>1.0370354478580901</v>
      </c>
      <c r="DF76">
        <v>1.0250919626270401</v>
      </c>
      <c r="DG76">
        <v>1.0167481559867599</v>
      </c>
      <c r="DH76">
        <v>1.09134387184544</v>
      </c>
    </row>
    <row r="77" spans="1:112" x14ac:dyDescent="0.4">
      <c r="B77">
        <f ca="1">PRODUCT(OFFSET(B76,0,0,1,12))</f>
        <v>0.58630010339317706</v>
      </c>
      <c r="C77">
        <f t="shared" ref="C77:BN77" ca="1" si="448">PRODUCT(OFFSET(C76,0,0,1,12))</f>
        <v>0.6891199443016911</v>
      </c>
      <c r="D77">
        <f t="shared" ca="1" si="448"/>
        <v>0.78409946668978825</v>
      </c>
      <c r="E77">
        <f t="shared" ca="1" si="448"/>
        <v>0.79793000992924035</v>
      </c>
      <c r="F77">
        <f t="shared" ca="1" si="448"/>
        <v>0.88277496618016005</v>
      </c>
      <c r="G77">
        <f t="shared" ca="1" si="448"/>
        <v>1.0068610617376292</v>
      </c>
      <c r="H77">
        <f t="shared" ca="1" si="448"/>
        <v>1.1216450184480629</v>
      </c>
      <c r="I77">
        <f t="shared" ca="1" si="448"/>
        <v>1.2012426729755901</v>
      </c>
      <c r="J77">
        <f t="shared" ca="1" si="448"/>
        <v>1.6018184618872602</v>
      </c>
      <c r="K77">
        <f t="shared" ca="1" si="448"/>
        <v>1.6196658176970977</v>
      </c>
      <c r="L77">
        <f t="shared" ca="1" si="448"/>
        <v>1.6066759182583528</v>
      </c>
      <c r="M77">
        <f t="shared" ca="1" si="448"/>
        <v>1.4493999965240432</v>
      </c>
      <c r="N77">
        <f t="shared" ca="1" si="448"/>
        <v>1.6547076153199345</v>
      </c>
      <c r="O77">
        <f t="shared" ca="1" si="448"/>
        <v>1.50560440174177</v>
      </c>
      <c r="P77">
        <f t="shared" ca="1" si="448"/>
        <v>1.2726689501679898</v>
      </c>
      <c r="Q77">
        <f t="shared" ca="1" si="448"/>
        <v>1.1750287045067764</v>
      </c>
      <c r="R77">
        <f t="shared" ca="1" si="448"/>
        <v>1.2485197328797295</v>
      </c>
      <c r="S77">
        <f t="shared" ca="1" si="448"/>
        <v>1.187606479035316</v>
      </c>
      <c r="T77">
        <f t="shared" ca="1" si="448"/>
        <v>1.1904384253734077</v>
      </c>
      <c r="U77">
        <f t="shared" ca="1" si="448"/>
        <v>1.2413663170969094</v>
      </c>
      <c r="V77">
        <f t="shared" ca="1" si="448"/>
        <v>1.2964409257697949</v>
      </c>
      <c r="W77">
        <f t="shared" ca="1" si="448"/>
        <v>1.3351423424999447</v>
      </c>
      <c r="X77">
        <f t="shared" ca="1" si="448"/>
        <v>1.3418772875097698</v>
      </c>
      <c r="Y77">
        <f t="shared" ca="1" si="448"/>
        <v>1.4082800824640449</v>
      </c>
      <c r="Z77">
        <f t="shared" ca="1" si="448"/>
        <v>1.2849842875861421</v>
      </c>
      <c r="AA77">
        <f t="shared" ca="1" si="448"/>
        <v>1.3256024702865854</v>
      </c>
      <c r="AB77">
        <f t="shared" ca="1" si="448"/>
        <v>1.3528904237603543</v>
      </c>
      <c r="AC77">
        <f t="shared" ca="1" si="448"/>
        <v>1.3838062475869484</v>
      </c>
      <c r="AD77">
        <f t="shared" ca="1" si="448"/>
        <v>1.2998795736297664</v>
      </c>
      <c r="AE77">
        <f t="shared" ca="1" si="448"/>
        <v>1.2612298124773151</v>
      </c>
      <c r="AF77">
        <f t="shared" ca="1" si="448"/>
        <v>1.0835740319482603</v>
      </c>
      <c r="AG77">
        <f t="shared" ca="1" si="448"/>
        <v>0.88465130892883614</v>
      </c>
      <c r="AH77">
        <f t="shared" ca="1" si="448"/>
        <v>0.96393368238608246</v>
      </c>
      <c r="AI77">
        <f t="shared" ca="1" si="448"/>
        <v>0.91079165653259997</v>
      </c>
      <c r="AJ77">
        <f t="shared" ca="1" si="448"/>
        <v>0.83128996933893562</v>
      </c>
      <c r="AK77">
        <f t="shared" ca="1" si="448"/>
        <v>0.90431731427113493</v>
      </c>
      <c r="AL77">
        <f t="shared" ca="1" si="448"/>
        <v>1.0234567222163311</v>
      </c>
      <c r="AM77">
        <f t="shared" ca="1" si="448"/>
        <v>0.91170638764249678</v>
      </c>
      <c r="AN77">
        <f t="shared" ca="1" si="448"/>
        <v>0.82867383982052767</v>
      </c>
      <c r="AO77">
        <f t="shared" ca="1" si="448"/>
        <v>0.81415941165892469</v>
      </c>
      <c r="AP77">
        <f t="shared" ca="1" si="448"/>
        <v>0.83594963800595568</v>
      </c>
      <c r="AQ77">
        <f t="shared" ca="1" si="448"/>
        <v>0.83234195012843737</v>
      </c>
      <c r="AR77">
        <f t="shared" ca="1" si="448"/>
        <v>0.98242880297922719</v>
      </c>
      <c r="AS77">
        <f t="shared" ca="1" si="448"/>
        <v>1.1363282348040231</v>
      </c>
      <c r="AT77">
        <f t="shared" ca="1" si="448"/>
        <v>0.99545597167876321</v>
      </c>
      <c r="AU77">
        <f t="shared" ca="1" si="448"/>
        <v>1.0401753771926916</v>
      </c>
      <c r="AV77">
        <f t="shared" ca="1" si="448"/>
        <v>1.1040790599038943</v>
      </c>
      <c r="AW77">
        <f t="shared" ca="1" si="448"/>
        <v>0.99839124377973809</v>
      </c>
      <c r="AX77">
        <f t="shared" ca="1" si="448"/>
        <v>0.97857498392549358</v>
      </c>
      <c r="AY77">
        <f t="shared" ca="1" si="448"/>
        <v>0.97809318237634491</v>
      </c>
      <c r="AZ77">
        <f t="shared" ca="1" si="448"/>
        <v>0.99693454874326226</v>
      </c>
      <c r="BA77">
        <f t="shared" ca="1" si="448"/>
        <v>1.0818427409549223</v>
      </c>
      <c r="BB77">
        <f t="shared" ca="1" si="448"/>
        <v>1.0004905755181168</v>
      </c>
      <c r="BC77">
        <f t="shared" ca="1" si="448"/>
        <v>1.0476120011965093</v>
      </c>
      <c r="BD77">
        <f t="shared" ca="1" si="448"/>
        <v>1.0217867416754316</v>
      </c>
      <c r="BE77">
        <f t="shared" ca="1" si="448"/>
        <v>1.0363892994850359</v>
      </c>
      <c r="BF77">
        <f t="shared" ca="1" si="448"/>
        <v>1.1056876664942221</v>
      </c>
      <c r="BG77">
        <f t="shared" ca="1" si="448"/>
        <v>1.1082313178522472</v>
      </c>
      <c r="BH77">
        <f t="shared" ca="1" si="448"/>
        <v>1.0655248373171453</v>
      </c>
      <c r="BI77">
        <f t="shared" ca="1" si="448"/>
        <v>1.0400445744014859</v>
      </c>
      <c r="BJ77">
        <f t="shared" ca="1" si="448"/>
        <v>1.0303178773861301</v>
      </c>
      <c r="BK77">
        <f t="shared" ca="1" si="448"/>
        <v>1.0669049208696935</v>
      </c>
      <c r="BL77">
        <f t="shared" ca="1" si="448"/>
        <v>1.0870873758772825</v>
      </c>
      <c r="BM77">
        <f t="shared" ca="1" si="448"/>
        <v>1.0598456676061276</v>
      </c>
      <c r="BN77">
        <f t="shared" ca="1" si="448"/>
        <v>1.1454433198839242</v>
      </c>
      <c r="BO77">
        <f t="shared" ref="BO77:CW77" ca="1" si="449">PRODUCT(OFFSET(BO76,0,0,1,12))</f>
        <v>1.1404004835037074</v>
      </c>
      <c r="BP77">
        <f t="shared" ca="1" si="449"/>
        <v>1.1529584908607218</v>
      </c>
      <c r="BQ77">
        <f t="shared" ca="1" si="449"/>
        <v>1.0635733477242511</v>
      </c>
      <c r="BR77">
        <f t="shared" ca="1" si="449"/>
        <v>1.0084970155352251</v>
      </c>
      <c r="BS77">
        <f t="shared" ca="1" si="449"/>
        <v>1.0073641952274766</v>
      </c>
      <c r="BT77">
        <f t="shared" ca="1" si="449"/>
        <v>0.9528706758778559</v>
      </c>
      <c r="BU77">
        <f t="shared" ca="1" si="449"/>
        <v>0.99249542765998322</v>
      </c>
      <c r="BV77">
        <f t="shared" ca="1" si="449"/>
        <v>1.0000843472768095</v>
      </c>
      <c r="BW77">
        <f t="shared" ca="1" si="449"/>
        <v>0.99354408955594231</v>
      </c>
      <c r="BX77">
        <f t="shared" ca="1" si="449"/>
        <v>1.0915031555152634</v>
      </c>
      <c r="BY77">
        <f t="shared" ca="1" si="449"/>
        <v>1.0692686298157057</v>
      </c>
      <c r="BZ77">
        <f t="shared" ca="1" si="449"/>
        <v>1.0258396997042294</v>
      </c>
      <c r="CA77">
        <f t="shared" ca="1" si="449"/>
        <v>0.94484322230478823</v>
      </c>
      <c r="CB77">
        <f t="shared" ca="1" si="449"/>
        <v>0.89246429840672226</v>
      </c>
      <c r="CC77">
        <f t="shared" ca="1" si="449"/>
        <v>0.94864421786721265</v>
      </c>
      <c r="CD77">
        <f t="shared" ca="1" si="449"/>
        <v>1.0023179379580043</v>
      </c>
      <c r="CE77">
        <f t="shared" ca="1" si="449"/>
        <v>0.98550061449310056</v>
      </c>
      <c r="CF77">
        <f t="shared" ca="1" si="449"/>
        <v>1.0168110360647731</v>
      </c>
      <c r="CG77">
        <f t="shared" ca="1" si="449"/>
        <v>0.98968174039972456</v>
      </c>
      <c r="CH77">
        <f t="shared" ca="1" si="449"/>
        <v>0.99069761991173777</v>
      </c>
      <c r="CI77">
        <f t="shared" ca="1" si="449"/>
        <v>1.0384549049629104</v>
      </c>
      <c r="CJ77">
        <f t="shared" ca="1" si="449"/>
        <v>0.98861308832012995</v>
      </c>
      <c r="CK77">
        <f t="shared" ca="1" si="449"/>
        <v>0.96720206745345749</v>
      </c>
      <c r="CL77">
        <f t="shared" ca="1" si="449"/>
        <v>0.95084771607870866</v>
      </c>
      <c r="CM77">
        <f t="shared" ca="1" si="449"/>
        <v>0.99885938273011399</v>
      </c>
      <c r="CN77">
        <f t="shared" ca="1" si="449"/>
        <v>1.0366434319371849</v>
      </c>
      <c r="CO77">
        <f t="shared" ca="1" si="449"/>
        <v>1.0150755756207692</v>
      </c>
      <c r="CP77">
        <f t="shared" ca="1" si="449"/>
        <v>0.9876776274028386</v>
      </c>
      <c r="CQ77">
        <f t="shared" ca="1" si="449"/>
        <v>0.97172648747075008</v>
      </c>
      <c r="CR77">
        <f t="shared" ca="1" si="449"/>
        <v>1.0197759982882133</v>
      </c>
      <c r="CS77">
        <f t="shared" ca="1" si="449"/>
        <v>1.0377263420092258</v>
      </c>
      <c r="CT77">
        <f t="shared" ca="1" si="449"/>
        <v>1.0523505147204038</v>
      </c>
      <c r="CU77">
        <f t="shared" ca="1" si="449"/>
        <v>1.0222254077909614</v>
      </c>
      <c r="CV77">
        <f t="shared" ca="1" si="449"/>
        <v>1.0111464205620317</v>
      </c>
      <c r="CW77">
        <f t="shared" ca="1" si="449"/>
        <v>1.1473566833646287</v>
      </c>
    </row>
    <row r="78" spans="1:112" x14ac:dyDescent="0.4">
      <c r="B78" s="18">
        <f ca="1">B77-E$20</f>
        <v>-3.4766488490535541E-2</v>
      </c>
      <c r="C78" s="18">
        <f ca="1">C77-F$20</f>
        <v>-1.8783271092765452E-2</v>
      </c>
      <c r="D78" s="18">
        <f t="shared" ref="D78" ca="1" si="450">D77-G$20</f>
        <v>3.3958407127045565E-2</v>
      </c>
      <c r="E78" s="18">
        <f t="shared" ref="E78" ca="1" si="451">E77-H$20</f>
        <v>4.4217846993634735E-2</v>
      </c>
      <c r="F78" s="18">
        <f t="shared" ref="F78" ca="1" si="452">F77-I$20</f>
        <v>5.2842790315043908E-2</v>
      </c>
      <c r="G78" s="18">
        <f t="shared" ref="G78" ca="1" si="453">G77-J$20</f>
        <v>3.0301648191252806E-2</v>
      </c>
      <c r="H78" s="18">
        <f t="shared" ref="H78" ca="1" si="454">H77-K$20</f>
        <v>4.1868319945783883E-2</v>
      </c>
      <c r="I78" s="18">
        <f t="shared" ref="I78" ca="1" si="455">I77-L$20</f>
        <v>4.580712472482662E-2</v>
      </c>
      <c r="J78" s="18">
        <f t="shared" ref="J78" ca="1" si="456">J77-M$20</f>
        <v>0.18168837006831029</v>
      </c>
      <c r="K78" s="18">
        <f t="shared" ref="K78" ca="1" si="457">K77-N$20</f>
        <v>0.17403495725121587</v>
      </c>
      <c r="L78" s="18">
        <f t="shared" ref="L78" ca="1" si="458">L77-O$20</f>
        <v>0.11017534465478862</v>
      </c>
      <c r="M78" s="18">
        <f t="shared" ref="M78" ca="1" si="459">M77-P$20</f>
        <v>7.0502990216550154E-2</v>
      </c>
      <c r="N78" s="18">
        <f t="shared" ref="N78" ca="1" si="460">N77-Q$20</f>
        <v>0.15467469056710503</v>
      </c>
      <c r="O78" s="18">
        <f t="shared" ref="O78" ca="1" si="461">O77-R$20</f>
        <v>0.10221707231030375</v>
      </c>
      <c r="P78" s="18">
        <f t="shared" ref="P78" ca="1" si="462">P77-S$20</f>
        <v>8.6314307562540549E-4</v>
      </c>
      <c r="Q78" s="18">
        <f t="shared" ref="Q78" ca="1" si="463">Q77-T$20</f>
        <v>-7.4445813497892033E-4</v>
      </c>
      <c r="R78" s="18">
        <f t="shared" ref="R78" ca="1" si="464">R77-U$20</f>
        <v>2.6789891936467303E-2</v>
      </c>
      <c r="S78" s="18">
        <f t="shared" ref="S78" ca="1" si="465">S77-V$20</f>
        <v>5.7868279984400361E-2</v>
      </c>
      <c r="T78" s="18">
        <f t="shared" ref="T78" ca="1" si="466">T77-W$20</f>
        <v>9.5643061488619008E-2</v>
      </c>
      <c r="U78" s="18">
        <f t="shared" ref="U78" ca="1" si="467">U77-X$20</f>
        <v>0.12202782778937959</v>
      </c>
      <c r="V78" s="18">
        <f t="shared" ref="V78" ca="1" si="468">V77-Y$20</f>
        <v>0.10522063589638497</v>
      </c>
      <c r="W78" s="18">
        <f t="shared" ref="W78" ca="1" si="469">W77-Z$20</f>
        <v>0.11077232450045837</v>
      </c>
      <c r="X78" s="18">
        <f t="shared" ref="X78" ca="1" si="470">X77-AA$20</f>
        <v>0.12305356234233678</v>
      </c>
      <c r="Y78" s="18">
        <f t="shared" ref="Y78" ca="1" si="471">Y77-AB$20</f>
        <v>0.11666047973568849</v>
      </c>
      <c r="Z78" s="18">
        <f t="shared" ref="Z78" ca="1" si="472">Z77-AC$20</f>
        <v>6.8801969985268885E-2</v>
      </c>
      <c r="AA78" s="18">
        <f t="shared" ref="AA78" ca="1" si="473">AA77-AD$20</f>
        <v>8.1133084339808814E-2</v>
      </c>
      <c r="AB78" s="18">
        <f t="shared" ref="AB78" ca="1" si="474">AB77-AE$20</f>
        <v>9.404203495950858E-2</v>
      </c>
      <c r="AC78" s="18">
        <f t="shared" ref="AC78" ca="1" si="475">AC77-AF$20</f>
        <v>7.8417062514594571E-2</v>
      </c>
      <c r="AD78" s="18">
        <f t="shared" ref="AD78" ca="1" si="476">AD77-AG$20</f>
        <v>6.2935353266930338E-2</v>
      </c>
      <c r="AE78" s="18">
        <f t="shared" ref="AE78" ca="1" si="477">AE77-AH$20</f>
        <v>4.8717094567655828E-2</v>
      </c>
      <c r="AF78" s="18">
        <f t="shared" ref="AF78" ca="1" si="478">AF77-AI$20</f>
        <v>4.7560718277610547E-3</v>
      </c>
      <c r="AG78" s="18">
        <f t="shared" ref="AG78" ca="1" si="479">AG77-AJ$20</f>
        <v>-6.0265687456275363E-2</v>
      </c>
      <c r="AH78" s="18">
        <f t="shared" ref="AH78" ca="1" si="480">AH77-AK$20</f>
        <v>-4.9916924374585614E-2</v>
      </c>
      <c r="AI78" s="18">
        <f t="shared" ref="AI78" ca="1" si="481">AI77-AL$20</f>
        <v>-5.9218266654580631E-2</v>
      </c>
      <c r="AJ78" s="18">
        <f t="shared" ref="AJ78" ca="1" si="482">AJ77-AM$20</f>
        <v>-5.8880679125228319E-2</v>
      </c>
      <c r="AK78" s="18">
        <f t="shared" ref="AK78" ca="1" si="483">AK77-AN$20</f>
        <v>-4.0632026947285182E-2</v>
      </c>
      <c r="AL78" s="18">
        <f t="shared" ref="AL78" ca="1" si="484">AL77-AO$20</f>
        <v>-2.3441643173242488E-2</v>
      </c>
      <c r="AM78" s="18">
        <f t="shared" ref="AM78" ca="1" si="485">AM77-AP$20</f>
        <v>-4.4310131083473037E-2</v>
      </c>
      <c r="AN78" s="18">
        <f t="shared" ref="AN78" ca="1" si="486">AN77-AQ$20</f>
        <v>-7.5370204040882127E-2</v>
      </c>
      <c r="AO78" s="18">
        <f t="shared" ref="AO78" ca="1" si="487">AO77-AR$20</f>
        <v>-4.6282041430266929E-2</v>
      </c>
      <c r="AP78" s="18">
        <f t="shared" ref="AP78" ca="1" si="488">AP77-AS$20</f>
        <v>-4.6622278840413922E-2</v>
      </c>
      <c r="AQ78" s="18">
        <f t="shared" ref="AQ78" ca="1" si="489">AQ77-AT$20</f>
        <v>-4.9891866514087502E-2</v>
      </c>
      <c r="AR78" s="18">
        <f t="shared" ref="AR78" ca="1" si="490">AR77-AU$20</f>
        <v>-3.087361017745005E-2</v>
      </c>
      <c r="AS78" s="18">
        <f t="shared" ref="AS78" ca="1" si="491">AS77-AV$20</f>
        <v>8.3029190636227934E-3</v>
      </c>
      <c r="AT78" s="18">
        <f t="shared" ref="AT78" ca="1" si="492">AT77-AW$20</f>
        <v>-6.1312218174105482E-3</v>
      </c>
      <c r="AU78" s="18">
        <f t="shared" ref="AU78" ca="1" si="493">AU77-AX$20</f>
        <v>-6.0435877926132697E-3</v>
      </c>
      <c r="AV78" s="18">
        <f t="shared" ref="AV78" ca="1" si="494">AV77-AY$20</f>
        <v>1.0248613071376811E-2</v>
      </c>
      <c r="AW78" s="18">
        <f t="shared" ref="AW78" ca="1" si="495">AW77-AZ$20</f>
        <v>-4.7532656001031404E-3</v>
      </c>
      <c r="AX78" s="18">
        <f t="shared" ref="AX78" ca="1" si="496">AX77-BA$20</f>
        <v>-1.9573027403160692E-2</v>
      </c>
      <c r="AY78" s="18">
        <f t="shared" ref="AY78" ca="1" si="497">AY77-BB$20</f>
        <v>-1.7363710237505936E-2</v>
      </c>
      <c r="AZ78" s="18">
        <f t="shared" ref="AZ78" ca="1" si="498">AZ77-BC$20</f>
        <v>6.0365119216839735E-3</v>
      </c>
      <c r="BA78" s="18">
        <f t="shared" ref="BA78" ca="1" si="499">BA77-BD$20</f>
        <v>-3.6373590738278949E-3</v>
      </c>
      <c r="BB78" s="18">
        <f t="shared" ref="BB78" ca="1" si="500">BB77-BE$20</f>
        <v>-4.5309723699737958E-3</v>
      </c>
      <c r="BC78" s="18">
        <f t="shared" ref="BC78" ca="1" si="501">BC77-BF$20</f>
        <v>3.0587468653828997E-2</v>
      </c>
      <c r="BD78" s="18">
        <f t="shared" ref="BD78" ca="1" si="502">BD77-BG$20</f>
        <v>1.0637837669384975E-2</v>
      </c>
      <c r="BE78" s="18">
        <f t="shared" ref="BE78" ca="1" si="503">BE77-BH$20</f>
        <v>3.6013587510844935E-2</v>
      </c>
      <c r="BF78" s="18">
        <f t="shared" ref="BF78" ca="1" si="504">BF77-BI$20</f>
        <v>4.3958432055972496E-2</v>
      </c>
      <c r="BG78" s="18">
        <f t="shared" ref="BG78" ca="1" si="505">BG77-BJ$20</f>
        <v>5.0302816636458081E-2</v>
      </c>
      <c r="BH78" s="18">
        <f t="shared" ref="BH78" ca="1" si="506">BH77-BK$20</f>
        <v>5.8369282874342288E-2</v>
      </c>
      <c r="BI78" s="18">
        <f t="shared" ref="BI78" ca="1" si="507">BI77-BL$20</f>
        <v>5.0641228733422805E-2</v>
      </c>
      <c r="BJ78" s="18">
        <f t="shared" ref="BJ78" ca="1" si="508">BJ77-BM$20</f>
        <v>5.3263956567374704E-2</v>
      </c>
      <c r="BK78" s="18">
        <f t="shared" ref="BK78" ca="1" si="509">BK77-BN$20</f>
        <v>7.6521408557297277E-2</v>
      </c>
      <c r="BL78" s="18">
        <f t="shared" ref="BL78" ca="1" si="510">BL77-BO$20</f>
        <v>8.81872002108961E-2</v>
      </c>
      <c r="BM78" s="18">
        <f t="shared" ref="BM78" ca="1" si="511">BM77-BP$20</f>
        <v>6.2889069819965004E-2</v>
      </c>
      <c r="BN78" s="18">
        <f t="shared" ref="BN78" ca="1" si="512">BN77-BQ$20</f>
        <v>7.090432497161725E-2</v>
      </c>
      <c r="BO78" s="18">
        <f t="shared" ref="BO78" ca="1" si="513">BO77-BR$20</f>
        <v>5.5715290481654911E-2</v>
      </c>
      <c r="BP78" s="18">
        <f t="shared" ref="BP78" ca="1" si="514">BP77-BS$20</f>
        <v>7.915089518805396E-2</v>
      </c>
      <c r="BQ78" s="18">
        <f t="shared" ref="BQ78" ca="1" si="515">BQ77-BT$20</f>
        <v>5.1990742163799286E-2</v>
      </c>
      <c r="BR78" s="18">
        <f t="shared" ref="BR78" ca="1" si="516">BR77-BU$20</f>
        <v>4.0840409177871573E-2</v>
      </c>
      <c r="BS78" s="18">
        <f t="shared" ref="BS78" ca="1" si="517">BS77-BV$20</f>
        <v>3.870604091937857E-2</v>
      </c>
      <c r="BT78" s="18">
        <f t="shared" ref="BT78" ca="1" si="518">BT77-BW$20</f>
        <v>4.757550787866105E-4</v>
      </c>
      <c r="BU78" s="18">
        <f t="shared" ref="BU78" ca="1" si="519">BU77-BX$20</f>
        <v>-1.1682508099747024E-2</v>
      </c>
      <c r="BV78" s="18">
        <f t="shared" ref="BV78" ca="1" si="520">BV77-BY$20</f>
        <v>-2.8500109775251303E-3</v>
      </c>
      <c r="BW78" s="18">
        <f t="shared" ref="BW78" ca="1" si="521">BW77-BZ$20</f>
        <v>-3.4366728781999201E-2</v>
      </c>
      <c r="BX78" s="18">
        <f t="shared" ref="BX78" ca="1" si="522">BX77-CA$20</f>
        <v>7.2025932736368148E-3</v>
      </c>
      <c r="BY78" s="18">
        <f t="shared" ref="BY78" ca="1" si="523">BY77-CB$20</f>
        <v>9.1972499384151973E-3</v>
      </c>
      <c r="BZ78" s="18">
        <f t="shared" ref="BZ78" ca="1" si="524">BZ77-CC$20</f>
        <v>-1.0115569723053053E-2</v>
      </c>
      <c r="CA78" s="18">
        <f t="shared" ref="CA78" ca="1" si="525">CA77-CD$20</f>
        <v>-3.301932899282467E-2</v>
      </c>
      <c r="CB78" s="18">
        <f t="shared" ref="CB78" ca="1" si="526">CB77-CE$20</f>
        <v>-4.6115569519447841E-2</v>
      </c>
      <c r="CC78" s="18">
        <f t="shared" ref="CC78" ca="1" si="527">CC77-CF$20</f>
        <v>-2.3000609838483621E-2</v>
      </c>
      <c r="CD78" s="18">
        <f t="shared" ref="CD78" ca="1" si="528">CD77-CG$20</f>
        <v>-3.0790902774421758E-2</v>
      </c>
      <c r="CE78" s="18">
        <f t="shared" ref="CE78" ca="1" si="529">CE77-CH$20</f>
        <v>-2.0148675180664433E-2</v>
      </c>
      <c r="CF78" s="18">
        <f t="shared" ref="CF78" ca="1" si="530">CF77-CI$20</f>
        <v>-7.0562841864292292E-3</v>
      </c>
      <c r="CG78" s="18">
        <f t="shared" ref="CG78" ca="1" si="531">CG77-CJ$20</f>
        <v>8.7659056726994145E-3</v>
      </c>
      <c r="CH78" s="18">
        <f t="shared" ref="CH78" ca="1" si="532">CH77-CK$20</f>
        <v>2.5514822046897256E-2</v>
      </c>
      <c r="CI78" s="18">
        <f t="shared" ref="CI78" ca="1" si="533">CI77-CL$20</f>
        <v>6.0590787336025853E-2</v>
      </c>
      <c r="CJ78" s="18">
        <f t="shared" ref="CJ78" ca="1" si="534">CJ77-CM$20</f>
        <v>5.1146877344984687E-2</v>
      </c>
      <c r="CK78" s="18">
        <f t="shared" ref="CK78" ca="1" si="535">CK77-CN$20</f>
        <v>2.9335602539517613E-2</v>
      </c>
      <c r="CL78" s="18">
        <f t="shared" ref="CL78" ca="1" si="536">CL77-CO$20</f>
        <v>9.152119807430692E-4</v>
      </c>
      <c r="CM78" s="18">
        <f t="shared" ref="CM78" ca="1" si="537">CM77-CP$20</f>
        <v>5.7406137660913625E-3</v>
      </c>
      <c r="CN78" s="18">
        <f t="shared" ref="CN78" ca="1" si="538">CN77-CQ$20</f>
        <v>-1.1340333109248979E-2</v>
      </c>
      <c r="CO78" s="18">
        <f t="shared" ref="CO78" ca="1" si="539">CO77-CR$20</f>
        <v>-2.6100085803413275E-2</v>
      </c>
      <c r="CP78" s="18">
        <f t="shared" ref="CP78" ca="1" si="540">CP77-CS$20</f>
        <v>-1.8368763838644275E-3</v>
      </c>
      <c r="CQ78" s="18">
        <f t="shared" ref="CQ78" ca="1" si="541">CQ77-CT$20</f>
        <v>-2.4011400148039375E-2</v>
      </c>
      <c r="CR78" s="18">
        <f t="shared" ref="CR78" ca="1" si="542">CR77-CU$20</f>
        <v>-1.3441596074738049E-2</v>
      </c>
      <c r="CS78" s="18">
        <f t="shared" ref="CS78" ca="1" si="543">CS77-CV$20</f>
        <v>-4.360478776703669E-2</v>
      </c>
      <c r="CT78" s="18">
        <f t="shared" ref="CT78" ca="1" si="544">CT77-CW$20</f>
        <v>-3.8943715868224205E-2</v>
      </c>
      <c r="CU78" s="18">
        <f t="shared" ref="CU78" ca="1" si="545">CU77-CX$20</f>
        <v>-6.0135491074183589E-2</v>
      </c>
      <c r="CV78" s="18">
        <f t="shared" ref="CV78" ca="1" si="546">CV77-CY$20</f>
        <v>-9.480849757351506E-2</v>
      </c>
      <c r="CW78" s="18">
        <f t="shared" ref="CW78" ca="1" si="547">CW77-CZ$20</f>
        <v>-3.6156475856909731E-2</v>
      </c>
    </row>
    <row r="80" spans="1:112" s="28" customFormat="1" x14ac:dyDescent="0.4">
      <c r="A80" s="28" t="s">
        <v>147</v>
      </c>
    </row>
    <row r="81" spans="1:112" x14ac:dyDescent="0.4">
      <c r="A81" t="s">
        <v>144</v>
      </c>
      <c r="B81">
        <v>0.98653196837086898</v>
      </c>
      <c r="C81">
        <v>1.0590242141000601</v>
      </c>
      <c r="D81">
        <v>1.01489935375662</v>
      </c>
      <c r="E81">
        <v>0.89756725754288702</v>
      </c>
      <c r="F81">
        <v>0.94278689619660205</v>
      </c>
      <c r="G81">
        <v>0.91221328405920499</v>
      </c>
      <c r="H81">
        <v>0.97123504043315101</v>
      </c>
      <c r="I81">
        <v>0.68734527709770099</v>
      </c>
      <c r="J81">
        <v>0.97759207002554005</v>
      </c>
      <c r="K81">
        <v>1.08178046769949</v>
      </c>
      <c r="L81">
        <v>1.06541480115221</v>
      </c>
      <c r="M81">
        <v>0.90085202419761701</v>
      </c>
      <c r="N81">
        <v>1.16778379448917</v>
      </c>
      <c r="O81">
        <v>1.2074250409818601</v>
      </c>
      <c r="P81">
        <v>1.0138467568877101</v>
      </c>
      <c r="Q81">
        <v>0.99184892499476296</v>
      </c>
      <c r="R81">
        <v>1.0874384392265699</v>
      </c>
      <c r="S81">
        <v>1.0257829975549499</v>
      </c>
      <c r="T81">
        <v>1.0445814589202</v>
      </c>
      <c r="U81">
        <v>0.95521849514133195</v>
      </c>
      <c r="V81">
        <v>0.97841658030406098</v>
      </c>
      <c r="W81">
        <v>1.0746355505323799</v>
      </c>
      <c r="X81">
        <v>0.95065152077552095</v>
      </c>
      <c r="Y81">
        <v>0.99654532463276901</v>
      </c>
      <c r="Z81">
        <v>1.0642872863842501</v>
      </c>
      <c r="AA81">
        <v>1.0076088662476299</v>
      </c>
      <c r="AB81">
        <v>0.93680478059820305</v>
      </c>
      <c r="AC81">
        <v>1.05982387441825</v>
      </c>
      <c r="AD81">
        <v>1.0306927425544301</v>
      </c>
      <c r="AE81">
        <v>1.01743654235109</v>
      </c>
      <c r="AF81">
        <v>1.10531019248132</v>
      </c>
      <c r="AG81">
        <v>1.0131561509846501</v>
      </c>
      <c r="AH81">
        <v>0.99483724918486804</v>
      </c>
      <c r="AI81">
        <v>1.06966199067887</v>
      </c>
      <c r="AJ81">
        <v>1.0065071657326701</v>
      </c>
      <c r="AK81">
        <v>0.91940186845755401</v>
      </c>
      <c r="AL81">
        <v>1.09108531502879</v>
      </c>
      <c r="AM81">
        <v>1.0344530761053401</v>
      </c>
      <c r="AN81">
        <v>0.96042751798251402</v>
      </c>
      <c r="AO81">
        <v>0.99694053578749098</v>
      </c>
      <c r="AP81">
        <v>1.03433747619857</v>
      </c>
      <c r="AQ81">
        <v>0.878654315564531</v>
      </c>
      <c r="AR81">
        <v>0.89798174276470399</v>
      </c>
      <c r="AS81">
        <v>1.07523447891297</v>
      </c>
      <c r="AT81">
        <v>0.96792424723363601</v>
      </c>
      <c r="AU81">
        <v>0.98522547597603405</v>
      </c>
      <c r="AV81">
        <v>1.0959818363031499</v>
      </c>
      <c r="AW81">
        <v>1.0444730555913899</v>
      </c>
      <c r="AX81">
        <v>0.97865492384501096</v>
      </c>
      <c r="AY81">
        <v>0.94558581882625603</v>
      </c>
      <c r="AZ81">
        <v>0.94805412289322899</v>
      </c>
      <c r="BA81">
        <v>1.02746734120855</v>
      </c>
      <c r="BB81">
        <v>1.00411251633975</v>
      </c>
      <c r="BC81">
        <v>1.0446468264805799</v>
      </c>
      <c r="BD81">
        <v>1.04990837175855</v>
      </c>
      <c r="BE81">
        <v>0.97749980960007798</v>
      </c>
      <c r="BF81">
        <v>1.0152454866564899</v>
      </c>
      <c r="BG81">
        <v>1.0427874878851799</v>
      </c>
      <c r="BH81">
        <v>1.0023849893919801</v>
      </c>
      <c r="BI81">
        <v>1.0234021221751</v>
      </c>
      <c r="BJ81">
        <v>1.0000123849831</v>
      </c>
      <c r="BK81">
        <v>0.98215022114964101</v>
      </c>
      <c r="BL81">
        <v>1.0291604818238</v>
      </c>
      <c r="BM81">
        <v>0.94796881007390099</v>
      </c>
      <c r="BN81">
        <v>1.05433696651605</v>
      </c>
      <c r="BO81">
        <v>1.00189418508509</v>
      </c>
      <c r="BP81">
        <v>1.0501172689685601</v>
      </c>
      <c r="BQ81">
        <v>1.01150834703102</v>
      </c>
      <c r="BR81">
        <v>1.0024404413558401</v>
      </c>
      <c r="BS81">
        <v>1.00676897057203</v>
      </c>
      <c r="BT81">
        <v>0.97753283110163003</v>
      </c>
      <c r="BU81">
        <v>1.0248614445737301</v>
      </c>
      <c r="BV81">
        <v>1.0210511307224801</v>
      </c>
      <c r="BW81">
        <v>0.98195925581868404</v>
      </c>
      <c r="BX81">
        <v>1.0030454134135001</v>
      </c>
      <c r="BY81">
        <v>1.0234403400785499</v>
      </c>
      <c r="BZ81">
        <v>1.0508961674867501</v>
      </c>
      <c r="CA81">
        <v>1.02258447950905</v>
      </c>
      <c r="CB81">
        <v>0.98325649537239901</v>
      </c>
      <c r="CC81">
        <v>0.96343809983947404</v>
      </c>
      <c r="CD81">
        <v>1.0021562519495599</v>
      </c>
      <c r="CE81">
        <v>0.95169184177849697</v>
      </c>
      <c r="CF81">
        <v>1.01773040486804</v>
      </c>
      <c r="CG81">
        <v>1.0275387384479</v>
      </c>
      <c r="CH81">
        <v>1.0180222485433399</v>
      </c>
      <c r="CI81">
        <v>1.07683239680057</v>
      </c>
      <c r="CJ81">
        <v>0.98314100870521204</v>
      </c>
      <c r="CK81">
        <v>0.98325953196820404</v>
      </c>
      <c r="CL81">
        <v>0.97369014339145399</v>
      </c>
      <c r="CM81">
        <v>0.95554776389257201</v>
      </c>
      <c r="CN81">
        <v>1.02838954861701</v>
      </c>
      <c r="CO81">
        <v>1.0150338726996699</v>
      </c>
      <c r="CP81">
        <v>0.98310730042823102</v>
      </c>
      <c r="CQ81">
        <v>0.98253634762032305</v>
      </c>
      <c r="CR81">
        <v>0.98441834558681196</v>
      </c>
      <c r="CS81">
        <v>1.02017941083557</v>
      </c>
      <c r="CT81">
        <v>1.0601286337267699</v>
      </c>
      <c r="CU81">
        <v>1.0264390454360499</v>
      </c>
      <c r="CV81">
        <v>0.96489795525044897</v>
      </c>
      <c r="CW81">
        <v>0.97176163298616902</v>
      </c>
      <c r="CX81">
        <v>1.0218957553939101</v>
      </c>
      <c r="CY81">
        <v>1.0026959566032301</v>
      </c>
      <c r="CZ81">
        <v>1.0086818027858799</v>
      </c>
      <c r="DA81">
        <v>0.97415990353055204</v>
      </c>
      <c r="DB81">
        <v>0.97264142304429702</v>
      </c>
      <c r="DC81">
        <v>1.02746495205204</v>
      </c>
      <c r="DD81">
        <v>0.98967223958110995</v>
      </c>
      <c r="DE81">
        <v>1.03417406186851</v>
      </c>
      <c r="DF81">
        <v>1.0212362828513799</v>
      </c>
      <c r="DG81">
        <v>1.0195875329141799</v>
      </c>
      <c r="DH81">
        <v>1.0832814184131101</v>
      </c>
    </row>
    <row r="82" spans="1:112" x14ac:dyDescent="0.4">
      <c r="B82">
        <f ca="1">PRODUCT(OFFSET(B81,0,0,1,12))</f>
        <v>0.55460687193772762</v>
      </c>
      <c r="C82">
        <f t="shared" ref="C82:BN82" ca="1" si="548">PRODUCT(OFFSET(C81,0,0,1,12))</f>
        <v>0.65650271671453053</v>
      </c>
      <c r="D82">
        <f t="shared" ca="1" si="548"/>
        <v>0.7484982959595009</v>
      </c>
      <c r="E82">
        <f t="shared" ca="1" si="548"/>
        <v>0.74772199537383677</v>
      </c>
      <c r="F82">
        <f t="shared" ca="1" si="548"/>
        <v>0.82626371569825585</v>
      </c>
      <c r="G82">
        <f t="shared" ca="1" si="548"/>
        <v>0.95303713809900947</v>
      </c>
      <c r="H82">
        <f t="shared" ca="1" si="548"/>
        <v>1.0716893838140418</v>
      </c>
      <c r="I82">
        <f t="shared" ca="1" si="548"/>
        <v>1.1526219848436507</v>
      </c>
      <c r="J82">
        <f t="shared" ca="1" si="548"/>
        <v>1.6018235296212959</v>
      </c>
      <c r="K82">
        <f t="shared" ca="1" si="548"/>
        <v>1.6031745225405762</v>
      </c>
      <c r="L82">
        <f t="shared" ca="1" si="548"/>
        <v>1.5925859146760504</v>
      </c>
      <c r="M82">
        <f t="shared" ca="1" si="548"/>
        <v>1.4210373463134993</v>
      </c>
      <c r="N82">
        <f t="shared" ca="1" si="548"/>
        <v>1.5719875024520378</v>
      </c>
      <c r="O82">
        <f t="shared" ca="1" si="548"/>
        <v>1.4326678629296139</v>
      </c>
      <c r="P82">
        <f t="shared" ca="1" si="548"/>
        <v>1.1955763646429216</v>
      </c>
      <c r="Q82">
        <f t="shared" ca="1" si="548"/>
        <v>1.1047247982584008</v>
      </c>
      <c r="R82">
        <f t="shared" ca="1" si="548"/>
        <v>1.1804355344361743</v>
      </c>
      <c r="S82">
        <f t="shared" ca="1" si="548"/>
        <v>1.1188369791875914</v>
      </c>
      <c r="T82">
        <f t="shared" ca="1" si="548"/>
        <v>1.1097333746733131</v>
      </c>
      <c r="U82">
        <f t="shared" ca="1" si="548"/>
        <v>1.1742498390035172</v>
      </c>
      <c r="V82">
        <f t="shared" ca="1" si="548"/>
        <v>1.245472583739204</v>
      </c>
      <c r="W82">
        <f t="shared" ca="1" si="548"/>
        <v>1.2663752271626725</v>
      </c>
      <c r="X82">
        <f t="shared" ca="1" si="548"/>
        <v>1.2605142699421747</v>
      </c>
      <c r="Y82">
        <f t="shared" ca="1" si="548"/>
        <v>1.3345759381630109</v>
      </c>
      <c r="Z82">
        <f t="shared" ca="1" si="548"/>
        <v>1.2312652328159024</v>
      </c>
      <c r="AA82">
        <f t="shared" ca="1" si="548"/>
        <v>1.2622676523694831</v>
      </c>
      <c r="AB82">
        <f t="shared" ca="1" si="548"/>
        <v>1.2958963538347585</v>
      </c>
      <c r="AC82">
        <f t="shared" ca="1" si="548"/>
        <v>1.3285740470723788</v>
      </c>
      <c r="AD82">
        <f t="shared" ca="1" si="548"/>
        <v>1.2497447493799214</v>
      </c>
      <c r="AE82">
        <f t="shared" ca="1" si="548"/>
        <v>1.2541640942987211</v>
      </c>
      <c r="AF82">
        <f t="shared" ca="1" si="548"/>
        <v>1.083091326103943</v>
      </c>
      <c r="AG82">
        <f t="shared" ca="1" si="548"/>
        <v>0.87993057804412722</v>
      </c>
      <c r="AH82">
        <f t="shared" ca="1" si="548"/>
        <v>0.93384587917998041</v>
      </c>
      <c r="AI82">
        <f t="shared" ca="1" si="548"/>
        <v>0.90858285652063209</v>
      </c>
      <c r="AJ82">
        <f t="shared" ca="1" si="548"/>
        <v>0.8368615367094463</v>
      </c>
      <c r="AK82">
        <f t="shared" ca="1" si="548"/>
        <v>0.9112553541202516</v>
      </c>
      <c r="AL82">
        <f t="shared" ca="1" si="548"/>
        <v>1.0352183270399065</v>
      </c>
      <c r="AM82">
        <f t="shared" ca="1" si="548"/>
        <v>0.92854472428259771</v>
      </c>
      <c r="AN82">
        <f t="shared" ca="1" si="548"/>
        <v>0.84877578665361353</v>
      </c>
      <c r="AO82">
        <f t="shared" ca="1" si="548"/>
        <v>0.83784082492683476</v>
      </c>
      <c r="AP82">
        <f t="shared" ca="1" si="548"/>
        <v>0.86349591960723915</v>
      </c>
      <c r="AQ82">
        <f t="shared" ca="1" si="548"/>
        <v>0.83826321740997944</v>
      </c>
      <c r="AR82">
        <f t="shared" ca="1" si="548"/>
        <v>0.99662517364421011</v>
      </c>
      <c r="AS82">
        <f t="shared" ca="1" si="548"/>
        <v>1.1652409659163323</v>
      </c>
      <c r="AT82">
        <f t="shared" ca="1" si="548"/>
        <v>1.0593250538923786</v>
      </c>
      <c r="AU82">
        <f t="shared" ca="1" si="548"/>
        <v>1.1111148242645312</v>
      </c>
      <c r="AV82">
        <f t="shared" ca="1" si="548"/>
        <v>1.1760319486247011</v>
      </c>
      <c r="AW82">
        <f t="shared" ca="1" si="548"/>
        <v>1.075598822260712</v>
      </c>
      <c r="AX82">
        <f t="shared" ca="1" si="548"/>
        <v>1.0538999655547698</v>
      </c>
      <c r="AY82">
        <f t="shared" ca="1" si="548"/>
        <v>1.0768995203614178</v>
      </c>
      <c r="AZ82">
        <f t="shared" ca="1" si="548"/>
        <v>1.1185416289256438</v>
      </c>
      <c r="BA82">
        <f t="shared" ca="1" si="548"/>
        <v>1.2142332531101057</v>
      </c>
      <c r="BB82">
        <f t="shared" ca="1" si="548"/>
        <v>1.1202840284432105</v>
      </c>
      <c r="BC82">
        <f t="shared" ca="1" si="548"/>
        <v>1.1763192321223293</v>
      </c>
      <c r="BD82">
        <f t="shared" ca="1" si="548"/>
        <v>1.1281778382821031</v>
      </c>
      <c r="BE82">
        <f t="shared" ca="1" si="548"/>
        <v>1.1284023085398434</v>
      </c>
      <c r="BF82">
        <f t="shared" ca="1" si="548"/>
        <v>1.1676609475393116</v>
      </c>
      <c r="BG82">
        <f t="shared" ca="1" si="548"/>
        <v>1.1529335229651014</v>
      </c>
      <c r="BH82">
        <f t="shared" ca="1" si="548"/>
        <v>1.1131104942653154</v>
      </c>
      <c r="BI82">
        <f t="shared" ca="1" si="548"/>
        <v>1.0855131155227318</v>
      </c>
      <c r="BJ82">
        <f t="shared" ca="1" si="548"/>
        <v>1.0870610052223568</v>
      </c>
      <c r="BK82">
        <f t="shared" ca="1" si="548"/>
        <v>1.109931122068414</v>
      </c>
      <c r="BL82">
        <f t="shared" ca="1" si="548"/>
        <v>1.1097153115340366</v>
      </c>
      <c r="BM82">
        <f t="shared" ca="1" si="548"/>
        <v>1.0815561548344788</v>
      </c>
      <c r="BN82">
        <f t="shared" ca="1" si="548"/>
        <v>1.1676630994131085</v>
      </c>
      <c r="BO82">
        <f t="shared" ref="BO82:CW82" ca="1" si="549">PRODUCT(OFFSET(BO81,0,0,1,12))</f>
        <v>1.1638524637372243</v>
      </c>
      <c r="BP82">
        <f t="shared" ca="1" si="549"/>
        <v>1.1878873872842945</v>
      </c>
      <c r="BQ82">
        <f t="shared" ca="1" si="549"/>
        <v>1.112254815564985</v>
      </c>
      <c r="BR82">
        <f t="shared" ca="1" si="549"/>
        <v>1.0593967604820671</v>
      </c>
      <c r="BS82">
        <f t="shared" ca="1" si="549"/>
        <v>1.0590964240990206</v>
      </c>
      <c r="BT82">
        <f t="shared" ca="1" si="549"/>
        <v>1.0011566267275058</v>
      </c>
      <c r="BU82">
        <f t="shared" ca="1" si="549"/>
        <v>1.0423256453775047</v>
      </c>
      <c r="BV82">
        <f t="shared" ca="1" si="549"/>
        <v>1.0450485618068763</v>
      </c>
      <c r="BW82">
        <f t="shared" ca="1" si="549"/>
        <v>1.0419484927996039</v>
      </c>
      <c r="BX82">
        <f t="shared" ca="1" si="549"/>
        <v>1.1426175640135869</v>
      </c>
      <c r="BY82">
        <f t="shared" ca="1" si="549"/>
        <v>1.119943493511109</v>
      </c>
      <c r="BZ82">
        <f t="shared" ca="1" si="549"/>
        <v>1.0759739206449987</v>
      </c>
      <c r="CA82">
        <f t="shared" ca="1" si="549"/>
        <v>0.99692551318729905</v>
      </c>
      <c r="CB82">
        <f t="shared" ca="1" si="549"/>
        <v>0.93157090096940731</v>
      </c>
      <c r="CC82">
        <f t="shared" ca="1" si="549"/>
        <v>0.97433150237144417</v>
      </c>
      <c r="CD82">
        <f t="shared" ca="1" si="549"/>
        <v>1.0265106583496708</v>
      </c>
      <c r="CE82">
        <f t="shared" ca="1" si="549"/>
        <v>1.0069987791102897</v>
      </c>
      <c r="CF82">
        <f t="shared" ca="1" si="549"/>
        <v>1.0396357928593352</v>
      </c>
      <c r="CG82">
        <f t="shared" ca="1" si="549"/>
        <v>1.0056067327104379</v>
      </c>
      <c r="CH82">
        <f t="shared" ca="1" si="549"/>
        <v>0.99840448415447625</v>
      </c>
      <c r="CI82">
        <f t="shared" ca="1" si="549"/>
        <v>1.0396994596216869</v>
      </c>
      <c r="CJ82">
        <f t="shared" ca="1" si="549"/>
        <v>0.99104384679104829</v>
      </c>
      <c r="CK82">
        <f t="shared" ca="1" si="549"/>
        <v>0.97265414916584803</v>
      </c>
      <c r="CL82">
        <f t="shared" ca="1" si="549"/>
        <v>0.96128026588481841</v>
      </c>
      <c r="CM82">
        <f t="shared" ca="1" si="549"/>
        <v>1.0088714876275566</v>
      </c>
      <c r="CN82">
        <f t="shared" ca="1" si="549"/>
        <v>1.0586507546787223</v>
      </c>
      <c r="CO82">
        <f t="shared" ca="1" si="549"/>
        <v>1.0383630922601377</v>
      </c>
      <c r="CP82">
        <f t="shared" ca="1" si="549"/>
        <v>0.99654968862809112</v>
      </c>
      <c r="CQ82">
        <f t="shared" ca="1" si="549"/>
        <v>0.98594070744807516</v>
      </c>
      <c r="CR82">
        <f t="shared" ca="1" si="549"/>
        <v>1.0310249836128682</v>
      </c>
      <c r="CS82">
        <f t="shared" ca="1" si="549"/>
        <v>1.0365276197570024</v>
      </c>
      <c r="CT82">
        <f t="shared" ca="1" si="549"/>
        <v>1.0507465327937029</v>
      </c>
      <c r="CU82">
        <f t="shared" ca="1" si="549"/>
        <v>1.0121983778487205</v>
      </c>
      <c r="CV82">
        <f t="shared" ca="1" si="549"/>
        <v>1.0054419222254829</v>
      </c>
      <c r="CW82">
        <f t="shared" ca="1" si="549"/>
        <v>1.1287997302862127</v>
      </c>
    </row>
    <row r="83" spans="1:112" x14ac:dyDescent="0.4">
      <c r="B83" s="18">
        <f ca="1">B82-E$20</f>
        <v>-6.6459719945984985E-2</v>
      </c>
      <c r="C83" s="18">
        <f ca="1">C82-F$20</f>
        <v>-5.1400498679926021E-2</v>
      </c>
      <c r="D83" s="18">
        <f t="shared" ref="D83" ca="1" si="550">D82-G$20</f>
        <v>-1.6427636032417814E-3</v>
      </c>
      <c r="E83" s="18">
        <f t="shared" ref="E83" ca="1" si="551">E82-H$20</f>
        <v>-5.9901675617688444E-3</v>
      </c>
      <c r="F83" s="18">
        <f t="shared" ref="F83" ca="1" si="552">F82-I$20</f>
        <v>-3.6684601668602879E-3</v>
      </c>
      <c r="G83" s="18">
        <f t="shared" ref="G83" ca="1" si="553">G82-J$20</f>
        <v>-2.3522275447366958E-2</v>
      </c>
      <c r="H83" s="18">
        <f t="shared" ref="H83" ca="1" si="554">H82-K$20</f>
        <v>-8.0873146882372016E-3</v>
      </c>
      <c r="I83" s="18">
        <f t="shared" ref="I83" ca="1" si="555">I82-L$20</f>
        <v>-2.8135634071126958E-3</v>
      </c>
      <c r="J83" s="18">
        <f t="shared" ref="J83" ca="1" si="556">J82-M$20</f>
        <v>0.18169343780234604</v>
      </c>
      <c r="K83" s="18">
        <f t="shared" ref="K83" ca="1" si="557">K82-N$20</f>
        <v>0.15754366209469439</v>
      </c>
      <c r="L83" s="18">
        <f t="shared" ref="L83" ca="1" si="558">L82-O$20</f>
        <v>9.608534107248623E-2</v>
      </c>
      <c r="M83" s="18">
        <f t="shared" ref="M83" ca="1" si="559">M82-P$20</f>
        <v>4.2140340006006305E-2</v>
      </c>
      <c r="N83" s="18">
        <f t="shared" ref="N83" ca="1" si="560">N82-Q$20</f>
        <v>7.1954577699208322E-2</v>
      </c>
      <c r="O83" s="18">
        <f t="shared" ref="O83" ca="1" si="561">O82-R$20</f>
        <v>2.9280533498147632E-2</v>
      </c>
      <c r="P83" s="18">
        <f t="shared" ref="P83" ca="1" si="562">P82-S$20</f>
        <v>-7.6229442449442741E-2</v>
      </c>
      <c r="Q83" s="18">
        <f t="shared" ref="Q83" ca="1" si="563">Q82-T$20</f>
        <v>-7.1048364383354601E-2</v>
      </c>
      <c r="R83" s="18">
        <f t="shared" ref="R83" ca="1" si="564">R82-U$20</f>
        <v>-4.1294306507087875E-2</v>
      </c>
      <c r="S83" s="18">
        <f t="shared" ref="S83" ca="1" si="565">S82-V$20</f>
        <v>-1.0901219863324263E-2</v>
      </c>
      <c r="T83" s="18">
        <f t="shared" ref="T83" ca="1" si="566">T82-W$20</f>
        <v>1.4938010788524414E-2</v>
      </c>
      <c r="U83" s="18">
        <f t="shared" ref="U83" ca="1" si="567">U82-X$20</f>
        <v>5.4911349695987433E-2</v>
      </c>
      <c r="V83" s="18">
        <f t="shared" ref="V83" ca="1" si="568">V82-Y$20</f>
        <v>5.425229386579411E-2</v>
      </c>
      <c r="W83" s="18">
        <f t="shared" ref="W83" ca="1" si="569">W82-Z$20</f>
        <v>4.2005209163186175E-2</v>
      </c>
      <c r="X83" s="18">
        <f t="shared" ref="X83" ca="1" si="570">X82-AA$20</f>
        <v>4.1690544774741767E-2</v>
      </c>
      <c r="Y83" s="18">
        <f t="shared" ref="Y83" ca="1" si="571">Y82-AB$20</f>
        <v>4.2956335434654491E-2</v>
      </c>
      <c r="Z83" s="18">
        <f t="shared" ref="Z83" ca="1" si="572">Z82-AC$20</f>
        <v>1.5082915215029136E-2</v>
      </c>
      <c r="AA83" s="18">
        <f t="shared" ref="AA83" ca="1" si="573">AA82-AD$20</f>
        <v>1.7798266422706543E-2</v>
      </c>
      <c r="AB83" s="18">
        <f t="shared" ref="AB83" ca="1" si="574">AB82-AE$20</f>
        <v>3.7047965033912833E-2</v>
      </c>
      <c r="AC83" s="18">
        <f t="shared" ref="AC83" ca="1" si="575">AC82-AF$20</f>
        <v>2.3184862000025008E-2</v>
      </c>
      <c r="AD83" s="18">
        <f t="shared" ref="AD83" ca="1" si="576">AD82-AG$20</f>
        <v>1.2800529017085394E-2</v>
      </c>
      <c r="AE83" s="18">
        <f t="shared" ref="AE83" ca="1" si="577">AE82-AH$20</f>
        <v>4.1651376389061801E-2</v>
      </c>
      <c r="AF83" s="18">
        <f t="shared" ref="AF83" ca="1" si="578">AF82-AI$20</f>
        <v>4.2733659834437443E-3</v>
      </c>
      <c r="AG83" s="18">
        <f t="shared" ref="AG83" ca="1" si="579">AG82-AJ$20</f>
        <v>-6.4986418340984287E-2</v>
      </c>
      <c r="AH83" s="18">
        <f t="shared" ref="AH83" ca="1" si="580">AH82-AK$20</f>
        <v>-8.0004727580687662E-2</v>
      </c>
      <c r="AI83" s="18">
        <f t="shared" ref="AI83" ca="1" si="581">AI82-AL$20</f>
        <v>-6.1427066666548513E-2</v>
      </c>
      <c r="AJ83" s="18">
        <f t="shared" ref="AJ83" ca="1" si="582">AJ82-AM$20</f>
        <v>-5.3309111754717642E-2</v>
      </c>
      <c r="AK83" s="18">
        <f t="shared" ref="AK83" ca="1" si="583">AK82-AN$20</f>
        <v>-3.369398709816851E-2</v>
      </c>
      <c r="AL83" s="18">
        <f t="shared" ref="AL83" ca="1" si="584">AL82-AO$20</f>
        <v>-1.1680038349667132E-2</v>
      </c>
      <c r="AM83" s="18">
        <f t="shared" ref="AM83" ca="1" si="585">AM82-AP$20</f>
        <v>-2.7471794443372111E-2</v>
      </c>
      <c r="AN83" s="18">
        <f t="shared" ref="AN83" ca="1" si="586">AN82-AQ$20</f>
        <v>-5.5268257207796267E-2</v>
      </c>
      <c r="AO83" s="18">
        <f t="shared" ref="AO83" ca="1" si="587">AO82-AR$20</f>
        <v>-2.2600628162356862E-2</v>
      </c>
      <c r="AP83" s="18">
        <f t="shared" ref="AP83" ca="1" si="588">AP82-AS$20</f>
        <v>-1.9075997239130449E-2</v>
      </c>
      <c r="AQ83" s="18">
        <f t="shared" ref="AQ83" ca="1" si="589">AQ82-AT$20</f>
        <v>-4.3970599232545426E-2</v>
      </c>
      <c r="AR83" s="18">
        <f t="shared" ref="AR83" ca="1" si="590">AR82-AU$20</f>
        <v>-1.6677239512467135E-2</v>
      </c>
      <c r="AS83" s="18">
        <f t="shared" ref="AS83" ca="1" si="591">AS82-AV$20</f>
        <v>3.721565017593198E-2</v>
      </c>
      <c r="AT83" s="18">
        <f t="shared" ref="AT83" ca="1" si="592">AT82-AW$20</f>
        <v>5.7737860396204876E-2</v>
      </c>
      <c r="AU83" s="18">
        <f t="shared" ref="AU83" ca="1" si="593">AU82-AX$20</f>
        <v>6.4895859279226364E-2</v>
      </c>
      <c r="AV83" s="18">
        <f t="shared" ref="AV83" ca="1" si="594">AV82-AY$20</f>
        <v>8.2201501792183551E-2</v>
      </c>
      <c r="AW83" s="18">
        <f t="shared" ref="AW83" ca="1" si="595">AW82-AZ$20</f>
        <v>7.2454312880870786E-2</v>
      </c>
      <c r="AX83" s="18">
        <f t="shared" ref="AX83" ca="1" si="596">AX82-BA$20</f>
        <v>5.5751954226115563E-2</v>
      </c>
      <c r="AY83" s="18">
        <f t="shared" ref="AY83" ca="1" si="597">AY82-BB$20</f>
        <v>8.1442627747566942E-2</v>
      </c>
      <c r="AZ83" s="18">
        <f t="shared" ref="AZ83" ca="1" si="598">AZ82-BC$20</f>
        <v>0.12764359210406551</v>
      </c>
      <c r="BA83" s="18">
        <f t="shared" ref="BA83" ca="1" si="599">BA82-BD$20</f>
        <v>0.12875315308135549</v>
      </c>
      <c r="BB83" s="18">
        <f t="shared" ref="BB83" ca="1" si="600">BB82-BE$20</f>
        <v>0.11526248055511989</v>
      </c>
      <c r="BC83" s="18">
        <f t="shared" ref="BC83" ca="1" si="601">BC82-BF$20</f>
        <v>0.15929469957964892</v>
      </c>
      <c r="BD83" s="18">
        <f t="shared" ref="BD83" ca="1" si="602">BD82-BG$20</f>
        <v>0.11702893427605643</v>
      </c>
      <c r="BE83" s="18">
        <f t="shared" ref="BE83" ca="1" si="603">BE82-BH$20</f>
        <v>0.12802659656565241</v>
      </c>
      <c r="BF83" s="18">
        <f t="shared" ref="BF83" ca="1" si="604">BF82-BI$20</f>
        <v>0.10593171310106198</v>
      </c>
      <c r="BG83" s="18">
        <f t="shared" ref="BG83" ca="1" si="605">BG82-BJ$20</f>
        <v>9.5005021749312357E-2</v>
      </c>
      <c r="BH83" s="18">
        <f t="shared" ref="BH83" ca="1" si="606">BH82-BK$20</f>
        <v>0.10595493982251236</v>
      </c>
      <c r="BI83" s="18">
        <f t="shared" ref="BI83" ca="1" si="607">BI82-BL$20</f>
        <v>9.6109769854668681E-2</v>
      </c>
      <c r="BJ83" s="18">
        <f t="shared" ref="BJ83" ca="1" si="608">BJ82-BM$20</f>
        <v>0.11000708440360141</v>
      </c>
      <c r="BK83" s="18">
        <f t="shared" ref="BK83" ca="1" si="609">BK82-BN$20</f>
        <v>0.11954760975601786</v>
      </c>
      <c r="BL83" s="18">
        <f t="shared" ref="BL83" ca="1" si="610">BL82-BO$20</f>
        <v>0.11081513586765013</v>
      </c>
      <c r="BM83" s="18">
        <f t="shared" ref="BM83" ca="1" si="611">BM82-BP$20</f>
        <v>8.4599557048316121E-2</v>
      </c>
      <c r="BN83" s="18">
        <f t="shared" ref="BN83" ca="1" si="612">BN82-BQ$20</f>
        <v>9.3124104500801552E-2</v>
      </c>
      <c r="BO83" s="18">
        <f t="shared" ref="BO83" ca="1" si="613">BO82-BR$20</f>
        <v>7.9167270715171822E-2</v>
      </c>
      <c r="BP83" s="18">
        <f t="shared" ref="BP83" ca="1" si="614">BP82-BS$20</f>
        <v>0.11407979161162674</v>
      </c>
      <c r="BQ83" s="18">
        <f t="shared" ref="BQ83" ca="1" si="615">BQ82-BT$20</f>
        <v>0.10067221000453319</v>
      </c>
      <c r="BR83" s="18">
        <f t="shared" ref="BR83" ca="1" si="616">BR82-BU$20</f>
        <v>9.1740154124713591E-2</v>
      </c>
      <c r="BS83" s="18">
        <f t="shared" ref="BS83" ca="1" si="617">BS82-BV$20</f>
        <v>9.0438269790922621E-2</v>
      </c>
      <c r="BT83" s="18">
        <f t="shared" ref="BT83" ca="1" si="618">BT82-BW$20</f>
        <v>4.8761705928436538E-2</v>
      </c>
      <c r="BU83" s="18">
        <f t="shared" ref="BU83" ca="1" si="619">BU82-BX$20</f>
        <v>3.8147709617774472E-2</v>
      </c>
      <c r="BV83" s="18">
        <f t="shared" ref="BV83" ca="1" si="620">BV82-BY$20</f>
        <v>4.2114203552541696E-2</v>
      </c>
      <c r="BW83" s="18">
        <f t="shared" ref="BW83" ca="1" si="621">BW82-BZ$20</f>
        <v>1.4037674461662375E-2</v>
      </c>
      <c r="BX83" s="18">
        <f t="shared" ref="BX83" ca="1" si="622">BX82-CA$20</f>
        <v>5.8317001771960308E-2</v>
      </c>
      <c r="BY83" s="18">
        <f t="shared" ref="BY83" ca="1" si="623">BY82-CB$20</f>
        <v>5.9872113633818502E-2</v>
      </c>
      <c r="BZ83" s="18">
        <f t="shared" ref="BZ83" ca="1" si="624">BZ82-CC$20</f>
        <v>4.0018651217716306E-2</v>
      </c>
      <c r="CA83" s="18">
        <f t="shared" ref="CA83" ca="1" si="625">CA82-CD$20</f>
        <v>1.9062961889686147E-2</v>
      </c>
      <c r="CB83" s="18">
        <f t="shared" ref="CB83" ca="1" si="626">CB82-CE$20</f>
        <v>-7.0089669567627855E-3</v>
      </c>
      <c r="CC83" s="18">
        <f t="shared" ref="CC83" ca="1" si="627">CC82-CF$20</f>
        <v>2.6866746657479013E-3</v>
      </c>
      <c r="CD83" s="18">
        <f t="shared" ref="CD83" ca="1" si="628">CD82-CG$20</f>
        <v>-6.5981823827552244E-3</v>
      </c>
      <c r="CE83" s="18">
        <f t="shared" ref="CE83" ca="1" si="629">CE82-CH$20</f>
        <v>1.3494894365246868E-3</v>
      </c>
      <c r="CF83" s="18">
        <f t="shared" ref="CF83" ca="1" si="630">CF82-CI$20</f>
        <v>1.5768472608132855E-2</v>
      </c>
      <c r="CG83" s="18">
        <f t="shared" ref="CG83" ca="1" si="631">CG82-CJ$20</f>
        <v>2.469089798341273E-2</v>
      </c>
      <c r="CH83" s="18">
        <f t="shared" ref="CH83" ca="1" si="632">CH82-CK$20</f>
        <v>3.3221686289635732E-2</v>
      </c>
      <c r="CI83" s="18">
        <f t="shared" ref="CI83" ca="1" si="633">CI82-CL$20</f>
        <v>6.183534199480234E-2</v>
      </c>
      <c r="CJ83" s="18">
        <f t="shared" ref="CJ83" ca="1" si="634">CJ82-CM$20</f>
        <v>5.3577635815903024E-2</v>
      </c>
      <c r="CK83" s="18">
        <f t="shared" ref="CK83" ca="1" si="635">CK82-CN$20</f>
        <v>3.4787684251908146E-2</v>
      </c>
      <c r="CL83" s="18">
        <f t="shared" ref="CL83" ca="1" si="636">CL82-CO$20</f>
        <v>1.1347761786852817E-2</v>
      </c>
      <c r="CM83" s="18">
        <f t="shared" ref="CM83" ca="1" si="637">CM82-CP$20</f>
        <v>1.5752718663534004E-2</v>
      </c>
      <c r="CN83" s="18">
        <f t="shared" ref="CN83" ca="1" si="638">CN82-CQ$20</f>
        <v>1.0666989632288404E-2</v>
      </c>
      <c r="CO83" s="18">
        <f t="shared" ref="CO83" ca="1" si="639">CO82-CR$20</f>
        <v>-2.8125691640448203E-3</v>
      </c>
      <c r="CP83" s="18">
        <f t="shared" ref="CP83" ca="1" si="640">CP82-CS$20</f>
        <v>7.035184841388098E-3</v>
      </c>
      <c r="CQ83" s="18">
        <f t="shared" ref="CQ83" ca="1" si="641">CQ82-CT$20</f>
        <v>-9.7971801707142925E-3</v>
      </c>
      <c r="CR83" s="18">
        <f t="shared" ref="CR83" ca="1" si="642">CR82-CU$20</f>
        <v>-2.192610750083146E-3</v>
      </c>
      <c r="CS83" s="18">
        <f t="shared" ref="CS83" ca="1" si="643">CS82-CV$20</f>
        <v>-4.4803510019260084E-2</v>
      </c>
      <c r="CT83" s="18">
        <f t="shared" ref="CT83" ca="1" si="644">CT82-CW$20</f>
        <v>-4.0547697794925064E-2</v>
      </c>
      <c r="CU83" s="18">
        <f t="shared" ref="CU83" ca="1" si="645">CU82-CX$20</f>
        <v>-7.0162521016424506E-2</v>
      </c>
      <c r="CV83" s="18">
        <f t="shared" ref="CV83" ca="1" si="646">CV82-CY$20</f>
        <v>-0.10051299591006391</v>
      </c>
      <c r="CW83" s="18">
        <f t="shared" ref="CW83" ca="1" si="647">CW82-CZ$20</f>
        <v>-5.4713428935325714E-2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2001~Q</vt:lpstr>
      <vt:lpstr>섹터</vt:lpstr>
      <vt:lpstr>Quarter results</vt:lpstr>
      <vt:lpstr>BM_quarter</vt:lpstr>
      <vt:lpstr>2008~Q</vt:lpstr>
      <vt:lpstr>BM_monthly</vt:lpstr>
      <vt:lpstr>요약</vt:lpstr>
      <vt:lpstr>그래프result</vt:lpstr>
      <vt:lpstr>12개월롤링초과수익률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2017-07-12T04:18:15Z</dcterms:created>
  <dcterms:modified xsi:type="dcterms:W3CDTF">2017-07-18T07:23:56Z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dbb98f3c-e552-4bf3-99aa-6c74fd73c721</vt:lpwstr>
  </property>
</Properties>
</file>
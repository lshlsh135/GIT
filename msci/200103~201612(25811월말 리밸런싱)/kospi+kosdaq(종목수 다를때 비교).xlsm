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1"/>
  </bookViews>
  <sheets>
    <sheet name="2001~Q" sheetId="1" r:id="rId1"/>
    <sheet name="12개월롤링초과수익률" sheetId="8" r:id="rId2"/>
    <sheet name="Sheet1" sheetId="10" r:id="rId3"/>
    <sheet name="섹터" sheetId="9" r:id="rId4"/>
    <sheet name="Quarter results" sheetId="3" r:id="rId5"/>
    <sheet name="BM_quarter" sheetId="4" r:id="rId6"/>
    <sheet name="2008~Q" sheetId="2" r:id="rId7"/>
    <sheet name="BM_monthly" sheetId="6" r:id="rId8"/>
    <sheet name="요약" sheetId="5" r:id="rId9"/>
    <sheet name="그래프result" sheetId="7" r:id="rId10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"07/24/2017 00:37:06"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P91" i="10"/>
  <c r="H100" i="10"/>
  <c r="H99" i="10"/>
  <c r="H98" i="10"/>
  <c r="K98" i="10" s="1"/>
  <c r="H97" i="10"/>
  <c r="H96" i="10"/>
  <c r="H95" i="10"/>
  <c r="H94" i="10"/>
  <c r="H93" i="10"/>
  <c r="J93" i="10" s="1"/>
  <c r="H92" i="10"/>
  <c r="H91" i="10"/>
  <c r="H90" i="10"/>
  <c r="J90" i="10" s="1"/>
  <c r="H89" i="10"/>
  <c r="J89" i="10" s="1"/>
  <c r="H88" i="10"/>
  <c r="H87" i="10"/>
  <c r="H86" i="10"/>
  <c r="J86" i="10" s="1"/>
  <c r="H85" i="10"/>
  <c r="J85" i="10" s="1"/>
  <c r="H84" i="10"/>
  <c r="H83" i="10"/>
  <c r="H82" i="10"/>
  <c r="K82" i="10" s="1"/>
  <c r="H81" i="10"/>
  <c r="H80" i="10"/>
  <c r="H79" i="10"/>
  <c r="H78" i="10"/>
  <c r="H77" i="10"/>
  <c r="J77" i="10" s="1"/>
  <c r="H76" i="10"/>
  <c r="H75" i="10"/>
  <c r="H74" i="10"/>
  <c r="J74" i="10" s="1"/>
  <c r="H73" i="10"/>
  <c r="J73" i="10" s="1"/>
  <c r="H72" i="10"/>
  <c r="H71" i="10"/>
  <c r="H70" i="10"/>
  <c r="J70" i="10" s="1"/>
  <c r="H69" i="10"/>
  <c r="J69" i="10" s="1"/>
  <c r="H68" i="10"/>
  <c r="H67" i="10"/>
  <c r="H66" i="10"/>
  <c r="K66" i="10" s="1"/>
  <c r="H65" i="10"/>
  <c r="H64" i="10"/>
  <c r="H63" i="10"/>
  <c r="H62" i="10"/>
  <c r="H61" i="10"/>
  <c r="J61" i="10" s="1"/>
  <c r="H60" i="10"/>
  <c r="H59" i="10"/>
  <c r="H58" i="10"/>
  <c r="J58" i="10" s="1"/>
  <c r="H57" i="10"/>
  <c r="J57" i="10" s="1"/>
  <c r="H56" i="10"/>
  <c r="H55" i="10"/>
  <c r="H54" i="10"/>
  <c r="J54" i="10" s="1"/>
  <c r="H53" i="10"/>
  <c r="J53" i="10" s="1"/>
  <c r="H52" i="10"/>
  <c r="H51" i="10"/>
  <c r="H50" i="10"/>
  <c r="K50" i="10" s="1"/>
  <c r="H49" i="10"/>
  <c r="H48" i="10"/>
  <c r="H47" i="10"/>
  <c r="H46" i="10"/>
  <c r="H45" i="10"/>
  <c r="J45" i="10" s="1"/>
  <c r="H44" i="10"/>
  <c r="H43" i="10"/>
  <c r="H42" i="10"/>
  <c r="J42" i="10" s="1"/>
  <c r="H41" i="10"/>
  <c r="J41" i="10" s="1"/>
  <c r="H40" i="10"/>
  <c r="H39" i="10"/>
  <c r="H38" i="10"/>
  <c r="J38" i="10" s="1"/>
  <c r="H37" i="10"/>
  <c r="J37" i="10" s="1"/>
  <c r="H36" i="10"/>
  <c r="H35" i="10"/>
  <c r="H34" i="10"/>
  <c r="K34" i="10" s="1"/>
  <c r="H33" i="10"/>
  <c r="H32" i="10"/>
  <c r="H31" i="10"/>
  <c r="H30" i="10"/>
  <c r="H29" i="10"/>
  <c r="J29" i="10" s="1"/>
  <c r="H28" i="10"/>
  <c r="H27" i="10"/>
  <c r="H26" i="10"/>
  <c r="J26" i="10" s="1"/>
  <c r="H25" i="10"/>
  <c r="J25" i="10" s="1"/>
  <c r="H24" i="10"/>
  <c r="H23" i="10"/>
  <c r="H22" i="10"/>
  <c r="J22" i="10" s="1"/>
  <c r="H21" i="10"/>
  <c r="J21" i="10" s="1"/>
  <c r="H20" i="10"/>
  <c r="H19" i="10"/>
  <c r="H18" i="10"/>
  <c r="K18" i="10" s="1"/>
  <c r="H17" i="10"/>
  <c r="H16" i="10"/>
  <c r="H15" i="10"/>
  <c r="H14" i="10"/>
  <c r="H13" i="10"/>
  <c r="J13" i="10" s="1"/>
  <c r="H12" i="10"/>
  <c r="H11" i="10"/>
  <c r="H10" i="10"/>
  <c r="J10" i="10" s="1"/>
  <c r="H9" i="10"/>
  <c r="J9" i="10" s="1"/>
  <c r="H8" i="10"/>
  <c r="H7" i="10"/>
  <c r="H6" i="10"/>
  <c r="J6" i="10" s="1"/>
  <c r="H5" i="10"/>
  <c r="J5" i="10" s="1"/>
  <c r="H4" i="10"/>
  <c r="H3" i="10"/>
  <c r="H2" i="10"/>
  <c r="J97" i="10"/>
  <c r="J81" i="10"/>
  <c r="J65" i="10"/>
  <c r="J49" i="10"/>
  <c r="J33" i="10"/>
  <c r="J17" i="10"/>
  <c r="I101" i="10"/>
  <c r="J101" i="10"/>
  <c r="K101" i="10"/>
  <c r="K100" i="10"/>
  <c r="K99" i="10"/>
  <c r="K96" i="10"/>
  <c r="K95" i="10"/>
  <c r="K94" i="10"/>
  <c r="K92" i="10"/>
  <c r="K91" i="10"/>
  <c r="K90" i="10"/>
  <c r="K88" i="10"/>
  <c r="K87" i="10"/>
  <c r="K84" i="10"/>
  <c r="K83" i="10"/>
  <c r="K80" i="10"/>
  <c r="K79" i="10"/>
  <c r="K78" i="10"/>
  <c r="K76" i="10"/>
  <c r="K75" i="10"/>
  <c r="K74" i="10"/>
  <c r="K72" i="10"/>
  <c r="K71" i="10"/>
  <c r="K68" i="10"/>
  <c r="K67" i="10"/>
  <c r="K64" i="10"/>
  <c r="K63" i="10"/>
  <c r="K62" i="10"/>
  <c r="K60" i="10"/>
  <c r="K59" i="10"/>
  <c r="K58" i="10"/>
  <c r="K56" i="10"/>
  <c r="K55" i="10"/>
  <c r="K52" i="10"/>
  <c r="K51" i="10"/>
  <c r="K48" i="10"/>
  <c r="K47" i="10"/>
  <c r="K46" i="10"/>
  <c r="K44" i="10"/>
  <c r="K43" i="10"/>
  <c r="K42" i="10"/>
  <c r="K40" i="10"/>
  <c r="K39" i="10"/>
  <c r="K36" i="10"/>
  <c r="K35" i="10"/>
  <c r="K32" i="10"/>
  <c r="K31" i="10"/>
  <c r="K30" i="10"/>
  <c r="K28" i="10"/>
  <c r="K27" i="10"/>
  <c r="K26" i="10"/>
  <c r="K24" i="10"/>
  <c r="K23" i="10"/>
  <c r="K20" i="10"/>
  <c r="K19" i="10"/>
  <c r="K16" i="10"/>
  <c r="K15" i="10"/>
  <c r="K14" i="10"/>
  <c r="K12" i="10"/>
  <c r="K11" i="10"/>
  <c r="K10" i="10"/>
  <c r="K8" i="10"/>
  <c r="K7" i="10"/>
  <c r="K4" i="10"/>
  <c r="K3" i="10"/>
  <c r="K2" i="10"/>
  <c r="J100" i="10"/>
  <c r="J99" i="10"/>
  <c r="J98" i="10"/>
  <c r="J96" i="10"/>
  <c r="J95" i="10"/>
  <c r="J94" i="10"/>
  <c r="J92" i="10"/>
  <c r="J91" i="10"/>
  <c r="J88" i="10"/>
  <c r="J87" i="10"/>
  <c r="J84" i="10"/>
  <c r="J83" i="10"/>
  <c r="J82" i="10"/>
  <c r="J80" i="10"/>
  <c r="J79" i="10"/>
  <c r="J78" i="10"/>
  <c r="J76" i="10"/>
  <c r="J75" i="10"/>
  <c r="J72" i="10"/>
  <c r="J71" i="10"/>
  <c r="J68" i="10"/>
  <c r="J67" i="10"/>
  <c r="J66" i="10"/>
  <c r="J64" i="10"/>
  <c r="J63" i="10"/>
  <c r="J62" i="10"/>
  <c r="J60" i="10"/>
  <c r="J59" i="10"/>
  <c r="J56" i="10"/>
  <c r="J55" i="10"/>
  <c r="J52" i="10"/>
  <c r="J51" i="10"/>
  <c r="J50" i="10"/>
  <c r="J48" i="10"/>
  <c r="J47" i="10"/>
  <c r="J46" i="10"/>
  <c r="J44" i="10"/>
  <c r="J43" i="10"/>
  <c r="J40" i="10"/>
  <c r="J39" i="10"/>
  <c r="J36" i="10"/>
  <c r="J35" i="10"/>
  <c r="J34" i="10"/>
  <c r="J32" i="10"/>
  <c r="J31" i="10"/>
  <c r="J30" i="10"/>
  <c r="J28" i="10"/>
  <c r="J27" i="10"/>
  <c r="J24" i="10"/>
  <c r="J23" i="10"/>
  <c r="J20" i="10"/>
  <c r="J19" i="10"/>
  <c r="J18" i="10"/>
  <c r="J16" i="10"/>
  <c r="J15" i="10"/>
  <c r="J14" i="10"/>
  <c r="J12" i="10"/>
  <c r="J11" i="10"/>
  <c r="J8" i="10"/>
  <c r="J7" i="10"/>
  <c r="J4" i="10"/>
  <c r="J3" i="10"/>
  <c r="J2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BR148" i="1"/>
  <c r="BQ148" i="1"/>
  <c r="BO148" i="1"/>
  <c r="BP148" i="1" s="1"/>
  <c r="BR147" i="1"/>
  <c r="BQ147" i="1"/>
  <c r="BO147" i="1"/>
  <c r="BP147" i="1" s="1"/>
  <c r="K6" i="10" l="1"/>
  <c r="K22" i="10"/>
  <c r="K38" i="10"/>
  <c r="K54" i="10"/>
  <c r="K70" i="10"/>
  <c r="K86" i="10"/>
  <c r="J102" i="10"/>
  <c r="I102" i="10"/>
  <c r="M10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CW122" i="8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K102" i="10" l="1"/>
  <c r="L102" i="10" s="1"/>
  <c r="CW112" i="8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20" i="8"/>
  <c r="T20" i="8"/>
  <c r="Q20" i="8"/>
  <c r="AF20" i="8"/>
  <c r="AC20" i="8"/>
  <c r="Z128" i="8" s="1"/>
  <c r="AR20" i="8"/>
  <c r="AO20" i="8"/>
  <c r="BD20" i="8"/>
  <c r="BA49" i="8" s="1"/>
  <c r="BA20" i="8"/>
  <c r="AX128" i="8" s="1"/>
  <c r="BP20" i="8"/>
  <c r="BM20" i="8"/>
  <c r="CB20" i="8"/>
  <c r="BY20" i="8"/>
  <c r="BV128" i="8" s="1"/>
  <c r="CJ20" i="8"/>
  <c r="CG20" i="8"/>
  <c r="CZ20" i="8"/>
  <c r="CW55" i="8" s="1"/>
  <c r="CW20" i="8"/>
  <c r="H20" i="8"/>
  <c r="E20" i="8"/>
  <c r="X20" i="8"/>
  <c r="U20" i="8"/>
  <c r="AN20" i="8"/>
  <c r="AK20" i="8"/>
  <c r="AZ20" i="8"/>
  <c r="AW20" i="8"/>
  <c r="BL20" i="8"/>
  <c r="BI20" i="8"/>
  <c r="BX20" i="8"/>
  <c r="BU20" i="8"/>
  <c r="CR20" i="8"/>
  <c r="CO20" i="8"/>
  <c r="F20" i="8"/>
  <c r="J20" i="8"/>
  <c r="N20" i="8"/>
  <c r="R20" i="8"/>
  <c r="V20" i="8"/>
  <c r="Z20" i="8"/>
  <c r="AD20" i="8"/>
  <c r="AH20" i="8"/>
  <c r="AL20" i="8"/>
  <c r="AP20" i="8"/>
  <c r="AT20" i="8"/>
  <c r="AX20" i="8"/>
  <c r="BB20" i="8"/>
  <c r="BF20" i="8"/>
  <c r="BJ20" i="8"/>
  <c r="BN20" i="8"/>
  <c r="BR20" i="8"/>
  <c r="BV20" i="8"/>
  <c r="BZ20" i="8"/>
  <c r="CD20" i="8"/>
  <c r="CH20" i="8"/>
  <c r="CL20" i="8"/>
  <c r="CP20" i="8"/>
  <c r="CT20" i="8"/>
  <c r="CX20" i="8"/>
  <c r="L20" i="8"/>
  <c r="I20" i="8"/>
  <c r="AB20" i="8"/>
  <c r="Y20" i="8"/>
  <c r="AJ20" i="8"/>
  <c r="AG20" i="8"/>
  <c r="AV20" i="8"/>
  <c r="AS20" i="8"/>
  <c r="BH20" i="8"/>
  <c r="BE20" i="8"/>
  <c r="BT20" i="8"/>
  <c r="BQ20" i="8"/>
  <c r="CF20" i="8"/>
  <c r="CC20" i="8"/>
  <c r="CN20" i="8"/>
  <c r="CK20" i="8"/>
  <c r="CV20" i="8"/>
  <c r="CS20" i="8"/>
  <c r="G20" i="8"/>
  <c r="K20" i="8"/>
  <c r="O20" i="8"/>
  <c r="S20" i="8"/>
  <c r="W20" i="8"/>
  <c r="AA20" i="8"/>
  <c r="AE20" i="8"/>
  <c r="AI20" i="8"/>
  <c r="AM20" i="8"/>
  <c r="AQ20" i="8"/>
  <c r="AU20" i="8"/>
  <c r="AY20" i="8"/>
  <c r="BC20" i="8"/>
  <c r="BG20" i="8"/>
  <c r="BK20" i="8"/>
  <c r="BO20" i="8"/>
  <c r="BS20" i="8"/>
  <c r="BW20" i="8"/>
  <c r="CA20" i="8"/>
  <c r="CE20" i="8"/>
  <c r="CI20" i="8"/>
  <c r="CM20" i="8"/>
  <c r="CQ20" i="8"/>
  <c r="CU20" i="8"/>
  <c r="CY20" i="8"/>
  <c r="P27" i="8"/>
  <c r="AC59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Z29" i="8" l="1"/>
  <c r="CF123" i="8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<sst xmlns="http://schemas.openxmlformats.org/spreadsheetml/2006/main" count="1291" uniqueCount="278">
  <si>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</si>
  <si>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</si>
  <si>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</si>
  <si>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</si>
  <si>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</si>
  <si>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</si>
  <si>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</si>
  <si>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</si>
  <si>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</si>
  <si>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</si>
  <si>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</si>
  <si>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</si>
  <si>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</si>
  <si>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</si>
  <si>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</si>
  <si>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</si>
  <si>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</si>
  <si>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</si>
  <si>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</si>
  <si>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</si>
  <si>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</si>
  <si>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</si>
  <si>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</si>
  <si>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</si>
  <si>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</si>
  <si>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</si>
  <si>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</si>
  <si>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</si>
  <si>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</si>
  <si>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</si>
  <si>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</si>
  <si>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</si>
  <si>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</si>
  <si>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</si>
  <si>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</si>
  <si>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</si>
  <si>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</si>
  <si>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</si>
  <si>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</si>
  <si>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</si>
  <si>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</si>
  <si>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</si>
  <si>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</si>
  <si>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</si>
  <si>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</si>
  <si>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</si>
  <si>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</si>
  <si>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</si>
  <si>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</si>
  <si>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</si>
  <si>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</si>
  <si>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</si>
  <si>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</si>
  <si>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</si>
  <si>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</si>
  <si>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</si>
  <si>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</si>
  <si>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</si>
  <si>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</si>
  <si>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</si>
  <si>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</si>
  <si>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</si>
  <si>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</si>
  <si>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</si>
  <si>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</si>
  <si>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</si>
  <si>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</si>
  <si>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</si>
  <si>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</si>
  <si>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</si>
  <si>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</si>
  <si>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</si>
  <si>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</si>
  <si>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</si>
  <si>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</si>
  <si>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</si>
  <si>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</si>
  <si>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</si>
  <si>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</si>
  <si>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</si>
  <si>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</si>
  <si>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</si>
  <si>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</si>
  <si>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</si>
  <si>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</si>
  <si>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</si>
  <si>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</si>
  <si>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</si>
  <si>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</si>
  <si>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</si>
  <si>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</si>
  <si>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</si>
  <si>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</si>
  <si>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</si>
  <si>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</si>
  <si>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</si>
  <si>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</si>
  <si>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</si>
  <si>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</si>
  <si>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</si>
  <si>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</si>
  <si>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</si>
  <si>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</si>
  <si>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</si>
  <si>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</si>
  <si>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</si>
  <si>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</si>
  <si>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</si>
  <si>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</si>
  <si>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</si>
  <si>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</si>
  <si>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</si>
  <si>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</si>
  <si>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</si>
  <si>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</si>
  <si>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</si>
  <si>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</si>
  <si>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</si>
  <si>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</si>
  <si>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</si>
  <si>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</si>
  <si>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</si>
  <si>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</si>
  <si>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</si>
  <si>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</si>
  <si>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</si>
  <si>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</si>
  <si>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</si>
  <si>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</si>
  <si>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</si>
  <si>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</si>
  <si>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</si>
  <si>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</si>
  <si>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</si>
  <si>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</si>
  <si>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</si>
  <si>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</si>
  <si>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</si>
  <si>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</si>
  <si>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</si>
  <si>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</si>
  <si>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</si>
  <si>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</si>
  <si>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</si>
  <si>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</si>
  <si>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</si>
  <si>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</si>
  <si>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</si>
  <si>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</si>
  <si>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</si>
  <si>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</si>
  <si>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</si>
  <si>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</si>
  <si>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</si>
  <si>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</si>
  <si>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</si>
  <si>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</si>
  <si>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</si>
  <si>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</si>
  <si>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</si>
  <si>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</si>
  <si>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 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</si>
  <si>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</si>
  <si>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</si>
  <si>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name</t>
  </si>
  <si>
    <t>return</t>
  </si>
  <si>
    <t>return_month1</t>
  </si>
  <si>
    <t>return_month2</t>
  </si>
  <si>
    <t>return_month3</t>
  </si>
  <si>
    <t>gross_return_2</t>
  </si>
  <si>
    <t>GS</t>
  </si>
  <si>
    <t>한화</t>
  </si>
  <si>
    <t>효성</t>
  </si>
  <si>
    <t>POSCO</t>
  </si>
  <si>
    <t>한화케미칼</t>
  </si>
  <si>
    <t>대림산업</t>
  </si>
  <si>
    <t>현대건설</t>
  </si>
  <si>
    <t>KCC</t>
  </si>
  <si>
    <t>LG</t>
  </si>
  <si>
    <t>현대산업</t>
  </si>
  <si>
    <t>SK</t>
  </si>
  <si>
    <t>기아차</t>
  </si>
  <si>
    <t>현대차</t>
  </si>
  <si>
    <t>우리은행</t>
  </si>
  <si>
    <t>기업은행</t>
  </si>
  <si>
    <t>하나금융지주</t>
  </si>
  <si>
    <t>BNK금융지주</t>
  </si>
  <si>
    <t>NH투자증권</t>
  </si>
  <si>
    <t>삼성증권</t>
  </si>
  <si>
    <t>한국금융지주</t>
  </si>
  <si>
    <t>삼성에스디에스</t>
  </si>
  <si>
    <t>엔씨소프트</t>
  </si>
  <si>
    <t>SK하이닉스</t>
  </si>
  <si>
    <t>KT</t>
  </si>
  <si>
    <t>삼성전자</t>
  </si>
  <si>
    <t>미창석유</t>
  </si>
  <si>
    <t>극동유화</t>
  </si>
  <si>
    <t>세아베스틸</t>
  </si>
  <si>
    <t>KISCO홀딩스</t>
  </si>
  <si>
    <t>아세아</t>
  </si>
  <si>
    <t>한국제지</t>
  </si>
  <si>
    <t>아세아제지</t>
  </si>
  <si>
    <t>성보화학</t>
  </si>
  <si>
    <t>휴스틸</t>
  </si>
  <si>
    <t>조일알미늄</t>
  </si>
  <si>
    <t>세아특수강</t>
  </si>
  <si>
    <t>포스코강판</t>
  </si>
  <si>
    <t>세아홀딩스</t>
  </si>
  <si>
    <t>대한제강</t>
  </si>
  <si>
    <t>KPX홀딩스</t>
  </si>
  <si>
    <t>진양홀딩스</t>
  </si>
  <si>
    <t>한국철강</t>
  </si>
  <si>
    <t>한솔제지</t>
  </si>
  <si>
    <t>동국산업</t>
  </si>
  <si>
    <t>삼보판지</t>
  </si>
  <si>
    <t>화천기공</t>
  </si>
  <si>
    <t>한국유리</t>
  </si>
  <si>
    <t>도화엔지니어링</t>
  </si>
  <si>
    <t>화성산업</t>
  </si>
  <si>
    <t>한일시멘트</t>
  </si>
  <si>
    <t>조광페인트</t>
  </si>
  <si>
    <t>삼호개발</t>
  </si>
  <si>
    <t>세진중공업</t>
  </si>
  <si>
    <t>기신정기</t>
  </si>
  <si>
    <t>아세아시멘트</t>
  </si>
  <si>
    <t>동원개발</t>
  </si>
  <si>
    <t>유진기업</t>
  </si>
  <si>
    <t>영풍정밀</t>
  </si>
  <si>
    <t>동양파일</t>
  </si>
  <si>
    <t>유성기업</t>
  </si>
  <si>
    <t>넥센</t>
  </si>
  <si>
    <t>서연</t>
  </si>
  <si>
    <t>화승알앤에이</t>
  </si>
  <si>
    <t>지엠비코리아</t>
  </si>
  <si>
    <t>대원산업</t>
  </si>
  <si>
    <t>성우하이텍</t>
  </si>
  <si>
    <t>엔브이에이치코리아</t>
  </si>
  <si>
    <t>삼정펄프</t>
  </si>
  <si>
    <t>태양</t>
  </si>
  <si>
    <t>광주은행</t>
  </si>
  <si>
    <t>HMC투자증권</t>
  </si>
  <si>
    <t>다우기술</t>
  </si>
  <si>
    <t>텔코웨어</t>
  </si>
  <si>
    <t>KG이니시스</t>
  </si>
  <si>
    <t>KG모빌리언스</t>
  </si>
  <si>
    <t>이크레더블</t>
  </si>
  <si>
    <t>골프존뉴딘</t>
  </si>
  <si>
    <t>대덕GDS</t>
  </si>
  <si>
    <t>신도리코</t>
  </si>
  <si>
    <t>에스에이엠티</t>
  </si>
  <si>
    <t>이라이콤</t>
  </si>
  <si>
    <t>인탑스</t>
  </si>
  <si>
    <t>유아이엘</t>
  </si>
  <si>
    <t>코텍</t>
  </si>
  <si>
    <t>이랜텍</t>
  </si>
  <si>
    <t>서원인텍</t>
  </si>
  <si>
    <t>모베이스</t>
  </si>
  <si>
    <t>한미반도체</t>
  </si>
  <si>
    <t>유니퀘스트</t>
  </si>
  <si>
    <t>피에스케이</t>
  </si>
  <si>
    <t>프로텍</t>
  </si>
  <si>
    <t>제우스</t>
  </si>
  <si>
    <t>아비코전자</t>
  </si>
  <si>
    <t>동양이엔피</t>
  </si>
  <si>
    <t>토비스</t>
  </si>
  <si>
    <t>탑엔지니어링</t>
  </si>
  <si>
    <t>아바코</t>
  </si>
  <si>
    <t>실리콘웍스</t>
  </si>
  <si>
    <t>아바텍</t>
  </si>
  <si>
    <t>나이스정보통신</t>
  </si>
  <si>
    <t>비중</t>
    <phoneticPr fontId="1" type="noConversion"/>
  </si>
  <si>
    <t>3개월</t>
    <phoneticPr fontId="1" type="noConversion"/>
  </si>
  <si>
    <t>2개월</t>
    <phoneticPr fontId="1" type="noConversion"/>
  </si>
  <si>
    <t>1개월</t>
    <phoneticPr fontId="1" type="noConversion"/>
  </si>
  <si>
    <t>0-&gt;1</t>
    <phoneticPr fontId="1" type="noConversion"/>
  </si>
  <si>
    <t>1-&gt;2</t>
    <phoneticPr fontId="1" type="noConversion"/>
  </si>
  <si>
    <t>2-&gt;3</t>
    <phoneticPr fontId="1" type="noConversion"/>
  </si>
  <si>
    <t>모멘텀섹터 중분류 + 표준화 대11(삼성전자시총가중,나머지동일가중)중소90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</si>
</sst>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BC7-A5AB-E0243C67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3" Type="http://schemas.openxmlformats.org/officeDocument/2006/relationships/chart" Target="../charts/chart7.xml"/><Relationship Id="rId21" Type="http://schemas.openxmlformats.org/officeDocument/2006/relationships/chart" Target="../charts/chart25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18" Type="http://schemas.openxmlformats.org/officeDocument/2006/relationships/chart" Target="../charts/chart5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17" Type="http://schemas.openxmlformats.org/officeDocument/2006/relationships/chart" Target="../charts/chart54.xml"/><Relationship Id="rId2" Type="http://schemas.openxmlformats.org/officeDocument/2006/relationships/chart" Target="../charts/chart39.xml"/><Relationship Id="rId16" Type="http://schemas.openxmlformats.org/officeDocument/2006/relationships/chart" Target="../charts/chart53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5" Type="http://schemas.openxmlformats.org/officeDocument/2006/relationships/chart" Target="../charts/chart5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Relationship Id="rId14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18" Type="http://schemas.openxmlformats.org/officeDocument/2006/relationships/chart" Target="../charts/chart73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17" Type="http://schemas.openxmlformats.org/officeDocument/2006/relationships/chart" Target="../charts/chart72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49"/>
  <sheetViews>
    <sheetView topLeftCell="A144" workbookViewId="0">
      <selection activeCell="A151" sqref="A151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162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163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28"/>
  <sheetViews>
    <sheetView showGridLines="0" tabSelected="1" topLeftCell="AN1" workbookViewId="0">
      <selection activeCell="AY15" sqref="AY15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161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161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277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3"/>
  <sheetViews>
    <sheetView topLeftCell="A80" workbookViewId="0">
      <selection activeCell="P91" sqref="P91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22" x14ac:dyDescent="0.4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270</v>
      </c>
      <c r="I1" t="s">
        <v>271</v>
      </c>
      <c r="J1" t="s">
        <v>272</v>
      </c>
      <c r="K1" t="s">
        <v>273</v>
      </c>
    </row>
    <row r="2" spans="1:22" x14ac:dyDescent="0.4">
      <c r="A2">
        <v>1008</v>
      </c>
      <c r="B2" t="s">
        <v>170</v>
      </c>
      <c r="C2">
        <v>1.3135135135135101</v>
      </c>
      <c r="D2">
        <v>1.06486486486486</v>
      </c>
      <c r="E2">
        <v>1.00338409475465</v>
      </c>
      <c r="F2">
        <v>1.2293423271500801</v>
      </c>
      <c r="G2">
        <v>1.06846846846846</v>
      </c>
      <c r="H2">
        <f>(1-$H$101)/99</f>
        <v>7.8039619652020206E-3</v>
      </c>
      <c r="I2">
        <f>C2*H2</f>
        <v>1.0250609500238303E-2</v>
      </c>
      <c r="J2">
        <f>G2*H2</f>
        <v>8.3382872889455166E-3</v>
      </c>
      <c r="K2">
        <f>H2*D2</f>
        <v>8.3101649034853561E-3</v>
      </c>
      <c r="P2" s="36"/>
      <c r="V2" s="36"/>
    </row>
    <row r="3" spans="1:22" x14ac:dyDescent="0.4">
      <c r="A3">
        <v>62</v>
      </c>
      <c r="B3" t="s">
        <v>171</v>
      </c>
      <c r="C3">
        <v>1.31456043956043</v>
      </c>
      <c r="D3">
        <v>0.98626373626373598</v>
      </c>
      <c r="E3">
        <v>1.1128133704735299</v>
      </c>
      <c r="F3">
        <v>1.19774718397997</v>
      </c>
      <c r="G3">
        <v>1.09752747252747</v>
      </c>
      <c r="H3">
        <f t="shared" ref="H3:H66" si="0">(1-$H$101)/99</f>
        <v>7.8039619652020206E-3</v>
      </c>
      <c r="I3">
        <f t="shared" ref="I3:I66" si="1">C3*H3</f>
        <v>1.0258779671288845E-2</v>
      </c>
      <c r="J3">
        <f t="shared" ref="J3:J66" si="2">G3*H3</f>
        <v>8.5650626513686812E-3</v>
      </c>
      <c r="K3">
        <f t="shared" ref="K3:K66" si="3">H3*D3</f>
        <v>7.696764685460232E-3</v>
      </c>
      <c r="P3" s="36"/>
      <c r="V3" s="36"/>
    </row>
    <row r="4" spans="1:22" x14ac:dyDescent="0.4">
      <c r="A4">
        <v>324</v>
      </c>
      <c r="B4" t="s">
        <v>172</v>
      </c>
      <c r="C4">
        <v>1.27756653992395</v>
      </c>
      <c r="D4">
        <v>1.0304182509505699</v>
      </c>
      <c r="E4">
        <v>1.06273062730627</v>
      </c>
      <c r="F4">
        <v>1.1666666666666601</v>
      </c>
      <c r="G4">
        <v>1.0950570342205299</v>
      </c>
      <c r="H4">
        <f t="shared" si="0"/>
        <v>7.8039619652020206E-3</v>
      </c>
      <c r="I4">
        <f t="shared" si="1"/>
        <v>9.9700806855812542E-3</v>
      </c>
      <c r="J4">
        <f t="shared" si="2"/>
        <v>8.5457834447839436E-3</v>
      </c>
      <c r="K4">
        <f t="shared" si="3"/>
        <v>8.0413448386682379E-3</v>
      </c>
      <c r="P4" s="36"/>
      <c r="V4" s="36"/>
    </row>
    <row r="5" spans="1:22" x14ac:dyDescent="0.4">
      <c r="A5">
        <v>364</v>
      </c>
      <c r="B5" t="s">
        <v>173</v>
      </c>
      <c r="C5">
        <v>0.99470899470899399</v>
      </c>
      <c r="D5">
        <v>1.0264550264550201</v>
      </c>
      <c r="E5">
        <v>0.91924398625429504</v>
      </c>
      <c r="F5">
        <v>1.0542056074766299</v>
      </c>
      <c r="G5">
        <v>0.94356261022927601</v>
      </c>
      <c r="H5">
        <f t="shared" si="0"/>
        <v>7.8039619652020206E-3</v>
      </c>
      <c r="I5">
        <f t="shared" si="1"/>
        <v>7.7626711611533273E-3</v>
      </c>
      <c r="J5">
        <f t="shared" si="2"/>
        <v>7.3635267220160091E-3</v>
      </c>
      <c r="K5">
        <f t="shared" si="3"/>
        <v>8.0104159854454109E-3</v>
      </c>
      <c r="O5" s="36"/>
      <c r="P5" s="36"/>
    </row>
    <row r="6" spans="1:22" x14ac:dyDescent="0.4">
      <c r="A6">
        <v>553</v>
      </c>
      <c r="B6" t="s">
        <v>174</v>
      </c>
      <c r="C6">
        <v>1.17554240631163</v>
      </c>
      <c r="D6">
        <v>1.0414201183431899</v>
      </c>
      <c r="E6">
        <v>0.95265151515151503</v>
      </c>
      <c r="F6">
        <v>1.1848906560636101</v>
      </c>
      <c r="G6">
        <v>0.99211045364891504</v>
      </c>
      <c r="H6">
        <f t="shared" si="0"/>
        <v>7.8039619652020206E-3</v>
      </c>
      <c r="I6">
        <f t="shared" si="1"/>
        <v>9.1738882273380198E-3</v>
      </c>
      <c r="J6">
        <f t="shared" si="2"/>
        <v>7.7423922455554552E-3</v>
      </c>
      <c r="K6">
        <f t="shared" si="3"/>
        <v>8.1272029933464416E-3</v>
      </c>
      <c r="P6" s="36"/>
      <c r="V6" s="36"/>
    </row>
    <row r="7" spans="1:22" x14ac:dyDescent="0.4">
      <c r="A7">
        <v>19</v>
      </c>
      <c r="B7" t="s">
        <v>175</v>
      </c>
      <c r="C7">
        <v>1.1052631578947301</v>
      </c>
      <c r="D7">
        <v>0.96770334928229595</v>
      </c>
      <c r="E7">
        <v>0.99258343634116197</v>
      </c>
      <c r="F7">
        <v>1.1506849315068399</v>
      </c>
      <c r="G7">
        <v>0.96052631578947301</v>
      </c>
      <c r="H7">
        <f t="shared" si="0"/>
        <v>7.8039619652020206E-3</v>
      </c>
      <c r="I7">
        <f t="shared" si="1"/>
        <v>8.6254316457495487E-3</v>
      </c>
      <c r="J7">
        <f t="shared" si="2"/>
        <v>7.4959108349966722E-3</v>
      </c>
      <c r="K7">
        <f t="shared" si="3"/>
        <v>7.5519201313976438E-3</v>
      </c>
      <c r="P7" s="36"/>
      <c r="V7" s="36"/>
    </row>
    <row r="8" spans="1:22" x14ac:dyDescent="0.4">
      <c r="A8">
        <v>52</v>
      </c>
      <c r="B8" t="s">
        <v>176</v>
      </c>
      <c r="C8">
        <v>1.0188284518828401</v>
      </c>
      <c r="D8">
        <v>1.0355648535564801</v>
      </c>
      <c r="E8">
        <v>0.98080808080808002</v>
      </c>
      <c r="F8">
        <v>1.0030895983522099</v>
      </c>
      <c r="G8">
        <v>1.0156903765690299</v>
      </c>
      <c r="H8">
        <f t="shared" si="0"/>
        <v>7.8039619652020206E-3</v>
      </c>
      <c r="I8">
        <f t="shared" si="1"/>
        <v>7.9508984875593415E-3</v>
      </c>
      <c r="J8">
        <f t="shared" si="2"/>
        <v>7.9264090671664275E-3</v>
      </c>
      <c r="K8">
        <f t="shared" si="3"/>
        <v>8.0815087296547718E-3</v>
      </c>
      <c r="P8" s="36"/>
      <c r="V8" s="36"/>
    </row>
    <row r="9" spans="1:22" x14ac:dyDescent="0.4">
      <c r="A9">
        <v>170</v>
      </c>
      <c r="B9" t="s">
        <v>177</v>
      </c>
      <c r="C9">
        <v>1.17604617604617</v>
      </c>
      <c r="D9">
        <v>1.0216450216450199</v>
      </c>
      <c r="E9">
        <v>0.96186440677966101</v>
      </c>
      <c r="F9">
        <v>1.19676945668135</v>
      </c>
      <c r="G9">
        <v>0.98268398268398205</v>
      </c>
      <c r="H9">
        <f t="shared" si="0"/>
        <v>7.8039619652020206E-3</v>
      </c>
      <c r="I9">
        <f t="shared" si="1"/>
        <v>9.1778196271855902E-3</v>
      </c>
      <c r="J9">
        <f t="shared" si="2"/>
        <v>7.6688284246790367E-3</v>
      </c>
      <c r="K9">
        <f t="shared" si="3"/>
        <v>7.9728788908557304E-3</v>
      </c>
      <c r="O9" s="36"/>
      <c r="P9" s="36"/>
      <c r="V9" s="36"/>
    </row>
    <row r="10" spans="1:22" x14ac:dyDescent="0.4">
      <c r="A10">
        <v>246</v>
      </c>
      <c r="B10" t="s">
        <v>178</v>
      </c>
      <c r="C10">
        <v>1.2898089171974501</v>
      </c>
      <c r="D10">
        <v>1.11783439490445</v>
      </c>
      <c r="E10">
        <v>0.96296296296296202</v>
      </c>
      <c r="F10">
        <v>1.1982248520709999</v>
      </c>
      <c r="G10">
        <v>1.0764331210191</v>
      </c>
      <c r="H10">
        <f t="shared" si="0"/>
        <v>7.8039619652020206E-3</v>
      </c>
      <c r="I10">
        <f t="shared" si="1"/>
        <v>1.0065619732187303E-2</v>
      </c>
      <c r="J10">
        <f t="shared" si="2"/>
        <v>8.4004431345167611E-3</v>
      </c>
      <c r="K10">
        <f t="shared" si="3"/>
        <v>8.7235371012289436E-3</v>
      </c>
      <c r="P10" s="36"/>
      <c r="V10" s="36"/>
    </row>
    <row r="11" spans="1:22" x14ac:dyDescent="0.4">
      <c r="A11">
        <v>659</v>
      </c>
      <c r="B11" t="s">
        <v>179</v>
      </c>
      <c r="C11">
        <v>1.1735159817351599</v>
      </c>
      <c r="D11">
        <v>0.92808219178082196</v>
      </c>
      <c r="E11">
        <v>1.09963099630996</v>
      </c>
      <c r="F11">
        <v>1.14988814317673</v>
      </c>
      <c r="G11">
        <v>1.02054794520547</v>
      </c>
      <c r="H11">
        <f t="shared" si="0"/>
        <v>7.8039619652020206E-3</v>
      </c>
      <c r="I11">
        <f t="shared" si="1"/>
        <v>9.1580740870178968E-3</v>
      </c>
      <c r="J11">
        <f t="shared" si="2"/>
        <v>7.9643173480485642E-3</v>
      </c>
      <c r="K11">
        <f t="shared" si="3"/>
        <v>7.2427181252388622E-3</v>
      </c>
      <c r="P11" s="36"/>
      <c r="V11" s="36"/>
    </row>
    <row r="12" spans="1:22" x14ac:dyDescent="0.4">
      <c r="A12">
        <v>918</v>
      </c>
      <c r="B12" t="s">
        <v>180</v>
      </c>
      <c r="C12">
        <v>1.2545871559632999</v>
      </c>
      <c r="D12">
        <v>1.11697247706422</v>
      </c>
      <c r="E12">
        <v>0.99589322381930101</v>
      </c>
      <c r="F12">
        <v>1.12783505154639</v>
      </c>
      <c r="G12">
        <v>1.11238532110091</v>
      </c>
      <c r="H12">
        <f t="shared" si="0"/>
        <v>7.8039619652020206E-3</v>
      </c>
      <c r="I12">
        <f t="shared" si="1"/>
        <v>9.7907504471685686E-3</v>
      </c>
      <c r="J12">
        <f t="shared" si="2"/>
        <v>8.6810127365205391E-3</v>
      </c>
      <c r="K12">
        <f t="shared" si="3"/>
        <v>8.7168107271866583E-3</v>
      </c>
      <c r="O12" s="36"/>
      <c r="P12" s="36"/>
      <c r="V12" s="36"/>
    </row>
    <row r="13" spans="1:22" x14ac:dyDescent="0.4">
      <c r="A13">
        <v>23</v>
      </c>
      <c r="B13" t="s">
        <v>181</v>
      </c>
      <c r="C13">
        <v>1.0209150326797301</v>
      </c>
      <c r="D13">
        <v>0.96862745098039205</v>
      </c>
      <c r="E13">
        <v>0.94062078272604499</v>
      </c>
      <c r="F13">
        <v>1.12051649928264</v>
      </c>
      <c r="G13">
        <v>0.91111111111111098</v>
      </c>
      <c r="H13">
        <f t="shared" si="0"/>
        <v>7.8039619652020206E-3</v>
      </c>
      <c r="I13">
        <f t="shared" si="1"/>
        <v>7.9671820847355915E-3</v>
      </c>
      <c r="J13">
        <f t="shared" si="2"/>
        <v>7.1102764571840619E-3</v>
      </c>
      <c r="K13">
        <f t="shared" si="3"/>
        <v>7.5591317859015645E-3</v>
      </c>
      <c r="P13" s="36"/>
      <c r="V13" s="36"/>
    </row>
    <row r="14" spans="1:22" x14ac:dyDescent="0.4">
      <c r="A14">
        <v>357</v>
      </c>
      <c r="B14" t="s">
        <v>182</v>
      </c>
      <c r="C14">
        <v>1.09030100334448</v>
      </c>
      <c r="D14">
        <v>1.05351170568561</v>
      </c>
      <c r="E14">
        <v>0.91428571428571404</v>
      </c>
      <c r="F14">
        <v>1.13194444444444</v>
      </c>
      <c r="G14">
        <v>0.96321070234113704</v>
      </c>
      <c r="H14">
        <f t="shared" si="0"/>
        <v>7.8039619652020206E-3</v>
      </c>
      <c r="I14">
        <f t="shared" si="1"/>
        <v>8.508667560721923E-3</v>
      </c>
      <c r="J14">
        <f t="shared" si="2"/>
        <v>7.516859685545758E-3</v>
      </c>
      <c r="K14">
        <f t="shared" si="3"/>
        <v>8.2215652810656067E-3</v>
      </c>
      <c r="P14" s="36"/>
    </row>
    <row r="15" spans="1:22" x14ac:dyDescent="0.4">
      <c r="A15">
        <v>2</v>
      </c>
      <c r="B15" t="s">
        <v>183</v>
      </c>
      <c r="C15">
        <v>1.1503759398496201</v>
      </c>
      <c r="D15">
        <v>0.977443609022556</v>
      </c>
      <c r="E15">
        <v>1.1499999999999999</v>
      </c>
      <c r="F15">
        <v>1.02341137123745</v>
      </c>
      <c r="G15">
        <v>1.12406015037593</v>
      </c>
      <c r="H15">
        <f t="shared" si="0"/>
        <v>7.8039619652020206E-3</v>
      </c>
      <c r="I15">
        <f t="shared" si="1"/>
        <v>8.977490080269962E-3</v>
      </c>
      <c r="J15">
        <f t="shared" si="2"/>
        <v>8.7721226601330214E-3</v>
      </c>
      <c r="K15">
        <f t="shared" si="3"/>
        <v>7.6279327479418218E-3</v>
      </c>
      <c r="P15" s="36"/>
      <c r="V15" s="36"/>
    </row>
    <row r="16" spans="1:22" x14ac:dyDescent="0.4">
      <c r="A16">
        <v>827</v>
      </c>
      <c r="B16" t="s">
        <v>184</v>
      </c>
      <c r="C16">
        <v>1.0445344129554599</v>
      </c>
      <c r="D16">
        <v>0.98785425101214497</v>
      </c>
      <c r="E16">
        <v>1.0245901639344199</v>
      </c>
      <c r="F16">
        <v>1.032</v>
      </c>
      <c r="G16">
        <v>1.01214574898785</v>
      </c>
      <c r="H16">
        <f t="shared" si="0"/>
        <v>7.8039619652020206E-3</v>
      </c>
      <c r="I16">
        <f t="shared" si="1"/>
        <v>8.1515068300490306E-3</v>
      </c>
      <c r="J16">
        <f t="shared" si="2"/>
        <v>7.8987469283420941E-3</v>
      </c>
      <c r="K16">
        <f t="shared" si="3"/>
        <v>7.709177002061909E-3</v>
      </c>
      <c r="P16" s="36"/>
      <c r="V16" s="36"/>
    </row>
    <row r="17" spans="1:22" x14ac:dyDescent="0.4">
      <c r="A17">
        <v>1027</v>
      </c>
      <c r="B17" t="s">
        <v>185</v>
      </c>
      <c r="C17">
        <v>1.1645390070921899</v>
      </c>
      <c r="D17">
        <v>1.04822695035461</v>
      </c>
      <c r="E17">
        <v>1.0608930987821299</v>
      </c>
      <c r="F17">
        <v>1.0471938775510199</v>
      </c>
      <c r="G17">
        <v>1.1120567375886501</v>
      </c>
      <c r="H17">
        <f t="shared" si="0"/>
        <v>7.8039619652020206E-3</v>
      </c>
      <c r="I17">
        <f t="shared" si="1"/>
        <v>9.0880181183415759E-3</v>
      </c>
      <c r="J17">
        <f t="shared" si="2"/>
        <v>8.6784484832884701E-3</v>
      </c>
      <c r="K17">
        <f t="shared" si="3"/>
        <v>8.180323251467083E-3</v>
      </c>
      <c r="P17" s="36"/>
      <c r="V17" s="36"/>
    </row>
    <row r="18" spans="1:22" x14ac:dyDescent="0.4">
      <c r="A18">
        <v>1106</v>
      </c>
      <c r="B18" t="s">
        <v>186</v>
      </c>
      <c r="C18">
        <v>1.1520737327188899</v>
      </c>
      <c r="D18">
        <v>1.05760368663594</v>
      </c>
      <c r="E18">
        <v>1.0413943355119799</v>
      </c>
      <c r="F18">
        <v>1.04602510460251</v>
      </c>
      <c r="G18">
        <v>1.10138248847926</v>
      </c>
      <c r="H18">
        <f t="shared" si="0"/>
        <v>7.8039619652020206E-3</v>
      </c>
      <c r="I18">
        <f t="shared" si="1"/>
        <v>8.9907395912465354E-3</v>
      </c>
      <c r="J18">
        <f t="shared" si="2"/>
        <v>8.5951470492316977E-3</v>
      </c>
      <c r="K18">
        <f t="shared" si="3"/>
        <v>8.2534989447643117E-3</v>
      </c>
      <c r="P18" s="36"/>
      <c r="V18" s="36"/>
    </row>
    <row r="19" spans="1:22" x14ac:dyDescent="0.4">
      <c r="A19">
        <v>391</v>
      </c>
      <c r="B19" t="s">
        <v>187</v>
      </c>
      <c r="C19">
        <v>1.2198275862068899</v>
      </c>
      <c r="D19">
        <v>1.0818965517241299</v>
      </c>
      <c r="E19">
        <v>1.05179282868525</v>
      </c>
      <c r="F19">
        <v>1.0719696969696899</v>
      </c>
      <c r="G19">
        <v>1.13793103448275</v>
      </c>
      <c r="H19">
        <f t="shared" si="0"/>
        <v>7.8039619652020206E-3</v>
      </c>
      <c r="I19">
        <f t="shared" si="1"/>
        <v>9.5194880868627579E-3</v>
      </c>
      <c r="J19">
        <f t="shared" si="2"/>
        <v>8.8803705121263694E-3</v>
      </c>
      <c r="K19">
        <f t="shared" si="3"/>
        <v>8.4430795399383311E-3</v>
      </c>
      <c r="O19" s="36"/>
      <c r="P19" s="36"/>
      <c r="V19" s="36"/>
    </row>
    <row r="20" spans="1:22" x14ac:dyDescent="0.4">
      <c r="A20">
        <v>740</v>
      </c>
      <c r="B20" t="s">
        <v>188</v>
      </c>
      <c r="C20">
        <v>1.21116138763197</v>
      </c>
      <c r="D20">
        <v>1.0150829562594199</v>
      </c>
      <c r="E20">
        <v>1.0282317979197599</v>
      </c>
      <c r="F20">
        <v>1.1604046242774499</v>
      </c>
      <c r="G20">
        <v>1.0437405731523299</v>
      </c>
      <c r="H20">
        <f t="shared" si="0"/>
        <v>7.8039619652020206E-3</v>
      </c>
      <c r="I20">
        <f t="shared" si="1"/>
        <v>9.4518574028011944E-3</v>
      </c>
      <c r="J20">
        <f t="shared" si="2"/>
        <v>8.1453117344189394E-3</v>
      </c>
      <c r="K20">
        <f t="shared" si="3"/>
        <v>7.9216687821733398E-3</v>
      </c>
      <c r="O20" s="36"/>
      <c r="P20" s="36"/>
      <c r="V20" s="36"/>
    </row>
    <row r="21" spans="1:22" x14ac:dyDescent="0.4">
      <c r="A21">
        <v>991</v>
      </c>
      <c r="B21" t="s">
        <v>189</v>
      </c>
      <c r="C21">
        <v>1.29113924050632</v>
      </c>
      <c r="D21">
        <v>0.993670886075949</v>
      </c>
      <c r="E21">
        <v>1.0891719745222901</v>
      </c>
      <c r="F21">
        <v>1.1929824561403499</v>
      </c>
      <c r="G21">
        <v>1.08227848101265</v>
      </c>
      <c r="H21">
        <f t="shared" si="0"/>
        <v>7.8039619652020206E-3</v>
      </c>
      <c r="I21">
        <f t="shared" si="1"/>
        <v>1.0076001524691146E-2</v>
      </c>
      <c r="J21">
        <f t="shared" si="2"/>
        <v>8.4460601015793387E-3</v>
      </c>
      <c r="K21">
        <f t="shared" si="3"/>
        <v>7.7545698008652962E-3</v>
      </c>
      <c r="P21" s="36"/>
      <c r="V21" s="36"/>
    </row>
    <row r="22" spans="1:22" x14ac:dyDescent="0.4">
      <c r="A22">
        <v>783</v>
      </c>
      <c r="B22" t="s">
        <v>190</v>
      </c>
      <c r="C22">
        <v>1.2538461538461501</v>
      </c>
      <c r="D22">
        <v>1.0269230769230699</v>
      </c>
      <c r="E22">
        <v>1.0299625468164699</v>
      </c>
      <c r="F22">
        <v>1.18545454545454</v>
      </c>
      <c r="G22">
        <v>1.0576923076922999</v>
      </c>
      <c r="H22">
        <f t="shared" si="0"/>
        <v>7.8039619652020206E-3</v>
      </c>
      <c r="I22">
        <f t="shared" si="1"/>
        <v>9.7849676948301954E-3</v>
      </c>
      <c r="J22">
        <f t="shared" si="2"/>
        <v>8.254190540117461E-3</v>
      </c>
      <c r="K22">
        <f t="shared" si="3"/>
        <v>8.0140686334958661E-3</v>
      </c>
      <c r="O22" s="36"/>
      <c r="P22" s="36"/>
      <c r="V22" s="36"/>
    </row>
    <row r="23" spans="1:22" x14ac:dyDescent="0.4">
      <c r="A23">
        <v>927</v>
      </c>
      <c r="B23" t="s">
        <v>191</v>
      </c>
      <c r="C23">
        <v>1.38138686131386</v>
      </c>
      <c r="D23">
        <v>1.1131386861313799</v>
      </c>
      <c r="E23">
        <v>1.1803278688524499</v>
      </c>
      <c r="F23">
        <v>1.05138888888888</v>
      </c>
      <c r="G23">
        <v>1.3138686131386801</v>
      </c>
      <c r="H23">
        <f t="shared" si="0"/>
        <v>7.8039619652020206E-3</v>
      </c>
      <c r="I23">
        <f t="shared" si="1"/>
        <v>1.0780290524923162E-2</v>
      </c>
      <c r="J23">
        <f t="shared" si="2"/>
        <v>1.0253380684206987E-2</v>
      </c>
      <c r="K23">
        <f t="shared" si="3"/>
        <v>8.6868919685642379E-3</v>
      </c>
      <c r="O23" s="36"/>
      <c r="P23" s="36"/>
      <c r="V23" s="36"/>
    </row>
    <row r="24" spans="1:22" x14ac:dyDescent="0.4">
      <c r="A24">
        <v>48</v>
      </c>
      <c r="B24" t="s">
        <v>192</v>
      </c>
      <c r="C24">
        <v>1.2205567451820101</v>
      </c>
      <c r="D24">
        <v>1.0813704496787999</v>
      </c>
      <c r="E24">
        <v>1.06930693069306</v>
      </c>
      <c r="F24">
        <v>1.05555555555555</v>
      </c>
      <c r="G24">
        <v>1.1563169164882201</v>
      </c>
      <c r="H24">
        <f t="shared" si="0"/>
        <v>7.8039619652020206E-3</v>
      </c>
      <c r="I24">
        <f t="shared" si="1"/>
        <v>9.5251784157711818E-3</v>
      </c>
      <c r="J24">
        <f t="shared" si="2"/>
        <v>9.0238532359937507E-3</v>
      </c>
      <c r="K24">
        <f t="shared" si="3"/>
        <v>8.4389738595867601E-3</v>
      </c>
      <c r="P24" s="36"/>
    </row>
    <row r="25" spans="1:22" x14ac:dyDescent="0.4">
      <c r="A25">
        <v>889</v>
      </c>
      <c r="B25" t="s">
        <v>193</v>
      </c>
      <c r="C25">
        <v>1.0689655172413699</v>
      </c>
      <c r="D25">
        <v>1.0476190476190399</v>
      </c>
      <c r="E25">
        <v>1.0094043887147299</v>
      </c>
      <c r="F25">
        <v>1.01086956521739</v>
      </c>
      <c r="G25">
        <v>1.0574712643678099</v>
      </c>
      <c r="H25">
        <f t="shared" si="0"/>
        <v>7.8039619652020206E-3</v>
      </c>
      <c r="I25">
        <f t="shared" si="1"/>
        <v>8.342166238664156E-3</v>
      </c>
      <c r="J25">
        <f t="shared" si="2"/>
        <v>8.2524655264204789E-3</v>
      </c>
      <c r="K25">
        <f t="shared" si="3"/>
        <v>8.1755792016401513E-3</v>
      </c>
      <c r="P25" s="36"/>
      <c r="V25" s="36"/>
    </row>
    <row r="26" spans="1:22" x14ac:dyDescent="0.4">
      <c r="A26">
        <v>390</v>
      </c>
      <c r="B26" t="s">
        <v>195</v>
      </c>
      <c r="C26">
        <v>0.96017699115044197</v>
      </c>
      <c r="D26">
        <v>0.94358407079646001</v>
      </c>
      <c r="E26">
        <v>1.0175849941383299</v>
      </c>
      <c r="F26">
        <v>1</v>
      </c>
      <c r="G26">
        <v>0.96017699115044197</v>
      </c>
      <c r="H26">
        <f t="shared" si="0"/>
        <v>7.8039619652020206E-3</v>
      </c>
      <c r="I26">
        <f t="shared" si="1"/>
        <v>7.493184718800166E-3</v>
      </c>
      <c r="J26">
        <f t="shared" si="2"/>
        <v>7.493184718800166E-3</v>
      </c>
      <c r="K26">
        <f t="shared" si="3"/>
        <v>7.3636941994660648E-3</v>
      </c>
    </row>
    <row r="27" spans="1:22" x14ac:dyDescent="0.4">
      <c r="A27">
        <v>255</v>
      </c>
      <c r="B27" t="s">
        <v>196</v>
      </c>
      <c r="C27">
        <v>1.0566037735849001</v>
      </c>
      <c r="D27">
        <v>1.12191582002902</v>
      </c>
      <c r="E27">
        <v>0.95342820181112498</v>
      </c>
      <c r="F27">
        <v>0.987788331071913</v>
      </c>
      <c r="G27">
        <v>1.0696661828737299</v>
      </c>
      <c r="H27">
        <f t="shared" si="0"/>
        <v>7.8039619652020206E-3</v>
      </c>
      <c r="I27">
        <f t="shared" si="1"/>
        <v>8.2456956613454879E-3</v>
      </c>
      <c r="J27">
        <f t="shared" si="2"/>
        <v>8.3476342066094167E-3</v>
      </c>
      <c r="K27">
        <f t="shared" si="3"/>
        <v>8.7553883876649082E-3</v>
      </c>
      <c r="P27" s="36"/>
      <c r="V27" s="36"/>
    </row>
    <row r="28" spans="1:22" x14ac:dyDescent="0.4">
      <c r="A28">
        <v>700</v>
      </c>
      <c r="B28" t="s">
        <v>197</v>
      </c>
      <c r="C28">
        <v>1.0921305182341601</v>
      </c>
      <c r="D28">
        <v>1.0825335892514301</v>
      </c>
      <c r="E28">
        <v>0.98936170212765895</v>
      </c>
      <c r="F28">
        <v>1.0197132616487401</v>
      </c>
      <c r="G28">
        <v>1.07101727447216</v>
      </c>
      <c r="H28">
        <f t="shared" si="0"/>
        <v>7.8039619652020206E-3</v>
      </c>
      <c r="I28">
        <f t="shared" si="1"/>
        <v>8.5229450253357566E-3</v>
      </c>
      <c r="J28">
        <f t="shared" si="2"/>
        <v>8.3581780740550702E-3</v>
      </c>
      <c r="K28">
        <f t="shared" si="3"/>
        <v>8.4480509565717874E-3</v>
      </c>
      <c r="P28" s="36"/>
      <c r="V28" s="36"/>
    </row>
    <row r="29" spans="1:22" x14ac:dyDescent="0.4">
      <c r="A29">
        <v>105</v>
      </c>
      <c r="B29" t="s">
        <v>198</v>
      </c>
      <c r="C29">
        <v>1.12972085385878</v>
      </c>
      <c r="D29">
        <v>1.0246305418719199</v>
      </c>
      <c r="E29">
        <v>1.0272435897435801</v>
      </c>
      <c r="F29">
        <v>1.07332293291731</v>
      </c>
      <c r="G29">
        <v>1.05254515599343</v>
      </c>
      <c r="H29">
        <f t="shared" si="0"/>
        <v>7.8039619652020206E-3</v>
      </c>
      <c r="I29">
        <f t="shared" si="1"/>
        <v>8.8162985748094693E-3</v>
      </c>
      <c r="J29">
        <f t="shared" si="2"/>
        <v>8.2140223640303558E-3</v>
      </c>
      <c r="K29">
        <f t="shared" si="3"/>
        <v>7.9961777771527989E-3</v>
      </c>
      <c r="P29" s="36"/>
      <c r="V29" s="36"/>
    </row>
    <row r="30" spans="1:22" x14ac:dyDescent="0.4">
      <c r="A30">
        <v>141</v>
      </c>
      <c r="B30" t="s">
        <v>199</v>
      </c>
      <c r="C30">
        <v>1.0845213849287101</v>
      </c>
      <c r="D30">
        <v>0.99083503054989797</v>
      </c>
      <c r="E30">
        <v>1.01027749229188</v>
      </c>
      <c r="F30">
        <v>1.0834181078331599</v>
      </c>
      <c r="G30">
        <v>1.0010183299388999</v>
      </c>
      <c r="H30">
        <f t="shared" si="0"/>
        <v>7.8039619652020206E-3</v>
      </c>
      <c r="I30">
        <f t="shared" si="1"/>
        <v>8.4635636384318737E-3</v>
      </c>
      <c r="J30">
        <f t="shared" si="2"/>
        <v>7.8119089733132219E-3</v>
      </c>
      <c r="K30">
        <f t="shared" si="3"/>
        <v>7.7324388922011857E-3</v>
      </c>
      <c r="P30" s="36"/>
      <c r="V30" s="36"/>
    </row>
    <row r="31" spans="1:22" x14ac:dyDescent="0.4">
      <c r="A31">
        <v>148</v>
      </c>
      <c r="B31" t="s">
        <v>200</v>
      </c>
      <c r="C31">
        <v>0.915022761760242</v>
      </c>
      <c r="D31">
        <v>0.92564491654021197</v>
      </c>
      <c r="E31">
        <v>0.97704918032786803</v>
      </c>
      <c r="F31">
        <v>1.0117449664429501</v>
      </c>
      <c r="G31">
        <v>0.90440060698027303</v>
      </c>
      <c r="H31">
        <f t="shared" si="0"/>
        <v>7.8039619652020206E-3</v>
      </c>
      <c r="I31">
        <f t="shared" si="1"/>
        <v>7.1408028300710387E-3</v>
      </c>
      <c r="J31">
        <f t="shared" si="2"/>
        <v>7.0579079381796715E-3</v>
      </c>
      <c r="K31">
        <f t="shared" si="3"/>
        <v>7.2236977219624129E-3</v>
      </c>
      <c r="P31" s="36"/>
      <c r="V31" s="36"/>
    </row>
    <row r="32" spans="1:22" x14ac:dyDescent="0.4">
      <c r="A32">
        <v>164</v>
      </c>
      <c r="B32" t="s">
        <v>201</v>
      </c>
      <c r="C32">
        <v>1.0284974093264201</v>
      </c>
      <c r="D32">
        <v>0.976683937823834</v>
      </c>
      <c r="E32">
        <v>1.06100795755968</v>
      </c>
      <c r="F32">
        <v>0.99250000000000005</v>
      </c>
      <c r="G32">
        <v>1.03626943005181</v>
      </c>
      <c r="H32">
        <f t="shared" si="0"/>
        <v>7.8039619652020206E-3</v>
      </c>
      <c r="I32">
        <f t="shared" si="1"/>
        <v>8.0263546636921961E-3</v>
      </c>
      <c r="J32">
        <f t="shared" si="2"/>
        <v>8.0870072178259016E-3</v>
      </c>
      <c r="K32">
        <f t="shared" si="3"/>
        <v>7.6220043028009353E-3</v>
      </c>
      <c r="P32" s="36"/>
      <c r="V32" s="36"/>
    </row>
    <row r="33" spans="1:22" x14ac:dyDescent="0.4">
      <c r="A33">
        <v>165</v>
      </c>
      <c r="B33" t="s">
        <v>202</v>
      </c>
      <c r="C33">
        <v>1.1094771241829999</v>
      </c>
      <c r="D33">
        <v>0.98039215686274495</v>
      </c>
      <c r="E33">
        <v>1.0433333333333299</v>
      </c>
      <c r="F33">
        <v>1.08466453674121</v>
      </c>
      <c r="G33">
        <v>1.02287581699346</v>
      </c>
      <c r="H33">
        <f t="shared" si="0"/>
        <v>7.8039619652020206E-3</v>
      </c>
      <c r="I33">
        <f t="shared" si="1"/>
        <v>8.6583172783858513E-3</v>
      </c>
      <c r="J33">
        <f t="shared" si="2"/>
        <v>7.9824839709419036E-3</v>
      </c>
      <c r="K33">
        <f t="shared" si="3"/>
        <v>7.6509431031392345E-3</v>
      </c>
      <c r="P33" s="36"/>
      <c r="V33" s="36"/>
    </row>
    <row r="34" spans="1:22" x14ac:dyDescent="0.4">
      <c r="A34">
        <v>218</v>
      </c>
      <c r="B34" t="s">
        <v>203</v>
      </c>
      <c r="C34">
        <v>0.97839506172839497</v>
      </c>
      <c r="D34">
        <v>1.01234567901234</v>
      </c>
      <c r="E34">
        <v>0.99085365853658502</v>
      </c>
      <c r="F34">
        <v>0.97538461538461496</v>
      </c>
      <c r="G34">
        <v>1.00308641975308</v>
      </c>
      <c r="H34">
        <f t="shared" si="0"/>
        <v>7.8039619652020206E-3</v>
      </c>
      <c r="I34">
        <f t="shared" si="1"/>
        <v>7.6353578486698772E-3</v>
      </c>
      <c r="J34">
        <f t="shared" si="2"/>
        <v>7.8280482675637045E-3</v>
      </c>
      <c r="K34">
        <f t="shared" si="3"/>
        <v>7.9003071746489139E-3</v>
      </c>
      <c r="P34" s="36"/>
      <c r="V34" s="36"/>
    </row>
    <row r="35" spans="1:22" x14ac:dyDescent="0.4">
      <c r="A35">
        <v>338</v>
      </c>
      <c r="B35" t="s">
        <v>204</v>
      </c>
      <c r="C35">
        <v>1.02666666666666</v>
      </c>
      <c r="D35">
        <v>0.94</v>
      </c>
      <c r="E35">
        <v>1.0638297872340401</v>
      </c>
      <c r="F35">
        <v>1.02666666666666</v>
      </c>
      <c r="G35">
        <v>0.999999999999999</v>
      </c>
      <c r="H35">
        <f t="shared" si="0"/>
        <v>7.8039619652020206E-3</v>
      </c>
      <c r="I35">
        <f t="shared" si="1"/>
        <v>8.0120676176073553E-3</v>
      </c>
      <c r="J35">
        <f t="shared" si="2"/>
        <v>7.8039619652020128E-3</v>
      </c>
      <c r="K35">
        <f t="shared" si="3"/>
        <v>7.3357242472898987E-3</v>
      </c>
      <c r="O35" s="36"/>
      <c r="P35" s="36"/>
      <c r="V35" s="36"/>
    </row>
    <row r="36" spans="1:22" x14ac:dyDescent="0.4">
      <c r="A36">
        <v>786</v>
      </c>
      <c r="B36" t="s">
        <v>205</v>
      </c>
      <c r="C36">
        <v>1.0875912408759101</v>
      </c>
      <c r="D36">
        <v>1.0291970802919701</v>
      </c>
      <c r="E36">
        <v>0.97635933806146502</v>
      </c>
      <c r="F36">
        <v>1.08232445520581</v>
      </c>
      <c r="G36">
        <v>1.00486618004866</v>
      </c>
      <c r="H36">
        <f t="shared" si="0"/>
        <v>7.8039619652020206E-3</v>
      </c>
      <c r="I36">
        <f t="shared" si="1"/>
        <v>8.4875206774824713E-3</v>
      </c>
      <c r="J36">
        <f t="shared" si="2"/>
        <v>7.8419374492175887E-3</v>
      </c>
      <c r="K36">
        <f t="shared" si="3"/>
        <v>8.0318148692955053E-3</v>
      </c>
      <c r="P36" s="36"/>
      <c r="V36" s="36"/>
    </row>
    <row r="37" spans="1:22" x14ac:dyDescent="0.4">
      <c r="A37">
        <v>798</v>
      </c>
      <c r="B37" t="s">
        <v>206</v>
      </c>
      <c r="C37">
        <v>1.1463414634146301</v>
      </c>
      <c r="D37">
        <v>0.99303135888501703</v>
      </c>
      <c r="E37">
        <v>1.0894736842105199</v>
      </c>
      <c r="F37">
        <v>1.0595813204508799</v>
      </c>
      <c r="G37">
        <v>1.0818815331010401</v>
      </c>
      <c r="H37">
        <f t="shared" si="0"/>
        <v>7.8039619652020206E-3</v>
      </c>
      <c r="I37">
        <f t="shared" si="1"/>
        <v>8.9460051796217965E-3</v>
      </c>
      <c r="J37">
        <f t="shared" si="2"/>
        <v>8.4429623351749677E-3</v>
      </c>
      <c r="K37">
        <f t="shared" si="3"/>
        <v>7.7495789549915503E-3</v>
      </c>
      <c r="P37" s="36"/>
      <c r="V37" s="36"/>
    </row>
    <row r="38" spans="1:22" x14ac:dyDescent="0.4">
      <c r="A38">
        <v>964</v>
      </c>
      <c r="B38" t="s">
        <v>207</v>
      </c>
      <c r="C38">
        <v>1.12406015037593</v>
      </c>
      <c r="D38">
        <v>0.96992481203007497</v>
      </c>
      <c r="E38">
        <v>1.06201550387596</v>
      </c>
      <c r="F38">
        <v>1.0912408759123999</v>
      </c>
      <c r="G38">
        <v>1.0300751879699199</v>
      </c>
      <c r="H38">
        <f t="shared" si="0"/>
        <v>7.8039619652020206E-3</v>
      </c>
      <c r="I38">
        <f t="shared" si="1"/>
        <v>8.7721226601330214E-3</v>
      </c>
      <c r="J38">
        <f t="shared" si="2"/>
        <v>8.0386675882155763E-3</v>
      </c>
      <c r="K38">
        <f t="shared" si="3"/>
        <v>7.5692563421884242E-3</v>
      </c>
      <c r="P38" s="36"/>
      <c r="V38" s="36"/>
    </row>
    <row r="39" spans="1:22" x14ac:dyDescent="0.4">
      <c r="A39">
        <v>965</v>
      </c>
      <c r="B39" t="s">
        <v>208</v>
      </c>
      <c r="C39">
        <v>1.10537190082644</v>
      </c>
      <c r="D39">
        <v>1.1621900826446201</v>
      </c>
      <c r="E39">
        <v>0.90222222222222204</v>
      </c>
      <c r="F39">
        <v>1.05418719211822</v>
      </c>
      <c r="G39">
        <v>1.0485537190082601</v>
      </c>
      <c r="H39">
        <f t="shared" si="0"/>
        <v>7.8039619652020206E-3</v>
      </c>
      <c r="I39">
        <f t="shared" si="1"/>
        <v>8.6262802714525983E-3</v>
      </c>
      <c r="J39">
        <f t="shared" si="2"/>
        <v>8.1828733416115882E-3</v>
      </c>
      <c r="K39">
        <f t="shared" si="3"/>
        <v>9.0696872012936084E-3</v>
      </c>
      <c r="P39" s="36"/>
      <c r="V39" s="36"/>
    </row>
    <row r="40" spans="1:22" x14ac:dyDescent="0.4">
      <c r="A40">
        <v>1019</v>
      </c>
      <c r="B40" t="s">
        <v>209</v>
      </c>
      <c r="C40">
        <v>1.0328124999999999</v>
      </c>
      <c r="D40">
        <v>0.97343749999999996</v>
      </c>
      <c r="E40">
        <v>1.00321027287319</v>
      </c>
      <c r="F40">
        <v>1.0576000000000001</v>
      </c>
      <c r="G40">
        <v>0.976562499999999</v>
      </c>
      <c r="H40">
        <f t="shared" si="0"/>
        <v>7.8039619652020206E-3</v>
      </c>
      <c r="I40">
        <f t="shared" si="1"/>
        <v>8.0600294671852105E-3</v>
      </c>
      <c r="J40">
        <f t="shared" si="2"/>
        <v>7.6210566066425905E-3</v>
      </c>
      <c r="K40">
        <f t="shared" si="3"/>
        <v>7.5966692255013419E-3</v>
      </c>
      <c r="P40" s="36"/>
      <c r="V40" s="36"/>
    </row>
    <row r="41" spans="1:22" x14ac:dyDescent="0.4">
      <c r="A41">
        <v>1039</v>
      </c>
      <c r="B41" t="s">
        <v>210</v>
      </c>
      <c r="C41">
        <v>1.0366412213740399</v>
      </c>
      <c r="D41">
        <v>0.97404580152671705</v>
      </c>
      <c r="E41">
        <v>1.0282131661442</v>
      </c>
      <c r="F41">
        <v>1.03506097560975</v>
      </c>
      <c r="G41">
        <v>1.00152671755725</v>
      </c>
      <c r="H41">
        <f t="shared" si="0"/>
        <v>7.8039619652020206E-3</v>
      </c>
      <c r="I41">
        <f t="shared" si="1"/>
        <v>8.089908663163576E-3</v>
      </c>
      <c r="J41">
        <f t="shared" si="2"/>
        <v>7.815876410950405E-3</v>
      </c>
      <c r="K41">
        <f t="shared" si="3"/>
        <v>7.601416387479216E-3</v>
      </c>
      <c r="P41" s="36"/>
      <c r="V41" s="36"/>
    </row>
    <row r="42" spans="1:22" x14ac:dyDescent="0.4">
      <c r="A42">
        <v>1053</v>
      </c>
      <c r="B42" t="s">
        <v>211</v>
      </c>
      <c r="C42">
        <v>1.0146082337317299</v>
      </c>
      <c r="D42">
        <v>1.0478087649402299</v>
      </c>
      <c r="E42">
        <v>0.95057034220532299</v>
      </c>
      <c r="F42">
        <v>1.0186666666666599</v>
      </c>
      <c r="G42">
        <v>0.99601593625497997</v>
      </c>
      <c r="H42">
        <f t="shared" si="0"/>
        <v>7.8039619652020206E-3</v>
      </c>
      <c r="I42">
        <f t="shared" si="1"/>
        <v>7.9179640656232217E-3</v>
      </c>
      <c r="J42">
        <f t="shared" si="2"/>
        <v>7.7728704832689443E-3</v>
      </c>
      <c r="K42">
        <f t="shared" si="3"/>
        <v>8.1770597483988589E-3</v>
      </c>
      <c r="O42" s="36"/>
      <c r="P42" s="36"/>
      <c r="V42" s="36"/>
    </row>
    <row r="43" spans="1:22" x14ac:dyDescent="0.4">
      <c r="A43">
        <v>1069</v>
      </c>
      <c r="B43" t="s">
        <v>212</v>
      </c>
      <c r="C43">
        <v>0.94430992736077402</v>
      </c>
      <c r="D43">
        <v>0.92251815980629503</v>
      </c>
      <c r="E43">
        <v>0.99212598425196796</v>
      </c>
      <c r="F43">
        <v>1.0317460317460301</v>
      </c>
      <c r="G43">
        <v>0.91525423728813504</v>
      </c>
      <c r="H43">
        <f t="shared" si="0"/>
        <v>7.8039619652020206E-3</v>
      </c>
      <c r="I43">
        <f t="shared" si="1"/>
        <v>7.3693587564861631E-3</v>
      </c>
      <c r="J43">
        <f t="shared" si="2"/>
        <v>7.1426092562865912E-3</v>
      </c>
      <c r="K43">
        <f t="shared" si="3"/>
        <v>7.1992966313364857E-3</v>
      </c>
      <c r="P43" s="36"/>
      <c r="V43" s="36"/>
    </row>
    <row r="44" spans="1:22" x14ac:dyDescent="0.4">
      <c r="A44">
        <v>1136</v>
      </c>
      <c r="B44" t="s">
        <v>213</v>
      </c>
      <c r="C44">
        <v>1.21091811414392</v>
      </c>
      <c r="D44">
        <v>1.20595533498759</v>
      </c>
      <c r="E44">
        <v>0.94238683127571998</v>
      </c>
      <c r="F44">
        <v>1.06550218340611</v>
      </c>
      <c r="G44">
        <v>1.136476426799</v>
      </c>
      <c r="H44">
        <f t="shared" si="0"/>
        <v>7.8039619652020206E-3</v>
      </c>
      <c r="I44">
        <f t="shared" si="1"/>
        <v>9.4499589057533105E-3</v>
      </c>
      <c r="J44">
        <f t="shared" si="2"/>
        <v>8.8690188090880945E-3</v>
      </c>
      <c r="K44">
        <f t="shared" si="3"/>
        <v>9.4112295659756137E-3</v>
      </c>
      <c r="P44" s="36"/>
      <c r="V44" s="36"/>
    </row>
    <row r="45" spans="1:22" x14ac:dyDescent="0.4">
      <c r="A45">
        <v>1189</v>
      </c>
      <c r="B45" t="s">
        <v>214</v>
      </c>
      <c r="C45">
        <v>0.98507462686567104</v>
      </c>
      <c r="D45">
        <v>0.93080054274084101</v>
      </c>
      <c r="E45">
        <v>1.01166180758017</v>
      </c>
      <c r="F45">
        <v>1.0461095100864499</v>
      </c>
      <c r="G45">
        <v>0.94165535956580704</v>
      </c>
      <c r="H45">
        <f t="shared" si="0"/>
        <v>7.8039619652020206E-3</v>
      </c>
      <c r="I45">
        <f t="shared" si="1"/>
        <v>7.6874849209452693E-3</v>
      </c>
      <c r="J45">
        <f t="shared" si="2"/>
        <v>7.3486426103801907E-3</v>
      </c>
      <c r="K45">
        <f t="shared" si="3"/>
        <v>7.2639320327389208E-3</v>
      </c>
      <c r="P45" s="36"/>
      <c r="V45" s="36"/>
    </row>
    <row r="46" spans="1:22" x14ac:dyDescent="0.4">
      <c r="A46">
        <v>1443</v>
      </c>
      <c r="B46" t="s">
        <v>215</v>
      </c>
      <c r="C46">
        <v>1.0290135396518301</v>
      </c>
      <c r="D46">
        <v>0.97485493230174003</v>
      </c>
      <c r="E46">
        <v>1.0178571428571399</v>
      </c>
      <c r="F46">
        <v>1.0370370370370301</v>
      </c>
      <c r="G46">
        <v>0.99226305609284304</v>
      </c>
      <c r="H46">
        <f t="shared" si="0"/>
        <v>7.8039619652020206E-3</v>
      </c>
      <c r="I46">
        <f t="shared" si="1"/>
        <v>8.0303825251207828E-3</v>
      </c>
      <c r="J46">
        <f t="shared" si="2"/>
        <v>7.7435831492236665E-3</v>
      </c>
      <c r="K46">
        <f t="shared" si="3"/>
        <v>7.6077308132723696E-3</v>
      </c>
      <c r="P46" s="36"/>
      <c r="V46" s="36"/>
    </row>
    <row r="47" spans="1:22" x14ac:dyDescent="0.4">
      <c r="A47">
        <v>60</v>
      </c>
      <c r="B47" t="s">
        <v>216</v>
      </c>
      <c r="C47">
        <v>0.98738738738738696</v>
      </c>
      <c r="D47">
        <v>0.97837837837837804</v>
      </c>
      <c r="E47">
        <v>0.96685082872928096</v>
      </c>
      <c r="F47">
        <v>1.04380952380952</v>
      </c>
      <c r="G47">
        <v>0.94594594594594505</v>
      </c>
      <c r="H47">
        <f t="shared" si="0"/>
        <v>7.8039619652020206E-3</v>
      </c>
      <c r="I47">
        <f t="shared" si="1"/>
        <v>7.7055336160913616E-3</v>
      </c>
      <c r="J47">
        <f t="shared" si="2"/>
        <v>7.3821261832992015E-3</v>
      </c>
      <c r="K47">
        <f t="shared" si="3"/>
        <v>7.6352276524408935E-3</v>
      </c>
      <c r="O47" s="36"/>
      <c r="P47" s="36"/>
      <c r="V47" s="36"/>
    </row>
    <row r="48" spans="1:22" x14ac:dyDescent="0.4">
      <c r="A48">
        <v>145</v>
      </c>
      <c r="B48" t="s">
        <v>217</v>
      </c>
      <c r="C48">
        <v>1.1120879120879099</v>
      </c>
      <c r="D48">
        <v>0.98351648351648302</v>
      </c>
      <c r="E48">
        <v>1.0748603351955299</v>
      </c>
      <c r="F48">
        <v>1.0519750519750499</v>
      </c>
      <c r="G48">
        <v>1.0571428571428501</v>
      </c>
      <c r="H48">
        <f t="shared" si="0"/>
        <v>7.8039619652020206E-3</v>
      </c>
      <c r="I48">
        <f t="shared" si="1"/>
        <v>8.6786917678949773E-3</v>
      </c>
      <c r="J48">
        <f t="shared" si="2"/>
        <v>8.2499026489277951E-3</v>
      </c>
      <c r="K48">
        <f t="shared" si="3"/>
        <v>7.6753252295118733E-3</v>
      </c>
      <c r="O48" s="36"/>
      <c r="P48" s="36"/>
      <c r="V48" s="36"/>
    </row>
    <row r="49" spans="1:22" x14ac:dyDescent="0.4">
      <c r="A49">
        <v>155</v>
      </c>
      <c r="B49" t="s">
        <v>218</v>
      </c>
      <c r="C49">
        <v>1.2296296296296201</v>
      </c>
      <c r="D49">
        <v>1.01111111111111</v>
      </c>
      <c r="E49">
        <v>1.07692307692307</v>
      </c>
      <c r="F49">
        <v>1.12925170068027</v>
      </c>
      <c r="G49">
        <v>1.0888888888888799</v>
      </c>
      <c r="H49">
        <f t="shared" si="0"/>
        <v>7.8039619652020206E-3</v>
      </c>
      <c r="I49">
        <f t="shared" si="1"/>
        <v>9.5959828609150019E-3</v>
      </c>
      <c r="J49">
        <f t="shared" si="2"/>
        <v>8.4976474732199082E-3</v>
      </c>
      <c r="K49">
        <f t="shared" si="3"/>
        <v>7.890672653704257E-3</v>
      </c>
      <c r="O49" s="36"/>
      <c r="P49" s="36"/>
      <c r="V49" s="36"/>
    </row>
    <row r="50" spans="1:22" x14ac:dyDescent="0.4">
      <c r="A50">
        <v>176</v>
      </c>
      <c r="B50" t="s">
        <v>219</v>
      </c>
      <c r="C50">
        <v>1.4036996735582099</v>
      </c>
      <c r="D50">
        <v>1.09902067464635</v>
      </c>
      <c r="E50">
        <v>1.1584158415841499</v>
      </c>
      <c r="F50">
        <v>1.1025641025641</v>
      </c>
      <c r="G50">
        <v>1.27312295973884</v>
      </c>
      <c r="H50">
        <f t="shared" si="0"/>
        <v>7.8039619652020206E-3</v>
      </c>
      <c r="I50">
        <f t="shared" si="1"/>
        <v>1.0954418863014763E-2</v>
      </c>
      <c r="J50">
        <f t="shared" si="2"/>
        <v>9.9354031548273304E-3</v>
      </c>
      <c r="K50">
        <f t="shared" si="3"/>
        <v>8.5767155439107796E-3</v>
      </c>
      <c r="P50" s="36"/>
      <c r="V50" s="36"/>
    </row>
    <row r="51" spans="1:22" x14ac:dyDescent="0.4">
      <c r="A51">
        <v>231</v>
      </c>
      <c r="B51" t="s">
        <v>220</v>
      </c>
      <c r="C51">
        <v>0.97663551401869098</v>
      </c>
      <c r="D51">
        <v>1.07943925233644</v>
      </c>
      <c r="E51">
        <v>0.96103896103896103</v>
      </c>
      <c r="F51">
        <v>0.94144144144144104</v>
      </c>
      <c r="G51">
        <v>1.0373831775700899</v>
      </c>
      <c r="H51">
        <f t="shared" si="0"/>
        <v>7.8039619652020206E-3</v>
      </c>
      <c r="I51">
        <f t="shared" si="1"/>
        <v>7.6216264052673894E-3</v>
      </c>
      <c r="J51">
        <f t="shared" si="2"/>
        <v>8.0956988610973949E-3</v>
      </c>
      <c r="K51">
        <f t="shared" si="3"/>
        <v>8.4239028689796838E-3</v>
      </c>
      <c r="O51" s="36"/>
      <c r="P51" s="36"/>
      <c r="V51" s="36"/>
    </row>
    <row r="52" spans="1:22" x14ac:dyDescent="0.4">
      <c r="A52">
        <v>330</v>
      </c>
      <c r="B52" t="s">
        <v>221</v>
      </c>
      <c r="C52">
        <v>1.22857142857142</v>
      </c>
      <c r="D52">
        <v>1.0249999999999999</v>
      </c>
      <c r="E52">
        <v>1.06387921022067</v>
      </c>
      <c r="F52">
        <v>1.1266375545851499</v>
      </c>
      <c r="G52">
        <v>1.0904761904761899</v>
      </c>
      <c r="H52">
        <f t="shared" si="0"/>
        <v>7.8039619652020206E-3</v>
      </c>
      <c r="I52">
        <f t="shared" si="1"/>
        <v>9.587724700105273E-3</v>
      </c>
      <c r="J52">
        <f t="shared" si="2"/>
        <v>8.5100347144345806E-3</v>
      </c>
      <c r="K52">
        <f t="shared" si="3"/>
        <v>7.9990610143320703E-3</v>
      </c>
      <c r="P52" s="36"/>
      <c r="V52" s="36"/>
    </row>
    <row r="53" spans="1:22" x14ac:dyDescent="0.4">
      <c r="A53">
        <v>591</v>
      </c>
      <c r="B53" t="s">
        <v>222</v>
      </c>
      <c r="C53">
        <v>1.1768488745980701</v>
      </c>
      <c r="D53">
        <v>1.09003215434083</v>
      </c>
      <c r="E53">
        <v>1.0796460176991101</v>
      </c>
      <c r="F53">
        <v>1</v>
      </c>
      <c r="G53">
        <v>1.1768488745980701</v>
      </c>
      <c r="H53">
        <f t="shared" si="0"/>
        <v>7.8039619652020206E-3</v>
      </c>
      <c r="I53">
        <f t="shared" si="1"/>
        <v>9.1840838561541415E-3</v>
      </c>
      <c r="J53">
        <f t="shared" si="2"/>
        <v>9.1840838561541415E-3</v>
      </c>
      <c r="K53">
        <f t="shared" si="3"/>
        <v>8.5065694733230564E-3</v>
      </c>
      <c r="P53" s="36"/>
      <c r="V53" s="36"/>
    </row>
    <row r="54" spans="1:22" x14ac:dyDescent="0.4">
      <c r="A54">
        <v>1002</v>
      </c>
      <c r="B54" t="s">
        <v>223</v>
      </c>
      <c r="C54">
        <v>0.96716101694915202</v>
      </c>
      <c r="D54">
        <v>0.99364406779660996</v>
      </c>
      <c r="E54">
        <v>0.97228144989339005</v>
      </c>
      <c r="F54">
        <v>1.00109649122807</v>
      </c>
      <c r="G54">
        <v>0.96610169491525399</v>
      </c>
      <c r="H54">
        <f t="shared" si="0"/>
        <v>7.8039619652020206E-3</v>
      </c>
      <c r="I54">
        <f t="shared" si="1"/>
        <v>7.5476877904972891E-3</v>
      </c>
      <c r="J54">
        <f t="shared" si="2"/>
        <v>7.5394208816358483E-3</v>
      </c>
      <c r="K54">
        <f t="shared" si="3"/>
        <v>7.754360512033362E-3</v>
      </c>
      <c r="P54" s="36"/>
      <c r="V54" s="36"/>
    </row>
    <row r="55" spans="1:22" x14ac:dyDescent="0.4">
      <c r="A55">
        <v>1040</v>
      </c>
      <c r="B55" t="s">
        <v>224</v>
      </c>
      <c r="C55">
        <v>1.09987029831387</v>
      </c>
      <c r="D55">
        <v>1.0272373540855999</v>
      </c>
      <c r="E55">
        <v>1.0239898989898899</v>
      </c>
      <c r="F55">
        <v>1.0456226880394499</v>
      </c>
      <c r="G55">
        <v>1.0518806744487601</v>
      </c>
      <c r="H55">
        <f t="shared" si="0"/>
        <v>7.8039619652020206E-3</v>
      </c>
      <c r="I55">
        <f t="shared" si="1"/>
        <v>8.5833459746968415E-3</v>
      </c>
      <c r="J55">
        <f t="shared" si="2"/>
        <v>8.208836775329173E-3</v>
      </c>
      <c r="K55">
        <f t="shared" si="3"/>
        <v>8.0165212405187824E-3</v>
      </c>
      <c r="O55" s="36"/>
      <c r="P55" s="36"/>
      <c r="V55" s="36"/>
    </row>
    <row r="56" spans="1:22" x14ac:dyDescent="0.4">
      <c r="A56">
        <v>1123</v>
      </c>
      <c r="B56" t="s">
        <v>225</v>
      </c>
      <c r="C56">
        <v>1.1062355658198599</v>
      </c>
      <c r="D56">
        <v>0.99307159353348695</v>
      </c>
      <c r="E56">
        <v>1.06627906976744</v>
      </c>
      <c r="F56">
        <v>1.04471101417666</v>
      </c>
      <c r="G56">
        <v>1.0588914549653501</v>
      </c>
      <c r="H56">
        <f t="shared" si="0"/>
        <v>7.8039619652020206E-3</v>
      </c>
      <c r="I56">
        <f t="shared" si="1"/>
        <v>8.633020280211923E-3</v>
      </c>
      <c r="J56">
        <f t="shared" si="2"/>
        <v>8.2635486398270203E-3</v>
      </c>
      <c r="K56">
        <f t="shared" si="3"/>
        <v>7.7498929446578931E-3</v>
      </c>
      <c r="P56" s="36"/>
      <c r="V56" s="36"/>
    </row>
    <row r="57" spans="1:22" x14ac:dyDescent="0.4">
      <c r="A57">
        <v>1290</v>
      </c>
      <c r="B57" t="s">
        <v>226</v>
      </c>
      <c r="C57">
        <v>1.2440944881889699</v>
      </c>
      <c r="D57">
        <v>1.0826771653543299</v>
      </c>
      <c r="E57">
        <v>1.0709090909090899</v>
      </c>
      <c r="F57">
        <v>1.0730050933786</v>
      </c>
      <c r="G57">
        <v>1.15944881889763</v>
      </c>
      <c r="H57">
        <f t="shared" si="0"/>
        <v>7.8039619652020206E-3</v>
      </c>
      <c r="I57">
        <f t="shared" si="1"/>
        <v>9.7088660669441967E-3</v>
      </c>
      <c r="J57">
        <f t="shared" si="2"/>
        <v>9.04829448327551E-3</v>
      </c>
      <c r="K57">
        <f t="shared" si="3"/>
        <v>8.4491714190179298E-3</v>
      </c>
      <c r="P57" s="36"/>
      <c r="V57" s="36"/>
    </row>
    <row r="58" spans="1:22" x14ac:dyDescent="0.4">
      <c r="A58">
        <v>1437</v>
      </c>
      <c r="B58" t="s">
        <v>227</v>
      </c>
      <c r="C58">
        <v>1.04109589041095</v>
      </c>
      <c r="D58">
        <v>1.01826484018264</v>
      </c>
      <c r="E58">
        <v>0.99215246636771304</v>
      </c>
      <c r="F58">
        <v>1.03050847457627</v>
      </c>
      <c r="G58">
        <v>1.0102739726027301</v>
      </c>
      <c r="H58">
        <f t="shared" si="0"/>
        <v>7.8039619652020206E-3</v>
      </c>
      <c r="I58">
        <f t="shared" si="1"/>
        <v>8.1246727308951841E-3</v>
      </c>
      <c r="J58">
        <f t="shared" si="2"/>
        <v>7.8841396566252542E-3</v>
      </c>
      <c r="K58">
        <f t="shared" si="3"/>
        <v>7.9465000832878371E-3</v>
      </c>
      <c r="P58" s="36"/>
      <c r="V58" s="36"/>
    </row>
    <row r="59" spans="1:22" x14ac:dyDescent="0.4">
      <c r="A59">
        <v>1692</v>
      </c>
      <c r="B59" t="s">
        <v>228</v>
      </c>
      <c r="C59">
        <v>0.97371879106438897</v>
      </c>
      <c r="D59">
        <v>1.02890932982917</v>
      </c>
      <c r="E59">
        <v>0.92337164750957801</v>
      </c>
      <c r="F59">
        <v>1.0248962655601599</v>
      </c>
      <c r="G59">
        <v>0.95006570302233895</v>
      </c>
      <c r="H59">
        <f t="shared" si="0"/>
        <v>7.8039619652020206E-3</v>
      </c>
      <c r="I59">
        <f t="shared" si="1"/>
        <v>7.5988644102689849E-3</v>
      </c>
      <c r="J59">
        <f t="shared" si="2"/>
        <v>7.4142766108292518E-3</v>
      </c>
      <c r="K59">
        <f t="shared" si="3"/>
        <v>8.0295692756283434E-3</v>
      </c>
      <c r="O59" s="36"/>
      <c r="P59" s="36"/>
      <c r="V59" s="36"/>
    </row>
    <row r="60" spans="1:22" x14ac:dyDescent="0.4">
      <c r="A60">
        <v>2884</v>
      </c>
      <c r="B60" t="s">
        <v>229</v>
      </c>
      <c r="C60">
        <v>1.032992036405</v>
      </c>
      <c r="D60">
        <v>1.03754266211604</v>
      </c>
      <c r="E60">
        <v>0.99342105263157898</v>
      </c>
      <c r="F60">
        <v>1.00220750551876</v>
      </c>
      <c r="G60">
        <v>1.0307167235494801</v>
      </c>
      <c r="H60">
        <f t="shared" si="0"/>
        <v>7.8039619652020206E-3</v>
      </c>
      <c r="I60">
        <f t="shared" si="1"/>
        <v>8.0614305624612005E-3</v>
      </c>
      <c r="J60">
        <f t="shared" si="2"/>
        <v>8.0436741074777877E-3</v>
      </c>
      <c r="K60">
        <f t="shared" si="3"/>
        <v>8.0969434724280278E-3</v>
      </c>
      <c r="P60" s="36"/>
      <c r="V60" s="36"/>
    </row>
    <row r="61" spans="1:22" x14ac:dyDescent="0.4">
      <c r="A61">
        <v>204</v>
      </c>
      <c r="B61" t="s">
        <v>230</v>
      </c>
      <c r="C61">
        <v>1.0825</v>
      </c>
      <c r="D61">
        <v>1.0562499999999999</v>
      </c>
      <c r="E61">
        <v>0.976331360946745</v>
      </c>
      <c r="F61">
        <v>1.04969696969696</v>
      </c>
      <c r="G61">
        <v>1.03125</v>
      </c>
      <c r="H61">
        <f t="shared" si="0"/>
        <v>7.8039619652020206E-3</v>
      </c>
      <c r="I61">
        <f t="shared" si="1"/>
        <v>8.4477888273311874E-3</v>
      </c>
      <c r="J61">
        <f t="shared" si="2"/>
        <v>8.0478357766145831E-3</v>
      </c>
      <c r="K61">
        <f t="shared" si="3"/>
        <v>8.2429348257446328E-3</v>
      </c>
      <c r="O61" s="36"/>
      <c r="P61" s="36"/>
      <c r="V61" s="36"/>
    </row>
    <row r="62" spans="1:22" x14ac:dyDescent="0.4">
      <c r="A62">
        <v>375</v>
      </c>
      <c r="B62" t="s">
        <v>231</v>
      </c>
      <c r="C62">
        <v>1.0141509433962199</v>
      </c>
      <c r="D62">
        <v>0.97169811320754695</v>
      </c>
      <c r="E62">
        <v>0.980582524271844</v>
      </c>
      <c r="F62">
        <v>1.06435643564356</v>
      </c>
      <c r="G62">
        <v>0.95283018867924496</v>
      </c>
      <c r="H62">
        <f t="shared" si="0"/>
        <v>7.8039619652020206E-3</v>
      </c>
      <c r="I62">
        <f t="shared" si="1"/>
        <v>7.914395389237848E-3</v>
      </c>
      <c r="J62">
        <f t="shared" si="2"/>
        <v>7.4358505517490925E-3</v>
      </c>
      <c r="K62">
        <f t="shared" si="3"/>
        <v>7.5830951171302636E-3</v>
      </c>
      <c r="P62" s="36"/>
      <c r="V62" s="36"/>
    </row>
    <row r="63" spans="1:22" x14ac:dyDescent="0.4">
      <c r="A63">
        <v>472</v>
      </c>
      <c r="B63" t="s">
        <v>232</v>
      </c>
      <c r="C63">
        <v>1.0249632892804601</v>
      </c>
      <c r="D63">
        <v>1.1395007342143899</v>
      </c>
      <c r="E63">
        <v>1.05798969072164</v>
      </c>
      <c r="F63">
        <v>0.85018270401948803</v>
      </c>
      <c r="G63">
        <v>1.2055800293685699</v>
      </c>
      <c r="H63">
        <f t="shared" si="0"/>
        <v>7.8039619652020206E-3</v>
      </c>
      <c r="I63">
        <f t="shared" si="1"/>
        <v>7.9987745252730665E-3</v>
      </c>
      <c r="J63">
        <f t="shared" si="2"/>
        <v>9.4083006951994549E-3</v>
      </c>
      <c r="K63">
        <f t="shared" si="3"/>
        <v>8.8926203891288753E-3</v>
      </c>
      <c r="P63" s="36"/>
      <c r="V63" s="36"/>
    </row>
    <row r="64" spans="1:22" x14ac:dyDescent="0.4">
      <c r="A64">
        <v>678</v>
      </c>
      <c r="B64" t="s">
        <v>233</v>
      </c>
      <c r="C64">
        <v>1.0200729927007299</v>
      </c>
      <c r="D64">
        <v>0.96715328467153205</v>
      </c>
      <c r="E64">
        <v>1.02264150943396</v>
      </c>
      <c r="F64">
        <v>1.03136531365313</v>
      </c>
      <c r="G64">
        <v>0.98905109489051002</v>
      </c>
      <c r="H64">
        <f t="shared" si="0"/>
        <v>7.8039619652020206E-3</v>
      </c>
      <c r="I64">
        <f t="shared" si="1"/>
        <v>7.9606108367662951E-3</v>
      </c>
      <c r="J64">
        <f t="shared" si="2"/>
        <v>7.7185171261669547E-3</v>
      </c>
      <c r="K64">
        <f t="shared" si="3"/>
        <v>7.5476274480968386E-3</v>
      </c>
      <c r="P64" s="36"/>
      <c r="V64" s="36"/>
    </row>
    <row r="65" spans="1:22" x14ac:dyDescent="0.4">
      <c r="A65">
        <v>683</v>
      </c>
      <c r="B65" t="s">
        <v>234</v>
      </c>
      <c r="C65">
        <v>0.98689489168226796</v>
      </c>
      <c r="D65">
        <v>1.0002674511901499</v>
      </c>
      <c r="E65">
        <v>0.92647058823529405</v>
      </c>
      <c r="F65">
        <v>1.06493506493506</v>
      </c>
      <c r="G65">
        <v>0.92671837389676304</v>
      </c>
      <c r="H65">
        <f t="shared" si="0"/>
        <v>7.8039619652020206E-3</v>
      </c>
      <c r="I65">
        <f t="shared" si="1"/>
        <v>7.7016901983405868E-3</v>
      </c>
      <c r="J65">
        <f t="shared" si="2"/>
        <v>7.2320749423442042E-3</v>
      </c>
      <c r="K65">
        <f t="shared" si="3"/>
        <v>7.806049144117499E-3</v>
      </c>
      <c r="P65" s="36"/>
      <c r="V65" s="36"/>
    </row>
    <row r="66" spans="1:22" x14ac:dyDescent="0.4">
      <c r="A66">
        <v>1195</v>
      </c>
      <c r="B66" t="s">
        <v>235</v>
      </c>
      <c r="C66">
        <v>1.06874189364461</v>
      </c>
      <c r="D66">
        <v>0.97146562905317702</v>
      </c>
      <c r="E66">
        <v>0.98931909212282998</v>
      </c>
      <c r="F66">
        <v>1.1120107962213199</v>
      </c>
      <c r="G66">
        <v>0.96108949416342404</v>
      </c>
      <c r="H66">
        <f t="shared" si="0"/>
        <v>7.8039619652020206E-3</v>
      </c>
      <c r="I66">
        <f t="shared" si="1"/>
        <v>8.3404210886205195E-3</v>
      </c>
      <c r="J66">
        <f t="shared" si="2"/>
        <v>7.5003058576066104E-3</v>
      </c>
      <c r="K66">
        <f t="shared" si="3"/>
        <v>7.5812808196320481E-3</v>
      </c>
      <c r="P66" s="36"/>
      <c r="V66" s="36"/>
    </row>
    <row r="67" spans="1:22" x14ac:dyDescent="0.4">
      <c r="A67">
        <v>1333</v>
      </c>
      <c r="B67" t="s">
        <v>236</v>
      </c>
      <c r="C67">
        <v>1.0106382978723401</v>
      </c>
      <c r="D67">
        <v>0.94148936170212705</v>
      </c>
      <c r="E67">
        <v>1.0155367231638399</v>
      </c>
      <c r="F67">
        <v>1.0570236439499301</v>
      </c>
      <c r="G67">
        <v>0.95611702127659504</v>
      </c>
      <c r="H67">
        <f t="shared" ref="H67:H100" si="4">(1-$H$101)/99</f>
        <v>7.8039619652020206E-3</v>
      </c>
      <c r="I67">
        <f t="shared" ref="I67:I101" si="5">C67*H67</f>
        <v>7.8869828371722524E-3</v>
      </c>
      <c r="J67">
        <f t="shared" ref="J67:J101" si="6">G67*H67</f>
        <v>7.4615008683247986E-3</v>
      </c>
      <c r="K67">
        <f t="shared" ref="K67:K101" si="7">H67*D67</f>
        <v>7.3473471693657278E-3</v>
      </c>
      <c r="P67" s="36"/>
      <c r="V67" s="36"/>
    </row>
    <row r="68" spans="1:22" x14ac:dyDescent="0.4">
      <c r="A68">
        <v>2288</v>
      </c>
      <c r="B68" t="s">
        <v>237</v>
      </c>
      <c r="C68">
        <v>1.0893665158371</v>
      </c>
      <c r="D68">
        <v>1.0067873303167401</v>
      </c>
      <c r="E68">
        <v>1.11011235955056</v>
      </c>
      <c r="F68">
        <v>0.97469635627530304</v>
      </c>
      <c r="G68">
        <v>1.1176470588235199</v>
      </c>
      <c r="H68">
        <f t="shared" si="4"/>
        <v>7.8039619652020206E-3</v>
      </c>
      <c r="I68">
        <f t="shared" si="5"/>
        <v>8.5013748557573737E-3</v>
      </c>
      <c r="J68">
        <f t="shared" si="6"/>
        <v>8.7220751375786543E-3</v>
      </c>
      <c r="K68">
        <f t="shared" si="7"/>
        <v>7.8569300328391219E-3</v>
      </c>
      <c r="P68" s="36"/>
      <c r="V68" s="36"/>
    </row>
    <row r="69" spans="1:22" x14ac:dyDescent="0.4">
      <c r="A69">
        <v>550</v>
      </c>
      <c r="B69" t="s">
        <v>238</v>
      </c>
      <c r="C69">
        <v>1.02553191489361</v>
      </c>
      <c r="D69">
        <v>0.96170212765957397</v>
      </c>
      <c r="E69">
        <v>1.01327433628318</v>
      </c>
      <c r="F69">
        <v>1.0524017467248901</v>
      </c>
      <c r="G69">
        <v>0.97446808510638205</v>
      </c>
      <c r="H69">
        <f t="shared" si="4"/>
        <v>7.8039619652020206E-3</v>
      </c>
      <c r="I69">
        <f t="shared" si="5"/>
        <v>8.0032120579305276E-3</v>
      </c>
      <c r="J69">
        <f t="shared" si="6"/>
        <v>7.6047118724734512E-3</v>
      </c>
      <c r="K69">
        <f t="shared" si="7"/>
        <v>7.5050868261091735E-3</v>
      </c>
      <c r="P69" s="36"/>
      <c r="V69" s="36"/>
    </row>
    <row r="70" spans="1:22" x14ac:dyDescent="0.4">
      <c r="A70">
        <v>2079</v>
      </c>
      <c r="B70" t="s">
        <v>239</v>
      </c>
      <c r="C70">
        <v>1.21634615384615</v>
      </c>
      <c r="D70">
        <v>1.0576923076922999</v>
      </c>
      <c r="E70">
        <v>1.0727272727272701</v>
      </c>
      <c r="F70">
        <v>1.0720338983050799</v>
      </c>
      <c r="G70">
        <v>1.1346153846153799</v>
      </c>
      <c r="H70">
        <f t="shared" si="4"/>
        <v>7.8039619652020206E-3</v>
      </c>
      <c r="I70">
        <f t="shared" si="5"/>
        <v>9.4923191211351201E-3</v>
      </c>
      <c r="J70">
        <f t="shared" si="6"/>
        <v>8.8544953066714872E-3</v>
      </c>
      <c r="K70">
        <f t="shared" si="7"/>
        <v>8.254190540117461E-3</v>
      </c>
      <c r="P70" s="36"/>
      <c r="V70" s="36"/>
    </row>
    <row r="71" spans="1:22" x14ac:dyDescent="0.4">
      <c r="A71">
        <v>1127</v>
      </c>
      <c r="B71" t="s">
        <v>240</v>
      </c>
      <c r="C71">
        <v>1.1973947895791499</v>
      </c>
      <c r="D71">
        <v>1.0821643286573099</v>
      </c>
      <c r="E71">
        <v>0.99537037037037002</v>
      </c>
      <c r="F71">
        <v>1.1116279069767401</v>
      </c>
      <c r="G71">
        <v>1.0771543086172299</v>
      </c>
      <c r="H71">
        <f t="shared" si="4"/>
        <v>7.8039619652020206E-3</v>
      </c>
      <c r="I71">
        <f t="shared" si="5"/>
        <v>9.3444233952067624E-3</v>
      </c>
      <c r="J71">
        <f t="shared" si="6"/>
        <v>8.4060712551023414E-3</v>
      </c>
      <c r="K71">
        <f t="shared" si="7"/>
        <v>8.4451692609400254E-3</v>
      </c>
      <c r="P71" s="36"/>
      <c r="V71" s="36"/>
    </row>
    <row r="72" spans="1:22" x14ac:dyDescent="0.4">
      <c r="A72">
        <v>111</v>
      </c>
      <c r="B72" t="s">
        <v>241</v>
      </c>
      <c r="C72">
        <v>1.16576086956521</v>
      </c>
      <c r="D72">
        <v>1.10326086956521</v>
      </c>
      <c r="E72">
        <v>1.02216748768472</v>
      </c>
      <c r="F72">
        <v>1.0337349397590301</v>
      </c>
      <c r="G72">
        <v>1.1277173913043399</v>
      </c>
      <c r="H72">
        <f t="shared" si="4"/>
        <v>7.8039619652020206E-3</v>
      </c>
      <c r="I72">
        <f t="shared" si="5"/>
        <v>9.0975534866077328E-3</v>
      </c>
      <c r="J72">
        <f t="shared" si="6"/>
        <v>8.8006636292359119E-3</v>
      </c>
      <c r="K72">
        <f t="shared" si="7"/>
        <v>8.6098058637826061E-3</v>
      </c>
      <c r="P72" s="36"/>
      <c r="V72" s="36"/>
    </row>
    <row r="73" spans="1:22" x14ac:dyDescent="0.4">
      <c r="A73">
        <v>820</v>
      </c>
      <c r="B73" t="s">
        <v>242</v>
      </c>
      <c r="C73">
        <v>1.0707964601769899</v>
      </c>
      <c r="D73">
        <v>1.0088495575221199</v>
      </c>
      <c r="E73">
        <v>1.0570175438596401</v>
      </c>
      <c r="F73">
        <v>1.0041493775933601</v>
      </c>
      <c r="G73">
        <v>1.0663716814159201</v>
      </c>
      <c r="H73">
        <f t="shared" si="4"/>
        <v>7.8039619652020206E-3</v>
      </c>
      <c r="I73">
        <f t="shared" si="5"/>
        <v>8.3564548476941902E-3</v>
      </c>
      <c r="J73">
        <f t="shared" si="6"/>
        <v>8.3219240425383666E-3</v>
      </c>
      <c r="K73">
        <f t="shared" si="7"/>
        <v>7.8730235755135117E-3</v>
      </c>
      <c r="P73" s="36"/>
      <c r="V73" s="36"/>
    </row>
    <row r="74" spans="1:22" x14ac:dyDescent="0.4">
      <c r="A74">
        <v>1006</v>
      </c>
      <c r="B74" t="s">
        <v>243</v>
      </c>
      <c r="C74">
        <v>1.0575221238938</v>
      </c>
      <c r="D74">
        <v>1.01327433628318</v>
      </c>
      <c r="E74">
        <v>1</v>
      </c>
      <c r="F74">
        <v>1.04366812227074</v>
      </c>
      <c r="G74">
        <v>1.01327433628318</v>
      </c>
      <c r="H74">
        <f t="shared" si="4"/>
        <v>7.8039619652020206E-3</v>
      </c>
      <c r="I74">
        <f t="shared" si="5"/>
        <v>8.2528624322268738E-3</v>
      </c>
      <c r="J74">
        <f t="shared" si="6"/>
        <v>7.9075543806692589E-3</v>
      </c>
      <c r="K74">
        <f t="shared" si="7"/>
        <v>7.9075543806692589E-3</v>
      </c>
      <c r="O74" s="36"/>
      <c r="P74" s="36"/>
      <c r="V74" s="36"/>
    </row>
    <row r="75" spans="1:22" x14ac:dyDescent="0.4">
      <c r="A75">
        <v>1655</v>
      </c>
      <c r="B75" t="s">
        <v>244</v>
      </c>
      <c r="C75">
        <v>1.0711237553342801</v>
      </c>
      <c r="D75">
        <v>1.00142247510668</v>
      </c>
      <c r="E75">
        <v>1.0568181818181801</v>
      </c>
      <c r="F75">
        <v>1.01209677419354</v>
      </c>
      <c r="G75">
        <v>1.05832147937411</v>
      </c>
      <c r="H75">
        <f t="shared" si="4"/>
        <v>7.8039619652020206E-3</v>
      </c>
      <c r="I75">
        <f t="shared" si="5"/>
        <v>8.3590090466530761E-3</v>
      </c>
      <c r="J75">
        <f t="shared" si="6"/>
        <v>8.2591005719918897E-3</v>
      </c>
      <c r="K75">
        <f t="shared" si="7"/>
        <v>7.8150629068309985E-3</v>
      </c>
      <c r="P75" s="36"/>
      <c r="V75" s="36"/>
    </row>
    <row r="76" spans="1:22" x14ac:dyDescent="0.4">
      <c r="A76">
        <v>1939</v>
      </c>
      <c r="B76" t="s">
        <v>245</v>
      </c>
      <c r="C76">
        <v>1.0513833992094801</v>
      </c>
      <c r="D76">
        <v>0.98814229249011798</v>
      </c>
      <c r="E76">
        <v>1.0720000000000001</v>
      </c>
      <c r="F76">
        <v>0.99253731343283502</v>
      </c>
      <c r="G76">
        <v>1.0592885375494001</v>
      </c>
      <c r="H76">
        <f t="shared" si="4"/>
        <v>7.8039619652020206E-3</v>
      </c>
      <c r="I76">
        <f t="shared" si="5"/>
        <v>8.2049560582755955E-3</v>
      </c>
      <c r="J76">
        <f t="shared" si="6"/>
        <v>8.2666474572099906E-3</v>
      </c>
      <c r="K76">
        <f t="shared" si="7"/>
        <v>7.7114248668004107E-3</v>
      </c>
      <c r="P76" s="36"/>
      <c r="V76" s="36"/>
    </row>
    <row r="77" spans="1:22" x14ac:dyDescent="0.4">
      <c r="A77">
        <v>2510</v>
      </c>
      <c r="B77" t="s">
        <v>246</v>
      </c>
      <c r="C77">
        <v>0.85263157894736796</v>
      </c>
      <c r="D77">
        <v>0.92481203007518797</v>
      </c>
      <c r="E77">
        <v>0.92520325203251996</v>
      </c>
      <c r="F77">
        <v>0.99648506151142302</v>
      </c>
      <c r="G77">
        <v>0.85563909774435998</v>
      </c>
      <c r="H77">
        <f t="shared" si="4"/>
        <v>7.8039619652020206E-3</v>
      </c>
      <c r="I77">
        <f t="shared" si="5"/>
        <v>6.6539044124354031E-3</v>
      </c>
      <c r="J77">
        <f t="shared" si="6"/>
        <v>6.677374974736759E-3</v>
      </c>
      <c r="K77">
        <f t="shared" si="7"/>
        <v>7.2171979076680343E-3</v>
      </c>
      <c r="O77" s="36"/>
      <c r="P77" s="36"/>
      <c r="V77" s="36"/>
    </row>
    <row r="78" spans="1:22" x14ac:dyDescent="0.4">
      <c r="A78">
        <v>2648</v>
      </c>
      <c r="B78" t="s">
        <v>247</v>
      </c>
      <c r="C78">
        <v>1.4347826086956501</v>
      </c>
      <c r="D78">
        <v>1.10276679841897</v>
      </c>
      <c r="E78">
        <v>1.0752688172042999</v>
      </c>
      <c r="F78">
        <v>1.21</v>
      </c>
      <c r="G78">
        <v>1.1857707509881401</v>
      </c>
      <c r="H78">
        <f t="shared" si="4"/>
        <v>7.8039619652020206E-3</v>
      </c>
      <c r="I78">
        <f t="shared" si="5"/>
        <v>1.1196988906594187E-2</v>
      </c>
      <c r="J78">
        <f t="shared" si="6"/>
        <v>9.2537098401604817E-3</v>
      </c>
      <c r="K78">
        <f t="shared" si="7"/>
        <v>8.605950151349245E-3</v>
      </c>
      <c r="O78" s="36"/>
      <c r="P78" s="36"/>
      <c r="V78" s="36"/>
    </row>
    <row r="79" spans="1:22" x14ac:dyDescent="0.4">
      <c r="A79">
        <v>281</v>
      </c>
      <c r="B79" t="s">
        <v>248</v>
      </c>
      <c r="C79">
        <v>1.03598484848484</v>
      </c>
      <c r="D79">
        <v>0.96401515151515105</v>
      </c>
      <c r="E79">
        <v>1.0314341846758299</v>
      </c>
      <c r="F79">
        <v>1.0419047619047599</v>
      </c>
      <c r="G79">
        <v>0.99431818181818099</v>
      </c>
      <c r="H79">
        <f t="shared" si="4"/>
        <v>7.8039619652020206E-3</v>
      </c>
      <c r="I79">
        <f t="shared" si="5"/>
        <v>8.0847863541012692E-3</v>
      </c>
      <c r="J79">
        <f t="shared" si="6"/>
        <v>7.7596212722179118E-3</v>
      </c>
      <c r="K79">
        <f t="shared" si="7"/>
        <v>7.5231375763027018E-3</v>
      </c>
      <c r="P79" s="36"/>
      <c r="V79" s="36"/>
    </row>
    <row r="80" spans="1:22" x14ac:dyDescent="0.4">
      <c r="A80">
        <v>885</v>
      </c>
      <c r="B80" t="s">
        <v>249</v>
      </c>
      <c r="C80">
        <v>1.30027548209366</v>
      </c>
      <c r="D80">
        <v>1.1129476584022</v>
      </c>
      <c r="E80">
        <v>1.0742574257425701</v>
      </c>
      <c r="F80">
        <v>1.0875576036866299</v>
      </c>
      <c r="G80">
        <v>1.1955922865013699</v>
      </c>
      <c r="H80">
        <f t="shared" si="4"/>
        <v>7.8039619652020206E-3</v>
      </c>
      <c r="I80">
        <f t="shared" si="5"/>
        <v>1.0147300406543644E-2</v>
      </c>
      <c r="J80">
        <f t="shared" si="6"/>
        <v>9.3303567297456091E-3</v>
      </c>
      <c r="K80">
        <f t="shared" si="7"/>
        <v>8.6854011954314199E-3</v>
      </c>
      <c r="O80" s="36"/>
      <c r="P80" s="36"/>
      <c r="V80" s="36"/>
    </row>
    <row r="81" spans="1:22" x14ac:dyDescent="0.4">
      <c r="A81">
        <v>1550</v>
      </c>
      <c r="B81" t="s">
        <v>250</v>
      </c>
      <c r="C81">
        <v>0.99681866383881201</v>
      </c>
      <c r="D81">
        <v>1.0212089077412501</v>
      </c>
      <c r="E81">
        <v>0.99792315680166099</v>
      </c>
      <c r="F81">
        <v>0.97814776274713799</v>
      </c>
      <c r="G81">
        <v>1.0190880169671199</v>
      </c>
      <c r="H81">
        <f t="shared" si="4"/>
        <v>7.8039619652020206E-3</v>
      </c>
      <c r="I81">
        <f t="shared" si="5"/>
        <v>7.7791349388015877E-3</v>
      </c>
      <c r="J81">
        <f t="shared" si="6"/>
        <v>7.9529241236045555E-3</v>
      </c>
      <c r="K81">
        <f t="shared" si="7"/>
        <v>7.9694754745382144E-3</v>
      </c>
      <c r="P81" s="36"/>
      <c r="V81" s="36"/>
    </row>
    <row r="82" spans="1:22" x14ac:dyDescent="0.4">
      <c r="A82">
        <v>1845</v>
      </c>
      <c r="B82" t="s">
        <v>251</v>
      </c>
      <c r="C82">
        <v>1.02690582959641</v>
      </c>
      <c r="D82">
        <v>1</v>
      </c>
      <c r="E82">
        <v>1.09417040358744</v>
      </c>
      <c r="F82">
        <v>0.93852459016393397</v>
      </c>
      <c r="G82">
        <v>1.09417040358744</v>
      </c>
      <c r="H82">
        <f t="shared" si="4"/>
        <v>7.8039619652020206E-3</v>
      </c>
      <c r="I82">
        <f t="shared" si="5"/>
        <v>8.01393403601461E-3</v>
      </c>
      <c r="J82">
        <f t="shared" si="6"/>
        <v>8.5388642130461261E-3</v>
      </c>
      <c r="K82">
        <f t="shared" si="7"/>
        <v>7.8039619652020206E-3</v>
      </c>
      <c r="O82" s="36"/>
      <c r="P82" s="36"/>
      <c r="V82" s="36"/>
    </row>
    <row r="83" spans="1:22" x14ac:dyDescent="0.4">
      <c r="A83">
        <v>1983</v>
      </c>
      <c r="B83" t="s">
        <v>252</v>
      </c>
      <c r="C83">
        <v>1.21100917431192</v>
      </c>
      <c r="D83">
        <v>1.03669724770642</v>
      </c>
      <c r="E83">
        <v>1.06194690265486</v>
      </c>
      <c r="F83">
        <v>1.1000000000000001</v>
      </c>
      <c r="G83">
        <v>1.1009174311926599</v>
      </c>
      <c r="H83">
        <f t="shared" si="4"/>
        <v>7.8039619652020206E-3</v>
      </c>
      <c r="I83">
        <f t="shared" si="5"/>
        <v>9.4506695358409273E-3</v>
      </c>
      <c r="J83">
        <f t="shared" si="6"/>
        <v>8.5915177598554302E-3</v>
      </c>
      <c r="K83">
        <f t="shared" si="7"/>
        <v>8.0903458905305196E-3</v>
      </c>
      <c r="P83" s="36"/>
      <c r="V83" s="36"/>
    </row>
    <row r="84" spans="1:22" x14ac:dyDescent="0.4">
      <c r="A84">
        <v>1992</v>
      </c>
      <c r="B84" t="s">
        <v>253</v>
      </c>
      <c r="C84">
        <v>0.94680851063829696</v>
      </c>
      <c r="D84">
        <v>1.02482269503546</v>
      </c>
      <c r="E84">
        <v>1.0242214532871901</v>
      </c>
      <c r="F84">
        <v>0.90202702702702697</v>
      </c>
      <c r="G84">
        <v>1.0496453900709199</v>
      </c>
      <c r="H84">
        <f t="shared" si="4"/>
        <v>7.8039619652020206E-3</v>
      </c>
      <c r="I84">
        <f t="shared" si="5"/>
        <v>7.3888576053508419E-3</v>
      </c>
      <c r="J84">
        <f t="shared" si="6"/>
        <v>8.1913927010630987E-3</v>
      </c>
      <c r="K84">
        <f t="shared" si="7"/>
        <v>7.9976773331325596E-3</v>
      </c>
      <c r="P84" s="36"/>
      <c r="V84" s="36"/>
    </row>
    <row r="85" spans="1:22" x14ac:dyDescent="0.4">
      <c r="A85">
        <v>2037</v>
      </c>
      <c r="B85" t="s">
        <v>254</v>
      </c>
      <c r="C85">
        <v>1.1078066914498099</v>
      </c>
      <c r="D85">
        <v>1.09665427509293</v>
      </c>
      <c r="E85">
        <v>1.02711864406779</v>
      </c>
      <c r="F85">
        <v>0.98349834983498297</v>
      </c>
      <c r="G85">
        <v>1.1263940520446001</v>
      </c>
      <c r="H85">
        <f t="shared" si="4"/>
        <v>7.8039619652020206E-3</v>
      </c>
      <c r="I85">
        <f t="shared" si="5"/>
        <v>8.6452812848706075E-3</v>
      </c>
      <c r="J85">
        <f t="shared" si="6"/>
        <v>8.7903363399858443E-3</v>
      </c>
      <c r="K85">
        <f t="shared" si="7"/>
        <v>8.5582482518014192E-3</v>
      </c>
      <c r="P85" s="36"/>
      <c r="V85" s="36"/>
    </row>
    <row r="86" spans="1:22" x14ac:dyDescent="0.4">
      <c r="A86">
        <v>2100</v>
      </c>
      <c r="B86" t="s">
        <v>255</v>
      </c>
      <c r="C86">
        <v>1.0697674418604599</v>
      </c>
      <c r="D86">
        <v>1.04186046511627</v>
      </c>
      <c r="E86">
        <v>1.05803571428571</v>
      </c>
      <c r="F86">
        <v>0.97046413502109696</v>
      </c>
      <c r="G86">
        <v>1.1023255813953401</v>
      </c>
      <c r="H86">
        <f t="shared" si="4"/>
        <v>7.8039619652020206E-3</v>
      </c>
      <c r="I86">
        <f t="shared" si="5"/>
        <v>8.3484244278904923E-3</v>
      </c>
      <c r="J86">
        <f t="shared" si="6"/>
        <v>8.6025069104784385E-3</v>
      </c>
      <c r="K86">
        <f t="shared" si="7"/>
        <v>8.1306394428150575E-3</v>
      </c>
      <c r="P86" s="36"/>
      <c r="V86" s="36"/>
    </row>
    <row r="87" spans="1:22" x14ac:dyDescent="0.4">
      <c r="A87">
        <v>2521</v>
      </c>
      <c r="B87" t="s">
        <v>256</v>
      </c>
      <c r="C87">
        <v>0.97218543046357597</v>
      </c>
      <c r="D87">
        <v>1.041059602649</v>
      </c>
      <c r="E87">
        <v>0.96310432569974502</v>
      </c>
      <c r="F87">
        <v>0.96961690885072604</v>
      </c>
      <c r="G87">
        <v>1.00264900662251</v>
      </c>
      <c r="H87">
        <f t="shared" si="4"/>
        <v>7.8039619652020206E-3</v>
      </c>
      <c r="I87">
        <f t="shared" si="5"/>
        <v>7.5868981224613006E-3</v>
      </c>
      <c r="J87">
        <f t="shared" si="6"/>
        <v>7.8246347121296578E-3</v>
      </c>
      <c r="K87">
        <f t="shared" si="7"/>
        <v>8.1243895425811251E-3</v>
      </c>
      <c r="O87" s="36"/>
      <c r="P87" s="36"/>
      <c r="V87" s="36"/>
    </row>
    <row r="88" spans="1:22" x14ac:dyDescent="0.4">
      <c r="A88">
        <v>2577</v>
      </c>
      <c r="B88" t="s">
        <v>257</v>
      </c>
      <c r="C88">
        <v>1.24208860759493</v>
      </c>
      <c r="D88">
        <v>1.06645569620253</v>
      </c>
      <c r="E88">
        <v>1.1097922848664601</v>
      </c>
      <c r="F88">
        <v>1.04946524064171</v>
      </c>
      <c r="G88">
        <v>1.18354430379746</v>
      </c>
      <c r="H88">
        <f t="shared" si="4"/>
        <v>7.8039619652020206E-3</v>
      </c>
      <c r="I88">
        <f t="shared" si="5"/>
        <v>9.6932122510815719E-3</v>
      </c>
      <c r="J88">
        <f t="shared" si="6"/>
        <v>9.2363347309668831E-3</v>
      </c>
      <c r="K88">
        <f t="shared" si="7"/>
        <v>8.3225796907375853E-3</v>
      </c>
      <c r="P88" s="36"/>
      <c r="V88" s="36"/>
    </row>
    <row r="89" spans="1:22" x14ac:dyDescent="0.4">
      <c r="A89">
        <v>941</v>
      </c>
      <c r="B89" t="s">
        <v>258</v>
      </c>
      <c r="C89">
        <v>1.2327868852459001</v>
      </c>
      <c r="D89">
        <v>1.1573770491803199</v>
      </c>
      <c r="E89">
        <v>0.98441926345608999</v>
      </c>
      <c r="F89">
        <v>1.0820143884892</v>
      </c>
      <c r="G89">
        <v>1.13934426229508</v>
      </c>
      <c r="H89">
        <f t="shared" si="4"/>
        <v>7.8039619652020206E-3</v>
      </c>
      <c r="I89">
        <f t="shared" si="5"/>
        <v>9.6206219636588725E-3</v>
      </c>
      <c r="J89">
        <f t="shared" si="6"/>
        <v>8.8913992882219597E-3</v>
      </c>
      <c r="K89">
        <f t="shared" si="7"/>
        <v>9.0321264712009651E-3</v>
      </c>
      <c r="O89" s="36"/>
      <c r="P89" s="36"/>
      <c r="V89" s="36"/>
    </row>
    <row r="90" spans="1:22" x14ac:dyDescent="0.4">
      <c r="A90">
        <v>1004</v>
      </c>
      <c r="B90" t="s">
        <v>259</v>
      </c>
      <c r="C90">
        <v>1.4196078431372501</v>
      </c>
      <c r="D90">
        <v>1.0196078431372499</v>
      </c>
      <c r="E90">
        <v>1.0692307692307601</v>
      </c>
      <c r="F90">
        <v>1.30215827338129</v>
      </c>
      <c r="G90">
        <v>1.09019607843137</v>
      </c>
      <c r="H90">
        <f t="shared" si="4"/>
        <v>7.8039619652020206E-3</v>
      </c>
      <c r="I90">
        <f t="shared" si="5"/>
        <v>1.1078565613345576E-2</v>
      </c>
      <c r="J90">
        <f t="shared" si="6"/>
        <v>8.5078487306908101E-3</v>
      </c>
      <c r="K90">
        <f t="shared" si="7"/>
        <v>7.956980827264766E-3</v>
      </c>
      <c r="O90" s="36"/>
      <c r="P90" s="36"/>
      <c r="V90" s="36"/>
    </row>
    <row r="91" spans="1:22" x14ac:dyDescent="0.4">
      <c r="A91">
        <v>1559</v>
      </c>
      <c r="B91" t="s">
        <v>260</v>
      </c>
      <c r="C91">
        <v>1.4347826086956501</v>
      </c>
      <c r="D91">
        <v>1.1913043478260801</v>
      </c>
      <c r="E91">
        <v>1.10948905109489</v>
      </c>
      <c r="F91">
        <v>1.0855263157894699</v>
      </c>
      <c r="G91">
        <v>1.3217391304347801</v>
      </c>
      <c r="H91">
        <f t="shared" si="4"/>
        <v>7.8039619652020206E-3</v>
      </c>
      <c r="I91">
        <f t="shared" si="5"/>
        <v>1.1196988906594187E-2</v>
      </c>
      <c r="J91">
        <f t="shared" si="6"/>
        <v>1.0314801901832217E-2</v>
      </c>
      <c r="K91">
        <f t="shared" si="7"/>
        <v>9.2968938194145281E-3</v>
      </c>
      <c r="M91">
        <v>1.0335143664541899</v>
      </c>
      <c r="N91">
        <v>1.03838269540822</v>
      </c>
      <c r="O91">
        <v>1.04451162180739</v>
      </c>
      <c r="P91" s="37">
        <f>PRODUCT(M91:O91)</f>
        <v>1.1209525687073709</v>
      </c>
      <c r="V91" s="36"/>
    </row>
    <row r="92" spans="1:22" x14ac:dyDescent="0.4">
      <c r="A92">
        <v>2078</v>
      </c>
      <c r="B92" t="s">
        <v>261</v>
      </c>
      <c r="C92">
        <v>1.1635220125786101</v>
      </c>
      <c r="D92">
        <v>1.04088050314465</v>
      </c>
      <c r="E92">
        <v>1.15709969788519</v>
      </c>
      <c r="F92">
        <v>0.96605744125326298</v>
      </c>
      <c r="G92">
        <v>1.2044025157232701</v>
      </c>
      <c r="H92">
        <f t="shared" si="4"/>
        <v>7.8039619652020206E-3</v>
      </c>
      <c r="I92">
        <f t="shared" si="5"/>
        <v>9.0800815318387799E-3</v>
      </c>
      <c r="J92">
        <f t="shared" si="6"/>
        <v>9.3991114234980282E-3</v>
      </c>
      <c r="K92">
        <f t="shared" si="7"/>
        <v>8.1229918568611909E-3</v>
      </c>
      <c r="P92" s="36"/>
      <c r="V92" s="36"/>
    </row>
    <row r="93" spans="1:22" x14ac:dyDescent="0.4">
      <c r="A93">
        <v>2389</v>
      </c>
      <c r="B93" t="s">
        <v>262</v>
      </c>
      <c r="C93">
        <v>0.99335989375830003</v>
      </c>
      <c r="D93">
        <v>0.98539176626825997</v>
      </c>
      <c r="E93">
        <v>0.99056603773584895</v>
      </c>
      <c r="F93">
        <v>1.01768707482993</v>
      </c>
      <c r="G93">
        <v>0.97609561752988006</v>
      </c>
      <c r="H93">
        <f t="shared" si="4"/>
        <v>7.8039619652020206E-3</v>
      </c>
      <c r="I93">
        <f t="shared" si="5"/>
        <v>7.7521428286468934E-3</v>
      </c>
      <c r="J93">
        <f t="shared" si="6"/>
        <v>7.6174130736035624E-3</v>
      </c>
      <c r="K93">
        <f t="shared" si="7"/>
        <v>7.6899598647807406E-3</v>
      </c>
      <c r="P93" s="36"/>
      <c r="V93" s="36"/>
    </row>
    <row r="94" spans="1:22" x14ac:dyDescent="0.4">
      <c r="A94">
        <v>1671</v>
      </c>
      <c r="B94" t="s">
        <v>263</v>
      </c>
      <c r="C94">
        <v>1.0300751879699199</v>
      </c>
      <c r="D94">
        <v>0.98496240601503704</v>
      </c>
      <c r="E94">
        <v>1.04580152671755</v>
      </c>
      <c r="F94">
        <v>1</v>
      </c>
      <c r="G94">
        <v>1.0300751879699199</v>
      </c>
      <c r="H94">
        <f t="shared" si="4"/>
        <v>7.8039619652020206E-3</v>
      </c>
      <c r="I94">
        <f t="shared" si="5"/>
        <v>8.0386675882155763E-3</v>
      </c>
      <c r="J94">
        <f t="shared" si="6"/>
        <v>8.0386675882155763E-3</v>
      </c>
      <c r="K94">
        <f t="shared" si="7"/>
        <v>7.6866091536952194E-3</v>
      </c>
      <c r="P94" s="36"/>
      <c r="V94" s="36"/>
    </row>
    <row r="95" spans="1:22" x14ac:dyDescent="0.4">
      <c r="A95">
        <v>2396</v>
      </c>
      <c r="B95" t="s">
        <v>264</v>
      </c>
      <c r="C95">
        <v>1.1298076923076901</v>
      </c>
      <c r="D95">
        <v>0.95192307692307598</v>
      </c>
      <c r="E95">
        <v>1.03661616161616</v>
      </c>
      <c r="F95">
        <v>1.14494518879415</v>
      </c>
      <c r="G95">
        <v>0.98677884615384603</v>
      </c>
      <c r="H95">
        <f t="shared" si="4"/>
        <v>7.8039619652020206E-3</v>
      </c>
      <c r="I95">
        <f t="shared" si="5"/>
        <v>8.8169762587618807E-3</v>
      </c>
      <c r="J95">
        <f t="shared" si="6"/>
        <v>7.7007845834505505E-3</v>
      </c>
      <c r="K95">
        <f t="shared" si="7"/>
        <v>7.4287714861057622E-3</v>
      </c>
      <c r="P95" s="36"/>
      <c r="V95" s="36"/>
    </row>
    <row r="96" spans="1:22" x14ac:dyDescent="0.4">
      <c r="A96">
        <v>2016</v>
      </c>
      <c r="B96" t="s">
        <v>265</v>
      </c>
      <c r="C96">
        <v>1.0626822157434399</v>
      </c>
      <c r="D96">
        <v>0.95626822157434399</v>
      </c>
      <c r="E96">
        <v>1.1097560975609699</v>
      </c>
      <c r="F96">
        <v>1.0013736263736199</v>
      </c>
      <c r="G96">
        <v>1.06122448979591</v>
      </c>
      <c r="H96">
        <f t="shared" si="4"/>
        <v>7.8039619652020206E-3</v>
      </c>
      <c r="I96">
        <f t="shared" si="5"/>
        <v>8.2931315927584123E-3</v>
      </c>
      <c r="J96">
        <f t="shared" si="6"/>
        <v>8.281755554908201E-3</v>
      </c>
      <c r="K96">
        <f t="shared" si="7"/>
        <v>7.4626808296975591E-3</v>
      </c>
      <c r="P96" s="36"/>
      <c r="V96" s="36"/>
    </row>
    <row r="97" spans="1:22" x14ac:dyDescent="0.4">
      <c r="A97">
        <v>2223</v>
      </c>
      <c r="B97" t="s">
        <v>266</v>
      </c>
      <c r="C97">
        <v>0.82808716707021701</v>
      </c>
      <c r="D97">
        <v>0.90193704600484204</v>
      </c>
      <c r="E97">
        <v>0.83758389261744903</v>
      </c>
      <c r="F97">
        <v>1.09615384615384</v>
      </c>
      <c r="G97">
        <v>0.75544794188861897</v>
      </c>
      <c r="H97">
        <f t="shared" si="4"/>
        <v>7.8039619652020206E-3</v>
      </c>
      <c r="I97">
        <f t="shared" si="5"/>
        <v>6.462360755687865E-3</v>
      </c>
      <c r="J97">
        <f t="shared" si="6"/>
        <v>5.8954870051889288E-3</v>
      </c>
      <c r="K97">
        <f t="shared" si="7"/>
        <v>7.0386824020284523E-3</v>
      </c>
      <c r="O97" s="36"/>
      <c r="P97" s="36"/>
      <c r="V97" s="36"/>
    </row>
    <row r="98" spans="1:22" x14ac:dyDescent="0.4">
      <c r="A98">
        <v>2433</v>
      </c>
      <c r="B98" t="s">
        <v>267</v>
      </c>
      <c r="C98">
        <v>1.0194805194805101</v>
      </c>
      <c r="D98">
        <v>0.99512987012986998</v>
      </c>
      <c r="E98">
        <v>0.95595432300163097</v>
      </c>
      <c r="F98">
        <v>1.0716723549488001</v>
      </c>
      <c r="G98">
        <v>0.95129870129870098</v>
      </c>
      <c r="H98">
        <f t="shared" si="4"/>
        <v>7.8039619652020206E-3</v>
      </c>
      <c r="I98">
        <f t="shared" si="5"/>
        <v>7.9559871982902985E-3</v>
      </c>
      <c r="J98">
        <f t="shared" si="6"/>
        <v>7.4238988824811402E-3</v>
      </c>
      <c r="K98">
        <f t="shared" si="7"/>
        <v>7.7659556569299321E-3</v>
      </c>
      <c r="P98" s="36"/>
      <c r="V98" s="36"/>
    </row>
    <row r="99" spans="1:22" x14ac:dyDescent="0.4">
      <c r="A99">
        <v>2606</v>
      </c>
      <c r="B99" t="s">
        <v>268</v>
      </c>
      <c r="C99">
        <v>1.07283763277693</v>
      </c>
      <c r="D99">
        <v>0.981790591805766</v>
      </c>
      <c r="E99">
        <v>1.0633693972179199</v>
      </c>
      <c r="F99">
        <v>1.0276162790697601</v>
      </c>
      <c r="G99">
        <v>1.04400606980273</v>
      </c>
      <c r="H99">
        <f t="shared" si="4"/>
        <v>7.8039619652020206E-3</v>
      </c>
      <c r="I99">
        <f t="shared" si="5"/>
        <v>8.3723840810285347E-3</v>
      </c>
      <c r="J99">
        <f t="shared" si="6"/>
        <v>8.1473836601805502E-3</v>
      </c>
      <c r="K99">
        <f t="shared" si="7"/>
        <v>7.6618564362453808E-3</v>
      </c>
      <c r="P99" s="36"/>
      <c r="V99" s="36"/>
    </row>
    <row r="100" spans="1:22" x14ac:dyDescent="0.4">
      <c r="A100">
        <v>2734</v>
      </c>
      <c r="B100" t="s">
        <v>269</v>
      </c>
      <c r="C100">
        <v>0.97454545454545405</v>
      </c>
      <c r="D100">
        <v>0.91090909090909</v>
      </c>
      <c r="E100">
        <v>1.08582834331337</v>
      </c>
      <c r="F100">
        <v>0.98529411764705799</v>
      </c>
      <c r="G100">
        <v>0.98909090909090902</v>
      </c>
      <c r="H100">
        <f t="shared" si="4"/>
        <v>7.8039619652020206E-3</v>
      </c>
      <c r="I100">
        <f t="shared" si="5"/>
        <v>7.6053156606332379E-3</v>
      </c>
      <c r="J100">
        <f t="shared" si="6"/>
        <v>7.7188278346725439E-3</v>
      </c>
      <c r="K100">
        <f t="shared" si="7"/>
        <v>7.1086998992112883E-3</v>
      </c>
      <c r="O100" s="36"/>
      <c r="P100" s="36"/>
      <c r="V100" s="36"/>
    </row>
    <row r="101" spans="1:22" x14ac:dyDescent="0.4">
      <c r="A101">
        <v>1706</v>
      </c>
      <c r="B101" t="s">
        <v>194</v>
      </c>
      <c r="C101">
        <v>1.1628511966699999</v>
      </c>
      <c r="D101">
        <v>1.07180020812</v>
      </c>
      <c r="E101">
        <v>1.0830097087399999</v>
      </c>
      <c r="F101">
        <v>1.00179291797</v>
      </c>
      <c r="G101">
        <v>1.16077003122</v>
      </c>
      <c r="H101">
        <v>0.22740776544499999</v>
      </c>
      <c r="I101">
        <f t="shared" si="5"/>
        <v>0.26444139217976892</v>
      </c>
      <c r="J101">
        <f t="shared" si="6"/>
        <v>0.26396811899526307</v>
      </c>
      <c r="K101">
        <f t="shared" si="7"/>
        <v>0.24373569033205514</v>
      </c>
      <c r="P101" s="36"/>
      <c r="V101" s="36"/>
    </row>
    <row r="102" spans="1:22" x14ac:dyDescent="0.4">
      <c r="I102">
        <f>SUM(I2:I101)</f>
        <v>1.1209525687073558</v>
      </c>
      <c r="J102">
        <f>SUM(J2:J101)</f>
        <v>1.0731834335824031</v>
      </c>
      <c r="K102">
        <f>SUM(K2:K101)</f>
        <v>1.0335143664549789</v>
      </c>
      <c r="L102">
        <f>J102/K102</f>
        <v>1.0383826954079909</v>
      </c>
      <c r="M102">
        <f>I102/J102</f>
        <v>1.0445116218068091</v>
      </c>
    </row>
    <row r="103" spans="1:22" x14ac:dyDescent="0.4">
      <c r="J103" s="37"/>
      <c r="K103" t="s">
        <v>274</v>
      </c>
      <c r="L103" t="s">
        <v>275</v>
      </c>
      <c r="M103" t="s">
        <v>276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1" activePane="topRight" state="frozen"/>
      <selection pane="topRight" activeCell="DK10" sqref="D10:DK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12개월롤링초과수익률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2017-07-28T05:45:10Z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
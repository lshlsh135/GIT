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5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activeTab="7"/>
  </bookViews>
  <sheets>
    <sheet name="2001~Q" sheetId="1" r:id="rId1"/>
    <sheet name="Quarter results" sheetId="3" r:id="rId2"/>
    <sheet name="BM_quarter" sheetId="4" r:id="rId3"/>
    <sheet name="2008~Q" sheetId="2" r:id="rId4"/>
    <sheet name="BM_monthly" sheetId="6" r:id="rId5"/>
    <sheet name="요약" sheetId="5" r:id="rId6"/>
    <sheet name="그래프result" sheetId="7" r:id="rId7"/>
    <sheet name="Sheet3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0" i="8" l="1"/>
  <c r="CY20" i="8"/>
  <c r="CX20" i="8"/>
  <c r="CW20" i="8"/>
  <c r="CV20" i="8"/>
  <c r="CU20" i="8"/>
  <c r="CT20" i="8"/>
  <c r="CS20" i="8"/>
  <c r="CR20" i="8"/>
  <c r="CQ20" i="8"/>
  <c r="CP20" i="8"/>
  <c r="CO20" i="8"/>
  <c r="CN20" i="8"/>
  <c r="CM20" i="8"/>
  <c r="CL20" i="8"/>
  <c r="CK20" i="8"/>
  <c r="CJ20" i="8"/>
  <c r="CI20" i="8"/>
  <c r="CH20" i="8"/>
  <c r="CG20" i="8"/>
  <c r="CF20" i="8"/>
  <c r="CE20" i="8"/>
  <c r="CD20" i="8"/>
  <c r="CC20" i="8"/>
  <c r="CB20" i="8"/>
  <c r="CA20" i="8"/>
  <c r="BZ20" i="8"/>
  <c r="BY20" i="8"/>
  <c r="BX20" i="8"/>
  <c r="BW20" i="8"/>
  <c r="BV20" i="8"/>
  <c r="BU20" i="8"/>
  <c r="BT20" i="8"/>
  <c r="BS20" i="8"/>
  <c r="BR20" i="8"/>
  <c r="BQ20" i="8"/>
  <c r="BP20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CZ24" i="8"/>
  <c r="CZ29" i="8" s="1"/>
  <c r="CY24" i="8"/>
  <c r="CY29" i="8" s="1"/>
  <c r="CX24" i="8"/>
  <c r="CX29" i="8" s="1"/>
  <c r="CW24" i="8"/>
  <c r="CW29" i="8" s="1"/>
  <c r="CV24" i="8"/>
  <c r="CV29" i="8" s="1"/>
  <c r="CU24" i="8"/>
  <c r="CU29" i="8" s="1"/>
  <c r="CT24" i="8"/>
  <c r="CT29" i="8" s="1"/>
  <c r="CS24" i="8"/>
  <c r="CS29" i="8" s="1"/>
  <c r="CR24" i="8"/>
  <c r="CR29" i="8" s="1"/>
  <c r="CQ24" i="8"/>
  <c r="CQ29" i="8" s="1"/>
  <c r="CP24" i="8"/>
  <c r="CP29" i="8" s="1"/>
  <c r="CO24" i="8"/>
  <c r="CO29" i="8" s="1"/>
  <c r="CN24" i="8"/>
  <c r="CN29" i="8" s="1"/>
  <c r="CM24" i="8"/>
  <c r="CM29" i="8" s="1"/>
  <c r="CL24" i="8"/>
  <c r="CL29" i="8" s="1"/>
  <c r="CK24" i="8"/>
  <c r="CK29" i="8" s="1"/>
  <c r="CJ24" i="8"/>
  <c r="CJ29" i="8" s="1"/>
  <c r="CI24" i="8"/>
  <c r="CI29" i="8" s="1"/>
  <c r="CH24" i="8"/>
  <c r="CH29" i="8" s="1"/>
  <c r="CG24" i="8"/>
  <c r="CG29" i="8" s="1"/>
  <c r="CF24" i="8"/>
  <c r="CF29" i="8" s="1"/>
  <c r="CE24" i="8"/>
  <c r="CE29" i="8" s="1"/>
  <c r="CD24" i="8"/>
  <c r="CD29" i="8" s="1"/>
  <c r="CC24" i="8"/>
  <c r="CC29" i="8" s="1"/>
  <c r="CB24" i="8"/>
  <c r="CB29" i="8" s="1"/>
  <c r="CA24" i="8"/>
  <c r="CA29" i="8" s="1"/>
  <c r="BZ24" i="8"/>
  <c r="BZ29" i="8" s="1"/>
  <c r="BY24" i="8"/>
  <c r="BY29" i="8" s="1"/>
  <c r="BX24" i="8"/>
  <c r="BX29" i="8" s="1"/>
  <c r="BW24" i="8"/>
  <c r="BW29" i="8" s="1"/>
  <c r="BV24" i="8"/>
  <c r="BV29" i="8" s="1"/>
  <c r="BU24" i="8"/>
  <c r="BU29" i="8" s="1"/>
  <c r="BT24" i="8"/>
  <c r="BT29" i="8" s="1"/>
  <c r="BS24" i="8"/>
  <c r="BS29" i="8" s="1"/>
  <c r="BR24" i="8"/>
  <c r="BR29" i="8" s="1"/>
  <c r="BQ24" i="8"/>
  <c r="BQ29" i="8" s="1"/>
  <c r="BP24" i="8"/>
  <c r="BP29" i="8" s="1"/>
  <c r="BO24" i="8"/>
  <c r="BO29" i="8" s="1"/>
  <c r="BN24" i="8"/>
  <c r="BN29" i="8" s="1"/>
  <c r="BM24" i="8"/>
  <c r="BM29" i="8" s="1"/>
  <c r="BL24" i="8"/>
  <c r="BL29" i="8" s="1"/>
  <c r="BK24" i="8"/>
  <c r="BK29" i="8" s="1"/>
  <c r="BJ24" i="8"/>
  <c r="BJ29" i="8" s="1"/>
  <c r="BI24" i="8"/>
  <c r="BI29" i="8" s="1"/>
  <c r="BH24" i="8"/>
  <c r="BH29" i="8" s="1"/>
  <c r="BG24" i="8"/>
  <c r="BG29" i="8" s="1"/>
  <c r="BF24" i="8"/>
  <c r="BF29" i="8" s="1"/>
  <c r="BE24" i="8"/>
  <c r="BE29" i="8" s="1"/>
  <c r="BD24" i="8"/>
  <c r="BD29" i="8" s="1"/>
  <c r="BC24" i="8"/>
  <c r="BC29" i="8" s="1"/>
  <c r="BB24" i="8"/>
  <c r="BB29" i="8" s="1"/>
  <c r="BA24" i="8"/>
  <c r="BA29" i="8" s="1"/>
  <c r="AZ24" i="8"/>
  <c r="AZ29" i="8" s="1"/>
  <c r="AY24" i="8"/>
  <c r="AY29" i="8" s="1"/>
  <c r="AX24" i="8"/>
  <c r="AX29" i="8" s="1"/>
  <c r="AW24" i="8"/>
  <c r="AW29" i="8" s="1"/>
  <c r="AV24" i="8"/>
  <c r="AV29" i="8" s="1"/>
  <c r="AU24" i="8"/>
  <c r="AU29" i="8" s="1"/>
  <c r="AT24" i="8"/>
  <c r="AT29" i="8" s="1"/>
  <c r="AS24" i="8"/>
  <c r="AS29" i="8" s="1"/>
  <c r="AR24" i="8"/>
  <c r="AR29" i="8" s="1"/>
  <c r="AQ24" i="8"/>
  <c r="AQ29" i="8" s="1"/>
  <c r="AP24" i="8"/>
  <c r="AP29" i="8" s="1"/>
  <c r="AO24" i="8"/>
  <c r="AO29" i="8" s="1"/>
  <c r="AN24" i="8"/>
  <c r="AN29" i="8" s="1"/>
  <c r="AM24" i="8"/>
  <c r="AM29" i="8" s="1"/>
  <c r="AL24" i="8"/>
  <c r="AL29" i="8" s="1"/>
  <c r="AK24" i="8"/>
  <c r="AK29" i="8" s="1"/>
  <c r="AJ24" i="8"/>
  <c r="AJ29" i="8" s="1"/>
  <c r="AI24" i="8"/>
  <c r="AI29" i="8" s="1"/>
  <c r="AH24" i="8"/>
  <c r="AH29" i="8" s="1"/>
  <c r="AG24" i="8"/>
  <c r="AG29" i="8" s="1"/>
  <c r="AF24" i="8"/>
  <c r="AF29" i="8" s="1"/>
  <c r="AE24" i="8"/>
  <c r="AE29" i="8" s="1"/>
  <c r="AD24" i="8"/>
  <c r="AD29" i="8" s="1"/>
  <c r="AC24" i="8"/>
  <c r="AC29" i="8" s="1"/>
  <c r="AB24" i="8"/>
  <c r="AB29" i="8" s="1"/>
  <c r="AA24" i="8"/>
  <c r="AA29" i="8" s="1"/>
  <c r="Z24" i="8"/>
  <c r="Z29" i="8" s="1"/>
  <c r="Y24" i="8"/>
  <c r="Y29" i="8" s="1"/>
  <c r="X24" i="8"/>
  <c r="X29" i="8" s="1"/>
  <c r="W24" i="8"/>
  <c r="W29" i="8" s="1"/>
  <c r="V24" i="8"/>
  <c r="V29" i="8" s="1"/>
  <c r="U24" i="8"/>
  <c r="U29" i="8" s="1"/>
  <c r="T24" i="8"/>
  <c r="T29" i="8" s="1"/>
  <c r="S24" i="8"/>
  <c r="S29" i="8" s="1"/>
  <c r="R24" i="8"/>
  <c r="R29" i="8" s="1"/>
  <c r="Q24" i="8"/>
  <c r="Q29" i="8" s="1"/>
  <c r="P24" i="8"/>
  <c r="P29" i="8" s="1"/>
  <c r="O24" i="8"/>
  <c r="O29" i="8" s="1"/>
  <c r="N24" i="8"/>
  <c r="N29" i="8" s="1"/>
  <c r="M24" i="8"/>
  <c r="M29" i="8" s="1"/>
  <c r="L24" i="8"/>
  <c r="L29" i="8" s="1"/>
  <c r="K24" i="8"/>
  <c r="K29" i="8" s="1"/>
  <c r="J24" i="8"/>
  <c r="J29" i="8" s="1"/>
  <c r="I24" i="8"/>
  <c r="I29" i="8" s="1"/>
  <c r="H24" i="8"/>
  <c r="H29" i="8" s="1"/>
  <c r="G24" i="8"/>
  <c r="G29" i="8" s="1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Z27" i="8" s="1"/>
  <c r="CY22" i="8"/>
  <c r="CY27" i="8" s="1"/>
  <c r="CX22" i="8"/>
  <c r="CX27" i="8" s="1"/>
  <c r="CW22" i="8"/>
  <c r="CW27" i="8" s="1"/>
  <c r="CV22" i="8"/>
  <c r="CV27" i="8" s="1"/>
  <c r="CU22" i="8"/>
  <c r="CU27" i="8" s="1"/>
  <c r="CT22" i="8"/>
  <c r="CT27" i="8" s="1"/>
  <c r="CS22" i="8"/>
  <c r="CS27" i="8" s="1"/>
  <c r="CR22" i="8"/>
  <c r="CR27" i="8" s="1"/>
  <c r="CQ22" i="8"/>
  <c r="CQ27" i="8" s="1"/>
  <c r="CP22" i="8"/>
  <c r="CP27" i="8" s="1"/>
  <c r="CO22" i="8"/>
  <c r="CO27" i="8" s="1"/>
  <c r="CN22" i="8"/>
  <c r="CN27" i="8" s="1"/>
  <c r="CM22" i="8"/>
  <c r="CM27" i="8" s="1"/>
  <c r="CL22" i="8"/>
  <c r="CL27" i="8" s="1"/>
  <c r="CK22" i="8"/>
  <c r="CK27" i="8" s="1"/>
  <c r="CJ22" i="8"/>
  <c r="CJ27" i="8" s="1"/>
  <c r="CI22" i="8"/>
  <c r="CI27" i="8" s="1"/>
  <c r="CH22" i="8"/>
  <c r="CH27" i="8" s="1"/>
  <c r="CG22" i="8"/>
  <c r="CG27" i="8" s="1"/>
  <c r="CF22" i="8"/>
  <c r="CF27" i="8" s="1"/>
  <c r="CE22" i="8"/>
  <c r="CE27" i="8" s="1"/>
  <c r="CD22" i="8"/>
  <c r="CD27" i="8" s="1"/>
  <c r="CC22" i="8"/>
  <c r="CC27" i="8" s="1"/>
  <c r="CB22" i="8"/>
  <c r="CB27" i="8" s="1"/>
  <c r="CA22" i="8"/>
  <c r="CA27" i="8" s="1"/>
  <c r="BZ22" i="8"/>
  <c r="BZ27" i="8" s="1"/>
  <c r="BY22" i="8"/>
  <c r="BY27" i="8" s="1"/>
  <c r="BX22" i="8"/>
  <c r="BX27" i="8" s="1"/>
  <c r="BW22" i="8"/>
  <c r="BW27" i="8" s="1"/>
  <c r="BV22" i="8"/>
  <c r="BV27" i="8" s="1"/>
  <c r="BU22" i="8"/>
  <c r="BU27" i="8" s="1"/>
  <c r="BT22" i="8"/>
  <c r="BT27" i="8" s="1"/>
  <c r="BS22" i="8"/>
  <c r="BS27" i="8" s="1"/>
  <c r="BR22" i="8"/>
  <c r="BR27" i="8" s="1"/>
  <c r="BQ22" i="8"/>
  <c r="BQ27" i="8" s="1"/>
  <c r="BP22" i="8"/>
  <c r="BP27" i="8" s="1"/>
  <c r="BO22" i="8"/>
  <c r="BO27" i="8" s="1"/>
  <c r="BN22" i="8"/>
  <c r="BN27" i="8" s="1"/>
  <c r="BM22" i="8"/>
  <c r="BM27" i="8" s="1"/>
  <c r="BL22" i="8"/>
  <c r="BL27" i="8" s="1"/>
  <c r="BK22" i="8"/>
  <c r="BK27" i="8" s="1"/>
  <c r="BJ22" i="8"/>
  <c r="BJ27" i="8" s="1"/>
  <c r="BI22" i="8"/>
  <c r="BI27" i="8" s="1"/>
  <c r="BH22" i="8"/>
  <c r="BH27" i="8" s="1"/>
  <c r="BG22" i="8"/>
  <c r="BG27" i="8" s="1"/>
  <c r="BF22" i="8"/>
  <c r="BF27" i="8" s="1"/>
  <c r="BE22" i="8"/>
  <c r="BE27" i="8" s="1"/>
  <c r="BD22" i="8"/>
  <c r="BD27" i="8" s="1"/>
  <c r="BC22" i="8"/>
  <c r="BC27" i="8" s="1"/>
  <c r="BB22" i="8"/>
  <c r="BB27" i="8" s="1"/>
  <c r="BA22" i="8"/>
  <c r="BA27" i="8" s="1"/>
  <c r="AZ22" i="8"/>
  <c r="AZ27" i="8" s="1"/>
  <c r="AY22" i="8"/>
  <c r="AY27" i="8" s="1"/>
  <c r="AX22" i="8"/>
  <c r="AX27" i="8" s="1"/>
  <c r="AW22" i="8"/>
  <c r="AW27" i="8" s="1"/>
  <c r="AV22" i="8"/>
  <c r="AV27" i="8" s="1"/>
  <c r="AU22" i="8"/>
  <c r="AU27" i="8" s="1"/>
  <c r="AT22" i="8"/>
  <c r="AT27" i="8" s="1"/>
  <c r="AS22" i="8"/>
  <c r="AS27" i="8" s="1"/>
  <c r="AR22" i="8"/>
  <c r="AR27" i="8" s="1"/>
  <c r="AQ22" i="8"/>
  <c r="AQ27" i="8" s="1"/>
  <c r="AP22" i="8"/>
  <c r="AP27" i="8" s="1"/>
  <c r="AO22" i="8"/>
  <c r="AO27" i="8" s="1"/>
  <c r="AN22" i="8"/>
  <c r="AN27" i="8" s="1"/>
  <c r="AM22" i="8"/>
  <c r="AM27" i="8" s="1"/>
  <c r="AL22" i="8"/>
  <c r="AL27" i="8" s="1"/>
  <c r="AK22" i="8"/>
  <c r="AK27" i="8" s="1"/>
  <c r="AJ22" i="8"/>
  <c r="AJ27" i="8" s="1"/>
  <c r="AI22" i="8"/>
  <c r="AI27" i="8" s="1"/>
  <c r="AH22" i="8"/>
  <c r="AH27" i="8" s="1"/>
  <c r="AG22" i="8"/>
  <c r="AG27" i="8" s="1"/>
  <c r="AF22" i="8"/>
  <c r="AF27" i="8" s="1"/>
  <c r="AE22" i="8"/>
  <c r="AE27" i="8" s="1"/>
  <c r="AD22" i="8"/>
  <c r="AD27" i="8" s="1"/>
  <c r="AC22" i="8"/>
  <c r="AC27" i="8" s="1"/>
  <c r="AB22" i="8"/>
  <c r="AB27" i="8" s="1"/>
  <c r="AA22" i="8"/>
  <c r="AA27" i="8" s="1"/>
  <c r="Z22" i="8"/>
  <c r="Z27" i="8" s="1"/>
  <c r="Y22" i="8"/>
  <c r="Y27" i="8" s="1"/>
  <c r="X22" i="8"/>
  <c r="X27" i="8" s="1"/>
  <c r="W22" i="8"/>
  <c r="W27" i="8" s="1"/>
  <c r="V22" i="8"/>
  <c r="V27" i="8" s="1"/>
  <c r="U22" i="8"/>
  <c r="U27" i="8" s="1"/>
  <c r="T22" i="8"/>
  <c r="T27" i="8" s="1"/>
  <c r="S22" i="8"/>
  <c r="S27" i="8" s="1"/>
  <c r="R22" i="8"/>
  <c r="R27" i="8" s="1"/>
  <c r="Q22" i="8"/>
  <c r="Q27" i="8" s="1"/>
  <c r="P22" i="8"/>
  <c r="P27" i="8" s="1"/>
  <c r="O22" i="8"/>
  <c r="O27" i="8" s="1"/>
  <c r="N22" i="8"/>
  <c r="N27" i="8" s="1"/>
  <c r="M22" i="8"/>
  <c r="M27" i="8" s="1"/>
  <c r="L22" i="8"/>
  <c r="L27" i="8" s="1"/>
  <c r="K22" i="8"/>
  <c r="K27" i="8" s="1"/>
  <c r="J22" i="8"/>
  <c r="J27" i="8" s="1"/>
  <c r="I22" i="8"/>
  <c r="I27" i="8" s="1"/>
  <c r="H22" i="8"/>
  <c r="H27" i="8" s="1"/>
  <c r="G22" i="8"/>
  <c r="G27" i="8" s="1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7" i="8" s="1"/>
  <c r="F21" i="8"/>
  <c r="E24" i="8"/>
  <c r="E23" i="8"/>
  <c r="E22" i="8"/>
  <c r="E21" i="8"/>
  <c r="E26" i="8" s="1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BX26" i="8" l="1"/>
  <c r="CB26" i="8"/>
  <c r="CF26" i="8"/>
  <c r="CJ26" i="8"/>
  <c r="CN26" i="8"/>
  <c r="CR26" i="8"/>
  <c r="CV26" i="8"/>
  <c r="CZ26" i="8"/>
  <c r="BX28" i="8"/>
  <c r="CB28" i="8"/>
  <c r="CF28" i="8"/>
  <c r="CJ28" i="8"/>
  <c r="CN28" i="8"/>
  <c r="CR28" i="8"/>
  <c r="CV28" i="8"/>
  <c r="CZ28" i="8"/>
  <c r="H26" i="8"/>
  <c r="L26" i="8"/>
  <c r="P26" i="8"/>
  <c r="T26" i="8"/>
  <c r="X26" i="8"/>
  <c r="AB26" i="8"/>
  <c r="AF26" i="8"/>
  <c r="AJ26" i="8"/>
  <c r="AN26" i="8"/>
  <c r="AR26" i="8"/>
  <c r="AV26" i="8"/>
  <c r="AZ26" i="8"/>
  <c r="BD26" i="8"/>
  <c r="BH26" i="8"/>
  <c r="BL26" i="8"/>
  <c r="BP26" i="8"/>
  <c r="BT26" i="8"/>
  <c r="H28" i="8"/>
  <c r="L28" i="8"/>
  <c r="P28" i="8"/>
  <c r="T28" i="8"/>
  <c r="X28" i="8"/>
  <c r="AB28" i="8"/>
  <c r="AF28" i="8"/>
  <c r="AJ28" i="8"/>
  <c r="AN28" i="8"/>
  <c r="AR28" i="8"/>
  <c r="AV28" i="8"/>
  <c r="AZ28" i="8"/>
  <c r="BD28" i="8"/>
  <c r="BH28" i="8"/>
  <c r="BL28" i="8"/>
  <c r="BP28" i="8"/>
  <c r="BT28" i="8"/>
  <c r="Y28" i="8"/>
  <c r="AG28" i="8"/>
  <c r="BE28" i="8"/>
  <c r="BM28" i="8"/>
  <c r="CK28" i="8"/>
  <c r="CS28" i="8"/>
  <c r="G26" i="8"/>
  <c r="K26" i="8"/>
  <c r="O26" i="8"/>
  <c r="S26" i="8"/>
  <c r="W26" i="8"/>
  <c r="AA26" i="8"/>
  <c r="AE26" i="8"/>
  <c r="AI26" i="8"/>
  <c r="AM26" i="8"/>
  <c r="AQ26" i="8"/>
  <c r="AU26" i="8"/>
  <c r="AY26" i="8"/>
  <c r="BC26" i="8"/>
  <c r="BG26" i="8"/>
  <c r="BK26" i="8"/>
  <c r="BO26" i="8"/>
  <c r="BS26" i="8"/>
  <c r="BW26" i="8"/>
  <c r="CA26" i="8"/>
  <c r="CE26" i="8"/>
  <c r="CI26" i="8"/>
  <c r="CM26" i="8"/>
  <c r="CQ26" i="8"/>
  <c r="CU26" i="8"/>
  <c r="CY26" i="8"/>
  <c r="G28" i="8"/>
  <c r="K28" i="8"/>
  <c r="O28" i="8"/>
  <c r="S28" i="8"/>
  <c r="W28" i="8"/>
  <c r="AA28" i="8"/>
  <c r="AE28" i="8"/>
  <c r="AI28" i="8"/>
  <c r="AM28" i="8"/>
  <c r="AQ28" i="8"/>
  <c r="AU28" i="8"/>
  <c r="AY28" i="8"/>
  <c r="BC28" i="8"/>
  <c r="BG28" i="8"/>
  <c r="BK28" i="8"/>
  <c r="BO28" i="8"/>
  <c r="BS28" i="8"/>
  <c r="BW28" i="8"/>
  <c r="CA28" i="8"/>
  <c r="CE28" i="8"/>
  <c r="CI28" i="8"/>
  <c r="CM28" i="8"/>
  <c r="CQ28" i="8"/>
  <c r="CU28" i="8"/>
  <c r="CY28" i="8"/>
  <c r="J26" i="8"/>
  <c r="N26" i="8"/>
  <c r="R26" i="8"/>
  <c r="V26" i="8"/>
  <c r="Z26" i="8"/>
  <c r="AD26" i="8"/>
  <c r="AH26" i="8"/>
  <c r="AL26" i="8"/>
  <c r="AP26" i="8"/>
  <c r="AT26" i="8"/>
  <c r="AX26" i="8"/>
  <c r="BB26" i="8"/>
  <c r="BF26" i="8"/>
  <c r="BJ26" i="8"/>
  <c r="BN26" i="8"/>
  <c r="BR26" i="8"/>
  <c r="BV26" i="8"/>
  <c r="BZ26" i="8"/>
  <c r="CD26" i="8"/>
  <c r="CH26" i="8"/>
  <c r="CL26" i="8"/>
  <c r="CP26" i="8"/>
  <c r="CT26" i="8"/>
  <c r="CX26" i="8"/>
  <c r="F26" i="8"/>
  <c r="I28" i="8"/>
  <c r="Q28" i="8"/>
  <c r="AO28" i="8"/>
  <c r="AW28" i="8"/>
  <c r="BU28" i="8"/>
  <c r="CC28" i="8"/>
  <c r="F29" i="8"/>
  <c r="E27" i="8"/>
  <c r="DA27" i="8" s="1"/>
  <c r="E28" i="8"/>
  <c r="I26" i="8"/>
  <c r="M26" i="8"/>
  <c r="Q26" i="8"/>
  <c r="U26" i="8"/>
  <c r="Y26" i="8"/>
  <c r="AC26" i="8"/>
  <c r="AG26" i="8"/>
  <c r="AK26" i="8"/>
  <c r="AO26" i="8"/>
  <c r="AS26" i="8"/>
  <c r="AW26" i="8"/>
  <c r="BA26" i="8"/>
  <c r="BE26" i="8"/>
  <c r="BI26" i="8"/>
  <c r="BM26" i="8"/>
  <c r="BQ26" i="8"/>
  <c r="BU26" i="8"/>
  <c r="BY26" i="8"/>
  <c r="CC26" i="8"/>
  <c r="CG26" i="8"/>
  <c r="CK26" i="8"/>
  <c r="CO26" i="8"/>
  <c r="CS26" i="8"/>
  <c r="CW26" i="8"/>
  <c r="M28" i="8"/>
  <c r="U28" i="8"/>
  <c r="AC28" i="8"/>
  <c r="AK28" i="8"/>
  <c r="AS28" i="8"/>
  <c r="BA28" i="8"/>
  <c r="BI28" i="8"/>
  <c r="BQ28" i="8"/>
  <c r="BY28" i="8"/>
  <c r="CG28" i="8"/>
  <c r="CO28" i="8"/>
  <c r="CW28" i="8"/>
  <c r="E29" i="8"/>
  <c r="F28" i="8"/>
  <c r="J28" i="8"/>
  <c r="N28" i="8"/>
  <c r="R28" i="8"/>
  <c r="V28" i="8"/>
  <c r="Z28" i="8"/>
  <c r="AD28" i="8"/>
  <c r="AH28" i="8"/>
  <c r="AL28" i="8"/>
  <c r="AP28" i="8"/>
  <c r="AT28" i="8"/>
  <c r="AX28" i="8"/>
  <c r="BB28" i="8"/>
  <c r="BF28" i="8"/>
  <c r="BJ28" i="8"/>
  <c r="BN28" i="8"/>
  <c r="BR28" i="8"/>
  <c r="BV28" i="8"/>
  <c r="BZ28" i="8"/>
  <c r="CD28" i="8"/>
  <c r="CH28" i="8"/>
  <c r="CL28" i="8"/>
  <c r="CP28" i="8"/>
  <c r="CT28" i="8"/>
  <c r="CX28" i="8"/>
  <c r="Q15" i="3"/>
  <c r="P15" i="3"/>
  <c r="O15" i="3"/>
  <c r="Q14" i="3"/>
  <c r="P14" i="3"/>
  <c r="O14" i="3"/>
  <c r="Q13" i="3"/>
  <c r="P13" i="3"/>
  <c r="O13" i="3"/>
  <c r="Q12" i="3"/>
  <c r="P12" i="3"/>
  <c r="O12" i="3"/>
  <c r="Q11" i="3"/>
  <c r="P11" i="3"/>
  <c r="O11" i="3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DA29" i="8" l="1"/>
  <c r="DA28" i="8"/>
  <c r="DA26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<sst xmlns="http://schemas.openxmlformats.org/spreadsheetml/2006/main" count="991" uniqueCount="99">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</sst>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2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82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102.54441508056016</c:v>
                </c:pt>
                <c:pt idx="4">
                  <c:v>103.65250403133081</c:v>
                </c:pt>
                <c:pt idx="5">
                  <c:v>109.94430687357044</c:v>
                </c:pt>
                <c:pt idx="6">
                  <c:v>122.62378600338549</c:v>
                </c:pt>
                <c:pt idx="7">
                  <c:v>119.33037476129331</c:v>
                </c:pt>
                <c:pt idx="8">
                  <c:v>126.95248314698557</c:v>
                </c:pt>
                <c:pt idx="9">
                  <c:v>125.0281953268513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Sheet3!$D$26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Sheet3!$E$25:$CZ$25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Sheet3!$E$26:$CZ$26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1C-403D-9236-4A3D16DE4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Sheet3!$D$27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Sheet3!$E$25:$CZ$25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Sheet3!$E$27:$CZ$27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F-42EF-9B09-405B32C9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Sheet3!$D$28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Sheet3!$E$25:$CZ$25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Sheet3!$E$28:$CZ$28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18-42D1-BCD4-00F45E0F4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Sheet3!$D$29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Sheet3!$E$25:$CZ$25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Sheet3!$E$29:$CZ$29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F-4F9D-B833-9C6D17260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18" Type="http://schemas.openxmlformats.org/officeDocument/2006/relationships/chart" Target="../charts/chart4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17" Type="http://schemas.openxmlformats.org/officeDocument/2006/relationships/chart" Target="../charts/chart46.xml"/><Relationship Id="rId2" Type="http://schemas.openxmlformats.org/officeDocument/2006/relationships/chart" Target="../charts/chart31.xml"/><Relationship Id="rId16" Type="http://schemas.openxmlformats.org/officeDocument/2006/relationships/chart" Target="../charts/chart45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4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365760</xdr:colOff>
      <xdr:row>6</xdr:row>
      <xdr:rowOff>99060</xdr:rowOff>
    </xdr:from>
    <xdr:to>
      <xdr:col>5</xdr:col>
      <xdr:colOff>236220</xdr:colOff>
      <xdr:row>18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6</xdr:row>
      <xdr:rowOff>83820</xdr:rowOff>
    </xdr:from>
    <xdr:to>
      <xdr:col>12</xdr:col>
      <xdr:colOff>106680</xdr:colOff>
      <xdr:row>18</xdr:row>
      <xdr:rowOff>175260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358140</xdr:colOff>
      <xdr:row>19</xdr:row>
      <xdr:rowOff>0</xdr:rowOff>
    </xdr:from>
    <xdr:to>
      <xdr:col>5</xdr:col>
      <xdr:colOff>228600</xdr:colOff>
      <xdr:row>31</xdr:row>
      <xdr:rowOff>91440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18</xdr:row>
      <xdr:rowOff>144780</xdr:rowOff>
    </xdr:from>
    <xdr:to>
      <xdr:col>12</xdr:col>
      <xdr:colOff>106680</xdr:colOff>
      <xdr:row>31</xdr:row>
      <xdr:rowOff>15240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160020</xdr:rowOff>
    </xdr:from>
    <xdr:to>
      <xdr:col>4</xdr:col>
      <xdr:colOff>91440</xdr:colOff>
      <xdr:row>23</xdr:row>
      <xdr:rowOff>30480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83820</xdr:colOff>
      <xdr:row>10</xdr:row>
      <xdr:rowOff>137160</xdr:rowOff>
    </xdr:from>
    <xdr:to>
      <xdr:col>8</xdr:col>
      <xdr:colOff>175260</xdr:colOff>
      <xdr:row>23</xdr:row>
      <xdr:rowOff>7620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23</xdr:row>
      <xdr:rowOff>45720</xdr:rowOff>
    </xdr:from>
    <xdr:to>
      <xdr:col>4</xdr:col>
      <xdr:colOff>91440</xdr:colOff>
      <xdr:row>35</xdr:row>
      <xdr:rowOff>137160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99060</xdr:colOff>
      <xdr:row>23</xdr:row>
      <xdr:rowOff>22860</xdr:rowOff>
    </xdr:from>
    <xdr:to>
      <xdr:col>8</xdr:col>
      <xdr:colOff>190500</xdr:colOff>
      <xdr:row>35</xdr:row>
      <xdr:rowOff>114300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41"/>
  <sheetViews>
    <sheetView topLeftCell="AV24" workbookViewId="0">
      <selection activeCell="BP48" sqref="BP48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70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70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70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70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70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70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70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topLeftCell="A21" workbookViewId="0">
      <selection activeCell="A45" sqref="A45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>
        <f t="shared" si="5"/>
        <v>102.54441508056016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>
        <v>1.01373566416135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>
        <f t="shared" si="4"/>
        <v>88.545114731248972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>
        <f t="shared" si="5"/>
        <v>103.65250403133081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>
        <f t="shared" si="4"/>
        <v>89.501928061368758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>
        <f t="shared" si="5"/>
        <v>109.94430687357044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>
        <f t="shared" si="4"/>
        <v>94.934777857184898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>
        <f t="shared" si="5"/>
        <v>122.62378600338549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>
        <f t="shared" si="4"/>
        <v>105.88326231048192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>
        <f t="shared" si="5"/>
        <v>119.33037476129331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>
        <f t="shared" si="4"/>
        <v>103.03946554145125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>
        <f t="shared" si="5"/>
        <v>126.95248314698557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>
        <f t="shared" si="4"/>
        <v>109.62100838778692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>
        <f t="shared" si="5"/>
        <v>125.0281953268513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>
        <f t="shared" si="4"/>
        <v>107.95942315493073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>
        <f t="shared" si="4"/>
        <v>98.492858141038155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>
        <f t="shared" si="4"/>
        <v>114.80288764236745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>
        <f t="shared" si="4"/>
        <v>96.695489793309591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>
        <f t="shared" si="4"/>
        <v>102.28839866568491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>
        <f t="shared" si="4"/>
        <v>108.96497319117633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>
        <f t="shared" si="4"/>
        <v>117.9527675266613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>
        <f t="shared" si="4"/>
        <v>130.78641124187271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>
        <f t="shared" si="4"/>
        <v>126.41393559527151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>
        <f t="shared" si="4"/>
        <v>131.67816190054475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>
        <f t="shared" si="4"/>
        <v>136.89414368749595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>
        <f t="shared" si="4"/>
        <v>145.73946208491097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>
        <f t="shared" si="4"/>
        <v>158.33855094955658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>
        <f t="shared" si="4"/>
        <v>149.60079984333555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>
        <f t="shared" si="4"/>
        <v>158.78379750286493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>
        <f t="shared" si="4"/>
        <v>181.95239112249979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>
        <f t="shared" si="4"/>
        <v>168.00476068867169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>
        <f t="shared" si="4"/>
        <v>167.45127672527676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>
        <f t="shared" si="4"/>
        <v>162.44819821988972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>
        <f t="shared" si="4"/>
        <v>172.6631314206993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>
        <f t="shared" si="4"/>
        <v>175.2658225226017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>
        <f t="shared" si="4"/>
        <v>172.94978988303393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>
        <f t="shared" si="4"/>
        <v>178.28697912541892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>
        <f t="shared" si="4"/>
        <v>192.14841740301662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A17" workbookViewId="0">
      <selection activeCell="A41" sqref="A41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A1" activePane="topRight" state="frozen"/>
      <selection pane="topRight" activeCell="C18" sqref="C18:DK21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>H24*$B25</f>
        <v>100.68716147192191</v>
      </c>
      <c r="I25">
        <f>I24*$C25</f>
        <v>96.060642234690221</v>
      </c>
      <c r="J25">
        <f>J24*$D25</f>
        <v>99.628888438084601</v>
      </c>
      <c r="K25">
        <f>K24*$E25</f>
        <v>97.980980933451903</v>
      </c>
      <c r="L25">
        <f>L24*$F25</f>
        <v>98.178749676487499</v>
      </c>
      <c r="M25">
        <f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>H25*$B26</f>
        <v>108.59209066121836</v>
      </c>
      <c r="I26">
        <f>I25*$C26</f>
        <v>99.58815805180852</v>
      </c>
      <c r="J26">
        <f>J25*$D26</f>
        <v>107.8459281456677</v>
      </c>
      <c r="K26">
        <f>K25*$E26</f>
        <v>106.23043432651028</v>
      </c>
      <c r="L26">
        <f>L25*$F26</f>
        <v>105.12894404401111</v>
      </c>
      <c r="M26">
        <f>M25*$G26</f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>H26*$B27</f>
        <v>109.47915365224486</v>
      </c>
      <c r="I27">
        <f>I26*$C27</f>
        <v>101.39429389996418</v>
      </c>
      <c r="J27">
        <f>J26*$D27</f>
        <v>111.66134896368102</v>
      </c>
      <c r="K27">
        <f>K26*$E27</f>
        <v>112.01648362064991</v>
      </c>
      <c r="L27">
        <f>L26*$F27</f>
        <v>111.3297696547038</v>
      </c>
      <c r="M27">
        <f>M26*$G27</f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>H27*$B28</f>
        <v>98.150176016227306</v>
      </c>
      <c r="I28">
        <f>I27*$C28</f>
        <v>94.207950340217252</v>
      </c>
      <c r="J28">
        <f>J27*$D28</f>
        <v>105.15781963424423</v>
      </c>
      <c r="K28">
        <f>K27*$E28</f>
        <v>105.62285322534463</v>
      </c>
      <c r="L28">
        <f>L27*$F28</f>
        <v>105.16260433109379</v>
      </c>
      <c r="M28">
        <f>M27*$G28</f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>H28*$B29</f>
        <v>93.865522132478858</v>
      </c>
      <c r="I29">
        <f>I28*$C29</f>
        <v>86.405634475349174</v>
      </c>
      <c r="J29">
        <f>J28*$D29</f>
        <v>97.093852500334066</v>
      </c>
      <c r="K29">
        <f>K28*$E29</f>
        <v>97.898226516775409</v>
      </c>
      <c r="L29">
        <f>L28*$F29</f>
        <v>98.048048208439354</v>
      </c>
      <c r="M29">
        <f>M28*$G29</f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>H29*$B30</f>
        <v>86.981413568315602</v>
      </c>
      <c r="I30">
        <f>I29*$C30</f>
        <v>78.469619195416016</v>
      </c>
      <c r="J30">
        <f>J29*$D30</f>
        <v>89.998935651452115</v>
      </c>
      <c r="K30">
        <f>K29*$E30</f>
        <v>90.626213669686109</v>
      </c>
      <c r="L30">
        <f>L29*$F30</f>
        <v>90.897322131930608</v>
      </c>
      <c r="M30">
        <f>M29*$G30</f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>H30*$B31</f>
        <v>85.810666803853977</v>
      </c>
      <c r="I31">
        <f>I30*$C31</f>
        <v>74.860928733436793</v>
      </c>
      <c r="J31">
        <f>J30*$D31</f>
        <v>90.593956661608814</v>
      </c>
      <c r="K31">
        <f>K30*$E31</f>
        <v>88.035000217130332</v>
      </c>
      <c r="L31">
        <f>L30*$F31</f>
        <v>87.505285389434889</v>
      </c>
      <c r="M31">
        <f>M30*$G31</f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>H31*$B32</f>
        <v>68.017961739437183</v>
      </c>
      <c r="I32">
        <f>I31*$C32</f>
        <v>50.563447534917039</v>
      </c>
      <c r="J32">
        <f>J31*$D32</f>
        <v>60.771865315118298</v>
      </c>
      <c r="K32">
        <f>K31*$E32</f>
        <v>58.976845968264449</v>
      </c>
      <c r="L32">
        <f>L31*$F32</f>
        <v>58.676852277839416</v>
      </c>
      <c r="M32">
        <f>M31*$G32</f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>N32*$B33</f>
        <v>94.894651539708263</v>
      </c>
      <c r="O33">
        <f>O32*$C33</f>
        <v>104.3227801780107</v>
      </c>
      <c r="P33">
        <f>P32*$D33</f>
        <v>99.814780747826106</v>
      </c>
      <c r="Q33">
        <f>Q32*$E33</f>
        <v>100.25053130679599</v>
      </c>
      <c r="R33">
        <f>R32*$F33</f>
        <v>99.205430277871997</v>
      </c>
      <c r="S33">
        <f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>N33*$B34</f>
        <v>98.45380875202595</v>
      </c>
      <c r="O34">
        <f>O33*$C34</f>
        <v>112.11842198455979</v>
      </c>
      <c r="P34">
        <f>P33*$D34</f>
        <v>109.47506482605449</v>
      </c>
      <c r="Q34">
        <f>Q33*$E34</f>
        <v>108.53003066985333</v>
      </c>
      <c r="R34">
        <f>R33*$F34</f>
        <v>107.36321898074139</v>
      </c>
      <c r="S34">
        <f>S33*$G34</f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>N34*$B35</f>
        <v>101.94921663965425</v>
      </c>
      <c r="O35">
        <f>O34*$C35</f>
        <v>117.91439431498924</v>
      </c>
      <c r="P35">
        <f>P34*$D35</f>
        <v>117.46177976805188</v>
      </c>
      <c r="Q35">
        <f>Q34*$E35</f>
        <v>116.77264220113811</v>
      </c>
      <c r="R35">
        <f>R34*$F35</f>
        <v>114.5143200614157</v>
      </c>
      <c r="S35">
        <f>S34*$G35</f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>N35*$B36</f>
        <v>92.696920583468412</v>
      </c>
      <c r="O36">
        <f>O35*$C36</f>
        <v>116.10359562764123</v>
      </c>
      <c r="P36">
        <f>P35*$D36</f>
        <v>105.68759727617704</v>
      </c>
      <c r="Q36">
        <f>Q35*$E36</f>
        <v>104.94768519929826</v>
      </c>
      <c r="R36">
        <f>R35*$F36</f>
        <v>105.19380548597327</v>
      </c>
      <c r="S36">
        <f>S35*$G36</f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>N36*$B37</f>
        <v>105.42301458670991</v>
      </c>
      <c r="O37">
        <f>O36*$C37</f>
        <v>134.21394338598105</v>
      </c>
      <c r="P37">
        <f>P36*$D37</f>
        <v>128.02771646113604</v>
      </c>
      <c r="Q37">
        <f>Q36*$E37</f>
        <v>123.27147729823712</v>
      </c>
      <c r="R37">
        <f>R36*$F37</f>
        <v>122.04254730764856</v>
      </c>
      <c r="S37">
        <f>S36*$G37</f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>N37*$B38</f>
        <v>117.78498109130201</v>
      </c>
      <c r="O38">
        <f>O37*$C38</f>
        <v>159.99952782302807</v>
      </c>
      <c r="P38">
        <f>P37*$D38</f>
        <v>161.2284974843555</v>
      </c>
      <c r="Q38">
        <f>Q37*$E38</f>
        <v>150.90061885992441</v>
      </c>
      <c r="R38">
        <f>R37*$F38</f>
        <v>147.64885718312743</v>
      </c>
      <c r="S38">
        <f>S37*$G38</f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>N38*$B39</f>
        <v>119.71799027552676</v>
      </c>
      <c r="O39">
        <f>O38*$C39</f>
        <v>166.50612649621075</v>
      </c>
      <c r="P39">
        <f>P38*$D39</f>
        <v>163.89356530811884</v>
      </c>
      <c r="Q39">
        <f>Q38*$E39</f>
        <v>151.33292595507422</v>
      </c>
      <c r="R39">
        <f>R38*$F39</f>
        <v>148.84056029876481</v>
      </c>
      <c r="S39">
        <f>S38*$G39</f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>T39*$B40</f>
        <v>100.33664563759601</v>
      </c>
      <c r="U40">
        <f>U39*$C40</f>
        <v>94.022147546329776</v>
      </c>
      <c r="V40">
        <f>V39*$D40</f>
        <v>97.844368222847095</v>
      </c>
      <c r="W40">
        <f>W39*$E40</f>
        <v>98.594805972955498</v>
      </c>
      <c r="X40">
        <f>X39*$F40</f>
        <v>97.891503409203494</v>
      </c>
      <c r="Y40">
        <f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>T40*$B41</f>
        <v>114.35031002084857</v>
      </c>
      <c r="U41">
        <f>U40*$C41</f>
        <v>97.457711231159706</v>
      </c>
      <c r="V41">
        <f>V40*$D41</f>
        <v>101.14879631065786</v>
      </c>
      <c r="W41">
        <f>W40*$E41</f>
        <v>105.24581521511934</v>
      </c>
      <c r="X41">
        <f>X40*$F41</f>
        <v>103.23024517281652</v>
      </c>
      <c r="Y41">
        <f>Y40*$G41</f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>T41*$B42</f>
        <v>117.0624283612668</v>
      </c>
      <c r="U42">
        <f>U41*$C42</f>
        <v>100.55865129666654</v>
      </c>
      <c r="V42">
        <f>V41*$D42</f>
        <v>106.26100201871905</v>
      </c>
      <c r="W42">
        <f>W41*$E42</f>
        <v>109.45626459197459</v>
      </c>
      <c r="X42">
        <f>X41*$F42</f>
        <v>106.39556950202675</v>
      </c>
      <c r="Y42">
        <f>Y41*$G42</f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>T42*$B43</f>
        <v>124.11393604635421</v>
      </c>
      <c r="U43">
        <f>U42*$C43</f>
        <v>100.17440129312179</v>
      </c>
      <c r="V43">
        <f>V42*$D43</f>
        <v>105.49293500796502</v>
      </c>
      <c r="W43">
        <f>W42*$E43</f>
        <v>110.21187243535074</v>
      </c>
      <c r="X43">
        <f>X42*$F43</f>
        <v>106.91390663501367</v>
      </c>
      <c r="Y43">
        <f>Y42*$G43</f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>T43*$B44</f>
        <v>116.99564075488044</v>
      </c>
      <c r="U44">
        <f>U43*$C44</f>
        <v>95.849816382378393</v>
      </c>
      <c r="V44">
        <f>V43*$D44</f>
        <v>102.68582798997099</v>
      </c>
      <c r="W44">
        <f>W43*$E44</f>
        <v>105.73757039337531</v>
      </c>
      <c r="X44">
        <f>X43*$F44</f>
        <v>103.65784500213927</v>
      </c>
      <c r="Y44">
        <f>Y43*$G44</f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>T44*$B45</f>
        <v>115.95050496845639</v>
      </c>
      <c r="U45">
        <f>U44*$C45</f>
        <v>91.530903058403169</v>
      </c>
      <c r="V45">
        <f>V44*$D45</f>
        <v>101.17997310724974</v>
      </c>
      <c r="W45">
        <f>W44*$E45</f>
        <v>103.3106206507739</v>
      </c>
      <c r="X45">
        <f>X44*$F45</f>
        <v>101.68896363577406</v>
      </c>
      <c r="Y45">
        <f>Y44*$G45</f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>T45*$B46</f>
        <v>125.57243296419641</v>
      </c>
      <c r="U46">
        <f>U45*$C46</f>
        <v>99.269783203595807</v>
      </c>
      <c r="V46">
        <f>V45*$D46</f>
        <v>111.38738257116205</v>
      </c>
      <c r="W46">
        <f>W45*$E46</f>
        <v>111.19450489969815</v>
      </c>
      <c r="X46">
        <f>X45*$F46</f>
        <v>109.09183783548444</v>
      </c>
      <c r="Y46">
        <f>Y45*$G46</f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>T46*$B47</f>
        <v>119.5299596566756</v>
      </c>
      <c r="U47">
        <f>U46*$C47</f>
        <v>92.487983325534913</v>
      </c>
      <c r="V47">
        <f>V46*$D47</f>
        <v>103.66957721238776</v>
      </c>
      <c r="W47">
        <f>W46*$E47</f>
        <v>102.58439676272232</v>
      </c>
      <c r="X47">
        <f>X46*$F47</f>
        <v>100.6861110578685</v>
      </c>
      <c r="Y47">
        <f>Y46*$G47</f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>T47*$B48</f>
        <v>118.08048809104774</v>
      </c>
      <c r="U48">
        <f>U47*$C48</f>
        <v>93.637897542785055</v>
      </c>
      <c r="V48">
        <f>V47*$D48</f>
        <v>102.5120834482764</v>
      </c>
      <c r="W48">
        <f>W47*$E48</f>
        <v>101.3799439903638</v>
      </c>
      <c r="X48">
        <f>X47*$F48</f>
        <v>99.655102929768816</v>
      </c>
      <c r="Y48">
        <f>Y47*$G48</f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>T48*$B49</f>
        <v>125.76738057202682</v>
      </c>
      <c r="U49">
        <f>U48*$C49</f>
        <v>96.673614360457705</v>
      </c>
      <c r="V49">
        <f>V48*$D49</f>
        <v>107.00876389236764</v>
      </c>
      <c r="W49">
        <f>W48*$E49</f>
        <v>106.03627517828912</v>
      </c>
      <c r="X49">
        <f>X48*$F49</f>
        <v>103.44701878483644</v>
      </c>
      <c r="Y49">
        <f>Y48*$G49</f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>T49*$B50</f>
        <v>129.83961949115061</v>
      </c>
      <c r="U50">
        <f>U49*$C50</f>
        <v>97.29465311157432</v>
      </c>
      <c r="V50">
        <f>V49*$D50</f>
        <v>108.13648821032299</v>
      </c>
      <c r="W50">
        <f>W49*$E50</f>
        <v>106.98253132923487</v>
      </c>
      <c r="X50">
        <f>X49*$F50</f>
        <v>103.96683941749419</v>
      </c>
      <c r="Y50">
        <f>Y49*$G50</f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>T50*$B51</f>
        <v>122.0931596855567</v>
      </c>
      <c r="U51">
        <f>U50*$C51</f>
        <v>92.734697349951105</v>
      </c>
      <c r="V51">
        <f>V50*$D51</f>
        <v>101.70424516927365</v>
      </c>
      <c r="W51">
        <f>W50*$E51</f>
        <v>101.629466487359</v>
      </c>
      <c r="X51">
        <f>X50*$F51</f>
        <v>98.342391618399162</v>
      </c>
      <c r="Y51">
        <f>Y50*$G51</f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>T51*$B52</f>
        <v>125.54355183711041</v>
      </c>
      <c r="U52">
        <f>U51*$C52</f>
        <v>96.921746281565945</v>
      </c>
      <c r="V52">
        <f>V51*$D52</f>
        <v>108.52653844846631</v>
      </c>
      <c r="W52">
        <f>W51*$E52</f>
        <v>108.35433141462104</v>
      </c>
      <c r="X52">
        <f>X51*$F52</f>
        <v>103.51617916004189</v>
      </c>
      <c r="Y52">
        <f>Y51*$G52</f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>T52*$B53</f>
        <v>130.34052653904814</v>
      </c>
      <c r="U53">
        <f>U52*$C53</f>
        <v>96.809732442894244</v>
      </c>
      <c r="V53">
        <f>V52*$D53</f>
        <v>109.39161109233157</v>
      </c>
      <c r="W53">
        <f>W52*$E53</f>
        <v>110.2586940016667</v>
      </c>
      <c r="X53">
        <f>X52*$F53</f>
        <v>105.01859911969319</v>
      </c>
      <c r="Y53">
        <f>Y52*$G53</f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>AF56*$B57</f>
        <v>102.93354580414054</v>
      </c>
      <c r="AG57">
        <f>AG56*$C57</f>
        <v>94.386037868253808</v>
      </c>
      <c r="AH57">
        <f>AH56*$D57</f>
        <v>95.341537406996707</v>
      </c>
      <c r="AI57">
        <f>AI56*$E57</f>
        <v>95.696265008449103</v>
      </c>
      <c r="AJ57">
        <f>AJ56*$F57</f>
        <v>95.058800100556297</v>
      </c>
      <c r="AK57">
        <f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>AF57*$B58</f>
        <v>111.78817889690775</v>
      </c>
      <c r="AG58">
        <f>AG57*$C58</f>
        <v>97.980533066496861</v>
      </c>
      <c r="AH58">
        <f>AH57*$D58</f>
        <v>97.897827613178379</v>
      </c>
      <c r="AI58">
        <f>AI57*$E58</f>
        <v>99.246153900850786</v>
      </c>
      <c r="AJ58">
        <f>AJ57*$F58</f>
        <v>98.174086526168153</v>
      </c>
      <c r="AK58">
        <f>AK57*$G58</f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>AF58*$B59</f>
        <v>112.68964336511614</v>
      </c>
      <c r="AG59">
        <f>AG58*$C59</f>
        <v>100.08316980935921</v>
      </c>
      <c r="AH59">
        <f>AH58*$D59</f>
        <v>96.342084580538071</v>
      </c>
      <c r="AI59">
        <f>AI58*$E59</f>
        <v>97.349065057749044</v>
      </c>
      <c r="AJ59">
        <f>AJ58*$F59</f>
        <v>97.95949979990344</v>
      </c>
      <c r="AK59">
        <f>AK58*$G59</f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>AF59*$B60</f>
        <v>105.99681293789179</v>
      </c>
      <c r="AG60">
        <f>AG59*$C60</f>
        <v>94.392535509610013</v>
      </c>
      <c r="AH60">
        <f>AH59*$D60</f>
        <v>89.797889234289954</v>
      </c>
      <c r="AI60">
        <f>AI59*$E60</f>
        <v>90.331361457413166</v>
      </c>
      <c r="AJ60">
        <f>AJ59*$F60</f>
        <v>91.612887273449473</v>
      </c>
      <c r="AK60">
        <f>AK59*$G60</f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>AF60*$B61</f>
        <v>114.9120265500711</v>
      </c>
      <c r="AG61">
        <f>AG60*$C61</f>
        <v>100.38855895310002</v>
      </c>
      <c r="AH61">
        <f>AH60*$D61</f>
        <v>93.411421041415181</v>
      </c>
      <c r="AI61">
        <f>AI60*$E61</f>
        <v>93.717451048571931</v>
      </c>
      <c r="AJ61">
        <f>AJ60*$F61</f>
        <v>95.875535938827369</v>
      </c>
      <c r="AK61">
        <f>AK60*$G61</f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>AF61*$B62</f>
        <v>119.31135753042196</v>
      </c>
      <c r="AG62">
        <f>AG61*$C62</f>
        <v>102.5483749398968</v>
      </c>
      <c r="AH62">
        <f>AH61*$D62</f>
        <v>95.795824232585716</v>
      </c>
      <c r="AI62">
        <f>AI61*$E62</f>
        <v>95.451307482132009</v>
      </c>
      <c r="AJ62">
        <f>AJ61*$F62</f>
        <v>97.727194100808006</v>
      </c>
      <c r="AK62">
        <f>AK61*$G62</f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>AL62*$B63</f>
        <v>97.08042893962724</v>
      </c>
      <c r="AM63">
        <f>AM62*$C63</f>
        <v>97.98763179237632</v>
      </c>
      <c r="AN63">
        <f>AN62*$D63</f>
        <v>97.583045087525704</v>
      </c>
      <c r="AO63">
        <f>AO62*$E63</f>
        <v>98.423871628488698</v>
      </c>
      <c r="AP63">
        <f>AP62*$F63</f>
        <v>97.468111407712399</v>
      </c>
      <c r="AQ63">
        <f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>AL63*$B64</f>
        <v>94.471027810432091</v>
      </c>
      <c r="AM64">
        <f>AM63*$C64</f>
        <v>98.916514598540161</v>
      </c>
      <c r="AN64">
        <f>AN63*$D64</f>
        <v>101.22583459653518</v>
      </c>
      <c r="AO64">
        <f>AO63*$E64</f>
        <v>101.50588590123891</v>
      </c>
      <c r="AP64">
        <f>AP63*$F64</f>
        <v>99.842059180700943</v>
      </c>
      <c r="AQ64">
        <f>AQ63*$G64</f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>AL64*$B65</f>
        <v>94.884403750738187</v>
      </c>
      <c r="AM65">
        <f>AM64*$C65</f>
        <v>107.28406326034064</v>
      </c>
      <c r="AN65">
        <f>AN64*$D65</f>
        <v>113.59577435643368</v>
      </c>
      <c r="AO65">
        <f>AO64*$E65</f>
        <v>112.05315165646641</v>
      </c>
      <c r="AP65">
        <f>AP64*$F65</f>
        <v>108.4599040204326</v>
      </c>
      <c r="AQ65">
        <f>AQ64*$G65</f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>AL65*$B66</f>
        <v>83.053794062619005</v>
      </c>
      <c r="AM66">
        <f>AM65*$C66</f>
        <v>96.845853609083548</v>
      </c>
      <c r="AN66">
        <f>AN65*$D66</f>
        <v>103.84628271268927</v>
      </c>
      <c r="AO66">
        <f>AO65*$E66</f>
        <v>102.56806232685328</v>
      </c>
      <c r="AP66">
        <f>AP65*$F66</f>
        <v>98.837206875078039</v>
      </c>
      <c r="AQ66">
        <f>AQ65*$G66</f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>AL66*$B67</f>
        <v>79.662345259974302</v>
      </c>
      <c r="AM67">
        <f>AM66*$C67</f>
        <v>86.723185320356862</v>
      </c>
      <c r="AN67">
        <f>AN66*$D67</f>
        <v>93.832021463204342</v>
      </c>
      <c r="AO67">
        <f>AO66*$E67</f>
        <v>92.823799750782314</v>
      </c>
      <c r="AP67">
        <f>AP66*$F67</f>
        <v>88.500963162322492</v>
      </c>
      <c r="AQ67">
        <f>AQ66*$G67</f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>AL67*$B68</f>
        <v>86.095335861052732</v>
      </c>
      <c r="AM68">
        <f>AM67*$C68</f>
        <v>93.885594079480938</v>
      </c>
      <c r="AN68">
        <f>AN67*$D68</f>
        <v>99.294182027115383</v>
      </c>
      <c r="AO68">
        <f>AO67*$E68</f>
        <v>97.856282445071542</v>
      </c>
      <c r="AP68">
        <f>AP67*$F68</f>
        <v>92.972829766711527</v>
      </c>
      <c r="AQ68">
        <f>AQ67*$G68</f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>AL68*$B69</f>
        <v>83.245856582280595</v>
      </c>
      <c r="AM69">
        <f>AM68*$C69</f>
        <v>92.36998175182481</v>
      </c>
      <c r="AN69">
        <f>AN68*$D69</f>
        <v>96.05956471936075</v>
      </c>
      <c r="AO69">
        <f>AO68*$E69</f>
        <v>95.613623458169627</v>
      </c>
      <c r="AP69">
        <f>AP68*$F69</f>
        <v>90.428354208690237</v>
      </c>
      <c r="AQ69">
        <f>AQ68*$G69</f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>AL69*$B70</f>
        <v>82.35011672765205</v>
      </c>
      <c r="AM70">
        <f>AM69*$C70</f>
        <v>91.646390916463915</v>
      </c>
      <c r="AN70">
        <f>AN69*$D70</f>
        <v>94.725016604936755</v>
      </c>
      <c r="AO70">
        <f>AO69*$E70</f>
        <v>100.08015662390525</v>
      </c>
      <c r="AP70">
        <f>AP69*$F70</f>
        <v>93.653440966074044</v>
      </c>
      <c r="AQ70">
        <f>AQ69*$G70</f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>AL70*$B71</f>
        <v>88.436511747272235</v>
      </c>
      <c r="AM71">
        <f>AM70*$C71</f>
        <v>95.268146796431466</v>
      </c>
      <c r="AN71">
        <f>AN70*$D71</f>
        <v>101.62066851381049</v>
      </c>
      <c r="AO71">
        <f>AO70*$E71</f>
        <v>108.49557431914701</v>
      </c>
      <c r="AP71">
        <f>AP70*$F71</f>
        <v>100.88132479143214</v>
      </c>
      <c r="AQ71">
        <f>AQ70*$G71</f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>AL71*$B72</f>
        <v>91.850588605394321</v>
      </c>
      <c r="AM72">
        <f>AM71*$C72</f>
        <v>97.751926196269267</v>
      </c>
      <c r="AN72">
        <f>AN71*$D72</f>
        <v>112.30837068647254</v>
      </c>
      <c r="AO72">
        <f>AO71*$E72</f>
        <v>114.71025807515689</v>
      </c>
      <c r="AP72">
        <f>AP71*$F72</f>
        <v>107.05560670024472</v>
      </c>
      <c r="AQ72">
        <f>AQ71*$G72</f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>AX77*$B78</f>
        <v>99.983458034305499</v>
      </c>
      <c r="AY78">
        <f>AY77*$C78</f>
        <v>107.40043710539095</v>
      </c>
      <c r="AZ78">
        <f>AZ77*$D78</f>
        <v>105.582122282265</v>
      </c>
      <c r="BA78">
        <f>BA77*$E78</f>
        <v>104.607289921291</v>
      </c>
      <c r="BB78">
        <f>BB77*$F78</f>
        <v>104.10275305017799</v>
      </c>
      <c r="BC78">
        <f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>AX78*$B79</f>
        <v>104.61457219931798</v>
      </c>
      <c r="AY79">
        <f>AY78*$C79</f>
        <v>111.58632831471586</v>
      </c>
      <c r="AZ79">
        <f>AZ78*$D79</f>
        <v>113.36094606318656</v>
      </c>
      <c r="BA79">
        <f>BA78*$E79</f>
        <v>112.41424243639536</v>
      </c>
      <c r="BB79">
        <f>BB78*$F79</f>
        <v>111.47638134308026</v>
      </c>
      <c r="BC79">
        <f>BC78*$G79</f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>AX79*$B80</f>
        <v>99.743599531735143</v>
      </c>
      <c r="AY80">
        <f>AY79*$C80</f>
        <v>108.13653472559493</v>
      </c>
      <c r="AZ80">
        <f>AZ79*$D80</f>
        <v>109.2431364607239</v>
      </c>
      <c r="BA80">
        <f>BA79*$E80</f>
        <v>110.68061005824522</v>
      </c>
      <c r="BB80">
        <f>BB79*$F80</f>
        <v>110.65310558293911</v>
      </c>
      <c r="BC80">
        <f>BC79*$G80</f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>AX80*$B81</f>
        <v>101.39270626558765</v>
      </c>
      <c r="AY81">
        <f>AY80*$C81</f>
        <v>106.98002671199609</v>
      </c>
      <c r="AZ81">
        <f>AZ80*$D81</f>
        <v>107.0099283708369</v>
      </c>
      <c r="BA81">
        <f>BA80*$E81</f>
        <v>111.69972308427046</v>
      </c>
      <c r="BB81">
        <f>BB80*$F81</f>
        <v>112.72565553105588</v>
      </c>
      <c r="BC81">
        <f>BC80*$G81</f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>AX81*$B82</f>
        <v>105.29788262839112</v>
      </c>
      <c r="AY82">
        <f>AY81*$C82</f>
        <v>107.3017848470131</v>
      </c>
      <c r="AZ82">
        <f>AZ81*$D82</f>
        <v>113.64305703048566</v>
      </c>
      <c r="BA82">
        <f>BA81*$E82</f>
        <v>118.03122858277746</v>
      </c>
      <c r="BB82">
        <f>BB81*$F82</f>
        <v>117.85722436615963</v>
      </c>
      <c r="BC82">
        <f>BC81*$G82</f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>AX82*$B83</f>
        <v>102.95274087646972</v>
      </c>
      <c r="AY83">
        <f>AY82*$C83</f>
        <v>107.48542982030112</v>
      </c>
      <c r="AZ83">
        <f>AZ82*$D83</f>
        <v>112.99447529068908</v>
      </c>
      <c r="BA83">
        <f>BA82*$E83</f>
        <v>119.56110256860279</v>
      </c>
      <c r="BB83">
        <f>BB82*$F83</f>
        <v>120.00703058874987</v>
      </c>
      <c r="BC83">
        <f>BC82*$G83</f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>AX83*$B84</f>
        <v>106.85282740367488</v>
      </c>
      <c r="AY84">
        <f>AY83*$C84</f>
        <v>111.57266877124817</v>
      </c>
      <c r="AZ84">
        <f>AZ83*$D84</f>
        <v>117.82885705839327</v>
      </c>
      <c r="BA84">
        <f>BA83*$E84</f>
        <v>123.27756281327927</v>
      </c>
      <c r="BB84">
        <f>BB83*$F84</f>
        <v>123.23997972564575</v>
      </c>
      <c r="BC84">
        <f>BC83*$G84</f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>AX84*$B85</f>
        <v>104.90469282842166</v>
      </c>
      <c r="AY85">
        <f>AY84*$C85</f>
        <v>115.25012141816416</v>
      </c>
      <c r="AZ85">
        <f>AZ84*$D85</f>
        <v>124.95503634255894</v>
      </c>
      <c r="BA85">
        <f>BA84*$E85</f>
        <v>130.45993275539828</v>
      </c>
      <c r="BB85">
        <f>BB84*$F85</f>
        <v>129.9356140233526</v>
      </c>
      <c r="BC85">
        <f>BC84*$G85</f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>AX85*$B86</f>
        <v>101.4117931490813</v>
      </c>
      <c r="AY86">
        <f>AY85*$C86</f>
        <v>118.18692326372025</v>
      </c>
      <c r="AZ86">
        <f>AZ85*$D86</f>
        <v>132.90695447679889</v>
      </c>
      <c r="BA86">
        <f>BA85*$E86</f>
        <v>137.1014558543111</v>
      </c>
      <c r="BB86">
        <f>BB85*$F86</f>
        <v>138.91710434138827</v>
      </c>
      <c r="BC86">
        <f>BC85*$G86</f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>AX86*$B87</f>
        <v>104.09286405049119</v>
      </c>
      <c r="AY87">
        <f>AY86*$C87</f>
        <v>117.98810101991256</v>
      </c>
      <c r="AZ87">
        <f>AZ86*$D87</f>
        <v>136.82445478112291</v>
      </c>
      <c r="BA87">
        <f>BA86*$E87</f>
        <v>139.97676107194459</v>
      </c>
      <c r="BB87">
        <f>BB86*$F87</f>
        <v>140.52133906659955</v>
      </c>
      <c r="BC87">
        <f>BC86*$G87</f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>AX87*$B88</f>
        <v>96.868478648139686</v>
      </c>
      <c r="AY88">
        <f>AY87*$C88</f>
        <v>107.07109033511412</v>
      </c>
      <c r="AZ88">
        <f>AZ87*$D88</f>
        <v>126.56726214301237</v>
      </c>
      <c r="BA88">
        <f>BA87*$E88</f>
        <v>132.40799393523295</v>
      </c>
      <c r="BB88">
        <f>BB87*$F88</f>
        <v>132.65084936192133</v>
      </c>
      <c r="BC88">
        <f>BC87*$G88</f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>AX88*$B89</f>
        <v>99.222527612358135</v>
      </c>
      <c r="AY89">
        <f>AY88*$C89</f>
        <v>111.83371782418648</v>
      </c>
      <c r="AZ89">
        <f>AZ88*$D89</f>
        <v>136.64818527427639</v>
      </c>
      <c r="BA89">
        <f>BA88*$E89</f>
        <v>141.09746328691011</v>
      </c>
      <c r="BB89">
        <f>BB88*$F89</f>
        <v>140.0934324063588</v>
      </c>
      <c r="BC89">
        <f>BC88*$G89</f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>AX89*$B90</f>
        <v>100.78001730544106</v>
      </c>
      <c r="AY90">
        <f>AY89*$C90</f>
        <v>106.08001457017969</v>
      </c>
      <c r="AZ90">
        <f>AZ89*$D90</f>
        <v>135.68775532600503</v>
      </c>
      <c r="BA90">
        <f>BA89*$E90</f>
        <v>139.01460259744547</v>
      </c>
      <c r="BB90">
        <f>BB89*$F90</f>
        <v>138.03177255400212</v>
      </c>
      <c r="BC90">
        <f>BC89*$G90</f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>AX90*$B91</f>
        <v>104.22010994044894</v>
      </c>
      <c r="AY91">
        <f>AY90*$C91</f>
        <v>111.72747693054878</v>
      </c>
      <c r="AZ91">
        <f>AZ90*$D91</f>
        <v>142.13799597290526</v>
      </c>
      <c r="BA91">
        <f>BA90*$E91</f>
        <v>144.07324854719403</v>
      </c>
      <c r="BB91">
        <f>BB90*$F91</f>
        <v>143.5469625721947</v>
      </c>
      <c r="BC91">
        <f>BC90*$G91</f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>AX91*$B92</f>
        <v>106.87127805771875</v>
      </c>
      <c r="AY92">
        <f>AY91*$C92</f>
        <v>111.09610247693053</v>
      </c>
      <c r="AZ92">
        <f>AZ91*$D92</f>
        <v>141.13863519140367</v>
      </c>
      <c r="BA92">
        <f>BA91*$E92</f>
        <v>143.00837453070091</v>
      </c>
      <c r="BB92">
        <f>BB91*$F92</f>
        <v>142.66901697569807</v>
      </c>
      <c r="BC92">
        <f>BC91*$G92</f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>AX92*$B93</f>
        <v>107.97831730035121</v>
      </c>
      <c r="AY93">
        <f>AY92*$C93</f>
        <v>109.76960903351139</v>
      </c>
      <c r="AZ93">
        <f>AZ92*$D93</f>
        <v>140.56115727972985</v>
      </c>
      <c r="BA93">
        <f>BA92*$E93</f>
        <v>142.29535209514904</v>
      </c>
      <c r="BB93">
        <f>BB92*$F93</f>
        <v>141.71072412624622</v>
      </c>
      <c r="BC93">
        <f>BC92*$G93</f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">AX93*$B94</f>
        <v>105.74960553774113</v>
      </c>
      <c r="AY94">
        <f t="shared" ref="AY94:AY114" si="5">AY93*$C94</f>
        <v>108.16385381253032</v>
      </c>
      <c r="AZ94">
        <f t="shared" ref="AZ94:AZ114" si="6">AZ93*$D94</f>
        <v>138.2541837325831</v>
      </c>
      <c r="BA94">
        <f t="shared" ref="BA94:BA114" si="7">BA93*$E94</f>
        <v>138.45689764441721</v>
      </c>
      <c r="BB94">
        <f t="shared" ref="BB94:BB114" si="8">BB93*$F94</f>
        <v>139.43546582213341</v>
      </c>
      <c r="BC94">
        <f t="shared" ref="BC94:BC114" si="9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"/>
        <v>101.03578154425611</v>
      </c>
      <c r="AY95">
        <f t="shared" si="5"/>
        <v>109.78933948518696</v>
      </c>
      <c r="AZ95">
        <f t="shared" si="6"/>
        <v>141.75610500542734</v>
      </c>
      <c r="BA95">
        <f t="shared" si="7"/>
        <v>137.12952756268928</v>
      </c>
      <c r="BB95">
        <f t="shared" si="8"/>
        <v>137.78903065257876</v>
      </c>
      <c r="BC95">
        <f t="shared" si="9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"/>
        <v>103.24413396447295</v>
      </c>
      <c r="AY96">
        <f t="shared" si="5"/>
        <v>112.08414278776101</v>
      </c>
      <c r="AZ96">
        <f t="shared" si="6"/>
        <v>152.60711052636202</v>
      </c>
      <c r="BA96">
        <f t="shared" si="7"/>
        <v>147.46916807946442</v>
      </c>
      <c r="BB96">
        <f t="shared" si="8"/>
        <v>146.58780965180136</v>
      </c>
      <c r="BC96">
        <f t="shared" si="9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"/>
        <v>102.96864661271442</v>
      </c>
      <c r="AY97">
        <f t="shared" si="5"/>
        <v>113.94335842642055</v>
      </c>
      <c r="AZ97">
        <f t="shared" si="6"/>
        <v>160.68646266962102</v>
      </c>
      <c r="BA97">
        <f t="shared" si="7"/>
        <v>155.13944330344611</v>
      </c>
      <c r="BB97">
        <f t="shared" si="8"/>
        <v>153.51831544691387</v>
      </c>
      <c r="BC97">
        <f t="shared" si="9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"/>
        <v>101.82025245584568</v>
      </c>
      <c r="AY98">
        <f t="shared" si="5"/>
        <v>115.50661728994652</v>
      </c>
      <c r="AZ98">
        <f t="shared" si="6"/>
        <v>162.75073346480977</v>
      </c>
      <c r="BA98">
        <f t="shared" si="7"/>
        <v>157.17540028475602</v>
      </c>
      <c r="BB98">
        <f t="shared" si="8"/>
        <v>155.2448799874536</v>
      </c>
      <c r="BC98">
        <f t="shared" si="9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"/>
        <v>103.86573013691658</v>
      </c>
      <c r="AY99">
        <f t="shared" si="5"/>
        <v>113.71266391452156</v>
      </c>
      <c r="AZ99">
        <f t="shared" si="6"/>
        <v>163.97558673107361</v>
      </c>
      <c r="BA99">
        <f t="shared" si="7"/>
        <v>158.52694487833833</v>
      </c>
      <c r="BB99">
        <f t="shared" si="8"/>
        <v>155.15052827964976</v>
      </c>
      <c r="BC99">
        <f t="shared" si="9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"/>
        <v>104.03051356441188</v>
      </c>
      <c r="AY100">
        <f t="shared" si="5"/>
        <v>113.79462117532776</v>
      </c>
      <c r="AZ100">
        <f t="shared" si="6"/>
        <v>158.38923632511472</v>
      </c>
      <c r="BA100">
        <f t="shared" si="7"/>
        <v>162.76176695593057</v>
      </c>
      <c r="BB100">
        <f t="shared" si="8"/>
        <v>157.05273621754526</v>
      </c>
      <c r="BC100">
        <f t="shared" si="9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"/>
        <v>107.80144551330993</v>
      </c>
      <c r="AY101">
        <f t="shared" si="5"/>
        <v>115.57036182612913</v>
      </c>
      <c r="AZ101">
        <f t="shared" si="6"/>
        <v>168.93326275121262</v>
      </c>
      <c r="BA101">
        <f t="shared" si="7"/>
        <v>175.1013893638673</v>
      </c>
      <c r="BB101">
        <f t="shared" si="8"/>
        <v>171.27025358780838</v>
      </c>
      <c r="BC101">
        <f t="shared" si="9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"/>
        <v>105.85394716750649</v>
      </c>
      <c r="AY102">
        <f t="shared" si="5"/>
        <v>121.92812044681878</v>
      </c>
      <c r="AZ102">
        <f t="shared" si="6"/>
        <v>172.39056359867624</v>
      </c>
      <c r="BA102">
        <f t="shared" si="7"/>
        <v>179.32162857808879</v>
      </c>
      <c r="BB102">
        <f t="shared" si="8"/>
        <v>177.01864816195823</v>
      </c>
      <c r="BC102">
        <f t="shared" si="9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"/>
        <v>102.15872652313331</v>
      </c>
      <c r="AY103">
        <f t="shared" si="5"/>
        <v>122.32121175327823</v>
      </c>
      <c r="AZ103">
        <f t="shared" si="6"/>
        <v>173.50645693314476</v>
      </c>
      <c r="BA103">
        <f t="shared" si="7"/>
        <v>180.36847026806069</v>
      </c>
      <c r="BB103">
        <f t="shared" si="8"/>
        <v>177.11609751136118</v>
      </c>
      <c r="BC103">
        <f t="shared" si="9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"/>
        <v>99.63098691912252</v>
      </c>
      <c r="AY104">
        <f t="shared" si="5"/>
        <v>118.52082321515293</v>
      </c>
      <c r="AZ104">
        <f t="shared" si="6"/>
        <v>173.57664443745651</v>
      </c>
      <c r="BA104">
        <f t="shared" si="7"/>
        <v>179.62243602272113</v>
      </c>
      <c r="BB104">
        <f t="shared" si="8"/>
        <v>172.10463803415007</v>
      </c>
      <c r="BC104">
        <f t="shared" si="9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"/>
        <v>100.85381992161655</v>
      </c>
      <c r="AY105">
        <f t="shared" si="5"/>
        <v>116.94694026226318</v>
      </c>
      <c r="AZ105">
        <f t="shared" si="6"/>
        <v>167.96004438217344</v>
      </c>
      <c r="BA105">
        <f t="shared" si="7"/>
        <v>174.9986693000873</v>
      </c>
      <c r="BB105">
        <f t="shared" si="8"/>
        <v>168.96332361230162</v>
      </c>
      <c r="BC105">
        <f t="shared" si="9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"/>
        <v>97.080979284369135</v>
      </c>
      <c r="AY106">
        <f t="shared" si="5"/>
        <v>115.60982272948029</v>
      </c>
      <c r="AZ106">
        <f t="shared" si="6"/>
        <v>159.07864043038262</v>
      </c>
      <c r="BA106">
        <f t="shared" si="7"/>
        <v>168.77300338474328</v>
      </c>
      <c r="BB106">
        <f t="shared" si="8"/>
        <v>163.53524767722629</v>
      </c>
      <c r="BC106">
        <f t="shared" si="9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"/>
        <v>98.800707487148173</v>
      </c>
      <c r="AY107">
        <f t="shared" si="5"/>
        <v>121.94633317144239</v>
      </c>
      <c r="AZ107">
        <f t="shared" si="6"/>
        <v>160.94105153285611</v>
      </c>
      <c r="BA107">
        <f t="shared" si="7"/>
        <v>168.8893711909719</v>
      </c>
      <c r="BB107">
        <f t="shared" si="8"/>
        <v>164.15920602080311</v>
      </c>
      <c r="BC107">
        <f t="shared" si="9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"/>
        <v>99.690792487402675</v>
      </c>
      <c r="AY108">
        <f t="shared" si="5"/>
        <v>126.71654929577457</v>
      </c>
      <c r="AZ108">
        <f t="shared" si="6"/>
        <v>173.40894998450329</v>
      </c>
      <c r="BA108">
        <f t="shared" si="7"/>
        <v>181.61032477133665</v>
      </c>
      <c r="BB108">
        <f t="shared" si="8"/>
        <v>177.50519147539791</v>
      </c>
      <c r="BC108">
        <f t="shared" si="9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"/>
        <v>101.54031149793863</v>
      </c>
      <c r="AY109">
        <f t="shared" si="5"/>
        <v>133.6449732880038</v>
      </c>
      <c r="AZ109">
        <f t="shared" si="6"/>
        <v>183.5728323727042</v>
      </c>
      <c r="BA109">
        <f t="shared" si="7"/>
        <v>189.06417019382476</v>
      </c>
      <c r="BB109">
        <f t="shared" si="8"/>
        <v>183.88691363177313</v>
      </c>
      <c r="BC109">
        <f t="shared" si="9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"/>
        <v>104.82707283554744</v>
      </c>
      <c r="AY110">
        <f t="shared" si="5"/>
        <v>141.99854298203002</v>
      </c>
      <c r="AZ110">
        <f t="shared" si="6"/>
        <v>196.34294356759088</v>
      </c>
      <c r="BA110">
        <f t="shared" si="7"/>
        <v>202.24828712050294</v>
      </c>
      <c r="BB110">
        <f t="shared" si="8"/>
        <v>194.97597568827376</v>
      </c>
      <c r="BC110">
        <f t="shared" si="9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"/>
        <v>102.09001374255614</v>
      </c>
      <c r="AY111">
        <f t="shared" si="5"/>
        <v>148.43674113647393</v>
      </c>
      <c r="AZ111">
        <f t="shared" si="6"/>
        <v>192.62675158468204</v>
      </c>
      <c r="BA111">
        <f t="shared" si="7"/>
        <v>203.28841143662717</v>
      </c>
      <c r="BB111">
        <f t="shared" si="8"/>
        <v>194.13451907298537</v>
      </c>
      <c r="BC111">
        <f t="shared" si="9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"/>
        <v>98.665190614343175</v>
      </c>
      <c r="AY112">
        <f t="shared" si="5"/>
        <v>155.050995628946</v>
      </c>
      <c r="AZ112">
        <f t="shared" si="6"/>
        <v>187.75809271498153</v>
      </c>
      <c r="BA112">
        <f t="shared" si="7"/>
        <v>203.40928254731145</v>
      </c>
      <c r="BB112">
        <f t="shared" si="8"/>
        <v>190.07128178673119</v>
      </c>
      <c r="BC112">
        <f t="shared" si="9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"/>
        <v>95.487860742098036</v>
      </c>
      <c r="AY113">
        <f t="shared" si="5"/>
        <v>151.61637931034474</v>
      </c>
      <c r="AZ113">
        <f t="shared" si="6"/>
        <v>188.4710513406344</v>
      </c>
      <c r="BA113">
        <f t="shared" si="7"/>
        <v>205.22351979850205</v>
      </c>
      <c r="BB113">
        <f t="shared" si="8"/>
        <v>189.95726958055749</v>
      </c>
      <c r="BC113">
        <f t="shared" si="9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"/>
        <v>90.853565429836621</v>
      </c>
      <c r="AY114">
        <f t="shared" si="5"/>
        <v>146.35441962117525</v>
      </c>
      <c r="AZ114">
        <f t="shared" si="6"/>
        <v>183.46376938203042</v>
      </c>
      <c r="BA114">
        <f t="shared" si="7"/>
        <v>197.22913276418166</v>
      </c>
      <c r="BB114">
        <f t="shared" si="8"/>
        <v>182.51043462579892</v>
      </c>
      <c r="BC114">
        <f t="shared" si="9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10">BD114*$B115</f>
        <v>101.90966386554621</v>
      </c>
      <c r="BE115">
        <f t="shared" ref="BE115" si="11">BE114*$C115</f>
        <v>98.180026962563531</v>
      </c>
      <c r="BF115">
        <f t="shared" ref="BF115" si="12">BF114*$D115</f>
        <v>102.39275618356901</v>
      </c>
      <c r="BG115">
        <f t="shared" ref="BG115" si="13">BG114*$E115</f>
        <v>102.38674747127502</v>
      </c>
      <c r="BH115">
        <f t="shared" ref="BH115" si="14">BH114*$F115</f>
        <v>102.174415297018</v>
      </c>
      <c r="BI115">
        <f t="shared" ref="BI115" si="15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16">BD115*$B116</f>
        <v>107.98389355742296</v>
      </c>
      <c r="BE116">
        <f t="shared" ref="BE116:BE119" si="17">BE115*$C116</f>
        <v>95.806284351342967</v>
      </c>
      <c r="BF116">
        <f t="shared" ref="BF116:BF119" si="18">BF115*$D116</f>
        <v>104.40436534120244</v>
      </c>
      <c r="BG116">
        <f t="shared" ref="BG116:BG119" si="19">BG115*$E116</f>
        <v>102.47107036959427</v>
      </c>
      <c r="BH116">
        <f t="shared" ref="BH116:BH119" si="20">BH115*$F116</f>
        <v>101.91523323649531</v>
      </c>
      <c r="BI116">
        <f t="shared" ref="BI116:BI119" si="21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16"/>
        <v>105.90476190476188</v>
      </c>
      <c r="BE117">
        <f t="shared" si="17"/>
        <v>95.550139997925982</v>
      </c>
      <c r="BF117">
        <f t="shared" si="18"/>
        <v>101.40430306194068</v>
      </c>
      <c r="BG117">
        <f t="shared" si="19"/>
        <v>99.143268834321731</v>
      </c>
      <c r="BH117">
        <f t="shared" si="20"/>
        <v>98.778266955320916</v>
      </c>
      <c r="BI117">
        <f t="shared" si="21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16"/>
        <v>104.22198879551819</v>
      </c>
      <c r="BE118">
        <f t="shared" si="17"/>
        <v>94.409416156797704</v>
      </c>
      <c r="BF118">
        <f t="shared" si="18"/>
        <v>99.267225838773612</v>
      </c>
      <c r="BG118">
        <f t="shared" si="19"/>
        <v>97.453424235984656</v>
      </c>
      <c r="BH118">
        <f t="shared" si="20"/>
        <v>97.594189503788414</v>
      </c>
      <c r="BI118">
        <f t="shared" si="21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16"/>
        <v>101.22619047619045</v>
      </c>
      <c r="BE119">
        <f t="shared" si="17"/>
        <v>93.046769677486282</v>
      </c>
      <c r="BF119">
        <f t="shared" si="18"/>
        <v>95.234413980671718</v>
      </c>
      <c r="BG119">
        <f t="shared" si="19"/>
        <v>91.832420486230859</v>
      </c>
      <c r="BH119">
        <f t="shared" si="20"/>
        <v>92.594979662910958</v>
      </c>
      <c r="BI119">
        <f t="shared" si="21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22">BD119*$B120</f>
        <v>101.80882352941173</v>
      </c>
      <c r="BE120">
        <f t="shared" ref="BE120" si="23">BE119*$C120</f>
        <v>90.689619413045747</v>
      </c>
      <c r="BF120">
        <f t="shared" ref="BF120" si="24">BF119*$D120</f>
        <v>97.786909983557649</v>
      </c>
      <c r="BG120">
        <f t="shared" ref="BG120" si="25">BG119*$E120</f>
        <v>94.18937695793889</v>
      </c>
      <c r="BH120">
        <f t="shared" ref="BH120" si="26">BH119*$F120</f>
        <v>95.86445270215502</v>
      </c>
      <c r="BI120">
        <f t="shared" ref="BI120" si="27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28">BD120*$B121</f>
        <v>106.5819327731092</v>
      </c>
      <c r="BE121">
        <f t="shared" ref="BE121:BE135" si="29">BE120*$C121</f>
        <v>93.655501399979272</v>
      </c>
      <c r="BF121">
        <f t="shared" ref="BF121:BF135" si="30">BF120*$D121</f>
        <v>106.69948577208284</v>
      </c>
      <c r="BG121">
        <f t="shared" ref="BG121:BG135" si="31">BG120*$E121</f>
        <v>102.46983110334922</v>
      </c>
      <c r="BH121">
        <f t="shared" ref="BH121:BH135" si="32">BH120*$F121</f>
        <v>103.22916986779782</v>
      </c>
      <c r="BI121">
        <f t="shared" ref="BI121:BI135" si="33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28"/>
        <v>106.00140056022406</v>
      </c>
      <c r="BE122">
        <f t="shared" si="29"/>
        <v>95.106294721559692</v>
      </c>
      <c r="BF122">
        <f t="shared" si="30"/>
        <v>110.75843643291878</v>
      </c>
      <c r="BG122">
        <f t="shared" si="31"/>
        <v>106.36136570647618</v>
      </c>
      <c r="BH122">
        <f t="shared" si="32"/>
        <v>107.48568140841809</v>
      </c>
      <c r="BI122">
        <f t="shared" si="33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28"/>
        <v>105.60224089635851</v>
      </c>
      <c r="BE123">
        <f t="shared" si="29"/>
        <v>94.634449860002078</v>
      </c>
      <c r="BF123">
        <f t="shared" si="30"/>
        <v>104.87412399431481</v>
      </c>
      <c r="BG123">
        <f t="shared" si="31"/>
        <v>99.809811731207475</v>
      </c>
      <c r="BH123">
        <f t="shared" si="32"/>
        <v>101.46410860196316</v>
      </c>
      <c r="BI123">
        <f t="shared" si="33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28"/>
        <v>105.73179271708678</v>
      </c>
      <c r="BE124">
        <f t="shared" si="29"/>
        <v>91.916416053095517</v>
      </c>
      <c r="BF124">
        <f t="shared" si="30"/>
        <v>102.46417546983282</v>
      </c>
      <c r="BG124">
        <f t="shared" si="31"/>
        <v>97.402063434015076</v>
      </c>
      <c r="BH124">
        <f t="shared" si="32"/>
        <v>99.017141515641825</v>
      </c>
      <c r="BI124">
        <f t="shared" si="33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28"/>
        <v>109.10504201680666</v>
      </c>
      <c r="BE125">
        <f t="shared" si="29"/>
        <v>92.769884890594213</v>
      </c>
      <c r="BF125">
        <f t="shared" si="30"/>
        <v>109.27248244316816</v>
      </c>
      <c r="BG125">
        <f t="shared" si="31"/>
        <v>103.35819428152881</v>
      </c>
      <c r="BH125">
        <f t="shared" si="32"/>
        <v>104.84933864937869</v>
      </c>
      <c r="BI125">
        <f t="shared" si="33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28"/>
        <v>111.8151260504201</v>
      </c>
      <c r="BE126">
        <f t="shared" si="29"/>
        <v>88.36669086383904</v>
      </c>
      <c r="BF126">
        <f t="shared" si="30"/>
        <v>106.3141888747258</v>
      </c>
      <c r="BG126">
        <f t="shared" si="31"/>
        <v>101.93051745344559</v>
      </c>
      <c r="BH126">
        <f t="shared" si="32"/>
        <v>104.1934042435873</v>
      </c>
      <c r="BI126">
        <f t="shared" si="33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28"/>
        <v>112.07072829131646</v>
      </c>
      <c r="BE127">
        <f t="shared" si="29"/>
        <v>88.958830239551986</v>
      </c>
      <c r="BF127">
        <f t="shared" si="30"/>
        <v>105.74723750922563</v>
      </c>
      <c r="BG127">
        <f t="shared" si="31"/>
        <v>101.96303758400285</v>
      </c>
      <c r="BH127">
        <f t="shared" si="32"/>
        <v>104.53252391896071</v>
      </c>
      <c r="BI127">
        <f t="shared" si="33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28"/>
        <v>111.88865546218481</v>
      </c>
      <c r="BE128">
        <f t="shared" si="29"/>
        <v>81.853157730996557</v>
      </c>
      <c r="BF128">
        <f t="shared" si="30"/>
        <v>103.65413880750449</v>
      </c>
      <c r="BG128">
        <f t="shared" si="31"/>
        <v>100.69018317487014</v>
      </c>
      <c r="BH128">
        <f t="shared" si="32"/>
        <v>103.62054055202215</v>
      </c>
      <c r="BI128">
        <f t="shared" si="33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28"/>
        <v>110.76960784313719</v>
      </c>
      <c r="BE129">
        <f t="shared" si="29"/>
        <v>79.869335269107097</v>
      </c>
      <c r="BF129">
        <f t="shared" si="30"/>
        <v>103.32507198641844</v>
      </c>
      <c r="BG129">
        <f t="shared" si="31"/>
        <v>100.96302930496708</v>
      </c>
      <c r="BH129">
        <f t="shared" si="32"/>
        <v>104.08434954187318</v>
      </c>
      <c r="BI129">
        <f t="shared" si="33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28"/>
        <v>113.37535014005597</v>
      </c>
      <c r="BE130">
        <f t="shared" si="29"/>
        <v>82.965881986933496</v>
      </c>
      <c r="BF130">
        <f t="shared" si="30"/>
        <v>103.79207007580327</v>
      </c>
      <c r="BG130">
        <f t="shared" si="31"/>
        <v>102.02194856716531</v>
      </c>
      <c r="BH130">
        <f t="shared" si="32"/>
        <v>105.88651739253817</v>
      </c>
      <c r="BI130">
        <f t="shared" si="33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28"/>
        <v>117.26960784313718</v>
      </c>
      <c r="BE131">
        <f t="shared" si="29"/>
        <v>80.379549932593562</v>
      </c>
      <c r="BF131">
        <f t="shared" si="30"/>
        <v>101.00515138283377</v>
      </c>
      <c r="BG131">
        <f t="shared" si="31"/>
        <v>100.94447775066266</v>
      </c>
      <c r="BH131">
        <f t="shared" si="32"/>
        <v>105.52765507486417</v>
      </c>
      <c r="BI131">
        <f t="shared" si="33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28"/>
        <v>117.84173669467779</v>
      </c>
      <c r="BE132">
        <f t="shared" si="29"/>
        <v>83.180545473400358</v>
      </c>
      <c r="BF132">
        <f t="shared" si="30"/>
        <v>101.52863871925395</v>
      </c>
      <c r="BG132">
        <f t="shared" si="31"/>
        <v>102.73333425230334</v>
      </c>
      <c r="BH132">
        <f t="shared" si="32"/>
        <v>107.40197899193423</v>
      </c>
      <c r="BI132">
        <f t="shared" si="33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28"/>
        <v>122.47268907563019</v>
      </c>
      <c r="BE133">
        <f t="shared" si="29"/>
        <v>84.46334128383279</v>
      </c>
      <c r="BF133">
        <f t="shared" si="30"/>
        <v>103.27201512778561</v>
      </c>
      <c r="BG133">
        <f t="shared" si="31"/>
        <v>104.28152785312719</v>
      </c>
      <c r="BH133">
        <f t="shared" si="32"/>
        <v>109.29921870172682</v>
      </c>
      <c r="BI133">
        <f t="shared" si="33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28"/>
        <v>125.50910364145651</v>
      </c>
      <c r="BE134">
        <f t="shared" si="29"/>
        <v>86.073835943171176</v>
      </c>
      <c r="BF134">
        <f t="shared" si="30"/>
        <v>106.66930565690848</v>
      </c>
      <c r="BG134">
        <f t="shared" si="31"/>
        <v>107.694114344185</v>
      </c>
      <c r="BH134">
        <f t="shared" si="32"/>
        <v>111.95661115891528</v>
      </c>
      <c r="BI134">
        <f t="shared" si="33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28"/>
        <v>133.22969187675062</v>
      </c>
      <c r="BE135">
        <f t="shared" si="29"/>
        <v>91.04220678212171</v>
      </c>
      <c r="BF135">
        <f t="shared" si="30"/>
        <v>112.31242939350318</v>
      </c>
      <c r="BG135">
        <f t="shared" si="31"/>
        <v>112.92111693184809</v>
      </c>
      <c r="BH135">
        <f t="shared" si="32"/>
        <v>116.96510261250447</v>
      </c>
      <c r="BI135">
        <f t="shared" si="33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Y38"/>
  <sheetViews>
    <sheetView showGridLines="0" tabSelected="1" topLeftCell="A11" workbookViewId="0">
      <selection activeCell="J33" sqref="J33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ca="1">PRODUCT(OFFSET(F16,0,0,1,12))</f>
        <v>0.78094649688012674</v>
      </c>
      <c r="G21">
        <f ca="1">PRODUCT(OFFSET(G16,0,0,1,12))</f>
        <v>0.90853282108562827</v>
      </c>
      <c r="H21">
        <f ca="1">PRODUCT(OFFSET(H16,0,0,1,12))</f>
        <v>0.89199331454961839</v>
      </c>
      <c r="I21">
        <f ca="1">PRODUCT(OFFSET(I16,0,0,1,12))</f>
        <v>0.92674175340741705</v>
      </c>
      <c r="J21">
        <f ca="1">PRODUCT(OFFSET(J16,0,0,1,12))</f>
        <v>1.0376083430508141</v>
      </c>
      <c r="K21">
        <f ca="1">PRODUCT(OFFSET(K16,0,0,1,12))</f>
        <v>1.175982890145157</v>
      </c>
      <c r="L21">
        <f ca="1">PRODUCT(OFFSET(L16,0,0,1,12))</f>
        <v>1.1598147221758595</v>
      </c>
      <c r="M21">
        <f ca="1">PRODUCT(OFFSET(M16,0,0,1,12))</f>
        <v>1.682954645589257</v>
      </c>
      <c r="N21">
        <f ca="1">PRODUCT(OFFSET(N16,0,0,1,12))</f>
        <v>1.6613517964059556</v>
      </c>
      <c r="O21">
        <f ca="1">PRODUCT(OFFSET(O16,0,0,1,12))</f>
        <v>1.6675646905469941</v>
      </c>
      <c r="P21">
        <f ca="1">PRODUCT(OFFSET(P16,0,0,1,12))</f>
        <v>1.4464940559282089</v>
      </c>
      <c r="Q21">
        <f ca="1">PRODUCT(OFFSET(Q16,0,0,1,12))</f>
        <v>1.5896918159278217</v>
      </c>
      <c r="R21">
        <f ca="1">PRODUCT(OFFSET(R16,0,0,1,12))</f>
        <v>1.3698633638333033</v>
      </c>
      <c r="S21">
        <f ca="1">PRODUCT(OFFSET(S16,0,0,1,12))</f>
        <v>1.0992395804227406</v>
      </c>
      <c r="T21">
        <f ca="1">PRODUCT(OFFSET(T16,0,0,1,12))</f>
        <v>1.0170424516927363</v>
      </c>
      <c r="U21">
        <f ca="1">PRODUCT(OFFSET(U16,0,0,1,12))</f>
        <v>1.1091751157439114</v>
      </c>
      <c r="V21">
        <f ca="1">PRODUCT(OFFSET(V16,0,0,1,12))</f>
        <v>1.0814919710597211</v>
      </c>
      <c r="W21">
        <f ca="1">PRODUCT(OFFSET(W16,0,0,1,12))</f>
        <v>1.0499235144436159</v>
      </c>
      <c r="X21">
        <f ca="1">PRODUCT(OFFSET(X16,0,0,1,12))</f>
        <v>1.14559659383958</v>
      </c>
      <c r="Y21">
        <f ca="1">PRODUCT(OFFSET(Y16,0,0,1,12))</f>
        <v>1.3027258000057733</v>
      </c>
      <c r="Z21">
        <f ca="1">PRODUCT(OFFSET(Z16,0,0,1,12))</f>
        <v>1.2605239877529686</v>
      </c>
      <c r="AA21">
        <f ca="1">PRODUCT(OFFSET(AA16,0,0,1,12))</f>
        <v>1.1757109946820987</v>
      </c>
      <c r="AB21">
        <f ca="1">PRODUCT(OFFSET(AB16,0,0,1,12))</f>
        <v>1.2431634562776417</v>
      </c>
      <c r="AC21">
        <f ca="1">PRODUCT(OFFSET(AC16,0,0,1,12))</f>
        <v>1.1718029629067186</v>
      </c>
      <c r="AD21">
        <f ca="1">PRODUCT(OFFSET(AD16,0,0,1,12))</f>
        <v>1.1677346177875623</v>
      </c>
      <c r="AE21">
        <f ca="1">PRODUCT(OFFSET(AE16,0,0,1,12))</f>
        <v>1.1850531814104051</v>
      </c>
      <c r="AF21">
        <f ca="1">PRODUCT(OFFSET(AF16,0,0,1,12))</f>
        <v>1.2295477158527153</v>
      </c>
      <c r="AG21">
        <f ca="1">PRODUCT(OFFSET(AG16,0,0,1,12))</f>
        <v>1.1952686181104197</v>
      </c>
      <c r="AH21">
        <f ca="1">PRODUCT(OFFSET(AH16,0,0,1,12))</f>
        <v>1.3307248282218811</v>
      </c>
      <c r="AI21">
        <f ca="1">PRODUCT(OFFSET(AI16,0,0,1,12))</f>
        <v>1.1928051014085967</v>
      </c>
      <c r="AJ21">
        <f ca="1">PRODUCT(OFFSET(AJ16,0,0,1,12))</f>
        <v>0.99496106369048409</v>
      </c>
      <c r="AK21">
        <f ca="1">PRODUCT(OFFSET(AK16,0,0,1,12))</f>
        <v>0.95119680087879177</v>
      </c>
      <c r="AL21">
        <f ca="1">PRODUCT(OFFSET(AL16,0,0,1,12))</f>
        <v>0.96517272827606759</v>
      </c>
      <c r="AM21">
        <f ca="1">PRODUCT(OFFSET(AM16,0,0,1,12))</f>
        <v>0.92691137917484956</v>
      </c>
      <c r="AN21">
        <f ca="1">PRODUCT(OFFSET(AN16,0,0,1,12))</f>
        <v>1.0104447855504848</v>
      </c>
      <c r="AO21">
        <f ca="1">PRODUCT(OFFSET(AO16,0,0,1,12))</f>
        <v>1.1980986446194917</v>
      </c>
      <c r="AP21">
        <f ca="1">PRODUCT(OFFSET(AP16,0,0,1,12))</f>
        <v>1.1302552393460621</v>
      </c>
      <c r="AQ21">
        <f ca="1">PRODUCT(OFFSET(AQ16,0,0,1,12))</f>
        <v>1.0494923771960347</v>
      </c>
      <c r="AR21">
        <f ca="1">PRODUCT(OFFSET(AR16,0,0,1,12))</f>
        <v>0.99637538294745331</v>
      </c>
      <c r="AS21">
        <f ca="1">PRODUCT(OFFSET(AS16,0,0,1,12))</f>
        <v>0.96110511072318261</v>
      </c>
      <c r="AT21">
        <f ca="1">PRODUCT(OFFSET(AT16,0,0,1,12))</f>
        <v>0.85927916488833611</v>
      </c>
      <c r="AU21">
        <f ca="1">PRODUCT(OFFSET(AU16,0,0,1,12))</f>
        <v>0.99242087346963159</v>
      </c>
      <c r="AV21">
        <f ca="1">PRODUCT(OFFSET(AV16,0,0,1,12))</f>
        <v>1.1792580429039827</v>
      </c>
      <c r="AW21">
        <f ca="1">PRODUCT(OFFSET(AW16,0,0,1,12))</f>
        <v>1.0739073529745966</v>
      </c>
      <c r="AX21">
        <f ca="1">PRODUCT(OFFSET(AX16,0,0,1,12))</f>
        <v>1.0873764346976846</v>
      </c>
      <c r="AY21">
        <f ca="1">PRODUCT(OFFSET(AY16,0,0,1,12))</f>
        <v>1.1710479432309389</v>
      </c>
      <c r="AZ21">
        <f ca="1">PRODUCT(OFFSET(AZ16,0,0,1,12))</f>
        <v>1.0853545220434742</v>
      </c>
      <c r="BA21">
        <f ca="1">PRODUCT(OFFSET(BA16,0,0,1,12))</f>
        <v>1.0240849791756568</v>
      </c>
      <c r="BB21">
        <f ca="1">PRODUCT(OFFSET(BB16,0,0,1,12))</f>
        <v>1.1066754953961349</v>
      </c>
      <c r="BC21">
        <f ca="1">PRODUCT(OFFSET(BC16,0,0,1,12))</f>
        <v>1.236132075466077</v>
      </c>
      <c r="BD21">
        <f ca="1">PRODUCT(OFFSET(BD16,0,0,1,12))</f>
        <v>1.3736080548630021</v>
      </c>
      <c r="BE21">
        <f ca="1">PRODUCT(OFFSET(BE16,0,0,1,12))</f>
        <v>1.2698592615051316</v>
      </c>
      <c r="BF21">
        <f ca="1">PRODUCT(OFFSET(BF16,0,0,1,12))</f>
        <v>1.3664818527427633</v>
      </c>
      <c r="BG21">
        <f ca="1">PRODUCT(OFFSET(BG16,0,0,1,12))</f>
        <v>1.2851394951434587</v>
      </c>
      <c r="BH21">
        <f ca="1">PRODUCT(OFFSET(BH16,0,0,1,12))</f>
        <v>1.2538532970047602</v>
      </c>
      <c r="BI21">
        <f ca="1">PRODUCT(OFFSET(BI16,0,0,1,12))</f>
        <v>1.2919679877751138</v>
      </c>
      <c r="BJ21">
        <f ca="1">PRODUCT(OFFSET(BJ16,0,0,1,12))</f>
        <v>1.3135337946645755</v>
      </c>
      <c r="BK21">
        <f ca="1">PRODUCT(OFFSET(BK16,0,0,1,12))</f>
        <v>1.216565158885996</v>
      </c>
      <c r="BL21">
        <f ca="1">PRODUCT(OFFSET(BL16,0,0,1,12))</f>
        <v>1.2545401413719233</v>
      </c>
      <c r="BM21">
        <f ca="1">PRODUCT(OFFSET(BM16,0,0,1,12))</f>
        <v>1.2951590496268113</v>
      </c>
      <c r="BN21">
        <f ca="1">PRODUCT(OFFSET(BN16,0,0,1,12))</f>
        <v>1.2859542710155827</v>
      </c>
      <c r="BO21">
        <f ca="1">PRODUCT(OFFSET(BO16,0,0,1,12))</f>
        <v>1.2245464062094706</v>
      </c>
      <c r="BP21">
        <f ca="1">PRODUCT(OFFSET(BP16,0,0,1,12))</f>
        <v>1.1984377134437272</v>
      </c>
      <c r="BQ21">
        <f ca="1">PRODUCT(OFFSET(BQ16,0,0,1,12))</f>
        <v>1.251423422165407</v>
      </c>
      <c r="BR21">
        <f ca="1">PRODUCT(OFFSET(BR16,0,0,1,12))</f>
        <v>1.2362642241617379</v>
      </c>
      <c r="BS21">
        <f ca="1">PRODUCT(OFFSET(BS16,0,0,1,12))</f>
        <v>1.2704946233688414</v>
      </c>
      <c r="BT21">
        <f ca="1">PRODUCT(OFFSET(BT16,0,0,1,12))</f>
        <v>1.2206901873459581</v>
      </c>
      <c r="BU21">
        <f ca="1">PRODUCT(OFFSET(BU16,0,0,1,12))</f>
        <v>1.2298308269883891</v>
      </c>
      <c r="BV21">
        <f ca="1">PRODUCT(OFFSET(BV16,0,0,1,12))</f>
        <v>1.1949250250402903</v>
      </c>
      <c r="BW21">
        <f ca="1">PRODUCT(OFFSET(BW16,0,0,1,12))</f>
        <v>1.1506244233308631</v>
      </c>
      <c r="BX21">
        <f ca="1">PRODUCT(OFFSET(BX16,0,0,1,12))</f>
        <v>1.1353377092767485</v>
      </c>
      <c r="BY21">
        <f ca="1">PRODUCT(OFFSET(BY16,0,0,1,12))</f>
        <v>1.1363097655567489</v>
      </c>
      <c r="BZ21">
        <f ca="1">PRODUCT(OFFSET(BZ16,0,0,1,12))</f>
        <v>1.1424287355814076</v>
      </c>
      <c r="CA21">
        <f ca="1">PRODUCT(OFFSET(CA16,0,0,1,12))</f>
        <v>1.2064028185166034</v>
      </c>
      <c r="CB21">
        <f ca="1">PRODUCT(OFFSET(CB16,0,0,1,12))</f>
        <v>1.1747282350060895</v>
      </c>
      <c r="CC21">
        <f ca="1">PRODUCT(OFFSET(CC16,0,0,1,12))</f>
        <v>1.185422046796055</v>
      </c>
      <c r="CD21">
        <f ca="1">PRODUCT(OFFSET(CD16,0,0,1,12))</f>
        <v>1.1156538876431639</v>
      </c>
      <c r="CE21">
        <f ca="1">PRODUCT(OFFSET(CE16,0,0,1,12))</f>
        <v>1.0642332477613594</v>
      </c>
      <c r="CF21">
        <f ca="1">PRODUCT(OFFSET(CF16,0,0,1,12))</f>
        <v>1.082689447925913</v>
      </c>
      <c r="CG21">
        <f ca="1">PRODUCT(OFFSET(CG16,0,0,1,12))</f>
        <v>1.1035135785412287</v>
      </c>
      <c r="CH21">
        <f ca="1">PRODUCT(OFFSET(CH16,0,0,1,12))</f>
        <v>1.1076453176548431</v>
      </c>
      <c r="CI21">
        <f ca="1">PRODUCT(OFFSET(CI16,0,0,1,12))</f>
        <v>1.1448387652300034</v>
      </c>
      <c r="CJ21">
        <f ca="1">PRODUCT(OFFSET(CJ16,0,0,1,12))</f>
        <v>1.0856188894861205</v>
      </c>
      <c r="CK21">
        <f ca="1">PRODUCT(OFFSET(CK16,0,0,1,12))</f>
        <v>1.034569155940799</v>
      </c>
      <c r="CL21">
        <f ca="1">PRODUCT(OFFSET(CL16,0,0,1,12))</f>
        <v>1.0663609422949318</v>
      </c>
      <c r="CM21">
        <f ca="1">PRODUCT(OFFSET(CM16,0,0,1,12))</f>
        <v>1.0349320362434158</v>
      </c>
      <c r="CN21">
        <f ca="1">PRODUCT(OFFSET(CN16,0,0,1,12))</f>
        <v>0.99885410205741521</v>
      </c>
      <c r="CO21">
        <f ca="1">PRODUCT(OFFSET(CO16,0,0,1,12))</f>
        <v>1.0012065837744497</v>
      </c>
      <c r="CP21">
        <f ca="1">PRODUCT(OFFSET(CP16,0,0,1,12))</f>
        <v>1.0636934094733899</v>
      </c>
      <c r="CQ21">
        <f ca="1">PRODUCT(OFFSET(CQ16,0,0,1,12))</f>
        <v>1.0631418887472581</v>
      </c>
      <c r="CR21">
        <f ca="1">PRODUCT(OFFSET(CR16,0,0,1,12))</f>
        <v>1.0327609242165796</v>
      </c>
      <c r="CS21">
        <f ca="1">PRODUCT(OFFSET(CS16,0,0,1,12))</f>
        <v>0.99281422255433338</v>
      </c>
      <c r="CT21">
        <f ca="1">PRODUCT(OFFSET(CT16,0,0,1,12))</f>
        <v>1.0189416905050317</v>
      </c>
      <c r="CU21">
        <f ca="1">PRODUCT(OFFSET(CU16,0,0,1,12))</f>
        <v>1.0455824588508069</v>
      </c>
      <c r="CV21">
        <f ca="1">PRODUCT(OFFSET(CV16,0,0,1,12))</f>
        <v>1.0605950849168169</v>
      </c>
      <c r="CW21">
        <f ca="1">PRODUCT(OFFSET(CW16,0,0,1,12))</f>
        <v>1.0382641064772931</v>
      </c>
      <c r="CX21">
        <f ca="1">PRODUCT(OFFSET(CX16,0,0,1,12))</f>
        <v>0.96787734617935717</v>
      </c>
      <c r="CY21">
        <f ca="1">PRODUCT(OFFSET(CY16,0,0,1,12))</f>
        <v>0.96308063829984714</v>
      </c>
      <c r="CZ21">
        <f ca="1">PRODUCT(OFFSET(CZ16,0,0,1,12))</f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ca="1">PRODUCT(OFFSET(F17,0,0,1,12))</f>
        <v>0.74199736108341185</v>
      </c>
      <c r="G22">
        <f ca="1">PRODUCT(OFFSET(G17,0,0,1,12))</f>
        <v>0.83776768978121363</v>
      </c>
      <c r="H22">
        <f ca="1">PRODUCT(OFFSET(H17,0,0,1,12))</f>
        <v>0.79677011592371205</v>
      </c>
      <c r="I22">
        <f ca="1">PRODUCT(OFFSET(I17,0,0,1,12))</f>
        <v>0.83312681676885247</v>
      </c>
      <c r="J22">
        <f ca="1">PRODUCT(OFFSET(J17,0,0,1,12))</f>
        <v>0.95950001140981822</v>
      </c>
      <c r="K22">
        <f ca="1">PRODUCT(OFFSET(K17,0,0,1,12))</f>
        <v>1.0779578000303669</v>
      </c>
      <c r="L22">
        <f ca="1">PRODUCT(OFFSET(L17,0,0,1,12))</f>
        <v>1.1173467842064992</v>
      </c>
      <c r="M22">
        <f ca="1">PRODUCT(OFFSET(M17,0,0,1,12))</f>
        <v>1.6001575911010115</v>
      </c>
      <c r="N22">
        <f ca="1">PRODUCT(OFFSET(N17,0,0,1,12))</f>
        <v>1.5595227577867687</v>
      </c>
      <c r="O22">
        <f ca="1">PRODUCT(OFFSET(O17,0,0,1,12))</f>
        <v>1.5504823570709028</v>
      </c>
      <c r="P22">
        <f ca="1">PRODUCT(OFFSET(P17,0,0,1,12))</f>
        <v>1.3294549670888327</v>
      </c>
      <c r="Q22">
        <f ca="1">PRODUCT(OFFSET(Q17,0,0,1,12))</f>
        <v>1.4618829875178498</v>
      </c>
      <c r="R22">
        <f ca="1">PRODUCT(OFFSET(R17,0,0,1,12))</f>
        <v>1.3017431227245768</v>
      </c>
      <c r="S22">
        <f ca="1">PRODUCT(OFFSET(S17,0,0,1,12))</f>
        <v>1.072890198492962</v>
      </c>
      <c r="T22">
        <f ca="1">PRODUCT(OFFSET(T17,0,0,1,12))</f>
        <v>1.01629466487359</v>
      </c>
      <c r="U22">
        <f ca="1">PRODUCT(OFFSET(U17,0,0,1,12))</f>
        <v>1.0989862026235191</v>
      </c>
      <c r="V22">
        <f ca="1">PRODUCT(OFFSET(V17,0,0,1,12))</f>
        <v>1.0476301958068468</v>
      </c>
      <c r="W22">
        <f ca="1">PRODUCT(OFFSET(W17,0,0,1,12))</f>
        <v>1.0113914626511797</v>
      </c>
      <c r="X22">
        <f ca="1">PRODUCT(OFFSET(X17,0,0,1,12))</f>
        <v>1.081185593935404</v>
      </c>
      <c r="Y22">
        <f ca="1">PRODUCT(OFFSET(Y17,0,0,1,12))</f>
        <v>1.2216589720885391</v>
      </c>
      <c r="Z22">
        <f ca="1">PRODUCT(OFFSET(Z17,0,0,1,12))</f>
        <v>1.1965458176275388</v>
      </c>
      <c r="AA22">
        <f ca="1">PRODUCT(OFFSET(AA17,0,0,1,12))</f>
        <v>1.1529478824391342</v>
      </c>
      <c r="AB22">
        <f ca="1">PRODUCT(OFFSET(AB17,0,0,1,12))</f>
        <v>1.2258287190447004</v>
      </c>
      <c r="AC22">
        <f ca="1">PRODUCT(OFFSET(AC17,0,0,1,12))</f>
        <v>1.1509748260404427</v>
      </c>
      <c r="AD22">
        <f ca="1">PRODUCT(OFFSET(AD17,0,0,1,12))</f>
        <v>1.1416824378459618</v>
      </c>
      <c r="AE22">
        <f ca="1">PRODUCT(OFFSET(AE17,0,0,1,12))</f>
        <v>1.1525196218802203</v>
      </c>
      <c r="AF22">
        <f ca="1">PRODUCT(OFFSET(AF17,0,0,1,12))</f>
        <v>1.1941035693240813</v>
      </c>
      <c r="AG22">
        <f ca="1">PRODUCT(OFFSET(AG17,0,0,1,12))</f>
        <v>1.1550642618946592</v>
      </c>
      <c r="AH22">
        <f ca="1">PRODUCT(OFFSET(AH17,0,0,1,12))</f>
        <v>1.2530616247713002</v>
      </c>
      <c r="AI22">
        <f ca="1">PRODUCT(OFFSET(AI17,0,0,1,12))</f>
        <v>1.1423875001872388</v>
      </c>
      <c r="AJ22">
        <f ca="1">PRODUCT(OFFSET(AJ17,0,0,1,12))</f>
        <v>0.96048792355772283</v>
      </c>
      <c r="AK22">
        <f ca="1">PRODUCT(OFFSET(AK17,0,0,1,12))</f>
        <v>0.93405101047228845</v>
      </c>
      <c r="AL22">
        <f ca="1">PRODUCT(OFFSET(AL17,0,0,1,12))</f>
        <v>0.95368877472707625</v>
      </c>
      <c r="AM22">
        <f ca="1">PRODUCT(OFFSET(AM17,0,0,1,12))</f>
        <v>0.96253420684813296</v>
      </c>
      <c r="AN22">
        <f ca="1">PRODUCT(OFFSET(AN17,0,0,1,12))</f>
        <v>1.0638052269576534</v>
      </c>
      <c r="AO22">
        <f ca="1">PRODUCT(OFFSET(AO17,0,0,1,12))</f>
        <v>1.2121199036780326</v>
      </c>
      <c r="AP22">
        <f ca="1">PRODUCT(OFFSET(AP17,0,0,1,12))</f>
        <v>1.1304300077326837</v>
      </c>
      <c r="AQ22">
        <f ca="1">PRODUCT(OFFSET(AQ17,0,0,1,12))</f>
        <v>1.061659845439344</v>
      </c>
      <c r="AR22">
        <f ca="1">PRODUCT(OFFSET(AR17,0,0,1,12))</f>
        <v>1.0055559341597911</v>
      </c>
      <c r="AS22">
        <f ca="1">PRODUCT(OFFSET(AS17,0,0,1,12))</f>
        <v>0.99239790975805886</v>
      </c>
      <c r="AT22">
        <f ca="1">PRODUCT(OFFSET(AT17,0,0,1,12))</f>
        <v>0.89743844962167618</v>
      </c>
      <c r="AU22">
        <f ca="1">PRODUCT(OFFSET(AU17,0,0,1,12))</f>
        <v>1.0256012663507028</v>
      </c>
      <c r="AV22">
        <f ca="1">PRODUCT(OFFSET(AV17,0,0,1,12))</f>
        <v>1.2178414301156537</v>
      </c>
      <c r="AW22">
        <f ca="1">PRODUCT(OFFSET(AW17,0,0,1,12))</f>
        <v>1.1373956944981545</v>
      </c>
      <c r="AX22">
        <f ca="1">PRODUCT(OFFSET(AX17,0,0,1,12))</f>
        <v>1.1747922372369355</v>
      </c>
      <c r="AY22">
        <f ca="1">PRODUCT(OFFSET(AY17,0,0,1,12))</f>
        <v>1.1859809139209139</v>
      </c>
      <c r="AZ22">
        <f ca="1">PRODUCT(OFFSET(AZ17,0,0,1,12))</f>
        <v>1.1081706327126657</v>
      </c>
      <c r="BA22">
        <f ca="1">PRODUCT(OFFSET(BA17,0,0,1,12))</f>
        <v>1.0807133879970863</v>
      </c>
      <c r="BB22">
        <f ca="1">PRODUCT(OFFSET(BB17,0,0,1,12))</f>
        <v>1.1820167615004811</v>
      </c>
      <c r="BC22">
        <f ca="1">PRODUCT(OFFSET(BC17,0,0,1,12))</f>
        <v>1.2986299763882598</v>
      </c>
      <c r="BD22">
        <f ca="1">PRODUCT(OFFSET(BD17,0,0,1,12))</f>
        <v>1.4222567738810792</v>
      </c>
      <c r="BE22">
        <f ca="1">PRODUCT(OFFSET(BE17,0,0,1,12))</f>
        <v>1.3218004263301015</v>
      </c>
      <c r="BF22">
        <f ca="1">PRODUCT(OFFSET(BF17,0,0,1,12))</f>
        <v>1.4109746328691015</v>
      </c>
      <c r="BG22">
        <f ca="1">PRODUCT(OFFSET(BG17,0,0,1,12))</f>
        <v>1.3289188803384868</v>
      </c>
      <c r="BH22">
        <f ca="1">PRODUCT(OFFSET(BH17,0,0,1,12))</f>
        <v>1.2816280697591458</v>
      </c>
      <c r="BI22">
        <f ca="1">PRODUCT(OFFSET(BI17,0,0,1,12))</f>
        <v>1.2920815529968919</v>
      </c>
      <c r="BJ22">
        <f ca="1">PRODUCT(OFFSET(BJ17,0,0,1,12))</f>
        <v>1.2739096227462989</v>
      </c>
      <c r="BK22">
        <f ca="1">PRODUCT(OFFSET(BK17,0,0,1,12))</f>
        <v>1.1730530920239879</v>
      </c>
      <c r="BL22">
        <f ca="1">PRODUCT(OFFSET(BL17,0,0,1,12))</f>
        <v>1.1469409750884987</v>
      </c>
      <c r="BM22">
        <f ca="1">PRODUCT(OFFSET(BM17,0,0,1,12))</f>
        <v>1.1962368878335687</v>
      </c>
      <c r="BN22">
        <f ca="1">PRODUCT(OFFSET(BN17,0,0,1,12))</f>
        <v>1.1891731049280849</v>
      </c>
      <c r="BO22">
        <f ca="1">PRODUCT(OFFSET(BO17,0,0,1,12))</f>
        <v>1.1464167123927278</v>
      </c>
      <c r="BP22">
        <f ca="1">PRODUCT(OFFSET(BP17,0,0,1,12))</f>
        <v>1.1325233107577006</v>
      </c>
      <c r="BQ22">
        <f ca="1">PRODUCT(OFFSET(BQ17,0,0,1,12))</f>
        <v>1.2292442632696716</v>
      </c>
      <c r="BR22">
        <f ca="1">PRODUCT(OFFSET(BR17,0,0,1,12))</f>
        <v>1.240996012861074</v>
      </c>
      <c r="BS22">
        <f ca="1">PRODUCT(OFFSET(BS17,0,0,1,12))</f>
        <v>1.2899481437742424</v>
      </c>
      <c r="BT22">
        <f ca="1">PRODUCT(OFFSET(BT17,0,0,1,12))</f>
        <v>1.2519220055552323</v>
      </c>
      <c r="BU22">
        <f ca="1">PRODUCT(OFFSET(BU17,0,0,1,12))</f>
        <v>1.2560273942849407</v>
      </c>
      <c r="BV22">
        <f ca="1">PRODUCT(OFFSET(BV17,0,0,1,12))</f>
        <v>1.2298270233244897</v>
      </c>
      <c r="BW22">
        <f ca="1">PRODUCT(OFFSET(BW17,0,0,1,12))</f>
        <v>1.2189569913532468</v>
      </c>
      <c r="BX22">
        <f ca="1">PRODUCT(OFFSET(BX17,0,0,1,12))</f>
        <v>1.2316047039085982</v>
      </c>
      <c r="BY22">
        <f ca="1">PRODUCT(OFFSET(BY17,0,0,1,12))</f>
        <v>1.2315138624330957</v>
      </c>
      <c r="BZ22">
        <f ca="1">PRODUCT(OFFSET(BZ17,0,0,1,12))</f>
        <v>1.2186724804988716</v>
      </c>
      <c r="CA22">
        <f ca="1">PRODUCT(OFFSET(CA17,0,0,1,12))</f>
        <v>1.2867680741012137</v>
      </c>
      <c r="CB22">
        <f ca="1">PRODUCT(OFFSET(CB17,0,0,1,12))</f>
        <v>1.2823587283072988</v>
      </c>
      <c r="CC22">
        <f ca="1">PRODUCT(OFFSET(CC17,0,0,1,12))</f>
        <v>1.2497362639371357</v>
      </c>
      <c r="CD22">
        <f ca="1">PRODUCT(OFFSET(CD17,0,0,1,12))</f>
        <v>1.1720267928430872</v>
      </c>
      <c r="CE22">
        <f ca="1">PRODUCT(OFFSET(CE17,0,0,1,12))</f>
        <v>1.0998624891380278</v>
      </c>
      <c r="CF22">
        <f ca="1">PRODUCT(OFFSET(CF17,0,0,1,12))</f>
        <v>1.119577572526582</v>
      </c>
      <c r="CG22">
        <f ca="1">PRODUCT(OFFSET(CG17,0,0,1,12))</f>
        <v>1.1251534490856161</v>
      </c>
      <c r="CH22">
        <f ca="1">PRODUCT(OFFSET(CH17,0,0,1,12))</f>
        <v>1.1173765497649777</v>
      </c>
      <c r="CI22">
        <f ca="1">PRODUCT(OFFSET(CI17,0,0,1,12))</f>
        <v>1.1388464956772013</v>
      </c>
      <c r="CJ22">
        <f ca="1">PRODUCT(OFFSET(CJ17,0,0,1,12))</f>
        <v>1.0724196865920461</v>
      </c>
      <c r="CK22">
        <f ca="1">PRODUCT(OFFSET(CK17,0,0,1,12))</f>
        <v>1.0228982937177615</v>
      </c>
      <c r="CL22">
        <f ca="1">PRODUCT(OFFSET(CL17,0,0,1,12))</f>
        <v>1.0689511345426694</v>
      </c>
      <c r="CM22">
        <f ca="1">PRODUCT(OFFSET(CM17,0,0,1,12))</f>
        <v>1.0372181745798164</v>
      </c>
      <c r="CN22">
        <f ca="1">PRODUCT(OFFSET(CN17,0,0,1,12))</f>
        <v>0.96834848922212124</v>
      </c>
      <c r="CO22">
        <f ca="1">PRODUCT(OFFSET(CO17,0,0,1,12))</f>
        <v>0.94442713036286208</v>
      </c>
      <c r="CP22">
        <f ca="1">PRODUCT(OFFSET(CP17,0,0,1,12))</f>
        <v>0.99331923759191421</v>
      </c>
      <c r="CQ22">
        <f ca="1">PRODUCT(OFFSET(CQ17,0,0,1,12))</f>
        <v>1.0193051745344555</v>
      </c>
      <c r="CR22">
        <f ca="1">PRODUCT(OFFSET(CR17,0,0,1,12))</f>
        <v>0.9958616725529732</v>
      </c>
      <c r="CS22">
        <f ca="1">PRODUCT(OFFSET(CS17,0,0,1,12))</f>
        <v>0.98262058561210675</v>
      </c>
      <c r="CT22">
        <f ca="1">PRODUCT(OFFSET(CT17,0,0,1,12))</f>
        <v>1.0183548564823532</v>
      </c>
      <c r="CU22">
        <f ca="1">PRODUCT(OFFSET(CU17,0,0,1,12))</f>
        <v>1.0468790539377859</v>
      </c>
      <c r="CV22">
        <f ca="1">PRODUCT(OFFSET(CV17,0,0,1,12))</f>
        <v>1.099224840379744</v>
      </c>
      <c r="CW22">
        <f ca="1">PRODUCT(OFFSET(CW17,0,0,1,12))</f>
        <v>1.0907104131093239</v>
      </c>
      <c r="CX22">
        <f ca="1">PRODUCT(OFFSET(CX17,0,0,1,12))</f>
        <v>1.0176802940950562</v>
      </c>
      <c r="CY22">
        <f ca="1">PRODUCT(OFFSET(CY17,0,0,1,12))</f>
        <v>1.0125303828966128</v>
      </c>
      <c r="CZ22">
        <f ca="1">PRODUCT(OFFSET(CZ17,0,0,1,12))</f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ca="1">PRODUCT(OFFSET(F18,0,0,1,12))</f>
        <v>0.72939129328687169</v>
      </c>
      <c r="G23">
        <f ca="1">PRODUCT(OFFSET(G18,0,0,1,12))</f>
        <v>0.82408990794193349</v>
      </c>
      <c r="H23">
        <f ca="1">PRODUCT(OFFSET(H18,0,0,1,12))</f>
        <v>0.78447082004112201</v>
      </c>
      <c r="I23">
        <f ca="1">PRODUCT(OFFSET(I18,0,0,1,12))</f>
        <v>0.81296485263357487</v>
      </c>
      <c r="J23">
        <f ca="1">PRODUCT(OFFSET(J18,0,0,1,12))</f>
        <v>0.91950926646601649</v>
      </c>
      <c r="K23">
        <f ca="1">PRODUCT(OFFSET(K18,0,0,1,12))</f>
        <v>1.0222580963633943</v>
      </c>
      <c r="L23">
        <f ca="1">PRODUCT(OFFSET(L18,0,0,1,12))</f>
        <v>1.0670579791496952</v>
      </c>
      <c r="M23">
        <f ca="1">PRODUCT(OFFSET(M18,0,0,1,12))</f>
        <v>1.5428491729480927</v>
      </c>
      <c r="N23">
        <f ca="1">PRODUCT(OFFSET(N18,0,0,1,12))</f>
        <v>1.5256667181781611</v>
      </c>
      <c r="O23">
        <f ca="1">PRODUCT(OFFSET(O18,0,0,1,12))</f>
        <v>1.5123699178922823</v>
      </c>
      <c r="P23">
        <f ca="1">PRODUCT(OFFSET(P18,0,0,1,12))</f>
        <v>1.3086727647790688</v>
      </c>
      <c r="Q23">
        <f ca="1">PRODUCT(OFFSET(Q18,0,0,1,12))</f>
        <v>1.4100375291276723</v>
      </c>
      <c r="R23">
        <f ca="1">PRODUCT(OFFSET(R18,0,0,1,12))</f>
        <v>1.2616183926707467</v>
      </c>
      <c r="S23">
        <f ca="1">PRODUCT(OFFSET(S18,0,0,1,12))</f>
        <v>1.0480597633206667</v>
      </c>
      <c r="T23">
        <f ca="1">PRODUCT(OFFSET(T18,0,0,1,12))</f>
        <v>0.98342391618399161</v>
      </c>
      <c r="U23">
        <f ca="1">PRODUCT(OFFSET(U18,0,0,1,12))</f>
        <v>1.0574582630254055</v>
      </c>
      <c r="V23">
        <f ca="1">PRODUCT(OFFSET(V18,0,0,1,12))</f>
        <v>1.0173239339292746</v>
      </c>
      <c r="W23">
        <f ca="1">PRODUCT(OFFSET(W18,0,0,1,12))</f>
        <v>0.99662024050503339</v>
      </c>
      <c r="X23">
        <f ca="1">PRODUCT(OFFSET(X18,0,0,1,12))</f>
        <v>1.0668522427528231</v>
      </c>
      <c r="Y23">
        <f ca="1">PRODUCT(OFFSET(Y18,0,0,1,12))</f>
        <v>1.1904751128012661</v>
      </c>
      <c r="Z23">
        <f ca="1">PRODUCT(OFFSET(Z18,0,0,1,12))</f>
        <v>1.1535621648740289</v>
      </c>
      <c r="AA23">
        <f ca="1">PRODUCT(OFFSET(AA18,0,0,1,12))</f>
        <v>1.1105218486871025</v>
      </c>
      <c r="AB23">
        <f ca="1">PRODUCT(OFFSET(AB18,0,0,1,12))</f>
        <v>1.2006031781931883</v>
      </c>
      <c r="AC23">
        <f ca="1">PRODUCT(OFFSET(AC18,0,0,1,12))</f>
        <v>1.1344347599421154</v>
      </c>
      <c r="AD23">
        <f ca="1">PRODUCT(OFFSET(AD18,0,0,1,12))</f>
        <v>1.1437005287958855</v>
      </c>
      <c r="AE23">
        <f ca="1">PRODUCT(OFFSET(AE18,0,0,1,12))</f>
        <v>1.1599601905382693</v>
      </c>
      <c r="AF23">
        <f ca="1">PRODUCT(OFFSET(AF18,0,0,1,12))</f>
        <v>1.195252639710265</v>
      </c>
      <c r="AG23">
        <f ca="1">PRODUCT(OFFSET(AG18,0,0,1,12))</f>
        <v>1.1631700795363251</v>
      </c>
      <c r="AH23">
        <f ca="1">PRODUCT(OFFSET(AH18,0,0,1,12))</f>
        <v>1.2454919396480564</v>
      </c>
      <c r="AI23">
        <f ca="1">PRODUCT(OFFSET(AI18,0,0,1,12))</f>
        <v>1.1241005064353109</v>
      </c>
      <c r="AJ23">
        <f ca="1">PRODUCT(OFFSET(AJ18,0,0,1,12))</f>
        <v>0.93572331338710379</v>
      </c>
      <c r="AK23">
        <f ca="1">PRODUCT(OFFSET(AK18,0,0,1,12))</f>
        <v>0.90859737807127972</v>
      </c>
      <c r="AL23">
        <f ca="1">PRODUCT(OFFSET(AL18,0,0,1,12))</f>
        <v>0.92966767039147336</v>
      </c>
      <c r="AM23">
        <f ca="1">PRODUCT(OFFSET(AM18,0,0,1,12))</f>
        <v>0.93227126702732299</v>
      </c>
      <c r="AN23">
        <f ca="1">PRODUCT(OFFSET(AN18,0,0,1,12))</f>
        <v>1.0064209014109993</v>
      </c>
      <c r="AO23">
        <f ca="1">PRODUCT(OFFSET(AO18,0,0,1,12))</f>
        <v>1.1420057119634808</v>
      </c>
      <c r="AP23">
        <f ca="1">PRODUCT(OFFSET(AP18,0,0,1,12))</f>
        <v>1.0476594647754309</v>
      </c>
      <c r="AQ23">
        <f ca="1">PRODUCT(OFFSET(AQ18,0,0,1,12))</f>
        <v>0.97298268590925185</v>
      </c>
      <c r="AR23">
        <f ca="1">PRODUCT(OFFSET(AR18,0,0,1,12))</f>
        <v>0.93371500987760281</v>
      </c>
      <c r="AS23">
        <f ca="1">PRODUCT(OFFSET(AS18,0,0,1,12))</f>
        <v>0.92808801656896955</v>
      </c>
      <c r="AT23">
        <f ca="1">PRODUCT(OFFSET(AT18,0,0,1,12))</f>
        <v>0.85167147468948912</v>
      </c>
      <c r="AU23">
        <f ca="1">PRODUCT(OFFSET(AU18,0,0,1,12))</f>
        <v>0.97293330070494644</v>
      </c>
      <c r="AV23">
        <f ca="1">PRODUCT(OFFSET(AV18,0,0,1,12))</f>
        <v>1.163526241794445</v>
      </c>
      <c r="AW23">
        <f ca="1">PRODUCT(OFFSET(AW18,0,0,1,12))</f>
        <v>1.0993826404499656</v>
      </c>
      <c r="AX23">
        <f ca="1">PRODUCT(OFFSET(AX18,0,0,1,12))</f>
        <v>1.15148811571404</v>
      </c>
      <c r="AY23">
        <f ca="1">PRODUCT(OFFSET(AY18,0,0,1,12))</f>
        <v>1.1624486770361617</v>
      </c>
      <c r="AZ23">
        <f ca="1">PRODUCT(OFFSET(AZ18,0,0,1,12))</f>
        <v>1.098847008812089</v>
      </c>
      <c r="BA23">
        <f ca="1">PRODUCT(OFFSET(BA18,0,0,1,12))</f>
        <v>1.0633678323865241</v>
      </c>
      <c r="BB23">
        <f ca="1">PRODUCT(OFFSET(BB18,0,0,1,12))</f>
        <v>1.1677691678282245</v>
      </c>
      <c r="BC23">
        <f ca="1">PRODUCT(OFFSET(BC18,0,0,1,12))</f>
        <v>1.318839442961546</v>
      </c>
      <c r="BD23">
        <f ca="1">PRODUCT(OFFSET(BD18,0,0,1,12))</f>
        <v>1.4262862832933543</v>
      </c>
      <c r="BE23">
        <f ca="1">PRODUCT(OFFSET(BE18,0,0,1,12))</f>
        <v>1.3223568150878704</v>
      </c>
      <c r="BF23">
        <f ca="1">PRODUCT(OFFSET(BF18,0,0,1,12))</f>
        <v>1.4009343240635881</v>
      </c>
      <c r="BG23">
        <f ca="1">PRODUCT(OFFSET(BG18,0,0,1,12))</f>
        <v>1.3259185613224871</v>
      </c>
      <c r="BH23">
        <f ca="1">PRODUCT(OFFSET(BH18,0,0,1,12))</f>
        <v>1.2876894714622449</v>
      </c>
      <c r="BI23">
        <f ca="1">PRODUCT(OFFSET(BI18,0,0,1,12))</f>
        <v>1.2893358593425259</v>
      </c>
      <c r="BJ23">
        <f ca="1">PRODUCT(OFFSET(BJ18,0,0,1,12))</f>
        <v>1.2571292973071688</v>
      </c>
      <c r="BK23">
        <f ca="1">PRODUCT(OFFSET(BK18,0,0,1,12))</f>
        <v>1.1830879827012926</v>
      </c>
      <c r="BL23">
        <f ca="1">PRODUCT(OFFSET(BL18,0,0,1,12))</f>
        <v>1.1481746525731955</v>
      </c>
      <c r="BM23">
        <f ca="1">PRODUCT(OFFSET(BM18,0,0,1,12))</f>
        <v>1.1894501279384506</v>
      </c>
      <c r="BN23">
        <f ca="1">PRODUCT(OFFSET(BN18,0,0,1,12))</f>
        <v>1.1814952859600361</v>
      </c>
      <c r="BO23">
        <f ca="1">PRODUCT(OFFSET(BO18,0,0,1,12))</f>
        <v>1.117536107043664</v>
      </c>
      <c r="BP23">
        <f ca="1">PRODUCT(OFFSET(BP18,0,0,1,12))</f>
        <v>1.1041065315077643</v>
      </c>
      <c r="BQ23">
        <f ca="1">PRODUCT(OFFSET(BQ18,0,0,1,12))</f>
        <v>1.1839557528127573</v>
      </c>
      <c r="BR23">
        <f ca="1">PRODUCT(OFFSET(BR18,0,0,1,12))</f>
        <v>1.2225430603414527</v>
      </c>
      <c r="BS23">
        <f ca="1">PRODUCT(OFFSET(BS18,0,0,1,12))</f>
        <v>1.2824485615636303</v>
      </c>
      <c r="BT23">
        <f ca="1">PRODUCT(OFFSET(BT18,0,0,1,12))</f>
        <v>1.2338547213932398</v>
      </c>
      <c r="BU23">
        <f ca="1">PRODUCT(OFFSET(BU18,0,0,1,12))</f>
        <v>1.2063210477118937</v>
      </c>
      <c r="BV23">
        <f ca="1">PRODUCT(OFFSET(BV18,0,0,1,12))</f>
        <v>1.1923114828047647</v>
      </c>
      <c r="BW23">
        <f ca="1">PRODUCT(OFFSET(BW18,0,0,1,12))</f>
        <v>1.1728382496734013</v>
      </c>
      <c r="BX23">
        <f ca="1">PRODUCT(OFFSET(BX18,0,0,1,12))</f>
        <v>1.19138080327101</v>
      </c>
      <c r="BY23">
        <f ca="1">PRODUCT(OFFSET(BY18,0,0,1,12))</f>
        <v>1.2109137308009199</v>
      </c>
      <c r="BZ23">
        <f ca="1">PRODUCT(OFFSET(BZ18,0,0,1,12))</f>
        <v>1.1978174271679041</v>
      </c>
      <c r="CA23">
        <f ca="1">PRODUCT(OFFSET(CA18,0,0,1,12))</f>
        <v>1.2559253207193124</v>
      </c>
      <c r="CB23">
        <f ca="1">PRODUCT(OFFSET(CB18,0,0,1,12))</f>
        <v>1.2512656013846708</v>
      </c>
      <c r="CC23">
        <f ca="1">PRODUCT(OFFSET(CC18,0,0,1,12))</f>
        <v>1.2102385884156104</v>
      </c>
      <c r="CD23">
        <f ca="1">PRODUCT(OFFSET(CD18,0,0,1,12))</f>
        <v>1.1091083571215037</v>
      </c>
      <c r="CE23">
        <f ca="1">PRODUCT(OFFSET(CE18,0,0,1,12))</f>
        <v>1.0310237736016161</v>
      </c>
      <c r="CF23">
        <f ca="1">PRODUCT(OFFSET(CF18,0,0,1,12))</f>
        <v>1.0528629077489393</v>
      </c>
      <c r="CG23">
        <f ca="1">PRODUCT(OFFSET(CG18,0,0,1,12))</f>
        <v>1.080772356018179</v>
      </c>
      <c r="CH23">
        <f ca="1">PRODUCT(OFFSET(CH18,0,0,1,12))</f>
        <v>1.066980931019414</v>
      </c>
      <c r="CI23">
        <f ca="1">PRODUCT(OFFSET(CI18,0,0,1,12))</f>
        <v>1.0891815798906501</v>
      </c>
      <c r="CJ23">
        <f ca="1">PRODUCT(OFFSET(CJ18,0,0,1,12))</f>
        <v>1.0294609965586274</v>
      </c>
      <c r="CK23">
        <f ca="1">PRODUCT(OFFSET(CK18,0,0,1,12))</f>
        <v>0.98567612487320577</v>
      </c>
      <c r="CL23">
        <f ca="1">PRODUCT(OFFSET(CL18,0,0,1,12))</f>
        <v>1.024564515578277</v>
      </c>
      <c r="CM23">
        <f ca="1">PRODUCT(OFFSET(CM18,0,0,1,12))</f>
        <v>1.0061372105281567</v>
      </c>
      <c r="CN23">
        <f ca="1">PRODUCT(OFFSET(CN18,0,0,1,12))</f>
        <v>0.95388798696338895</v>
      </c>
      <c r="CO23">
        <f ca="1">PRODUCT(OFFSET(CO18,0,0,1,12))</f>
        <v>0.95078337787511091</v>
      </c>
      <c r="CP23">
        <f ca="1">PRODUCT(OFFSET(CP18,0,0,1,12))</f>
        <v>1.0073896308038059</v>
      </c>
      <c r="CQ23">
        <f ca="1">PRODUCT(OFFSET(CQ18,0,0,1,12))</f>
        <v>1.041934042435873</v>
      </c>
      <c r="CR23">
        <f ca="1">PRODUCT(OFFSET(CR18,0,0,1,12))</f>
        <v>1.0230792475306831</v>
      </c>
      <c r="CS23">
        <f ca="1">PRODUCT(OFFSET(CS18,0,0,1,12))</f>
        <v>1.0167326047478071</v>
      </c>
      <c r="CT23">
        <f ca="1">PRODUCT(OFFSET(CT18,0,0,1,12))</f>
        <v>1.0537171054939873</v>
      </c>
      <c r="CU23">
        <f ca="1">PRODUCT(OFFSET(CU18,0,0,1,12))</f>
        <v>1.084967434341241</v>
      </c>
      <c r="CV23">
        <f ca="1">PRODUCT(OFFSET(CV18,0,0,1,12))</f>
        <v>1.1396692937245005</v>
      </c>
      <c r="CW23">
        <f ca="1">PRODUCT(OFFSET(CW18,0,0,1,12))</f>
        <v>1.120352497349832</v>
      </c>
      <c r="CX23">
        <f ca="1">PRODUCT(OFFSET(CX18,0,0,1,12))</f>
        <v>1.0588016821379329</v>
      </c>
      <c r="CY23">
        <f ca="1">PRODUCT(OFFSET(CY18,0,0,1,12))</f>
        <v>1.041595584564504</v>
      </c>
      <c r="CZ23">
        <f ca="1">PRODUCT(OFFSET(CZ18,0,0,1,12))</f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ca="1">PRODUCT(OFFSET(F19,0,0,1,12))</f>
        <v>0.72475487051552878</v>
      </c>
      <c r="G24">
        <f ca="1">PRODUCT(OFFSET(G19,0,0,1,12))</f>
        <v>0.83288033760762392</v>
      </c>
      <c r="H24">
        <f ca="1">PRODUCT(OFFSET(H19,0,0,1,12))</f>
        <v>0.80093969960964106</v>
      </c>
      <c r="I24">
        <f ca="1">PRODUCT(OFFSET(I19,0,0,1,12))</f>
        <v>0.82577202194826982</v>
      </c>
      <c r="J24">
        <f ca="1">PRODUCT(OFFSET(J19,0,0,1,12))</f>
        <v>0.93560947507907166</v>
      </c>
      <c r="K24">
        <f ca="1">PRODUCT(OFFSET(K19,0,0,1,12))</f>
        <v>1.0224749589432436</v>
      </c>
      <c r="L24">
        <f ca="1">PRODUCT(OFFSET(L19,0,0,1,12))</f>
        <v>1.0786971781170094</v>
      </c>
      <c r="M24">
        <f ca="1">PRODUCT(OFFSET(M19,0,0,1,12))</f>
        <v>1.5517295692540236</v>
      </c>
      <c r="N24">
        <f ca="1">PRODUCT(OFFSET(N19,0,0,1,12))</f>
        <v>1.5207844808618975</v>
      </c>
      <c r="O24">
        <f ca="1">PRODUCT(OFFSET(O19,0,0,1,12))</f>
        <v>1.5197334389694395</v>
      </c>
      <c r="P24">
        <f ca="1">PRODUCT(OFFSET(P19,0,0,1,12))</f>
        <v>1.3297222801755757</v>
      </c>
      <c r="Q24">
        <f ca="1">PRODUCT(OFFSET(Q19,0,0,1,12))</f>
        <v>1.4336067607687668</v>
      </c>
      <c r="R24">
        <f ca="1">PRODUCT(OFFSET(R19,0,0,1,12))</f>
        <v>1.2783327226277006</v>
      </c>
      <c r="S24">
        <f ca="1">PRODUCT(OFFSET(S19,0,0,1,12))</f>
        <v>1.0527487144149339</v>
      </c>
      <c r="T24">
        <f ca="1">PRODUCT(OFFSET(T19,0,0,1,12))</f>
        <v>0.99446264423353581</v>
      </c>
      <c r="U24">
        <f ca="1">PRODUCT(OFFSET(U19,0,0,1,12))</f>
        <v>1.0732544413554765</v>
      </c>
      <c r="V24">
        <f ca="1">PRODUCT(OFFSET(V19,0,0,1,12))</f>
        <v>1.0301466084071669</v>
      </c>
      <c r="W24">
        <f ca="1">PRODUCT(OFFSET(W19,0,0,1,12))</f>
        <v>1.0118350807834382</v>
      </c>
      <c r="X24">
        <f ca="1">PRODUCT(OFFSET(X19,0,0,1,12))</f>
        <v>1.0802525272714194</v>
      </c>
      <c r="Y24">
        <f ca="1">PRODUCT(OFFSET(Y19,0,0,1,12))</f>
        <v>1.2017926982767013</v>
      </c>
      <c r="Z24">
        <f ca="1">PRODUCT(OFFSET(Z19,0,0,1,12))</f>
        <v>1.2069017380801124</v>
      </c>
      <c r="AA24">
        <f ca="1">PRODUCT(OFFSET(AA19,0,0,1,12))</f>
        <v>1.1581663133707807</v>
      </c>
      <c r="AB24">
        <f ca="1">PRODUCT(OFFSET(AB19,0,0,1,12))</f>
        <v>1.2299593257247763</v>
      </c>
      <c r="AC24">
        <f ca="1">PRODUCT(OFFSET(AC19,0,0,1,12))</f>
        <v>1.1576454372713521</v>
      </c>
      <c r="AD24">
        <f ca="1">PRODUCT(OFFSET(AD19,0,0,1,12))</f>
        <v>1.1694433113599407</v>
      </c>
      <c r="AE24">
        <f ca="1">PRODUCT(OFFSET(AE19,0,0,1,12))</f>
        <v>1.1913962397270794</v>
      </c>
      <c r="AF24">
        <f ca="1">PRODUCT(OFFSET(AF19,0,0,1,12))</f>
        <v>1.2252122199302802</v>
      </c>
      <c r="AG24">
        <f ca="1">PRODUCT(OFFSET(AG19,0,0,1,12))</f>
        <v>1.1857895177603652</v>
      </c>
      <c r="AH24">
        <f ca="1">PRODUCT(OFFSET(AH19,0,0,1,12))</f>
        <v>1.2672769148818279</v>
      </c>
      <c r="AI24">
        <f ca="1">PRODUCT(OFFSET(AI19,0,0,1,12))</f>
        <v>1.1381011770940412</v>
      </c>
      <c r="AJ24">
        <f ca="1">PRODUCT(OFFSET(AJ19,0,0,1,12))</f>
        <v>0.93719131605715911</v>
      </c>
      <c r="AK24">
        <f ca="1">PRODUCT(OFFSET(AK19,0,0,1,12))</f>
        <v>0.91713331180040403</v>
      </c>
      <c r="AL24">
        <f ca="1">PRODUCT(OFFSET(AL19,0,0,1,12))</f>
        <v>0.91270043278441326</v>
      </c>
      <c r="AM24">
        <f ca="1">PRODUCT(OFFSET(AM19,0,0,1,12))</f>
        <v>0.90834830911762487</v>
      </c>
      <c r="AN24">
        <f ca="1">PRODUCT(OFFSET(AN19,0,0,1,12))</f>
        <v>0.98755050254856924</v>
      </c>
      <c r="AO24">
        <f ca="1">PRODUCT(OFFSET(AO19,0,0,1,12))</f>
        <v>1.1182274650041109</v>
      </c>
      <c r="AP24">
        <f ca="1">PRODUCT(OFFSET(AP19,0,0,1,12))</f>
        <v>1.0261200261949648</v>
      </c>
      <c r="AQ24">
        <f ca="1">PRODUCT(OFFSET(AQ19,0,0,1,12))</f>
        <v>0.9508829134064789</v>
      </c>
      <c r="AR24">
        <f ca="1">PRODUCT(OFFSET(AR19,0,0,1,12))</f>
        <v>0.90549977159259687</v>
      </c>
      <c r="AS24">
        <f ca="1">PRODUCT(OFFSET(AS19,0,0,1,12))</f>
        <v>0.91065256729792399</v>
      </c>
      <c r="AT24">
        <f ca="1">PRODUCT(OFFSET(AT19,0,0,1,12))</f>
        <v>0.8356904364840213</v>
      </c>
      <c r="AU24">
        <f ca="1">PRODUCT(OFFSET(AU19,0,0,1,12))</f>
        <v>0.96629026434929788</v>
      </c>
      <c r="AV24">
        <f ca="1">PRODUCT(OFFSET(AV19,0,0,1,12))</f>
        <v>1.1607547633365283</v>
      </c>
      <c r="AW24">
        <f ca="1">PRODUCT(OFFSET(AW19,0,0,1,12))</f>
        <v>1.0911806383981295</v>
      </c>
      <c r="AX24">
        <f ca="1">PRODUCT(OFFSET(AX19,0,0,1,12))</f>
        <v>1.1370049481991249</v>
      </c>
      <c r="AY24">
        <f ca="1">PRODUCT(OFFSET(AY19,0,0,1,12))</f>
        <v>1.143605329051953</v>
      </c>
      <c r="AZ24">
        <f ca="1">PRODUCT(OFFSET(AZ19,0,0,1,12))</f>
        <v>1.0842521808765428</v>
      </c>
      <c r="BA24">
        <f ca="1">PRODUCT(OFFSET(BA19,0,0,1,12))</f>
        <v>1.0541097049048243</v>
      </c>
      <c r="BB24">
        <f ca="1">PRODUCT(OFFSET(BB19,0,0,1,12))</f>
        <v>1.1498375332467985</v>
      </c>
      <c r="BC24">
        <f ca="1">PRODUCT(OFFSET(BC19,0,0,1,12))</f>
        <v>1.295109544700906</v>
      </c>
      <c r="BD24">
        <f ca="1">PRODUCT(OFFSET(BD19,0,0,1,12))</f>
        <v>1.4067998105607034</v>
      </c>
      <c r="BE24">
        <f ca="1">PRODUCT(OFFSET(BE19,0,0,1,12))</f>
        <v>1.2984248958098958</v>
      </c>
      <c r="BF24">
        <f ca="1">PRODUCT(OFFSET(BF19,0,0,1,12))</f>
        <v>1.3700679537537108</v>
      </c>
      <c r="BG24">
        <f ca="1">PRODUCT(OFFSET(BG19,0,0,1,12))</f>
        <v>1.2895279322305588</v>
      </c>
      <c r="BH24">
        <f ca="1">PRODUCT(OFFSET(BH19,0,0,1,12))</f>
        <v>1.2555894092030364</v>
      </c>
      <c r="BI24">
        <f ca="1">PRODUCT(OFFSET(BI19,0,0,1,12))</f>
        <v>1.2638139982266152</v>
      </c>
      <c r="BJ24">
        <f ca="1">PRODUCT(OFFSET(BJ19,0,0,1,12))</f>
        <v>1.233222659796853</v>
      </c>
      <c r="BK24">
        <f ca="1">PRODUCT(OFFSET(BK19,0,0,1,12))</f>
        <v>1.17187380640508</v>
      </c>
      <c r="BL24">
        <f ca="1">PRODUCT(OFFSET(BL19,0,0,1,12))</f>
        <v>1.1374379966068879</v>
      </c>
      <c r="BM24">
        <f ca="1">PRODUCT(OFFSET(BM19,0,0,1,12))</f>
        <v>1.173592212548793</v>
      </c>
      <c r="BN24">
        <f ca="1">PRODUCT(OFFSET(BN19,0,0,1,12))</f>
        <v>1.1594231351895914</v>
      </c>
      <c r="BO24">
        <f ca="1">PRODUCT(OFFSET(BO19,0,0,1,12))</f>
        <v>1.1032072365877243</v>
      </c>
      <c r="BP24">
        <f ca="1">PRODUCT(OFFSET(BP19,0,0,1,12))</f>
        <v>1.0923278146209543</v>
      </c>
      <c r="BQ24">
        <f ca="1">PRODUCT(OFFSET(BQ19,0,0,1,12))</f>
        <v>1.1656378816312924</v>
      </c>
      <c r="BR24">
        <f ca="1">PRODUCT(OFFSET(BR19,0,0,1,12))</f>
        <v>1.1954225795439346</v>
      </c>
      <c r="BS24">
        <f ca="1">PRODUCT(OFFSET(BS19,0,0,1,12))</f>
        <v>1.2516853512851323</v>
      </c>
      <c r="BT24">
        <f ca="1">PRODUCT(OFFSET(BT19,0,0,1,12))</f>
        <v>1.2097191219570249</v>
      </c>
      <c r="BU24">
        <f ca="1">PRODUCT(OFFSET(BU19,0,0,1,12))</f>
        <v>1.1728950210975839</v>
      </c>
      <c r="BV24">
        <f ca="1">PRODUCT(OFFSET(BV19,0,0,1,12))</f>
        <v>1.1659997655658256</v>
      </c>
      <c r="BW24">
        <f ca="1">PRODUCT(OFFSET(BW19,0,0,1,12))</f>
        <v>1.1463046416258467</v>
      </c>
      <c r="BX24">
        <f ca="1">PRODUCT(OFFSET(BX19,0,0,1,12))</f>
        <v>1.174602427501618</v>
      </c>
      <c r="BY24">
        <f ca="1">PRODUCT(OFFSET(BY19,0,0,1,12))</f>
        <v>1.1886658205874716</v>
      </c>
      <c r="BZ24">
        <f ca="1">PRODUCT(OFFSET(BZ19,0,0,1,12))</f>
        <v>1.2005131587382685</v>
      </c>
      <c r="CA24">
        <f ca="1">PRODUCT(OFFSET(CA19,0,0,1,12))</f>
        <v>1.2607274555823165</v>
      </c>
      <c r="CB24">
        <f ca="1">PRODUCT(OFFSET(CB19,0,0,1,12))</f>
        <v>1.2565369397274537</v>
      </c>
      <c r="CC24">
        <f ca="1">PRODUCT(OFFSET(CC19,0,0,1,12))</f>
        <v>1.2271202223692326</v>
      </c>
      <c r="CD24">
        <f ca="1">PRODUCT(OFFSET(CD19,0,0,1,12))</f>
        <v>1.1232062082135992</v>
      </c>
      <c r="CE24">
        <f ca="1">PRODUCT(OFFSET(CE19,0,0,1,12))</f>
        <v>1.042398527994127</v>
      </c>
      <c r="CF24">
        <f ca="1">PRODUCT(OFFSET(CF19,0,0,1,12))</f>
        <v>1.0690651685577937</v>
      </c>
      <c r="CG24">
        <f ca="1">PRODUCT(OFFSET(CG19,0,0,1,12))</f>
        <v>1.0995213240694544</v>
      </c>
      <c r="CH24">
        <f ca="1">PRODUCT(OFFSET(CH19,0,0,1,12))</f>
        <v>1.0844044198499561</v>
      </c>
      <c r="CI24">
        <f ca="1">PRODUCT(OFFSET(CI19,0,0,1,12))</f>
        <v>1.1060927838099817</v>
      </c>
      <c r="CJ24">
        <f ca="1">PRODUCT(OFFSET(CJ19,0,0,1,12))</f>
        <v>1.0358567752631862</v>
      </c>
      <c r="CK24">
        <f ca="1">PRODUCT(OFFSET(CK19,0,0,1,12))</f>
        <v>1.0040098641150954</v>
      </c>
      <c r="CL24">
        <f ca="1">PRODUCT(OFFSET(CL19,0,0,1,12))</f>
        <v>1.0288302405812688</v>
      </c>
      <c r="CM24">
        <f ca="1">PRODUCT(OFFSET(CM19,0,0,1,12))</f>
        <v>1.0001040063450359</v>
      </c>
      <c r="CN24">
        <f ca="1">PRODUCT(OFFSET(CN19,0,0,1,12))</f>
        <v>0.95057411182989326</v>
      </c>
      <c r="CO24">
        <f ca="1">PRODUCT(OFFSET(CO19,0,0,1,12))</f>
        <v>0.94342568013036965</v>
      </c>
      <c r="CP24">
        <f ca="1">PRODUCT(OFFSET(CP19,0,0,1,12))</f>
        <v>1.0066672496403994</v>
      </c>
      <c r="CQ24">
        <f ca="1">PRODUCT(OFFSET(CQ19,0,0,1,12))</f>
        <v>1.0396624590172354</v>
      </c>
      <c r="CR24">
        <f ca="1">PRODUCT(OFFSET(CR19,0,0,1,12))</f>
        <v>1.0162510745297897</v>
      </c>
      <c r="CS24">
        <f ca="1">PRODUCT(OFFSET(CS19,0,0,1,12))</f>
        <v>1.0161089135408796</v>
      </c>
      <c r="CT24">
        <f ca="1">PRODUCT(OFFSET(CT19,0,0,1,12))</f>
        <v>1.0508075300155624</v>
      </c>
      <c r="CU24">
        <f ca="1">PRODUCT(OFFSET(CU19,0,0,1,12))</f>
        <v>1.0794061954627894</v>
      </c>
      <c r="CV24">
        <f ca="1">PRODUCT(OFFSET(CV19,0,0,1,12))</f>
        <v>1.134624500928497</v>
      </c>
      <c r="CW24">
        <f ca="1">PRODUCT(OFFSET(CW19,0,0,1,12))</f>
        <v>1.1099621277380869</v>
      </c>
      <c r="CX24">
        <f ca="1">PRODUCT(OFFSET(CX19,0,0,1,12))</f>
        <v>1.0537366663649717</v>
      </c>
      <c r="CY24">
        <f ca="1">PRODUCT(OFFSET(CY19,0,0,1,12))</f>
        <v>1.0420132033662126</v>
      </c>
      <c r="CZ24">
        <f ca="1">PRODUCT(OFFSET(CZ19,0,0,1,12))</f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4">F21-F20</f>
        <v>7.3043281485670186E-2</v>
      </c>
      <c r="G26" s="18">
        <f t="shared" ca="1" si="4"/>
        <v>0.15839176152288559</v>
      </c>
      <c r="H26" s="18">
        <f t="shared" ca="1" si="4"/>
        <v>0.13828115161401278</v>
      </c>
      <c r="I26" s="18">
        <f t="shared" ca="1" si="4"/>
        <v>9.6809577542300906E-2</v>
      </c>
      <c r="J26" s="18">
        <f t="shared" ca="1" si="4"/>
        <v>6.1048929504437632E-2</v>
      </c>
      <c r="K26" s="18">
        <f t="shared" ca="1" si="4"/>
        <v>9.6206191642878025E-2</v>
      </c>
      <c r="L26" s="18">
        <f t="shared" ca="1" si="4"/>
        <v>4.3791739250960138E-3</v>
      </c>
      <c r="M26" s="18">
        <f t="shared" ca="1" si="4"/>
        <v>0.26282455377030711</v>
      </c>
      <c r="N26" s="18">
        <f t="shared" ca="1" si="4"/>
        <v>0.2157209359600738</v>
      </c>
      <c r="O26" s="18">
        <f t="shared" ca="1" si="4"/>
        <v>0.17106411694342993</v>
      </c>
      <c r="P26" s="18">
        <f t="shared" ca="1" si="4"/>
        <v>6.7597049620715888E-2</v>
      </c>
      <c r="Q26" s="18">
        <f t="shared" ca="1" si="4"/>
        <v>8.9658891174992261E-2</v>
      </c>
      <c r="R26" s="18">
        <f t="shared" ca="1" si="4"/>
        <v>-3.3523965598162953E-2</v>
      </c>
      <c r="S26" s="18">
        <f t="shared" ca="1" si="4"/>
        <v>-0.17256622666962373</v>
      </c>
      <c r="T26" s="18">
        <f t="shared" ca="1" si="4"/>
        <v>-0.15873071094901903</v>
      </c>
      <c r="U26" s="18">
        <f t="shared" ca="1" si="4"/>
        <v>-0.11255472519935084</v>
      </c>
      <c r="V26" s="18">
        <f t="shared" ca="1" si="4"/>
        <v>-4.8246227991194601E-2</v>
      </c>
      <c r="W26" s="18">
        <f t="shared" ca="1" si="4"/>
        <v>-4.487184944117284E-2</v>
      </c>
      <c r="X26" s="18">
        <f t="shared" ca="1" si="4"/>
        <v>2.6258104532050242E-2</v>
      </c>
      <c r="Y26" s="18">
        <f t="shared" ca="1" si="4"/>
        <v>0.11150551013236343</v>
      </c>
      <c r="Z26" s="18">
        <f t="shared" ca="1" si="4"/>
        <v>3.6153969753482285E-2</v>
      </c>
      <c r="AA26" s="18">
        <f t="shared" ca="1" si="4"/>
        <v>-4.3112730485334261E-2</v>
      </c>
      <c r="AB26" s="18">
        <f t="shared" ca="1" si="4"/>
        <v>-4.8456146450714721E-2</v>
      </c>
      <c r="AC26" s="18">
        <f t="shared" ca="1" si="4"/>
        <v>-4.437935469415466E-2</v>
      </c>
      <c r="AD26" s="18">
        <f t="shared" ca="1" si="4"/>
        <v>-7.6734768159214317E-2</v>
      </c>
      <c r="AE26" s="18">
        <f t="shared" ca="1" si="4"/>
        <v>-7.3795207390440654E-2</v>
      </c>
      <c r="AF26" s="18">
        <f t="shared" ca="1" si="4"/>
        <v>-7.5841469219638524E-2</v>
      </c>
      <c r="AG26" s="18">
        <f t="shared" ca="1" si="4"/>
        <v>-4.1675602252416288E-2</v>
      </c>
      <c r="AH26" s="18">
        <f t="shared" ca="1" si="4"/>
        <v>0.11821211031222179</v>
      </c>
      <c r="AI26" s="18">
        <f t="shared" ca="1" si="4"/>
        <v>0.1139871412880975</v>
      </c>
      <c r="AJ26" s="18">
        <f t="shared" ca="1" si="4"/>
        <v>5.0044067305372586E-2</v>
      </c>
      <c r="AK26" s="18">
        <f t="shared" ca="1" si="4"/>
        <v>-6.2653805881876301E-2</v>
      </c>
      <c r="AL26" s="18">
        <f t="shared" ca="1" si="4"/>
        <v>-4.8371949111130075E-3</v>
      </c>
      <c r="AM26" s="18">
        <f t="shared" ca="1" si="4"/>
        <v>3.6740730710685621E-2</v>
      </c>
      <c r="AN26" s="18">
        <f t="shared" ca="1" si="4"/>
        <v>6.5495444332064667E-2</v>
      </c>
      <c r="AO26" s="18">
        <f t="shared" ca="1" si="4"/>
        <v>0.15120027922991808</v>
      </c>
      <c r="AP26" s="18">
        <f t="shared" ca="1" si="4"/>
        <v>0.17423872062009227</v>
      </c>
      <c r="AQ26" s="18">
        <f t="shared" ca="1" si="4"/>
        <v>0.14544833333462492</v>
      </c>
      <c r="AR26" s="18">
        <f t="shared" ca="1" si="4"/>
        <v>0.13593392985826169</v>
      </c>
      <c r="AS26" s="18">
        <f t="shared" ca="1" si="4"/>
        <v>7.8533193876813012E-2</v>
      </c>
      <c r="AT26" s="18">
        <f t="shared" ca="1" si="4"/>
        <v>-2.295465175418876E-2</v>
      </c>
      <c r="AU26" s="18">
        <f t="shared" ca="1" si="4"/>
        <v>-2.0881539687045647E-2</v>
      </c>
      <c r="AV26" s="18">
        <f t="shared" ca="1" si="4"/>
        <v>5.1232727163582403E-2</v>
      </c>
      <c r="AW26" s="18">
        <f t="shared" ca="1" si="4"/>
        <v>7.2320159478422852E-2</v>
      </c>
      <c r="AX26" s="18">
        <f t="shared" ca="1" si="4"/>
        <v>4.1157469712379768E-2</v>
      </c>
      <c r="AY26" s="18">
        <f t="shared" ca="1" si="4"/>
        <v>7.7217496398421348E-2</v>
      </c>
      <c r="AZ26" s="18">
        <f t="shared" ca="1" si="4"/>
        <v>8.2210012663632925E-2</v>
      </c>
      <c r="BA26" s="18">
        <f t="shared" ca="1" si="4"/>
        <v>2.5936967847002501E-2</v>
      </c>
      <c r="BB26" s="18">
        <f t="shared" ca="1" si="4"/>
        <v>0.11121860278228402</v>
      </c>
      <c r="BC26" s="18">
        <f t="shared" ca="1" si="4"/>
        <v>0.24523403864449866</v>
      </c>
      <c r="BD26" s="18">
        <f t="shared" ca="1" si="4"/>
        <v>0.28812795483425191</v>
      </c>
      <c r="BE26" s="18">
        <f t="shared" ca="1" si="4"/>
        <v>0.264837713617041</v>
      </c>
      <c r="BF26" s="18">
        <f t="shared" ca="1" si="4"/>
        <v>0.34945732020008302</v>
      </c>
      <c r="BG26" s="18">
        <f t="shared" ca="1" si="4"/>
        <v>0.27399059113741209</v>
      </c>
      <c r="BH26" s="18">
        <f t="shared" ca="1" si="4"/>
        <v>0.25347758503056927</v>
      </c>
      <c r="BI26" s="18">
        <f t="shared" ca="1" si="4"/>
        <v>0.23023875333686417</v>
      </c>
      <c r="BJ26" s="18">
        <f t="shared" ca="1" si="4"/>
        <v>0.25560529344878646</v>
      </c>
      <c r="BK26" s="18">
        <f t="shared" ca="1" si="4"/>
        <v>0.20940960444319301</v>
      </c>
      <c r="BL26" s="18">
        <f t="shared" ca="1" si="4"/>
        <v>0.26513679570386017</v>
      </c>
      <c r="BM26" s="18">
        <f t="shared" ca="1" si="4"/>
        <v>0.31810512880805586</v>
      </c>
      <c r="BN26" s="18">
        <f t="shared" ca="1" si="4"/>
        <v>0.2955707587031865</v>
      </c>
      <c r="BO26" s="18">
        <f t="shared" ca="1" si="4"/>
        <v>0.22564623054308419</v>
      </c>
      <c r="BP26" s="18">
        <f t="shared" ca="1" si="4"/>
        <v>0.20148111565756455</v>
      </c>
      <c r="BQ26" s="18">
        <f t="shared" ca="1" si="4"/>
        <v>0.17688442725310005</v>
      </c>
      <c r="BR26" s="18">
        <f t="shared" ref="BR26:CZ26" ca="1" si="5">BR21-BR20</f>
        <v>0.15157903113968541</v>
      </c>
      <c r="BS26" s="18">
        <f t="shared" ca="1" si="5"/>
        <v>0.19668702769617363</v>
      </c>
      <c r="BT26" s="18">
        <f t="shared" ca="1" si="5"/>
        <v>0.20910758178550637</v>
      </c>
      <c r="BU26" s="18">
        <f t="shared" ca="1" si="5"/>
        <v>0.26217422063103557</v>
      </c>
      <c r="BV26" s="18">
        <f t="shared" ca="1" si="5"/>
        <v>0.22626687073219232</v>
      </c>
      <c r="BW26" s="18">
        <f t="shared" ca="1" si="5"/>
        <v>0.19822950253179383</v>
      </c>
      <c r="BX26" s="18">
        <f t="shared" ca="1" si="5"/>
        <v>0.13115977351701824</v>
      </c>
      <c r="BY26" s="18">
        <f t="shared" ca="1" si="5"/>
        <v>0.13337540730241426</v>
      </c>
      <c r="BZ26" s="18">
        <f t="shared" ca="1" si="5"/>
        <v>0.11451791724346605</v>
      </c>
      <c r="CA26" s="18">
        <f t="shared" ca="1" si="5"/>
        <v>0.12210225627497673</v>
      </c>
      <c r="CB26" s="18">
        <f t="shared" ca="1" si="5"/>
        <v>0.11465685512879897</v>
      </c>
      <c r="CC26" s="18">
        <f t="shared" ca="1" si="5"/>
        <v>0.14946677736877256</v>
      </c>
      <c r="CD26" s="18">
        <f t="shared" ca="1" si="5"/>
        <v>0.13779133634555096</v>
      </c>
      <c r="CE26" s="18">
        <f t="shared" ca="1" si="5"/>
        <v>0.12565337983518932</v>
      </c>
      <c r="CF26" s="18">
        <f t="shared" ca="1" si="5"/>
        <v>0.11104462022021677</v>
      </c>
      <c r="CG26" s="18">
        <f t="shared" ca="1" si="5"/>
        <v>7.0404737808802631E-2</v>
      </c>
      <c r="CH26" s="18">
        <f t="shared" ca="1" si="5"/>
        <v>0.1019960279810781</v>
      </c>
      <c r="CI26" s="18">
        <f t="shared" ca="1" si="5"/>
        <v>0.12097144497880108</v>
      </c>
      <c r="CJ26" s="18">
        <f t="shared" ca="1" si="5"/>
        <v>0.10470305475909536</v>
      </c>
      <c r="CK26" s="18">
        <f t="shared" ca="1" si="5"/>
        <v>6.9386358075958499E-2</v>
      </c>
      <c r="CL26" s="18">
        <f t="shared" ca="1" si="5"/>
        <v>8.8496824668047314E-2</v>
      </c>
      <c r="CM26" s="18">
        <f t="shared" ca="1" si="5"/>
        <v>9.7465825268270523E-2</v>
      </c>
      <c r="CN26" s="18">
        <f t="shared" ca="1" si="5"/>
        <v>6.0987637143475326E-2</v>
      </c>
      <c r="CO26" s="18">
        <f t="shared" ca="1" si="5"/>
        <v>5.1274079676484119E-2</v>
      </c>
      <c r="CP26" s="18">
        <f t="shared" ca="1" si="5"/>
        <v>7.0574640509367237E-2</v>
      </c>
      <c r="CQ26" s="18">
        <f t="shared" ca="1" si="5"/>
        <v>1.5158123700824255E-2</v>
      </c>
      <c r="CR26" s="18">
        <f t="shared" ca="1" si="5"/>
        <v>-8.4147372076028848E-3</v>
      </c>
      <c r="CS26" s="18">
        <f t="shared" ca="1" si="5"/>
        <v>3.2997187676303552E-3</v>
      </c>
      <c r="CT26" s="18">
        <f t="shared" ca="1" si="5"/>
        <v>2.3203802886242242E-2</v>
      </c>
      <c r="CU26" s="18">
        <f t="shared" ca="1" si="5"/>
        <v>1.2364864487855565E-2</v>
      </c>
      <c r="CV26" s="18">
        <f t="shared" ca="1" si="5"/>
        <v>-2.0736044859445579E-2</v>
      </c>
      <c r="CW26" s="18">
        <f t="shared" ca="1" si="5"/>
        <v>-5.3030124111334898E-2</v>
      </c>
      <c r="CX26" s="18">
        <f t="shared" ca="1" si="5"/>
        <v>-0.1144835526857878</v>
      </c>
      <c r="CY26" s="18">
        <f t="shared" ca="1" si="5"/>
        <v>-0.14287427983569967</v>
      </c>
      <c r="CZ26" s="18">
        <f t="shared" ca="1" si="5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6">F22-F20</f>
        <v>3.4094145688955302E-2</v>
      </c>
      <c r="G27" s="18">
        <f t="shared" ca="1" si="6"/>
        <v>8.7626630218470947E-2</v>
      </c>
      <c r="H27" s="18">
        <f t="shared" ca="1" si="6"/>
        <v>4.305795298810644E-2</v>
      </c>
      <c r="I27" s="18">
        <f t="shared" ca="1" si="6"/>
        <v>3.1946409037363344E-3</v>
      </c>
      <c r="J27" s="18">
        <f t="shared" ca="1" si="6"/>
        <v>-1.705940213655821E-2</v>
      </c>
      <c r="K27" s="18">
        <f t="shared" ca="1" si="6"/>
        <v>-1.8188984719120782E-3</v>
      </c>
      <c r="L27" s="18">
        <f t="shared" ca="1" si="6"/>
        <v>-3.8088764044264201E-2</v>
      </c>
      <c r="M27" s="18">
        <f t="shared" ca="1" si="6"/>
        <v>0.18002749928206163</v>
      </c>
      <c r="N27" s="18">
        <f t="shared" ca="1" si="6"/>
        <v>0.11389189734088689</v>
      </c>
      <c r="O27" s="18">
        <f t="shared" ca="1" si="6"/>
        <v>5.3981783467338618E-2</v>
      </c>
      <c r="P27" s="18">
        <f t="shared" ca="1" si="6"/>
        <v>-4.9442039218660305E-2</v>
      </c>
      <c r="Q27" s="18">
        <f t="shared" ca="1" si="6"/>
        <v>-3.8149937234979614E-2</v>
      </c>
      <c r="R27" s="18">
        <f t="shared" ca="1" si="6"/>
        <v>-0.10164420670688945</v>
      </c>
      <c r="S27" s="18">
        <f t="shared" ca="1" si="6"/>
        <v>-0.19891560859940238</v>
      </c>
      <c r="T27" s="18">
        <f t="shared" ca="1" si="6"/>
        <v>-0.15947849776816536</v>
      </c>
      <c r="U27" s="18">
        <f t="shared" ca="1" si="6"/>
        <v>-0.12274363831974311</v>
      </c>
      <c r="V27" s="18">
        <f t="shared" ca="1" si="6"/>
        <v>-8.2108003244068861E-2</v>
      </c>
      <c r="W27" s="18">
        <f t="shared" ca="1" si="6"/>
        <v>-8.3403901233608968E-2</v>
      </c>
      <c r="X27" s="18">
        <f t="shared" ca="1" si="6"/>
        <v>-3.8152895372125739E-2</v>
      </c>
      <c r="Y27" s="18">
        <f t="shared" ca="1" si="6"/>
        <v>3.0438682215129242E-2</v>
      </c>
      <c r="Z27" s="18">
        <f t="shared" ca="1" si="6"/>
        <v>-2.7824200371947549E-2</v>
      </c>
      <c r="AA27" s="18">
        <f t="shared" ca="1" si="6"/>
        <v>-6.5875842728298828E-2</v>
      </c>
      <c r="AB27" s="18">
        <f t="shared" ca="1" si="6"/>
        <v>-6.5790883683656043E-2</v>
      </c>
      <c r="AC27" s="18">
        <f t="shared" ca="1" si="6"/>
        <v>-6.5207491560430597E-2</v>
      </c>
      <c r="AD27" s="18">
        <f t="shared" ca="1" si="6"/>
        <v>-0.10278694810081479</v>
      </c>
      <c r="AE27" s="18">
        <f t="shared" ca="1" si="6"/>
        <v>-0.10632876692062543</v>
      </c>
      <c r="AF27" s="18">
        <f t="shared" ca="1" si="6"/>
        <v>-0.11128561574827245</v>
      </c>
      <c r="AG27" s="18">
        <f t="shared" ca="1" si="6"/>
        <v>-8.1879958468176861E-2</v>
      </c>
      <c r="AH27" s="18">
        <f t="shared" ca="1" si="6"/>
        <v>4.0548906861640921E-2</v>
      </c>
      <c r="AI27" s="18">
        <f t="shared" ca="1" si="6"/>
        <v>6.3569540066739538E-2</v>
      </c>
      <c r="AJ27" s="18">
        <f t="shared" ca="1" si="6"/>
        <v>1.5570927172611326E-2</v>
      </c>
      <c r="AK27" s="18">
        <f t="shared" ca="1" si="6"/>
        <v>-7.9799596288379626E-2</v>
      </c>
      <c r="AL27" s="18">
        <f t="shared" ca="1" si="6"/>
        <v>-1.6321148460104351E-2</v>
      </c>
      <c r="AM27" s="18">
        <f t="shared" ca="1" si="6"/>
        <v>7.2363558383969018E-2</v>
      </c>
      <c r="AN27" s="18">
        <f t="shared" ca="1" si="6"/>
        <v>0.11885588573923334</v>
      </c>
      <c r="AO27" s="18">
        <f t="shared" ca="1" si="6"/>
        <v>0.16522153828845898</v>
      </c>
      <c r="AP27" s="18">
        <f t="shared" ca="1" si="6"/>
        <v>0.17441348900671383</v>
      </c>
      <c r="AQ27" s="18">
        <f t="shared" ca="1" si="6"/>
        <v>0.1576158015779342</v>
      </c>
      <c r="AR27" s="18">
        <f t="shared" ca="1" si="6"/>
        <v>0.14511448107059943</v>
      </c>
      <c r="AS27" s="18">
        <f t="shared" ca="1" si="6"/>
        <v>0.10982599291168926</v>
      </c>
      <c r="AT27" s="18">
        <f t="shared" ca="1" si="6"/>
        <v>1.5204632979151311E-2</v>
      </c>
      <c r="AU27" s="18">
        <f t="shared" ca="1" si="6"/>
        <v>1.2298853194025572E-2</v>
      </c>
      <c r="AV27" s="18">
        <f t="shared" ca="1" si="6"/>
        <v>8.9816114375253386E-2</v>
      </c>
      <c r="AW27" s="18">
        <f t="shared" ca="1" si="6"/>
        <v>0.13580850100198072</v>
      </c>
      <c r="AX27" s="18">
        <f t="shared" ca="1" si="6"/>
        <v>0.12857327225163062</v>
      </c>
      <c r="AY27" s="18">
        <f t="shared" ca="1" si="6"/>
        <v>9.2150467088396359E-2</v>
      </c>
      <c r="AZ27" s="18">
        <f t="shared" ca="1" si="6"/>
        <v>0.10502612333282446</v>
      </c>
      <c r="BA27" s="18">
        <f t="shared" ca="1" si="6"/>
        <v>8.2565376668432E-2</v>
      </c>
      <c r="BB27" s="18">
        <f t="shared" ca="1" si="6"/>
        <v>0.18655986888663023</v>
      </c>
      <c r="BC27" s="18">
        <f t="shared" ca="1" si="6"/>
        <v>0.30773193956668154</v>
      </c>
      <c r="BD27" s="18">
        <f t="shared" ca="1" si="6"/>
        <v>0.33677667385232901</v>
      </c>
      <c r="BE27" s="18">
        <f t="shared" ca="1" si="6"/>
        <v>0.31677887844201091</v>
      </c>
      <c r="BF27" s="18">
        <f t="shared" ca="1" si="6"/>
        <v>0.39395010032642119</v>
      </c>
      <c r="BG27" s="18">
        <f t="shared" ca="1" si="6"/>
        <v>0.3177699763324402</v>
      </c>
      <c r="BH27" s="18">
        <f t="shared" ca="1" si="6"/>
        <v>0.28125235778495483</v>
      </c>
      <c r="BI27" s="18">
        <f t="shared" ca="1" si="6"/>
        <v>0.23035231855864224</v>
      </c>
      <c r="BJ27" s="18">
        <f t="shared" ca="1" si="6"/>
        <v>0.21598112153050986</v>
      </c>
      <c r="BK27" s="18">
        <f t="shared" ca="1" si="6"/>
        <v>0.16589753758118486</v>
      </c>
      <c r="BL27" s="18">
        <f t="shared" ca="1" si="6"/>
        <v>0.15753762942043559</v>
      </c>
      <c r="BM27" s="18">
        <f t="shared" ca="1" si="6"/>
        <v>0.21918296701481332</v>
      </c>
      <c r="BN27" s="18">
        <f t="shared" ca="1" si="6"/>
        <v>0.19878959261568874</v>
      </c>
      <c r="BO27" s="18">
        <f t="shared" ca="1" si="6"/>
        <v>0.14751653672634135</v>
      </c>
      <c r="BP27" s="18">
        <f t="shared" ca="1" si="6"/>
        <v>0.13556671297153799</v>
      </c>
      <c r="BQ27" s="18">
        <f t="shared" ca="1" si="6"/>
        <v>0.15470526835736464</v>
      </c>
      <c r="BR27" s="18">
        <f t="shared" ref="BR27:CZ27" ca="1" si="7">BR22-BR20</f>
        <v>0.15631081983902151</v>
      </c>
      <c r="BS27" s="18">
        <f t="shared" ca="1" si="7"/>
        <v>0.21614054810157457</v>
      </c>
      <c r="BT27" s="18">
        <f t="shared" ca="1" si="7"/>
        <v>0.24033939999478049</v>
      </c>
      <c r="BU27" s="18">
        <f t="shared" ca="1" si="7"/>
        <v>0.28837078792758719</v>
      </c>
      <c r="BV27" s="18">
        <f t="shared" ca="1" si="7"/>
        <v>0.26116886901639169</v>
      </c>
      <c r="BW27" s="18">
        <f t="shared" ca="1" si="7"/>
        <v>0.26656207055417747</v>
      </c>
      <c r="BX27" s="18">
        <f t="shared" ca="1" si="7"/>
        <v>0.22742676814886797</v>
      </c>
      <c r="BY27" s="18">
        <f t="shared" ca="1" si="7"/>
        <v>0.22857950417876105</v>
      </c>
      <c r="BZ27" s="18">
        <f t="shared" ca="1" si="7"/>
        <v>0.19076166216093005</v>
      </c>
      <c r="CA27" s="18">
        <f t="shared" ca="1" si="7"/>
        <v>0.20246751185958711</v>
      </c>
      <c r="CB27" s="18">
        <f t="shared" ca="1" si="7"/>
        <v>0.2222873484300083</v>
      </c>
      <c r="CC27" s="18">
        <f t="shared" ca="1" si="7"/>
        <v>0.21378099450985322</v>
      </c>
      <c r="CD27" s="18">
        <f t="shared" ca="1" si="7"/>
        <v>0.19416424154547429</v>
      </c>
      <c r="CE27" s="18">
        <f t="shared" ca="1" si="7"/>
        <v>0.16128262121185766</v>
      </c>
      <c r="CF27" s="18">
        <f t="shared" ca="1" si="7"/>
        <v>0.1479327448208857</v>
      </c>
      <c r="CG27" s="18">
        <f t="shared" ca="1" si="7"/>
        <v>9.2044608353190061E-2</v>
      </c>
      <c r="CH27" s="18">
        <f t="shared" ca="1" si="7"/>
        <v>0.1117272600912127</v>
      </c>
      <c r="CI27" s="18">
        <f t="shared" ca="1" si="7"/>
        <v>0.114979175425999</v>
      </c>
      <c r="CJ27" s="18">
        <f t="shared" ca="1" si="7"/>
        <v>9.1503851865020969E-2</v>
      </c>
      <c r="CK27" s="18">
        <f t="shared" ca="1" si="7"/>
        <v>5.7715495852921017E-2</v>
      </c>
      <c r="CL27" s="18">
        <f t="shared" ca="1" si="7"/>
        <v>9.1087016915784913E-2</v>
      </c>
      <c r="CM27" s="18">
        <f t="shared" ca="1" si="7"/>
        <v>9.975196360467109E-2</v>
      </c>
      <c r="CN27" s="18">
        <f t="shared" ca="1" si="7"/>
        <v>3.0482024308181366E-2</v>
      </c>
      <c r="CO27" s="18">
        <f t="shared" ca="1" si="7"/>
        <v>-5.5053737351035137E-3</v>
      </c>
      <c r="CP27" s="18">
        <f t="shared" ca="1" si="7"/>
        <v>2.0046862789158126E-4</v>
      </c>
      <c r="CQ27" s="18">
        <f t="shared" ca="1" si="7"/>
        <v>-2.8678590511978408E-2</v>
      </c>
      <c r="CR27" s="18">
        <f t="shared" ca="1" si="7"/>
        <v>-4.5313988871209299E-2</v>
      </c>
      <c r="CS27" s="18">
        <f t="shared" ca="1" si="7"/>
        <v>-6.8939181745962808E-3</v>
      </c>
      <c r="CT27" s="18">
        <f t="shared" ca="1" si="7"/>
        <v>2.2616968863563791E-2</v>
      </c>
      <c r="CU27" s="18">
        <f t="shared" ca="1" si="7"/>
        <v>1.3661459574834556E-2</v>
      </c>
      <c r="CV27" s="18">
        <f t="shared" ca="1" si="7"/>
        <v>1.789371060348155E-2</v>
      </c>
      <c r="CW27" s="18">
        <f t="shared" ca="1" si="7"/>
        <v>-5.8381747930402739E-4</v>
      </c>
      <c r="CX27" s="18">
        <f t="shared" ca="1" si="7"/>
        <v>-6.4680604770088745E-2</v>
      </c>
      <c r="CY27" s="18">
        <f t="shared" ca="1" si="7"/>
        <v>-9.3424535238934014E-2</v>
      </c>
      <c r="CZ27" s="18">
        <f t="shared" ca="1" si="7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8">F23-F20</f>
        <v>2.1488077892415136E-2</v>
      </c>
      <c r="G28" s="18">
        <f t="shared" ca="1" si="8"/>
        <v>7.3948848379190801E-2</v>
      </c>
      <c r="H28" s="18">
        <f t="shared" ca="1" si="8"/>
        <v>3.0758657105516396E-2</v>
      </c>
      <c r="I28" s="18">
        <f t="shared" ca="1" si="8"/>
        <v>-1.6967323231541265E-2</v>
      </c>
      <c r="J28" s="18">
        <f t="shared" ca="1" si="8"/>
        <v>-5.7050147080359936E-2</v>
      </c>
      <c r="K28" s="18">
        <f t="shared" ca="1" si="8"/>
        <v>-5.7518602138884711E-2</v>
      </c>
      <c r="L28" s="18">
        <f t="shared" ca="1" si="8"/>
        <v>-8.8377569101068199E-2</v>
      </c>
      <c r="M28" s="18">
        <f t="shared" ca="1" si="8"/>
        <v>0.12271908112914276</v>
      </c>
      <c r="N28" s="18">
        <f t="shared" ca="1" si="8"/>
        <v>8.0035857732279281E-2</v>
      </c>
      <c r="O28" s="18">
        <f t="shared" ca="1" si="8"/>
        <v>1.5869344288718112E-2</v>
      </c>
      <c r="P28" s="18">
        <f t="shared" ca="1" si="8"/>
        <v>-7.0224241528424214E-2</v>
      </c>
      <c r="Q28" s="18">
        <f t="shared" ca="1" si="8"/>
        <v>-8.9995395625157126E-2</v>
      </c>
      <c r="R28" s="18">
        <f t="shared" ca="1" si="8"/>
        <v>-0.14176893676071955</v>
      </c>
      <c r="S28" s="18">
        <f t="shared" ca="1" si="8"/>
        <v>-0.2237460437716976</v>
      </c>
      <c r="T28" s="18">
        <f t="shared" ca="1" si="8"/>
        <v>-0.19234924645776375</v>
      </c>
      <c r="U28" s="18">
        <f t="shared" ca="1" si="8"/>
        <v>-0.16427157791785674</v>
      </c>
      <c r="V28" s="18">
        <f t="shared" ca="1" si="8"/>
        <v>-0.1124142651216411</v>
      </c>
      <c r="W28" s="18">
        <f t="shared" ca="1" si="8"/>
        <v>-9.8175123379755314E-2</v>
      </c>
      <c r="X28" s="18">
        <f t="shared" ca="1" si="8"/>
        <v>-5.2486246554706684E-2</v>
      </c>
      <c r="Y28" s="18">
        <f t="shared" ca="1" si="8"/>
        <v>-7.4517707214383222E-4</v>
      </c>
      <c r="Z28" s="18">
        <f t="shared" ca="1" si="8"/>
        <v>-7.0807853125457454E-2</v>
      </c>
      <c r="AA28" s="18">
        <f t="shared" ca="1" si="8"/>
        <v>-0.10830187648033052</v>
      </c>
      <c r="AB28" s="18">
        <f t="shared" ca="1" si="8"/>
        <v>-9.1016424535168117E-2</v>
      </c>
      <c r="AC28" s="18">
        <f t="shared" ca="1" si="8"/>
        <v>-8.1747557658757852E-2</v>
      </c>
      <c r="AD28" s="18">
        <f t="shared" ca="1" si="8"/>
        <v>-0.10076885715089112</v>
      </c>
      <c r="AE28" s="18">
        <f t="shared" ca="1" si="8"/>
        <v>-9.8888198262576443E-2</v>
      </c>
      <c r="AF28" s="18">
        <f t="shared" ca="1" si="8"/>
        <v>-0.11013654536208883</v>
      </c>
      <c r="AG28" s="18">
        <f t="shared" ca="1" si="8"/>
        <v>-7.3774140826510903E-2</v>
      </c>
      <c r="AH28" s="18">
        <f t="shared" ca="1" si="8"/>
        <v>3.2979221738397069E-2</v>
      </c>
      <c r="AI28" s="18">
        <f t="shared" ca="1" si="8"/>
        <v>4.5282546314811656E-2</v>
      </c>
      <c r="AJ28" s="18">
        <f t="shared" ca="1" si="8"/>
        <v>-9.1936829980077128E-3</v>
      </c>
      <c r="AK28" s="18">
        <f t="shared" ca="1" si="8"/>
        <v>-0.10525322868938836</v>
      </c>
      <c r="AL28" s="18">
        <f t="shared" ca="1" si="8"/>
        <v>-4.0342252795707245E-2</v>
      </c>
      <c r="AM28" s="18">
        <f t="shared" ca="1" si="8"/>
        <v>4.2100618563159053E-2</v>
      </c>
      <c r="AN28" s="18">
        <f t="shared" ca="1" si="8"/>
        <v>6.1471560192579155E-2</v>
      </c>
      <c r="AO28" s="18">
        <f t="shared" ca="1" si="8"/>
        <v>9.5107346573907181E-2</v>
      </c>
      <c r="AP28" s="18">
        <f t="shared" ca="1" si="8"/>
        <v>9.1642946049461105E-2</v>
      </c>
      <c r="AQ28" s="18">
        <f t="shared" ca="1" si="8"/>
        <v>6.8938642047842058E-2</v>
      </c>
      <c r="AR28" s="18">
        <f t="shared" ca="1" si="8"/>
        <v>7.3273556788411187E-2</v>
      </c>
      <c r="AS28" s="18">
        <f t="shared" ca="1" si="8"/>
        <v>4.5516099722599956E-2</v>
      </c>
      <c r="AT28" s="18">
        <f t="shared" ca="1" si="8"/>
        <v>-3.0562341953035754E-2</v>
      </c>
      <c r="AU28" s="18">
        <f t="shared" ca="1" si="8"/>
        <v>-4.0369112451730804E-2</v>
      </c>
      <c r="AV28" s="18">
        <f t="shared" ca="1" si="8"/>
        <v>3.5500926054044646E-2</v>
      </c>
      <c r="AW28" s="18">
        <f t="shared" ca="1" si="8"/>
        <v>9.7795446953791831E-2</v>
      </c>
      <c r="AX28" s="18">
        <f t="shared" ca="1" si="8"/>
        <v>0.10526915072873511</v>
      </c>
      <c r="AY28" s="18">
        <f t="shared" ca="1" si="8"/>
        <v>6.8618230203644215E-2</v>
      </c>
      <c r="AZ28" s="18">
        <f t="shared" ca="1" si="8"/>
        <v>9.5702499432247734E-2</v>
      </c>
      <c r="BA28" s="18">
        <f t="shared" ca="1" si="8"/>
        <v>6.5219821057869831E-2</v>
      </c>
      <c r="BB28" s="18">
        <f t="shared" ca="1" si="8"/>
        <v>0.17231227521437364</v>
      </c>
      <c r="BC28" s="18">
        <f t="shared" ca="1" si="8"/>
        <v>0.32794140613996769</v>
      </c>
      <c r="BD28" s="18">
        <f t="shared" ca="1" si="8"/>
        <v>0.3408061832646041</v>
      </c>
      <c r="BE28" s="18">
        <f t="shared" ca="1" si="8"/>
        <v>0.31733526719977978</v>
      </c>
      <c r="BF28" s="18">
        <f t="shared" ca="1" si="8"/>
        <v>0.38390979152090776</v>
      </c>
      <c r="BG28" s="18">
        <f t="shared" ca="1" si="8"/>
        <v>0.31476965731644047</v>
      </c>
      <c r="BH28" s="18">
        <f t="shared" ca="1" si="8"/>
        <v>0.28731375948805393</v>
      </c>
      <c r="BI28" s="18">
        <f t="shared" ca="1" si="8"/>
        <v>0.2276066249042763</v>
      </c>
      <c r="BJ28" s="18">
        <f t="shared" ca="1" si="8"/>
        <v>0.19920079609137975</v>
      </c>
      <c r="BK28" s="18">
        <f t="shared" ca="1" si="8"/>
        <v>0.17593242825848954</v>
      </c>
      <c r="BL28" s="18">
        <f t="shared" ca="1" si="8"/>
        <v>0.15877130690513241</v>
      </c>
      <c r="BM28" s="18">
        <f t="shared" ca="1" si="8"/>
        <v>0.2123962071196952</v>
      </c>
      <c r="BN28" s="18">
        <f t="shared" ca="1" si="8"/>
        <v>0.19111177364763987</v>
      </c>
      <c r="BO28" s="18">
        <f t="shared" ca="1" si="8"/>
        <v>0.11863593137727757</v>
      </c>
      <c r="BP28" s="18">
        <f t="shared" ca="1" si="8"/>
        <v>0.10714993372160164</v>
      </c>
      <c r="BQ28" s="18">
        <f t="shared" ca="1" si="8"/>
        <v>0.10941675790045036</v>
      </c>
      <c r="BR28" s="18">
        <f t="shared" ref="BR28:CZ28" ca="1" si="9">BR23-BR20</f>
        <v>0.1378578673194002</v>
      </c>
      <c r="BS28" s="18">
        <f t="shared" ca="1" si="9"/>
        <v>0.20864096589096248</v>
      </c>
      <c r="BT28" s="18">
        <f t="shared" ca="1" si="9"/>
        <v>0.22227211583278805</v>
      </c>
      <c r="BU28" s="18">
        <f t="shared" ca="1" si="9"/>
        <v>0.23866444135454024</v>
      </c>
      <c r="BV28" s="18">
        <f t="shared" ca="1" si="9"/>
        <v>0.22365332849666675</v>
      </c>
      <c r="BW28" s="18">
        <f t="shared" ca="1" si="9"/>
        <v>0.22044332887433205</v>
      </c>
      <c r="BX28" s="18">
        <f t="shared" ca="1" si="9"/>
        <v>0.18720286751127979</v>
      </c>
      <c r="BY28" s="18">
        <f t="shared" ca="1" si="9"/>
        <v>0.20797937254658527</v>
      </c>
      <c r="BZ28" s="18">
        <f t="shared" ca="1" si="9"/>
        <v>0.16990660882996256</v>
      </c>
      <c r="CA28" s="18">
        <f t="shared" ca="1" si="9"/>
        <v>0.17162475847768577</v>
      </c>
      <c r="CB28" s="18">
        <f t="shared" ca="1" si="9"/>
        <v>0.1911942215073803</v>
      </c>
      <c r="CC28" s="18">
        <f t="shared" ca="1" si="9"/>
        <v>0.17428331898832794</v>
      </c>
      <c r="CD28" s="18">
        <f t="shared" ca="1" si="9"/>
        <v>0.13124580582389078</v>
      </c>
      <c r="CE28" s="18">
        <f t="shared" ca="1" si="9"/>
        <v>9.2443905675446025E-2</v>
      </c>
      <c r="CF28" s="18">
        <f t="shared" ca="1" si="9"/>
        <v>8.1218080043243046E-2</v>
      </c>
      <c r="CG28" s="18">
        <f t="shared" ca="1" si="9"/>
        <v>4.7663515285752966E-2</v>
      </c>
      <c r="CH28" s="18">
        <f t="shared" ca="1" si="9"/>
        <v>6.1331641345649057E-2</v>
      </c>
      <c r="CI28" s="18">
        <f t="shared" ca="1" si="9"/>
        <v>6.5314259639447814E-2</v>
      </c>
      <c r="CJ28" s="18">
        <f t="shared" ca="1" si="9"/>
        <v>4.854516183160229E-2</v>
      </c>
      <c r="CK28" s="18">
        <f t="shared" ca="1" si="9"/>
        <v>2.0493327008365259E-2</v>
      </c>
      <c r="CL28" s="18">
        <f t="shared" ca="1" si="9"/>
        <v>4.6700397951392469E-2</v>
      </c>
      <c r="CM28" s="18">
        <f t="shared" ca="1" si="9"/>
        <v>6.867099955301148E-2</v>
      </c>
      <c r="CN28" s="18">
        <f t="shared" ca="1" si="9"/>
        <v>1.6021522049449066E-2</v>
      </c>
      <c r="CO28" s="18">
        <f t="shared" ca="1" si="9"/>
        <v>8.5087377714532231E-4</v>
      </c>
      <c r="CP28" s="18">
        <f t="shared" ca="1" si="9"/>
        <v>1.4270861839783322E-2</v>
      </c>
      <c r="CQ28" s="18">
        <f t="shared" ca="1" si="9"/>
        <v>-6.0497226105609148E-3</v>
      </c>
      <c r="CR28" s="18">
        <f t="shared" ca="1" si="9"/>
        <v>-1.8096413893499363E-2</v>
      </c>
      <c r="CS28" s="18">
        <f t="shared" ca="1" si="9"/>
        <v>2.7218100961104108E-2</v>
      </c>
      <c r="CT28" s="18">
        <f t="shared" ca="1" si="9"/>
        <v>5.7979217875197886E-2</v>
      </c>
      <c r="CU28" s="18">
        <f t="shared" ca="1" si="9"/>
        <v>5.1749839978289636E-2</v>
      </c>
      <c r="CV28" s="18">
        <f t="shared" ca="1" si="9"/>
        <v>5.8338163948238098E-2</v>
      </c>
      <c r="CW28" s="18">
        <f t="shared" ca="1" si="9"/>
        <v>2.9058266761204044E-2</v>
      </c>
      <c r="CX28" s="18">
        <f t="shared" ca="1" si="9"/>
        <v>-2.3559216727212062E-2</v>
      </c>
      <c r="CY28" s="18">
        <f t="shared" ca="1" si="9"/>
        <v>-6.4359333571042843E-2</v>
      </c>
      <c r="CZ28" s="18">
        <f t="shared" ca="1" si="9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10">F24-F20</f>
        <v>1.6851655121072229E-2</v>
      </c>
      <c r="G29" s="18">
        <f t="shared" ca="1" si="10"/>
        <v>8.2739278044881237E-2</v>
      </c>
      <c r="H29" s="18">
        <f t="shared" ca="1" si="10"/>
        <v>4.7227536674035453E-2</v>
      </c>
      <c r="I29" s="18">
        <f t="shared" ca="1" si="10"/>
        <v>-4.1601539168463209E-3</v>
      </c>
      <c r="J29" s="18">
        <f t="shared" ca="1" si="10"/>
        <v>-4.0949938467304769E-2</v>
      </c>
      <c r="K29" s="18">
        <f t="shared" ca="1" si="10"/>
        <v>-5.7301739559035392E-2</v>
      </c>
      <c r="L29" s="18">
        <f t="shared" ca="1" si="10"/>
        <v>-7.6738370133754064E-2</v>
      </c>
      <c r="M29" s="18">
        <f t="shared" ca="1" si="10"/>
        <v>0.13159947743507372</v>
      </c>
      <c r="N29" s="18">
        <f t="shared" ca="1" si="10"/>
        <v>7.5153620416015698E-2</v>
      </c>
      <c r="O29" s="18">
        <f t="shared" ca="1" si="10"/>
        <v>2.3232865365875321E-2</v>
      </c>
      <c r="P29" s="18">
        <f t="shared" ca="1" si="10"/>
        <v>-4.9174726131917312E-2</v>
      </c>
      <c r="Q29" s="18">
        <f t="shared" ca="1" si="10"/>
        <v>-6.6426163984062647E-2</v>
      </c>
      <c r="R29" s="18">
        <f t="shared" ca="1" si="10"/>
        <v>-0.12505460680376568</v>
      </c>
      <c r="S29" s="18">
        <f t="shared" ca="1" si="10"/>
        <v>-0.21905709267743045</v>
      </c>
      <c r="T29" s="18">
        <f t="shared" ca="1" si="10"/>
        <v>-0.18131051840821955</v>
      </c>
      <c r="U29" s="18">
        <f t="shared" ca="1" si="10"/>
        <v>-0.14847539958778566</v>
      </c>
      <c r="V29" s="18">
        <f t="shared" ca="1" si="10"/>
        <v>-9.9591590643748784E-2</v>
      </c>
      <c r="W29" s="18">
        <f t="shared" ca="1" si="10"/>
        <v>-8.2960283101350507E-2</v>
      </c>
      <c r="X29" s="18">
        <f t="shared" ca="1" si="10"/>
        <v>-3.9085962036110367E-2</v>
      </c>
      <c r="Y29" s="18">
        <f t="shared" ca="1" si="10"/>
        <v>1.0572408403291433E-2</v>
      </c>
      <c r="Z29" s="18">
        <f t="shared" ca="1" si="10"/>
        <v>-1.7468279919373941E-2</v>
      </c>
      <c r="AA29" s="18">
        <f t="shared" ca="1" si="10"/>
        <v>-6.0657411796652294E-2</v>
      </c>
      <c r="AB29" s="18">
        <f t="shared" ca="1" si="10"/>
        <v>-6.1660277003580122E-2</v>
      </c>
      <c r="AC29" s="18">
        <f t="shared" ca="1" si="10"/>
        <v>-5.8536880329521201E-2</v>
      </c>
      <c r="AD29" s="18">
        <f t="shared" ca="1" si="10"/>
        <v>-7.5026074586835856E-2</v>
      </c>
      <c r="AE29" s="18">
        <f t="shared" ca="1" si="10"/>
        <v>-6.7452149073766288E-2</v>
      </c>
      <c r="AF29" s="18">
        <f t="shared" ca="1" si="10"/>
        <v>-8.017696514207362E-2</v>
      </c>
      <c r="AG29" s="18">
        <f t="shared" ca="1" si="10"/>
        <v>-5.1154702602470792E-2</v>
      </c>
      <c r="AH29" s="18">
        <f t="shared" ca="1" si="10"/>
        <v>5.4764196972168611E-2</v>
      </c>
      <c r="AI29" s="18">
        <f t="shared" ca="1" si="10"/>
        <v>5.9283216973541997E-2</v>
      </c>
      <c r="AJ29" s="18">
        <f t="shared" ca="1" si="10"/>
        <v>-7.7256803279524E-3</v>
      </c>
      <c r="AK29" s="18">
        <f t="shared" ca="1" si="10"/>
        <v>-9.6717294960264044E-2</v>
      </c>
      <c r="AL29" s="18">
        <f t="shared" ca="1" si="10"/>
        <v>-5.7309490402767338E-2</v>
      </c>
      <c r="AM29" s="18">
        <f t="shared" ca="1" si="10"/>
        <v>1.8177660653460936E-2</v>
      </c>
      <c r="AN29" s="18">
        <f t="shared" ca="1" si="10"/>
        <v>4.2601161330149129E-2</v>
      </c>
      <c r="AO29" s="18">
        <f t="shared" ca="1" si="10"/>
        <v>7.1329099614537261E-2</v>
      </c>
      <c r="AP29" s="18">
        <f t="shared" ca="1" si="10"/>
        <v>7.0103507468994963E-2</v>
      </c>
      <c r="AQ29" s="18">
        <f t="shared" ca="1" si="10"/>
        <v>4.6838869545069106E-2</v>
      </c>
      <c r="AR29" s="18">
        <f t="shared" ca="1" si="10"/>
        <v>4.5058318503405248E-2</v>
      </c>
      <c r="AS29" s="18">
        <f t="shared" ca="1" si="10"/>
        <v>2.808065045155439E-2</v>
      </c>
      <c r="AT29" s="18">
        <f t="shared" ca="1" si="10"/>
        <v>-4.6543380158503567E-2</v>
      </c>
      <c r="AU29" s="18">
        <f t="shared" ca="1" si="10"/>
        <v>-4.7012148807379361E-2</v>
      </c>
      <c r="AV29" s="18">
        <f t="shared" ca="1" si="10"/>
        <v>3.2729447596127947E-2</v>
      </c>
      <c r="AW29" s="18">
        <f t="shared" ca="1" si="10"/>
        <v>8.9593444901955754E-2</v>
      </c>
      <c r="AX29" s="18">
        <f t="shared" ca="1" si="10"/>
        <v>9.0785983213820032E-2</v>
      </c>
      <c r="AY29" s="18">
        <f t="shared" ca="1" si="10"/>
        <v>4.977488221943549E-2</v>
      </c>
      <c r="AZ29" s="18">
        <f t="shared" ca="1" si="10"/>
        <v>8.1107671496701617E-2</v>
      </c>
      <c r="BA29" s="18">
        <f t="shared" ca="1" si="10"/>
        <v>5.596169357616998E-2</v>
      </c>
      <c r="BB29" s="18">
        <f t="shared" ca="1" si="10"/>
        <v>0.15438064063294765</v>
      </c>
      <c r="BC29" s="18">
        <f t="shared" ca="1" si="10"/>
        <v>0.30421150787932771</v>
      </c>
      <c r="BD29" s="18">
        <f t="shared" ca="1" si="10"/>
        <v>0.32131971053195318</v>
      </c>
      <c r="BE29" s="18">
        <f t="shared" ca="1" si="10"/>
        <v>0.29340334792180522</v>
      </c>
      <c r="BF29" s="18">
        <f t="shared" ca="1" si="10"/>
        <v>0.35304342121103049</v>
      </c>
      <c r="BG29" s="18">
        <f t="shared" ca="1" si="10"/>
        <v>0.27837902822451221</v>
      </c>
      <c r="BH29" s="18">
        <f t="shared" ca="1" si="10"/>
        <v>0.25521369722884546</v>
      </c>
      <c r="BI29" s="18">
        <f t="shared" ca="1" si="10"/>
        <v>0.2020847637883656</v>
      </c>
      <c r="BJ29" s="18">
        <f t="shared" ca="1" si="10"/>
        <v>0.1752941585810639</v>
      </c>
      <c r="BK29" s="18">
        <f t="shared" ca="1" si="10"/>
        <v>0.16471825196227696</v>
      </c>
      <c r="BL29" s="18">
        <f t="shared" ca="1" si="10"/>
        <v>0.14803465093882484</v>
      </c>
      <c r="BM29" s="18">
        <f t="shared" ca="1" si="10"/>
        <v>0.19653829173003756</v>
      </c>
      <c r="BN29" s="18">
        <f t="shared" ca="1" si="10"/>
        <v>0.16903962287719521</v>
      </c>
      <c r="BO29" s="18">
        <f t="shared" ca="1" si="10"/>
        <v>0.1043070609213379</v>
      </c>
      <c r="BP29" s="18">
        <f t="shared" ca="1" si="10"/>
        <v>9.5371216834791661E-2</v>
      </c>
      <c r="BQ29" s="18">
        <f t="shared" ca="1" si="10"/>
        <v>9.1098886718985472E-2</v>
      </c>
      <c r="BR29" s="18">
        <f t="shared" ref="BR29:CZ29" ca="1" si="11">BR24-BR20</f>
        <v>0.11073738652188214</v>
      </c>
      <c r="BS29" s="18">
        <f t="shared" ca="1" si="11"/>
        <v>0.17787775561246444</v>
      </c>
      <c r="BT29" s="18">
        <f t="shared" ca="1" si="11"/>
        <v>0.19813651639657315</v>
      </c>
      <c r="BU29" s="18">
        <f t="shared" ca="1" si="11"/>
        <v>0.20523841474023041</v>
      </c>
      <c r="BV29" s="18">
        <f t="shared" ca="1" si="11"/>
        <v>0.19734161125772764</v>
      </c>
      <c r="BW29" s="18">
        <f t="shared" ca="1" si="11"/>
        <v>0.19390972082677738</v>
      </c>
      <c r="BX29" s="18">
        <f t="shared" ca="1" si="11"/>
        <v>0.17042449174188778</v>
      </c>
      <c r="BY29" s="18">
        <f t="shared" ca="1" si="11"/>
        <v>0.18573146233313698</v>
      </c>
      <c r="BZ29" s="18">
        <f t="shared" ca="1" si="11"/>
        <v>0.17260234040032696</v>
      </c>
      <c r="CA29" s="18">
        <f t="shared" ca="1" si="11"/>
        <v>0.17642689334068984</v>
      </c>
      <c r="CB29" s="18">
        <f t="shared" ca="1" si="11"/>
        <v>0.19646555985016323</v>
      </c>
      <c r="CC29" s="18">
        <f t="shared" ca="1" si="11"/>
        <v>0.19116495294195013</v>
      </c>
      <c r="CD29" s="18">
        <f t="shared" ca="1" si="11"/>
        <v>0.14534365691598627</v>
      </c>
      <c r="CE29" s="18">
        <f t="shared" ca="1" si="11"/>
        <v>0.10381866006795692</v>
      </c>
      <c r="CF29" s="18">
        <f t="shared" ca="1" si="11"/>
        <v>9.7420340852097387E-2</v>
      </c>
      <c r="CG29" s="18">
        <f t="shared" ca="1" si="11"/>
        <v>6.6412483337028316E-2</v>
      </c>
      <c r="CH29" s="18">
        <f t="shared" ca="1" si="11"/>
        <v>7.8755130176191068E-2</v>
      </c>
      <c r="CI29" s="18">
        <f t="shared" ca="1" si="11"/>
        <v>8.2225463558779355E-2</v>
      </c>
      <c r="CJ29" s="18">
        <f t="shared" ca="1" si="11"/>
        <v>5.4940940536161054E-2</v>
      </c>
      <c r="CK29" s="18">
        <f t="shared" ca="1" si="11"/>
        <v>3.8827066250254894E-2</v>
      </c>
      <c r="CL29" s="18">
        <f t="shared" ca="1" si="11"/>
        <v>5.0966122954384296E-2</v>
      </c>
      <c r="CM29" s="18">
        <f t="shared" ca="1" si="11"/>
        <v>6.263779536989067E-2</v>
      </c>
      <c r="CN29" s="18">
        <f t="shared" ca="1" si="11"/>
        <v>1.2707646915953386E-2</v>
      </c>
      <c r="CO29" s="18">
        <f t="shared" ca="1" si="11"/>
        <v>-6.5068239675959427E-3</v>
      </c>
      <c r="CP29" s="18">
        <f t="shared" ca="1" si="11"/>
        <v>1.3548480676376817E-2</v>
      </c>
      <c r="CQ29" s="18">
        <f t="shared" ca="1" si="11"/>
        <v>-8.3213060291984497E-3</v>
      </c>
      <c r="CR29" s="18">
        <f t="shared" ca="1" si="11"/>
        <v>-2.4924586894392808E-2</v>
      </c>
      <c r="CS29" s="18">
        <f t="shared" ca="1" si="11"/>
        <v>2.6594409754176596E-2</v>
      </c>
      <c r="CT29" s="18">
        <f t="shared" ca="1" si="11"/>
        <v>5.5069642396772922E-2</v>
      </c>
      <c r="CU29" s="18">
        <f t="shared" ca="1" si="11"/>
        <v>4.6188601099838023E-2</v>
      </c>
      <c r="CV29" s="18">
        <f t="shared" ca="1" si="11"/>
        <v>5.3293371152234537E-2</v>
      </c>
      <c r="CW29" s="18">
        <f t="shared" ca="1" si="11"/>
        <v>1.8667897149458934E-2</v>
      </c>
      <c r="CX29" s="18">
        <f t="shared" ca="1" si="11"/>
        <v>-2.8624232500173319E-2</v>
      </c>
      <c r="CY29" s="18">
        <f t="shared" ca="1" si="11"/>
        <v>-6.394171476933419E-2</v>
      </c>
      <c r="CZ29" s="18">
        <f t="shared" ca="1" si="11"/>
        <v>-3.6189513623120506E-2</v>
      </c>
      <c r="DA29">
        <f ca="1">COUNTIF(E29:CZ29,"&gt;0")</f>
        <v>67</v>
      </c>
    </row>
    <row r="37" spans="3:6" x14ac:dyDescent="0.4">
      <c r="C37" t="s">
        <v>95</v>
      </c>
      <c r="D37" t="s">
        <v>96</v>
      </c>
      <c r="E37" t="s">
        <v>97</v>
      </c>
      <c r="F37" t="s">
        <v>98</v>
      </c>
    </row>
    <row r="38" spans="3:6" x14ac:dyDescent="0.4">
      <c r="C38">
        <v>77</v>
      </c>
      <c r="D38">
        <v>69</v>
      </c>
      <c r="E38">
        <v>67</v>
      </c>
      <c r="F38">
        <v>67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2001~Q</vt:lpstr>
      <vt:lpstr>Quarter results</vt:lpstr>
      <vt:lpstr>BM_quarter</vt:lpstr>
      <vt:lpstr>2008~Q</vt:lpstr>
      <vt:lpstr>BM_monthly</vt:lpstr>
      <vt:lpstr>요약</vt:lpstr>
      <vt:lpstr>그래프result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2017-07-13T07:21:28Z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
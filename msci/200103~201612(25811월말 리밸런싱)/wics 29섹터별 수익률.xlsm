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SH-NoteBook\Google 드라이브\KSIF (1)\GIT\msci\200103~201612(25811월말 리밸런싱)\"/>
    </mc:Choice>
  </mc:AlternateContent>
  <bookViews>
    <workbookView xWindow="0" yWindow="0" windowWidth="23040" windowHeight="9108" activeTab="1"/>
  </bookViews>
  <sheets>
    <sheet name="중분류_Rawdata" sheetId="1" r:id="rId1"/>
    <sheet name="중분류_수익률" sheetId="2" r:id="rId2"/>
    <sheet name="Sheet3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0" i="2" l="1"/>
  <c r="F60" i="2" s="1"/>
  <c r="G60" i="2" s="1"/>
  <c r="H60" i="2" s="1"/>
  <c r="I60" i="2" s="1"/>
  <c r="J60" i="2" s="1"/>
  <c r="K60" i="2" s="1"/>
  <c r="L60" i="2" s="1"/>
  <c r="M60" i="2" s="1"/>
  <c r="N60" i="2" s="1"/>
  <c r="O60" i="2" s="1"/>
  <c r="P60" i="2" s="1"/>
  <c r="Q60" i="2" s="1"/>
  <c r="R60" i="2" s="1"/>
  <c r="S60" i="2" s="1"/>
  <c r="T60" i="2" s="1"/>
  <c r="U60" i="2" s="1"/>
  <c r="V60" i="2" s="1"/>
  <c r="W60" i="2" s="1"/>
  <c r="X60" i="2" s="1"/>
  <c r="Y60" i="2" s="1"/>
  <c r="Z60" i="2" s="1"/>
  <c r="AA60" i="2" s="1"/>
  <c r="AB60" i="2" s="1"/>
  <c r="AC60" i="2" s="1"/>
  <c r="AD60" i="2" s="1"/>
  <c r="AE60" i="2" s="1"/>
  <c r="AF60" i="2" s="1"/>
  <c r="AG60" i="2" s="1"/>
  <c r="AH60" i="2" s="1"/>
  <c r="AI60" i="2" s="1"/>
  <c r="AJ60" i="2" s="1"/>
  <c r="AK60" i="2" s="1"/>
  <c r="AL60" i="2" s="1"/>
  <c r="AM60" i="2" s="1"/>
  <c r="AN60" i="2" s="1"/>
  <c r="AO60" i="2" s="1"/>
  <c r="AP60" i="2" s="1"/>
  <c r="AQ60" i="2" s="1"/>
  <c r="AR60" i="2" s="1"/>
  <c r="AS60" i="2" s="1"/>
  <c r="AT60" i="2" s="1"/>
  <c r="AU60" i="2" s="1"/>
  <c r="AV60" i="2" s="1"/>
  <c r="AW60" i="2" s="1"/>
  <c r="AX60" i="2" s="1"/>
  <c r="AY60" i="2" s="1"/>
  <c r="AZ60" i="2" s="1"/>
  <c r="BA60" i="2" s="1"/>
  <c r="BB60" i="2" s="1"/>
  <c r="BC60" i="2" s="1"/>
  <c r="BD60" i="2" s="1"/>
  <c r="BE60" i="2" s="1"/>
  <c r="BF60" i="2" s="1"/>
  <c r="BG60" i="2" s="1"/>
  <c r="BH60" i="2" s="1"/>
  <c r="BI60" i="2" s="1"/>
  <c r="BJ60" i="2" s="1"/>
  <c r="BK60" i="2" s="1"/>
  <c r="BL60" i="2" s="1"/>
  <c r="BM60" i="2" s="1"/>
  <c r="BN60" i="2" s="1"/>
  <c r="BO60" i="2" s="1"/>
  <c r="BP60" i="2" s="1"/>
  <c r="E59" i="2"/>
  <c r="F59" i="2" s="1"/>
  <c r="G59" i="2" s="1"/>
  <c r="H59" i="2" s="1"/>
  <c r="I59" i="2" s="1"/>
  <c r="J59" i="2" s="1"/>
  <c r="K59" i="2" s="1"/>
  <c r="L59" i="2" s="1"/>
  <c r="M59" i="2" s="1"/>
  <c r="N59" i="2" s="1"/>
  <c r="O59" i="2" s="1"/>
  <c r="P59" i="2" s="1"/>
  <c r="Q59" i="2" s="1"/>
  <c r="R59" i="2" s="1"/>
  <c r="S59" i="2" s="1"/>
  <c r="T59" i="2" s="1"/>
  <c r="U59" i="2" s="1"/>
  <c r="V59" i="2" s="1"/>
  <c r="W59" i="2" s="1"/>
  <c r="X59" i="2" s="1"/>
  <c r="Y59" i="2" s="1"/>
  <c r="Z59" i="2" s="1"/>
  <c r="AA59" i="2" s="1"/>
  <c r="AB59" i="2" s="1"/>
  <c r="AC59" i="2" s="1"/>
  <c r="AD59" i="2" s="1"/>
  <c r="AE59" i="2" s="1"/>
  <c r="AF59" i="2" s="1"/>
  <c r="AG59" i="2" s="1"/>
  <c r="AH59" i="2" s="1"/>
  <c r="AI59" i="2" s="1"/>
  <c r="AJ59" i="2" s="1"/>
  <c r="AK59" i="2" s="1"/>
  <c r="AL59" i="2" s="1"/>
  <c r="AM59" i="2" s="1"/>
  <c r="AN59" i="2" s="1"/>
  <c r="AO59" i="2" s="1"/>
  <c r="AP59" i="2" s="1"/>
  <c r="AQ59" i="2" s="1"/>
  <c r="AR59" i="2" s="1"/>
  <c r="AS59" i="2" s="1"/>
  <c r="AT59" i="2" s="1"/>
  <c r="AU59" i="2" s="1"/>
  <c r="AV59" i="2" s="1"/>
  <c r="AW59" i="2" s="1"/>
  <c r="AX59" i="2" s="1"/>
  <c r="AY59" i="2" s="1"/>
  <c r="AZ59" i="2" s="1"/>
  <c r="BA59" i="2" s="1"/>
  <c r="BB59" i="2" s="1"/>
  <c r="BC59" i="2" s="1"/>
  <c r="BD59" i="2" s="1"/>
  <c r="BE59" i="2" s="1"/>
  <c r="BF59" i="2" s="1"/>
  <c r="BG59" i="2" s="1"/>
  <c r="BH59" i="2" s="1"/>
  <c r="BI59" i="2" s="1"/>
  <c r="BJ59" i="2" s="1"/>
  <c r="BK59" i="2" s="1"/>
  <c r="BL59" i="2" s="1"/>
  <c r="BM59" i="2" s="1"/>
  <c r="BN59" i="2" s="1"/>
  <c r="BO59" i="2" s="1"/>
  <c r="BP59" i="2" s="1"/>
  <c r="K58" i="2"/>
  <c r="L58" i="2" s="1"/>
  <c r="M58" i="2" s="1"/>
  <c r="N58" i="2" s="1"/>
  <c r="O58" i="2" s="1"/>
  <c r="P58" i="2" s="1"/>
  <c r="Q58" i="2" s="1"/>
  <c r="R58" i="2" s="1"/>
  <c r="S58" i="2" s="1"/>
  <c r="T58" i="2" s="1"/>
  <c r="U58" i="2" s="1"/>
  <c r="V58" i="2" s="1"/>
  <c r="W58" i="2" s="1"/>
  <c r="X58" i="2" s="1"/>
  <c r="Y58" i="2" s="1"/>
  <c r="Z58" i="2" s="1"/>
  <c r="AA58" i="2" s="1"/>
  <c r="AB58" i="2" s="1"/>
  <c r="AC58" i="2" s="1"/>
  <c r="AD58" i="2" s="1"/>
  <c r="AE58" i="2" s="1"/>
  <c r="AF58" i="2" s="1"/>
  <c r="AG58" i="2" s="1"/>
  <c r="AH58" i="2" s="1"/>
  <c r="AI58" i="2" s="1"/>
  <c r="AJ58" i="2" s="1"/>
  <c r="AK58" i="2" s="1"/>
  <c r="AL58" i="2" s="1"/>
  <c r="AM58" i="2" s="1"/>
  <c r="AN58" i="2" s="1"/>
  <c r="AO58" i="2" s="1"/>
  <c r="AP58" i="2" s="1"/>
  <c r="AQ58" i="2" s="1"/>
  <c r="AR58" i="2" s="1"/>
  <c r="AS58" i="2" s="1"/>
  <c r="AT58" i="2" s="1"/>
  <c r="AU58" i="2" s="1"/>
  <c r="AV58" i="2" s="1"/>
  <c r="AW58" i="2" s="1"/>
  <c r="AX58" i="2" s="1"/>
  <c r="AY58" i="2" s="1"/>
  <c r="AZ58" i="2" s="1"/>
  <c r="BA58" i="2" s="1"/>
  <c r="BB58" i="2" s="1"/>
  <c r="BC58" i="2" s="1"/>
  <c r="BD58" i="2" s="1"/>
  <c r="BE58" i="2" s="1"/>
  <c r="BF58" i="2" s="1"/>
  <c r="BG58" i="2" s="1"/>
  <c r="BH58" i="2" s="1"/>
  <c r="BI58" i="2" s="1"/>
  <c r="BJ58" i="2" s="1"/>
  <c r="BK58" i="2" s="1"/>
  <c r="BL58" i="2" s="1"/>
  <c r="BM58" i="2" s="1"/>
  <c r="BN58" i="2" s="1"/>
  <c r="BO58" i="2" s="1"/>
  <c r="BP58" i="2" s="1"/>
  <c r="E58" i="2"/>
  <c r="F58" i="2" s="1"/>
  <c r="G58" i="2" s="1"/>
  <c r="H58" i="2" s="1"/>
  <c r="I58" i="2" s="1"/>
  <c r="J58" i="2" s="1"/>
  <c r="L57" i="2"/>
  <c r="M57" i="2" s="1"/>
  <c r="N57" i="2" s="1"/>
  <c r="O57" i="2" s="1"/>
  <c r="P57" i="2" s="1"/>
  <c r="Q57" i="2" s="1"/>
  <c r="R57" i="2" s="1"/>
  <c r="S57" i="2" s="1"/>
  <c r="T57" i="2" s="1"/>
  <c r="U57" i="2" s="1"/>
  <c r="V57" i="2" s="1"/>
  <c r="W57" i="2" s="1"/>
  <c r="X57" i="2" s="1"/>
  <c r="Y57" i="2" s="1"/>
  <c r="Z57" i="2" s="1"/>
  <c r="AA57" i="2" s="1"/>
  <c r="AB57" i="2" s="1"/>
  <c r="AC57" i="2" s="1"/>
  <c r="AD57" i="2" s="1"/>
  <c r="AE57" i="2" s="1"/>
  <c r="AF57" i="2" s="1"/>
  <c r="AG57" i="2" s="1"/>
  <c r="AH57" i="2" s="1"/>
  <c r="AI57" i="2" s="1"/>
  <c r="AJ57" i="2" s="1"/>
  <c r="AK57" i="2" s="1"/>
  <c r="AL57" i="2" s="1"/>
  <c r="AM57" i="2" s="1"/>
  <c r="AN57" i="2" s="1"/>
  <c r="AO57" i="2" s="1"/>
  <c r="AP57" i="2" s="1"/>
  <c r="AQ57" i="2" s="1"/>
  <c r="AR57" i="2" s="1"/>
  <c r="AS57" i="2" s="1"/>
  <c r="AT57" i="2" s="1"/>
  <c r="AU57" i="2" s="1"/>
  <c r="AV57" i="2" s="1"/>
  <c r="AW57" i="2" s="1"/>
  <c r="AX57" i="2" s="1"/>
  <c r="AY57" i="2" s="1"/>
  <c r="AZ57" i="2" s="1"/>
  <c r="BA57" i="2" s="1"/>
  <c r="BB57" i="2" s="1"/>
  <c r="BC57" i="2" s="1"/>
  <c r="BD57" i="2" s="1"/>
  <c r="BE57" i="2" s="1"/>
  <c r="BF57" i="2" s="1"/>
  <c r="BG57" i="2" s="1"/>
  <c r="BH57" i="2" s="1"/>
  <c r="BI57" i="2" s="1"/>
  <c r="BJ57" i="2" s="1"/>
  <c r="BK57" i="2" s="1"/>
  <c r="BL57" i="2" s="1"/>
  <c r="BM57" i="2" s="1"/>
  <c r="BN57" i="2" s="1"/>
  <c r="BO57" i="2" s="1"/>
  <c r="BP57" i="2" s="1"/>
  <c r="G57" i="2"/>
  <c r="H57" i="2" s="1"/>
  <c r="I57" i="2" s="1"/>
  <c r="J57" i="2" s="1"/>
  <c r="K57" i="2" s="1"/>
  <c r="E57" i="2"/>
  <c r="F57" i="2" s="1"/>
  <c r="G56" i="2"/>
  <c r="H56" i="2" s="1"/>
  <c r="I56" i="2" s="1"/>
  <c r="J56" i="2" s="1"/>
  <c r="K56" i="2" s="1"/>
  <c r="L56" i="2" s="1"/>
  <c r="M56" i="2" s="1"/>
  <c r="N56" i="2" s="1"/>
  <c r="O56" i="2" s="1"/>
  <c r="P56" i="2" s="1"/>
  <c r="Q56" i="2" s="1"/>
  <c r="R56" i="2" s="1"/>
  <c r="S56" i="2" s="1"/>
  <c r="T56" i="2" s="1"/>
  <c r="U56" i="2" s="1"/>
  <c r="V56" i="2" s="1"/>
  <c r="W56" i="2" s="1"/>
  <c r="X56" i="2" s="1"/>
  <c r="Y56" i="2" s="1"/>
  <c r="Z56" i="2" s="1"/>
  <c r="AA56" i="2" s="1"/>
  <c r="AB56" i="2" s="1"/>
  <c r="AC56" i="2" s="1"/>
  <c r="AD56" i="2" s="1"/>
  <c r="AE56" i="2" s="1"/>
  <c r="AF56" i="2" s="1"/>
  <c r="AG56" i="2" s="1"/>
  <c r="AH56" i="2" s="1"/>
  <c r="AI56" i="2" s="1"/>
  <c r="AJ56" i="2" s="1"/>
  <c r="AK56" i="2" s="1"/>
  <c r="AL56" i="2" s="1"/>
  <c r="AM56" i="2" s="1"/>
  <c r="AN56" i="2" s="1"/>
  <c r="AO56" i="2" s="1"/>
  <c r="AP56" i="2" s="1"/>
  <c r="AQ56" i="2" s="1"/>
  <c r="AR56" i="2" s="1"/>
  <c r="AS56" i="2" s="1"/>
  <c r="AT56" i="2" s="1"/>
  <c r="AU56" i="2" s="1"/>
  <c r="AV56" i="2" s="1"/>
  <c r="AW56" i="2" s="1"/>
  <c r="AX56" i="2" s="1"/>
  <c r="AY56" i="2" s="1"/>
  <c r="AZ56" i="2" s="1"/>
  <c r="BA56" i="2" s="1"/>
  <c r="BB56" i="2" s="1"/>
  <c r="BC56" i="2" s="1"/>
  <c r="BD56" i="2" s="1"/>
  <c r="BE56" i="2" s="1"/>
  <c r="BF56" i="2" s="1"/>
  <c r="BG56" i="2" s="1"/>
  <c r="BH56" i="2" s="1"/>
  <c r="BI56" i="2" s="1"/>
  <c r="BJ56" i="2" s="1"/>
  <c r="BK56" i="2" s="1"/>
  <c r="BL56" i="2" s="1"/>
  <c r="BM56" i="2" s="1"/>
  <c r="BN56" i="2" s="1"/>
  <c r="BO56" i="2" s="1"/>
  <c r="BP56" i="2" s="1"/>
  <c r="E56" i="2"/>
  <c r="F56" i="2" s="1"/>
  <c r="J55" i="2"/>
  <c r="K55" i="2" s="1"/>
  <c r="L55" i="2" s="1"/>
  <c r="M55" i="2" s="1"/>
  <c r="N55" i="2" s="1"/>
  <c r="O55" i="2" s="1"/>
  <c r="P55" i="2" s="1"/>
  <c r="Q55" i="2" s="1"/>
  <c r="R55" i="2" s="1"/>
  <c r="S55" i="2" s="1"/>
  <c r="T55" i="2" s="1"/>
  <c r="U55" i="2" s="1"/>
  <c r="V55" i="2" s="1"/>
  <c r="W55" i="2" s="1"/>
  <c r="X55" i="2" s="1"/>
  <c r="Y55" i="2" s="1"/>
  <c r="Z55" i="2" s="1"/>
  <c r="AA55" i="2" s="1"/>
  <c r="AB55" i="2" s="1"/>
  <c r="AC55" i="2" s="1"/>
  <c r="AD55" i="2" s="1"/>
  <c r="AE55" i="2" s="1"/>
  <c r="AF55" i="2" s="1"/>
  <c r="AG55" i="2" s="1"/>
  <c r="AH55" i="2" s="1"/>
  <c r="AI55" i="2" s="1"/>
  <c r="AJ55" i="2" s="1"/>
  <c r="AK55" i="2" s="1"/>
  <c r="AL55" i="2" s="1"/>
  <c r="AM55" i="2" s="1"/>
  <c r="AN55" i="2" s="1"/>
  <c r="AO55" i="2" s="1"/>
  <c r="AP55" i="2" s="1"/>
  <c r="AQ55" i="2" s="1"/>
  <c r="AR55" i="2" s="1"/>
  <c r="AS55" i="2" s="1"/>
  <c r="AT55" i="2" s="1"/>
  <c r="AU55" i="2" s="1"/>
  <c r="AV55" i="2" s="1"/>
  <c r="AW55" i="2" s="1"/>
  <c r="AX55" i="2" s="1"/>
  <c r="AY55" i="2" s="1"/>
  <c r="AZ55" i="2" s="1"/>
  <c r="BA55" i="2" s="1"/>
  <c r="BB55" i="2" s="1"/>
  <c r="BC55" i="2" s="1"/>
  <c r="BD55" i="2" s="1"/>
  <c r="BE55" i="2" s="1"/>
  <c r="BF55" i="2" s="1"/>
  <c r="BG55" i="2" s="1"/>
  <c r="BH55" i="2" s="1"/>
  <c r="BI55" i="2" s="1"/>
  <c r="BJ55" i="2" s="1"/>
  <c r="BK55" i="2" s="1"/>
  <c r="BL55" i="2" s="1"/>
  <c r="BM55" i="2" s="1"/>
  <c r="BN55" i="2" s="1"/>
  <c r="BO55" i="2" s="1"/>
  <c r="BP55" i="2" s="1"/>
  <c r="E55" i="2"/>
  <c r="F55" i="2" s="1"/>
  <c r="G55" i="2" s="1"/>
  <c r="H55" i="2" s="1"/>
  <c r="I55" i="2" s="1"/>
  <c r="E54" i="2"/>
  <c r="F54" i="2" s="1"/>
  <c r="G54" i="2" s="1"/>
  <c r="H54" i="2" s="1"/>
  <c r="I54" i="2" s="1"/>
  <c r="J54" i="2" s="1"/>
  <c r="K54" i="2" s="1"/>
  <c r="L54" i="2" s="1"/>
  <c r="M54" i="2" s="1"/>
  <c r="N54" i="2" s="1"/>
  <c r="O54" i="2" s="1"/>
  <c r="P54" i="2" s="1"/>
  <c r="Q54" i="2" s="1"/>
  <c r="R54" i="2" s="1"/>
  <c r="S54" i="2" s="1"/>
  <c r="T54" i="2" s="1"/>
  <c r="U54" i="2" s="1"/>
  <c r="V54" i="2" s="1"/>
  <c r="W54" i="2" s="1"/>
  <c r="X54" i="2" s="1"/>
  <c r="Y54" i="2" s="1"/>
  <c r="Z54" i="2" s="1"/>
  <c r="AA54" i="2" s="1"/>
  <c r="AB54" i="2" s="1"/>
  <c r="AC54" i="2" s="1"/>
  <c r="AD54" i="2" s="1"/>
  <c r="AE54" i="2" s="1"/>
  <c r="AF54" i="2" s="1"/>
  <c r="AG54" i="2" s="1"/>
  <c r="AH54" i="2" s="1"/>
  <c r="AI54" i="2" s="1"/>
  <c r="AJ54" i="2" s="1"/>
  <c r="AK54" i="2" s="1"/>
  <c r="AL54" i="2" s="1"/>
  <c r="AM54" i="2" s="1"/>
  <c r="AN54" i="2" s="1"/>
  <c r="AO54" i="2" s="1"/>
  <c r="AP54" i="2" s="1"/>
  <c r="AQ54" i="2" s="1"/>
  <c r="AR54" i="2" s="1"/>
  <c r="AS54" i="2" s="1"/>
  <c r="AT54" i="2" s="1"/>
  <c r="AU54" i="2" s="1"/>
  <c r="AV54" i="2" s="1"/>
  <c r="AW54" i="2" s="1"/>
  <c r="AX54" i="2" s="1"/>
  <c r="AY54" i="2" s="1"/>
  <c r="AZ54" i="2" s="1"/>
  <c r="BA54" i="2" s="1"/>
  <c r="BB54" i="2" s="1"/>
  <c r="BC54" i="2" s="1"/>
  <c r="BD54" i="2" s="1"/>
  <c r="BE54" i="2" s="1"/>
  <c r="BF54" i="2" s="1"/>
  <c r="BG54" i="2" s="1"/>
  <c r="BH54" i="2" s="1"/>
  <c r="BI54" i="2" s="1"/>
  <c r="BJ54" i="2" s="1"/>
  <c r="BK54" i="2" s="1"/>
  <c r="BL54" i="2" s="1"/>
  <c r="BM54" i="2" s="1"/>
  <c r="BN54" i="2" s="1"/>
  <c r="BO54" i="2" s="1"/>
  <c r="BP54" i="2" s="1"/>
  <c r="J53" i="2"/>
  <c r="K53" i="2" s="1"/>
  <c r="L53" i="2" s="1"/>
  <c r="M53" i="2" s="1"/>
  <c r="N53" i="2" s="1"/>
  <c r="O53" i="2" s="1"/>
  <c r="P53" i="2" s="1"/>
  <c r="Q53" i="2" s="1"/>
  <c r="R53" i="2" s="1"/>
  <c r="S53" i="2" s="1"/>
  <c r="T53" i="2" s="1"/>
  <c r="U53" i="2" s="1"/>
  <c r="V53" i="2" s="1"/>
  <c r="W53" i="2" s="1"/>
  <c r="X53" i="2" s="1"/>
  <c r="Y53" i="2" s="1"/>
  <c r="Z53" i="2" s="1"/>
  <c r="AA53" i="2" s="1"/>
  <c r="AB53" i="2" s="1"/>
  <c r="AC53" i="2" s="1"/>
  <c r="AD53" i="2" s="1"/>
  <c r="AE53" i="2" s="1"/>
  <c r="AF53" i="2" s="1"/>
  <c r="AG53" i="2" s="1"/>
  <c r="AH53" i="2" s="1"/>
  <c r="AI53" i="2" s="1"/>
  <c r="AJ53" i="2" s="1"/>
  <c r="AK53" i="2" s="1"/>
  <c r="AL53" i="2" s="1"/>
  <c r="AM53" i="2" s="1"/>
  <c r="AN53" i="2" s="1"/>
  <c r="AO53" i="2" s="1"/>
  <c r="AP53" i="2" s="1"/>
  <c r="AQ53" i="2" s="1"/>
  <c r="AR53" i="2" s="1"/>
  <c r="AS53" i="2" s="1"/>
  <c r="AT53" i="2" s="1"/>
  <c r="AU53" i="2" s="1"/>
  <c r="AV53" i="2" s="1"/>
  <c r="AW53" i="2" s="1"/>
  <c r="AX53" i="2" s="1"/>
  <c r="AY53" i="2" s="1"/>
  <c r="AZ53" i="2" s="1"/>
  <c r="BA53" i="2" s="1"/>
  <c r="BB53" i="2" s="1"/>
  <c r="BC53" i="2" s="1"/>
  <c r="BD53" i="2" s="1"/>
  <c r="BE53" i="2" s="1"/>
  <c r="BF53" i="2" s="1"/>
  <c r="BG53" i="2" s="1"/>
  <c r="BH53" i="2" s="1"/>
  <c r="BI53" i="2" s="1"/>
  <c r="BJ53" i="2" s="1"/>
  <c r="BK53" i="2" s="1"/>
  <c r="BL53" i="2" s="1"/>
  <c r="BM53" i="2" s="1"/>
  <c r="BN53" i="2" s="1"/>
  <c r="BO53" i="2" s="1"/>
  <c r="BP53" i="2" s="1"/>
  <c r="E53" i="2"/>
  <c r="F53" i="2" s="1"/>
  <c r="G53" i="2" s="1"/>
  <c r="H53" i="2" s="1"/>
  <c r="I53" i="2" s="1"/>
  <c r="F52" i="2"/>
  <c r="G52" i="2" s="1"/>
  <c r="H52" i="2" s="1"/>
  <c r="I52" i="2" s="1"/>
  <c r="J52" i="2" s="1"/>
  <c r="K52" i="2" s="1"/>
  <c r="L52" i="2" s="1"/>
  <c r="M52" i="2" s="1"/>
  <c r="N52" i="2" s="1"/>
  <c r="O52" i="2" s="1"/>
  <c r="P52" i="2" s="1"/>
  <c r="Q52" i="2" s="1"/>
  <c r="R52" i="2" s="1"/>
  <c r="S52" i="2" s="1"/>
  <c r="T52" i="2" s="1"/>
  <c r="U52" i="2" s="1"/>
  <c r="V52" i="2" s="1"/>
  <c r="W52" i="2" s="1"/>
  <c r="X52" i="2" s="1"/>
  <c r="Y52" i="2" s="1"/>
  <c r="Z52" i="2" s="1"/>
  <c r="AA52" i="2" s="1"/>
  <c r="AB52" i="2" s="1"/>
  <c r="AC52" i="2" s="1"/>
  <c r="AD52" i="2" s="1"/>
  <c r="AE52" i="2" s="1"/>
  <c r="AF52" i="2" s="1"/>
  <c r="AG52" i="2" s="1"/>
  <c r="AH52" i="2" s="1"/>
  <c r="AI52" i="2" s="1"/>
  <c r="AJ52" i="2" s="1"/>
  <c r="AK52" i="2" s="1"/>
  <c r="AL52" i="2" s="1"/>
  <c r="AM52" i="2" s="1"/>
  <c r="AN52" i="2" s="1"/>
  <c r="AO52" i="2" s="1"/>
  <c r="AP52" i="2" s="1"/>
  <c r="AQ52" i="2" s="1"/>
  <c r="AR52" i="2" s="1"/>
  <c r="AS52" i="2" s="1"/>
  <c r="AT52" i="2" s="1"/>
  <c r="AU52" i="2" s="1"/>
  <c r="AV52" i="2" s="1"/>
  <c r="AW52" i="2" s="1"/>
  <c r="AX52" i="2" s="1"/>
  <c r="AY52" i="2" s="1"/>
  <c r="AZ52" i="2" s="1"/>
  <c r="BA52" i="2" s="1"/>
  <c r="BB52" i="2" s="1"/>
  <c r="BC52" i="2" s="1"/>
  <c r="BD52" i="2" s="1"/>
  <c r="BE52" i="2" s="1"/>
  <c r="BF52" i="2" s="1"/>
  <c r="BG52" i="2" s="1"/>
  <c r="BH52" i="2" s="1"/>
  <c r="BI52" i="2" s="1"/>
  <c r="BJ52" i="2" s="1"/>
  <c r="BK52" i="2" s="1"/>
  <c r="BL52" i="2" s="1"/>
  <c r="BM52" i="2" s="1"/>
  <c r="BN52" i="2" s="1"/>
  <c r="BO52" i="2" s="1"/>
  <c r="BP52" i="2" s="1"/>
  <c r="E52" i="2"/>
  <c r="J51" i="2"/>
  <c r="K51" i="2" s="1"/>
  <c r="L51" i="2" s="1"/>
  <c r="M51" i="2" s="1"/>
  <c r="N51" i="2" s="1"/>
  <c r="O51" i="2" s="1"/>
  <c r="P51" i="2" s="1"/>
  <c r="Q51" i="2" s="1"/>
  <c r="R51" i="2" s="1"/>
  <c r="S51" i="2" s="1"/>
  <c r="T51" i="2" s="1"/>
  <c r="U51" i="2" s="1"/>
  <c r="V51" i="2" s="1"/>
  <c r="W51" i="2" s="1"/>
  <c r="X51" i="2" s="1"/>
  <c r="Y51" i="2" s="1"/>
  <c r="Z51" i="2" s="1"/>
  <c r="AA51" i="2" s="1"/>
  <c r="AB51" i="2" s="1"/>
  <c r="AC51" i="2" s="1"/>
  <c r="AD51" i="2" s="1"/>
  <c r="AE51" i="2" s="1"/>
  <c r="AF51" i="2" s="1"/>
  <c r="AG51" i="2" s="1"/>
  <c r="AH51" i="2" s="1"/>
  <c r="AI51" i="2" s="1"/>
  <c r="AJ51" i="2" s="1"/>
  <c r="AK51" i="2" s="1"/>
  <c r="AL51" i="2" s="1"/>
  <c r="AM51" i="2" s="1"/>
  <c r="AN51" i="2" s="1"/>
  <c r="AO51" i="2" s="1"/>
  <c r="AP51" i="2" s="1"/>
  <c r="AQ51" i="2" s="1"/>
  <c r="AR51" i="2" s="1"/>
  <c r="AS51" i="2" s="1"/>
  <c r="AT51" i="2" s="1"/>
  <c r="AU51" i="2" s="1"/>
  <c r="AV51" i="2" s="1"/>
  <c r="AW51" i="2" s="1"/>
  <c r="AX51" i="2" s="1"/>
  <c r="AY51" i="2" s="1"/>
  <c r="AZ51" i="2" s="1"/>
  <c r="BA51" i="2" s="1"/>
  <c r="BB51" i="2" s="1"/>
  <c r="BC51" i="2" s="1"/>
  <c r="BD51" i="2" s="1"/>
  <c r="BE51" i="2" s="1"/>
  <c r="BF51" i="2" s="1"/>
  <c r="BG51" i="2" s="1"/>
  <c r="BH51" i="2" s="1"/>
  <c r="BI51" i="2" s="1"/>
  <c r="BJ51" i="2" s="1"/>
  <c r="BK51" i="2" s="1"/>
  <c r="BL51" i="2" s="1"/>
  <c r="BM51" i="2" s="1"/>
  <c r="BN51" i="2" s="1"/>
  <c r="BO51" i="2" s="1"/>
  <c r="BP51" i="2" s="1"/>
  <c r="F51" i="2"/>
  <c r="G51" i="2" s="1"/>
  <c r="H51" i="2" s="1"/>
  <c r="I51" i="2" s="1"/>
  <c r="E51" i="2"/>
  <c r="F50" i="2"/>
  <c r="G50" i="2" s="1"/>
  <c r="H50" i="2" s="1"/>
  <c r="I50" i="2" s="1"/>
  <c r="J50" i="2" s="1"/>
  <c r="K50" i="2" s="1"/>
  <c r="L50" i="2" s="1"/>
  <c r="M50" i="2" s="1"/>
  <c r="N50" i="2" s="1"/>
  <c r="O50" i="2" s="1"/>
  <c r="P50" i="2" s="1"/>
  <c r="Q50" i="2" s="1"/>
  <c r="R50" i="2" s="1"/>
  <c r="S50" i="2" s="1"/>
  <c r="T50" i="2" s="1"/>
  <c r="U50" i="2" s="1"/>
  <c r="V50" i="2" s="1"/>
  <c r="W50" i="2" s="1"/>
  <c r="X50" i="2" s="1"/>
  <c r="Y50" i="2" s="1"/>
  <c r="Z50" i="2" s="1"/>
  <c r="AA50" i="2" s="1"/>
  <c r="AB50" i="2" s="1"/>
  <c r="AC50" i="2" s="1"/>
  <c r="AD50" i="2" s="1"/>
  <c r="AE50" i="2" s="1"/>
  <c r="AF50" i="2" s="1"/>
  <c r="AG50" i="2" s="1"/>
  <c r="AH50" i="2" s="1"/>
  <c r="AI50" i="2" s="1"/>
  <c r="AJ50" i="2" s="1"/>
  <c r="AK50" i="2" s="1"/>
  <c r="AL50" i="2" s="1"/>
  <c r="AM50" i="2" s="1"/>
  <c r="AN50" i="2" s="1"/>
  <c r="AO50" i="2" s="1"/>
  <c r="AP50" i="2" s="1"/>
  <c r="AQ50" i="2" s="1"/>
  <c r="AR50" i="2" s="1"/>
  <c r="AS50" i="2" s="1"/>
  <c r="AT50" i="2" s="1"/>
  <c r="AU50" i="2" s="1"/>
  <c r="AV50" i="2" s="1"/>
  <c r="AW50" i="2" s="1"/>
  <c r="AX50" i="2" s="1"/>
  <c r="AY50" i="2" s="1"/>
  <c r="AZ50" i="2" s="1"/>
  <c r="BA50" i="2" s="1"/>
  <c r="BB50" i="2" s="1"/>
  <c r="BC50" i="2" s="1"/>
  <c r="BD50" i="2" s="1"/>
  <c r="BE50" i="2" s="1"/>
  <c r="BF50" i="2" s="1"/>
  <c r="BG50" i="2" s="1"/>
  <c r="BH50" i="2" s="1"/>
  <c r="BI50" i="2" s="1"/>
  <c r="BJ50" i="2" s="1"/>
  <c r="BK50" i="2" s="1"/>
  <c r="BL50" i="2" s="1"/>
  <c r="BM50" i="2" s="1"/>
  <c r="BN50" i="2" s="1"/>
  <c r="BO50" i="2" s="1"/>
  <c r="BP50" i="2" s="1"/>
  <c r="E50" i="2"/>
  <c r="E49" i="2"/>
  <c r="F49" i="2" s="1"/>
  <c r="G49" i="2" s="1"/>
  <c r="H49" i="2" s="1"/>
  <c r="I49" i="2" s="1"/>
  <c r="J49" i="2" s="1"/>
  <c r="K49" i="2" s="1"/>
  <c r="L49" i="2" s="1"/>
  <c r="M49" i="2" s="1"/>
  <c r="N49" i="2" s="1"/>
  <c r="O49" i="2" s="1"/>
  <c r="P49" i="2" s="1"/>
  <c r="Q49" i="2" s="1"/>
  <c r="R49" i="2" s="1"/>
  <c r="S49" i="2" s="1"/>
  <c r="T49" i="2" s="1"/>
  <c r="U49" i="2" s="1"/>
  <c r="V49" i="2" s="1"/>
  <c r="W49" i="2" s="1"/>
  <c r="X49" i="2" s="1"/>
  <c r="Y49" i="2" s="1"/>
  <c r="Z49" i="2" s="1"/>
  <c r="AA49" i="2" s="1"/>
  <c r="AB49" i="2" s="1"/>
  <c r="AC49" i="2" s="1"/>
  <c r="AD49" i="2" s="1"/>
  <c r="AE49" i="2" s="1"/>
  <c r="AF49" i="2" s="1"/>
  <c r="AG49" i="2" s="1"/>
  <c r="AH49" i="2" s="1"/>
  <c r="AI49" i="2" s="1"/>
  <c r="AJ49" i="2" s="1"/>
  <c r="AK49" i="2" s="1"/>
  <c r="AL49" i="2" s="1"/>
  <c r="AM49" i="2" s="1"/>
  <c r="AN49" i="2" s="1"/>
  <c r="AO49" i="2" s="1"/>
  <c r="AP49" i="2" s="1"/>
  <c r="AQ49" i="2" s="1"/>
  <c r="AR49" i="2" s="1"/>
  <c r="AS49" i="2" s="1"/>
  <c r="AT49" i="2" s="1"/>
  <c r="AU49" i="2" s="1"/>
  <c r="AV49" i="2" s="1"/>
  <c r="AW49" i="2" s="1"/>
  <c r="AX49" i="2" s="1"/>
  <c r="AY49" i="2" s="1"/>
  <c r="AZ49" i="2" s="1"/>
  <c r="BA49" i="2" s="1"/>
  <c r="BB49" i="2" s="1"/>
  <c r="BC49" i="2" s="1"/>
  <c r="BD49" i="2" s="1"/>
  <c r="BE49" i="2" s="1"/>
  <c r="BF49" i="2" s="1"/>
  <c r="BG49" i="2" s="1"/>
  <c r="BH49" i="2" s="1"/>
  <c r="BI49" i="2" s="1"/>
  <c r="BJ49" i="2" s="1"/>
  <c r="BK49" i="2" s="1"/>
  <c r="BL49" i="2" s="1"/>
  <c r="BM49" i="2" s="1"/>
  <c r="BN49" i="2" s="1"/>
  <c r="BO49" i="2" s="1"/>
  <c r="BP49" i="2" s="1"/>
  <c r="E48" i="2"/>
  <c r="F48" i="2" s="1"/>
  <c r="G48" i="2" s="1"/>
  <c r="H48" i="2" s="1"/>
  <c r="I48" i="2" s="1"/>
  <c r="J48" i="2" s="1"/>
  <c r="K48" i="2" s="1"/>
  <c r="L48" i="2" s="1"/>
  <c r="M48" i="2" s="1"/>
  <c r="N48" i="2" s="1"/>
  <c r="O48" i="2" s="1"/>
  <c r="P48" i="2" s="1"/>
  <c r="Q48" i="2" s="1"/>
  <c r="R48" i="2" s="1"/>
  <c r="S48" i="2" s="1"/>
  <c r="T48" i="2" s="1"/>
  <c r="U48" i="2" s="1"/>
  <c r="V48" i="2" s="1"/>
  <c r="W48" i="2" s="1"/>
  <c r="X48" i="2" s="1"/>
  <c r="Y48" i="2" s="1"/>
  <c r="Z48" i="2" s="1"/>
  <c r="AA48" i="2" s="1"/>
  <c r="AB48" i="2" s="1"/>
  <c r="AC48" i="2" s="1"/>
  <c r="AD48" i="2" s="1"/>
  <c r="AE48" i="2" s="1"/>
  <c r="AF48" i="2" s="1"/>
  <c r="AG48" i="2" s="1"/>
  <c r="AH48" i="2" s="1"/>
  <c r="AI48" i="2" s="1"/>
  <c r="AJ48" i="2" s="1"/>
  <c r="AK48" i="2" s="1"/>
  <c r="AL48" i="2" s="1"/>
  <c r="AM48" i="2" s="1"/>
  <c r="AN48" i="2" s="1"/>
  <c r="AO48" i="2" s="1"/>
  <c r="AP48" i="2" s="1"/>
  <c r="AQ48" i="2" s="1"/>
  <c r="AR48" i="2" s="1"/>
  <c r="AS48" i="2" s="1"/>
  <c r="AT48" i="2" s="1"/>
  <c r="AU48" i="2" s="1"/>
  <c r="AV48" i="2" s="1"/>
  <c r="AW48" i="2" s="1"/>
  <c r="AX48" i="2" s="1"/>
  <c r="AY48" i="2" s="1"/>
  <c r="AZ48" i="2" s="1"/>
  <c r="BA48" i="2" s="1"/>
  <c r="BB48" i="2" s="1"/>
  <c r="BC48" i="2" s="1"/>
  <c r="BD48" i="2" s="1"/>
  <c r="BE48" i="2" s="1"/>
  <c r="BF48" i="2" s="1"/>
  <c r="BG48" i="2" s="1"/>
  <c r="BH48" i="2" s="1"/>
  <c r="BI48" i="2" s="1"/>
  <c r="BJ48" i="2" s="1"/>
  <c r="BK48" i="2" s="1"/>
  <c r="BL48" i="2" s="1"/>
  <c r="BM48" i="2" s="1"/>
  <c r="BN48" i="2" s="1"/>
  <c r="BO48" i="2" s="1"/>
  <c r="BP48" i="2" s="1"/>
  <c r="E47" i="2"/>
  <c r="F47" i="2" s="1"/>
  <c r="G47" i="2" s="1"/>
  <c r="H47" i="2" s="1"/>
  <c r="I47" i="2" s="1"/>
  <c r="J47" i="2" s="1"/>
  <c r="K47" i="2" s="1"/>
  <c r="L47" i="2" s="1"/>
  <c r="M47" i="2" s="1"/>
  <c r="N47" i="2" s="1"/>
  <c r="O47" i="2" s="1"/>
  <c r="P47" i="2" s="1"/>
  <c r="Q47" i="2" s="1"/>
  <c r="R47" i="2" s="1"/>
  <c r="S47" i="2" s="1"/>
  <c r="T47" i="2" s="1"/>
  <c r="U47" i="2" s="1"/>
  <c r="V47" i="2" s="1"/>
  <c r="W47" i="2" s="1"/>
  <c r="X47" i="2" s="1"/>
  <c r="Y47" i="2" s="1"/>
  <c r="Z47" i="2" s="1"/>
  <c r="AA47" i="2" s="1"/>
  <c r="AB47" i="2" s="1"/>
  <c r="AC47" i="2" s="1"/>
  <c r="AD47" i="2" s="1"/>
  <c r="AE47" i="2" s="1"/>
  <c r="AF47" i="2" s="1"/>
  <c r="AG47" i="2" s="1"/>
  <c r="AH47" i="2" s="1"/>
  <c r="AI47" i="2" s="1"/>
  <c r="AJ47" i="2" s="1"/>
  <c r="AK47" i="2" s="1"/>
  <c r="AL47" i="2" s="1"/>
  <c r="AM47" i="2" s="1"/>
  <c r="AN47" i="2" s="1"/>
  <c r="AO47" i="2" s="1"/>
  <c r="AP47" i="2" s="1"/>
  <c r="AQ47" i="2" s="1"/>
  <c r="AR47" i="2" s="1"/>
  <c r="AS47" i="2" s="1"/>
  <c r="AT47" i="2" s="1"/>
  <c r="AU47" i="2" s="1"/>
  <c r="AV47" i="2" s="1"/>
  <c r="AW47" i="2" s="1"/>
  <c r="AX47" i="2" s="1"/>
  <c r="AY47" i="2" s="1"/>
  <c r="AZ47" i="2" s="1"/>
  <c r="BA47" i="2" s="1"/>
  <c r="BB47" i="2" s="1"/>
  <c r="BC47" i="2" s="1"/>
  <c r="BD47" i="2" s="1"/>
  <c r="BE47" i="2" s="1"/>
  <c r="BF47" i="2" s="1"/>
  <c r="BG47" i="2" s="1"/>
  <c r="BH47" i="2" s="1"/>
  <c r="BI47" i="2" s="1"/>
  <c r="BJ47" i="2" s="1"/>
  <c r="BK47" i="2" s="1"/>
  <c r="BL47" i="2" s="1"/>
  <c r="BM47" i="2" s="1"/>
  <c r="BN47" i="2" s="1"/>
  <c r="BO47" i="2" s="1"/>
  <c r="BP47" i="2" s="1"/>
  <c r="E46" i="2"/>
  <c r="F46" i="2" s="1"/>
  <c r="G46" i="2" s="1"/>
  <c r="H46" i="2" s="1"/>
  <c r="I46" i="2" s="1"/>
  <c r="J46" i="2" s="1"/>
  <c r="K46" i="2" s="1"/>
  <c r="L46" i="2" s="1"/>
  <c r="M46" i="2" s="1"/>
  <c r="N46" i="2" s="1"/>
  <c r="O46" i="2" s="1"/>
  <c r="P46" i="2" s="1"/>
  <c r="Q46" i="2" s="1"/>
  <c r="R46" i="2" s="1"/>
  <c r="S46" i="2" s="1"/>
  <c r="T46" i="2" s="1"/>
  <c r="U46" i="2" s="1"/>
  <c r="V46" i="2" s="1"/>
  <c r="W46" i="2" s="1"/>
  <c r="X46" i="2" s="1"/>
  <c r="Y46" i="2" s="1"/>
  <c r="Z46" i="2" s="1"/>
  <c r="AA46" i="2" s="1"/>
  <c r="AB46" i="2" s="1"/>
  <c r="AC46" i="2" s="1"/>
  <c r="AD46" i="2" s="1"/>
  <c r="AE46" i="2" s="1"/>
  <c r="AF46" i="2" s="1"/>
  <c r="AG46" i="2" s="1"/>
  <c r="AH46" i="2" s="1"/>
  <c r="AI46" i="2" s="1"/>
  <c r="AJ46" i="2" s="1"/>
  <c r="AK46" i="2" s="1"/>
  <c r="AL46" i="2" s="1"/>
  <c r="AM46" i="2" s="1"/>
  <c r="AN46" i="2" s="1"/>
  <c r="AO46" i="2" s="1"/>
  <c r="AP46" i="2" s="1"/>
  <c r="AQ46" i="2" s="1"/>
  <c r="AR46" i="2" s="1"/>
  <c r="AS46" i="2" s="1"/>
  <c r="AT46" i="2" s="1"/>
  <c r="AU46" i="2" s="1"/>
  <c r="AV46" i="2" s="1"/>
  <c r="AW46" i="2" s="1"/>
  <c r="AX46" i="2" s="1"/>
  <c r="AY46" i="2" s="1"/>
  <c r="AZ46" i="2" s="1"/>
  <c r="BA46" i="2" s="1"/>
  <c r="BB46" i="2" s="1"/>
  <c r="BC46" i="2" s="1"/>
  <c r="BD46" i="2" s="1"/>
  <c r="BE46" i="2" s="1"/>
  <c r="BF46" i="2" s="1"/>
  <c r="BG46" i="2" s="1"/>
  <c r="BH46" i="2" s="1"/>
  <c r="BI46" i="2" s="1"/>
  <c r="BJ46" i="2" s="1"/>
  <c r="BK46" i="2" s="1"/>
  <c r="BL46" i="2" s="1"/>
  <c r="BM46" i="2" s="1"/>
  <c r="BN46" i="2" s="1"/>
  <c r="BO46" i="2" s="1"/>
  <c r="BP46" i="2" s="1"/>
  <c r="I45" i="2"/>
  <c r="J45" i="2" s="1"/>
  <c r="K45" i="2" s="1"/>
  <c r="L45" i="2" s="1"/>
  <c r="M45" i="2" s="1"/>
  <c r="N45" i="2" s="1"/>
  <c r="O45" i="2" s="1"/>
  <c r="P45" i="2" s="1"/>
  <c r="Q45" i="2" s="1"/>
  <c r="R45" i="2" s="1"/>
  <c r="S45" i="2" s="1"/>
  <c r="T45" i="2" s="1"/>
  <c r="U45" i="2" s="1"/>
  <c r="V45" i="2" s="1"/>
  <c r="W45" i="2" s="1"/>
  <c r="X45" i="2" s="1"/>
  <c r="Y45" i="2" s="1"/>
  <c r="Z45" i="2" s="1"/>
  <c r="AA45" i="2" s="1"/>
  <c r="AB45" i="2" s="1"/>
  <c r="AC45" i="2" s="1"/>
  <c r="AD45" i="2" s="1"/>
  <c r="AE45" i="2" s="1"/>
  <c r="AF45" i="2" s="1"/>
  <c r="AG45" i="2" s="1"/>
  <c r="AH45" i="2" s="1"/>
  <c r="AI45" i="2" s="1"/>
  <c r="AJ45" i="2" s="1"/>
  <c r="AK45" i="2" s="1"/>
  <c r="AL45" i="2" s="1"/>
  <c r="AM45" i="2" s="1"/>
  <c r="AN45" i="2" s="1"/>
  <c r="AO45" i="2" s="1"/>
  <c r="AP45" i="2" s="1"/>
  <c r="AQ45" i="2" s="1"/>
  <c r="AR45" i="2" s="1"/>
  <c r="AS45" i="2" s="1"/>
  <c r="AT45" i="2" s="1"/>
  <c r="AU45" i="2" s="1"/>
  <c r="AV45" i="2" s="1"/>
  <c r="AW45" i="2" s="1"/>
  <c r="AX45" i="2" s="1"/>
  <c r="AY45" i="2" s="1"/>
  <c r="AZ45" i="2" s="1"/>
  <c r="BA45" i="2" s="1"/>
  <c r="BB45" i="2" s="1"/>
  <c r="BC45" i="2" s="1"/>
  <c r="BD45" i="2" s="1"/>
  <c r="BE45" i="2" s="1"/>
  <c r="BF45" i="2" s="1"/>
  <c r="BG45" i="2" s="1"/>
  <c r="BH45" i="2" s="1"/>
  <c r="BI45" i="2" s="1"/>
  <c r="BJ45" i="2" s="1"/>
  <c r="BK45" i="2" s="1"/>
  <c r="BL45" i="2" s="1"/>
  <c r="BM45" i="2" s="1"/>
  <c r="BN45" i="2" s="1"/>
  <c r="BO45" i="2" s="1"/>
  <c r="BP45" i="2" s="1"/>
  <c r="G45" i="2"/>
  <c r="H45" i="2" s="1"/>
  <c r="E45" i="2"/>
  <c r="F45" i="2" s="1"/>
  <c r="I44" i="2"/>
  <c r="J44" i="2" s="1"/>
  <c r="K44" i="2" s="1"/>
  <c r="L44" i="2" s="1"/>
  <c r="M44" i="2" s="1"/>
  <c r="N44" i="2" s="1"/>
  <c r="O44" i="2" s="1"/>
  <c r="P44" i="2" s="1"/>
  <c r="Q44" i="2" s="1"/>
  <c r="R44" i="2" s="1"/>
  <c r="S44" i="2" s="1"/>
  <c r="T44" i="2" s="1"/>
  <c r="U44" i="2" s="1"/>
  <c r="V44" i="2" s="1"/>
  <c r="W44" i="2" s="1"/>
  <c r="X44" i="2" s="1"/>
  <c r="Y44" i="2" s="1"/>
  <c r="Z44" i="2" s="1"/>
  <c r="AA44" i="2" s="1"/>
  <c r="AB44" i="2" s="1"/>
  <c r="AC44" i="2" s="1"/>
  <c r="AD44" i="2" s="1"/>
  <c r="AE44" i="2" s="1"/>
  <c r="AF44" i="2" s="1"/>
  <c r="AG44" i="2" s="1"/>
  <c r="AH44" i="2" s="1"/>
  <c r="AI44" i="2" s="1"/>
  <c r="AJ44" i="2" s="1"/>
  <c r="AK44" i="2" s="1"/>
  <c r="AL44" i="2" s="1"/>
  <c r="AM44" i="2" s="1"/>
  <c r="AN44" i="2" s="1"/>
  <c r="AO44" i="2" s="1"/>
  <c r="AP44" i="2" s="1"/>
  <c r="AQ44" i="2" s="1"/>
  <c r="AR44" i="2" s="1"/>
  <c r="AS44" i="2" s="1"/>
  <c r="AT44" i="2" s="1"/>
  <c r="AU44" i="2" s="1"/>
  <c r="AV44" i="2" s="1"/>
  <c r="AW44" i="2" s="1"/>
  <c r="AX44" i="2" s="1"/>
  <c r="AY44" i="2" s="1"/>
  <c r="AZ44" i="2" s="1"/>
  <c r="BA44" i="2" s="1"/>
  <c r="BB44" i="2" s="1"/>
  <c r="BC44" i="2" s="1"/>
  <c r="BD44" i="2" s="1"/>
  <c r="BE44" i="2" s="1"/>
  <c r="BF44" i="2" s="1"/>
  <c r="BG44" i="2" s="1"/>
  <c r="BH44" i="2" s="1"/>
  <c r="BI44" i="2" s="1"/>
  <c r="BJ44" i="2" s="1"/>
  <c r="BK44" i="2" s="1"/>
  <c r="BL44" i="2" s="1"/>
  <c r="BM44" i="2" s="1"/>
  <c r="BN44" i="2" s="1"/>
  <c r="BO44" i="2" s="1"/>
  <c r="BP44" i="2" s="1"/>
  <c r="G44" i="2"/>
  <c r="H44" i="2" s="1"/>
  <c r="E44" i="2"/>
  <c r="F44" i="2" s="1"/>
  <c r="E43" i="2"/>
  <c r="F43" i="2" s="1"/>
  <c r="G43" i="2" s="1"/>
  <c r="H43" i="2" s="1"/>
  <c r="I43" i="2" s="1"/>
  <c r="J43" i="2" s="1"/>
  <c r="K43" i="2" s="1"/>
  <c r="L43" i="2" s="1"/>
  <c r="M43" i="2" s="1"/>
  <c r="N43" i="2" s="1"/>
  <c r="O43" i="2" s="1"/>
  <c r="P43" i="2" s="1"/>
  <c r="Q43" i="2" s="1"/>
  <c r="R43" i="2" s="1"/>
  <c r="S43" i="2" s="1"/>
  <c r="T43" i="2" s="1"/>
  <c r="U43" i="2" s="1"/>
  <c r="V43" i="2" s="1"/>
  <c r="W43" i="2" s="1"/>
  <c r="X43" i="2" s="1"/>
  <c r="Y43" i="2" s="1"/>
  <c r="Z43" i="2" s="1"/>
  <c r="AA43" i="2" s="1"/>
  <c r="AB43" i="2" s="1"/>
  <c r="AC43" i="2" s="1"/>
  <c r="AD43" i="2" s="1"/>
  <c r="AE43" i="2" s="1"/>
  <c r="AF43" i="2" s="1"/>
  <c r="AG43" i="2" s="1"/>
  <c r="AH43" i="2" s="1"/>
  <c r="AI43" i="2" s="1"/>
  <c r="AJ43" i="2" s="1"/>
  <c r="AK43" i="2" s="1"/>
  <c r="AL43" i="2" s="1"/>
  <c r="AM43" i="2" s="1"/>
  <c r="AN43" i="2" s="1"/>
  <c r="AO43" i="2" s="1"/>
  <c r="AP43" i="2" s="1"/>
  <c r="AQ43" i="2" s="1"/>
  <c r="AR43" i="2" s="1"/>
  <c r="AS43" i="2" s="1"/>
  <c r="AT43" i="2" s="1"/>
  <c r="AU43" i="2" s="1"/>
  <c r="AV43" i="2" s="1"/>
  <c r="AW43" i="2" s="1"/>
  <c r="AX43" i="2" s="1"/>
  <c r="AY43" i="2" s="1"/>
  <c r="AZ43" i="2" s="1"/>
  <c r="BA43" i="2" s="1"/>
  <c r="BB43" i="2" s="1"/>
  <c r="BC43" i="2" s="1"/>
  <c r="BD43" i="2" s="1"/>
  <c r="BE43" i="2" s="1"/>
  <c r="BF43" i="2" s="1"/>
  <c r="BG43" i="2" s="1"/>
  <c r="BH43" i="2" s="1"/>
  <c r="BI43" i="2" s="1"/>
  <c r="BJ43" i="2" s="1"/>
  <c r="BK43" i="2" s="1"/>
  <c r="BL43" i="2" s="1"/>
  <c r="BM43" i="2" s="1"/>
  <c r="BN43" i="2" s="1"/>
  <c r="BO43" i="2" s="1"/>
  <c r="BP43" i="2" s="1"/>
  <c r="E42" i="2"/>
  <c r="F42" i="2" s="1"/>
  <c r="G42" i="2" s="1"/>
  <c r="H42" i="2" s="1"/>
  <c r="I42" i="2" s="1"/>
  <c r="J42" i="2" s="1"/>
  <c r="K42" i="2" s="1"/>
  <c r="L42" i="2" s="1"/>
  <c r="M42" i="2" s="1"/>
  <c r="N42" i="2" s="1"/>
  <c r="O42" i="2" s="1"/>
  <c r="P42" i="2" s="1"/>
  <c r="Q42" i="2" s="1"/>
  <c r="R42" i="2" s="1"/>
  <c r="S42" i="2" s="1"/>
  <c r="T42" i="2" s="1"/>
  <c r="U42" i="2" s="1"/>
  <c r="V42" i="2" s="1"/>
  <c r="W42" i="2" s="1"/>
  <c r="X42" i="2" s="1"/>
  <c r="Y42" i="2" s="1"/>
  <c r="Z42" i="2" s="1"/>
  <c r="AA42" i="2" s="1"/>
  <c r="AB42" i="2" s="1"/>
  <c r="AC42" i="2" s="1"/>
  <c r="AD42" i="2" s="1"/>
  <c r="AE42" i="2" s="1"/>
  <c r="AF42" i="2" s="1"/>
  <c r="AG42" i="2" s="1"/>
  <c r="AH42" i="2" s="1"/>
  <c r="AI42" i="2" s="1"/>
  <c r="AJ42" i="2" s="1"/>
  <c r="AK42" i="2" s="1"/>
  <c r="AL42" i="2" s="1"/>
  <c r="AM42" i="2" s="1"/>
  <c r="AN42" i="2" s="1"/>
  <c r="AO42" i="2" s="1"/>
  <c r="AP42" i="2" s="1"/>
  <c r="AQ42" i="2" s="1"/>
  <c r="AR42" i="2" s="1"/>
  <c r="AS42" i="2" s="1"/>
  <c r="AT42" i="2" s="1"/>
  <c r="AU42" i="2" s="1"/>
  <c r="AV42" i="2" s="1"/>
  <c r="AW42" i="2" s="1"/>
  <c r="AX42" i="2" s="1"/>
  <c r="AY42" i="2" s="1"/>
  <c r="AZ42" i="2" s="1"/>
  <c r="BA42" i="2" s="1"/>
  <c r="BB42" i="2" s="1"/>
  <c r="BC42" i="2" s="1"/>
  <c r="BD42" i="2" s="1"/>
  <c r="BE42" i="2" s="1"/>
  <c r="BF42" i="2" s="1"/>
  <c r="BG42" i="2" s="1"/>
  <c r="BH42" i="2" s="1"/>
  <c r="BI42" i="2" s="1"/>
  <c r="BJ42" i="2" s="1"/>
  <c r="BK42" i="2" s="1"/>
  <c r="BL42" i="2" s="1"/>
  <c r="BM42" i="2" s="1"/>
  <c r="BN42" i="2" s="1"/>
  <c r="BO42" i="2" s="1"/>
  <c r="BP42" i="2" s="1"/>
  <c r="E41" i="2"/>
  <c r="F41" i="2" s="1"/>
  <c r="G41" i="2" s="1"/>
  <c r="H41" i="2" s="1"/>
  <c r="I41" i="2" s="1"/>
  <c r="J41" i="2" s="1"/>
  <c r="K41" i="2" s="1"/>
  <c r="L41" i="2" s="1"/>
  <c r="M41" i="2" s="1"/>
  <c r="N41" i="2" s="1"/>
  <c r="O41" i="2" s="1"/>
  <c r="P41" i="2" s="1"/>
  <c r="Q41" i="2" s="1"/>
  <c r="R41" i="2" s="1"/>
  <c r="S41" i="2" s="1"/>
  <c r="T41" i="2" s="1"/>
  <c r="U41" i="2" s="1"/>
  <c r="V41" i="2" s="1"/>
  <c r="W41" i="2" s="1"/>
  <c r="X41" i="2" s="1"/>
  <c r="Y41" i="2" s="1"/>
  <c r="Z41" i="2" s="1"/>
  <c r="AA41" i="2" s="1"/>
  <c r="AB41" i="2" s="1"/>
  <c r="AC41" i="2" s="1"/>
  <c r="AD41" i="2" s="1"/>
  <c r="AE41" i="2" s="1"/>
  <c r="AF41" i="2" s="1"/>
  <c r="AG41" i="2" s="1"/>
  <c r="AH41" i="2" s="1"/>
  <c r="AI41" i="2" s="1"/>
  <c r="AJ41" i="2" s="1"/>
  <c r="AK41" i="2" s="1"/>
  <c r="AL41" i="2" s="1"/>
  <c r="AM41" i="2" s="1"/>
  <c r="AN41" i="2" s="1"/>
  <c r="AO41" i="2" s="1"/>
  <c r="AP41" i="2" s="1"/>
  <c r="AQ41" i="2" s="1"/>
  <c r="AR41" i="2" s="1"/>
  <c r="AS41" i="2" s="1"/>
  <c r="AT41" i="2" s="1"/>
  <c r="AU41" i="2" s="1"/>
  <c r="AV41" i="2" s="1"/>
  <c r="AW41" i="2" s="1"/>
  <c r="AX41" i="2" s="1"/>
  <c r="AY41" i="2" s="1"/>
  <c r="AZ41" i="2" s="1"/>
  <c r="BA41" i="2" s="1"/>
  <c r="BB41" i="2" s="1"/>
  <c r="BC41" i="2" s="1"/>
  <c r="BD41" i="2" s="1"/>
  <c r="BE41" i="2" s="1"/>
  <c r="BF41" i="2" s="1"/>
  <c r="BG41" i="2" s="1"/>
  <c r="BH41" i="2" s="1"/>
  <c r="BI41" i="2" s="1"/>
  <c r="BJ41" i="2" s="1"/>
  <c r="BK41" i="2" s="1"/>
  <c r="BL41" i="2" s="1"/>
  <c r="BM41" i="2" s="1"/>
  <c r="BN41" i="2" s="1"/>
  <c r="BO41" i="2" s="1"/>
  <c r="BP41" i="2" s="1"/>
  <c r="E40" i="2"/>
  <c r="F40" i="2" s="1"/>
  <c r="G40" i="2" s="1"/>
  <c r="H40" i="2" s="1"/>
  <c r="I40" i="2" s="1"/>
  <c r="J40" i="2" s="1"/>
  <c r="K40" i="2" s="1"/>
  <c r="L40" i="2" s="1"/>
  <c r="M40" i="2" s="1"/>
  <c r="N40" i="2" s="1"/>
  <c r="O40" i="2" s="1"/>
  <c r="P40" i="2" s="1"/>
  <c r="Q40" i="2" s="1"/>
  <c r="R40" i="2" s="1"/>
  <c r="S40" i="2" s="1"/>
  <c r="T40" i="2" s="1"/>
  <c r="U40" i="2" s="1"/>
  <c r="V40" i="2" s="1"/>
  <c r="W40" i="2" s="1"/>
  <c r="X40" i="2" s="1"/>
  <c r="Y40" i="2" s="1"/>
  <c r="Z40" i="2" s="1"/>
  <c r="AA40" i="2" s="1"/>
  <c r="AB40" i="2" s="1"/>
  <c r="AC40" i="2" s="1"/>
  <c r="AD40" i="2" s="1"/>
  <c r="AE40" i="2" s="1"/>
  <c r="AF40" i="2" s="1"/>
  <c r="AG40" i="2" s="1"/>
  <c r="AH40" i="2" s="1"/>
  <c r="AI40" i="2" s="1"/>
  <c r="AJ40" i="2" s="1"/>
  <c r="AK40" i="2" s="1"/>
  <c r="AL40" i="2" s="1"/>
  <c r="AM40" i="2" s="1"/>
  <c r="AN40" i="2" s="1"/>
  <c r="AO40" i="2" s="1"/>
  <c r="AP40" i="2" s="1"/>
  <c r="AQ40" i="2" s="1"/>
  <c r="AR40" i="2" s="1"/>
  <c r="AS40" i="2" s="1"/>
  <c r="AT40" i="2" s="1"/>
  <c r="AU40" i="2" s="1"/>
  <c r="AV40" i="2" s="1"/>
  <c r="AW40" i="2" s="1"/>
  <c r="AX40" i="2" s="1"/>
  <c r="AY40" i="2" s="1"/>
  <c r="AZ40" i="2" s="1"/>
  <c r="BA40" i="2" s="1"/>
  <c r="BB40" i="2" s="1"/>
  <c r="BC40" i="2" s="1"/>
  <c r="BD40" i="2" s="1"/>
  <c r="BE40" i="2" s="1"/>
  <c r="BF40" i="2" s="1"/>
  <c r="BG40" i="2" s="1"/>
  <c r="BH40" i="2" s="1"/>
  <c r="BI40" i="2" s="1"/>
  <c r="BJ40" i="2" s="1"/>
  <c r="BK40" i="2" s="1"/>
  <c r="BL40" i="2" s="1"/>
  <c r="BM40" i="2" s="1"/>
  <c r="BN40" i="2" s="1"/>
  <c r="BO40" i="2" s="1"/>
  <c r="BP40" i="2" s="1"/>
  <c r="E39" i="2"/>
  <c r="F39" i="2" s="1"/>
  <c r="G39" i="2" s="1"/>
  <c r="H39" i="2" s="1"/>
  <c r="I39" i="2" s="1"/>
  <c r="J39" i="2" s="1"/>
  <c r="K39" i="2" s="1"/>
  <c r="L39" i="2" s="1"/>
  <c r="M39" i="2" s="1"/>
  <c r="N39" i="2" s="1"/>
  <c r="O39" i="2" s="1"/>
  <c r="P39" i="2" s="1"/>
  <c r="Q39" i="2" s="1"/>
  <c r="R39" i="2" s="1"/>
  <c r="S39" i="2" s="1"/>
  <c r="T39" i="2" s="1"/>
  <c r="U39" i="2" s="1"/>
  <c r="V39" i="2" s="1"/>
  <c r="W39" i="2" s="1"/>
  <c r="X39" i="2" s="1"/>
  <c r="Y39" i="2" s="1"/>
  <c r="Z39" i="2" s="1"/>
  <c r="AA39" i="2" s="1"/>
  <c r="AB39" i="2" s="1"/>
  <c r="AC39" i="2" s="1"/>
  <c r="AD39" i="2" s="1"/>
  <c r="AE39" i="2" s="1"/>
  <c r="AF39" i="2" s="1"/>
  <c r="AG39" i="2" s="1"/>
  <c r="AH39" i="2" s="1"/>
  <c r="AI39" i="2" s="1"/>
  <c r="AJ39" i="2" s="1"/>
  <c r="AK39" i="2" s="1"/>
  <c r="AL39" i="2" s="1"/>
  <c r="AM39" i="2" s="1"/>
  <c r="AN39" i="2" s="1"/>
  <c r="AO39" i="2" s="1"/>
  <c r="AP39" i="2" s="1"/>
  <c r="AQ39" i="2" s="1"/>
  <c r="AR39" i="2" s="1"/>
  <c r="AS39" i="2" s="1"/>
  <c r="AT39" i="2" s="1"/>
  <c r="AU39" i="2" s="1"/>
  <c r="AV39" i="2" s="1"/>
  <c r="AW39" i="2" s="1"/>
  <c r="AX39" i="2" s="1"/>
  <c r="AY39" i="2" s="1"/>
  <c r="AZ39" i="2" s="1"/>
  <c r="BA39" i="2" s="1"/>
  <c r="BB39" i="2" s="1"/>
  <c r="BC39" i="2" s="1"/>
  <c r="BD39" i="2" s="1"/>
  <c r="BE39" i="2" s="1"/>
  <c r="BF39" i="2" s="1"/>
  <c r="BG39" i="2" s="1"/>
  <c r="BH39" i="2" s="1"/>
  <c r="BI39" i="2" s="1"/>
  <c r="BJ39" i="2" s="1"/>
  <c r="BK39" i="2" s="1"/>
  <c r="BL39" i="2" s="1"/>
  <c r="BM39" i="2" s="1"/>
  <c r="BN39" i="2" s="1"/>
  <c r="BO39" i="2" s="1"/>
  <c r="BP39" i="2" s="1"/>
  <c r="G38" i="2"/>
  <c r="H38" i="2" s="1"/>
  <c r="I38" i="2" s="1"/>
  <c r="J38" i="2" s="1"/>
  <c r="K38" i="2" s="1"/>
  <c r="L38" i="2" s="1"/>
  <c r="M38" i="2" s="1"/>
  <c r="N38" i="2" s="1"/>
  <c r="O38" i="2" s="1"/>
  <c r="P38" i="2" s="1"/>
  <c r="Q38" i="2" s="1"/>
  <c r="R38" i="2" s="1"/>
  <c r="S38" i="2" s="1"/>
  <c r="T38" i="2" s="1"/>
  <c r="U38" i="2" s="1"/>
  <c r="V38" i="2" s="1"/>
  <c r="W38" i="2" s="1"/>
  <c r="X38" i="2" s="1"/>
  <c r="Y38" i="2" s="1"/>
  <c r="Z38" i="2" s="1"/>
  <c r="AA38" i="2" s="1"/>
  <c r="AB38" i="2" s="1"/>
  <c r="AC38" i="2" s="1"/>
  <c r="AD38" i="2" s="1"/>
  <c r="AE38" i="2" s="1"/>
  <c r="AF38" i="2" s="1"/>
  <c r="AG38" i="2" s="1"/>
  <c r="AH38" i="2" s="1"/>
  <c r="AI38" i="2" s="1"/>
  <c r="AJ38" i="2" s="1"/>
  <c r="AK38" i="2" s="1"/>
  <c r="AL38" i="2" s="1"/>
  <c r="AM38" i="2" s="1"/>
  <c r="AN38" i="2" s="1"/>
  <c r="AO38" i="2" s="1"/>
  <c r="AP38" i="2" s="1"/>
  <c r="AQ38" i="2" s="1"/>
  <c r="AR38" i="2" s="1"/>
  <c r="AS38" i="2" s="1"/>
  <c r="AT38" i="2" s="1"/>
  <c r="AU38" i="2" s="1"/>
  <c r="AV38" i="2" s="1"/>
  <c r="AW38" i="2" s="1"/>
  <c r="AX38" i="2" s="1"/>
  <c r="AY38" i="2" s="1"/>
  <c r="AZ38" i="2" s="1"/>
  <c r="BA38" i="2" s="1"/>
  <c r="BB38" i="2" s="1"/>
  <c r="BC38" i="2" s="1"/>
  <c r="BD38" i="2" s="1"/>
  <c r="BE38" i="2" s="1"/>
  <c r="BF38" i="2" s="1"/>
  <c r="BG38" i="2" s="1"/>
  <c r="BH38" i="2" s="1"/>
  <c r="BI38" i="2" s="1"/>
  <c r="BJ38" i="2" s="1"/>
  <c r="BK38" i="2" s="1"/>
  <c r="BL38" i="2" s="1"/>
  <c r="BM38" i="2" s="1"/>
  <c r="BN38" i="2" s="1"/>
  <c r="BO38" i="2" s="1"/>
  <c r="BP38" i="2" s="1"/>
  <c r="E38" i="2"/>
  <c r="F38" i="2" s="1"/>
  <c r="H37" i="2"/>
  <c r="I37" i="2" s="1"/>
  <c r="J37" i="2" s="1"/>
  <c r="K37" i="2" s="1"/>
  <c r="L37" i="2" s="1"/>
  <c r="M37" i="2" s="1"/>
  <c r="N37" i="2" s="1"/>
  <c r="O37" i="2" s="1"/>
  <c r="P37" i="2" s="1"/>
  <c r="Q37" i="2" s="1"/>
  <c r="R37" i="2" s="1"/>
  <c r="S37" i="2" s="1"/>
  <c r="T37" i="2" s="1"/>
  <c r="U37" i="2" s="1"/>
  <c r="V37" i="2" s="1"/>
  <c r="W37" i="2" s="1"/>
  <c r="X37" i="2" s="1"/>
  <c r="Y37" i="2" s="1"/>
  <c r="Z37" i="2" s="1"/>
  <c r="AA37" i="2" s="1"/>
  <c r="AB37" i="2" s="1"/>
  <c r="AC37" i="2" s="1"/>
  <c r="AD37" i="2" s="1"/>
  <c r="AE37" i="2" s="1"/>
  <c r="AF37" i="2" s="1"/>
  <c r="AG37" i="2" s="1"/>
  <c r="AH37" i="2" s="1"/>
  <c r="AI37" i="2" s="1"/>
  <c r="AJ37" i="2" s="1"/>
  <c r="AK37" i="2" s="1"/>
  <c r="AL37" i="2" s="1"/>
  <c r="AM37" i="2" s="1"/>
  <c r="AN37" i="2" s="1"/>
  <c r="AO37" i="2" s="1"/>
  <c r="AP37" i="2" s="1"/>
  <c r="AQ37" i="2" s="1"/>
  <c r="AR37" i="2" s="1"/>
  <c r="AS37" i="2" s="1"/>
  <c r="AT37" i="2" s="1"/>
  <c r="AU37" i="2" s="1"/>
  <c r="AV37" i="2" s="1"/>
  <c r="AW37" i="2" s="1"/>
  <c r="AX37" i="2" s="1"/>
  <c r="AY37" i="2" s="1"/>
  <c r="AZ37" i="2" s="1"/>
  <c r="BA37" i="2" s="1"/>
  <c r="BB37" i="2" s="1"/>
  <c r="BC37" i="2" s="1"/>
  <c r="BD37" i="2" s="1"/>
  <c r="BE37" i="2" s="1"/>
  <c r="BF37" i="2" s="1"/>
  <c r="BG37" i="2" s="1"/>
  <c r="BH37" i="2" s="1"/>
  <c r="BI37" i="2" s="1"/>
  <c r="BJ37" i="2" s="1"/>
  <c r="BK37" i="2" s="1"/>
  <c r="BL37" i="2" s="1"/>
  <c r="BM37" i="2" s="1"/>
  <c r="BN37" i="2" s="1"/>
  <c r="BO37" i="2" s="1"/>
  <c r="BP37" i="2" s="1"/>
  <c r="G37" i="2"/>
  <c r="E37" i="2"/>
  <c r="F37" i="2" s="1"/>
  <c r="E36" i="2"/>
  <c r="F36" i="2" s="1"/>
  <c r="G36" i="2" s="1"/>
  <c r="H36" i="2" s="1"/>
  <c r="I36" i="2" s="1"/>
  <c r="J36" i="2" s="1"/>
  <c r="K36" i="2" s="1"/>
  <c r="L36" i="2" s="1"/>
  <c r="M36" i="2" s="1"/>
  <c r="N36" i="2" s="1"/>
  <c r="O36" i="2" s="1"/>
  <c r="P36" i="2" s="1"/>
  <c r="Q36" i="2" s="1"/>
  <c r="R36" i="2" s="1"/>
  <c r="S36" i="2" s="1"/>
  <c r="T36" i="2" s="1"/>
  <c r="U36" i="2" s="1"/>
  <c r="V36" i="2" s="1"/>
  <c r="W36" i="2" s="1"/>
  <c r="X36" i="2" s="1"/>
  <c r="Y36" i="2" s="1"/>
  <c r="Z36" i="2" s="1"/>
  <c r="AA36" i="2" s="1"/>
  <c r="AB36" i="2" s="1"/>
  <c r="AC36" i="2" s="1"/>
  <c r="AD36" i="2" s="1"/>
  <c r="AE36" i="2" s="1"/>
  <c r="AF36" i="2" s="1"/>
  <c r="AG36" i="2" s="1"/>
  <c r="AH36" i="2" s="1"/>
  <c r="AI36" i="2" s="1"/>
  <c r="AJ36" i="2" s="1"/>
  <c r="AK36" i="2" s="1"/>
  <c r="AL36" i="2" s="1"/>
  <c r="AM36" i="2" s="1"/>
  <c r="AN36" i="2" s="1"/>
  <c r="AO36" i="2" s="1"/>
  <c r="AP36" i="2" s="1"/>
  <c r="AQ36" i="2" s="1"/>
  <c r="AR36" i="2" s="1"/>
  <c r="AS36" i="2" s="1"/>
  <c r="AT36" i="2" s="1"/>
  <c r="AU36" i="2" s="1"/>
  <c r="AV36" i="2" s="1"/>
  <c r="AW36" i="2" s="1"/>
  <c r="AX36" i="2" s="1"/>
  <c r="AY36" i="2" s="1"/>
  <c r="AZ36" i="2" s="1"/>
  <c r="BA36" i="2" s="1"/>
  <c r="BB36" i="2" s="1"/>
  <c r="BC36" i="2" s="1"/>
  <c r="BD36" i="2" s="1"/>
  <c r="BE36" i="2" s="1"/>
  <c r="BF36" i="2" s="1"/>
  <c r="BG36" i="2" s="1"/>
  <c r="BH36" i="2" s="1"/>
  <c r="BI36" i="2" s="1"/>
  <c r="BJ36" i="2" s="1"/>
  <c r="BK36" i="2" s="1"/>
  <c r="BL36" i="2" s="1"/>
  <c r="BM36" i="2" s="1"/>
  <c r="BN36" i="2" s="1"/>
  <c r="BO36" i="2" s="1"/>
  <c r="BP36" i="2" s="1"/>
  <c r="G35" i="2"/>
  <c r="H35" i="2" s="1"/>
  <c r="I35" i="2" s="1"/>
  <c r="J35" i="2" s="1"/>
  <c r="K35" i="2" s="1"/>
  <c r="L35" i="2" s="1"/>
  <c r="M35" i="2" s="1"/>
  <c r="N35" i="2" s="1"/>
  <c r="O35" i="2" s="1"/>
  <c r="P35" i="2" s="1"/>
  <c r="Q35" i="2" s="1"/>
  <c r="R35" i="2" s="1"/>
  <c r="S35" i="2" s="1"/>
  <c r="T35" i="2" s="1"/>
  <c r="U35" i="2" s="1"/>
  <c r="V35" i="2" s="1"/>
  <c r="W35" i="2" s="1"/>
  <c r="X35" i="2" s="1"/>
  <c r="Y35" i="2" s="1"/>
  <c r="Z35" i="2" s="1"/>
  <c r="AA35" i="2" s="1"/>
  <c r="AB35" i="2" s="1"/>
  <c r="AC35" i="2" s="1"/>
  <c r="AD35" i="2" s="1"/>
  <c r="AE35" i="2" s="1"/>
  <c r="AF35" i="2" s="1"/>
  <c r="AG35" i="2" s="1"/>
  <c r="AH35" i="2" s="1"/>
  <c r="AI35" i="2" s="1"/>
  <c r="AJ35" i="2" s="1"/>
  <c r="AK35" i="2" s="1"/>
  <c r="AL35" i="2" s="1"/>
  <c r="AM35" i="2" s="1"/>
  <c r="AN35" i="2" s="1"/>
  <c r="AO35" i="2" s="1"/>
  <c r="AP35" i="2" s="1"/>
  <c r="AQ35" i="2" s="1"/>
  <c r="AR35" i="2" s="1"/>
  <c r="AS35" i="2" s="1"/>
  <c r="AT35" i="2" s="1"/>
  <c r="AU35" i="2" s="1"/>
  <c r="AV35" i="2" s="1"/>
  <c r="AW35" i="2" s="1"/>
  <c r="AX35" i="2" s="1"/>
  <c r="AY35" i="2" s="1"/>
  <c r="AZ35" i="2" s="1"/>
  <c r="BA35" i="2" s="1"/>
  <c r="BB35" i="2" s="1"/>
  <c r="BC35" i="2" s="1"/>
  <c r="BD35" i="2" s="1"/>
  <c r="BE35" i="2" s="1"/>
  <c r="BF35" i="2" s="1"/>
  <c r="BG35" i="2" s="1"/>
  <c r="BH35" i="2" s="1"/>
  <c r="BI35" i="2" s="1"/>
  <c r="BJ35" i="2" s="1"/>
  <c r="BK35" i="2" s="1"/>
  <c r="BL35" i="2" s="1"/>
  <c r="BM35" i="2" s="1"/>
  <c r="BN35" i="2" s="1"/>
  <c r="BO35" i="2" s="1"/>
  <c r="BP35" i="2" s="1"/>
  <c r="E35" i="2"/>
  <c r="F35" i="2" s="1"/>
  <c r="G34" i="2"/>
  <c r="H34" i="2" s="1"/>
  <c r="I34" i="2" s="1"/>
  <c r="J34" i="2" s="1"/>
  <c r="K34" i="2" s="1"/>
  <c r="L34" i="2" s="1"/>
  <c r="M34" i="2" s="1"/>
  <c r="N34" i="2" s="1"/>
  <c r="O34" i="2" s="1"/>
  <c r="P34" i="2" s="1"/>
  <c r="Q34" i="2" s="1"/>
  <c r="R34" i="2" s="1"/>
  <c r="S34" i="2" s="1"/>
  <c r="T34" i="2" s="1"/>
  <c r="U34" i="2" s="1"/>
  <c r="V34" i="2" s="1"/>
  <c r="W34" i="2" s="1"/>
  <c r="X34" i="2" s="1"/>
  <c r="Y34" i="2" s="1"/>
  <c r="Z34" i="2" s="1"/>
  <c r="AA34" i="2" s="1"/>
  <c r="AB34" i="2" s="1"/>
  <c r="AC34" i="2" s="1"/>
  <c r="AD34" i="2" s="1"/>
  <c r="AE34" i="2" s="1"/>
  <c r="AF34" i="2" s="1"/>
  <c r="AG34" i="2" s="1"/>
  <c r="AH34" i="2" s="1"/>
  <c r="AI34" i="2" s="1"/>
  <c r="AJ34" i="2" s="1"/>
  <c r="AK34" i="2" s="1"/>
  <c r="AL34" i="2" s="1"/>
  <c r="AM34" i="2" s="1"/>
  <c r="AN34" i="2" s="1"/>
  <c r="AO34" i="2" s="1"/>
  <c r="AP34" i="2" s="1"/>
  <c r="AQ34" i="2" s="1"/>
  <c r="AR34" i="2" s="1"/>
  <c r="AS34" i="2" s="1"/>
  <c r="AT34" i="2" s="1"/>
  <c r="AU34" i="2" s="1"/>
  <c r="AV34" i="2" s="1"/>
  <c r="AW34" i="2" s="1"/>
  <c r="AX34" i="2" s="1"/>
  <c r="AY34" i="2" s="1"/>
  <c r="AZ34" i="2" s="1"/>
  <c r="BA34" i="2" s="1"/>
  <c r="BB34" i="2" s="1"/>
  <c r="BC34" i="2" s="1"/>
  <c r="BD34" i="2" s="1"/>
  <c r="BE34" i="2" s="1"/>
  <c r="BF34" i="2" s="1"/>
  <c r="BG34" i="2" s="1"/>
  <c r="BH34" i="2" s="1"/>
  <c r="BI34" i="2" s="1"/>
  <c r="BJ34" i="2" s="1"/>
  <c r="BK34" i="2" s="1"/>
  <c r="BL34" i="2" s="1"/>
  <c r="BM34" i="2" s="1"/>
  <c r="BN34" i="2" s="1"/>
  <c r="BO34" i="2" s="1"/>
  <c r="BP34" i="2" s="1"/>
  <c r="E34" i="2"/>
  <c r="F34" i="2" s="1"/>
  <c r="E33" i="2"/>
  <c r="F33" i="2" s="1"/>
  <c r="G33" i="2" s="1"/>
  <c r="H33" i="2" s="1"/>
  <c r="I33" i="2" s="1"/>
  <c r="J33" i="2" s="1"/>
  <c r="K33" i="2" s="1"/>
  <c r="L33" i="2" s="1"/>
  <c r="M33" i="2" s="1"/>
  <c r="N33" i="2" s="1"/>
  <c r="O33" i="2" s="1"/>
  <c r="P33" i="2" s="1"/>
  <c r="Q33" i="2" s="1"/>
  <c r="R33" i="2" s="1"/>
  <c r="S33" i="2" s="1"/>
  <c r="T33" i="2" s="1"/>
  <c r="U33" i="2" s="1"/>
  <c r="V33" i="2" s="1"/>
  <c r="W33" i="2" s="1"/>
  <c r="X33" i="2" s="1"/>
  <c r="Y33" i="2" s="1"/>
  <c r="Z33" i="2" s="1"/>
  <c r="AA33" i="2" s="1"/>
  <c r="AB33" i="2" s="1"/>
  <c r="AC33" i="2" s="1"/>
  <c r="AD33" i="2" s="1"/>
  <c r="AE33" i="2" s="1"/>
  <c r="AF33" i="2" s="1"/>
  <c r="AG33" i="2" s="1"/>
  <c r="AH33" i="2" s="1"/>
  <c r="AI33" i="2" s="1"/>
  <c r="AJ33" i="2" s="1"/>
  <c r="AK33" i="2" s="1"/>
  <c r="AL33" i="2" s="1"/>
  <c r="AM33" i="2" s="1"/>
  <c r="AN33" i="2" s="1"/>
  <c r="AO33" i="2" s="1"/>
  <c r="AP33" i="2" s="1"/>
  <c r="AQ33" i="2" s="1"/>
  <c r="AR33" i="2" s="1"/>
  <c r="AS33" i="2" s="1"/>
  <c r="AT33" i="2" s="1"/>
  <c r="AU33" i="2" s="1"/>
  <c r="AV33" i="2" s="1"/>
  <c r="AW33" i="2" s="1"/>
  <c r="AX33" i="2" s="1"/>
  <c r="AY33" i="2" s="1"/>
  <c r="AZ33" i="2" s="1"/>
  <c r="BA33" i="2" s="1"/>
  <c r="BB33" i="2" s="1"/>
  <c r="BC33" i="2" s="1"/>
  <c r="BD33" i="2" s="1"/>
  <c r="BE33" i="2" s="1"/>
  <c r="BF33" i="2" s="1"/>
  <c r="BG33" i="2" s="1"/>
  <c r="BH33" i="2" s="1"/>
  <c r="BI33" i="2" s="1"/>
  <c r="BJ33" i="2" s="1"/>
  <c r="BK33" i="2" s="1"/>
  <c r="BL33" i="2" s="1"/>
  <c r="BM33" i="2" s="1"/>
  <c r="BN33" i="2" s="1"/>
  <c r="BO33" i="2" s="1"/>
  <c r="BP33" i="2" s="1"/>
  <c r="E32" i="2"/>
  <c r="F32" i="2" s="1"/>
  <c r="G32" i="2" s="1"/>
  <c r="H32" i="2" s="1"/>
  <c r="I32" i="2" s="1"/>
  <c r="J32" i="2" s="1"/>
  <c r="K32" i="2" s="1"/>
  <c r="L32" i="2" s="1"/>
  <c r="M32" i="2" s="1"/>
  <c r="N32" i="2" s="1"/>
  <c r="O32" i="2" s="1"/>
  <c r="P32" i="2" s="1"/>
  <c r="Q32" i="2" s="1"/>
  <c r="R32" i="2" s="1"/>
  <c r="S32" i="2" s="1"/>
  <c r="T32" i="2" s="1"/>
  <c r="U32" i="2" s="1"/>
  <c r="V32" i="2" s="1"/>
  <c r="W32" i="2" s="1"/>
  <c r="X32" i="2" s="1"/>
  <c r="Y32" i="2" s="1"/>
  <c r="Z32" i="2" s="1"/>
  <c r="AA32" i="2" s="1"/>
  <c r="AB32" i="2" s="1"/>
  <c r="AC32" i="2" s="1"/>
  <c r="AD32" i="2" s="1"/>
  <c r="AE32" i="2" s="1"/>
  <c r="AF32" i="2" s="1"/>
  <c r="AG32" i="2" s="1"/>
  <c r="AH32" i="2" s="1"/>
  <c r="AI32" i="2" s="1"/>
  <c r="AJ32" i="2" s="1"/>
  <c r="AK32" i="2" s="1"/>
  <c r="AL32" i="2" s="1"/>
  <c r="AM32" i="2" s="1"/>
  <c r="AN32" i="2" s="1"/>
  <c r="AO32" i="2" s="1"/>
  <c r="AP32" i="2" s="1"/>
  <c r="AQ32" i="2" s="1"/>
  <c r="AR32" i="2" s="1"/>
  <c r="AS32" i="2" s="1"/>
  <c r="AT32" i="2" s="1"/>
  <c r="AU32" i="2" s="1"/>
  <c r="AV32" i="2" s="1"/>
  <c r="AW32" i="2" s="1"/>
  <c r="AX32" i="2" s="1"/>
  <c r="AY32" i="2" s="1"/>
  <c r="AZ32" i="2" s="1"/>
  <c r="BA32" i="2" s="1"/>
  <c r="BB32" i="2" s="1"/>
  <c r="BC32" i="2" s="1"/>
  <c r="BD32" i="2" s="1"/>
  <c r="BE32" i="2" s="1"/>
  <c r="BF32" i="2" s="1"/>
  <c r="BG32" i="2" s="1"/>
  <c r="BH32" i="2" s="1"/>
  <c r="BI32" i="2" s="1"/>
  <c r="BJ32" i="2" s="1"/>
  <c r="BK32" i="2" s="1"/>
  <c r="BL32" i="2" s="1"/>
  <c r="BM32" i="2" s="1"/>
  <c r="BN32" i="2" s="1"/>
  <c r="BO32" i="2" s="1"/>
  <c r="BP32" i="2" s="1"/>
  <c r="BO30" i="2"/>
  <c r="BN30" i="2"/>
  <c r="BM30" i="2"/>
  <c r="BL30" i="2"/>
  <c r="BK30" i="2"/>
  <c r="BJ30" i="2"/>
  <c r="BI30" i="2"/>
  <c r="BH30" i="2"/>
  <c r="BG30" i="2"/>
  <c r="BF30" i="2"/>
  <c r="BE30" i="2"/>
  <c r="BD30" i="2"/>
  <c r="BC30" i="2"/>
  <c r="BB30" i="2"/>
  <c r="BA30" i="2"/>
  <c r="AZ30" i="2"/>
  <c r="AY30" i="2"/>
  <c r="AX30" i="2"/>
  <c r="AW30" i="2"/>
  <c r="AV30" i="2"/>
  <c r="AU30" i="2"/>
  <c r="AT30" i="2"/>
  <c r="AS30" i="2"/>
  <c r="AR30" i="2"/>
  <c r="AQ30" i="2"/>
  <c r="AP30" i="2"/>
  <c r="AO30" i="2"/>
  <c r="AN30" i="2"/>
  <c r="AM30" i="2"/>
  <c r="AL30" i="2"/>
  <c r="AK30" i="2"/>
  <c r="AJ30" i="2"/>
  <c r="AI30" i="2"/>
  <c r="AH30" i="2"/>
  <c r="AG30" i="2"/>
  <c r="AF30" i="2"/>
  <c r="AE30" i="2"/>
  <c r="AD30" i="2"/>
  <c r="AC30" i="2"/>
  <c r="AB30" i="2"/>
  <c r="AA30" i="2"/>
  <c r="Z30" i="2"/>
  <c r="Y30" i="2"/>
  <c r="X30" i="2"/>
  <c r="W30" i="2"/>
  <c r="V30" i="2"/>
  <c r="U30" i="2"/>
  <c r="T30" i="2"/>
  <c r="S30" i="2"/>
  <c r="R30" i="2"/>
  <c r="Q30" i="2"/>
  <c r="P30" i="2"/>
  <c r="O30" i="2"/>
  <c r="N30" i="2"/>
  <c r="M30" i="2"/>
  <c r="L30" i="2"/>
  <c r="K30" i="2"/>
  <c r="J30" i="2"/>
  <c r="I30" i="2"/>
  <c r="H30" i="2"/>
  <c r="G30" i="2"/>
  <c r="F30" i="2"/>
  <c r="E30" i="2"/>
  <c r="D30" i="2"/>
  <c r="C30" i="2"/>
  <c r="BO29" i="2"/>
  <c r="BN29" i="2"/>
  <c r="BM29" i="2"/>
  <c r="BL29" i="2"/>
  <c r="BK29" i="2"/>
  <c r="BJ29" i="2"/>
  <c r="BI29" i="2"/>
  <c r="BH29" i="2"/>
  <c r="BG29" i="2"/>
  <c r="BF29" i="2"/>
  <c r="BE29" i="2"/>
  <c r="BD29" i="2"/>
  <c r="BC29" i="2"/>
  <c r="BB29" i="2"/>
  <c r="BA29" i="2"/>
  <c r="AZ29" i="2"/>
  <c r="AY29" i="2"/>
  <c r="AX29" i="2"/>
  <c r="AW29" i="2"/>
  <c r="AV29" i="2"/>
  <c r="AU29" i="2"/>
  <c r="AT29" i="2"/>
  <c r="AS29" i="2"/>
  <c r="AR29" i="2"/>
  <c r="AQ29" i="2"/>
  <c r="AP29" i="2"/>
  <c r="AO29" i="2"/>
  <c r="AN29" i="2"/>
  <c r="AM29" i="2"/>
  <c r="AL29" i="2"/>
  <c r="AK29" i="2"/>
  <c r="AJ29" i="2"/>
  <c r="AI29" i="2"/>
  <c r="AH29" i="2"/>
  <c r="AG29" i="2"/>
  <c r="AF29" i="2"/>
  <c r="AE29" i="2"/>
  <c r="AD29" i="2"/>
  <c r="AC29" i="2"/>
  <c r="AB29" i="2"/>
  <c r="AA29" i="2"/>
  <c r="Z29" i="2"/>
  <c r="Y29" i="2"/>
  <c r="X29" i="2"/>
  <c r="W29" i="2"/>
  <c r="V29" i="2"/>
  <c r="U29" i="2"/>
  <c r="T29" i="2"/>
  <c r="S29" i="2"/>
  <c r="R29" i="2"/>
  <c r="Q29" i="2"/>
  <c r="P29" i="2"/>
  <c r="O29" i="2"/>
  <c r="N29" i="2"/>
  <c r="M29" i="2"/>
  <c r="L29" i="2"/>
  <c r="K29" i="2"/>
  <c r="J29" i="2"/>
  <c r="I29" i="2"/>
  <c r="H29" i="2"/>
  <c r="G29" i="2"/>
  <c r="F29" i="2"/>
  <c r="E29" i="2"/>
  <c r="D29" i="2"/>
  <c r="C29" i="2"/>
  <c r="BO28" i="2"/>
  <c r="BN28" i="2"/>
  <c r="BM28" i="2"/>
  <c r="BL28" i="2"/>
  <c r="BK28" i="2"/>
  <c r="BJ28" i="2"/>
  <c r="BI28" i="2"/>
  <c r="BH28" i="2"/>
  <c r="BG28" i="2"/>
  <c r="BF28" i="2"/>
  <c r="BE28" i="2"/>
  <c r="BD28" i="2"/>
  <c r="BC28" i="2"/>
  <c r="BB28" i="2"/>
  <c r="BA28" i="2"/>
  <c r="AZ28" i="2"/>
  <c r="AY28" i="2"/>
  <c r="AX28" i="2"/>
  <c r="AW28" i="2"/>
  <c r="AV28" i="2"/>
  <c r="AU28" i="2"/>
  <c r="AT28" i="2"/>
  <c r="AS28" i="2"/>
  <c r="AR28" i="2"/>
  <c r="AQ28" i="2"/>
  <c r="AP28" i="2"/>
  <c r="AO28" i="2"/>
  <c r="AN28" i="2"/>
  <c r="AM28" i="2"/>
  <c r="AL28" i="2"/>
  <c r="AK28" i="2"/>
  <c r="AJ28" i="2"/>
  <c r="AI28" i="2"/>
  <c r="AH28" i="2"/>
  <c r="AG28" i="2"/>
  <c r="AF28" i="2"/>
  <c r="AE28" i="2"/>
  <c r="AD28" i="2"/>
  <c r="AC28" i="2"/>
  <c r="AB28" i="2"/>
  <c r="AA28" i="2"/>
  <c r="Z28" i="2"/>
  <c r="Y28" i="2"/>
  <c r="X28" i="2"/>
  <c r="W28" i="2"/>
  <c r="V28" i="2"/>
  <c r="U28" i="2"/>
  <c r="T28" i="2"/>
  <c r="S28" i="2"/>
  <c r="R28" i="2"/>
  <c r="Q28" i="2"/>
  <c r="P28" i="2"/>
  <c r="O28" i="2"/>
  <c r="N28" i="2"/>
  <c r="M28" i="2"/>
  <c r="L28" i="2"/>
  <c r="K28" i="2"/>
  <c r="J28" i="2"/>
  <c r="I28" i="2"/>
  <c r="H28" i="2"/>
  <c r="G28" i="2"/>
  <c r="F28" i="2"/>
  <c r="E28" i="2"/>
  <c r="D28" i="2"/>
  <c r="C28" i="2"/>
  <c r="BO27" i="2"/>
  <c r="BN27" i="2"/>
  <c r="BM27" i="2"/>
  <c r="BL27" i="2"/>
  <c r="BK27" i="2"/>
  <c r="BJ27" i="2"/>
  <c r="BI27" i="2"/>
  <c r="BH27" i="2"/>
  <c r="BG27" i="2"/>
  <c r="BF27" i="2"/>
  <c r="BE27" i="2"/>
  <c r="BD27" i="2"/>
  <c r="BC27" i="2"/>
  <c r="BB27" i="2"/>
  <c r="BA27" i="2"/>
  <c r="AZ27" i="2"/>
  <c r="AY27" i="2"/>
  <c r="AX27" i="2"/>
  <c r="AW27" i="2"/>
  <c r="AV27" i="2"/>
  <c r="AU27" i="2"/>
  <c r="AT27" i="2"/>
  <c r="AS27" i="2"/>
  <c r="AR27" i="2"/>
  <c r="AQ27" i="2"/>
  <c r="AP27" i="2"/>
  <c r="AO27" i="2"/>
  <c r="AN27" i="2"/>
  <c r="AM27" i="2"/>
  <c r="AL27" i="2"/>
  <c r="AK27" i="2"/>
  <c r="AJ27" i="2"/>
  <c r="AI27" i="2"/>
  <c r="AH27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G27" i="2"/>
  <c r="F27" i="2"/>
  <c r="E27" i="2"/>
  <c r="D27" i="2"/>
  <c r="C27" i="2"/>
  <c r="BO26" i="2"/>
  <c r="BN26" i="2"/>
  <c r="BM26" i="2"/>
  <c r="BL26" i="2"/>
  <c r="BK26" i="2"/>
  <c r="BJ26" i="2"/>
  <c r="BI26" i="2"/>
  <c r="BH26" i="2"/>
  <c r="BG26" i="2"/>
  <c r="BF26" i="2"/>
  <c r="BE26" i="2"/>
  <c r="BD26" i="2"/>
  <c r="BC26" i="2"/>
  <c r="BB26" i="2"/>
  <c r="BA26" i="2"/>
  <c r="AZ26" i="2"/>
  <c r="AY26" i="2"/>
  <c r="AX26" i="2"/>
  <c r="AW26" i="2"/>
  <c r="AV26" i="2"/>
  <c r="AU26" i="2"/>
  <c r="AT26" i="2"/>
  <c r="AS26" i="2"/>
  <c r="AR26" i="2"/>
  <c r="AQ26" i="2"/>
  <c r="AP26" i="2"/>
  <c r="AO26" i="2"/>
  <c r="AN26" i="2"/>
  <c r="AM26" i="2"/>
  <c r="AL26" i="2"/>
  <c r="AK26" i="2"/>
  <c r="AJ26" i="2"/>
  <c r="AI26" i="2"/>
  <c r="AH26" i="2"/>
  <c r="AG26" i="2"/>
  <c r="AF26" i="2"/>
  <c r="AE26" i="2"/>
  <c r="AD26" i="2"/>
  <c r="AC26" i="2"/>
  <c r="AB26" i="2"/>
  <c r="AA26" i="2"/>
  <c r="Z26" i="2"/>
  <c r="Y26" i="2"/>
  <c r="X26" i="2"/>
  <c r="W26" i="2"/>
  <c r="V26" i="2"/>
  <c r="U26" i="2"/>
  <c r="T26" i="2"/>
  <c r="S26" i="2"/>
  <c r="R26" i="2"/>
  <c r="Q26" i="2"/>
  <c r="P26" i="2"/>
  <c r="O26" i="2"/>
  <c r="N26" i="2"/>
  <c r="M26" i="2"/>
  <c r="L26" i="2"/>
  <c r="K26" i="2"/>
  <c r="J26" i="2"/>
  <c r="I26" i="2"/>
  <c r="H26" i="2"/>
  <c r="G26" i="2"/>
  <c r="F26" i="2"/>
  <c r="E26" i="2"/>
  <c r="D26" i="2"/>
  <c r="C26" i="2"/>
  <c r="BO25" i="2"/>
  <c r="BN25" i="2"/>
  <c r="BM25" i="2"/>
  <c r="BL25" i="2"/>
  <c r="BK25" i="2"/>
  <c r="BJ25" i="2"/>
  <c r="BI25" i="2"/>
  <c r="BH25" i="2"/>
  <c r="BG25" i="2"/>
  <c r="BF25" i="2"/>
  <c r="BE25" i="2"/>
  <c r="BD25" i="2"/>
  <c r="BC25" i="2"/>
  <c r="BB25" i="2"/>
  <c r="BA25" i="2"/>
  <c r="AZ25" i="2"/>
  <c r="AY25" i="2"/>
  <c r="AX25" i="2"/>
  <c r="AW25" i="2"/>
  <c r="AV25" i="2"/>
  <c r="AU25" i="2"/>
  <c r="AT25" i="2"/>
  <c r="AS25" i="2"/>
  <c r="AR25" i="2"/>
  <c r="AQ25" i="2"/>
  <c r="AP25" i="2"/>
  <c r="AO25" i="2"/>
  <c r="AN25" i="2"/>
  <c r="AM25" i="2"/>
  <c r="AL25" i="2"/>
  <c r="AK25" i="2"/>
  <c r="AJ25" i="2"/>
  <c r="AI25" i="2"/>
  <c r="AH25" i="2"/>
  <c r="AG25" i="2"/>
  <c r="AF25" i="2"/>
  <c r="AE25" i="2"/>
  <c r="AD25" i="2"/>
  <c r="AC25" i="2"/>
  <c r="AB25" i="2"/>
  <c r="AA25" i="2"/>
  <c r="Z25" i="2"/>
  <c r="Y25" i="2"/>
  <c r="X25" i="2"/>
  <c r="W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H25" i="2"/>
  <c r="G25" i="2"/>
  <c r="F25" i="2"/>
  <c r="E25" i="2"/>
  <c r="D25" i="2"/>
  <c r="C25" i="2"/>
  <c r="BO24" i="2"/>
  <c r="BN24" i="2"/>
  <c r="BM24" i="2"/>
  <c r="BL24" i="2"/>
  <c r="BK24" i="2"/>
  <c r="BJ24" i="2"/>
  <c r="BI24" i="2"/>
  <c r="BH24" i="2"/>
  <c r="BG24" i="2"/>
  <c r="BF24" i="2"/>
  <c r="BE24" i="2"/>
  <c r="BD24" i="2"/>
  <c r="BC24" i="2"/>
  <c r="BB24" i="2"/>
  <c r="BA24" i="2"/>
  <c r="AZ24" i="2"/>
  <c r="AY24" i="2"/>
  <c r="AX24" i="2"/>
  <c r="AW24" i="2"/>
  <c r="AV24" i="2"/>
  <c r="AU24" i="2"/>
  <c r="AT24" i="2"/>
  <c r="AS24" i="2"/>
  <c r="AR24" i="2"/>
  <c r="AQ24" i="2"/>
  <c r="AP24" i="2"/>
  <c r="AO24" i="2"/>
  <c r="AN24" i="2"/>
  <c r="AM24" i="2"/>
  <c r="AL24" i="2"/>
  <c r="AK24" i="2"/>
  <c r="AJ24" i="2"/>
  <c r="AI24" i="2"/>
  <c r="AH24" i="2"/>
  <c r="AG24" i="2"/>
  <c r="AF24" i="2"/>
  <c r="AE24" i="2"/>
  <c r="AD24" i="2"/>
  <c r="AC24" i="2"/>
  <c r="AB24" i="2"/>
  <c r="AA24" i="2"/>
  <c r="Z24" i="2"/>
  <c r="Y24" i="2"/>
  <c r="X24" i="2"/>
  <c r="W24" i="2"/>
  <c r="V24" i="2"/>
  <c r="U24" i="2"/>
  <c r="T24" i="2"/>
  <c r="S24" i="2"/>
  <c r="R24" i="2"/>
  <c r="Q24" i="2"/>
  <c r="P24" i="2"/>
  <c r="O24" i="2"/>
  <c r="N24" i="2"/>
  <c r="M24" i="2"/>
  <c r="L24" i="2"/>
  <c r="K24" i="2"/>
  <c r="J24" i="2"/>
  <c r="I24" i="2"/>
  <c r="H24" i="2"/>
  <c r="G24" i="2"/>
  <c r="F24" i="2"/>
  <c r="E24" i="2"/>
  <c r="D24" i="2"/>
  <c r="C24" i="2"/>
  <c r="D54" i="2" s="1"/>
  <c r="BO23" i="2"/>
  <c r="BN23" i="2"/>
  <c r="BM23" i="2"/>
  <c r="BL23" i="2"/>
  <c r="BK23" i="2"/>
  <c r="BJ23" i="2"/>
  <c r="BI23" i="2"/>
  <c r="BH23" i="2"/>
  <c r="BG23" i="2"/>
  <c r="BF23" i="2"/>
  <c r="BE23" i="2"/>
  <c r="BD23" i="2"/>
  <c r="BC23" i="2"/>
  <c r="BB23" i="2"/>
  <c r="BA23" i="2"/>
  <c r="AZ23" i="2"/>
  <c r="AY23" i="2"/>
  <c r="AX23" i="2"/>
  <c r="AW23" i="2"/>
  <c r="AV23" i="2"/>
  <c r="AU23" i="2"/>
  <c r="AT23" i="2"/>
  <c r="AS23" i="2"/>
  <c r="AR23" i="2"/>
  <c r="AQ23" i="2"/>
  <c r="AP23" i="2"/>
  <c r="AO23" i="2"/>
  <c r="AN23" i="2"/>
  <c r="AM23" i="2"/>
  <c r="AL23" i="2"/>
  <c r="AK23" i="2"/>
  <c r="AJ23" i="2"/>
  <c r="AI23" i="2"/>
  <c r="AH23" i="2"/>
  <c r="AG23" i="2"/>
  <c r="AF23" i="2"/>
  <c r="AE23" i="2"/>
  <c r="AD23" i="2"/>
  <c r="AC23" i="2"/>
  <c r="AB23" i="2"/>
  <c r="AA23" i="2"/>
  <c r="Z23" i="2"/>
  <c r="Y23" i="2"/>
  <c r="X23" i="2"/>
  <c r="W23" i="2"/>
  <c r="V23" i="2"/>
  <c r="U23" i="2"/>
  <c r="T23" i="2"/>
  <c r="S23" i="2"/>
  <c r="R23" i="2"/>
  <c r="Q23" i="2"/>
  <c r="P23" i="2"/>
  <c r="O23" i="2"/>
  <c r="N23" i="2"/>
  <c r="M23" i="2"/>
  <c r="L23" i="2"/>
  <c r="K23" i="2"/>
  <c r="J23" i="2"/>
  <c r="I23" i="2"/>
  <c r="H23" i="2"/>
  <c r="G23" i="2"/>
  <c r="F23" i="2"/>
  <c r="E23" i="2"/>
  <c r="D23" i="2"/>
  <c r="C23" i="2"/>
  <c r="BO22" i="2"/>
  <c r="BN22" i="2"/>
  <c r="BM22" i="2"/>
  <c r="BL22" i="2"/>
  <c r="BK22" i="2"/>
  <c r="BJ22" i="2"/>
  <c r="BI22" i="2"/>
  <c r="BH22" i="2"/>
  <c r="BG22" i="2"/>
  <c r="BF22" i="2"/>
  <c r="BE22" i="2"/>
  <c r="BD22" i="2"/>
  <c r="BC22" i="2"/>
  <c r="BB22" i="2"/>
  <c r="BA22" i="2"/>
  <c r="AZ22" i="2"/>
  <c r="AY22" i="2"/>
  <c r="AX22" i="2"/>
  <c r="AW22" i="2"/>
  <c r="AV22" i="2"/>
  <c r="AU22" i="2"/>
  <c r="AT22" i="2"/>
  <c r="AS22" i="2"/>
  <c r="AR22" i="2"/>
  <c r="AQ22" i="2"/>
  <c r="AP22" i="2"/>
  <c r="AO22" i="2"/>
  <c r="AN22" i="2"/>
  <c r="AM22" i="2"/>
  <c r="AL22" i="2"/>
  <c r="AK22" i="2"/>
  <c r="AJ22" i="2"/>
  <c r="AI22" i="2"/>
  <c r="AH22" i="2"/>
  <c r="AG22" i="2"/>
  <c r="AF22" i="2"/>
  <c r="AE22" i="2"/>
  <c r="AD22" i="2"/>
  <c r="AC22" i="2"/>
  <c r="AB22" i="2"/>
  <c r="AA22" i="2"/>
  <c r="Z22" i="2"/>
  <c r="Y22" i="2"/>
  <c r="X22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D22" i="2"/>
  <c r="C22" i="2"/>
  <c r="BO21" i="2"/>
  <c r="BN21" i="2"/>
  <c r="BM21" i="2"/>
  <c r="BL21" i="2"/>
  <c r="BK21" i="2"/>
  <c r="BJ21" i="2"/>
  <c r="BI21" i="2"/>
  <c r="BH21" i="2"/>
  <c r="BG21" i="2"/>
  <c r="BF21" i="2"/>
  <c r="BE21" i="2"/>
  <c r="BD21" i="2"/>
  <c r="BC21" i="2"/>
  <c r="BB21" i="2"/>
  <c r="BA21" i="2"/>
  <c r="AZ21" i="2"/>
  <c r="AY21" i="2"/>
  <c r="AX21" i="2"/>
  <c r="AW21" i="2"/>
  <c r="AV21" i="2"/>
  <c r="AU21" i="2"/>
  <c r="AT21" i="2"/>
  <c r="AS21" i="2"/>
  <c r="AR21" i="2"/>
  <c r="AQ21" i="2"/>
  <c r="AP21" i="2"/>
  <c r="AO21" i="2"/>
  <c r="AN21" i="2"/>
  <c r="AM21" i="2"/>
  <c r="AL21" i="2"/>
  <c r="AK21" i="2"/>
  <c r="AJ21" i="2"/>
  <c r="AI21" i="2"/>
  <c r="AH21" i="2"/>
  <c r="AG21" i="2"/>
  <c r="AF21" i="2"/>
  <c r="AE21" i="2"/>
  <c r="AD21" i="2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H21" i="2"/>
  <c r="G21" i="2"/>
  <c r="F21" i="2"/>
  <c r="E21" i="2"/>
  <c r="D21" i="2"/>
  <c r="C21" i="2"/>
  <c r="BO20" i="2"/>
  <c r="BN20" i="2"/>
  <c r="BM20" i="2"/>
  <c r="BL20" i="2"/>
  <c r="BK20" i="2"/>
  <c r="BJ20" i="2"/>
  <c r="BI20" i="2"/>
  <c r="BH20" i="2"/>
  <c r="BG20" i="2"/>
  <c r="BF20" i="2"/>
  <c r="BE20" i="2"/>
  <c r="BD20" i="2"/>
  <c r="BC20" i="2"/>
  <c r="BB20" i="2"/>
  <c r="BA20" i="2"/>
  <c r="AZ20" i="2"/>
  <c r="AY20" i="2"/>
  <c r="AX20" i="2"/>
  <c r="AW20" i="2"/>
  <c r="AV20" i="2"/>
  <c r="AU20" i="2"/>
  <c r="AT20" i="2"/>
  <c r="AS20" i="2"/>
  <c r="AR20" i="2"/>
  <c r="AQ20" i="2"/>
  <c r="AP20" i="2"/>
  <c r="AO20" i="2"/>
  <c r="AN20" i="2"/>
  <c r="AM20" i="2"/>
  <c r="AL20" i="2"/>
  <c r="AK20" i="2"/>
  <c r="AJ20" i="2"/>
  <c r="AI20" i="2"/>
  <c r="AH20" i="2"/>
  <c r="AG20" i="2"/>
  <c r="AF20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E20" i="2"/>
  <c r="D20" i="2"/>
  <c r="C20" i="2"/>
  <c r="D50" i="2" s="1"/>
  <c r="BO19" i="2"/>
  <c r="BN19" i="2"/>
  <c r="BM19" i="2"/>
  <c r="BL19" i="2"/>
  <c r="BK19" i="2"/>
  <c r="BJ19" i="2"/>
  <c r="BI19" i="2"/>
  <c r="BH19" i="2"/>
  <c r="BG19" i="2"/>
  <c r="BF19" i="2"/>
  <c r="BE19" i="2"/>
  <c r="BD19" i="2"/>
  <c r="BC19" i="2"/>
  <c r="BB19" i="2"/>
  <c r="BA19" i="2"/>
  <c r="AZ19" i="2"/>
  <c r="AY19" i="2"/>
  <c r="AX19" i="2"/>
  <c r="AW19" i="2"/>
  <c r="AV19" i="2"/>
  <c r="AU19" i="2"/>
  <c r="AT19" i="2"/>
  <c r="AS19" i="2"/>
  <c r="AR19" i="2"/>
  <c r="AQ19" i="2"/>
  <c r="AP19" i="2"/>
  <c r="AO19" i="2"/>
  <c r="AN19" i="2"/>
  <c r="AM19" i="2"/>
  <c r="AL19" i="2"/>
  <c r="AK19" i="2"/>
  <c r="AJ19" i="2"/>
  <c r="AI19" i="2"/>
  <c r="AH19" i="2"/>
  <c r="AG19" i="2"/>
  <c r="AF19" i="2"/>
  <c r="AE19" i="2"/>
  <c r="AD19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H19" i="2"/>
  <c r="G19" i="2"/>
  <c r="F19" i="2"/>
  <c r="E19" i="2"/>
  <c r="D19" i="2"/>
  <c r="C19" i="2"/>
  <c r="BO18" i="2"/>
  <c r="BN18" i="2"/>
  <c r="BM18" i="2"/>
  <c r="BL18" i="2"/>
  <c r="BK18" i="2"/>
  <c r="BJ18" i="2"/>
  <c r="BI18" i="2"/>
  <c r="BH18" i="2"/>
  <c r="BG18" i="2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AR18" i="2"/>
  <c r="AQ18" i="2"/>
  <c r="AP18" i="2"/>
  <c r="AO18" i="2"/>
  <c r="AN18" i="2"/>
  <c r="AM18" i="2"/>
  <c r="AL18" i="2"/>
  <c r="AK18" i="2"/>
  <c r="AJ18" i="2"/>
  <c r="AI18" i="2"/>
  <c r="AH18" i="2"/>
  <c r="AG18" i="2"/>
  <c r="AF18" i="2"/>
  <c r="AE18" i="2"/>
  <c r="AD18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F18" i="2"/>
  <c r="E18" i="2"/>
  <c r="D18" i="2"/>
  <c r="C18" i="2"/>
  <c r="BO17" i="2"/>
  <c r="BN17" i="2"/>
  <c r="BM17" i="2"/>
  <c r="BL17" i="2"/>
  <c r="BK17" i="2"/>
  <c r="BJ17" i="2"/>
  <c r="BI17" i="2"/>
  <c r="BH17" i="2"/>
  <c r="BG17" i="2"/>
  <c r="BF17" i="2"/>
  <c r="BE17" i="2"/>
  <c r="BD17" i="2"/>
  <c r="BC17" i="2"/>
  <c r="BB17" i="2"/>
  <c r="BA17" i="2"/>
  <c r="AZ17" i="2"/>
  <c r="AY17" i="2"/>
  <c r="AX17" i="2"/>
  <c r="AW17" i="2"/>
  <c r="AV17" i="2"/>
  <c r="AU17" i="2"/>
  <c r="AT17" i="2"/>
  <c r="AS17" i="2"/>
  <c r="AR17" i="2"/>
  <c r="AQ17" i="2"/>
  <c r="AP17" i="2"/>
  <c r="AO17" i="2"/>
  <c r="AN17" i="2"/>
  <c r="AM17" i="2"/>
  <c r="AL17" i="2"/>
  <c r="AK17" i="2"/>
  <c r="AJ17" i="2"/>
  <c r="AI17" i="2"/>
  <c r="AH17" i="2"/>
  <c r="AG17" i="2"/>
  <c r="AF17" i="2"/>
  <c r="AE17" i="2"/>
  <c r="AD17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G17" i="2"/>
  <c r="F17" i="2"/>
  <c r="E17" i="2"/>
  <c r="D17" i="2"/>
  <c r="C17" i="2"/>
  <c r="BO16" i="2"/>
  <c r="BN16" i="2"/>
  <c r="BM16" i="2"/>
  <c r="BL16" i="2"/>
  <c r="BK16" i="2"/>
  <c r="BJ16" i="2"/>
  <c r="BI16" i="2"/>
  <c r="BH16" i="2"/>
  <c r="BG16" i="2"/>
  <c r="BF16" i="2"/>
  <c r="BE16" i="2"/>
  <c r="BD16" i="2"/>
  <c r="BC16" i="2"/>
  <c r="BB16" i="2"/>
  <c r="BA16" i="2"/>
  <c r="AZ16" i="2"/>
  <c r="AY16" i="2"/>
  <c r="AX16" i="2"/>
  <c r="AW16" i="2"/>
  <c r="AV16" i="2"/>
  <c r="AU16" i="2"/>
  <c r="AT16" i="2"/>
  <c r="AS16" i="2"/>
  <c r="AR16" i="2"/>
  <c r="AQ16" i="2"/>
  <c r="AP16" i="2"/>
  <c r="AO16" i="2"/>
  <c r="AN16" i="2"/>
  <c r="AM16" i="2"/>
  <c r="AL16" i="2"/>
  <c r="AK16" i="2"/>
  <c r="AJ16" i="2"/>
  <c r="AI16" i="2"/>
  <c r="AH16" i="2"/>
  <c r="AG16" i="2"/>
  <c r="AF16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E16" i="2"/>
  <c r="D16" i="2"/>
  <c r="C16" i="2"/>
  <c r="D46" i="2" s="1"/>
  <c r="BO15" i="2"/>
  <c r="BN15" i="2"/>
  <c r="BM15" i="2"/>
  <c r="BL15" i="2"/>
  <c r="BK15" i="2"/>
  <c r="BJ15" i="2"/>
  <c r="BI15" i="2"/>
  <c r="BH15" i="2"/>
  <c r="BG15" i="2"/>
  <c r="BF15" i="2"/>
  <c r="BE15" i="2"/>
  <c r="BD15" i="2"/>
  <c r="BC15" i="2"/>
  <c r="BB15" i="2"/>
  <c r="BA15" i="2"/>
  <c r="AZ15" i="2"/>
  <c r="AY15" i="2"/>
  <c r="AX15" i="2"/>
  <c r="AW15" i="2"/>
  <c r="AV15" i="2"/>
  <c r="AU15" i="2"/>
  <c r="AT15" i="2"/>
  <c r="AS15" i="2"/>
  <c r="AR15" i="2"/>
  <c r="AQ15" i="2"/>
  <c r="AP15" i="2"/>
  <c r="AO15" i="2"/>
  <c r="AN15" i="2"/>
  <c r="AM15" i="2"/>
  <c r="AL15" i="2"/>
  <c r="AK15" i="2"/>
  <c r="AJ15" i="2"/>
  <c r="AI15" i="2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D15" i="2"/>
  <c r="C15" i="2"/>
  <c r="BO14" i="2"/>
  <c r="BN14" i="2"/>
  <c r="BM14" i="2"/>
  <c r="BL14" i="2"/>
  <c r="BK14" i="2"/>
  <c r="BJ14" i="2"/>
  <c r="BI14" i="2"/>
  <c r="BH14" i="2"/>
  <c r="BG14" i="2"/>
  <c r="BF14" i="2"/>
  <c r="BE14" i="2"/>
  <c r="BD14" i="2"/>
  <c r="BC14" i="2"/>
  <c r="BB14" i="2"/>
  <c r="BA14" i="2"/>
  <c r="AZ14" i="2"/>
  <c r="AY14" i="2"/>
  <c r="AX14" i="2"/>
  <c r="AW14" i="2"/>
  <c r="AV14" i="2"/>
  <c r="AU14" i="2"/>
  <c r="AT14" i="2"/>
  <c r="AS14" i="2"/>
  <c r="AR14" i="2"/>
  <c r="AQ14" i="2"/>
  <c r="AP14" i="2"/>
  <c r="AO14" i="2"/>
  <c r="AN14" i="2"/>
  <c r="AM14" i="2"/>
  <c r="AL14" i="2"/>
  <c r="AK14" i="2"/>
  <c r="AJ14" i="2"/>
  <c r="AI14" i="2"/>
  <c r="AH14" i="2"/>
  <c r="AG14" i="2"/>
  <c r="AF14" i="2"/>
  <c r="AE14" i="2"/>
  <c r="AD14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F14" i="2"/>
  <c r="E14" i="2"/>
  <c r="D14" i="2"/>
  <c r="C14" i="2"/>
  <c r="BO13" i="2"/>
  <c r="BN13" i="2"/>
  <c r="BM13" i="2"/>
  <c r="BL13" i="2"/>
  <c r="BK13" i="2"/>
  <c r="BJ13" i="2"/>
  <c r="BI13" i="2"/>
  <c r="BH13" i="2"/>
  <c r="BG13" i="2"/>
  <c r="BF13" i="2"/>
  <c r="BE13" i="2"/>
  <c r="BD13" i="2"/>
  <c r="BC13" i="2"/>
  <c r="BB13" i="2"/>
  <c r="BA13" i="2"/>
  <c r="AZ13" i="2"/>
  <c r="AY13" i="2"/>
  <c r="AX13" i="2"/>
  <c r="AW13" i="2"/>
  <c r="AV13" i="2"/>
  <c r="AU13" i="2"/>
  <c r="AT13" i="2"/>
  <c r="AS13" i="2"/>
  <c r="AR13" i="2"/>
  <c r="AQ13" i="2"/>
  <c r="AP13" i="2"/>
  <c r="AO13" i="2"/>
  <c r="AN13" i="2"/>
  <c r="AM13" i="2"/>
  <c r="AL13" i="2"/>
  <c r="AK13" i="2"/>
  <c r="AJ13" i="2"/>
  <c r="AI13" i="2"/>
  <c r="AH13" i="2"/>
  <c r="AG13" i="2"/>
  <c r="AF13" i="2"/>
  <c r="AE13" i="2"/>
  <c r="AD13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F13" i="2"/>
  <c r="E13" i="2"/>
  <c r="D13" i="2"/>
  <c r="C13" i="2"/>
  <c r="BO12" i="2"/>
  <c r="BN12" i="2"/>
  <c r="BM12" i="2"/>
  <c r="BL12" i="2"/>
  <c r="BK12" i="2"/>
  <c r="BJ12" i="2"/>
  <c r="BI12" i="2"/>
  <c r="BH12" i="2"/>
  <c r="BG12" i="2"/>
  <c r="BF12" i="2"/>
  <c r="BE12" i="2"/>
  <c r="BD12" i="2"/>
  <c r="BC12" i="2"/>
  <c r="BB12" i="2"/>
  <c r="BA12" i="2"/>
  <c r="AZ12" i="2"/>
  <c r="AY12" i="2"/>
  <c r="AX12" i="2"/>
  <c r="AW12" i="2"/>
  <c r="AV12" i="2"/>
  <c r="AU12" i="2"/>
  <c r="AT12" i="2"/>
  <c r="AS12" i="2"/>
  <c r="AR12" i="2"/>
  <c r="AQ12" i="2"/>
  <c r="AP12" i="2"/>
  <c r="AO12" i="2"/>
  <c r="AN12" i="2"/>
  <c r="AM12" i="2"/>
  <c r="AL12" i="2"/>
  <c r="AK12" i="2"/>
  <c r="AJ12" i="2"/>
  <c r="AI12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12" i="2"/>
  <c r="D42" i="2" s="1"/>
  <c r="BO11" i="2"/>
  <c r="BN11" i="2"/>
  <c r="BM11" i="2"/>
  <c r="BL11" i="2"/>
  <c r="BK11" i="2"/>
  <c r="BJ11" i="2"/>
  <c r="BI11" i="2"/>
  <c r="BH11" i="2"/>
  <c r="BG11" i="2"/>
  <c r="BF11" i="2"/>
  <c r="BE11" i="2"/>
  <c r="BD11" i="2"/>
  <c r="BC11" i="2"/>
  <c r="BB11" i="2"/>
  <c r="BA11" i="2"/>
  <c r="AZ11" i="2"/>
  <c r="AY11" i="2"/>
  <c r="AX11" i="2"/>
  <c r="AW11" i="2"/>
  <c r="AV11" i="2"/>
  <c r="AU11" i="2"/>
  <c r="AT11" i="2"/>
  <c r="AS11" i="2"/>
  <c r="AR11" i="2"/>
  <c r="AQ11" i="2"/>
  <c r="AP11" i="2"/>
  <c r="AO11" i="2"/>
  <c r="AN11" i="2"/>
  <c r="AM11" i="2"/>
  <c r="AL11" i="2"/>
  <c r="AK11" i="2"/>
  <c r="AJ11" i="2"/>
  <c r="AI11" i="2"/>
  <c r="AH11" i="2"/>
  <c r="AG11" i="2"/>
  <c r="AF11" i="2"/>
  <c r="AE11" i="2"/>
  <c r="AD11" i="2"/>
  <c r="AC11" i="2"/>
  <c r="AB11" i="2"/>
  <c r="AA11" i="2"/>
  <c r="Z11" i="2"/>
  <c r="Y11" i="2"/>
  <c r="X11" i="2"/>
  <c r="W11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G11" i="2"/>
  <c r="F11" i="2"/>
  <c r="E11" i="2"/>
  <c r="D11" i="2"/>
  <c r="C11" i="2"/>
  <c r="BO10" i="2"/>
  <c r="BN10" i="2"/>
  <c r="BM10" i="2"/>
  <c r="BL10" i="2"/>
  <c r="BK10" i="2"/>
  <c r="BJ10" i="2"/>
  <c r="BI10" i="2"/>
  <c r="BH10" i="2"/>
  <c r="BG10" i="2"/>
  <c r="BF10" i="2"/>
  <c r="BE10" i="2"/>
  <c r="BD10" i="2"/>
  <c r="BC10" i="2"/>
  <c r="BB10" i="2"/>
  <c r="BA10" i="2"/>
  <c r="AZ10" i="2"/>
  <c r="AY10" i="2"/>
  <c r="AX10" i="2"/>
  <c r="AW10" i="2"/>
  <c r="AV10" i="2"/>
  <c r="AU10" i="2"/>
  <c r="AT10" i="2"/>
  <c r="AS10" i="2"/>
  <c r="AR10" i="2"/>
  <c r="AQ10" i="2"/>
  <c r="AP10" i="2"/>
  <c r="AO10" i="2"/>
  <c r="AN10" i="2"/>
  <c r="AM10" i="2"/>
  <c r="AL10" i="2"/>
  <c r="AK10" i="2"/>
  <c r="AJ10" i="2"/>
  <c r="AI10" i="2"/>
  <c r="AH10" i="2"/>
  <c r="AG10" i="2"/>
  <c r="AF10" i="2"/>
  <c r="AE10" i="2"/>
  <c r="AD10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D10" i="2"/>
  <c r="C10" i="2"/>
  <c r="BO9" i="2"/>
  <c r="BN9" i="2"/>
  <c r="BM9" i="2"/>
  <c r="BL9" i="2"/>
  <c r="BK9" i="2"/>
  <c r="BJ9" i="2"/>
  <c r="BI9" i="2"/>
  <c r="BH9" i="2"/>
  <c r="BG9" i="2"/>
  <c r="BF9" i="2"/>
  <c r="BE9" i="2"/>
  <c r="BD9" i="2"/>
  <c r="BC9" i="2"/>
  <c r="BB9" i="2"/>
  <c r="BA9" i="2"/>
  <c r="AZ9" i="2"/>
  <c r="AY9" i="2"/>
  <c r="AX9" i="2"/>
  <c r="AW9" i="2"/>
  <c r="AV9" i="2"/>
  <c r="AU9" i="2"/>
  <c r="AT9" i="2"/>
  <c r="AS9" i="2"/>
  <c r="AR9" i="2"/>
  <c r="AQ9" i="2"/>
  <c r="AP9" i="2"/>
  <c r="AO9" i="2"/>
  <c r="AN9" i="2"/>
  <c r="AM9" i="2"/>
  <c r="AL9" i="2"/>
  <c r="AK9" i="2"/>
  <c r="AJ9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BO8" i="2"/>
  <c r="BN8" i="2"/>
  <c r="BM8" i="2"/>
  <c r="BL8" i="2"/>
  <c r="BK8" i="2"/>
  <c r="BJ8" i="2"/>
  <c r="BI8" i="2"/>
  <c r="BH8" i="2"/>
  <c r="BG8" i="2"/>
  <c r="BF8" i="2"/>
  <c r="BE8" i="2"/>
  <c r="BD8" i="2"/>
  <c r="BC8" i="2"/>
  <c r="BB8" i="2"/>
  <c r="BA8" i="2"/>
  <c r="AZ8" i="2"/>
  <c r="AY8" i="2"/>
  <c r="AX8" i="2"/>
  <c r="AW8" i="2"/>
  <c r="AV8" i="2"/>
  <c r="AU8" i="2"/>
  <c r="AT8" i="2"/>
  <c r="AS8" i="2"/>
  <c r="AR8" i="2"/>
  <c r="AQ8" i="2"/>
  <c r="AP8" i="2"/>
  <c r="AO8" i="2"/>
  <c r="AN8" i="2"/>
  <c r="AM8" i="2"/>
  <c r="AL8" i="2"/>
  <c r="AK8" i="2"/>
  <c r="AJ8" i="2"/>
  <c r="AI8" i="2"/>
  <c r="AH8" i="2"/>
  <c r="AG8" i="2"/>
  <c r="AF8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G8" i="2"/>
  <c r="F8" i="2"/>
  <c r="E8" i="2"/>
  <c r="D8" i="2"/>
  <c r="C8" i="2"/>
  <c r="D38" i="2" s="1"/>
  <c r="BO7" i="2"/>
  <c r="BN7" i="2"/>
  <c r="BM7" i="2"/>
  <c r="BL7" i="2"/>
  <c r="BK7" i="2"/>
  <c r="BJ7" i="2"/>
  <c r="BI7" i="2"/>
  <c r="BH7" i="2"/>
  <c r="BG7" i="2"/>
  <c r="BF7" i="2"/>
  <c r="BE7" i="2"/>
  <c r="BD7" i="2"/>
  <c r="BC7" i="2"/>
  <c r="BB7" i="2"/>
  <c r="BA7" i="2"/>
  <c r="AZ7" i="2"/>
  <c r="AY7" i="2"/>
  <c r="AX7" i="2"/>
  <c r="AW7" i="2"/>
  <c r="AV7" i="2"/>
  <c r="AU7" i="2"/>
  <c r="AT7" i="2"/>
  <c r="AS7" i="2"/>
  <c r="AR7" i="2"/>
  <c r="AQ7" i="2"/>
  <c r="AP7" i="2"/>
  <c r="AO7" i="2"/>
  <c r="AN7" i="2"/>
  <c r="AM7" i="2"/>
  <c r="AL7" i="2"/>
  <c r="AK7" i="2"/>
  <c r="AJ7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D7" i="2"/>
  <c r="C7" i="2"/>
  <c r="BO6" i="2"/>
  <c r="BN6" i="2"/>
  <c r="BM6" i="2"/>
  <c r="BL6" i="2"/>
  <c r="BK6" i="2"/>
  <c r="BJ6" i="2"/>
  <c r="BI6" i="2"/>
  <c r="BH6" i="2"/>
  <c r="BG6" i="2"/>
  <c r="BF6" i="2"/>
  <c r="BE6" i="2"/>
  <c r="BD6" i="2"/>
  <c r="BC6" i="2"/>
  <c r="BB6" i="2"/>
  <c r="BA6" i="2"/>
  <c r="AZ6" i="2"/>
  <c r="AY6" i="2"/>
  <c r="AX6" i="2"/>
  <c r="AW6" i="2"/>
  <c r="AV6" i="2"/>
  <c r="AU6" i="2"/>
  <c r="AT6" i="2"/>
  <c r="AS6" i="2"/>
  <c r="AR6" i="2"/>
  <c r="AQ6" i="2"/>
  <c r="AP6" i="2"/>
  <c r="AO6" i="2"/>
  <c r="AN6" i="2"/>
  <c r="AM6" i="2"/>
  <c r="AL6" i="2"/>
  <c r="AK6" i="2"/>
  <c r="AJ6" i="2"/>
  <c r="AI6" i="2"/>
  <c r="AH6" i="2"/>
  <c r="AG6" i="2"/>
  <c r="AF6" i="2"/>
  <c r="AE6" i="2"/>
  <c r="AD6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F6" i="2"/>
  <c r="E6" i="2"/>
  <c r="D6" i="2"/>
  <c r="C6" i="2"/>
  <c r="BO5" i="2"/>
  <c r="BN5" i="2"/>
  <c r="BM5" i="2"/>
  <c r="BL5" i="2"/>
  <c r="BK5" i="2"/>
  <c r="BJ5" i="2"/>
  <c r="BI5" i="2"/>
  <c r="BH5" i="2"/>
  <c r="BG5" i="2"/>
  <c r="BF5" i="2"/>
  <c r="BE5" i="2"/>
  <c r="BD5" i="2"/>
  <c r="BC5" i="2"/>
  <c r="BB5" i="2"/>
  <c r="BA5" i="2"/>
  <c r="AZ5" i="2"/>
  <c r="AY5" i="2"/>
  <c r="AX5" i="2"/>
  <c r="AW5" i="2"/>
  <c r="AV5" i="2"/>
  <c r="AU5" i="2"/>
  <c r="AT5" i="2"/>
  <c r="AS5" i="2"/>
  <c r="AR5" i="2"/>
  <c r="AQ5" i="2"/>
  <c r="AP5" i="2"/>
  <c r="AO5" i="2"/>
  <c r="AN5" i="2"/>
  <c r="AM5" i="2"/>
  <c r="AL5" i="2"/>
  <c r="AK5" i="2"/>
  <c r="AJ5" i="2"/>
  <c r="AI5" i="2"/>
  <c r="AH5" i="2"/>
  <c r="AG5" i="2"/>
  <c r="AF5" i="2"/>
  <c r="AE5" i="2"/>
  <c r="AD5" i="2"/>
  <c r="AC5" i="2"/>
  <c r="AB5" i="2"/>
  <c r="AA5" i="2"/>
  <c r="Z5" i="2"/>
  <c r="Y5" i="2"/>
  <c r="X5" i="2"/>
  <c r="W5" i="2"/>
  <c r="V5" i="2"/>
  <c r="U5" i="2"/>
  <c r="T5" i="2"/>
  <c r="S5" i="2"/>
  <c r="R5" i="2"/>
  <c r="Q5" i="2"/>
  <c r="P5" i="2"/>
  <c r="O5" i="2"/>
  <c r="N5" i="2"/>
  <c r="M5" i="2"/>
  <c r="L5" i="2"/>
  <c r="K5" i="2"/>
  <c r="J5" i="2"/>
  <c r="I5" i="2"/>
  <c r="H5" i="2"/>
  <c r="G5" i="2"/>
  <c r="F5" i="2"/>
  <c r="E5" i="2"/>
  <c r="D5" i="2"/>
  <c r="C5" i="2"/>
  <c r="BO4" i="2"/>
  <c r="BN4" i="2"/>
  <c r="BM4" i="2"/>
  <c r="BL4" i="2"/>
  <c r="BK4" i="2"/>
  <c r="BJ4" i="2"/>
  <c r="BI4" i="2"/>
  <c r="BH4" i="2"/>
  <c r="BG4" i="2"/>
  <c r="BF4" i="2"/>
  <c r="BE4" i="2"/>
  <c r="BD4" i="2"/>
  <c r="BC4" i="2"/>
  <c r="BB4" i="2"/>
  <c r="BA4" i="2"/>
  <c r="AZ4" i="2"/>
  <c r="AY4" i="2"/>
  <c r="AX4" i="2"/>
  <c r="AW4" i="2"/>
  <c r="AV4" i="2"/>
  <c r="AU4" i="2"/>
  <c r="AT4" i="2"/>
  <c r="AS4" i="2"/>
  <c r="AR4" i="2"/>
  <c r="AQ4" i="2"/>
  <c r="AP4" i="2"/>
  <c r="AO4" i="2"/>
  <c r="AN4" i="2"/>
  <c r="AM4" i="2"/>
  <c r="AL4" i="2"/>
  <c r="AK4" i="2"/>
  <c r="AJ4" i="2"/>
  <c r="AI4" i="2"/>
  <c r="AH4" i="2"/>
  <c r="AG4" i="2"/>
  <c r="AF4" i="2"/>
  <c r="AE4" i="2"/>
  <c r="AD4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C4" i="2"/>
  <c r="D34" i="2" s="1"/>
  <c r="BO3" i="2"/>
  <c r="BN3" i="2"/>
  <c r="BM3" i="2"/>
  <c r="BL3" i="2"/>
  <c r="BK3" i="2"/>
  <c r="BJ3" i="2"/>
  <c r="BI3" i="2"/>
  <c r="BH3" i="2"/>
  <c r="BG3" i="2"/>
  <c r="BF3" i="2"/>
  <c r="BE3" i="2"/>
  <c r="BD3" i="2"/>
  <c r="BC3" i="2"/>
  <c r="BB3" i="2"/>
  <c r="BA3" i="2"/>
  <c r="AZ3" i="2"/>
  <c r="AY3" i="2"/>
  <c r="AX3" i="2"/>
  <c r="AW3" i="2"/>
  <c r="AV3" i="2"/>
  <c r="AU3" i="2"/>
  <c r="AT3" i="2"/>
  <c r="AS3" i="2"/>
  <c r="AR3" i="2"/>
  <c r="AQ3" i="2"/>
  <c r="AP3" i="2"/>
  <c r="AO3" i="2"/>
  <c r="AN3" i="2"/>
  <c r="AM3" i="2"/>
  <c r="AL3" i="2"/>
  <c r="AK3" i="2"/>
  <c r="AJ3" i="2"/>
  <c r="AI3" i="2"/>
  <c r="AH3" i="2"/>
  <c r="AG3" i="2"/>
  <c r="AF3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I3" i="2"/>
  <c r="H3" i="2"/>
  <c r="G3" i="2"/>
  <c r="F3" i="2"/>
  <c r="E3" i="2"/>
  <c r="D3" i="2"/>
  <c r="C3" i="2"/>
  <c r="D33" i="2" s="1"/>
  <c r="BO2" i="2"/>
  <c r="BN2" i="2"/>
  <c r="BM2" i="2"/>
  <c r="BL2" i="2"/>
  <c r="BK2" i="2"/>
  <c r="BJ2" i="2"/>
  <c r="BI2" i="2"/>
  <c r="BH2" i="2"/>
  <c r="BG2" i="2"/>
  <c r="BF2" i="2"/>
  <c r="BE2" i="2"/>
  <c r="BD2" i="2"/>
  <c r="BC2" i="2"/>
  <c r="BB2" i="2"/>
  <c r="BA2" i="2"/>
  <c r="AZ2" i="2"/>
  <c r="AY2" i="2"/>
  <c r="AX2" i="2"/>
  <c r="AW2" i="2"/>
  <c r="AV2" i="2"/>
  <c r="AU2" i="2"/>
  <c r="AT2" i="2"/>
  <c r="AS2" i="2"/>
  <c r="AR2" i="2"/>
  <c r="AQ2" i="2"/>
  <c r="AP2" i="2"/>
  <c r="AO2" i="2"/>
  <c r="AN2" i="2"/>
  <c r="AM2" i="2"/>
  <c r="AL2" i="2"/>
  <c r="AK2" i="2"/>
  <c r="AJ2" i="2"/>
  <c r="AI2" i="2"/>
  <c r="AH2" i="2"/>
  <c r="AG2" i="2"/>
  <c r="AF2" i="2"/>
  <c r="AE2" i="2"/>
  <c r="AD2" i="2"/>
  <c r="AC2" i="2"/>
  <c r="AB2" i="2"/>
  <c r="AA2" i="2"/>
  <c r="Z2" i="2"/>
  <c r="Y2" i="2"/>
  <c r="X2" i="2"/>
  <c r="W2" i="2"/>
  <c r="V2" i="2"/>
  <c r="U2" i="2"/>
  <c r="T2" i="2"/>
  <c r="S2" i="2"/>
  <c r="R2" i="2"/>
  <c r="Q2" i="2"/>
  <c r="P2" i="2"/>
  <c r="O2" i="2"/>
  <c r="N2" i="2"/>
  <c r="M2" i="2"/>
  <c r="L2" i="2"/>
  <c r="K2" i="2"/>
  <c r="J2" i="2"/>
  <c r="I2" i="2"/>
  <c r="H2" i="2"/>
  <c r="G2" i="2"/>
  <c r="F2" i="2"/>
  <c r="E2" i="2"/>
  <c r="D2" i="2"/>
  <c r="C2" i="2"/>
  <c r="D32" i="2"/>
  <c r="D60" i="2"/>
  <c r="D59" i="2"/>
  <c r="D58" i="2"/>
  <c r="D57" i="2"/>
  <c r="D56" i="2"/>
  <c r="D55" i="2"/>
  <c r="D53" i="2"/>
  <c r="D52" i="2"/>
  <c r="D51" i="2"/>
  <c r="D49" i="2"/>
  <c r="D48" i="2"/>
  <c r="D47" i="2"/>
  <c r="D45" i="2"/>
  <c r="D44" i="2"/>
  <c r="D43" i="2"/>
  <c r="D41" i="2"/>
  <c r="D40" i="2"/>
  <c r="D39" i="2"/>
  <c r="D37" i="2"/>
  <c r="D36" i="2"/>
  <c r="D35" i="2"/>
</calcChain>
</file>

<file path=xl/comments1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2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sharedStrings.xml><?xml version="1.0" encoding="utf-8"?>
<sst xmlns="http://schemas.openxmlformats.org/spreadsheetml/2006/main" count="658" uniqueCount="115">
  <si>
    <t xml:space="preserve">     Refresh     </t>
  </si>
  <si>
    <t>All Listed</t>
  </si>
  <si>
    <t>Korean</t>
  </si>
  <si>
    <t>G1010</t>
  </si>
  <si>
    <t>G1510</t>
  </si>
  <si>
    <t>G2010</t>
  </si>
  <si>
    <t>G2020</t>
  </si>
  <si>
    <t>G2030</t>
  </si>
  <si>
    <t>G2510</t>
  </si>
  <si>
    <t>G2520</t>
  </si>
  <si>
    <t>G2530</t>
  </si>
  <si>
    <t>G2540</t>
  </si>
  <si>
    <t>G2550</t>
  </si>
  <si>
    <t>G2560</t>
  </si>
  <si>
    <t>G3010</t>
  </si>
  <si>
    <t>G3020</t>
  </si>
  <si>
    <t>G3030</t>
  </si>
  <si>
    <t>G3510</t>
  </si>
  <si>
    <t>G3520</t>
  </si>
  <si>
    <t>G4010</t>
  </si>
  <si>
    <t>G4020</t>
  </si>
  <si>
    <t>G4030</t>
  </si>
  <si>
    <t>G4040</t>
  </si>
  <si>
    <t>G4050</t>
  </si>
  <si>
    <t>G4055</t>
  </si>
  <si>
    <t>G4510</t>
  </si>
  <si>
    <t>G4520</t>
  </si>
  <si>
    <t>G4530</t>
  </si>
  <si>
    <t>G4535</t>
  </si>
  <si>
    <t>G4540</t>
  </si>
  <si>
    <t>G5010</t>
  </si>
  <si>
    <t>G5510</t>
  </si>
  <si>
    <t>R100200</t>
  </si>
  <si>
    <t>I100100</t>
  </si>
  <si>
    <t>P</t>
  </si>
  <si>
    <t>Account Type</t>
  </si>
  <si>
    <t>Txt</t>
  </si>
  <si>
    <t>Last Update : 2017-07-17 09:53:42</t>
    <phoneticPr fontId="1" type="noConversion"/>
  </si>
  <si>
    <t>Peer Analysis (To Select)</t>
    <phoneticPr fontId="1" type="noConversion"/>
  </si>
  <si>
    <t>Account</t>
    <phoneticPr fontId="1" type="noConversion"/>
  </si>
  <si>
    <t>Period</t>
    <phoneticPr fontId="1" type="noConversion"/>
  </si>
  <si>
    <t>Unit</t>
    <phoneticPr fontId="1" type="noConversion"/>
  </si>
  <si>
    <t>Code</t>
    <phoneticPr fontId="1" type="noConversion"/>
  </si>
  <si>
    <t>Name</t>
    <phoneticPr fontId="1" type="noConversion"/>
  </si>
  <si>
    <t>Base Date</t>
    <phoneticPr fontId="1" type="noConversion"/>
  </si>
  <si>
    <t>결산월</t>
    <phoneticPr fontId="1" type="noConversion"/>
  </si>
  <si>
    <t>종가지수</t>
    <phoneticPr fontId="1" type="noConversion"/>
  </si>
  <si>
    <t>종가지수</t>
    <phoneticPr fontId="1" type="noConversion"/>
  </si>
  <si>
    <t>종가지수</t>
    <phoneticPr fontId="1" type="noConversion"/>
  </si>
  <si>
    <t>종가지수</t>
    <phoneticPr fontId="1" type="noConversion"/>
  </si>
  <si>
    <t>에너지</t>
    <phoneticPr fontId="1" type="noConversion"/>
  </si>
  <si>
    <t>소재</t>
    <phoneticPr fontId="1" type="noConversion"/>
  </si>
  <si>
    <t>자본재</t>
    <phoneticPr fontId="1" type="noConversion"/>
  </si>
  <si>
    <t>상업서비스와공급품</t>
    <phoneticPr fontId="1" type="noConversion"/>
  </si>
  <si>
    <t>운송</t>
    <phoneticPr fontId="1" type="noConversion"/>
  </si>
  <si>
    <t>자동차와부품</t>
    <phoneticPr fontId="1" type="noConversion"/>
  </si>
  <si>
    <t>내구소비재와의류</t>
    <phoneticPr fontId="1" type="noConversion"/>
  </si>
  <si>
    <t>호텔,레스토랑,레저등</t>
    <phoneticPr fontId="1" type="noConversion"/>
  </si>
  <si>
    <t>미디어</t>
    <phoneticPr fontId="1" type="noConversion"/>
  </si>
  <si>
    <t>소매(유통)</t>
    <phoneticPr fontId="1" type="noConversion"/>
  </si>
  <si>
    <t>교육서비스</t>
    <phoneticPr fontId="1" type="noConversion"/>
  </si>
  <si>
    <t>식품과기본식료품소매</t>
    <phoneticPr fontId="1" type="noConversion"/>
  </si>
  <si>
    <t>식품,음료,담배</t>
    <phoneticPr fontId="1" type="noConversion"/>
  </si>
  <si>
    <t>가정용품과개인용품</t>
    <phoneticPr fontId="1" type="noConversion"/>
  </si>
  <si>
    <t>건강관리장비와서비스</t>
    <phoneticPr fontId="1" type="noConversion"/>
  </si>
  <si>
    <t>제약과생물공학</t>
    <phoneticPr fontId="1" type="noConversion"/>
  </si>
  <si>
    <t>은행</t>
    <phoneticPr fontId="1" type="noConversion"/>
  </si>
  <si>
    <t>증권</t>
    <phoneticPr fontId="1" type="noConversion"/>
  </si>
  <si>
    <t>다각화된금융</t>
    <phoneticPr fontId="1" type="noConversion"/>
  </si>
  <si>
    <t>보험</t>
    <phoneticPr fontId="1" type="noConversion"/>
  </si>
  <si>
    <t>부동산</t>
    <phoneticPr fontId="1" type="noConversion"/>
  </si>
  <si>
    <t>기타금융서비스</t>
    <phoneticPr fontId="1" type="noConversion"/>
  </si>
  <si>
    <t>소프트웨어와서비스</t>
    <phoneticPr fontId="1" type="noConversion"/>
  </si>
  <si>
    <t>기술하드웨어와장비</t>
    <phoneticPr fontId="1" type="noConversion"/>
  </si>
  <si>
    <t>반도체와반도체장비</t>
    <phoneticPr fontId="1" type="noConversion"/>
  </si>
  <si>
    <t>전자와 전기제품</t>
    <phoneticPr fontId="1" type="noConversion"/>
  </si>
  <si>
    <t>디스플레이</t>
    <phoneticPr fontId="1" type="noConversion"/>
  </si>
  <si>
    <t>통신서비스</t>
    <phoneticPr fontId="1" type="noConversion"/>
  </si>
  <si>
    <t>유틸리티</t>
    <phoneticPr fontId="1" type="noConversion"/>
  </si>
  <si>
    <t>I100570</t>
  </si>
  <si>
    <t>%</t>
  </si>
  <si>
    <t>Last Update : 2017-07-17 10:05:40</t>
    <phoneticPr fontId="1" type="noConversion"/>
  </si>
  <si>
    <t>Peer Analysis (To Select)</t>
    <phoneticPr fontId="1" type="noConversion"/>
  </si>
  <si>
    <t>Account</t>
    <phoneticPr fontId="1" type="noConversion"/>
  </si>
  <si>
    <t>Unit</t>
    <phoneticPr fontId="1" type="noConversion"/>
  </si>
  <si>
    <t>3개월전대비수익률</t>
    <phoneticPr fontId="1" type="noConversion"/>
  </si>
  <si>
    <t>3개월전대비수익률</t>
    <phoneticPr fontId="1" type="noConversion"/>
  </si>
  <si>
    <t>에너지</t>
    <phoneticPr fontId="1" type="noConversion"/>
  </si>
  <si>
    <t>소재</t>
    <phoneticPr fontId="1" type="noConversion"/>
  </si>
  <si>
    <t>자본재</t>
    <phoneticPr fontId="1" type="noConversion"/>
  </si>
  <si>
    <t>상업서비스와공급품</t>
    <phoneticPr fontId="1" type="noConversion"/>
  </si>
  <si>
    <t>운송</t>
    <phoneticPr fontId="1" type="noConversion"/>
  </si>
  <si>
    <t>자동차와부품</t>
    <phoneticPr fontId="1" type="noConversion"/>
  </si>
  <si>
    <t>내구소비재와의류</t>
    <phoneticPr fontId="1" type="noConversion"/>
  </si>
  <si>
    <t>미디어</t>
    <phoneticPr fontId="1" type="noConversion"/>
  </si>
  <si>
    <t>소매(유통)</t>
    <phoneticPr fontId="1" type="noConversion"/>
  </si>
  <si>
    <t>교육서비스</t>
    <phoneticPr fontId="1" type="noConversion"/>
  </si>
  <si>
    <t>식품과기본식료품소매</t>
    <phoneticPr fontId="1" type="noConversion"/>
  </si>
  <si>
    <t>식품,음료,담배</t>
    <phoneticPr fontId="1" type="noConversion"/>
  </si>
  <si>
    <t>가정용품과개인용품</t>
    <phoneticPr fontId="1" type="noConversion"/>
  </si>
  <si>
    <t>건강관리장비와서비스</t>
    <phoneticPr fontId="1" type="noConversion"/>
  </si>
  <si>
    <t>제약과생물공학</t>
    <phoneticPr fontId="1" type="noConversion"/>
  </si>
  <si>
    <t>은행</t>
    <phoneticPr fontId="1" type="noConversion"/>
  </si>
  <si>
    <t>증권</t>
    <phoneticPr fontId="1" type="noConversion"/>
  </si>
  <si>
    <t>다각화된금융</t>
    <phoneticPr fontId="1" type="noConversion"/>
  </si>
  <si>
    <t>보험</t>
    <phoneticPr fontId="1" type="noConversion"/>
  </si>
  <si>
    <t>부동산</t>
    <phoneticPr fontId="1" type="noConversion"/>
  </si>
  <si>
    <t>기타금융서비스</t>
    <phoneticPr fontId="1" type="noConversion"/>
  </si>
  <si>
    <t>소프트웨어와서비스</t>
    <phoneticPr fontId="1" type="noConversion"/>
  </si>
  <si>
    <t>기술하드웨어와장비</t>
    <phoneticPr fontId="1" type="noConversion"/>
  </si>
  <si>
    <t>반도체와반도체장비</t>
    <phoneticPr fontId="1" type="noConversion"/>
  </si>
  <si>
    <t>전자와 전기제품</t>
    <phoneticPr fontId="1" type="noConversion"/>
  </si>
  <si>
    <t>디스플레이</t>
    <phoneticPr fontId="1" type="noConversion"/>
  </si>
  <si>
    <t>통신서비스</t>
    <phoneticPr fontId="1" type="noConversion"/>
  </si>
  <si>
    <t>유틸리티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</si>
</sst>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9"/>
      <color rgb="FFFFFFFF"/>
      <name val="맑은 고딕"/>
      <family val="2"/>
      <charset val="129"/>
      <scheme val="minor"/>
    </font>
    <font>
      <b/>
      <sz val="11"/>
      <color rgb="FF404040"/>
      <name val="맑은 고딕"/>
      <family val="3"/>
      <charset val="129"/>
      <scheme val="minor"/>
    </font>
    <font>
      <sz val="9"/>
      <color indexed="81"/>
      <name val="돋움체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5A7AB2"/>
        <bgColor indexed="64"/>
      </patternFill>
    </fill>
    <fill>
      <patternFill patternType="solid">
        <fgColor theme="9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rgb="FF3664FD"/>
      </top>
      <bottom/>
      <diagonal/>
    </border>
    <border>
      <left/>
      <right/>
      <top/>
      <bottom style="thin">
        <color rgb="FF3664FD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3" fillId="2" borderId="0" xfId="1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0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0" xfId="0" applyAlignment="1">
      <alignment horizontal="right" vertical="center"/>
    </xf>
    <xf numFmtId="4" fontId="0" fillId="0" borderId="0" xfId="0" applyNumberFormat="1" applyAlignment="1">
      <alignment horizontal="right" vertical="center"/>
    </xf>
    <xf numFmtId="3" fontId="0" fillId="0" borderId="0" xfId="0" applyNumberFormat="1" applyAlignment="1">
      <alignment horizontal="right" vertical="center"/>
    </xf>
    <xf numFmtId="0" fontId="0" fillId="0" borderId="0" xfId="0" applyNumberFormat="1" applyBorder="1" applyAlignment="1">
      <alignment horizontal="left" vertical="center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left" vertical="center"/>
    </xf>
    <xf numFmtId="0" fontId="0" fillId="3" borderId="0" xfId="0" applyFill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중분류_수익률!$B$32</c:f>
              <c:strCache>
                <c:ptCount val="1"/>
                <c:pt idx="0">
                  <c:v>에너지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중분류_수익률!$C$31:$BP$31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중분류_수익률!$C$32:$BP$32</c:f>
              <c:numCache>
                <c:formatCode>General</c:formatCode>
                <c:ptCount val="66"/>
                <c:pt idx="0">
                  <c:v>100</c:v>
                </c:pt>
                <c:pt idx="1">
                  <c:v>121.49249352046556</c:v>
                </c:pt>
                <c:pt idx="2">
                  <c:v>105.85032682934782</c:v>
                </c:pt>
                <c:pt idx="3">
                  <c:v>121.55769638287124</c:v>
                </c:pt>
                <c:pt idx="4">
                  <c:v>127.4455148581023</c:v>
                </c:pt>
                <c:pt idx="5">
                  <c:v>144.13744763395115</c:v>
                </c:pt>
                <c:pt idx="6">
                  <c:v>119.71571551991133</c:v>
                </c:pt>
                <c:pt idx="7">
                  <c:v>113.60457724094088</c:v>
                </c:pt>
                <c:pt idx="8">
                  <c:v>94.550670774447013</c:v>
                </c:pt>
                <c:pt idx="9">
                  <c:v>98.079775702153356</c:v>
                </c:pt>
                <c:pt idx="10">
                  <c:v>129.10492770632632</c:v>
                </c:pt>
                <c:pt idx="11">
                  <c:v>186.51604805450964</c:v>
                </c:pt>
                <c:pt idx="12">
                  <c:v>287.75653251177732</c:v>
                </c:pt>
                <c:pt idx="13">
                  <c:v>321.83317847653518</c:v>
                </c:pt>
                <c:pt idx="14">
                  <c:v>292.925489428986</c:v>
                </c:pt>
                <c:pt idx="15">
                  <c:v>396.96317668345654</c:v>
                </c:pt>
                <c:pt idx="16">
                  <c:v>412.82377296363325</c:v>
                </c:pt>
                <c:pt idx="17">
                  <c:v>365.34956884607243</c:v>
                </c:pt>
                <c:pt idx="18">
                  <c:v>363.10659037931782</c:v>
                </c:pt>
                <c:pt idx="19">
                  <c:v>375.66792182176812</c:v>
                </c:pt>
                <c:pt idx="20">
                  <c:v>392.18054672600141</c:v>
                </c:pt>
                <c:pt idx="21">
                  <c:v>406.90498312875951</c:v>
                </c:pt>
                <c:pt idx="22">
                  <c:v>399.56477089344241</c:v>
                </c:pt>
                <c:pt idx="23">
                  <c:v>429.12122842192798</c:v>
                </c:pt>
                <c:pt idx="24">
                  <c:v>473.44287414217513</c:v>
                </c:pt>
                <c:pt idx="25">
                  <c:v>600.2542911633825</c:v>
                </c:pt>
                <c:pt idx="26">
                  <c:v>592.08763264707363</c:v>
                </c:pt>
                <c:pt idx="27">
                  <c:v>819.74179666487407</c:v>
                </c:pt>
                <c:pt idx="28">
                  <c:v>603.31719562488831</c:v>
                </c:pt>
                <c:pt idx="29">
                  <c:v>601.89088300976448</c:v>
                </c:pt>
                <c:pt idx="30">
                  <c:v>418.24539097266393</c:v>
                </c:pt>
                <c:pt idx="31">
                  <c:v>349.62752864850791</c:v>
                </c:pt>
                <c:pt idx="32">
                  <c:v>344.40640944137465</c:v>
                </c:pt>
                <c:pt idx="33">
                  <c:v>452.6822827522131</c:v>
                </c:pt>
                <c:pt idx="34">
                  <c:v>444.57919702674974</c:v>
                </c:pt>
                <c:pt idx="35">
                  <c:v>431.70489184475224</c:v>
                </c:pt>
                <c:pt idx="36">
                  <c:v>438.61150504507174</c:v>
                </c:pt>
                <c:pt idx="37">
                  <c:v>428.93866040719212</c:v>
                </c:pt>
                <c:pt idx="38">
                  <c:v>499.09857042724212</c:v>
                </c:pt>
                <c:pt idx="39">
                  <c:v>645.35674116093753</c:v>
                </c:pt>
                <c:pt idx="40">
                  <c:v>707.11037214533769</c:v>
                </c:pt>
                <c:pt idx="41">
                  <c:v>954.29116338207325</c:v>
                </c:pt>
                <c:pt idx="42">
                  <c:v>734.52002542911703</c:v>
                </c:pt>
                <c:pt idx="43">
                  <c:v>657.2383327628088</c:v>
                </c:pt>
                <c:pt idx="44">
                  <c:v>764.2655712585788</c:v>
                </c:pt>
                <c:pt idx="45">
                  <c:v>586.68394542520457</c:v>
                </c:pt>
                <c:pt idx="46">
                  <c:v>689.86258496748053</c:v>
                </c:pt>
                <c:pt idx="47">
                  <c:v>706.00518362756179</c:v>
                </c:pt>
                <c:pt idx="48">
                  <c:v>728.14155541428329</c:v>
                </c:pt>
                <c:pt idx="49">
                  <c:v>641.1560467504529</c:v>
                </c:pt>
                <c:pt idx="50">
                  <c:v>611.5751381485652</c:v>
                </c:pt>
                <c:pt idx="51">
                  <c:v>619.40437185192479</c:v>
                </c:pt>
                <c:pt idx="52">
                  <c:v>576.71279769181911</c:v>
                </c:pt>
                <c:pt idx="53">
                  <c:v>499.8842649192303</c:v>
                </c:pt>
                <c:pt idx="54">
                  <c:v>450.34476013497027</c:v>
                </c:pt>
                <c:pt idx="55">
                  <c:v>430.26390858558722</c:v>
                </c:pt>
                <c:pt idx="56">
                  <c:v>510.48951048951085</c:v>
                </c:pt>
                <c:pt idx="57">
                  <c:v>536.92601105188555</c:v>
                </c:pt>
                <c:pt idx="58">
                  <c:v>513.31116436011575</c:v>
                </c:pt>
                <c:pt idx="59">
                  <c:v>623.29372259442221</c:v>
                </c:pt>
                <c:pt idx="60">
                  <c:v>681.92739661271162</c:v>
                </c:pt>
                <c:pt idx="61">
                  <c:v>743.6549464521496</c:v>
                </c:pt>
                <c:pt idx="62">
                  <c:v>667.95768334229911</c:v>
                </c:pt>
                <c:pt idx="63">
                  <c:v>713.382887508762</c:v>
                </c:pt>
                <c:pt idx="64">
                  <c:v>719.86731217500483</c:v>
                </c:pt>
                <c:pt idx="65">
                  <c:v>818.54532413973004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9C-4600-82DD-6CAD5C961398}"/>
            </c:ext>
          </c:extLst>
        </c:ser>
        <c:ser>
          <c:idx val="1"/>
          <c:order val="1"/>
          <c:tx>
            <c:strRef>
              <c:f>중분류_수익률!$B$33</c:f>
              <c:strCache>
                <c:ptCount val="1"/>
                <c:pt idx="0">
                  <c:v>소재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중분류_수익률!$C$31:$BP$31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중분류_수익률!$C$33:$BP$33</c:f>
              <c:numCache>
                <c:formatCode>General</c:formatCode>
                <c:ptCount val="66"/>
                <c:pt idx="0">
                  <c:v>100</c:v>
                </c:pt>
                <c:pt idx="1">
                  <c:v>106.36831478754571</c:v>
                </c:pt>
                <c:pt idx="2">
                  <c:v>89.406889013708195</c:v>
                </c:pt>
                <c:pt idx="3">
                  <c:v>104.97320601764</c:v>
                </c:pt>
                <c:pt idx="4">
                  <c:v>144.15769738739695</c:v>
                </c:pt>
                <c:pt idx="5">
                  <c:v>136.33051477843728</c:v>
                </c:pt>
                <c:pt idx="6">
                  <c:v>116.39822081884839</c:v>
                </c:pt>
                <c:pt idx="7">
                  <c:v>123.45118637377985</c:v>
                </c:pt>
                <c:pt idx="8">
                  <c:v>106.66130280995247</c:v>
                </c:pt>
                <c:pt idx="9">
                  <c:v>111.6906775158259</c:v>
                </c:pt>
                <c:pt idx="10">
                  <c:v>131.90381491658189</c:v>
                </c:pt>
                <c:pt idx="11">
                  <c:v>137.25957524327112</c:v>
                </c:pt>
                <c:pt idx="12">
                  <c:v>157.20401378409966</c:v>
                </c:pt>
                <c:pt idx="13">
                  <c:v>128.55646471240109</c:v>
                </c:pt>
                <c:pt idx="14">
                  <c:v>145.99304722724025</c:v>
                </c:pt>
                <c:pt idx="15">
                  <c:v>174.18972872041653</c:v>
                </c:pt>
                <c:pt idx="16">
                  <c:v>208.39342370925868</c:v>
                </c:pt>
                <c:pt idx="17">
                  <c:v>173.11037906274191</c:v>
                </c:pt>
                <c:pt idx="18">
                  <c:v>200.4417591425925</c:v>
                </c:pt>
                <c:pt idx="19">
                  <c:v>217.22557041580004</c:v>
                </c:pt>
                <c:pt idx="20">
                  <c:v>228.82212742701859</c:v>
                </c:pt>
                <c:pt idx="21">
                  <c:v>231.53947747939208</c:v>
                </c:pt>
                <c:pt idx="22">
                  <c:v>229.76940476371189</c:v>
                </c:pt>
                <c:pt idx="23">
                  <c:v>272.61852352253567</c:v>
                </c:pt>
                <c:pt idx="24">
                  <c:v>302.12833786224996</c:v>
                </c:pt>
                <c:pt idx="25">
                  <c:v>420.16607714845219</c:v>
                </c:pt>
                <c:pt idx="26">
                  <c:v>528.7492599395805</c:v>
                </c:pt>
                <c:pt idx="27">
                  <c:v>531.11441713600391</c:v>
                </c:pt>
                <c:pt idx="28">
                  <c:v>488.42317793329562</c:v>
                </c:pt>
                <c:pt idx="29">
                  <c:v>516.81265465365141</c:v>
                </c:pt>
                <c:pt idx="30">
                  <c:v>430.25822415860796</c:v>
                </c:pt>
                <c:pt idx="31">
                  <c:v>293.74402258892098</c:v>
                </c:pt>
                <c:pt idx="32">
                  <c:v>300.35674707391485</c:v>
                </c:pt>
                <c:pt idx="33">
                  <c:v>412.67135245092817</c:v>
                </c:pt>
                <c:pt idx="34">
                  <c:v>457.20401378409952</c:v>
                </c:pt>
                <c:pt idx="35">
                  <c:v>491.05703398964658</c:v>
                </c:pt>
                <c:pt idx="36">
                  <c:v>489.07746724758232</c:v>
                </c:pt>
                <c:pt idx="37">
                  <c:v>491.30599790505966</c:v>
                </c:pt>
                <c:pt idx="38">
                  <c:v>579.27679018717822</c:v>
                </c:pt>
                <c:pt idx="39">
                  <c:v>594.2874925993957</c:v>
                </c:pt>
                <c:pt idx="40">
                  <c:v>619.4950890349611</c:v>
                </c:pt>
                <c:pt idx="41">
                  <c:v>716.55913652027357</c:v>
                </c:pt>
                <c:pt idx="42">
                  <c:v>608.1444597938455</c:v>
                </c:pt>
                <c:pt idx="43">
                  <c:v>525.40342780805463</c:v>
                </c:pt>
                <c:pt idx="44">
                  <c:v>593.32655260880756</c:v>
                </c:pt>
                <c:pt idx="45">
                  <c:v>478.58606712917253</c:v>
                </c:pt>
                <c:pt idx="46">
                  <c:v>494.39982997586236</c:v>
                </c:pt>
                <c:pt idx="47">
                  <c:v>463.30666585702761</c:v>
                </c:pt>
                <c:pt idx="48">
                  <c:v>471.23252318855953</c:v>
                </c:pt>
                <c:pt idx="49">
                  <c:v>438.16586461828035</c:v>
                </c:pt>
                <c:pt idx="50">
                  <c:v>439.4714071015436</c:v>
                </c:pt>
                <c:pt idx="51">
                  <c:v>455.04379639609527</c:v>
                </c:pt>
                <c:pt idx="52">
                  <c:v>418.69202860048858</c:v>
                </c:pt>
                <c:pt idx="53">
                  <c:v>417.95576336283426</c:v>
                </c:pt>
                <c:pt idx="54">
                  <c:v>446.79610766171237</c:v>
                </c:pt>
                <c:pt idx="55">
                  <c:v>395.48221577884686</c:v>
                </c:pt>
                <c:pt idx="56">
                  <c:v>399.99696385468985</c:v>
                </c:pt>
                <c:pt idx="57">
                  <c:v>440.81034718321592</c:v>
                </c:pt>
                <c:pt idx="58">
                  <c:v>392.83166092329151</c:v>
                </c:pt>
                <c:pt idx="59">
                  <c:v>401.1856147435214</c:v>
                </c:pt>
                <c:pt idx="60">
                  <c:v>416.616823281162</c:v>
                </c:pt>
                <c:pt idx="61">
                  <c:v>416.60771484523229</c:v>
                </c:pt>
                <c:pt idx="62">
                  <c:v>427.63954882880665</c:v>
                </c:pt>
                <c:pt idx="63">
                  <c:v>421.49135457622975</c:v>
                </c:pt>
                <c:pt idx="64">
                  <c:v>464.67444931914417</c:v>
                </c:pt>
                <c:pt idx="65">
                  <c:v>485.28683982815392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9C-4600-82DD-6CAD5C961398}"/>
            </c:ext>
          </c:extLst>
        </c:ser>
        <c:ser>
          <c:idx val="2"/>
          <c:order val="2"/>
          <c:tx>
            <c:strRef>
              <c:f>중분류_수익률!$B$34</c:f>
              <c:strCache>
                <c:ptCount val="1"/>
                <c:pt idx="0">
                  <c:v>자본재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중분류_수익률!$C$31:$BP$31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중분류_수익률!$C$34:$BP$34</c:f>
              <c:numCache>
                <c:formatCode>General</c:formatCode>
                <c:ptCount val="66"/>
                <c:pt idx="0">
                  <c:v>100</c:v>
                </c:pt>
                <c:pt idx="1">
                  <c:v>115.717506727762</c:v>
                </c:pt>
                <c:pt idx="2">
                  <c:v>105.57131427740198</c:v>
                </c:pt>
                <c:pt idx="3">
                  <c:v>118.59407956942322</c:v>
                </c:pt>
                <c:pt idx="4">
                  <c:v>144.39959269765069</c:v>
                </c:pt>
                <c:pt idx="5">
                  <c:v>121.04334860717141</c:v>
                </c:pt>
                <c:pt idx="6">
                  <c:v>119.00320023274418</c:v>
                </c:pt>
                <c:pt idx="7">
                  <c:v>112.87911848134407</c:v>
                </c:pt>
                <c:pt idx="8">
                  <c:v>94.71961597207067</c:v>
                </c:pt>
                <c:pt idx="9">
                  <c:v>117.2830751327369</c:v>
                </c:pt>
                <c:pt idx="10">
                  <c:v>128.74936359007927</c:v>
                </c:pt>
                <c:pt idx="11">
                  <c:v>136.44992363080948</c:v>
                </c:pt>
                <c:pt idx="12">
                  <c:v>139.8392610371663</c:v>
                </c:pt>
                <c:pt idx="13">
                  <c:v>129.46214270128732</c:v>
                </c:pt>
                <c:pt idx="14">
                  <c:v>136.56629573059851</c:v>
                </c:pt>
                <c:pt idx="15">
                  <c:v>161.78267510364381</c:v>
                </c:pt>
                <c:pt idx="16">
                  <c:v>207.31325914611963</c:v>
                </c:pt>
                <c:pt idx="17">
                  <c:v>205.45676049167204</c:v>
                </c:pt>
                <c:pt idx="18">
                  <c:v>255.35857153247497</c:v>
                </c:pt>
                <c:pt idx="19">
                  <c:v>325.0581860498944</c:v>
                </c:pt>
                <c:pt idx="20">
                  <c:v>335.27347443450412</c:v>
                </c:pt>
                <c:pt idx="21">
                  <c:v>358.41515746599737</c:v>
                </c:pt>
                <c:pt idx="22">
                  <c:v>378.30933158775167</c:v>
                </c:pt>
                <c:pt idx="23">
                  <c:v>442.56127718379491</c:v>
                </c:pt>
                <c:pt idx="24">
                  <c:v>446.12153611171686</c:v>
                </c:pt>
                <c:pt idx="25">
                  <c:v>721.61793584987947</c:v>
                </c:pt>
                <c:pt idx="26">
                  <c:v>837.10088006400406</c:v>
                </c:pt>
                <c:pt idx="27">
                  <c:v>873.22168885009751</c:v>
                </c:pt>
                <c:pt idx="28">
                  <c:v>763.13731907775048</c:v>
                </c:pt>
                <c:pt idx="29">
                  <c:v>769.42323078041977</c:v>
                </c:pt>
                <c:pt idx="30">
                  <c:v>513.14277401992831</c:v>
                </c:pt>
                <c:pt idx="31">
                  <c:v>337.41181176812836</c:v>
                </c:pt>
                <c:pt idx="32">
                  <c:v>363.66281184086085</c:v>
                </c:pt>
                <c:pt idx="33">
                  <c:v>502.06196814313722</c:v>
                </c:pt>
                <c:pt idx="34">
                  <c:v>478.056585933522</c:v>
                </c:pt>
                <c:pt idx="35">
                  <c:v>438.30642228525676</c:v>
                </c:pt>
                <c:pt idx="36">
                  <c:v>479.22576187359039</c:v>
                </c:pt>
                <c:pt idx="37">
                  <c:v>424.84362499090798</c:v>
                </c:pt>
                <c:pt idx="38">
                  <c:v>489.3174049021743</c:v>
                </c:pt>
                <c:pt idx="39">
                  <c:v>592.86675394574104</c:v>
                </c:pt>
                <c:pt idx="40">
                  <c:v>594.03229325769098</c:v>
                </c:pt>
                <c:pt idx="41">
                  <c:v>663.51189177394667</c:v>
                </c:pt>
                <c:pt idx="42">
                  <c:v>569.99418139501006</c:v>
                </c:pt>
                <c:pt idx="43">
                  <c:v>501.21645210560729</c:v>
                </c:pt>
                <c:pt idx="44">
                  <c:v>601.56375009091539</c:v>
                </c:pt>
                <c:pt idx="45">
                  <c:v>483.62062695468734</c:v>
                </c:pt>
                <c:pt idx="46">
                  <c:v>474.75089097388877</c:v>
                </c:pt>
                <c:pt idx="47">
                  <c:v>445.63422794385019</c:v>
                </c:pt>
                <c:pt idx="48">
                  <c:v>460.52803840279262</c:v>
                </c:pt>
                <c:pt idx="49">
                  <c:v>433.15513855553098</c:v>
                </c:pt>
                <c:pt idx="50">
                  <c:v>432.80965888428221</c:v>
                </c:pt>
                <c:pt idx="51">
                  <c:v>456.45319659611567</c:v>
                </c:pt>
                <c:pt idx="52">
                  <c:v>436.41173903556586</c:v>
                </c:pt>
                <c:pt idx="53">
                  <c:v>431.0040730234922</c:v>
                </c:pt>
                <c:pt idx="54">
                  <c:v>434.21521565204705</c:v>
                </c:pt>
                <c:pt idx="55">
                  <c:v>377.68201323732598</c:v>
                </c:pt>
                <c:pt idx="56">
                  <c:v>404.89126481925916</c:v>
                </c:pt>
                <c:pt idx="57">
                  <c:v>421.29427594734119</c:v>
                </c:pt>
                <c:pt idx="58">
                  <c:v>367.90130191286602</c:v>
                </c:pt>
                <c:pt idx="59">
                  <c:v>355.298567168521</c:v>
                </c:pt>
                <c:pt idx="60">
                  <c:v>342.03578442068482</c:v>
                </c:pt>
                <c:pt idx="61">
                  <c:v>335.2807476907409</c:v>
                </c:pt>
                <c:pt idx="62">
                  <c:v>357.25143646810648</c:v>
                </c:pt>
                <c:pt idx="63">
                  <c:v>329.06393192232139</c:v>
                </c:pt>
                <c:pt idx="64">
                  <c:v>341.69212306349527</c:v>
                </c:pt>
                <c:pt idx="65">
                  <c:v>378.51843770455997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B9C-4600-82DD-6CAD5C961398}"/>
            </c:ext>
          </c:extLst>
        </c:ser>
        <c:ser>
          <c:idx val="3"/>
          <c:order val="3"/>
          <c:tx>
            <c:strRef>
              <c:f>중분류_수익률!$B$35</c:f>
              <c:strCache>
                <c:ptCount val="1"/>
                <c:pt idx="0">
                  <c:v>상업서비스와공급품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중분류_수익률!$C$31:$BP$31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중분류_수익률!$C$35:$BP$35</c:f>
              <c:numCache>
                <c:formatCode>General</c:formatCode>
                <c:ptCount val="66"/>
                <c:pt idx="0">
                  <c:v>100</c:v>
                </c:pt>
                <c:pt idx="1">
                  <c:v>132.35022663412431</c:v>
                </c:pt>
                <c:pt idx="2">
                  <c:v>97.848514059519644</c:v>
                </c:pt>
                <c:pt idx="3">
                  <c:v>101.76384929343477</c:v>
                </c:pt>
                <c:pt idx="4">
                  <c:v>85.25545049941546</c:v>
                </c:pt>
                <c:pt idx="5">
                  <c:v>70.996985048300758</c:v>
                </c:pt>
                <c:pt idx="6">
                  <c:v>71.064667637467437</c:v>
                </c:pt>
                <c:pt idx="7">
                  <c:v>66.400721947617768</c:v>
                </c:pt>
                <c:pt idx="8">
                  <c:v>60.897922349611335</c:v>
                </c:pt>
                <c:pt idx="9">
                  <c:v>68.710133929487043</c:v>
                </c:pt>
                <c:pt idx="10">
                  <c:v>67.39750189716348</c:v>
                </c:pt>
                <c:pt idx="11">
                  <c:v>66.072563939536877</c:v>
                </c:pt>
                <c:pt idx="12">
                  <c:v>57.747605472034778</c:v>
                </c:pt>
                <c:pt idx="13">
                  <c:v>62.462825850647086</c:v>
                </c:pt>
                <c:pt idx="14">
                  <c:v>58.311627048423816</c:v>
                </c:pt>
                <c:pt idx="15">
                  <c:v>79.287076727444258</c:v>
                </c:pt>
                <c:pt idx="16">
                  <c:v>91.223824271386675</c:v>
                </c:pt>
                <c:pt idx="17">
                  <c:v>77.176610537974042</c:v>
                </c:pt>
                <c:pt idx="18">
                  <c:v>84.133560309288924</c:v>
                </c:pt>
                <c:pt idx="19">
                  <c:v>102.42426728469758</c:v>
                </c:pt>
                <c:pt idx="20">
                  <c:v>93.502471439998359</c:v>
                </c:pt>
                <c:pt idx="21">
                  <c:v>92.001148553028287</c:v>
                </c:pt>
                <c:pt idx="22">
                  <c:v>73.534056648276135</c:v>
                </c:pt>
                <c:pt idx="23">
                  <c:v>82.566605820702662</c:v>
                </c:pt>
                <c:pt idx="24">
                  <c:v>84.057673769920214</c:v>
                </c:pt>
                <c:pt idx="25">
                  <c:v>110.681543163033</c:v>
                </c:pt>
                <c:pt idx="26">
                  <c:v>116.93500420452449</c:v>
                </c:pt>
                <c:pt idx="27">
                  <c:v>123.79760854851612</c:v>
                </c:pt>
                <c:pt idx="28">
                  <c:v>114.08208052177125</c:v>
                </c:pt>
                <c:pt idx="29">
                  <c:v>99.878991734520184</c:v>
                </c:pt>
                <c:pt idx="30">
                  <c:v>72.93721927107903</c:v>
                </c:pt>
                <c:pt idx="31">
                  <c:v>57.429702401706422</c:v>
                </c:pt>
                <c:pt idx="32">
                  <c:v>62.819697684435063</c:v>
                </c:pt>
                <c:pt idx="33">
                  <c:v>90.647496769694627</c:v>
                </c:pt>
                <c:pt idx="34">
                  <c:v>92.675923457144634</c:v>
                </c:pt>
                <c:pt idx="35">
                  <c:v>74.288820066862201</c:v>
                </c:pt>
                <c:pt idx="36">
                  <c:v>79.539348196156467</c:v>
                </c:pt>
                <c:pt idx="37">
                  <c:v>64.55688413971329</c:v>
                </c:pt>
                <c:pt idx="38">
                  <c:v>63.672908505445392</c:v>
                </c:pt>
                <c:pt idx="39">
                  <c:v>59.212010583095775</c:v>
                </c:pt>
                <c:pt idx="40">
                  <c:v>59.456078101605939</c:v>
                </c:pt>
                <c:pt idx="41">
                  <c:v>55.589966568902945</c:v>
                </c:pt>
                <c:pt idx="42">
                  <c:v>58.512623828373385</c:v>
                </c:pt>
                <c:pt idx="43">
                  <c:v>58.483910002666299</c:v>
                </c:pt>
                <c:pt idx="44">
                  <c:v>61.193264556884166</c:v>
                </c:pt>
                <c:pt idx="45">
                  <c:v>58.951535164181578</c:v>
                </c:pt>
                <c:pt idx="46">
                  <c:v>64.645076604385039</c:v>
                </c:pt>
                <c:pt idx="47">
                  <c:v>70.851364932214892</c:v>
                </c:pt>
                <c:pt idx="48">
                  <c:v>70.443218409664283</c:v>
                </c:pt>
                <c:pt idx="49">
                  <c:v>68.552207888098152</c:v>
                </c:pt>
                <c:pt idx="50">
                  <c:v>66.499169350042081</c:v>
                </c:pt>
                <c:pt idx="51">
                  <c:v>71.532292798982738</c:v>
                </c:pt>
                <c:pt idx="52">
                  <c:v>84.199191910905142</c:v>
                </c:pt>
                <c:pt idx="53">
                  <c:v>83.856676989970723</c:v>
                </c:pt>
                <c:pt idx="54">
                  <c:v>79.438849806181722</c:v>
                </c:pt>
                <c:pt idx="55">
                  <c:v>75.476341858604968</c:v>
                </c:pt>
                <c:pt idx="56">
                  <c:v>80.88069405418716</c:v>
                </c:pt>
                <c:pt idx="57">
                  <c:v>92.616444818180028</c:v>
                </c:pt>
                <c:pt idx="58">
                  <c:v>97.588038640605532</c:v>
                </c:pt>
                <c:pt idx="59">
                  <c:v>93.992657464569263</c:v>
                </c:pt>
                <c:pt idx="60">
                  <c:v>85.234940623910475</c:v>
                </c:pt>
                <c:pt idx="61">
                  <c:v>88.087864306663732</c:v>
                </c:pt>
                <c:pt idx="62">
                  <c:v>86.900342514921007</c:v>
                </c:pt>
                <c:pt idx="63">
                  <c:v>80.696105174641659</c:v>
                </c:pt>
                <c:pt idx="64">
                  <c:v>78.782533790019968</c:v>
                </c:pt>
                <c:pt idx="65">
                  <c:v>89.176938695982201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B9C-4600-82DD-6CAD5C961398}"/>
            </c:ext>
          </c:extLst>
        </c:ser>
        <c:ser>
          <c:idx val="4"/>
          <c:order val="4"/>
          <c:tx>
            <c:strRef>
              <c:f>중분류_수익률!$B$36</c:f>
              <c:strCache>
                <c:ptCount val="1"/>
                <c:pt idx="0">
                  <c:v>운송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중분류_수익률!$C$31:$BP$31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중분류_수익률!$C$36:$BP$36</c:f>
              <c:numCache>
                <c:formatCode>General</c:formatCode>
                <c:ptCount val="66"/>
                <c:pt idx="0">
                  <c:v>100</c:v>
                </c:pt>
                <c:pt idx="1">
                  <c:v>97.878299993383465</c:v>
                </c:pt>
                <c:pt idx="2">
                  <c:v>80.128360644890918</c:v>
                </c:pt>
                <c:pt idx="3">
                  <c:v>91.583776273130255</c:v>
                </c:pt>
                <c:pt idx="4">
                  <c:v>166.71004168412691</c:v>
                </c:pt>
                <c:pt idx="5">
                  <c:v>158.5364239871198</c:v>
                </c:pt>
                <c:pt idx="6">
                  <c:v>145.36732758430557</c:v>
                </c:pt>
                <c:pt idx="7">
                  <c:v>138.04944751990467</c:v>
                </c:pt>
                <c:pt idx="8">
                  <c:v>123.11594362718067</c:v>
                </c:pt>
                <c:pt idx="9">
                  <c:v>133.94720010586443</c:v>
                </c:pt>
                <c:pt idx="10">
                  <c:v>157.45351889018764</c:v>
                </c:pt>
                <c:pt idx="11">
                  <c:v>204.61172007675165</c:v>
                </c:pt>
                <c:pt idx="12">
                  <c:v>205.41011446593583</c:v>
                </c:pt>
                <c:pt idx="13">
                  <c:v>175.6445601111576</c:v>
                </c:pt>
                <c:pt idx="14">
                  <c:v>220.2708365497011</c:v>
                </c:pt>
                <c:pt idx="15">
                  <c:v>275.02040096160204</c:v>
                </c:pt>
                <c:pt idx="16">
                  <c:v>327.13217617608785</c:v>
                </c:pt>
                <c:pt idx="17">
                  <c:v>285.40835005844599</c:v>
                </c:pt>
                <c:pt idx="18">
                  <c:v>268.74352131624801</c:v>
                </c:pt>
                <c:pt idx="19">
                  <c:v>326.318343221367</c:v>
                </c:pt>
                <c:pt idx="20">
                  <c:v>368.91996206523902</c:v>
                </c:pt>
                <c:pt idx="21">
                  <c:v>350.29884651860351</c:v>
                </c:pt>
                <c:pt idx="22">
                  <c:v>317.42352396285929</c:v>
                </c:pt>
                <c:pt idx="23">
                  <c:v>389.04744050638499</c:v>
                </c:pt>
                <c:pt idx="24">
                  <c:v>378.76094484021087</c:v>
                </c:pt>
                <c:pt idx="25">
                  <c:v>663.09741734853674</c:v>
                </c:pt>
                <c:pt idx="26">
                  <c:v>776.76275335788807</c:v>
                </c:pt>
                <c:pt idx="27">
                  <c:v>832.6547716195056</c:v>
                </c:pt>
                <c:pt idx="28">
                  <c:v>702.73042059063539</c:v>
                </c:pt>
                <c:pt idx="29">
                  <c:v>688.1167155554574</c:v>
                </c:pt>
                <c:pt idx="30">
                  <c:v>562.87686641229777</c:v>
                </c:pt>
                <c:pt idx="31">
                  <c:v>403.94345073994828</c:v>
                </c:pt>
                <c:pt idx="32">
                  <c:v>356.6860016320768</c:v>
                </c:pt>
                <c:pt idx="33">
                  <c:v>440.22187424185603</c:v>
                </c:pt>
                <c:pt idx="34">
                  <c:v>451.61112458922372</c:v>
                </c:pt>
                <c:pt idx="35">
                  <c:v>438.0229814075559</c:v>
                </c:pt>
                <c:pt idx="36">
                  <c:v>490.90889040823959</c:v>
                </c:pt>
                <c:pt idx="37">
                  <c:v>550.4333825897088</c:v>
                </c:pt>
                <c:pt idx="38">
                  <c:v>583.9328642950087</c:v>
                </c:pt>
                <c:pt idx="39">
                  <c:v>634.27361549149748</c:v>
                </c:pt>
                <c:pt idx="40">
                  <c:v>545.4092322621907</c:v>
                </c:pt>
                <c:pt idx="41">
                  <c:v>534.35301382854345</c:v>
                </c:pt>
                <c:pt idx="42">
                  <c:v>508.0721642663371</c:v>
                </c:pt>
                <c:pt idx="43">
                  <c:v>431.28294479610048</c:v>
                </c:pt>
                <c:pt idx="44">
                  <c:v>498.7715312851501</c:v>
                </c:pt>
                <c:pt idx="45">
                  <c:v>432.25116340618843</c:v>
                </c:pt>
                <c:pt idx="46">
                  <c:v>475.07333318629918</c:v>
                </c:pt>
                <c:pt idx="47">
                  <c:v>445.28131271917226</c:v>
                </c:pt>
                <c:pt idx="48">
                  <c:v>420.67223925365539</c:v>
                </c:pt>
                <c:pt idx="49">
                  <c:v>361.22935091859443</c:v>
                </c:pt>
                <c:pt idx="50">
                  <c:v>358.95988178469798</c:v>
                </c:pt>
                <c:pt idx="51">
                  <c:v>333.58108555170799</c:v>
                </c:pt>
                <c:pt idx="52">
                  <c:v>368.62001279195408</c:v>
                </c:pt>
                <c:pt idx="53">
                  <c:v>372.83033016475139</c:v>
                </c:pt>
                <c:pt idx="54">
                  <c:v>425.5839086036919</c:v>
                </c:pt>
                <c:pt idx="55">
                  <c:v>430.63452504355865</c:v>
                </c:pt>
                <c:pt idx="56">
                  <c:v>459.21351536137252</c:v>
                </c:pt>
                <c:pt idx="57">
                  <c:v>453.15718665225711</c:v>
                </c:pt>
                <c:pt idx="58">
                  <c:v>375.77247965417592</c:v>
                </c:pt>
                <c:pt idx="59">
                  <c:v>340.36302684104879</c:v>
                </c:pt>
                <c:pt idx="60">
                  <c:v>316.29650867867917</c:v>
                </c:pt>
                <c:pt idx="61">
                  <c:v>320.28627511523769</c:v>
                </c:pt>
                <c:pt idx="62">
                  <c:v>319.36437220175981</c:v>
                </c:pt>
                <c:pt idx="63">
                  <c:v>293.43199311881062</c:v>
                </c:pt>
                <c:pt idx="64">
                  <c:v>297.21223616594233</c:v>
                </c:pt>
                <c:pt idx="65">
                  <c:v>329.67071745219539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B9C-4600-82DD-6CAD5C961398}"/>
            </c:ext>
          </c:extLst>
        </c:ser>
        <c:ser>
          <c:idx val="5"/>
          <c:order val="5"/>
          <c:tx>
            <c:strRef>
              <c:f>중분류_수익률!$B$37</c:f>
              <c:strCache>
                <c:ptCount val="1"/>
                <c:pt idx="0">
                  <c:v>자동차와부품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중분류_수익률!$C$31:$BP$31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중분류_수익률!$C$37:$BP$37</c:f>
              <c:numCache>
                <c:formatCode>General</c:formatCode>
                <c:ptCount val="66"/>
                <c:pt idx="0">
                  <c:v>100</c:v>
                </c:pt>
                <c:pt idx="1">
                  <c:v>139.0099736890412</c:v>
                </c:pt>
                <c:pt idx="2">
                  <c:v>117.14985008872301</c:v>
                </c:pt>
                <c:pt idx="3">
                  <c:v>138.64406779661022</c:v>
                </c:pt>
                <c:pt idx="4">
                  <c:v>182.93458973260726</c:v>
                </c:pt>
                <c:pt idx="5">
                  <c:v>184.259927797834</c:v>
                </c:pt>
                <c:pt idx="6">
                  <c:v>163.33476105978099</c:v>
                </c:pt>
                <c:pt idx="7">
                  <c:v>163.33353729425446</c:v>
                </c:pt>
                <c:pt idx="8">
                  <c:v>126.25588937159642</c:v>
                </c:pt>
                <c:pt idx="9">
                  <c:v>150.74343755736402</c:v>
                </c:pt>
                <c:pt idx="10">
                  <c:v>191.8191274551796</c:v>
                </c:pt>
                <c:pt idx="11">
                  <c:v>222.66780884782477</c:v>
                </c:pt>
                <c:pt idx="12">
                  <c:v>235.36804748210244</c:v>
                </c:pt>
                <c:pt idx="13">
                  <c:v>204.80450345713763</c:v>
                </c:pt>
                <c:pt idx="14">
                  <c:v>232.253564217096</c:v>
                </c:pt>
                <c:pt idx="15">
                  <c:v>240.26188582267639</c:v>
                </c:pt>
                <c:pt idx="16">
                  <c:v>276.15615248118468</c:v>
                </c:pt>
                <c:pt idx="17">
                  <c:v>271.1154622774277</c:v>
                </c:pt>
                <c:pt idx="18">
                  <c:v>316.53062473230136</c:v>
                </c:pt>
                <c:pt idx="19">
                  <c:v>412.86911827693825</c:v>
                </c:pt>
                <c:pt idx="20">
                  <c:v>379.38322217463144</c:v>
                </c:pt>
                <c:pt idx="21">
                  <c:v>337.81680230067923</c:v>
                </c:pt>
                <c:pt idx="22">
                  <c:v>357.91470354280125</c:v>
                </c:pt>
                <c:pt idx="23">
                  <c:v>337.95141650859705</c:v>
                </c:pt>
                <c:pt idx="24">
                  <c:v>317.09600440555596</c:v>
                </c:pt>
                <c:pt idx="25">
                  <c:v>328.98243896469444</c:v>
                </c:pt>
                <c:pt idx="26">
                  <c:v>365.17163311509523</c:v>
                </c:pt>
                <c:pt idx="27">
                  <c:v>325.59750351832594</c:v>
                </c:pt>
                <c:pt idx="28">
                  <c:v>300.42954169981039</c:v>
                </c:pt>
                <c:pt idx="29">
                  <c:v>363.46203267453961</c:v>
                </c:pt>
                <c:pt idx="30">
                  <c:v>325.10065471455675</c:v>
                </c:pt>
                <c:pt idx="31">
                  <c:v>200.69754635011938</c:v>
                </c:pt>
                <c:pt idx="32">
                  <c:v>225.39313467539625</c:v>
                </c:pt>
                <c:pt idx="33">
                  <c:v>335.72416325032134</c:v>
                </c:pt>
                <c:pt idx="34">
                  <c:v>448.7376858593895</c:v>
                </c:pt>
                <c:pt idx="35">
                  <c:v>447.95692345346646</c:v>
                </c:pt>
                <c:pt idx="36">
                  <c:v>495.37416630973524</c:v>
                </c:pt>
                <c:pt idx="37">
                  <c:v>629.26145750474245</c:v>
                </c:pt>
                <c:pt idx="38">
                  <c:v>647.44294193232611</c:v>
                </c:pt>
                <c:pt idx="39">
                  <c:v>823.77531664933042</c:v>
                </c:pt>
                <c:pt idx="40">
                  <c:v>850.85969528238445</c:v>
                </c:pt>
                <c:pt idx="41">
                  <c:v>1181.4672948663044</c:v>
                </c:pt>
                <c:pt idx="42">
                  <c:v>1025.500826041731</c:v>
                </c:pt>
                <c:pt idx="43">
                  <c:v>1022.0852964571994</c:v>
                </c:pt>
                <c:pt idx="44">
                  <c:v>1011.4299700177452</c:v>
                </c:pt>
                <c:pt idx="45">
                  <c:v>1083.5134308266543</c:v>
                </c:pt>
                <c:pt idx="46">
                  <c:v>1082.8758489873346</c:v>
                </c:pt>
                <c:pt idx="47">
                  <c:v>991.09832956005698</c:v>
                </c:pt>
                <c:pt idx="48">
                  <c:v>983.04717616104824</c:v>
                </c:pt>
                <c:pt idx="49">
                  <c:v>977.67484549960284</c:v>
                </c:pt>
                <c:pt idx="50">
                  <c:v>1070.1168696077837</c:v>
                </c:pt>
                <c:pt idx="51">
                  <c:v>1091.7493728201682</c:v>
                </c:pt>
                <c:pt idx="52">
                  <c:v>1063.8438475188161</c:v>
                </c:pt>
                <c:pt idx="53">
                  <c:v>1025.8973260723253</c:v>
                </c:pt>
                <c:pt idx="54">
                  <c:v>1061.4330294315616</c:v>
                </c:pt>
                <c:pt idx="55">
                  <c:v>893.77837606314699</c:v>
                </c:pt>
                <c:pt idx="56">
                  <c:v>819.93881172367435</c:v>
                </c:pt>
                <c:pt idx="57">
                  <c:v>797.51697974668116</c:v>
                </c:pt>
                <c:pt idx="58">
                  <c:v>744.70660221501612</c:v>
                </c:pt>
                <c:pt idx="59">
                  <c:v>809.64939117665108</c:v>
                </c:pt>
                <c:pt idx="60">
                  <c:v>797.50841338799546</c:v>
                </c:pt>
                <c:pt idx="61">
                  <c:v>804.83999265740738</c:v>
                </c:pt>
                <c:pt idx="62">
                  <c:v>787.05378449489126</c:v>
                </c:pt>
                <c:pt idx="63">
                  <c:v>742.46711130147514</c:v>
                </c:pt>
                <c:pt idx="64">
                  <c:v>785.57302820779591</c:v>
                </c:pt>
                <c:pt idx="65">
                  <c:v>828.10622284770284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B9C-4600-82DD-6CAD5C961398}"/>
            </c:ext>
          </c:extLst>
        </c:ser>
        <c:ser>
          <c:idx val="6"/>
          <c:order val="6"/>
          <c:tx>
            <c:strRef>
              <c:f>중분류_수익률!$B$38</c:f>
              <c:strCache>
                <c:ptCount val="1"/>
                <c:pt idx="0">
                  <c:v>내구소비재와의류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중분류_수익률!$C$31:$BP$31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중분류_수익률!$C$38:$BP$38</c:f>
              <c:numCache>
                <c:formatCode>General</c:formatCode>
                <c:ptCount val="66"/>
                <c:pt idx="0">
                  <c:v>100</c:v>
                </c:pt>
                <c:pt idx="1">
                  <c:v>110.50188192162096</c:v>
                </c:pt>
                <c:pt idx="2">
                  <c:v>87.452409618951563</c:v>
                </c:pt>
                <c:pt idx="3">
                  <c:v>93.393207727267807</c:v>
                </c:pt>
                <c:pt idx="4">
                  <c:v>117.69114791795474</c:v>
                </c:pt>
                <c:pt idx="5">
                  <c:v>112.50528782011651</c:v>
                </c:pt>
                <c:pt idx="6">
                  <c:v>90.567613593222916</c:v>
                </c:pt>
                <c:pt idx="7">
                  <c:v>81.09943271181109</c:v>
                </c:pt>
                <c:pt idx="8">
                  <c:v>61.730283210222034</c:v>
                </c:pt>
                <c:pt idx="9">
                  <c:v>64.734849717440582</c:v>
                </c:pt>
                <c:pt idx="10">
                  <c:v>65.473517512175547</c:v>
                </c:pt>
                <c:pt idx="11">
                  <c:v>63.534107795602701</c:v>
                </c:pt>
                <c:pt idx="12">
                  <c:v>63.397437983360994</c:v>
                </c:pt>
                <c:pt idx="13">
                  <c:v>60.396125519291047</c:v>
                </c:pt>
                <c:pt idx="14">
                  <c:v>61.614222337921525</c:v>
                </c:pt>
                <c:pt idx="15">
                  <c:v>60.236677405009054</c:v>
                </c:pt>
                <c:pt idx="16">
                  <c:v>75.404857201739816</c:v>
                </c:pt>
                <c:pt idx="17">
                  <c:v>79.975703144490353</c:v>
                </c:pt>
                <c:pt idx="18">
                  <c:v>90.26824162355058</c:v>
                </c:pt>
                <c:pt idx="19">
                  <c:v>125.95641751542955</c:v>
                </c:pt>
                <c:pt idx="20">
                  <c:v>138.82181944399244</c:v>
                </c:pt>
                <c:pt idx="21">
                  <c:v>123.68184135454965</c:v>
                </c:pt>
                <c:pt idx="22">
                  <c:v>119.7921751109086</c:v>
                </c:pt>
                <c:pt idx="23">
                  <c:v>135.29986007614454</c:v>
                </c:pt>
                <c:pt idx="24">
                  <c:v>130.50340047509025</c:v>
                </c:pt>
                <c:pt idx="25">
                  <c:v>156.23745837536464</c:v>
                </c:pt>
                <c:pt idx="26">
                  <c:v>160.77793324872812</c:v>
                </c:pt>
                <c:pt idx="27">
                  <c:v>156.23637369431512</c:v>
                </c:pt>
                <c:pt idx="28">
                  <c:v>135.65455077934328</c:v>
                </c:pt>
                <c:pt idx="29">
                  <c:v>143.36012495525685</c:v>
                </c:pt>
                <c:pt idx="30">
                  <c:v>133.47651123187219</c:v>
                </c:pt>
                <c:pt idx="31">
                  <c:v>102.30060850606874</c:v>
                </c:pt>
                <c:pt idx="32">
                  <c:v>100.98922911717804</c:v>
                </c:pt>
                <c:pt idx="33">
                  <c:v>127.66804421159951</c:v>
                </c:pt>
                <c:pt idx="34">
                  <c:v>140.57791806319344</c:v>
                </c:pt>
                <c:pt idx="35">
                  <c:v>149.0199906717429</c:v>
                </c:pt>
                <c:pt idx="36">
                  <c:v>142.72450186022795</c:v>
                </c:pt>
                <c:pt idx="37">
                  <c:v>149.18269282917353</c:v>
                </c:pt>
                <c:pt idx="38">
                  <c:v>164.58624841365392</c:v>
                </c:pt>
                <c:pt idx="39">
                  <c:v>169.87189916804959</c:v>
                </c:pt>
                <c:pt idx="40">
                  <c:v>157.83953228553142</c:v>
                </c:pt>
                <c:pt idx="41">
                  <c:v>186.96647250875876</c:v>
                </c:pt>
                <c:pt idx="42">
                  <c:v>190.59039189526314</c:v>
                </c:pt>
                <c:pt idx="43">
                  <c:v>189.19440738450854</c:v>
                </c:pt>
                <c:pt idx="44">
                  <c:v>192.89100040133192</c:v>
                </c:pt>
                <c:pt idx="45">
                  <c:v>190.98521579729476</c:v>
                </c:pt>
                <c:pt idx="46">
                  <c:v>213.41858926382693</c:v>
                </c:pt>
                <c:pt idx="47">
                  <c:v>222.7598624624429</c:v>
                </c:pt>
                <c:pt idx="48">
                  <c:v>216.6238217652099</c:v>
                </c:pt>
                <c:pt idx="49">
                  <c:v>222.28585684379505</c:v>
                </c:pt>
                <c:pt idx="50">
                  <c:v>204.34414760339718</c:v>
                </c:pt>
                <c:pt idx="51">
                  <c:v>229.21046066404168</c:v>
                </c:pt>
                <c:pt idx="52">
                  <c:v>243.51848838848935</c:v>
                </c:pt>
                <c:pt idx="53">
                  <c:v>291.47657631273523</c:v>
                </c:pt>
                <c:pt idx="54">
                  <c:v>359.49041684292735</c:v>
                </c:pt>
                <c:pt idx="55">
                  <c:v>384.28839499745095</c:v>
                </c:pt>
                <c:pt idx="56">
                  <c:v>415.89600078097033</c:v>
                </c:pt>
                <c:pt idx="57">
                  <c:v>542.16914516286488</c:v>
                </c:pt>
                <c:pt idx="58">
                  <c:v>512.84804703177031</c:v>
                </c:pt>
                <c:pt idx="59">
                  <c:v>490.10770882821896</c:v>
                </c:pt>
                <c:pt idx="60">
                  <c:v>459.97960799626861</c:v>
                </c:pt>
                <c:pt idx="61">
                  <c:v>502.0782488909137</c:v>
                </c:pt>
                <c:pt idx="62">
                  <c:v>446.640200449058</c:v>
                </c:pt>
                <c:pt idx="63">
                  <c:v>387.41553046326726</c:v>
                </c:pt>
                <c:pt idx="64">
                  <c:v>396.42706062282389</c:v>
                </c:pt>
                <c:pt idx="65">
                  <c:v>437.80113457637782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B9C-4600-82DD-6CAD5C961398}"/>
            </c:ext>
          </c:extLst>
        </c:ser>
        <c:ser>
          <c:idx val="7"/>
          <c:order val="7"/>
          <c:tx>
            <c:strRef>
              <c:f>중분류_수익률!$B$39</c:f>
              <c:strCache>
                <c:ptCount val="1"/>
                <c:pt idx="0">
                  <c:v>호텔,레스토랑,레저등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중분류_수익률!$C$31:$BP$31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중분류_수익률!$C$39:$BP$39</c:f>
              <c:numCache>
                <c:formatCode>General</c:formatCode>
                <c:ptCount val="66"/>
                <c:pt idx="0">
                  <c:v>100</c:v>
                </c:pt>
                <c:pt idx="1">
                  <c:v>112.79847026329122</c:v>
                </c:pt>
                <c:pt idx="2">
                  <c:v>102.54629251311555</c:v>
                </c:pt>
                <c:pt idx="3">
                  <c:v>111.58906303626588</c:v>
                </c:pt>
                <c:pt idx="4">
                  <c:v>146.13888571101705</c:v>
                </c:pt>
                <c:pt idx="5">
                  <c:v>132.83867488191936</c:v>
                </c:pt>
                <c:pt idx="6">
                  <c:v>124.8026541585631</c:v>
                </c:pt>
                <c:pt idx="7">
                  <c:v>115.22545638779479</c:v>
                </c:pt>
                <c:pt idx="8">
                  <c:v>100.8498537270989</c:v>
                </c:pt>
                <c:pt idx="9">
                  <c:v>107.88402765293282</c:v>
                </c:pt>
                <c:pt idx="10">
                  <c:v>111.34718159086079</c:v>
                </c:pt>
                <c:pt idx="11">
                  <c:v>114.66978279699934</c:v>
                </c:pt>
                <c:pt idx="12">
                  <c:v>125.92217301060683</c:v>
                </c:pt>
                <c:pt idx="13">
                  <c:v>113.94413846078416</c:v>
                </c:pt>
                <c:pt idx="14">
                  <c:v>118.77686436661382</c:v>
                </c:pt>
                <c:pt idx="15">
                  <c:v>132.5967934365143</c:v>
                </c:pt>
                <c:pt idx="16">
                  <c:v>137.40990733325708</c:v>
                </c:pt>
                <c:pt idx="17">
                  <c:v>148.18343765832614</c:v>
                </c:pt>
                <c:pt idx="18">
                  <c:v>167.81505875431057</c:v>
                </c:pt>
                <c:pt idx="19">
                  <c:v>201.00838413388468</c:v>
                </c:pt>
                <c:pt idx="20">
                  <c:v>201.25680291565203</c:v>
                </c:pt>
                <c:pt idx="21">
                  <c:v>190.98337882229885</c:v>
                </c:pt>
                <c:pt idx="22">
                  <c:v>185.54104630068477</c:v>
                </c:pt>
                <c:pt idx="23">
                  <c:v>191.36090999722163</c:v>
                </c:pt>
                <c:pt idx="24">
                  <c:v>180.09054210861783</c:v>
                </c:pt>
                <c:pt idx="25">
                  <c:v>205.11546570349904</c:v>
                </c:pt>
                <c:pt idx="26">
                  <c:v>241.8062660369032</c:v>
                </c:pt>
                <c:pt idx="27">
                  <c:v>242.69044077990418</c:v>
                </c:pt>
                <c:pt idx="28">
                  <c:v>221.29537320018952</c:v>
                </c:pt>
                <c:pt idx="29">
                  <c:v>228.86397437364138</c:v>
                </c:pt>
                <c:pt idx="30">
                  <c:v>181.18064294703117</c:v>
                </c:pt>
                <c:pt idx="31">
                  <c:v>124.86966185627662</c:v>
                </c:pt>
                <c:pt idx="32">
                  <c:v>122.71070652262733</c:v>
                </c:pt>
                <c:pt idx="33">
                  <c:v>156.95654305653156</c:v>
                </c:pt>
                <c:pt idx="34">
                  <c:v>158.61702649255554</c:v>
                </c:pt>
                <c:pt idx="35">
                  <c:v>167.09431742036699</c:v>
                </c:pt>
                <c:pt idx="36">
                  <c:v>170.55256835602324</c:v>
                </c:pt>
                <c:pt idx="37">
                  <c:v>177.90707176360982</c:v>
                </c:pt>
                <c:pt idx="38">
                  <c:v>205.98166277150364</c:v>
                </c:pt>
                <c:pt idx="39">
                  <c:v>220.63837089577839</c:v>
                </c:pt>
                <c:pt idx="40">
                  <c:v>209.61315312076084</c:v>
                </c:pt>
                <c:pt idx="41">
                  <c:v>217.91066729860904</c:v>
                </c:pt>
                <c:pt idx="42">
                  <c:v>237.52267638550657</c:v>
                </c:pt>
                <c:pt idx="43">
                  <c:v>228.90483272590569</c:v>
                </c:pt>
                <c:pt idx="44">
                  <c:v>230.91833232549385</c:v>
                </c:pt>
                <c:pt idx="45">
                  <c:v>251.66293493715969</c:v>
                </c:pt>
                <c:pt idx="46">
                  <c:v>260.84789252619009</c:v>
                </c:pt>
                <c:pt idx="47">
                  <c:v>302.10665664275081</c:v>
                </c:pt>
                <c:pt idx="48">
                  <c:v>305.43906385343286</c:v>
                </c:pt>
                <c:pt idx="49">
                  <c:v>347.50845767891866</c:v>
                </c:pt>
                <c:pt idx="50">
                  <c:v>309.16697991403396</c:v>
                </c:pt>
                <c:pt idx="51">
                  <c:v>347.56729370617927</c:v>
                </c:pt>
                <c:pt idx="52">
                  <c:v>368.527628417801</c:v>
                </c:pt>
                <c:pt idx="53">
                  <c:v>378.09011718175412</c:v>
                </c:pt>
                <c:pt idx="54">
                  <c:v>448.87312664454845</c:v>
                </c:pt>
                <c:pt idx="55">
                  <c:v>378.23720724990585</c:v>
                </c:pt>
                <c:pt idx="56">
                  <c:v>392.4199584879139</c:v>
                </c:pt>
                <c:pt idx="57">
                  <c:v>477.9610047885987</c:v>
                </c:pt>
                <c:pt idx="58">
                  <c:v>484.54900550770571</c:v>
                </c:pt>
                <c:pt idx="59">
                  <c:v>402.39920244496363</c:v>
                </c:pt>
                <c:pt idx="60">
                  <c:v>363.16047526435347</c:v>
                </c:pt>
                <c:pt idx="61">
                  <c:v>380.43865526991016</c:v>
                </c:pt>
                <c:pt idx="62">
                  <c:v>357.5334629905044</c:v>
                </c:pt>
                <c:pt idx="63">
                  <c:v>311.71654109533063</c:v>
                </c:pt>
                <c:pt idx="64">
                  <c:v>320.54031085034399</c:v>
                </c:pt>
                <c:pt idx="65">
                  <c:v>343.04835994574012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B9C-4600-82DD-6CAD5C961398}"/>
            </c:ext>
          </c:extLst>
        </c:ser>
        <c:ser>
          <c:idx val="8"/>
          <c:order val="8"/>
          <c:tx>
            <c:strRef>
              <c:f>중분류_수익률!$B$40</c:f>
              <c:strCache>
                <c:ptCount val="1"/>
                <c:pt idx="0">
                  <c:v>미디어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중분류_수익률!$C$31:$BP$31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중분류_수익률!$C$40:$BP$40</c:f>
              <c:numCache>
                <c:formatCode>General</c:formatCode>
                <c:ptCount val="66"/>
                <c:pt idx="0">
                  <c:v>100</c:v>
                </c:pt>
                <c:pt idx="1">
                  <c:v>115.4878285640295</c:v>
                </c:pt>
                <c:pt idx="2">
                  <c:v>95.001942250420811</c:v>
                </c:pt>
                <c:pt idx="3">
                  <c:v>109.72420044024341</c:v>
                </c:pt>
                <c:pt idx="4">
                  <c:v>139.45034313090767</c:v>
                </c:pt>
                <c:pt idx="5">
                  <c:v>112.53398938236435</c:v>
                </c:pt>
                <c:pt idx="6">
                  <c:v>94.082610384565569</c:v>
                </c:pt>
                <c:pt idx="7">
                  <c:v>86.590379386248856</c:v>
                </c:pt>
                <c:pt idx="8">
                  <c:v>70.531205490094507</c:v>
                </c:pt>
                <c:pt idx="9">
                  <c:v>90.343778324485271</c:v>
                </c:pt>
                <c:pt idx="10">
                  <c:v>85.611161465751636</c:v>
                </c:pt>
                <c:pt idx="11">
                  <c:v>86.930273209892519</c:v>
                </c:pt>
                <c:pt idx="12">
                  <c:v>78.967046484526719</c:v>
                </c:pt>
                <c:pt idx="13">
                  <c:v>70.196167292502892</c:v>
                </c:pt>
                <c:pt idx="14">
                  <c:v>65.143079114333787</c:v>
                </c:pt>
                <c:pt idx="15">
                  <c:v>63.157128059044382</c:v>
                </c:pt>
                <c:pt idx="16">
                  <c:v>75.475851353101092</c:v>
                </c:pt>
                <c:pt idx="17">
                  <c:v>71.013531011265016</c:v>
                </c:pt>
                <c:pt idx="18">
                  <c:v>72.552764469765592</c:v>
                </c:pt>
                <c:pt idx="19">
                  <c:v>102.3420302991065</c:v>
                </c:pt>
                <c:pt idx="20">
                  <c:v>92.234235400750947</c:v>
                </c:pt>
                <c:pt idx="21">
                  <c:v>82.024472355302294</c:v>
                </c:pt>
                <c:pt idx="22">
                  <c:v>72.340735465492642</c:v>
                </c:pt>
                <c:pt idx="23">
                  <c:v>82.171759678881216</c:v>
                </c:pt>
                <c:pt idx="24">
                  <c:v>70.650977599378436</c:v>
                </c:pt>
                <c:pt idx="25">
                  <c:v>76.937394794768821</c:v>
                </c:pt>
                <c:pt idx="26">
                  <c:v>78.827851871034511</c:v>
                </c:pt>
                <c:pt idx="27">
                  <c:v>67.928589926194434</c:v>
                </c:pt>
                <c:pt idx="28">
                  <c:v>60.504337692606455</c:v>
                </c:pt>
                <c:pt idx="29">
                  <c:v>53.449113038974453</c:v>
                </c:pt>
                <c:pt idx="30">
                  <c:v>43.794509905477113</c:v>
                </c:pt>
                <c:pt idx="31">
                  <c:v>32.128059044412772</c:v>
                </c:pt>
                <c:pt idx="32">
                  <c:v>30.580732875825436</c:v>
                </c:pt>
                <c:pt idx="33">
                  <c:v>43.766994691182163</c:v>
                </c:pt>
                <c:pt idx="34">
                  <c:v>47.233911692347498</c:v>
                </c:pt>
                <c:pt idx="35">
                  <c:v>44.789913246147847</c:v>
                </c:pt>
                <c:pt idx="36">
                  <c:v>46.709504078725857</c:v>
                </c:pt>
                <c:pt idx="37">
                  <c:v>45.14437394794767</c:v>
                </c:pt>
                <c:pt idx="38">
                  <c:v>43.46109024990286</c:v>
                </c:pt>
                <c:pt idx="39">
                  <c:v>46.919914540981452</c:v>
                </c:pt>
                <c:pt idx="40">
                  <c:v>46.93124433510291</c:v>
                </c:pt>
                <c:pt idx="41">
                  <c:v>48.54978635245368</c:v>
                </c:pt>
                <c:pt idx="42">
                  <c:v>55.28130260261554</c:v>
                </c:pt>
                <c:pt idx="43">
                  <c:v>57.720445422763142</c:v>
                </c:pt>
                <c:pt idx="44">
                  <c:v>58.489252881004752</c:v>
                </c:pt>
                <c:pt idx="45">
                  <c:v>53.314774051534336</c:v>
                </c:pt>
                <c:pt idx="46">
                  <c:v>60.993137381846388</c:v>
                </c:pt>
                <c:pt idx="47">
                  <c:v>63.377249773404074</c:v>
                </c:pt>
                <c:pt idx="48">
                  <c:v>68.287906254046305</c:v>
                </c:pt>
                <c:pt idx="49">
                  <c:v>73.588631360870068</c:v>
                </c:pt>
                <c:pt idx="50">
                  <c:v>66.154667875177978</c:v>
                </c:pt>
                <c:pt idx="51">
                  <c:v>66.005762009581701</c:v>
                </c:pt>
                <c:pt idx="52">
                  <c:v>67.203483102421259</c:v>
                </c:pt>
                <c:pt idx="53">
                  <c:v>67.870322413569767</c:v>
                </c:pt>
                <c:pt idx="54">
                  <c:v>68.558202770943851</c:v>
                </c:pt>
                <c:pt idx="55">
                  <c:v>61.501359575294501</c:v>
                </c:pt>
                <c:pt idx="56">
                  <c:v>68.491842548232469</c:v>
                </c:pt>
                <c:pt idx="57">
                  <c:v>80.391363459795315</c:v>
                </c:pt>
                <c:pt idx="58">
                  <c:v>84.300142431697424</c:v>
                </c:pt>
                <c:pt idx="59">
                  <c:v>85.05114592774818</c:v>
                </c:pt>
                <c:pt idx="60">
                  <c:v>78.27754758513521</c:v>
                </c:pt>
                <c:pt idx="61">
                  <c:v>81.33011782985875</c:v>
                </c:pt>
                <c:pt idx="62">
                  <c:v>68.022465363200723</c:v>
                </c:pt>
                <c:pt idx="63">
                  <c:v>59.847209633561995</c:v>
                </c:pt>
                <c:pt idx="64">
                  <c:v>64.96342095040778</c:v>
                </c:pt>
                <c:pt idx="65">
                  <c:v>69.61187362423918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B9C-4600-82DD-6CAD5C961398}"/>
            </c:ext>
          </c:extLst>
        </c:ser>
        <c:ser>
          <c:idx val="9"/>
          <c:order val="9"/>
          <c:tx>
            <c:strRef>
              <c:f>중분류_수익률!$B$41</c:f>
              <c:strCache>
                <c:ptCount val="1"/>
                <c:pt idx="0">
                  <c:v>소매(유통)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중분류_수익률!$C$31:$BP$31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중분류_수익률!$C$41:$BP$41</c:f>
              <c:numCache>
                <c:formatCode>General</c:formatCode>
                <c:ptCount val="66"/>
                <c:pt idx="0">
                  <c:v>100</c:v>
                </c:pt>
                <c:pt idx="1">
                  <c:v>127.8167315896865</c:v>
                </c:pt>
                <c:pt idx="2">
                  <c:v>117.63680207753661</c:v>
                </c:pt>
                <c:pt idx="3">
                  <c:v>145.48506770543494</c:v>
                </c:pt>
                <c:pt idx="4">
                  <c:v>248.03005008347245</c:v>
                </c:pt>
                <c:pt idx="5">
                  <c:v>235.73177518085694</c:v>
                </c:pt>
                <c:pt idx="6">
                  <c:v>246.27898349100352</c:v>
                </c:pt>
                <c:pt idx="7">
                  <c:v>203.38527174921163</c:v>
                </c:pt>
                <c:pt idx="8">
                  <c:v>162.25375626043405</c:v>
                </c:pt>
                <c:pt idx="9">
                  <c:v>182.98274902615469</c:v>
                </c:pt>
                <c:pt idx="10">
                  <c:v>208.17844555741044</c:v>
                </c:pt>
                <c:pt idx="11">
                  <c:v>209.71248376924498</c:v>
                </c:pt>
                <c:pt idx="12">
                  <c:v>215.22166573919492</c:v>
                </c:pt>
                <c:pt idx="13">
                  <c:v>205.54999072528284</c:v>
                </c:pt>
                <c:pt idx="14">
                  <c:v>233.45946948618064</c:v>
                </c:pt>
                <c:pt idx="15">
                  <c:v>241.87720274531625</c:v>
                </c:pt>
                <c:pt idx="16">
                  <c:v>287.78519755147465</c:v>
                </c:pt>
                <c:pt idx="17">
                  <c:v>301.82711927286215</c:v>
                </c:pt>
                <c:pt idx="18">
                  <c:v>332.78983491003521</c:v>
                </c:pt>
                <c:pt idx="19">
                  <c:v>413.54850677054344</c:v>
                </c:pt>
                <c:pt idx="20">
                  <c:v>457.73696902244473</c:v>
                </c:pt>
                <c:pt idx="21">
                  <c:v>403.17009831200136</c:v>
                </c:pt>
                <c:pt idx="22">
                  <c:v>469.00760526803924</c:v>
                </c:pt>
                <c:pt idx="23">
                  <c:v>511.32442960489703</c:v>
                </c:pt>
                <c:pt idx="24">
                  <c:v>462.81765906139861</c:v>
                </c:pt>
                <c:pt idx="25">
                  <c:v>553.35744759784825</c:v>
                </c:pt>
                <c:pt idx="26">
                  <c:v>512.51530328324975</c:v>
                </c:pt>
                <c:pt idx="27">
                  <c:v>537.1396772398441</c:v>
                </c:pt>
                <c:pt idx="28">
                  <c:v>442.23149693934334</c:v>
                </c:pt>
                <c:pt idx="29">
                  <c:v>468.11723242441104</c:v>
                </c:pt>
                <c:pt idx="30">
                  <c:v>407.55889445371918</c:v>
                </c:pt>
                <c:pt idx="31">
                  <c:v>273.39269152290854</c:v>
                </c:pt>
                <c:pt idx="32">
                  <c:v>262.86774253385272</c:v>
                </c:pt>
                <c:pt idx="33">
                  <c:v>355.99146726024861</c:v>
                </c:pt>
                <c:pt idx="34">
                  <c:v>380.77165646447781</c:v>
                </c:pt>
                <c:pt idx="35">
                  <c:v>406.85958078278617</c:v>
                </c:pt>
                <c:pt idx="36">
                  <c:v>393.42422556112041</c:v>
                </c:pt>
                <c:pt idx="37">
                  <c:v>379.2227787052496</c:v>
                </c:pt>
                <c:pt idx="38">
                  <c:v>438.24151363383424</c:v>
                </c:pt>
                <c:pt idx="39">
                  <c:v>454.24411055462821</c:v>
                </c:pt>
                <c:pt idx="40">
                  <c:v>411.18159896123177</c:v>
                </c:pt>
                <c:pt idx="41">
                  <c:v>490.77907623817487</c:v>
                </c:pt>
                <c:pt idx="42">
                  <c:v>509.18567983676513</c:v>
                </c:pt>
                <c:pt idx="43">
                  <c:v>444.27564459284008</c:v>
                </c:pt>
                <c:pt idx="44">
                  <c:v>455.1641624930441</c:v>
                </c:pt>
                <c:pt idx="45">
                  <c:v>402.21480244852546</c:v>
                </c:pt>
                <c:pt idx="46">
                  <c:v>401.05175292153604</c:v>
                </c:pt>
                <c:pt idx="47">
                  <c:v>407.09515859766287</c:v>
                </c:pt>
                <c:pt idx="48">
                  <c:v>432.34835837506961</c:v>
                </c:pt>
                <c:pt idx="49">
                  <c:v>435.20682619180121</c:v>
                </c:pt>
                <c:pt idx="50">
                  <c:v>423.59488035614919</c:v>
                </c:pt>
                <c:pt idx="51">
                  <c:v>500.65479502875172</c:v>
                </c:pt>
                <c:pt idx="52">
                  <c:v>463.72287145242069</c:v>
                </c:pt>
                <c:pt idx="53">
                  <c:v>424.15692821368953</c:v>
                </c:pt>
                <c:pt idx="54">
                  <c:v>462.67853830458182</c:v>
                </c:pt>
                <c:pt idx="55">
                  <c:v>406.16212205527734</c:v>
                </c:pt>
                <c:pt idx="56">
                  <c:v>397.43090335744768</c:v>
                </c:pt>
                <c:pt idx="57">
                  <c:v>473.2572806529401</c:v>
                </c:pt>
                <c:pt idx="58">
                  <c:v>488.57169356334634</c:v>
                </c:pt>
                <c:pt idx="59">
                  <c:v>441.98849935076987</c:v>
                </c:pt>
                <c:pt idx="60">
                  <c:v>407.4605824522352</c:v>
                </c:pt>
                <c:pt idx="61">
                  <c:v>416.57206455203118</c:v>
                </c:pt>
                <c:pt idx="62">
                  <c:v>372.30754961973662</c:v>
                </c:pt>
                <c:pt idx="63">
                  <c:v>367.85754034501952</c:v>
                </c:pt>
                <c:pt idx="64">
                  <c:v>397.85568540159539</c:v>
                </c:pt>
                <c:pt idx="65">
                  <c:v>470.63068076423684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B9C-4600-82DD-6CAD5C961398}"/>
            </c:ext>
          </c:extLst>
        </c:ser>
        <c:ser>
          <c:idx val="10"/>
          <c:order val="10"/>
          <c:tx>
            <c:strRef>
              <c:f>중분류_수익률!$B$42</c:f>
              <c:strCache>
                <c:ptCount val="1"/>
                <c:pt idx="0">
                  <c:v>교육서비스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중분류_수익률!$C$31:$BP$31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중분류_수익률!$C$42:$BP$42</c:f>
              <c:numCache>
                <c:formatCode>General</c:formatCode>
                <c:ptCount val="66"/>
                <c:pt idx="0">
                  <c:v>100</c:v>
                </c:pt>
                <c:pt idx="1">
                  <c:v>123.48230353929215</c:v>
                </c:pt>
                <c:pt idx="2">
                  <c:v>128.09538092381524</c:v>
                </c:pt>
                <c:pt idx="3">
                  <c:v>144.24415116976607</c:v>
                </c:pt>
                <c:pt idx="4">
                  <c:v>166.03179364127175</c:v>
                </c:pt>
                <c:pt idx="5">
                  <c:v>137.6514697060588</c:v>
                </c:pt>
                <c:pt idx="6">
                  <c:v>105.93581283743252</c:v>
                </c:pt>
                <c:pt idx="7">
                  <c:v>88.986202759448119</c:v>
                </c:pt>
                <c:pt idx="8">
                  <c:v>67.090581883623273</c:v>
                </c:pt>
                <c:pt idx="9">
                  <c:v>79.199160167966397</c:v>
                </c:pt>
                <c:pt idx="10">
                  <c:v>68.566286742651457</c:v>
                </c:pt>
                <c:pt idx="11">
                  <c:v>52.045590881823628</c:v>
                </c:pt>
                <c:pt idx="12">
                  <c:v>51.325734853029381</c:v>
                </c:pt>
                <c:pt idx="13">
                  <c:v>61.74265146970604</c:v>
                </c:pt>
                <c:pt idx="14">
                  <c:v>53.971205758848214</c:v>
                </c:pt>
                <c:pt idx="15">
                  <c:v>65.110977804439088</c:v>
                </c:pt>
                <c:pt idx="16">
                  <c:v>77.645470905818812</c:v>
                </c:pt>
                <c:pt idx="17">
                  <c:v>79.028194361127746</c:v>
                </c:pt>
                <c:pt idx="18">
                  <c:v>92.891421715656818</c:v>
                </c:pt>
                <c:pt idx="19">
                  <c:v>127.38452309538084</c:v>
                </c:pt>
                <c:pt idx="20">
                  <c:v>127.29454109178155</c:v>
                </c:pt>
                <c:pt idx="21">
                  <c:v>146.3137372525494</c:v>
                </c:pt>
                <c:pt idx="22">
                  <c:v>144.98200359928006</c:v>
                </c:pt>
                <c:pt idx="23">
                  <c:v>177.2765446910617</c:v>
                </c:pt>
                <c:pt idx="24">
                  <c:v>162.48350329934007</c:v>
                </c:pt>
                <c:pt idx="25">
                  <c:v>190.55188962207549</c:v>
                </c:pt>
                <c:pt idx="26">
                  <c:v>209.64907018596273</c:v>
                </c:pt>
                <c:pt idx="27">
                  <c:v>257.73245350929801</c:v>
                </c:pt>
                <c:pt idx="28">
                  <c:v>269.19316136772636</c:v>
                </c:pt>
                <c:pt idx="29">
                  <c:v>280.58488302339526</c:v>
                </c:pt>
                <c:pt idx="30">
                  <c:v>188.62327534493099</c:v>
                </c:pt>
                <c:pt idx="31">
                  <c:v>118.48830233953208</c:v>
                </c:pt>
                <c:pt idx="32">
                  <c:v>140.40491901619674</c:v>
                </c:pt>
                <c:pt idx="33">
                  <c:v>170.78584283143368</c:v>
                </c:pt>
                <c:pt idx="34">
                  <c:v>193.44031193761242</c:v>
                </c:pt>
                <c:pt idx="35">
                  <c:v>186.71265746850625</c:v>
                </c:pt>
                <c:pt idx="36">
                  <c:v>168.69526094781037</c:v>
                </c:pt>
                <c:pt idx="37">
                  <c:v>138.19436112777439</c:v>
                </c:pt>
                <c:pt idx="38">
                  <c:v>136.18776244751044</c:v>
                </c:pt>
                <c:pt idx="39">
                  <c:v>152.63947210557882</c:v>
                </c:pt>
                <c:pt idx="40">
                  <c:v>130.95680863827229</c:v>
                </c:pt>
                <c:pt idx="41">
                  <c:v>119.67606478704253</c:v>
                </c:pt>
                <c:pt idx="42">
                  <c:v>119.9040191961607</c:v>
                </c:pt>
                <c:pt idx="43">
                  <c:v>102.75044991001793</c:v>
                </c:pt>
                <c:pt idx="44">
                  <c:v>108.89022195560881</c:v>
                </c:pt>
                <c:pt idx="45">
                  <c:v>83.056388722255491</c:v>
                </c:pt>
                <c:pt idx="46">
                  <c:v>78.416316736652618</c:v>
                </c:pt>
                <c:pt idx="47">
                  <c:v>78.05338932213553</c:v>
                </c:pt>
                <c:pt idx="48">
                  <c:v>82.777444511097741</c:v>
                </c:pt>
                <c:pt idx="49">
                  <c:v>84.93101379724051</c:v>
                </c:pt>
                <c:pt idx="50">
                  <c:v>79.073185362927376</c:v>
                </c:pt>
                <c:pt idx="51">
                  <c:v>78.494301139772006</c:v>
                </c:pt>
                <c:pt idx="52">
                  <c:v>77.543491301739607</c:v>
                </c:pt>
                <c:pt idx="53">
                  <c:v>79.010197960407893</c:v>
                </c:pt>
                <c:pt idx="54">
                  <c:v>80.449910017996388</c:v>
                </c:pt>
                <c:pt idx="55">
                  <c:v>79.184163167366506</c:v>
                </c:pt>
                <c:pt idx="56">
                  <c:v>84.17516496700658</c:v>
                </c:pt>
                <c:pt idx="57">
                  <c:v>94.12717456508696</c:v>
                </c:pt>
                <c:pt idx="58">
                  <c:v>86.517696460707839</c:v>
                </c:pt>
                <c:pt idx="59">
                  <c:v>81.934613077384512</c:v>
                </c:pt>
                <c:pt idx="60">
                  <c:v>90.509898020395909</c:v>
                </c:pt>
                <c:pt idx="61">
                  <c:v>86.556688662267533</c:v>
                </c:pt>
                <c:pt idx="62">
                  <c:v>86.808638272345533</c:v>
                </c:pt>
                <c:pt idx="63">
                  <c:v>80.398920215956807</c:v>
                </c:pt>
                <c:pt idx="64">
                  <c:v>82.510497900419907</c:v>
                </c:pt>
                <c:pt idx="65">
                  <c:v>82.186562687462512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7B9C-4600-82DD-6CAD5C961398}"/>
            </c:ext>
          </c:extLst>
        </c:ser>
        <c:ser>
          <c:idx val="11"/>
          <c:order val="11"/>
          <c:tx>
            <c:strRef>
              <c:f>중분류_수익률!$B$43</c:f>
              <c:strCache>
                <c:ptCount val="1"/>
                <c:pt idx="0">
                  <c:v>식품과기본식료품소매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중분류_수익률!$C$31:$BP$31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중분류_수익률!$C$43:$BP$43</c:f>
              <c:numCache>
                <c:formatCode>General</c:formatCode>
                <c:ptCount val="66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137.4264897918749</c:v>
                </c:pt>
                <c:pt idx="26">
                  <c:v>226.90045839749993</c:v>
                </c:pt>
                <c:pt idx="27">
                  <c:v>123.76282207152438</c:v>
                </c:pt>
                <c:pt idx="28">
                  <c:v>163.36692513441218</c:v>
                </c:pt>
                <c:pt idx="29">
                  <c:v>154.70330244328565</c:v>
                </c:pt>
                <c:pt idx="30">
                  <c:v>154.70330244328565</c:v>
                </c:pt>
                <c:pt idx="31">
                  <c:v>154.70330244328565</c:v>
                </c:pt>
                <c:pt idx="32">
                  <c:v>154.70330244328565</c:v>
                </c:pt>
                <c:pt idx="33">
                  <c:v>154.70330244328565</c:v>
                </c:pt>
                <c:pt idx="34">
                  <c:v>154.70330244328565</c:v>
                </c:pt>
                <c:pt idx="35">
                  <c:v>154.70330244328565</c:v>
                </c:pt>
                <c:pt idx="36">
                  <c:v>154.70330244328565</c:v>
                </c:pt>
                <c:pt idx="37">
                  <c:v>154.70330244328565</c:v>
                </c:pt>
                <c:pt idx="38">
                  <c:v>184.8854906834535</c:v>
                </c:pt>
                <c:pt idx="39">
                  <c:v>184.8854906834535</c:v>
                </c:pt>
                <c:pt idx="40">
                  <c:v>172.24398634713924</c:v>
                </c:pt>
                <c:pt idx="41">
                  <c:v>216.29517556894416</c:v>
                </c:pt>
                <c:pt idx="42">
                  <c:v>258.25520762975162</c:v>
                </c:pt>
                <c:pt idx="43">
                  <c:v>238.83230216410442</c:v>
                </c:pt>
                <c:pt idx="44">
                  <c:v>238.74674663856837</c:v>
                </c:pt>
                <c:pt idx="45">
                  <c:v>260.6939903997694</c:v>
                </c:pt>
                <c:pt idx="46">
                  <c:v>275.87064004538945</c:v>
                </c:pt>
                <c:pt idx="47">
                  <c:v>280.61311791352591</c:v>
                </c:pt>
                <c:pt idx="48">
                  <c:v>275.46447644521299</c:v>
                </c:pt>
                <c:pt idx="49">
                  <c:v>277.769072127811</c:v>
                </c:pt>
                <c:pt idx="50">
                  <c:v>271.10384639631127</c:v>
                </c:pt>
                <c:pt idx="51">
                  <c:v>264.8609947856159</c:v>
                </c:pt>
                <c:pt idx="52">
                  <c:v>259.29087978097789</c:v>
                </c:pt>
                <c:pt idx="53">
                  <c:v>260.11761633300017</c:v>
                </c:pt>
                <c:pt idx="54">
                  <c:v>309.43542358990993</c:v>
                </c:pt>
                <c:pt idx="55">
                  <c:v>283.84351444087218</c:v>
                </c:pt>
                <c:pt idx="56">
                  <c:v>288.49683444555524</c:v>
                </c:pt>
                <c:pt idx="57">
                  <c:v>307.88461711650865</c:v>
                </c:pt>
                <c:pt idx="58">
                  <c:v>445.52364484550486</c:v>
                </c:pt>
                <c:pt idx="59">
                  <c:v>392.02892677347609</c:v>
                </c:pt>
                <c:pt idx="60">
                  <c:v>300.8663622691127</c:v>
                </c:pt>
                <c:pt idx="61">
                  <c:v>288.82014427363367</c:v>
                </c:pt>
                <c:pt idx="62">
                  <c:v>240.41012617188559</c:v>
                </c:pt>
                <c:pt idx="63">
                  <c:v>233.05415214474198</c:v>
                </c:pt>
                <c:pt idx="64">
                  <c:v>231.60511171750468</c:v>
                </c:pt>
                <c:pt idx="65">
                  <c:v>259.76368663262457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7B9C-4600-82DD-6CAD5C961398}"/>
            </c:ext>
          </c:extLst>
        </c:ser>
        <c:ser>
          <c:idx val="12"/>
          <c:order val="12"/>
          <c:tx>
            <c:strRef>
              <c:f>중분류_수익률!$B$44</c:f>
              <c:strCache>
                <c:ptCount val="1"/>
                <c:pt idx="0">
                  <c:v>식품,음료,담배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중분류_수익률!$C$31:$BP$31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중분류_수익률!$C$44:$BP$44</c:f>
              <c:numCache>
                <c:formatCode>General</c:formatCode>
                <c:ptCount val="66"/>
                <c:pt idx="0">
                  <c:v>100</c:v>
                </c:pt>
                <c:pt idx="1">
                  <c:v>112.22020318823822</c:v>
                </c:pt>
                <c:pt idx="2">
                  <c:v>102.13237520993364</c:v>
                </c:pt>
                <c:pt idx="3">
                  <c:v>121.81382671181962</c:v>
                </c:pt>
                <c:pt idx="4">
                  <c:v>150.97051292640623</c:v>
                </c:pt>
                <c:pt idx="5">
                  <c:v>149.23597918559511</c:v>
                </c:pt>
                <c:pt idx="6">
                  <c:v>143.23394179675671</c:v>
                </c:pt>
                <c:pt idx="7">
                  <c:v>136.67575231959475</c:v>
                </c:pt>
                <c:pt idx="8">
                  <c:v>113.746868202968</c:v>
                </c:pt>
                <c:pt idx="9">
                  <c:v>140.74364692602077</c:v>
                </c:pt>
                <c:pt idx="10">
                  <c:v>140.50273946201924</c:v>
                </c:pt>
                <c:pt idx="11">
                  <c:v>157.5410919302883</c:v>
                </c:pt>
                <c:pt idx="12">
                  <c:v>173.42859502766996</c:v>
                </c:pt>
                <c:pt idx="13">
                  <c:v>167.02871616970899</c:v>
                </c:pt>
                <c:pt idx="14">
                  <c:v>177.94388921009886</c:v>
                </c:pt>
                <c:pt idx="15">
                  <c:v>200.21062195424139</c:v>
                </c:pt>
                <c:pt idx="16">
                  <c:v>218.27592852619702</c:v>
                </c:pt>
                <c:pt idx="17">
                  <c:v>231.35926874260079</c:v>
                </c:pt>
                <c:pt idx="18">
                  <c:v>260.44850086726694</c:v>
                </c:pt>
                <c:pt idx="19">
                  <c:v>308.90669309765707</c:v>
                </c:pt>
                <c:pt idx="20">
                  <c:v>346.32719363453651</c:v>
                </c:pt>
                <c:pt idx="21">
                  <c:v>324.40048456815623</c:v>
                </c:pt>
                <c:pt idx="22">
                  <c:v>313.79229646760825</c:v>
                </c:pt>
                <c:pt idx="23">
                  <c:v>342.63511467195281</c:v>
                </c:pt>
                <c:pt idx="24">
                  <c:v>322.06712370254121</c:v>
                </c:pt>
                <c:pt idx="25">
                  <c:v>379.59031964978942</c:v>
                </c:pt>
                <c:pt idx="26">
                  <c:v>410.52972109798742</c:v>
                </c:pt>
                <c:pt idx="27">
                  <c:v>425.34897166928226</c:v>
                </c:pt>
                <c:pt idx="28">
                  <c:v>402.93494121857879</c:v>
                </c:pt>
                <c:pt idx="29">
                  <c:v>431.9346934280444</c:v>
                </c:pt>
                <c:pt idx="30">
                  <c:v>424.29586189807554</c:v>
                </c:pt>
                <c:pt idx="31">
                  <c:v>354.5676055174693</c:v>
                </c:pt>
                <c:pt idx="32">
                  <c:v>332.80058368437</c:v>
                </c:pt>
                <c:pt idx="33">
                  <c:v>342.94072299771483</c:v>
                </c:pt>
                <c:pt idx="34">
                  <c:v>345.11990308636882</c:v>
                </c:pt>
                <c:pt idx="35">
                  <c:v>359.78359626662268</c:v>
                </c:pt>
                <c:pt idx="36">
                  <c:v>349.05288951295404</c:v>
                </c:pt>
                <c:pt idx="37">
                  <c:v>347.67352220478523</c:v>
                </c:pt>
                <c:pt idx="38">
                  <c:v>361.99856832135691</c:v>
                </c:pt>
                <c:pt idx="39">
                  <c:v>370.73731450125285</c:v>
                </c:pt>
                <c:pt idx="40">
                  <c:v>349.69989813055815</c:v>
                </c:pt>
                <c:pt idx="41">
                  <c:v>396.93290382974044</c:v>
                </c:pt>
                <c:pt idx="42">
                  <c:v>431.52583904628187</c:v>
                </c:pt>
                <c:pt idx="43">
                  <c:v>441.43470719418525</c:v>
                </c:pt>
                <c:pt idx="44">
                  <c:v>451.38074392224894</c:v>
                </c:pt>
                <c:pt idx="45">
                  <c:v>468.4273560749981</c:v>
                </c:pt>
                <c:pt idx="46">
                  <c:v>491.49665482778579</c:v>
                </c:pt>
                <c:pt idx="47">
                  <c:v>538.48599983480665</c:v>
                </c:pt>
                <c:pt idx="48">
                  <c:v>553.29974394978149</c:v>
                </c:pt>
                <c:pt idx="49">
                  <c:v>553.06021309985999</c:v>
                </c:pt>
                <c:pt idx="50">
                  <c:v>490.80559455962151</c:v>
                </c:pt>
                <c:pt idx="51">
                  <c:v>516.39960353514539</c:v>
                </c:pt>
                <c:pt idx="52">
                  <c:v>533.61829244789556</c:v>
                </c:pt>
                <c:pt idx="53">
                  <c:v>566.80157484650795</c:v>
                </c:pt>
                <c:pt idx="54">
                  <c:v>643.76806805980073</c:v>
                </c:pt>
                <c:pt idx="55">
                  <c:v>621.38845296109753</c:v>
                </c:pt>
                <c:pt idx="56">
                  <c:v>602.29343905729525</c:v>
                </c:pt>
                <c:pt idx="57">
                  <c:v>731.1527766306001</c:v>
                </c:pt>
                <c:pt idx="58">
                  <c:v>780.13545882547373</c:v>
                </c:pt>
                <c:pt idx="59">
                  <c:v>752.76148784449845</c:v>
                </c:pt>
                <c:pt idx="60">
                  <c:v>727.78970843313868</c:v>
                </c:pt>
                <c:pt idx="61">
                  <c:v>769.45018033644521</c:v>
                </c:pt>
                <c:pt idx="62">
                  <c:v>676.01938272624716</c:v>
                </c:pt>
                <c:pt idx="63">
                  <c:v>644.66149059772647</c:v>
                </c:pt>
                <c:pt idx="64">
                  <c:v>644.30219432284423</c:v>
                </c:pt>
                <c:pt idx="65">
                  <c:v>705.29032790947451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7B9C-4600-82DD-6CAD5C961398}"/>
            </c:ext>
          </c:extLst>
        </c:ser>
        <c:ser>
          <c:idx val="13"/>
          <c:order val="13"/>
          <c:tx>
            <c:strRef>
              <c:f>중분류_수익률!$B$45</c:f>
              <c:strCache>
                <c:ptCount val="1"/>
                <c:pt idx="0">
                  <c:v>가정용품과개인용품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중분류_수익률!$C$31:$BP$31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중분류_수익률!$C$45:$BP$45</c:f>
              <c:numCache>
                <c:formatCode>General</c:formatCode>
                <c:ptCount val="66"/>
                <c:pt idx="0">
                  <c:v>100</c:v>
                </c:pt>
                <c:pt idx="1">
                  <c:v>231.50328901973413</c:v>
                </c:pt>
                <c:pt idx="2">
                  <c:v>180.21988131928791</c:v>
                </c:pt>
                <c:pt idx="3">
                  <c:v>230.03818022908135</c:v>
                </c:pt>
                <c:pt idx="4">
                  <c:v>285.71691430148582</c:v>
                </c:pt>
                <c:pt idx="5">
                  <c:v>278.38907033442206</c:v>
                </c:pt>
                <c:pt idx="6">
                  <c:v>300.36800220801325</c:v>
                </c:pt>
                <c:pt idx="7">
                  <c:v>287.91342748056485</c:v>
                </c:pt>
                <c:pt idx="8">
                  <c:v>186.81402088412528</c:v>
                </c:pt>
                <c:pt idx="9">
                  <c:v>231.86899121394725</c:v>
                </c:pt>
                <c:pt idx="10">
                  <c:v>212.82257693546157</c:v>
                </c:pt>
                <c:pt idx="11">
                  <c:v>227.10796264777585</c:v>
                </c:pt>
                <c:pt idx="12">
                  <c:v>224.17774506647035</c:v>
                </c:pt>
                <c:pt idx="13">
                  <c:v>222.7126362758176</c:v>
                </c:pt>
                <c:pt idx="14">
                  <c:v>211.72317033902198</c:v>
                </c:pt>
                <c:pt idx="15">
                  <c:v>198.53719122314729</c:v>
                </c:pt>
                <c:pt idx="16">
                  <c:v>248.35319011914066</c:v>
                </c:pt>
                <c:pt idx="17">
                  <c:v>271.79723078338469</c:v>
                </c:pt>
                <c:pt idx="18">
                  <c:v>393.40816044896269</c:v>
                </c:pt>
                <c:pt idx="19">
                  <c:v>434.43580661483963</c:v>
                </c:pt>
                <c:pt idx="20">
                  <c:v>457.87754726528351</c:v>
                </c:pt>
                <c:pt idx="21">
                  <c:v>514.28998573991441</c:v>
                </c:pt>
                <c:pt idx="22">
                  <c:v>541.39564837389014</c:v>
                </c:pt>
                <c:pt idx="23">
                  <c:v>754.58392750356484</c:v>
                </c:pt>
                <c:pt idx="24">
                  <c:v>827.82326693960147</c:v>
                </c:pt>
                <c:pt idx="25">
                  <c:v>1062.3602741616448</c:v>
                </c:pt>
                <c:pt idx="26">
                  <c:v>1051.3317079902477</c:v>
                </c:pt>
                <c:pt idx="27">
                  <c:v>1437.3108238649429</c:v>
                </c:pt>
                <c:pt idx="28">
                  <c:v>1268.2161092966555</c:v>
                </c:pt>
                <c:pt idx="29">
                  <c:v>1588.0261281567687</c:v>
                </c:pt>
                <c:pt idx="30">
                  <c:v>1389.5234371406225</c:v>
                </c:pt>
                <c:pt idx="31">
                  <c:v>1227.7795666773998</c:v>
                </c:pt>
                <c:pt idx="32">
                  <c:v>1099.1190947145678</c:v>
                </c:pt>
                <c:pt idx="33">
                  <c:v>1422.6068356410133</c:v>
                </c:pt>
                <c:pt idx="34">
                  <c:v>1591.7015502093006</c:v>
                </c:pt>
                <c:pt idx="35">
                  <c:v>2098.9879939279631</c:v>
                </c:pt>
                <c:pt idx="36">
                  <c:v>2040.1720410322457</c:v>
                </c:pt>
                <c:pt idx="37">
                  <c:v>2345.2780716684292</c:v>
                </c:pt>
                <c:pt idx="38">
                  <c:v>2955.4924329545966</c:v>
                </c:pt>
                <c:pt idx="39">
                  <c:v>2812.1279727678357</c:v>
                </c:pt>
                <c:pt idx="40">
                  <c:v>2631.4066884401295</c:v>
                </c:pt>
                <c:pt idx="41">
                  <c:v>3244.2936657619935</c:v>
                </c:pt>
                <c:pt idx="42">
                  <c:v>3449.2846957081729</c:v>
                </c:pt>
                <c:pt idx="43">
                  <c:v>3897.334284005703</c:v>
                </c:pt>
                <c:pt idx="44">
                  <c:v>3767.9079074474434</c:v>
                </c:pt>
                <c:pt idx="45">
                  <c:v>4261.0124660747942</c:v>
                </c:pt>
                <c:pt idx="46">
                  <c:v>4526.7675606053617</c:v>
                </c:pt>
                <c:pt idx="47">
                  <c:v>4680.2359814158872</c:v>
                </c:pt>
                <c:pt idx="48">
                  <c:v>4499.7239983439895</c:v>
                </c:pt>
                <c:pt idx="49">
                  <c:v>4508.9654537927227</c:v>
                </c:pt>
                <c:pt idx="50">
                  <c:v>3566.8591011546064</c:v>
                </c:pt>
                <c:pt idx="51">
                  <c:v>3937.8076268457603</c:v>
                </c:pt>
                <c:pt idx="52">
                  <c:v>3320.776024656147</c:v>
                </c:pt>
                <c:pt idx="53">
                  <c:v>3694.1464648787887</c:v>
                </c:pt>
                <c:pt idx="54">
                  <c:v>3724.7481484888904</c:v>
                </c:pt>
                <c:pt idx="55">
                  <c:v>4515.5319931919594</c:v>
                </c:pt>
                <c:pt idx="56">
                  <c:v>4846.8420810524858</c:v>
                </c:pt>
                <c:pt idx="57">
                  <c:v>5956.5251391508336</c:v>
                </c:pt>
                <c:pt idx="58">
                  <c:v>5856.982841897051</c:v>
                </c:pt>
                <c:pt idx="59">
                  <c:v>7303.0544183265092</c:v>
                </c:pt>
                <c:pt idx="60">
                  <c:v>6333.9712038272219</c:v>
                </c:pt>
                <c:pt idx="61">
                  <c:v>7632.9246975481847</c:v>
                </c:pt>
                <c:pt idx="62">
                  <c:v>7560.4489626937748</c:v>
                </c:pt>
                <c:pt idx="63">
                  <c:v>7556.5021390128331</c:v>
                </c:pt>
                <c:pt idx="64">
                  <c:v>7990.7677446064672</c:v>
                </c:pt>
                <c:pt idx="65">
                  <c:v>7807.5279451676697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7B9C-4600-82DD-6CAD5C961398}"/>
            </c:ext>
          </c:extLst>
        </c:ser>
        <c:ser>
          <c:idx val="14"/>
          <c:order val="14"/>
          <c:tx>
            <c:strRef>
              <c:f>중분류_수익률!$B$46</c:f>
              <c:strCache>
                <c:ptCount val="1"/>
                <c:pt idx="0">
                  <c:v>건강관리장비와서비스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중분류_수익률!$C$31:$BP$31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중분류_수익률!$C$46:$BP$46</c:f>
              <c:numCache>
                <c:formatCode>General</c:formatCode>
                <c:ptCount val="66"/>
                <c:pt idx="0">
                  <c:v>100</c:v>
                </c:pt>
                <c:pt idx="1">
                  <c:v>100.73551946061905</c:v>
                </c:pt>
                <c:pt idx="2">
                  <c:v>66.083358872203476</c:v>
                </c:pt>
                <c:pt idx="3">
                  <c:v>62.779650628256185</c:v>
                </c:pt>
                <c:pt idx="4">
                  <c:v>59.368679129635282</c:v>
                </c:pt>
                <c:pt idx="5">
                  <c:v>45.494943303708226</c:v>
                </c:pt>
                <c:pt idx="6">
                  <c:v>41.915415262028795</c:v>
                </c:pt>
                <c:pt idx="7">
                  <c:v>38.05087342935947</c:v>
                </c:pt>
                <c:pt idx="8">
                  <c:v>32.981918479926435</c:v>
                </c:pt>
                <c:pt idx="9">
                  <c:v>44.799264480539364</c:v>
                </c:pt>
                <c:pt idx="10">
                  <c:v>44.839105117989561</c:v>
                </c:pt>
                <c:pt idx="11">
                  <c:v>33.751149249157201</c:v>
                </c:pt>
                <c:pt idx="12">
                  <c:v>33.095311063438537</c:v>
                </c:pt>
                <c:pt idx="13">
                  <c:v>29.028501379098977</c:v>
                </c:pt>
                <c:pt idx="14">
                  <c:v>27.704566349984667</c:v>
                </c:pt>
                <c:pt idx="15">
                  <c:v>29.552558994790061</c:v>
                </c:pt>
                <c:pt idx="16">
                  <c:v>58.633159669016223</c:v>
                </c:pt>
                <c:pt idx="17">
                  <c:v>56.01287159056082</c:v>
                </c:pt>
                <c:pt idx="18">
                  <c:v>61.290223720502595</c:v>
                </c:pt>
                <c:pt idx="19">
                  <c:v>87.155991418939593</c:v>
                </c:pt>
                <c:pt idx="20">
                  <c:v>54.382470119521891</c:v>
                </c:pt>
                <c:pt idx="21">
                  <c:v>43.769537235672679</c:v>
                </c:pt>
                <c:pt idx="22">
                  <c:v>46.74839105117988</c:v>
                </c:pt>
                <c:pt idx="23">
                  <c:v>46.227398099908051</c:v>
                </c:pt>
                <c:pt idx="24">
                  <c:v>50.499540300337102</c:v>
                </c:pt>
                <c:pt idx="25">
                  <c:v>76.72693840024516</c:v>
                </c:pt>
                <c:pt idx="26">
                  <c:v>68.550413729696587</c:v>
                </c:pt>
                <c:pt idx="27">
                  <c:v>67.790376953723552</c:v>
                </c:pt>
                <c:pt idx="28">
                  <c:v>56.497088568801708</c:v>
                </c:pt>
                <c:pt idx="29">
                  <c:v>49.745632853202565</c:v>
                </c:pt>
                <c:pt idx="30">
                  <c:v>35.216058841556844</c:v>
                </c:pt>
                <c:pt idx="31">
                  <c:v>18.985596077229545</c:v>
                </c:pt>
                <c:pt idx="32">
                  <c:v>21.213607110021453</c:v>
                </c:pt>
                <c:pt idx="33">
                  <c:v>32.473184186331594</c:v>
                </c:pt>
                <c:pt idx="34">
                  <c:v>32.237205026049644</c:v>
                </c:pt>
                <c:pt idx="35">
                  <c:v>25.749310450505664</c:v>
                </c:pt>
                <c:pt idx="36">
                  <c:v>30.235979160281943</c:v>
                </c:pt>
                <c:pt idx="37">
                  <c:v>27.370517928286851</c:v>
                </c:pt>
                <c:pt idx="38">
                  <c:v>24.762488507508422</c:v>
                </c:pt>
                <c:pt idx="39">
                  <c:v>25.353968740422921</c:v>
                </c:pt>
                <c:pt idx="40">
                  <c:v>29.215445908672994</c:v>
                </c:pt>
                <c:pt idx="41">
                  <c:v>26.26417407293901</c:v>
                </c:pt>
                <c:pt idx="42">
                  <c:v>33.34048421697824</c:v>
                </c:pt>
                <c:pt idx="43">
                  <c:v>33.567269384002444</c:v>
                </c:pt>
                <c:pt idx="44">
                  <c:v>39.564817652467042</c:v>
                </c:pt>
                <c:pt idx="45">
                  <c:v>29.791602819491253</c:v>
                </c:pt>
                <c:pt idx="46">
                  <c:v>37.367453263867596</c:v>
                </c:pt>
                <c:pt idx="47">
                  <c:v>37.830217591173756</c:v>
                </c:pt>
                <c:pt idx="48">
                  <c:v>38.528961078761867</c:v>
                </c:pt>
                <c:pt idx="49">
                  <c:v>40.934722647870053</c:v>
                </c:pt>
                <c:pt idx="50">
                  <c:v>36.239656757585045</c:v>
                </c:pt>
                <c:pt idx="51">
                  <c:v>36.766779037695379</c:v>
                </c:pt>
                <c:pt idx="52">
                  <c:v>39.785473490652777</c:v>
                </c:pt>
                <c:pt idx="53">
                  <c:v>41.492491572172852</c:v>
                </c:pt>
                <c:pt idx="54">
                  <c:v>45.920931657983459</c:v>
                </c:pt>
                <c:pt idx="55">
                  <c:v>50.481152313821646</c:v>
                </c:pt>
                <c:pt idx="56">
                  <c:v>55.908673000306486</c:v>
                </c:pt>
                <c:pt idx="57">
                  <c:v>65.160894882010453</c:v>
                </c:pt>
                <c:pt idx="58">
                  <c:v>65.415262028807874</c:v>
                </c:pt>
                <c:pt idx="59">
                  <c:v>68.464603125957751</c:v>
                </c:pt>
                <c:pt idx="60">
                  <c:v>71.967514557156036</c:v>
                </c:pt>
                <c:pt idx="61">
                  <c:v>78.577995709469846</c:v>
                </c:pt>
                <c:pt idx="62">
                  <c:v>71.860251302482411</c:v>
                </c:pt>
                <c:pt idx="63">
                  <c:v>63.049341097149892</c:v>
                </c:pt>
                <c:pt idx="64">
                  <c:v>58.581060373889088</c:v>
                </c:pt>
                <c:pt idx="65">
                  <c:v>57.373582592706128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7B9C-4600-82DD-6CAD5C961398}"/>
            </c:ext>
          </c:extLst>
        </c:ser>
        <c:ser>
          <c:idx val="15"/>
          <c:order val="15"/>
          <c:tx>
            <c:strRef>
              <c:f>중분류_수익률!$B$47</c:f>
              <c:strCache>
                <c:ptCount val="1"/>
                <c:pt idx="0">
                  <c:v>제약과생물공학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중분류_수익률!$C$31:$BP$31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중분류_수익률!$C$47:$BP$47</c:f>
              <c:numCache>
                <c:formatCode>General</c:formatCode>
                <c:ptCount val="66"/>
                <c:pt idx="0">
                  <c:v>100</c:v>
                </c:pt>
                <c:pt idx="1">
                  <c:v>106.30558375634516</c:v>
                </c:pt>
                <c:pt idx="2">
                  <c:v>93.831472081218266</c:v>
                </c:pt>
                <c:pt idx="3">
                  <c:v>105.67512690355329</c:v>
                </c:pt>
                <c:pt idx="4">
                  <c:v>112.1746192893401</c:v>
                </c:pt>
                <c:pt idx="5">
                  <c:v>97.199999999999989</c:v>
                </c:pt>
                <c:pt idx="6">
                  <c:v>95.43451776649745</c:v>
                </c:pt>
                <c:pt idx="7">
                  <c:v>89.25076142131978</c:v>
                </c:pt>
                <c:pt idx="8">
                  <c:v>78.787817258883223</c:v>
                </c:pt>
                <c:pt idx="9">
                  <c:v>101.30050761421316</c:v>
                </c:pt>
                <c:pt idx="10">
                  <c:v>108.15634517766493</c:v>
                </c:pt>
                <c:pt idx="11">
                  <c:v>96.957360406091325</c:v>
                </c:pt>
                <c:pt idx="12">
                  <c:v>106.01522842639588</c:v>
                </c:pt>
                <c:pt idx="13">
                  <c:v>95.341116751268984</c:v>
                </c:pt>
                <c:pt idx="14">
                  <c:v>105.4101522842639</c:v>
                </c:pt>
                <c:pt idx="15">
                  <c:v>135.53502538071058</c:v>
                </c:pt>
                <c:pt idx="16">
                  <c:v>176.7025380710659</c:v>
                </c:pt>
                <c:pt idx="17">
                  <c:v>178.96345177664966</c:v>
                </c:pt>
                <c:pt idx="18">
                  <c:v>219.68730964466997</c:v>
                </c:pt>
                <c:pt idx="19">
                  <c:v>342.58274111675115</c:v>
                </c:pt>
                <c:pt idx="20">
                  <c:v>306.68324873096435</c:v>
                </c:pt>
                <c:pt idx="21">
                  <c:v>267.72994923857857</c:v>
                </c:pt>
                <c:pt idx="22">
                  <c:v>274.44771573604049</c:v>
                </c:pt>
                <c:pt idx="23">
                  <c:v>310.15532994923848</c:v>
                </c:pt>
                <c:pt idx="24">
                  <c:v>278.52182741116741</c:v>
                </c:pt>
                <c:pt idx="25">
                  <c:v>348.20609137055823</c:v>
                </c:pt>
                <c:pt idx="26">
                  <c:v>390.59289340101509</c:v>
                </c:pt>
                <c:pt idx="27">
                  <c:v>375.78781725888308</c:v>
                </c:pt>
                <c:pt idx="28">
                  <c:v>358.78578680203026</c:v>
                </c:pt>
                <c:pt idx="29">
                  <c:v>351.9573604060912</c:v>
                </c:pt>
                <c:pt idx="30">
                  <c:v>291.84771573604041</c:v>
                </c:pt>
                <c:pt idx="31">
                  <c:v>228.45076142131964</c:v>
                </c:pt>
                <c:pt idx="32">
                  <c:v>270.85583756345159</c:v>
                </c:pt>
                <c:pt idx="33">
                  <c:v>333.00812182741095</c:v>
                </c:pt>
                <c:pt idx="34">
                  <c:v>362.84263959390836</c:v>
                </c:pt>
                <c:pt idx="35">
                  <c:v>310.34010152284236</c:v>
                </c:pt>
                <c:pt idx="36">
                  <c:v>320.68121827411142</c:v>
                </c:pt>
                <c:pt idx="37">
                  <c:v>296.5949238578678</c:v>
                </c:pt>
                <c:pt idx="38">
                  <c:v>320.2832487309642</c:v>
                </c:pt>
                <c:pt idx="39">
                  <c:v>334.9868020304566</c:v>
                </c:pt>
                <c:pt idx="40">
                  <c:v>327.76649746192868</c:v>
                </c:pt>
                <c:pt idx="41">
                  <c:v>325.76142131979668</c:v>
                </c:pt>
                <c:pt idx="42">
                  <c:v>395.8477157360403</c:v>
                </c:pt>
                <c:pt idx="43">
                  <c:v>378.11776649746167</c:v>
                </c:pt>
                <c:pt idx="44">
                  <c:v>371.63857868020278</c:v>
                </c:pt>
                <c:pt idx="45">
                  <c:v>350.27208121827385</c:v>
                </c:pt>
                <c:pt idx="46">
                  <c:v>403.11370558375609</c:v>
                </c:pt>
                <c:pt idx="47">
                  <c:v>418.51472081218247</c:v>
                </c:pt>
                <c:pt idx="48">
                  <c:v>470.57258883248704</c:v>
                </c:pt>
                <c:pt idx="49">
                  <c:v>473.3279187817256</c:v>
                </c:pt>
                <c:pt idx="50">
                  <c:v>437.66192893400989</c:v>
                </c:pt>
                <c:pt idx="51">
                  <c:v>452.06598984771546</c:v>
                </c:pt>
                <c:pt idx="52">
                  <c:v>483.77461928933974</c:v>
                </c:pt>
                <c:pt idx="53">
                  <c:v>481.372588832487</c:v>
                </c:pt>
                <c:pt idx="54">
                  <c:v>490.713705583756</c:v>
                </c:pt>
                <c:pt idx="55">
                  <c:v>501.24162436548187</c:v>
                </c:pt>
                <c:pt idx="56">
                  <c:v>598.26395939086251</c:v>
                </c:pt>
                <c:pt idx="57">
                  <c:v>863.5340101522836</c:v>
                </c:pt>
                <c:pt idx="58">
                  <c:v>882.30761421319733</c:v>
                </c:pt>
                <c:pt idx="59">
                  <c:v>965.42030456852706</c:v>
                </c:pt>
                <c:pt idx="60">
                  <c:v>950.73807106598906</c:v>
                </c:pt>
                <c:pt idx="61">
                  <c:v>1039.8710659898468</c:v>
                </c:pt>
                <c:pt idx="62">
                  <c:v>969.59390862944076</c:v>
                </c:pt>
                <c:pt idx="63">
                  <c:v>778.25279187817193</c:v>
                </c:pt>
                <c:pt idx="64">
                  <c:v>799.15025380710586</c:v>
                </c:pt>
                <c:pt idx="65">
                  <c:v>876.34923857867955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7B9C-4600-82DD-6CAD5C961398}"/>
            </c:ext>
          </c:extLst>
        </c:ser>
        <c:ser>
          <c:idx val="16"/>
          <c:order val="16"/>
          <c:tx>
            <c:strRef>
              <c:f>중분류_수익률!$B$48</c:f>
              <c:strCache>
                <c:ptCount val="1"/>
                <c:pt idx="0">
                  <c:v>은행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중분류_수익률!$C$31:$BP$31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중분류_수익률!$C$48:$BP$48</c:f>
              <c:numCache>
                <c:formatCode>General</c:formatCode>
                <c:ptCount val="66"/>
                <c:pt idx="0">
                  <c:v>100</c:v>
                </c:pt>
                <c:pt idx="1">
                  <c:v>95.88044002947079</c:v>
                </c:pt>
                <c:pt idx="2">
                  <c:v>98.65475978760702</c:v>
                </c:pt>
                <c:pt idx="3">
                  <c:v>133.75803460277939</c:v>
                </c:pt>
                <c:pt idx="4">
                  <c:v>167.49955539747461</c:v>
                </c:pt>
                <c:pt idx="5">
                  <c:v>177.61616828840727</c:v>
                </c:pt>
                <c:pt idx="6">
                  <c:v>161.22684891135893</c:v>
                </c:pt>
                <c:pt idx="7">
                  <c:v>131.89197428927108</c:v>
                </c:pt>
                <c:pt idx="8">
                  <c:v>112.25324559843496</c:v>
                </c:pt>
                <c:pt idx="9">
                  <c:v>108.12860445618757</c:v>
                </c:pt>
                <c:pt idx="10">
                  <c:v>141.36708925078119</c:v>
                </c:pt>
                <c:pt idx="11">
                  <c:v>151.63867787911889</c:v>
                </c:pt>
                <c:pt idx="12">
                  <c:v>177.13853814689665</c:v>
                </c:pt>
                <c:pt idx="13">
                  <c:v>153.28497751581514</c:v>
                </c:pt>
                <c:pt idx="14">
                  <c:v>152.63839841467441</c:v>
                </c:pt>
                <c:pt idx="15">
                  <c:v>167.66977465003433</c:v>
                </c:pt>
                <c:pt idx="16">
                  <c:v>196.05447016081911</c:v>
                </c:pt>
                <c:pt idx="17">
                  <c:v>182.80658519854677</c:v>
                </c:pt>
                <c:pt idx="18">
                  <c:v>218.90703996341554</c:v>
                </c:pt>
                <c:pt idx="19">
                  <c:v>293.1353370087142</c:v>
                </c:pt>
                <c:pt idx="20">
                  <c:v>295.92744086786411</c:v>
                </c:pt>
                <c:pt idx="21">
                  <c:v>310.19410075963509</c:v>
                </c:pt>
                <c:pt idx="22">
                  <c:v>308.5795584461776</c:v>
                </c:pt>
                <c:pt idx="23">
                  <c:v>312.00553847717282</c:v>
                </c:pt>
                <c:pt idx="24">
                  <c:v>354.49048550595762</c:v>
                </c:pt>
                <c:pt idx="25">
                  <c:v>356.28922029419982</c:v>
                </c:pt>
                <c:pt idx="26">
                  <c:v>346.63245344376412</c:v>
                </c:pt>
                <c:pt idx="27">
                  <c:v>305.81286044561875</c:v>
                </c:pt>
                <c:pt idx="28">
                  <c:v>290.91867584665022</c:v>
                </c:pt>
                <c:pt idx="29">
                  <c:v>310.32748151723786</c:v>
                </c:pt>
                <c:pt idx="30">
                  <c:v>283.0403190975839</c:v>
                </c:pt>
                <c:pt idx="31">
                  <c:v>156.63855084982595</c:v>
                </c:pt>
                <c:pt idx="32">
                  <c:v>139.85544066461725</c:v>
                </c:pt>
                <c:pt idx="33">
                  <c:v>202.24841848530269</c:v>
                </c:pt>
                <c:pt idx="34">
                  <c:v>259.5551434160717</c:v>
                </c:pt>
                <c:pt idx="35">
                  <c:v>287.28817865399759</c:v>
                </c:pt>
                <c:pt idx="36">
                  <c:v>257.66367724397242</c:v>
                </c:pt>
                <c:pt idx="37">
                  <c:v>261.71464139630598</c:v>
                </c:pt>
                <c:pt idx="38">
                  <c:v>264.46736617463984</c:v>
                </c:pt>
                <c:pt idx="39">
                  <c:v>279.76931480399372</c:v>
                </c:pt>
                <c:pt idx="40">
                  <c:v>289.72968166459179</c:v>
                </c:pt>
                <c:pt idx="41">
                  <c:v>283.62465384517662</c:v>
                </c:pt>
                <c:pt idx="42">
                  <c:v>252.59647874799921</c:v>
                </c:pt>
                <c:pt idx="43">
                  <c:v>231.19331317801877</c:v>
                </c:pt>
                <c:pt idx="44">
                  <c:v>247.09356977719054</c:v>
                </c:pt>
                <c:pt idx="45">
                  <c:v>222.94530118645349</c:v>
                </c:pt>
                <c:pt idx="46">
                  <c:v>213.70900129569867</c:v>
                </c:pt>
                <c:pt idx="47">
                  <c:v>207.98633164807794</c:v>
                </c:pt>
                <c:pt idx="48">
                  <c:v>247.20281496913174</c:v>
                </c:pt>
                <c:pt idx="49">
                  <c:v>234.70948400701189</c:v>
                </c:pt>
                <c:pt idx="50">
                  <c:v>225.07050125758988</c:v>
                </c:pt>
                <c:pt idx="51">
                  <c:v>249.09936231294927</c:v>
                </c:pt>
                <c:pt idx="52">
                  <c:v>252.46309799039648</c:v>
                </c:pt>
                <c:pt idx="53">
                  <c:v>237.60575188638489</c:v>
                </c:pt>
                <c:pt idx="54">
                  <c:v>277.77622519753044</c:v>
                </c:pt>
                <c:pt idx="55">
                  <c:v>245.50189273646495</c:v>
                </c:pt>
                <c:pt idx="56">
                  <c:v>226.59231218719029</c:v>
                </c:pt>
                <c:pt idx="57">
                  <c:v>228.88265033916809</c:v>
                </c:pt>
                <c:pt idx="58">
                  <c:v>207.87454587027759</c:v>
                </c:pt>
                <c:pt idx="59">
                  <c:v>204.9706562333273</c:v>
                </c:pt>
                <c:pt idx="60">
                  <c:v>179.84553237976669</c:v>
                </c:pt>
                <c:pt idx="61">
                  <c:v>197.22695053479325</c:v>
                </c:pt>
                <c:pt idx="62">
                  <c:v>212.4857092045425</c:v>
                </c:pt>
                <c:pt idx="63">
                  <c:v>229.81250476359844</c:v>
                </c:pt>
                <c:pt idx="64">
                  <c:v>246.40507100937469</c:v>
                </c:pt>
                <c:pt idx="65">
                  <c:v>274.48235563120852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7B9C-4600-82DD-6CAD5C961398}"/>
            </c:ext>
          </c:extLst>
        </c:ser>
        <c:ser>
          <c:idx val="17"/>
          <c:order val="17"/>
          <c:tx>
            <c:strRef>
              <c:f>중분류_수익률!$B$49</c:f>
              <c:strCache>
                <c:ptCount val="1"/>
                <c:pt idx="0">
                  <c:v>증권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중분류_수익률!$C$31:$BP$31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중분류_수익률!$C$49:$BP$49</c:f>
              <c:numCache>
                <c:formatCode>General</c:formatCode>
                <c:ptCount val="66"/>
                <c:pt idx="0">
                  <c:v>100</c:v>
                </c:pt>
                <c:pt idx="1">
                  <c:v>102.86123032904149</c:v>
                </c:pt>
                <c:pt idx="2">
                  <c:v>81.466459148862597</c:v>
                </c:pt>
                <c:pt idx="3">
                  <c:v>113.54525303023158</c:v>
                </c:pt>
                <c:pt idx="4">
                  <c:v>142.53957773271077</c:v>
                </c:pt>
                <c:pt idx="5">
                  <c:v>105.02444622616295</c:v>
                </c:pt>
                <c:pt idx="6">
                  <c:v>101.46362936062506</c:v>
                </c:pt>
                <c:pt idx="7">
                  <c:v>93.934820544262593</c:v>
                </c:pt>
                <c:pt idx="8">
                  <c:v>71.804304422330176</c:v>
                </c:pt>
                <c:pt idx="9">
                  <c:v>75.07428194123473</c:v>
                </c:pt>
                <c:pt idx="10">
                  <c:v>88.624251285195484</c:v>
                </c:pt>
                <c:pt idx="11">
                  <c:v>71.066987376000242</c:v>
                </c:pt>
                <c:pt idx="12">
                  <c:v>77.644672923642872</c:v>
                </c:pt>
                <c:pt idx="13">
                  <c:v>58.252762973793018</c:v>
                </c:pt>
                <c:pt idx="14">
                  <c:v>57.241899731170122</c:v>
                </c:pt>
                <c:pt idx="15">
                  <c:v>58.50744391516924</c:v>
                </c:pt>
                <c:pt idx="16">
                  <c:v>95.720731343048939</c:v>
                </c:pt>
                <c:pt idx="17">
                  <c:v>85.176625949158122</c:v>
                </c:pt>
                <c:pt idx="18">
                  <c:v>107.23325315599993</c:v>
                </c:pt>
                <c:pt idx="19">
                  <c:v>176.9340816551117</c:v>
                </c:pt>
                <c:pt idx="20">
                  <c:v>190.72301089468473</c:v>
                </c:pt>
                <c:pt idx="21">
                  <c:v>163.8022921284724</c:v>
                </c:pt>
                <c:pt idx="22">
                  <c:v>177.58493294973982</c:v>
                </c:pt>
                <c:pt idx="23">
                  <c:v>189.47318775644959</c:v>
                </c:pt>
                <c:pt idx="24">
                  <c:v>185.29453379238791</c:v>
                </c:pt>
                <c:pt idx="25">
                  <c:v>241.85728434655479</c:v>
                </c:pt>
                <c:pt idx="26">
                  <c:v>300.29241145120977</c:v>
                </c:pt>
                <c:pt idx="27">
                  <c:v>290.45260890754457</c:v>
                </c:pt>
                <c:pt idx="28">
                  <c:v>257.27805813642726</c:v>
                </c:pt>
                <c:pt idx="29">
                  <c:v>235.80468172742854</c:v>
                </c:pt>
                <c:pt idx="30">
                  <c:v>181.32811394613972</c:v>
                </c:pt>
                <c:pt idx="31">
                  <c:v>133.65718687607099</c:v>
                </c:pt>
                <c:pt idx="32">
                  <c:v>141.00991997987708</c:v>
                </c:pt>
                <c:pt idx="33">
                  <c:v>200.30656039239733</c:v>
                </c:pt>
                <c:pt idx="34">
                  <c:v>214.25741640333916</c:v>
                </c:pt>
                <c:pt idx="35">
                  <c:v>174.37783961389113</c:v>
                </c:pt>
                <c:pt idx="36">
                  <c:v>174.82431731358773</c:v>
                </c:pt>
                <c:pt idx="37">
                  <c:v>160.98508072757002</c:v>
                </c:pt>
                <c:pt idx="38">
                  <c:v>175.90120894841931</c:v>
                </c:pt>
                <c:pt idx="39">
                  <c:v>184.08401326856267</c:v>
                </c:pt>
                <c:pt idx="40">
                  <c:v>190.85192346994924</c:v>
                </c:pt>
                <c:pt idx="41">
                  <c:v>171.98352434403938</c:v>
                </c:pt>
                <c:pt idx="42">
                  <c:v>152.92647266896194</c:v>
                </c:pt>
                <c:pt idx="43">
                  <c:v>123.5061076262793</c:v>
                </c:pt>
                <c:pt idx="44">
                  <c:v>158.04367306513228</c:v>
                </c:pt>
                <c:pt idx="45">
                  <c:v>127.70834315898695</c:v>
                </c:pt>
                <c:pt idx="46">
                  <c:v>126.24785800751465</c:v>
                </c:pt>
                <c:pt idx="47">
                  <c:v>126.2667232624314</c:v>
                </c:pt>
                <c:pt idx="48">
                  <c:v>145.74824317313588</c:v>
                </c:pt>
                <c:pt idx="49">
                  <c:v>139.83241365215613</c:v>
                </c:pt>
                <c:pt idx="50">
                  <c:v>116.12664874467447</c:v>
                </c:pt>
                <c:pt idx="51">
                  <c:v>118.52253611910261</c:v>
                </c:pt>
                <c:pt idx="52">
                  <c:v>112.41490983980252</c:v>
                </c:pt>
                <c:pt idx="53">
                  <c:v>113.7040355924476</c:v>
                </c:pt>
                <c:pt idx="54">
                  <c:v>146.49184863777137</c:v>
                </c:pt>
                <c:pt idx="55">
                  <c:v>146.15070194469334</c:v>
                </c:pt>
                <c:pt idx="56">
                  <c:v>149.10311433916581</c:v>
                </c:pt>
                <c:pt idx="57">
                  <c:v>181.43658916191103</c:v>
                </c:pt>
                <c:pt idx="58">
                  <c:v>151.34807967425994</c:v>
                </c:pt>
                <c:pt idx="59">
                  <c:v>136.39893725730636</c:v>
                </c:pt>
                <c:pt idx="60">
                  <c:v>120.74549199012716</c:v>
                </c:pt>
                <c:pt idx="61">
                  <c:v>121.92771463157729</c:v>
                </c:pt>
                <c:pt idx="62">
                  <c:v>123.06906255404108</c:v>
                </c:pt>
                <c:pt idx="63">
                  <c:v>115.4113411624141</c:v>
                </c:pt>
                <c:pt idx="64">
                  <c:v>132.25644169850176</c:v>
                </c:pt>
                <c:pt idx="65">
                  <c:v>154.76269081419292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7B9C-4600-82DD-6CAD5C961398}"/>
            </c:ext>
          </c:extLst>
        </c:ser>
        <c:ser>
          <c:idx val="18"/>
          <c:order val="18"/>
          <c:tx>
            <c:strRef>
              <c:f>중분류_수익률!$B$50</c:f>
              <c:strCache>
                <c:ptCount val="1"/>
                <c:pt idx="0">
                  <c:v>다각화된금융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중분류_수익률!$C$31:$BP$31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중분류_수익률!$C$50:$BP$50</c:f>
              <c:numCache>
                <c:formatCode>General</c:formatCode>
                <c:ptCount val="66"/>
                <c:pt idx="0">
                  <c:v>100</c:v>
                </c:pt>
                <c:pt idx="1">
                  <c:v>96.815539313670143</c:v>
                </c:pt>
                <c:pt idx="2">
                  <c:v>88.836840258174774</c:v>
                </c:pt>
                <c:pt idx="3">
                  <c:v>98.098783893068031</c:v>
                </c:pt>
                <c:pt idx="4">
                  <c:v>115.87805361856661</c:v>
                </c:pt>
                <c:pt idx="5">
                  <c:v>97.16343439583747</c:v>
                </c:pt>
                <c:pt idx="6">
                  <c:v>76.745960297236678</c:v>
                </c:pt>
                <c:pt idx="7">
                  <c:v>61.429421548133114</c:v>
                </c:pt>
                <c:pt idx="8">
                  <c:v>44.597708164853437</c:v>
                </c:pt>
                <c:pt idx="9">
                  <c:v>34.899369821627474</c:v>
                </c:pt>
                <c:pt idx="10">
                  <c:v>42.812457085310577</c:v>
                </c:pt>
                <c:pt idx="11">
                  <c:v>20.815722416344961</c:v>
                </c:pt>
                <c:pt idx="12">
                  <c:v>11.448494743427375</c:v>
                </c:pt>
                <c:pt idx="13">
                  <c:v>11.205883699284371</c:v>
                </c:pt>
                <c:pt idx="14">
                  <c:v>10.085905671605349</c:v>
                </c:pt>
                <c:pt idx="15">
                  <c:v>11.445443032180293</c:v>
                </c:pt>
                <c:pt idx="16">
                  <c:v>19.556891526923714</c:v>
                </c:pt>
                <c:pt idx="17">
                  <c:v>20.893541053145544</c:v>
                </c:pt>
                <c:pt idx="18">
                  <c:v>19.892579764102713</c:v>
                </c:pt>
                <c:pt idx="19">
                  <c:v>31.685917878450326</c:v>
                </c:pt>
                <c:pt idx="20">
                  <c:v>30.774982071196408</c:v>
                </c:pt>
                <c:pt idx="21">
                  <c:v>29.627538642293651</c:v>
                </c:pt>
                <c:pt idx="22">
                  <c:v>34.983291880922209</c:v>
                </c:pt>
                <c:pt idx="23">
                  <c:v>36.532035338816222</c:v>
                </c:pt>
                <c:pt idx="24">
                  <c:v>37.305644139951461</c:v>
                </c:pt>
                <c:pt idx="25">
                  <c:v>32.371027053420192</c:v>
                </c:pt>
                <c:pt idx="26">
                  <c:v>32.259639592901706</c:v>
                </c:pt>
                <c:pt idx="27">
                  <c:v>30.51253490394738</c:v>
                </c:pt>
                <c:pt idx="28">
                  <c:v>27.637822909196323</c:v>
                </c:pt>
                <c:pt idx="29">
                  <c:v>27.537116438042627</c:v>
                </c:pt>
                <c:pt idx="30">
                  <c:v>20.803515571356634</c:v>
                </c:pt>
                <c:pt idx="31">
                  <c:v>16.262569235698916</c:v>
                </c:pt>
                <c:pt idx="32">
                  <c:v>13.673192242550009</c:v>
                </c:pt>
                <c:pt idx="33">
                  <c:v>21.799899293528846</c:v>
                </c:pt>
                <c:pt idx="34">
                  <c:v>23.202160611562931</c:v>
                </c:pt>
                <c:pt idx="35">
                  <c:v>21.967743412118342</c:v>
                </c:pt>
                <c:pt idx="36">
                  <c:v>22.440758655416023</c:v>
                </c:pt>
                <c:pt idx="37">
                  <c:v>20.834032683827452</c:v>
                </c:pt>
                <c:pt idx="38">
                  <c:v>22.034881059554142</c:v>
                </c:pt>
                <c:pt idx="39">
                  <c:v>25.107954285365516</c:v>
                </c:pt>
                <c:pt idx="40">
                  <c:v>21.642736164304132</c:v>
                </c:pt>
                <c:pt idx="41">
                  <c:v>21.516090147550237</c:v>
                </c:pt>
                <c:pt idx="42">
                  <c:v>20.733326212673756</c:v>
                </c:pt>
                <c:pt idx="43">
                  <c:v>17.083479561163919</c:v>
                </c:pt>
                <c:pt idx="44">
                  <c:v>18.090544272700917</c:v>
                </c:pt>
                <c:pt idx="45">
                  <c:v>14.556662648580192</c:v>
                </c:pt>
                <c:pt idx="46">
                  <c:v>15.870424340448908</c:v>
                </c:pt>
                <c:pt idx="47">
                  <c:v>15.574408349481972</c:v>
                </c:pt>
                <c:pt idx="48">
                  <c:v>17.020919480598746</c:v>
                </c:pt>
                <c:pt idx="49">
                  <c:v>17.889131330393518</c:v>
                </c:pt>
                <c:pt idx="50">
                  <c:v>16.534171536689197</c:v>
                </c:pt>
                <c:pt idx="51">
                  <c:v>17.03465218121061</c:v>
                </c:pt>
                <c:pt idx="52">
                  <c:v>15.720890489341896</c:v>
                </c:pt>
                <c:pt idx="53">
                  <c:v>17.005660924363337</c:v>
                </c:pt>
                <c:pt idx="54">
                  <c:v>21.032393914887773</c:v>
                </c:pt>
                <c:pt idx="55">
                  <c:v>20.861498085051192</c:v>
                </c:pt>
                <c:pt idx="56">
                  <c:v>18.499473579809877</c:v>
                </c:pt>
                <c:pt idx="57">
                  <c:v>20.890489341898469</c:v>
                </c:pt>
                <c:pt idx="58">
                  <c:v>19.079298716755424</c:v>
                </c:pt>
                <c:pt idx="59">
                  <c:v>17.217754856035526</c:v>
                </c:pt>
                <c:pt idx="60">
                  <c:v>17.435952210201872</c:v>
                </c:pt>
                <c:pt idx="61">
                  <c:v>19.44245235515816</c:v>
                </c:pt>
                <c:pt idx="62">
                  <c:v>21.409280253902381</c:v>
                </c:pt>
                <c:pt idx="63">
                  <c:v>20.27404366998795</c:v>
                </c:pt>
                <c:pt idx="64">
                  <c:v>20.806567282603726</c:v>
                </c:pt>
                <c:pt idx="65">
                  <c:v>21.140729664159185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7B9C-4600-82DD-6CAD5C961398}"/>
            </c:ext>
          </c:extLst>
        </c:ser>
        <c:ser>
          <c:idx val="19"/>
          <c:order val="19"/>
          <c:tx>
            <c:strRef>
              <c:f>중분류_수익률!$B$51</c:f>
              <c:strCache>
                <c:ptCount val="1"/>
                <c:pt idx="0">
                  <c:v>보험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중분류_수익률!$C$31:$BP$31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중분류_수익률!$C$51:$BP$51</c:f>
              <c:numCache>
                <c:formatCode>General</c:formatCode>
                <c:ptCount val="66"/>
                <c:pt idx="0">
                  <c:v>100</c:v>
                </c:pt>
                <c:pt idx="1">
                  <c:v>115.1446059470977</c:v>
                </c:pt>
                <c:pt idx="2">
                  <c:v>111.5739044284299</c:v>
                </c:pt>
                <c:pt idx="3">
                  <c:v>161.66415591113284</c:v>
                </c:pt>
                <c:pt idx="4">
                  <c:v>205.60780641396252</c:v>
                </c:pt>
                <c:pt idx="5">
                  <c:v>223.7354613682939</c:v>
                </c:pt>
                <c:pt idx="6">
                  <c:v>232.33717411071754</c:v>
                </c:pt>
                <c:pt idx="7">
                  <c:v>209.24908052060854</c:v>
                </c:pt>
                <c:pt idx="8">
                  <c:v>160.34227705169442</c:v>
                </c:pt>
                <c:pt idx="9">
                  <c:v>188.06101814529811</c:v>
                </c:pt>
                <c:pt idx="10">
                  <c:v>196.12393632181099</c:v>
                </c:pt>
                <c:pt idx="11">
                  <c:v>200.64058195241779</c:v>
                </c:pt>
                <c:pt idx="12">
                  <c:v>229.21026559722051</c:v>
                </c:pt>
                <c:pt idx="13">
                  <c:v>225.41291749793032</c:v>
                </c:pt>
                <c:pt idx="14">
                  <c:v>206.74103931707447</c:v>
                </c:pt>
                <c:pt idx="15">
                  <c:v>238.76470827735025</c:v>
                </c:pt>
                <c:pt idx="16">
                  <c:v>267.48096575872319</c:v>
                </c:pt>
                <c:pt idx="17">
                  <c:v>250.15946690552772</c:v>
                </c:pt>
                <c:pt idx="18">
                  <c:v>341.05288872602904</c:v>
                </c:pt>
                <c:pt idx="19">
                  <c:v>417.38121411994621</c:v>
                </c:pt>
                <c:pt idx="20">
                  <c:v>463.52754366678874</c:v>
                </c:pt>
                <c:pt idx="21">
                  <c:v>502.95726286931853</c:v>
                </c:pt>
                <c:pt idx="22">
                  <c:v>489.2105370302512</c:v>
                </c:pt>
                <c:pt idx="23">
                  <c:v>524.48190220267907</c:v>
                </c:pt>
                <c:pt idx="24">
                  <c:v>583.08157919737255</c:v>
                </c:pt>
                <c:pt idx="25">
                  <c:v>614.08737429257769</c:v>
                </c:pt>
                <c:pt idx="26">
                  <c:v>728.37289469755581</c:v>
                </c:pt>
                <c:pt idx="27">
                  <c:v>850.91676506114038</c:v>
                </c:pt>
                <c:pt idx="28">
                  <c:v>711.7801935317508</c:v>
                </c:pt>
                <c:pt idx="29">
                  <c:v>824.40997244954735</c:v>
                </c:pt>
                <c:pt idx="30">
                  <c:v>701.81181547982567</c:v>
                </c:pt>
                <c:pt idx="31">
                  <c:v>576.27811028324027</c:v>
                </c:pt>
                <c:pt idx="32">
                  <c:v>495.21056417355425</c:v>
                </c:pt>
                <c:pt idx="33">
                  <c:v>619.18895810431172</c:v>
                </c:pt>
                <c:pt idx="34">
                  <c:v>777.58098883053071</c:v>
                </c:pt>
                <c:pt idx="35">
                  <c:v>710.15566684309806</c:v>
                </c:pt>
                <c:pt idx="36">
                  <c:v>670.72051897995459</c:v>
                </c:pt>
                <c:pt idx="37">
                  <c:v>654.56482499355332</c:v>
                </c:pt>
                <c:pt idx="38">
                  <c:v>677.162981963275</c:v>
                </c:pt>
                <c:pt idx="39">
                  <c:v>653.2578749508026</c:v>
                </c:pt>
                <c:pt idx="40">
                  <c:v>734.53171016380963</c:v>
                </c:pt>
                <c:pt idx="41">
                  <c:v>678.82279494591683</c:v>
                </c:pt>
                <c:pt idx="42">
                  <c:v>703.91677863279165</c:v>
                </c:pt>
                <c:pt idx="43">
                  <c:v>695.3964957995737</c:v>
                </c:pt>
                <c:pt idx="44">
                  <c:v>700.95408710285938</c:v>
                </c:pt>
                <c:pt idx="45">
                  <c:v>689.54847115345456</c:v>
                </c:pt>
                <c:pt idx="46">
                  <c:v>722.22357938737559</c:v>
                </c:pt>
                <c:pt idx="47">
                  <c:v>699.34856072635478</c:v>
                </c:pt>
                <c:pt idx="48">
                  <c:v>732.60182131563579</c:v>
                </c:pt>
                <c:pt idx="49">
                  <c:v>744.39151500346054</c:v>
                </c:pt>
                <c:pt idx="50">
                  <c:v>753.94052902297665</c:v>
                </c:pt>
                <c:pt idx="51">
                  <c:v>785.5733344190653</c:v>
                </c:pt>
                <c:pt idx="52">
                  <c:v>747.7287841157389</c:v>
                </c:pt>
                <c:pt idx="53">
                  <c:v>765.53479092870805</c:v>
                </c:pt>
                <c:pt idx="54">
                  <c:v>820.88405738094275</c:v>
                </c:pt>
                <c:pt idx="55">
                  <c:v>878.35050147252423</c:v>
                </c:pt>
                <c:pt idx="56">
                  <c:v>760.407420979059</c:v>
                </c:pt>
                <c:pt idx="57">
                  <c:v>855.51212627064604</c:v>
                </c:pt>
                <c:pt idx="58">
                  <c:v>793.0920293690541</c:v>
                </c:pt>
                <c:pt idx="59">
                  <c:v>851.88849531099459</c:v>
                </c:pt>
                <c:pt idx="60">
                  <c:v>864.90642346267134</c:v>
                </c:pt>
                <c:pt idx="61">
                  <c:v>832.35753158801913</c:v>
                </c:pt>
                <c:pt idx="62">
                  <c:v>804.86543707503768</c:v>
                </c:pt>
                <c:pt idx="63">
                  <c:v>875.54252677008265</c:v>
                </c:pt>
                <c:pt idx="64">
                  <c:v>795.07620482336483</c:v>
                </c:pt>
                <c:pt idx="65">
                  <c:v>900.73422634800431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7B9C-4600-82DD-6CAD5C961398}"/>
            </c:ext>
          </c:extLst>
        </c:ser>
        <c:ser>
          <c:idx val="20"/>
          <c:order val="20"/>
          <c:tx>
            <c:strRef>
              <c:f>중분류_수익률!$B$52</c:f>
              <c:strCache>
                <c:ptCount val="1"/>
                <c:pt idx="0">
                  <c:v>부동산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중분류_수익률!$C$31:$BP$31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중분류_수익률!$C$52:$BP$52</c:f>
              <c:numCache>
                <c:formatCode>General</c:formatCode>
                <c:ptCount val="66"/>
                <c:pt idx="0">
                  <c:v>100</c:v>
                </c:pt>
                <c:pt idx="1">
                  <c:v>116.33666633666633</c:v>
                </c:pt>
                <c:pt idx="2">
                  <c:v>81.849981849981845</c:v>
                </c:pt>
                <c:pt idx="3">
                  <c:v>87.077187077187062</c:v>
                </c:pt>
                <c:pt idx="4">
                  <c:v>69.443069443069433</c:v>
                </c:pt>
                <c:pt idx="5">
                  <c:v>64.411664411664404</c:v>
                </c:pt>
                <c:pt idx="6">
                  <c:v>56.318956318956317</c:v>
                </c:pt>
                <c:pt idx="7">
                  <c:v>48.618948618948615</c:v>
                </c:pt>
                <c:pt idx="8">
                  <c:v>38.701338701338699</c:v>
                </c:pt>
                <c:pt idx="9">
                  <c:v>40.517440517440512</c:v>
                </c:pt>
                <c:pt idx="10">
                  <c:v>48.524348524348525</c:v>
                </c:pt>
                <c:pt idx="11">
                  <c:v>47.253847253847255</c:v>
                </c:pt>
                <c:pt idx="12">
                  <c:v>40.214390214390214</c:v>
                </c:pt>
                <c:pt idx="13">
                  <c:v>37.894487894487895</c:v>
                </c:pt>
                <c:pt idx="14">
                  <c:v>37.067837067837075</c:v>
                </c:pt>
                <c:pt idx="15">
                  <c:v>45.190795190795193</c:v>
                </c:pt>
                <c:pt idx="16">
                  <c:v>54.517704517704523</c:v>
                </c:pt>
                <c:pt idx="17">
                  <c:v>49.780549780549784</c:v>
                </c:pt>
                <c:pt idx="18">
                  <c:v>58.452958452958455</c:v>
                </c:pt>
                <c:pt idx="19">
                  <c:v>98.489698489698497</c:v>
                </c:pt>
                <c:pt idx="20">
                  <c:v>130.04818004818006</c:v>
                </c:pt>
                <c:pt idx="21">
                  <c:v>86.924836924836924</c:v>
                </c:pt>
                <c:pt idx="22">
                  <c:v>77.283327283327282</c:v>
                </c:pt>
                <c:pt idx="23">
                  <c:v>94.241494241494223</c:v>
                </c:pt>
                <c:pt idx="24">
                  <c:v>85.29463529463527</c:v>
                </c:pt>
                <c:pt idx="25">
                  <c:v>92.38689238689237</c:v>
                </c:pt>
                <c:pt idx="26">
                  <c:v>127.27067727067727</c:v>
                </c:pt>
                <c:pt idx="27">
                  <c:v>90.4035904035904</c:v>
                </c:pt>
                <c:pt idx="28">
                  <c:v>102.9089529089529</c:v>
                </c:pt>
                <c:pt idx="29">
                  <c:v>103.02720302720303</c:v>
                </c:pt>
                <c:pt idx="30">
                  <c:v>77.66887766887767</c:v>
                </c:pt>
                <c:pt idx="31">
                  <c:v>45.97179597179597</c:v>
                </c:pt>
                <c:pt idx="32">
                  <c:v>57.796807796807784</c:v>
                </c:pt>
                <c:pt idx="33">
                  <c:v>74.079574079574073</c:v>
                </c:pt>
                <c:pt idx="34">
                  <c:v>73.125873125873113</c:v>
                </c:pt>
                <c:pt idx="35">
                  <c:v>59.272459272459265</c:v>
                </c:pt>
                <c:pt idx="36">
                  <c:v>72.615472615472598</c:v>
                </c:pt>
                <c:pt idx="37">
                  <c:v>84.699534699534681</c:v>
                </c:pt>
                <c:pt idx="38">
                  <c:v>69.593219593219573</c:v>
                </c:pt>
                <c:pt idx="39">
                  <c:v>68.029018029018019</c:v>
                </c:pt>
                <c:pt idx="40">
                  <c:v>79.13242913242911</c:v>
                </c:pt>
                <c:pt idx="41">
                  <c:v>64.695464695464679</c:v>
                </c:pt>
                <c:pt idx="42">
                  <c:v>78.021978021978001</c:v>
                </c:pt>
                <c:pt idx="43">
                  <c:v>78.361328361328347</c:v>
                </c:pt>
                <c:pt idx="44">
                  <c:v>99.874599874599866</c:v>
                </c:pt>
                <c:pt idx="45">
                  <c:v>120.04697004697003</c:v>
                </c:pt>
                <c:pt idx="46">
                  <c:v>104.69590469590469</c:v>
                </c:pt>
                <c:pt idx="47">
                  <c:v>108.39245839245839</c:v>
                </c:pt>
                <c:pt idx="48">
                  <c:v>121.96207196207196</c:v>
                </c:pt>
                <c:pt idx="49">
                  <c:v>143.56774356774361</c:v>
                </c:pt>
                <c:pt idx="50">
                  <c:v>154.1470041470042</c:v>
                </c:pt>
                <c:pt idx="51">
                  <c:v>162.00156200156206</c:v>
                </c:pt>
                <c:pt idx="52">
                  <c:v>183.09188309188315</c:v>
                </c:pt>
                <c:pt idx="53">
                  <c:v>242.4204424204425</c:v>
                </c:pt>
                <c:pt idx="54">
                  <c:v>272.71007271007278</c:v>
                </c:pt>
                <c:pt idx="55">
                  <c:v>228.55327855327863</c:v>
                </c:pt>
                <c:pt idx="56">
                  <c:v>251.84305184305194</c:v>
                </c:pt>
                <c:pt idx="57">
                  <c:v>234.06813406813413</c:v>
                </c:pt>
                <c:pt idx="58">
                  <c:v>241.97934197934208</c:v>
                </c:pt>
                <c:pt idx="59">
                  <c:v>227.95322795322809</c:v>
                </c:pt>
                <c:pt idx="60">
                  <c:v>247.41059741059752</c:v>
                </c:pt>
                <c:pt idx="61">
                  <c:v>241.57399157399169</c:v>
                </c:pt>
                <c:pt idx="62">
                  <c:v>196.43874643874656</c:v>
                </c:pt>
                <c:pt idx="63">
                  <c:v>195.52299552299564</c:v>
                </c:pt>
                <c:pt idx="64">
                  <c:v>203.98970398970411</c:v>
                </c:pt>
                <c:pt idx="65">
                  <c:v>223.28812328812344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7B9C-4600-82DD-6CAD5C961398}"/>
            </c:ext>
          </c:extLst>
        </c:ser>
        <c:ser>
          <c:idx val="21"/>
          <c:order val="21"/>
          <c:tx>
            <c:strRef>
              <c:f>중분류_수익률!$B$53</c:f>
              <c:strCache>
                <c:ptCount val="1"/>
                <c:pt idx="0">
                  <c:v>기타금융서비스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중분류_수익률!$C$31:$BP$31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중분류_수익률!$C$53:$BP$53</c:f>
              <c:numCache>
                <c:formatCode>General</c:formatCode>
                <c:ptCount val="66"/>
                <c:pt idx="0">
                  <c:v>100</c:v>
                </c:pt>
                <c:pt idx="1">
                  <c:v>106.7012473755712</c:v>
                </c:pt>
                <c:pt idx="2">
                  <c:v>74.81042361368408</c:v>
                </c:pt>
                <c:pt idx="3">
                  <c:v>80.12350253180189</c:v>
                </c:pt>
                <c:pt idx="4">
                  <c:v>74.761022600963315</c:v>
                </c:pt>
                <c:pt idx="5">
                  <c:v>83.56428306780289</c:v>
                </c:pt>
                <c:pt idx="6">
                  <c:v>94.990737310114866</c:v>
                </c:pt>
                <c:pt idx="7">
                  <c:v>73.881684574533793</c:v>
                </c:pt>
                <c:pt idx="8">
                  <c:v>57.79424478201804</c:v>
                </c:pt>
                <c:pt idx="9">
                  <c:v>69.359021859948143</c:v>
                </c:pt>
                <c:pt idx="10">
                  <c:v>80.202544152155127</c:v>
                </c:pt>
                <c:pt idx="11">
                  <c:v>95.255032728170946</c:v>
                </c:pt>
                <c:pt idx="12">
                  <c:v>99.765345189576394</c:v>
                </c:pt>
                <c:pt idx="13">
                  <c:v>77.828825490922569</c:v>
                </c:pt>
                <c:pt idx="14">
                  <c:v>79.943188835371117</c:v>
                </c:pt>
                <c:pt idx="15">
                  <c:v>80.518710633567991</c:v>
                </c:pt>
                <c:pt idx="16">
                  <c:v>97.574410275410642</c:v>
                </c:pt>
                <c:pt idx="17">
                  <c:v>89.660368037544771</c:v>
                </c:pt>
                <c:pt idx="18">
                  <c:v>88.622946770408802</c:v>
                </c:pt>
                <c:pt idx="19">
                  <c:v>105.77003828578486</c:v>
                </c:pt>
                <c:pt idx="20">
                  <c:v>101.55119179943189</c:v>
                </c:pt>
                <c:pt idx="21">
                  <c:v>106.14301593182661</c:v>
                </c:pt>
                <c:pt idx="22">
                  <c:v>113.05174756082501</c:v>
                </c:pt>
                <c:pt idx="23">
                  <c:v>121.5783623564283</c:v>
                </c:pt>
                <c:pt idx="24">
                  <c:v>122.0056811164629</c:v>
                </c:pt>
                <c:pt idx="25">
                  <c:v>138.9082376188712</c:v>
                </c:pt>
                <c:pt idx="26">
                  <c:v>159.20217364455974</c:v>
                </c:pt>
                <c:pt idx="27">
                  <c:v>156.5369890082747</c:v>
                </c:pt>
                <c:pt idx="28">
                  <c:v>150.64591824132398</c:v>
                </c:pt>
                <c:pt idx="29">
                  <c:v>138.00666913671736</c:v>
                </c:pt>
                <c:pt idx="30">
                  <c:v>122.27491663579107</c:v>
                </c:pt>
                <c:pt idx="31">
                  <c:v>92.498456218352516</c:v>
                </c:pt>
                <c:pt idx="32">
                  <c:v>103.70013585278501</c:v>
                </c:pt>
                <c:pt idx="33">
                  <c:v>109.88267259478823</c:v>
                </c:pt>
                <c:pt idx="34">
                  <c:v>111.81919229344204</c:v>
                </c:pt>
                <c:pt idx="35">
                  <c:v>106.5752747931333</c:v>
                </c:pt>
                <c:pt idx="36">
                  <c:v>114.77337285414355</c:v>
                </c:pt>
                <c:pt idx="37">
                  <c:v>126.01210324811662</c:v>
                </c:pt>
                <c:pt idx="38">
                  <c:v>126.97789304680748</c:v>
                </c:pt>
                <c:pt idx="39">
                  <c:v>155.57860936149191</c:v>
                </c:pt>
                <c:pt idx="40">
                  <c:v>154.51648758799556</c:v>
                </c:pt>
                <c:pt idx="41">
                  <c:v>147.87699147832529</c:v>
                </c:pt>
                <c:pt idx="42">
                  <c:v>137.18661232555266</c:v>
                </c:pt>
                <c:pt idx="43">
                  <c:v>130.42608373471654</c:v>
                </c:pt>
                <c:pt idx="44">
                  <c:v>132.54538718043719</c:v>
                </c:pt>
                <c:pt idx="45">
                  <c:v>124.87340990490304</c:v>
                </c:pt>
                <c:pt idx="46">
                  <c:v>137.21625293318513</c:v>
                </c:pt>
                <c:pt idx="47">
                  <c:v>144.32752871433865</c:v>
                </c:pt>
                <c:pt idx="48">
                  <c:v>160.98308015314316</c:v>
                </c:pt>
                <c:pt idx="49">
                  <c:v>188.56119550450788</c:v>
                </c:pt>
                <c:pt idx="50">
                  <c:v>186.79757935037674</c:v>
                </c:pt>
                <c:pt idx="51">
                  <c:v>216.87538594541192</c:v>
                </c:pt>
                <c:pt idx="52">
                  <c:v>220.76571569717183</c:v>
                </c:pt>
                <c:pt idx="53">
                  <c:v>227.26194886995191</c:v>
                </c:pt>
                <c:pt idx="54">
                  <c:v>252.37248363591459</c:v>
                </c:pt>
                <c:pt idx="55">
                  <c:v>283.76188711868593</c:v>
                </c:pt>
                <c:pt idx="56">
                  <c:v>339.19723354328767</c:v>
                </c:pt>
                <c:pt idx="57">
                  <c:v>414.0644683216006</c:v>
                </c:pt>
                <c:pt idx="58">
                  <c:v>552.88378411757446</c:v>
                </c:pt>
                <c:pt idx="59">
                  <c:v>530.38903297517606</c:v>
                </c:pt>
                <c:pt idx="60">
                  <c:v>435.83549462763989</c:v>
                </c:pt>
                <c:pt idx="61">
                  <c:v>425.49339261454861</c:v>
                </c:pt>
                <c:pt idx="62">
                  <c:v>410.94973446955669</c:v>
                </c:pt>
                <c:pt idx="63">
                  <c:v>358.84648635297026</c:v>
                </c:pt>
                <c:pt idx="64">
                  <c:v>382.91959985179705</c:v>
                </c:pt>
                <c:pt idx="65">
                  <c:v>418.23391379523292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7B9C-4600-82DD-6CAD5C961398}"/>
            </c:ext>
          </c:extLst>
        </c:ser>
        <c:ser>
          <c:idx val="22"/>
          <c:order val="22"/>
          <c:tx>
            <c:strRef>
              <c:f>중분류_수익률!$B$54</c:f>
              <c:strCache>
                <c:ptCount val="1"/>
                <c:pt idx="0">
                  <c:v>소프트웨어와서비스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중분류_수익률!$C$31:$BP$31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중분류_수익률!$C$54:$BP$54</c:f>
              <c:numCache>
                <c:formatCode>General</c:formatCode>
                <c:ptCount val="66"/>
                <c:pt idx="0">
                  <c:v>100</c:v>
                </c:pt>
                <c:pt idx="1">
                  <c:v>109.73280731641711</c:v>
                </c:pt>
                <c:pt idx="2">
                  <c:v>75.979557069846663</c:v>
                </c:pt>
                <c:pt idx="3">
                  <c:v>77.64726979288082</c:v>
                </c:pt>
                <c:pt idx="4">
                  <c:v>75.732986640365809</c:v>
                </c:pt>
                <c:pt idx="5">
                  <c:v>57.271586120326361</c:v>
                </c:pt>
                <c:pt idx="6">
                  <c:v>43.324666009145517</c:v>
                </c:pt>
                <c:pt idx="7">
                  <c:v>36.250336232403832</c:v>
                </c:pt>
                <c:pt idx="8">
                  <c:v>32.040706536357924</c:v>
                </c:pt>
                <c:pt idx="9">
                  <c:v>51.564601452523974</c:v>
                </c:pt>
                <c:pt idx="10">
                  <c:v>54.227562090917232</c:v>
                </c:pt>
                <c:pt idx="11">
                  <c:v>45.476553393705721</c:v>
                </c:pt>
                <c:pt idx="12">
                  <c:v>42.674616695059619</c:v>
                </c:pt>
                <c:pt idx="13">
                  <c:v>44.369228010400782</c:v>
                </c:pt>
                <c:pt idx="14">
                  <c:v>37.761140500313815</c:v>
                </c:pt>
                <c:pt idx="15">
                  <c:v>36.039630592665645</c:v>
                </c:pt>
                <c:pt idx="16">
                  <c:v>39.90406168743835</c:v>
                </c:pt>
                <c:pt idx="17">
                  <c:v>40.249260288711547</c:v>
                </c:pt>
                <c:pt idx="18">
                  <c:v>43.091544875818158</c:v>
                </c:pt>
                <c:pt idx="19">
                  <c:v>70.90917241997667</c:v>
                </c:pt>
                <c:pt idx="20">
                  <c:v>69.102483636689669</c:v>
                </c:pt>
                <c:pt idx="21">
                  <c:v>67.264413162377821</c:v>
                </c:pt>
                <c:pt idx="22">
                  <c:v>62.476463731731371</c:v>
                </c:pt>
                <c:pt idx="23">
                  <c:v>69.075585044382677</c:v>
                </c:pt>
                <c:pt idx="24">
                  <c:v>73.356944319913907</c:v>
                </c:pt>
                <c:pt idx="25">
                  <c:v>92.275620909172403</c:v>
                </c:pt>
                <c:pt idx="26">
                  <c:v>91.365551869452148</c:v>
                </c:pt>
                <c:pt idx="27">
                  <c:v>103.93167757554019</c:v>
                </c:pt>
                <c:pt idx="28">
                  <c:v>87.684927822110623</c:v>
                </c:pt>
                <c:pt idx="29">
                  <c:v>84.717116470904671</c:v>
                </c:pt>
                <c:pt idx="30">
                  <c:v>61.848829911234638</c:v>
                </c:pt>
                <c:pt idx="31">
                  <c:v>45.203084371917861</c:v>
                </c:pt>
                <c:pt idx="32">
                  <c:v>51.59150004483098</c:v>
                </c:pt>
                <c:pt idx="33">
                  <c:v>84.829193938850523</c:v>
                </c:pt>
                <c:pt idx="34">
                  <c:v>72.841387967363033</c:v>
                </c:pt>
                <c:pt idx="35">
                  <c:v>77.763830359544514</c:v>
                </c:pt>
                <c:pt idx="36">
                  <c:v>81.202367076123011</c:v>
                </c:pt>
                <c:pt idx="37">
                  <c:v>82.690755850443821</c:v>
                </c:pt>
                <c:pt idx="38">
                  <c:v>88.299112346453882</c:v>
                </c:pt>
                <c:pt idx="39">
                  <c:v>91.513494127140689</c:v>
                </c:pt>
                <c:pt idx="40">
                  <c:v>88.137720792611859</c:v>
                </c:pt>
                <c:pt idx="41">
                  <c:v>94.544068860396322</c:v>
                </c:pt>
                <c:pt idx="42">
                  <c:v>108.03371290235813</c:v>
                </c:pt>
                <c:pt idx="43">
                  <c:v>116.30054693804361</c:v>
                </c:pt>
                <c:pt idx="44">
                  <c:v>110.90737918048957</c:v>
                </c:pt>
                <c:pt idx="45">
                  <c:v>103.74787052810905</c:v>
                </c:pt>
                <c:pt idx="46">
                  <c:v>114.14417645476557</c:v>
                </c:pt>
                <c:pt idx="47">
                  <c:v>101.41217609611766</c:v>
                </c:pt>
                <c:pt idx="48">
                  <c:v>104.29032547296694</c:v>
                </c:pt>
                <c:pt idx="49">
                  <c:v>115.35013000986284</c:v>
                </c:pt>
                <c:pt idx="50">
                  <c:v>103.49681699991037</c:v>
                </c:pt>
                <c:pt idx="51">
                  <c:v>134.11189814399714</c:v>
                </c:pt>
                <c:pt idx="52">
                  <c:v>147.49843091544878</c:v>
                </c:pt>
                <c:pt idx="53">
                  <c:v>140.99793777458981</c:v>
                </c:pt>
                <c:pt idx="54">
                  <c:v>150.78902537433876</c:v>
                </c:pt>
                <c:pt idx="55">
                  <c:v>154.78346633192862</c:v>
                </c:pt>
                <c:pt idx="56">
                  <c:v>146.71388863982784</c:v>
                </c:pt>
                <c:pt idx="57">
                  <c:v>149.67273379359816</c:v>
                </c:pt>
                <c:pt idx="58">
                  <c:v>138.24531516183987</c:v>
                </c:pt>
                <c:pt idx="59">
                  <c:v>144.38716040527211</c:v>
                </c:pt>
                <c:pt idx="60">
                  <c:v>127.50381063391016</c:v>
                </c:pt>
                <c:pt idx="61">
                  <c:v>142.5221913386533</c:v>
                </c:pt>
                <c:pt idx="62">
                  <c:v>146.06383932574195</c:v>
                </c:pt>
                <c:pt idx="63">
                  <c:v>134.68125168116202</c:v>
                </c:pt>
                <c:pt idx="64">
                  <c:v>136.25481933112167</c:v>
                </c:pt>
                <c:pt idx="65">
                  <c:v>152.00842822558951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7B9C-4600-82DD-6CAD5C961398}"/>
            </c:ext>
          </c:extLst>
        </c:ser>
        <c:ser>
          <c:idx val="23"/>
          <c:order val="23"/>
          <c:tx>
            <c:strRef>
              <c:f>중분류_수익률!$B$55</c:f>
              <c:strCache>
                <c:ptCount val="1"/>
                <c:pt idx="0">
                  <c:v>기술하드웨어와장비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중분류_수익률!$C$31:$BP$31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중분류_수익률!$C$55:$BP$55</c:f>
              <c:numCache>
                <c:formatCode>General</c:formatCode>
                <c:ptCount val="66"/>
                <c:pt idx="0">
                  <c:v>100</c:v>
                </c:pt>
                <c:pt idx="1">
                  <c:v>102.23073456511942</c:v>
                </c:pt>
                <c:pt idx="2">
                  <c:v>69.349932401982869</c:v>
                </c:pt>
                <c:pt idx="3">
                  <c:v>77.425078864353296</c:v>
                </c:pt>
                <c:pt idx="4">
                  <c:v>94.64285714285711</c:v>
                </c:pt>
                <c:pt idx="5">
                  <c:v>88.823794502027923</c:v>
                </c:pt>
                <c:pt idx="6">
                  <c:v>73.217102298332563</c:v>
                </c:pt>
                <c:pt idx="7">
                  <c:v>66.037629562866144</c:v>
                </c:pt>
                <c:pt idx="8">
                  <c:v>53.557345651194225</c:v>
                </c:pt>
                <c:pt idx="9">
                  <c:v>53.548895899053619</c:v>
                </c:pt>
                <c:pt idx="10">
                  <c:v>61.60714285714284</c:v>
                </c:pt>
                <c:pt idx="11">
                  <c:v>55.351509689049109</c:v>
                </c:pt>
                <c:pt idx="12">
                  <c:v>54.458652546191956</c:v>
                </c:pt>
                <c:pt idx="13">
                  <c:v>48.512843623253701</c:v>
                </c:pt>
                <c:pt idx="14">
                  <c:v>41.119310500225311</c:v>
                </c:pt>
                <c:pt idx="15">
                  <c:v>37.711243803515075</c:v>
                </c:pt>
                <c:pt idx="16">
                  <c:v>46.744028841820622</c:v>
                </c:pt>
                <c:pt idx="17">
                  <c:v>40.167305092383941</c:v>
                </c:pt>
                <c:pt idx="18">
                  <c:v>40.924966200991427</c:v>
                </c:pt>
                <c:pt idx="19">
                  <c:v>54.095313204145988</c:v>
                </c:pt>
                <c:pt idx="20">
                  <c:v>57.610410094637203</c:v>
                </c:pt>
                <c:pt idx="21">
                  <c:v>48.112888688598446</c:v>
                </c:pt>
                <c:pt idx="22">
                  <c:v>46.845425867507863</c:v>
                </c:pt>
                <c:pt idx="23">
                  <c:v>50.045065344749865</c:v>
                </c:pt>
                <c:pt idx="24">
                  <c:v>44.69637223974761</c:v>
                </c:pt>
                <c:pt idx="25">
                  <c:v>54.652996845425839</c:v>
                </c:pt>
                <c:pt idx="26">
                  <c:v>61.277602523659283</c:v>
                </c:pt>
                <c:pt idx="27">
                  <c:v>50.174628210905787</c:v>
                </c:pt>
                <c:pt idx="28">
                  <c:v>44.471045515998171</c:v>
                </c:pt>
                <c:pt idx="29">
                  <c:v>46.527151870211782</c:v>
                </c:pt>
                <c:pt idx="30">
                  <c:v>31.534474988733646</c:v>
                </c:pt>
                <c:pt idx="31">
                  <c:v>22.918544389364566</c:v>
                </c:pt>
                <c:pt idx="32">
                  <c:v>24.892969806219</c:v>
                </c:pt>
                <c:pt idx="33">
                  <c:v>42.17552951780079</c:v>
                </c:pt>
                <c:pt idx="34">
                  <c:v>46.400405588102721</c:v>
                </c:pt>
                <c:pt idx="35">
                  <c:v>45.113226678684065</c:v>
                </c:pt>
                <c:pt idx="36">
                  <c:v>48.811401532221694</c:v>
                </c:pt>
                <c:pt idx="37">
                  <c:v>54.453019378098219</c:v>
                </c:pt>
                <c:pt idx="38">
                  <c:v>49.746507435781858</c:v>
                </c:pt>
                <c:pt idx="39">
                  <c:v>52.070189274447927</c:v>
                </c:pt>
                <c:pt idx="40">
                  <c:v>50.368972510139685</c:v>
                </c:pt>
                <c:pt idx="41">
                  <c:v>43.102185669220347</c:v>
                </c:pt>
                <c:pt idx="42">
                  <c:v>34.300360522757984</c:v>
                </c:pt>
                <c:pt idx="43">
                  <c:v>38.175980171248291</c:v>
                </c:pt>
                <c:pt idx="44">
                  <c:v>44.121789094186553</c:v>
                </c:pt>
                <c:pt idx="45">
                  <c:v>42.848693105002233</c:v>
                </c:pt>
                <c:pt idx="46">
                  <c:v>43.859846777827833</c:v>
                </c:pt>
                <c:pt idx="47">
                  <c:v>46.738395673726885</c:v>
                </c:pt>
                <c:pt idx="48">
                  <c:v>48.338215412347893</c:v>
                </c:pt>
                <c:pt idx="49">
                  <c:v>53.140491212257757</c:v>
                </c:pt>
                <c:pt idx="50">
                  <c:v>45.076611086074799</c:v>
                </c:pt>
                <c:pt idx="51">
                  <c:v>42.637449301487145</c:v>
                </c:pt>
                <c:pt idx="52">
                  <c:v>38.804078413699855</c:v>
                </c:pt>
                <c:pt idx="53">
                  <c:v>37.646462370437121</c:v>
                </c:pt>
                <c:pt idx="54">
                  <c:v>34.903109508787729</c:v>
                </c:pt>
                <c:pt idx="55">
                  <c:v>34.091933303289757</c:v>
                </c:pt>
                <c:pt idx="56">
                  <c:v>40.015209553853069</c:v>
                </c:pt>
                <c:pt idx="57">
                  <c:v>37.302839116719227</c:v>
                </c:pt>
                <c:pt idx="58">
                  <c:v>36.474763406940049</c:v>
                </c:pt>
                <c:pt idx="59">
                  <c:v>39.739184317260012</c:v>
                </c:pt>
                <c:pt idx="60">
                  <c:v>36.587426768814773</c:v>
                </c:pt>
                <c:pt idx="61">
                  <c:v>37.291572780531759</c:v>
                </c:pt>
                <c:pt idx="62">
                  <c:v>37.567598017124823</c:v>
                </c:pt>
                <c:pt idx="63">
                  <c:v>33.277940513744923</c:v>
                </c:pt>
                <c:pt idx="64">
                  <c:v>36.733889139251907</c:v>
                </c:pt>
                <c:pt idx="65">
                  <c:v>41.082694907616037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7B9C-4600-82DD-6CAD5C961398}"/>
            </c:ext>
          </c:extLst>
        </c:ser>
        <c:ser>
          <c:idx val="24"/>
          <c:order val="24"/>
          <c:tx>
            <c:strRef>
              <c:f>중분류_수익률!$B$56</c:f>
              <c:strCache>
                <c:ptCount val="1"/>
                <c:pt idx="0">
                  <c:v>반도체와반도체장비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중분류_수익률!$C$31:$BP$31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중분류_수익률!$C$56:$BP$56</c:f>
              <c:numCache>
                <c:formatCode>General</c:formatCode>
                <c:ptCount val="66"/>
                <c:pt idx="0">
                  <c:v>100</c:v>
                </c:pt>
                <c:pt idx="1">
                  <c:v>112.27147360126082</c:v>
                </c:pt>
                <c:pt idx="2">
                  <c:v>90.338849487785652</c:v>
                </c:pt>
                <c:pt idx="3">
                  <c:v>107.38770685579195</c:v>
                </c:pt>
                <c:pt idx="4">
                  <c:v>163.23286052009456</c:v>
                </c:pt>
                <c:pt idx="5">
                  <c:v>158.2269503546099</c:v>
                </c:pt>
                <c:pt idx="6">
                  <c:v>153.48305752561069</c:v>
                </c:pt>
                <c:pt idx="7">
                  <c:v>174.40110323089041</c:v>
                </c:pt>
                <c:pt idx="8">
                  <c:v>124.27501970055158</c:v>
                </c:pt>
                <c:pt idx="9">
                  <c:v>142.78762805358545</c:v>
                </c:pt>
                <c:pt idx="10">
                  <c:v>194.44641449960594</c:v>
                </c:pt>
                <c:pt idx="11">
                  <c:v>204.32821118991328</c:v>
                </c:pt>
                <c:pt idx="12">
                  <c:v>239.9724192277383</c:v>
                </c:pt>
                <c:pt idx="13">
                  <c:v>225.83333333333329</c:v>
                </c:pt>
                <c:pt idx="14">
                  <c:v>201.03230890464931</c:v>
                </c:pt>
                <c:pt idx="15">
                  <c:v>194.47005516154451</c:v>
                </c:pt>
                <c:pt idx="16">
                  <c:v>239.81875492513788</c:v>
                </c:pt>
                <c:pt idx="17">
                  <c:v>223.88100866824271</c:v>
                </c:pt>
                <c:pt idx="18">
                  <c:v>252.4172576832151</c:v>
                </c:pt>
                <c:pt idx="19">
                  <c:v>276.18991331757286</c:v>
                </c:pt>
                <c:pt idx="20">
                  <c:v>323.57368006304176</c:v>
                </c:pt>
                <c:pt idx="21">
                  <c:v>290.18321513002365</c:v>
                </c:pt>
                <c:pt idx="22">
                  <c:v>310.90819542947207</c:v>
                </c:pt>
                <c:pt idx="23">
                  <c:v>304.84042553191489</c:v>
                </c:pt>
                <c:pt idx="24">
                  <c:v>270.83333333333337</c:v>
                </c:pt>
                <c:pt idx="25">
                  <c:v>257.40346729708432</c:v>
                </c:pt>
                <c:pt idx="26">
                  <c:v>287.7738376674547</c:v>
                </c:pt>
                <c:pt idx="27">
                  <c:v>263.40228526398738</c:v>
                </c:pt>
                <c:pt idx="28">
                  <c:v>258.72340425531917</c:v>
                </c:pt>
                <c:pt idx="29">
                  <c:v>337.58865248226954</c:v>
                </c:pt>
                <c:pt idx="30">
                  <c:v>232.15918045705286</c:v>
                </c:pt>
                <c:pt idx="31">
                  <c:v>200.73877068557923</c:v>
                </c:pt>
                <c:pt idx="32">
                  <c:v>199.93498817966906</c:v>
                </c:pt>
                <c:pt idx="33">
                  <c:v>240.12214342001576</c:v>
                </c:pt>
                <c:pt idx="34">
                  <c:v>336.79078014184398</c:v>
                </c:pt>
                <c:pt idx="35">
                  <c:v>310.47478329393226</c:v>
                </c:pt>
                <c:pt idx="36">
                  <c:v>325.88455476753353</c:v>
                </c:pt>
                <c:pt idx="37">
                  <c:v>347.32663514578405</c:v>
                </c:pt>
                <c:pt idx="38">
                  <c:v>331.84003152088258</c:v>
                </c:pt>
                <c:pt idx="39">
                  <c:v>363.47123719464145</c:v>
                </c:pt>
                <c:pt idx="40">
                  <c:v>410.95941686367223</c:v>
                </c:pt>
                <c:pt idx="41">
                  <c:v>403.70961386918833</c:v>
                </c:pt>
                <c:pt idx="42">
                  <c:v>324.86406619385338</c:v>
                </c:pt>
                <c:pt idx="43">
                  <c:v>427.5591016548463</c:v>
                </c:pt>
                <c:pt idx="44">
                  <c:v>516.65484633569736</c:v>
                </c:pt>
                <c:pt idx="45">
                  <c:v>501.63120567375887</c:v>
                </c:pt>
                <c:pt idx="46">
                  <c:v>506.87549251379039</c:v>
                </c:pt>
                <c:pt idx="47">
                  <c:v>571.91489361702133</c:v>
                </c:pt>
                <c:pt idx="48">
                  <c:v>626.8498817966904</c:v>
                </c:pt>
                <c:pt idx="49">
                  <c:v>637.88022064617826</c:v>
                </c:pt>
                <c:pt idx="50">
                  <c:v>565.13987391646981</c:v>
                </c:pt>
                <c:pt idx="51">
                  <c:v>623.24665090622557</c:v>
                </c:pt>
                <c:pt idx="52">
                  <c:v>577.37982663514606</c:v>
                </c:pt>
                <c:pt idx="53">
                  <c:v>623.49093774625726</c:v>
                </c:pt>
                <c:pt idx="54">
                  <c:v>550.90622537431079</c:v>
                </c:pt>
                <c:pt idx="55">
                  <c:v>575.37431048069379</c:v>
                </c:pt>
                <c:pt idx="56">
                  <c:v>601.75531914893656</c:v>
                </c:pt>
                <c:pt idx="57">
                  <c:v>598.21907013396412</c:v>
                </c:pt>
                <c:pt idx="58">
                  <c:v>486.21749408983482</c:v>
                </c:pt>
                <c:pt idx="59">
                  <c:v>547.44877856580013</c:v>
                </c:pt>
                <c:pt idx="60">
                  <c:v>508.91843971631232</c:v>
                </c:pt>
                <c:pt idx="61">
                  <c:v>548.80614657210424</c:v>
                </c:pt>
                <c:pt idx="62">
                  <c:v>680.0591016548467</c:v>
                </c:pt>
                <c:pt idx="63">
                  <c:v>733.52639873916507</c:v>
                </c:pt>
                <c:pt idx="64">
                  <c:v>804.20606776989791</c:v>
                </c:pt>
                <c:pt idx="65">
                  <c:v>940.61662726556369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7B9C-4600-82DD-6CAD5C961398}"/>
            </c:ext>
          </c:extLst>
        </c:ser>
        <c:ser>
          <c:idx val="25"/>
          <c:order val="25"/>
          <c:tx>
            <c:strRef>
              <c:f>중분류_수익률!$B$57</c:f>
              <c:strCache>
                <c:ptCount val="1"/>
                <c:pt idx="0">
                  <c:v>전자와 전기제품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중분류_수익률!$C$31:$BP$31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중분류_수익률!$C$57:$BP$57</c:f>
              <c:numCache>
                <c:formatCode>General</c:formatCode>
                <c:ptCount val="66"/>
                <c:pt idx="0">
                  <c:v>100</c:v>
                </c:pt>
                <c:pt idx="1">
                  <c:v>116.66520685527428</c:v>
                </c:pt>
                <c:pt idx="2">
                  <c:v>89.016379083822358</c:v>
                </c:pt>
                <c:pt idx="3">
                  <c:v>130.22393506758925</c:v>
                </c:pt>
                <c:pt idx="4">
                  <c:v>216.11631777174389</c:v>
                </c:pt>
                <c:pt idx="5">
                  <c:v>157.82604887448542</c:v>
                </c:pt>
                <c:pt idx="6">
                  <c:v>139.06747248255525</c:v>
                </c:pt>
                <c:pt idx="7">
                  <c:v>136.76972935096785</c:v>
                </c:pt>
                <c:pt idx="8">
                  <c:v>113.14998102245191</c:v>
                </c:pt>
                <c:pt idx="9">
                  <c:v>118.06370616916294</c:v>
                </c:pt>
                <c:pt idx="10">
                  <c:v>164.20834428191876</c:v>
                </c:pt>
                <c:pt idx="11">
                  <c:v>152.40722898601501</c:v>
                </c:pt>
                <c:pt idx="12">
                  <c:v>159.85226708709237</c:v>
                </c:pt>
                <c:pt idx="13">
                  <c:v>158.35450059852269</c:v>
                </c:pt>
                <c:pt idx="14">
                  <c:v>141.4557239204695</c:v>
                </c:pt>
                <c:pt idx="15">
                  <c:v>155.23342384163968</c:v>
                </c:pt>
                <c:pt idx="16">
                  <c:v>205.95895010364657</c:v>
                </c:pt>
                <c:pt idx="17">
                  <c:v>191.49221920527864</c:v>
                </c:pt>
                <c:pt idx="18">
                  <c:v>170.62275553998421</c:v>
                </c:pt>
                <c:pt idx="19">
                  <c:v>214.0258678578727</c:v>
                </c:pt>
                <c:pt idx="20">
                  <c:v>223.35406265510488</c:v>
                </c:pt>
                <c:pt idx="21">
                  <c:v>190.66596595719827</c:v>
                </c:pt>
                <c:pt idx="22">
                  <c:v>179.90131674987586</c:v>
                </c:pt>
                <c:pt idx="23">
                  <c:v>172.55846544626428</c:v>
                </c:pt>
                <c:pt idx="24">
                  <c:v>171.30010802604301</c:v>
                </c:pt>
                <c:pt idx="25">
                  <c:v>211.21135149338701</c:v>
                </c:pt>
                <c:pt idx="26">
                  <c:v>230.8341362295991</c:v>
                </c:pt>
                <c:pt idx="27">
                  <c:v>294.3592887798896</c:v>
                </c:pt>
                <c:pt idx="28">
                  <c:v>280.85603340048459</c:v>
                </c:pt>
                <c:pt idx="29">
                  <c:v>356.55601296312506</c:v>
                </c:pt>
                <c:pt idx="30">
                  <c:v>261.77629850223343</c:v>
                </c:pt>
                <c:pt idx="31">
                  <c:v>187.9828326180257</c:v>
                </c:pt>
                <c:pt idx="32">
                  <c:v>180.74508773466462</c:v>
                </c:pt>
                <c:pt idx="33">
                  <c:v>293.47172345332967</c:v>
                </c:pt>
                <c:pt idx="34">
                  <c:v>342.78999153309371</c:v>
                </c:pt>
                <c:pt idx="35">
                  <c:v>264.1674695629323</c:v>
                </c:pt>
                <c:pt idx="36">
                  <c:v>268.47975241598766</c:v>
                </c:pt>
                <c:pt idx="37">
                  <c:v>269.18630112989382</c:v>
                </c:pt>
                <c:pt idx="38">
                  <c:v>282.44430819538098</c:v>
                </c:pt>
                <c:pt idx="39">
                  <c:v>286.27485328895489</c:v>
                </c:pt>
                <c:pt idx="40">
                  <c:v>287.80473562815666</c:v>
                </c:pt>
                <c:pt idx="41">
                  <c:v>281.53922513211273</c:v>
                </c:pt>
                <c:pt idx="42">
                  <c:v>198.07304896207395</c:v>
                </c:pt>
                <c:pt idx="43">
                  <c:v>208.07859624536499</c:v>
                </c:pt>
                <c:pt idx="44">
                  <c:v>242.47175264955754</c:v>
                </c:pt>
                <c:pt idx="45">
                  <c:v>190.02948819012573</c:v>
                </c:pt>
                <c:pt idx="46">
                  <c:v>206.97789845551944</c:v>
                </c:pt>
                <c:pt idx="47">
                  <c:v>221.46506671338051</c:v>
                </c:pt>
                <c:pt idx="48">
                  <c:v>232.29394762196713</c:v>
                </c:pt>
                <c:pt idx="49">
                  <c:v>241.12288692300942</c:v>
                </c:pt>
                <c:pt idx="50">
                  <c:v>215.50027736416442</c:v>
                </c:pt>
                <c:pt idx="51">
                  <c:v>204.85241306823144</c:v>
                </c:pt>
                <c:pt idx="52">
                  <c:v>185.37852909404094</c:v>
                </c:pt>
                <c:pt idx="53">
                  <c:v>213.74266444775321</c:v>
                </c:pt>
                <c:pt idx="54">
                  <c:v>215.45356339960864</c:v>
                </c:pt>
                <c:pt idx="55">
                  <c:v>188.43829377244447</c:v>
                </c:pt>
                <c:pt idx="56">
                  <c:v>192.15205395462894</c:v>
                </c:pt>
                <c:pt idx="57">
                  <c:v>177.48094946132949</c:v>
                </c:pt>
                <c:pt idx="58">
                  <c:v>137.94049808764697</c:v>
                </c:pt>
                <c:pt idx="59">
                  <c:v>174.3160783626754</c:v>
                </c:pt>
                <c:pt idx="60">
                  <c:v>172.78619602347362</c:v>
                </c:pt>
                <c:pt idx="61">
                  <c:v>173.23289830953829</c:v>
                </c:pt>
                <c:pt idx="62">
                  <c:v>175.66494408922352</c:v>
                </c:pt>
                <c:pt idx="63">
                  <c:v>149.08177863420033</c:v>
                </c:pt>
                <c:pt idx="64">
                  <c:v>187.94779714460876</c:v>
                </c:pt>
                <c:pt idx="65">
                  <c:v>242.83670549764952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7B9C-4600-82DD-6CAD5C961398}"/>
            </c:ext>
          </c:extLst>
        </c:ser>
        <c:ser>
          <c:idx val="26"/>
          <c:order val="26"/>
          <c:tx>
            <c:strRef>
              <c:f>중분류_수익률!$B$58</c:f>
              <c:strCache>
                <c:ptCount val="1"/>
                <c:pt idx="0">
                  <c:v>디스플레이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중분류_수익률!$C$31:$BP$31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중분류_수익률!$C$58:$BP$58</c:f>
              <c:numCache>
                <c:formatCode>General</c:formatCode>
                <c:ptCount val="66"/>
                <c:pt idx="0">
                  <c:v>100</c:v>
                </c:pt>
                <c:pt idx="1">
                  <c:v>99.257993702382961</c:v>
                </c:pt>
                <c:pt idx="2">
                  <c:v>80.724722616789009</c:v>
                </c:pt>
                <c:pt idx="3">
                  <c:v>88.507345564351908</c:v>
                </c:pt>
                <c:pt idx="4">
                  <c:v>112.92302802141587</c:v>
                </c:pt>
                <c:pt idx="5">
                  <c:v>136.74669474437042</c:v>
                </c:pt>
                <c:pt idx="6">
                  <c:v>133.93064674739009</c:v>
                </c:pt>
                <c:pt idx="7">
                  <c:v>124.50905406613494</c:v>
                </c:pt>
                <c:pt idx="8">
                  <c:v>98.348117171436243</c:v>
                </c:pt>
                <c:pt idx="9">
                  <c:v>114.92555104149079</c:v>
                </c:pt>
                <c:pt idx="10">
                  <c:v>166.19649757134488</c:v>
                </c:pt>
                <c:pt idx="11">
                  <c:v>163.79664855522336</c:v>
                </c:pt>
                <c:pt idx="12">
                  <c:v>201.51083209996725</c:v>
                </c:pt>
                <c:pt idx="13">
                  <c:v>162.28283651028579</c:v>
                </c:pt>
                <c:pt idx="14">
                  <c:v>145.14815293077589</c:v>
                </c:pt>
                <c:pt idx="15">
                  <c:v>144.18265076038264</c:v>
                </c:pt>
                <c:pt idx="16">
                  <c:v>174.07447875795896</c:v>
                </c:pt>
                <c:pt idx="17">
                  <c:v>159.28600518510424</c:v>
                </c:pt>
                <c:pt idx="18">
                  <c:v>152.89402322370447</c:v>
                </c:pt>
                <c:pt idx="19">
                  <c:v>168.91619401428386</c:v>
                </c:pt>
                <c:pt idx="20">
                  <c:v>153.16122495604583</c:v>
                </c:pt>
                <c:pt idx="21">
                  <c:v>132.96911783695728</c:v>
                </c:pt>
                <c:pt idx="22">
                  <c:v>134.27234710399014</c:v>
                </c:pt>
                <c:pt idx="23">
                  <c:v>114.95038391624368</c:v>
                </c:pt>
                <c:pt idx="24">
                  <c:v>110.72780189325837</c:v>
                </c:pt>
                <c:pt idx="25">
                  <c:v>132.93137186733284</c:v>
                </c:pt>
                <c:pt idx="26">
                  <c:v>139.4485115174873</c:v>
                </c:pt>
                <c:pt idx="27">
                  <c:v>150.82494809929176</c:v>
                </c:pt>
                <c:pt idx="28">
                  <c:v>138.14230230548409</c:v>
                </c:pt>
                <c:pt idx="29">
                  <c:v>147.84798307391259</c:v>
                </c:pt>
                <c:pt idx="30">
                  <c:v>104.13517030385506</c:v>
                </c:pt>
                <c:pt idx="31">
                  <c:v>74.823438260506805</c:v>
                </c:pt>
                <c:pt idx="32">
                  <c:v>93.29413050172343</c:v>
                </c:pt>
                <c:pt idx="33">
                  <c:v>131.1394316251627</c:v>
                </c:pt>
                <c:pt idx="34">
                  <c:v>161.10079167204717</c:v>
                </c:pt>
                <c:pt idx="35">
                  <c:v>136.81523347868847</c:v>
                </c:pt>
                <c:pt idx="36">
                  <c:v>146.44740893784834</c:v>
                </c:pt>
                <c:pt idx="37">
                  <c:v>190.66780566785542</c:v>
                </c:pt>
                <c:pt idx="38">
                  <c:v>161.64214834166071</c:v>
                </c:pt>
                <c:pt idx="39">
                  <c:v>175.65682953721466</c:v>
                </c:pt>
                <c:pt idx="40">
                  <c:v>172.98282558382098</c:v>
                </c:pt>
                <c:pt idx="41">
                  <c:v>166.80142640032591</c:v>
                </c:pt>
                <c:pt idx="42">
                  <c:v>120.93907999165623</c:v>
                </c:pt>
                <c:pt idx="43">
                  <c:v>124.80903519315018</c:v>
                </c:pt>
                <c:pt idx="44">
                  <c:v>139.46639118730951</c:v>
                </c:pt>
                <c:pt idx="45">
                  <c:v>116.15030842430453</c:v>
                </c:pt>
                <c:pt idx="46">
                  <c:v>123.0161016359899</c:v>
                </c:pt>
                <c:pt idx="47">
                  <c:v>138.30023938891273</c:v>
                </c:pt>
                <c:pt idx="48">
                  <c:v>133.5531870511459</c:v>
                </c:pt>
                <c:pt idx="49">
                  <c:v>143.95915488760653</c:v>
                </c:pt>
                <c:pt idx="50">
                  <c:v>137.38042970806484</c:v>
                </c:pt>
                <c:pt idx="51">
                  <c:v>129.91864750230957</c:v>
                </c:pt>
                <c:pt idx="52">
                  <c:v>124.00147010618547</c:v>
                </c:pt>
                <c:pt idx="53">
                  <c:v>127.86745204771896</c:v>
                </c:pt>
                <c:pt idx="54">
                  <c:v>139.07502508120359</c:v>
                </c:pt>
                <c:pt idx="55">
                  <c:v>129.19849413447508</c:v>
                </c:pt>
                <c:pt idx="56">
                  <c:v>137.26123190925082</c:v>
                </c:pt>
                <c:pt idx="57">
                  <c:v>131.20002383955986</c:v>
                </c:pt>
                <c:pt idx="58">
                  <c:v>107.31179164224775</c:v>
                </c:pt>
                <c:pt idx="59">
                  <c:v>118.42102649171089</c:v>
                </c:pt>
                <c:pt idx="60">
                  <c:v>117.40287862684146</c:v>
                </c:pt>
                <c:pt idx="61">
                  <c:v>122.93663643678057</c:v>
                </c:pt>
                <c:pt idx="62">
                  <c:v>133.920713597489</c:v>
                </c:pt>
                <c:pt idx="63">
                  <c:v>127.35291488283858</c:v>
                </c:pt>
                <c:pt idx="64">
                  <c:v>131.27452246381858</c:v>
                </c:pt>
                <c:pt idx="65">
                  <c:v>147.39403812342943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7B9C-4600-82DD-6CAD5C961398}"/>
            </c:ext>
          </c:extLst>
        </c:ser>
        <c:ser>
          <c:idx val="27"/>
          <c:order val="27"/>
          <c:tx>
            <c:strRef>
              <c:f>중분류_수익률!$B$59</c:f>
              <c:strCache>
                <c:ptCount val="1"/>
                <c:pt idx="0">
                  <c:v>통신서비스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중분류_수익률!$C$31:$BP$31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중분류_수익률!$C$59:$BP$59</c:f>
              <c:numCache>
                <c:formatCode>General</c:formatCode>
                <c:ptCount val="66"/>
                <c:pt idx="0">
                  <c:v>100</c:v>
                </c:pt>
                <c:pt idx="1">
                  <c:v>100.6502406527906</c:v>
                </c:pt>
                <c:pt idx="2">
                  <c:v>94.364581009147983</c:v>
                </c:pt>
                <c:pt idx="3">
                  <c:v>109.80460905874476</c:v>
                </c:pt>
                <c:pt idx="4">
                  <c:v>112.88687725113948</c:v>
                </c:pt>
                <c:pt idx="5">
                  <c:v>111.54814649539408</c:v>
                </c:pt>
                <c:pt idx="6">
                  <c:v>103.14282982182125</c:v>
                </c:pt>
                <c:pt idx="7">
                  <c:v>102.18978102189776</c:v>
                </c:pt>
                <c:pt idx="8">
                  <c:v>74.560928186657264</c:v>
                </c:pt>
                <c:pt idx="9">
                  <c:v>80.569279316609766</c:v>
                </c:pt>
                <c:pt idx="10">
                  <c:v>82.204443311127335</c:v>
                </c:pt>
                <c:pt idx="11">
                  <c:v>80.999585630956503</c:v>
                </c:pt>
                <c:pt idx="12">
                  <c:v>86.810314601727541</c:v>
                </c:pt>
                <c:pt idx="13">
                  <c:v>74.570490549198297</c:v>
                </c:pt>
                <c:pt idx="14">
                  <c:v>68.568514327606493</c:v>
                </c:pt>
                <c:pt idx="15">
                  <c:v>78.784304975615925</c:v>
                </c:pt>
                <c:pt idx="16">
                  <c:v>76.460650878143582</c:v>
                </c:pt>
                <c:pt idx="17">
                  <c:v>75.545851528384233</c:v>
                </c:pt>
                <c:pt idx="18">
                  <c:v>76.855895196506509</c:v>
                </c:pt>
                <c:pt idx="19">
                  <c:v>80.129410639721996</c:v>
                </c:pt>
                <c:pt idx="20">
                  <c:v>80.862525101201612</c:v>
                </c:pt>
                <c:pt idx="21">
                  <c:v>92.560481943071991</c:v>
                </c:pt>
                <c:pt idx="22">
                  <c:v>83.963918018678427</c:v>
                </c:pt>
                <c:pt idx="23">
                  <c:v>94.71838842316636</c:v>
                </c:pt>
                <c:pt idx="24">
                  <c:v>85.933764702132351</c:v>
                </c:pt>
                <c:pt idx="25">
                  <c:v>89.503713384120033</c:v>
                </c:pt>
                <c:pt idx="26">
                  <c:v>90.829694323144011</c:v>
                </c:pt>
                <c:pt idx="27">
                  <c:v>103.63051031141417</c:v>
                </c:pt>
                <c:pt idx="28">
                  <c:v>86.236572849265201</c:v>
                </c:pt>
                <c:pt idx="29">
                  <c:v>89.73002263092458</c:v>
                </c:pt>
                <c:pt idx="30">
                  <c:v>87.897236477225547</c:v>
                </c:pt>
                <c:pt idx="31">
                  <c:v>83.208491377936369</c:v>
                </c:pt>
                <c:pt idx="32">
                  <c:v>77.6655085583144</c:v>
                </c:pt>
                <c:pt idx="33">
                  <c:v>72.976763459025207</c:v>
                </c:pt>
                <c:pt idx="34">
                  <c:v>75.166544480923022</c:v>
                </c:pt>
                <c:pt idx="35">
                  <c:v>73.563255028208914</c:v>
                </c:pt>
                <c:pt idx="36">
                  <c:v>77.990628884709736</c:v>
                </c:pt>
                <c:pt idx="37">
                  <c:v>77.158703343639388</c:v>
                </c:pt>
                <c:pt idx="38">
                  <c:v>75.010359226086081</c:v>
                </c:pt>
                <c:pt idx="39">
                  <c:v>78.717368437828654</c:v>
                </c:pt>
                <c:pt idx="40">
                  <c:v>69.585312211136923</c:v>
                </c:pt>
                <c:pt idx="41">
                  <c:v>67.586778440059888</c:v>
                </c:pt>
                <c:pt idx="42">
                  <c:v>65.004940553979509</c:v>
                </c:pt>
                <c:pt idx="43">
                  <c:v>65.26312434258756</c:v>
                </c:pt>
                <c:pt idx="44">
                  <c:v>61.062059732891321</c:v>
                </c:pt>
                <c:pt idx="45">
                  <c:v>51.560258821279433</c:v>
                </c:pt>
                <c:pt idx="46">
                  <c:v>63.382526376183328</c:v>
                </c:pt>
                <c:pt idx="47">
                  <c:v>67.711089153093411</c:v>
                </c:pt>
                <c:pt idx="48">
                  <c:v>72.160775188856647</c:v>
                </c:pt>
                <c:pt idx="49">
                  <c:v>83.447550441462397</c:v>
                </c:pt>
                <c:pt idx="50">
                  <c:v>84.767156472125706</c:v>
                </c:pt>
                <c:pt idx="51">
                  <c:v>81.076084531284863</c:v>
                </c:pt>
                <c:pt idx="52">
                  <c:v>76.916456825933125</c:v>
                </c:pt>
                <c:pt idx="53">
                  <c:v>76.151467822650048</c:v>
                </c:pt>
                <c:pt idx="54">
                  <c:v>91.087878111752133</c:v>
                </c:pt>
                <c:pt idx="55">
                  <c:v>90.934880311095526</c:v>
                </c:pt>
                <c:pt idx="56">
                  <c:v>91.661619864214444</c:v>
                </c:pt>
                <c:pt idx="57">
                  <c:v>81.047397443661737</c:v>
                </c:pt>
                <c:pt idx="58">
                  <c:v>82.268192394734314</c:v>
                </c:pt>
                <c:pt idx="59">
                  <c:v>81.331080865712536</c:v>
                </c:pt>
                <c:pt idx="60">
                  <c:v>79.810665221687415</c:v>
                </c:pt>
                <c:pt idx="61">
                  <c:v>81.382080132598077</c:v>
                </c:pt>
                <c:pt idx="62">
                  <c:v>80.260096261116232</c:v>
                </c:pt>
                <c:pt idx="63">
                  <c:v>79.746916138080493</c:v>
                </c:pt>
                <c:pt idx="64">
                  <c:v>82.593312721129607</c:v>
                </c:pt>
                <c:pt idx="65">
                  <c:v>91.766805852165831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7B9C-4600-82DD-6CAD5C961398}"/>
            </c:ext>
          </c:extLst>
        </c:ser>
        <c:ser>
          <c:idx val="28"/>
          <c:order val="28"/>
          <c:tx>
            <c:strRef>
              <c:f>중분류_수익률!$B$60</c:f>
              <c:strCache>
                <c:ptCount val="1"/>
                <c:pt idx="0">
                  <c:v>유틸리티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중분류_수익률!$C$31:$BP$31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중분류_수익률!$C$60:$BP$60</c:f>
              <c:numCache>
                <c:formatCode>General</c:formatCode>
                <c:ptCount val="66"/>
                <c:pt idx="0">
                  <c:v>100</c:v>
                </c:pt>
                <c:pt idx="1">
                  <c:v>95.886504799548277</c:v>
                </c:pt>
                <c:pt idx="2">
                  <c:v>89.472049689441008</c:v>
                </c:pt>
                <c:pt idx="3">
                  <c:v>91.19706380575947</c:v>
                </c:pt>
                <c:pt idx="4">
                  <c:v>87.409655561829496</c:v>
                </c:pt>
                <c:pt idx="5">
                  <c:v>98.743647656691152</c:v>
                </c:pt>
                <c:pt idx="6">
                  <c:v>85.36278938452854</c:v>
                </c:pt>
                <c:pt idx="7">
                  <c:v>81.712309429700753</c:v>
                </c:pt>
                <c:pt idx="8">
                  <c:v>74.860248447204981</c:v>
                </c:pt>
                <c:pt idx="9">
                  <c:v>83.622247317899507</c:v>
                </c:pt>
                <c:pt idx="10">
                  <c:v>81.192828910220214</c:v>
                </c:pt>
                <c:pt idx="11">
                  <c:v>102.12309429700736</c:v>
                </c:pt>
                <c:pt idx="12">
                  <c:v>85.717108977978555</c:v>
                </c:pt>
                <c:pt idx="13">
                  <c:v>80.44748729531338</c:v>
                </c:pt>
                <c:pt idx="14">
                  <c:v>87.399774138904576</c:v>
                </c:pt>
                <c:pt idx="15">
                  <c:v>109.20101637492942</c:v>
                </c:pt>
                <c:pt idx="16">
                  <c:v>114.15584415584415</c:v>
                </c:pt>
                <c:pt idx="17">
                  <c:v>121.4342179559571</c:v>
                </c:pt>
                <c:pt idx="18">
                  <c:v>132.3729531338227</c:v>
                </c:pt>
                <c:pt idx="19">
                  <c:v>144.38876341050255</c:v>
                </c:pt>
                <c:pt idx="20">
                  <c:v>165.40654997176736</c:v>
                </c:pt>
                <c:pt idx="21">
                  <c:v>156.89158667419537</c:v>
                </c:pt>
                <c:pt idx="22">
                  <c:v>149.37747035573122</c:v>
                </c:pt>
                <c:pt idx="23">
                  <c:v>160.14680971202711</c:v>
                </c:pt>
                <c:pt idx="24">
                  <c:v>162.57340485601355</c:v>
                </c:pt>
                <c:pt idx="25">
                  <c:v>178.53331451157538</c:v>
                </c:pt>
                <c:pt idx="26">
                  <c:v>189.59768492377185</c:v>
                </c:pt>
                <c:pt idx="27">
                  <c:v>182.12309429700736</c:v>
                </c:pt>
                <c:pt idx="28">
                  <c:v>161.6883116883117</c:v>
                </c:pt>
                <c:pt idx="29">
                  <c:v>164.39440993788818</c:v>
                </c:pt>
                <c:pt idx="30">
                  <c:v>157.79220779220776</c:v>
                </c:pt>
                <c:pt idx="31">
                  <c:v>128.26228119706377</c:v>
                </c:pt>
                <c:pt idx="32">
                  <c:v>109.60191981931109</c:v>
                </c:pt>
                <c:pt idx="33">
                  <c:v>128.50084697910782</c:v>
                </c:pt>
                <c:pt idx="34">
                  <c:v>140.78486730660643</c:v>
                </c:pt>
                <c:pt idx="35">
                  <c:v>140.24421230942968</c:v>
                </c:pt>
                <c:pt idx="36">
                  <c:v>158.36391869000562</c:v>
                </c:pt>
                <c:pt idx="37">
                  <c:v>141.19565217391303</c:v>
                </c:pt>
                <c:pt idx="38">
                  <c:v>129.83766233766232</c:v>
                </c:pt>
                <c:pt idx="39">
                  <c:v>125.36843591191416</c:v>
                </c:pt>
                <c:pt idx="40">
                  <c:v>121.06437041219648</c:v>
                </c:pt>
                <c:pt idx="41">
                  <c:v>126.58526256352343</c:v>
                </c:pt>
                <c:pt idx="42">
                  <c:v>104.07961603613776</c:v>
                </c:pt>
                <c:pt idx="43">
                  <c:v>113.56295878035009</c:v>
                </c:pt>
                <c:pt idx="44">
                  <c:v>116.8068887634105</c:v>
                </c:pt>
                <c:pt idx="45">
                  <c:v>105.63946922642575</c:v>
                </c:pt>
                <c:pt idx="46">
                  <c:v>120.20750988142291</c:v>
                </c:pt>
                <c:pt idx="47">
                  <c:v>134.99153020892149</c:v>
                </c:pt>
                <c:pt idx="48">
                  <c:v>151.75183512140029</c:v>
                </c:pt>
                <c:pt idx="49">
                  <c:v>131.4483342744212</c:v>
                </c:pt>
                <c:pt idx="50">
                  <c:v>140.65358554488986</c:v>
                </c:pt>
                <c:pt idx="51">
                  <c:v>148.94833427442123</c:v>
                </c:pt>
                <c:pt idx="52">
                  <c:v>167.17250141163183</c:v>
                </c:pt>
                <c:pt idx="53">
                  <c:v>169.16713721061546</c:v>
                </c:pt>
                <c:pt idx="54">
                  <c:v>182.02004517221906</c:v>
                </c:pt>
                <c:pt idx="55">
                  <c:v>193.91163184641442</c:v>
                </c:pt>
                <c:pt idx="56">
                  <c:v>182.44776962168262</c:v>
                </c:pt>
                <c:pt idx="57">
                  <c:v>195.52512704686612</c:v>
                </c:pt>
                <c:pt idx="58">
                  <c:v>194.9576510446075</c:v>
                </c:pt>
                <c:pt idx="59">
                  <c:v>191.8591191417278</c:v>
                </c:pt>
                <c:pt idx="60">
                  <c:v>210.87662337662331</c:v>
                </c:pt>
                <c:pt idx="61">
                  <c:v>224.44664031620547</c:v>
                </c:pt>
                <c:pt idx="62">
                  <c:v>211.11518915866733</c:v>
                </c:pt>
                <c:pt idx="63">
                  <c:v>176.31140598531894</c:v>
                </c:pt>
                <c:pt idx="64">
                  <c:v>170.90062111801237</c:v>
                </c:pt>
                <c:pt idx="65">
                  <c:v>168.48108413325798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7B9C-4600-82DD-6CAD5C961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9344608"/>
        <c:axId val="1439333376"/>
      </c:lineChart>
      <c:catAx>
        <c:axId val="143934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39333376"/>
        <c:crosses val="autoZero"/>
        <c:auto val="1"/>
        <c:lblAlgn val="ctr"/>
        <c:lblOffset val="100"/>
        <c:noMultiLvlLbl val="0"/>
      </c:catAx>
      <c:valAx>
        <c:axId val="143933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3934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579120</xdr:colOff>
      <xdr:row>36</xdr:row>
      <xdr:rowOff>91440</xdr:rowOff>
    </xdr:from>
    <xdr:to>
      <xdr:col>17</xdr:col>
      <xdr:colOff>480060</xdr:colOff>
      <xdr:row>53</xdr:row>
      <xdr:rowOff>137160</xdr:rowOff>
    </xdr:to>
    <xdr:graphicFrame macro="">
      <xdr:nvGraphicFramePr>
        <xdr:cNvPr id="4" name="차트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BQ42"/>
  <sheetViews>
    <sheetView showGridLines="0" workbookViewId="0">
      <pane xSplit="3" ySplit="13" topLeftCell="BI14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7.399999999999999" x14ac:dyDescent="0.4"/>
  <cols>
    <col min="1" max="69" width="14.69921875" customWidth="1"/>
  </cols>
  <sheetData>
    <row r="1" spans="1:69" ht="15" customHeight="1" x14ac:dyDescent="0.4">
      <c r="A1" s="1" t="s">
        <v>0</v>
      </c>
      <c r="B1" t="s">
        <v>37</v>
      </c>
    </row>
    <row r="3" spans="1:69" x14ac:dyDescent="0.4">
      <c r="A3" s="2" t="s">
        <v>38</v>
      </c>
    </row>
    <row r="4" spans="1:69" x14ac:dyDescent="0.4">
      <c r="A4" s="3" t="s">
        <v>35</v>
      </c>
      <c r="B4" s="3" t="s">
        <v>1</v>
      </c>
      <c r="C4" s="3" t="s">
        <v>2</v>
      </c>
    </row>
    <row r="5" spans="1:69" x14ac:dyDescent="0.4">
      <c r="A5" s="4"/>
      <c r="B5" s="4"/>
      <c r="C5" s="4"/>
    </row>
    <row r="6" spans="1:69" x14ac:dyDescent="0.4">
      <c r="A6" s="4"/>
      <c r="B6" s="4"/>
      <c r="C6" s="4"/>
    </row>
    <row r="7" spans="1:69" x14ac:dyDescent="0.4">
      <c r="A7" s="5"/>
      <c r="B7" s="5"/>
      <c r="C7" s="5"/>
    </row>
    <row r="9" spans="1:69" x14ac:dyDescent="0.4">
      <c r="A9" s="3"/>
      <c r="B9" s="3" t="s">
        <v>39</v>
      </c>
      <c r="C9" s="3" t="s">
        <v>32</v>
      </c>
      <c r="D9" s="3" t="s">
        <v>33</v>
      </c>
      <c r="E9" s="3" t="s">
        <v>33</v>
      </c>
      <c r="F9" s="3" t="s">
        <v>33</v>
      </c>
      <c r="G9" s="3" t="s">
        <v>33</v>
      </c>
      <c r="H9" s="3" t="s">
        <v>33</v>
      </c>
      <c r="I9" s="3" t="s">
        <v>33</v>
      </c>
      <c r="J9" s="3" t="s">
        <v>33</v>
      </c>
      <c r="K9" s="3" t="s">
        <v>33</v>
      </c>
      <c r="L9" s="3" t="s">
        <v>33</v>
      </c>
      <c r="M9" s="3" t="s">
        <v>33</v>
      </c>
      <c r="N9" s="3" t="s">
        <v>33</v>
      </c>
      <c r="O9" s="3" t="s">
        <v>33</v>
      </c>
      <c r="P9" s="3" t="s">
        <v>33</v>
      </c>
      <c r="Q9" s="3" t="s">
        <v>33</v>
      </c>
      <c r="R9" s="3" t="s">
        <v>33</v>
      </c>
      <c r="S9" s="3" t="s">
        <v>33</v>
      </c>
      <c r="T9" s="3" t="s">
        <v>33</v>
      </c>
      <c r="U9" s="3" t="s">
        <v>33</v>
      </c>
      <c r="V9" s="3" t="s">
        <v>33</v>
      </c>
      <c r="W9" s="3" t="s">
        <v>33</v>
      </c>
      <c r="X9" s="3" t="s">
        <v>33</v>
      </c>
      <c r="Y9" s="3" t="s">
        <v>33</v>
      </c>
      <c r="Z9" s="3" t="s">
        <v>33</v>
      </c>
      <c r="AA9" s="3" t="s">
        <v>33</v>
      </c>
      <c r="AB9" s="3" t="s">
        <v>33</v>
      </c>
      <c r="AC9" s="3" t="s">
        <v>33</v>
      </c>
      <c r="AD9" s="3" t="s">
        <v>33</v>
      </c>
      <c r="AE9" s="3" t="s">
        <v>33</v>
      </c>
      <c r="AF9" s="3" t="s">
        <v>33</v>
      </c>
      <c r="AG9" s="3" t="s">
        <v>33</v>
      </c>
      <c r="AH9" s="3" t="s">
        <v>33</v>
      </c>
      <c r="AI9" s="3" t="s">
        <v>33</v>
      </c>
      <c r="AJ9" s="3" t="s">
        <v>33</v>
      </c>
      <c r="AK9" s="3" t="s">
        <v>33</v>
      </c>
      <c r="AL9" s="3" t="s">
        <v>33</v>
      </c>
      <c r="AM9" s="3" t="s">
        <v>33</v>
      </c>
      <c r="AN9" s="3" t="s">
        <v>33</v>
      </c>
      <c r="AO9" s="3" t="s">
        <v>33</v>
      </c>
      <c r="AP9" s="3" t="s">
        <v>33</v>
      </c>
      <c r="AQ9" s="3" t="s">
        <v>33</v>
      </c>
      <c r="AR9" s="3" t="s">
        <v>33</v>
      </c>
      <c r="AS9" s="3" t="s">
        <v>33</v>
      </c>
      <c r="AT9" s="3" t="s">
        <v>33</v>
      </c>
      <c r="AU9" s="3" t="s">
        <v>33</v>
      </c>
      <c r="AV9" s="3" t="s">
        <v>33</v>
      </c>
      <c r="AW9" s="3" t="s">
        <v>33</v>
      </c>
      <c r="AX9" s="3" t="s">
        <v>33</v>
      </c>
      <c r="AY9" s="3" t="s">
        <v>33</v>
      </c>
      <c r="AZ9" s="3" t="s">
        <v>33</v>
      </c>
      <c r="BA9" s="3" t="s">
        <v>33</v>
      </c>
      <c r="BB9" s="3" t="s">
        <v>33</v>
      </c>
      <c r="BC9" s="3" t="s">
        <v>33</v>
      </c>
      <c r="BD9" s="3" t="s">
        <v>33</v>
      </c>
      <c r="BE9" s="3" t="s">
        <v>33</v>
      </c>
      <c r="BF9" s="3" t="s">
        <v>33</v>
      </c>
      <c r="BG9" s="3" t="s">
        <v>33</v>
      </c>
      <c r="BH9" s="3" t="s">
        <v>33</v>
      </c>
      <c r="BI9" s="3" t="s">
        <v>33</v>
      </c>
      <c r="BJ9" s="3" t="s">
        <v>33</v>
      </c>
      <c r="BK9" s="3" t="s">
        <v>33</v>
      </c>
      <c r="BL9" s="3" t="s">
        <v>33</v>
      </c>
      <c r="BM9" s="3" t="s">
        <v>33</v>
      </c>
      <c r="BN9" s="3" t="s">
        <v>33</v>
      </c>
      <c r="BO9" s="3" t="s">
        <v>33</v>
      </c>
      <c r="BP9" s="3" t="s">
        <v>33</v>
      </c>
      <c r="BQ9" s="3" t="s">
        <v>33</v>
      </c>
    </row>
    <row r="10" spans="1:69" x14ac:dyDescent="0.4">
      <c r="A10" s="7"/>
      <c r="B10" s="7" t="s">
        <v>40</v>
      </c>
      <c r="C10" s="7"/>
      <c r="D10" s="7">
        <v>20010228</v>
      </c>
      <c r="E10" s="14">
        <v>20010531</v>
      </c>
      <c r="F10" s="14">
        <v>20010831</v>
      </c>
      <c r="G10" s="14">
        <v>20011130</v>
      </c>
      <c r="H10" s="14">
        <v>20020228</v>
      </c>
      <c r="I10" s="14">
        <v>20020531</v>
      </c>
      <c r="J10" s="14">
        <v>20020830</v>
      </c>
      <c r="K10" s="14">
        <v>20021129</v>
      </c>
      <c r="L10" s="14">
        <v>20030228</v>
      </c>
      <c r="M10" s="14">
        <v>20030530</v>
      </c>
      <c r="N10" s="14">
        <v>20030829</v>
      </c>
      <c r="O10" s="14">
        <v>20031128</v>
      </c>
      <c r="P10" s="14">
        <v>20040227</v>
      </c>
      <c r="Q10" s="14">
        <v>20040531</v>
      </c>
      <c r="R10" s="14">
        <v>20040831</v>
      </c>
      <c r="S10" s="14">
        <v>20041130</v>
      </c>
      <c r="T10" s="14">
        <v>20050228</v>
      </c>
      <c r="U10" s="14">
        <v>20050531</v>
      </c>
      <c r="V10" s="14">
        <v>20050831</v>
      </c>
      <c r="W10" s="14">
        <v>20051130</v>
      </c>
      <c r="X10" s="14">
        <v>20060228</v>
      </c>
      <c r="Y10" s="14">
        <v>20060530</v>
      </c>
      <c r="Z10" s="14">
        <v>20060831</v>
      </c>
      <c r="AA10" s="14">
        <v>20061130</v>
      </c>
      <c r="AB10" s="14">
        <v>20070228</v>
      </c>
      <c r="AC10" s="14">
        <v>20070531</v>
      </c>
      <c r="AD10" s="14">
        <v>20070831</v>
      </c>
      <c r="AE10" s="14">
        <v>20071130</v>
      </c>
      <c r="AF10" s="14">
        <v>20080229</v>
      </c>
      <c r="AG10" s="14">
        <v>20080530</v>
      </c>
      <c r="AH10" s="14">
        <v>20080829</v>
      </c>
      <c r="AI10" s="14">
        <v>20081128</v>
      </c>
      <c r="AJ10" s="14">
        <v>20090227</v>
      </c>
      <c r="AK10" s="14">
        <v>20090529</v>
      </c>
      <c r="AL10" s="14">
        <v>20090831</v>
      </c>
      <c r="AM10" s="14">
        <v>20091130</v>
      </c>
      <c r="AN10" s="14">
        <v>20100226</v>
      </c>
      <c r="AO10" s="14">
        <v>20100531</v>
      </c>
      <c r="AP10" s="14">
        <v>20100831</v>
      </c>
      <c r="AQ10" s="14">
        <v>20101130</v>
      </c>
      <c r="AR10" s="14">
        <v>20110228</v>
      </c>
      <c r="AS10" s="14">
        <v>20110531</v>
      </c>
      <c r="AT10" s="14">
        <v>20110831</v>
      </c>
      <c r="AU10" s="14">
        <v>20111130</v>
      </c>
      <c r="AV10" s="14">
        <v>20120229</v>
      </c>
      <c r="AW10" s="14">
        <v>20120531</v>
      </c>
      <c r="AX10" s="14">
        <v>20120831</v>
      </c>
      <c r="AY10" s="14">
        <v>20121130</v>
      </c>
      <c r="AZ10" s="14">
        <v>20130228</v>
      </c>
      <c r="BA10" s="14">
        <v>20130531</v>
      </c>
      <c r="BB10" s="14">
        <v>20130830</v>
      </c>
      <c r="BC10" s="14">
        <v>20131129</v>
      </c>
      <c r="BD10" s="14">
        <v>20140228</v>
      </c>
      <c r="BE10" s="14">
        <v>20140530</v>
      </c>
      <c r="BF10" s="14">
        <v>20140829</v>
      </c>
      <c r="BG10" s="14">
        <v>20141128</v>
      </c>
      <c r="BH10" s="14">
        <v>20150227</v>
      </c>
      <c r="BI10" s="14">
        <v>20150529</v>
      </c>
      <c r="BJ10" s="14">
        <v>20150831</v>
      </c>
      <c r="BK10" s="14">
        <v>20151130</v>
      </c>
      <c r="BL10" s="14">
        <v>20160229</v>
      </c>
      <c r="BM10" s="14">
        <v>20160531</v>
      </c>
      <c r="BN10" s="14">
        <v>20160831</v>
      </c>
      <c r="BO10" s="14">
        <v>20161130</v>
      </c>
      <c r="BP10" s="14">
        <v>20170228</v>
      </c>
      <c r="BQ10" s="7">
        <v>20170531</v>
      </c>
    </row>
    <row r="11" spans="1:69" x14ac:dyDescent="0.4">
      <c r="A11" s="7"/>
      <c r="B11" s="7" t="s">
        <v>41</v>
      </c>
      <c r="C11" s="7" t="s">
        <v>36</v>
      </c>
      <c r="D11" s="7" t="s">
        <v>34</v>
      </c>
      <c r="E11" s="7" t="s">
        <v>34</v>
      </c>
      <c r="F11" s="7" t="s">
        <v>34</v>
      </c>
      <c r="G11" s="7" t="s">
        <v>34</v>
      </c>
      <c r="H11" s="7" t="s">
        <v>34</v>
      </c>
      <c r="I11" s="7" t="s">
        <v>34</v>
      </c>
      <c r="J11" s="7" t="s">
        <v>34</v>
      </c>
      <c r="K11" s="7" t="s">
        <v>34</v>
      </c>
      <c r="L11" s="7" t="s">
        <v>34</v>
      </c>
      <c r="M11" s="7" t="s">
        <v>34</v>
      </c>
      <c r="N11" s="7" t="s">
        <v>34</v>
      </c>
      <c r="O11" s="7" t="s">
        <v>34</v>
      </c>
      <c r="P11" s="7" t="s">
        <v>34</v>
      </c>
      <c r="Q11" s="7" t="s">
        <v>34</v>
      </c>
      <c r="R11" s="7" t="s">
        <v>34</v>
      </c>
      <c r="S11" s="7" t="s">
        <v>34</v>
      </c>
      <c r="T11" s="7" t="s">
        <v>34</v>
      </c>
      <c r="U11" s="7" t="s">
        <v>34</v>
      </c>
      <c r="V11" s="7" t="s">
        <v>34</v>
      </c>
      <c r="W11" s="7" t="s">
        <v>34</v>
      </c>
      <c r="X11" s="7" t="s">
        <v>34</v>
      </c>
      <c r="Y11" s="7" t="s">
        <v>34</v>
      </c>
      <c r="Z11" s="7" t="s">
        <v>34</v>
      </c>
      <c r="AA11" s="7" t="s">
        <v>34</v>
      </c>
      <c r="AB11" s="7" t="s">
        <v>34</v>
      </c>
      <c r="AC11" s="7" t="s">
        <v>34</v>
      </c>
      <c r="AD11" s="7" t="s">
        <v>34</v>
      </c>
      <c r="AE11" s="7" t="s">
        <v>34</v>
      </c>
      <c r="AF11" s="7" t="s">
        <v>34</v>
      </c>
      <c r="AG11" s="7" t="s">
        <v>34</v>
      </c>
      <c r="AH11" s="7" t="s">
        <v>34</v>
      </c>
      <c r="AI11" s="7" t="s">
        <v>34</v>
      </c>
      <c r="AJ11" s="7" t="s">
        <v>34</v>
      </c>
      <c r="AK11" s="7" t="s">
        <v>34</v>
      </c>
      <c r="AL11" s="7" t="s">
        <v>34</v>
      </c>
      <c r="AM11" s="7" t="s">
        <v>34</v>
      </c>
      <c r="AN11" s="7" t="s">
        <v>34</v>
      </c>
      <c r="AO11" s="7" t="s">
        <v>34</v>
      </c>
      <c r="AP11" s="7" t="s">
        <v>34</v>
      </c>
      <c r="AQ11" s="7" t="s">
        <v>34</v>
      </c>
      <c r="AR11" s="7" t="s">
        <v>34</v>
      </c>
      <c r="AS11" s="7" t="s">
        <v>34</v>
      </c>
      <c r="AT11" s="7" t="s">
        <v>34</v>
      </c>
      <c r="AU11" s="7" t="s">
        <v>34</v>
      </c>
      <c r="AV11" s="7" t="s">
        <v>34</v>
      </c>
      <c r="AW11" s="7" t="s">
        <v>34</v>
      </c>
      <c r="AX11" s="7" t="s">
        <v>34</v>
      </c>
      <c r="AY11" s="7" t="s">
        <v>34</v>
      </c>
      <c r="AZ11" s="7" t="s">
        <v>34</v>
      </c>
      <c r="BA11" s="7" t="s">
        <v>34</v>
      </c>
      <c r="BB11" s="7" t="s">
        <v>34</v>
      </c>
      <c r="BC11" s="7" t="s">
        <v>34</v>
      </c>
      <c r="BD11" s="7" t="s">
        <v>34</v>
      </c>
      <c r="BE11" s="7" t="s">
        <v>34</v>
      </c>
      <c r="BF11" s="7" t="s">
        <v>34</v>
      </c>
      <c r="BG11" s="7" t="s">
        <v>34</v>
      </c>
      <c r="BH11" s="7" t="s">
        <v>34</v>
      </c>
      <c r="BI11" s="7" t="s">
        <v>34</v>
      </c>
      <c r="BJ11" s="7" t="s">
        <v>34</v>
      </c>
      <c r="BK11" s="7" t="s">
        <v>34</v>
      </c>
      <c r="BL11" s="7" t="s">
        <v>34</v>
      </c>
      <c r="BM11" s="7" t="s">
        <v>34</v>
      </c>
      <c r="BN11" s="7" t="s">
        <v>34</v>
      </c>
      <c r="BO11" s="7" t="s">
        <v>34</v>
      </c>
      <c r="BP11" s="7" t="s">
        <v>34</v>
      </c>
      <c r="BQ11" s="7" t="s">
        <v>34</v>
      </c>
    </row>
    <row r="12" spans="1:69" x14ac:dyDescent="0.4">
      <c r="A12" s="8"/>
      <c r="B12" s="8" t="s">
        <v>44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</row>
    <row r="13" spans="1:69" x14ac:dyDescent="0.4">
      <c r="A13" s="9" t="s">
        <v>42</v>
      </c>
      <c r="B13" s="10" t="s">
        <v>43</v>
      </c>
      <c r="C13" s="10" t="s">
        <v>45</v>
      </c>
      <c r="D13" s="10" t="s">
        <v>46</v>
      </c>
      <c r="E13" s="10" t="s">
        <v>47</v>
      </c>
      <c r="F13" s="10" t="s">
        <v>48</v>
      </c>
      <c r="G13" s="10" t="s">
        <v>49</v>
      </c>
      <c r="H13" s="10" t="s">
        <v>48</v>
      </c>
      <c r="I13" s="10" t="s">
        <v>49</v>
      </c>
      <c r="J13" s="10" t="s">
        <v>49</v>
      </c>
      <c r="K13" s="10" t="s">
        <v>49</v>
      </c>
      <c r="L13" s="10" t="s">
        <v>47</v>
      </c>
      <c r="M13" s="10" t="s">
        <v>49</v>
      </c>
      <c r="N13" s="10" t="s">
        <v>49</v>
      </c>
      <c r="O13" s="10" t="s">
        <v>49</v>
      </c>
      <c r="P13" s="10" t="s">
        <v>49</v>
      </c>
      <c r="Q13" s="10" t="s">
        <v>49</v>
      </c>
      <c r="R13" s="10" t="s">
        <v>49</v>
      </c>
      <c r="S13" s="10" t="s">
        <v>48</v>
      </c>
      <c r="T13" s="10" t="s">
        <v>47</v>
      </c>
      <c r="U13" s="10" t="s">
        <v>48</v>
      </c>
      <c r="V13" s="10" t="s">
        <v>49</v>
      </c>
      <c r="W13" s="10" t="s">
        <v>49</v>
      </c>
      <c r="X13" s="10" t="s">
        <v>48</v>
      </c>
      <c r="Y13" s="10" t="s">
        <v>49</v>
      </c>
      <c r="Z13" s="10" t="s">
        <v>48</v>
      </c>
      <c r="AA13" s="10" t="s">
        <v>49</v>
      </c>
      <c r="AB13" s="10" t="s">
        <v>49</v>
      </c>
      <c r="AC13" s="10" t="s">
        <v>49</v>
      </c>
      <c r="AD13" s="10" t="s">
        <v>49</v>
      </c>
      <c r="AE13" s="10" t="s">
        <v>49</v>
      </c>
      <c r="AF13" s="10" t="s">
        <v>49</v>
      </c>
      <c r="AG13" s="10" t="s">
        <v>48</v>
      </c>
      <c r="AH13" s="10" t="s">
        <v>49</v>
      </c>
      <c r="AI13" s="10" t="s">
        <v>49</v>
      </c>
      <c r="AJ13" s="10" t="s">
        <v>47</v>
      </c>
      <c r="AK13" s="10" t="s">
        <v>48</v>
      </c>
      <c r="AL13" s="10" t="s">
        <v>48</v>
      </c>
      <c r="AM13" s="10" t="s">
        <v>49</v>
      </c>
      <c r="AN13" s="10" t="s">
        <v>49</v>
      </c>
      <c r="AO13" s="10" t="s">
        <v>49</v>
      </c>
      <c r="AP13" s="10" t="s">
        <v>47</v>
      </c>
      <c r="AQ13" s="10" t="s">
        <v>48</v>
      </c>
      <c r="AR13" s="10" t="s">
        <v>49</v>
      </c>
      <c r="AS13" s="10" t="s">
        <v>49</v>
      </c>
      <c r="AT13" s="10" t="s">
        <v>49</v>
      </c>
      <c r="AU13" s="10" t="s">
        <v>49</v>
      </c>
      <c r="AV13" s="10" t="s">
        <v>47</v>
      </c>
      <c r="AW13" s="10" t="s">
        <v>47</v>
      </c>
      <c r="AX13" s="10" t="s">
        <v>48</v>
      </c>
      <c r="AY13" s="10" t="s">
        <v>49</v>
      </c>
      <c r="AZ13" s="10" t="s">
        <v>49</v>
      </c>
      <c r="BA13" s="10" t="s">
        <v>49</v>
      </c>
      <c r="BB13" s="10" t="s">
        <v>49</v>
      </c>
      <c r="BC13" s="10" t="s">
        <v>49</v>
      </c>
      <c r="BD13" s="10" t="s">
        <v>48</v>
      </c>
      <c r="BE13" s="10" t="s">
        <v>48</v>
      </c>
      <c r="BF13" s="10" t="s">
        <v>49</v>
      </c>
      <c r="BG13" s="10" t="s">
        <v>48</v>
      </c>
      <c r="BH13" s="10" t="s">
        <v>48</v>
      </c>
      <c r="BI13" s="10" t="s">
        <v>47</v>
      </c>
      <c r="BJ13" s="10" t="s">
        <v>48</v>
      </c>
      <c r="BK13" s="10" t="s">
        <v>49</v>
      </c>
      <c r="BL13" s="10" t="s">
        <v>48</v>
      </c>
      <c r="BM13" s="10" t="s">
        <v>49</v>
      </c>
      <c r="BN13" s="10" t="s">
        <v>49</v>
      </c>
      <c r="BO13" s="10" t="s">
        <v>49</v>
      </c>
      <c r="BP13" s="10" t="s">
        <v>49</v>
      </c>
      <c r="BQ13" s="10" t="s">
        <v>49</v>
      </c>
    </row>
    <row r="14" spans="1:69" x14ac:dyDescent="0.4">
      <c r="A14" s="6" t="s">
        <v>3</v>
      </c>
      <c r="B14" s="4" t="s">
        <v>50</v>
      </c>
      <c r="C14" s="6"/>
      <c r="D14" s="11">
        <v>613.47</v>
      </c>
      <c r="E14" s="11">
        <v>745.32</v>
      </c>
      <c r="F14" s="11">
        <v>649.36</v>
      </c>
      <c r="G14" s="11">
        <v>745.72</v>
      </c>
      <c r="H14" s="11">
        <v>781.84</v>
      </c>
      <c r="I14" s="11">
        <v>884.24</v>
      </c>
      <c r="J14" s="11">
        <v>734.42</v>
      </c>
      <c r="K14" s="11">
        <v>696.93</v>
      </c>
      <c r="L14" s="11">
        <v>580.04</v>
      </c>
      <c r="M14" s="11">
        <v>601.69000000000005</v>
      </c>
      <c r="N14" s="11">
        <v>792.02</v>
      </c>
      <c r="O14" s="12">
        <v>1144.22</v>
      </c>
      <c r="P14" s="12">
        <v>1765.3</v>
      </c>
      <c r="Q14" s="12">
        <v>1974.35</v>
      </c>
      <c r="R14" s="13">
        <v>1797.01</v>
      </c>
      <c r="S14" s="12">
        <v>2435.25</v>
      </c>
      <c r="T14" s="12">
        <v>2532.5500000000002</v>
      </c>
      <c r="U14" s="12">
        <v>2241.31</v>
      </c>
      <c r="V14" s="12">
        <v>2227.5500000000002</v>
      </c>
      <c r="W14" s="12">
        <v>2304.61</v>
      </c>
      <c r="X14" s="12">
        <v>2405.91</v>
      </c>
      <c r="Y14" s="12">
        <v>2496.2399999999998</v>
      </c>
      <c r="Z14" s="12">
        <v>2451.21</v>
      </c>
      <c r="AA14" s="12">
        <v>2632.53</v>
      </c>
      <c r="AB14" s="12">
        <v>2904.43</v>
      </c>
      <c r="AC14" s="12">
        <v>3682.38</v>
      </c>
      <c r="AD14" s="12">
        <v>3632.28</v>
      </c>
      <c r="AE14" s="12">
        <v>5028.87</v>
      </c>
      <c r="AF14" s="12">
        <v>3701.17</v>
      </c>
      <c r="AG14" s="12">
        <v>3692.42</v>
      </c>
      <c r="AH14" s="12">
        <v>2565.81</v>
      </c>
      <c r="AI14" s="12">
        <v>2144.86</v>
      </c>
      <c r="AJ14" s="12">
        <v>2112.83</v>
      </c>
      <c r="AK14" s="12">
        <v>2777.07</v>
      </c>
      <c r="AL14" s="12">
        <v>2727.36</v>
      </c>
      <c r="AM14" s="12">
        <v>2648.38</v>
      </c>
      <c r="AN14" s="12">
        <v>2690.75</v>
      </c>
      <c r="AO14" s="12">
        <v>2631.41</v>
      </c>
      <c r="AP14" s="12">
        <v>3061.82</v>
      </c>
      <c r="AQ14" s="12">
        <v>3959.07</v>
      </c>
      <c r="AR14" s="12">
        <v>4337.91</v>
      </c>
      <c r="AS14" s="12">
        <v>5854.29</v>
      </c>
      <c r="AT14" s="12">
        <v>4506.0600000000004</v>
      </c>
      <c r="AU14" s="12">
        <v>4031.96</v>
      </c>
      <c r="AV14" s="12">
        <v>4688.54</v>
      </c>
      <c r="AW14" s="12">
        <v>3599.13</v>
      </c>
      <c r="AX14" s="12">
        <v>4232.1000000000004</v>
      </c>
      <c r="AY14" s="12">
        <v>4331.13</v>
      </c>
      <c r="AZ14" s="12">
        <v>4466.93</v>
      </c>
      <c r="BA14" s="12">
        <v>3933.3</v>
      </c>
      <c r="BB14" s="12">
        <v>3751.83</v>
      </c>
      <c r="BC14" s="12">
        <v>3799.86</v>
      </c>
      <c r="BD14" s="12">
        <v>3537.96</v>
      </c>
      <c r="BE14" s="12">
        <v>3066.64</v>
      </c>
      <c r="BF14" s="12">
        <v>2762.73</v>
      </c>
      <c r="BG14" s="12">
        <v>2639.54</v>
      </c>
      <c r="BH14" s="12">
        <v>3131.7</v>
      </c>
      <c r="BI14" s="12">
        <v>3293.88</v>
      </c>
      <c r="BJ14" s="12">
        <v>3149.01</v>
      </c>
      <c r="BK14" s="12">
        <v>3823.72</v>
      </c>
      <c r="BL14" s="12">
        <v>4183.42</v>
      </c>
      <c r="BM14" s="12">
        <v>4562.1000000000004</v>
      </c>
      <c r="BN14" s="12">
        <v>4097.72</v>
      </c>
      <c r="BO14" s="12">
        <v>4376.3900000000003</v>
      </c>
      <c r="BP14" s="12">
        <v>4416.17</v>
      </c>
      <c r="BQ14" s="12">
        <v>5021.53</v>
      </c>
    </row>
    <row r="15" spans="1:69" x14ac:dyDescent="0.4">
      <c r="A15" s="6" t="s">
        <v>4</v>
      </c>
      <c r="B15" s="4" t="s">
        <v>51</v>
      </c>
      <c r="C15" s="6"/>
      <c r="D15" s="11">
        <v>658.73</v>
      </c>
      <c r="E15" s="11">
        <v>700.68</v>
      </c>
      <c r="F15" s="11">
        <v>588.95000000000005</v>
      </c>
      <c r="G15" s="11">
        <v>691.49</v>
      </c>
      <c r="H15" s="11">
        <v>949.61</v>
      </c>
      <c r="I15" s="11">
        <v>898.05</v>
      </c>
      <c r="J15" s="11">
        <v>766.75</v>
      </c>
      <c r="K15" s="11">
        <v>813.21</v>
      </c>
      <c r="L15" s="11">
        <v>702.61</v>
      </c>
      <c r="M15" s="11">
        <v>735.74</v>
      </c>
      <c r="N15" s="11">
        <v>868.89</v>
      </c>
      <c r="O15" s="12">
        <v>904.17</v>
      </c>
      <c r="P15" s="12">
        <v>1035.55</v>
      </c>
      <c r="Q15" s="11">
        <v>846.84</v>
      </c>
      <c r="R15" s="12">
        <v>961.7</v>
      </c>
      <c r="S15" s="12">
        <v>1147.44</v>
      </c>
      <c r="T15" s="12">
        <v>1372.75</v>
      </c>
      <c r="U15" s="12">
        <v>1140.33</v>
      </c>
      <c r="V15" s="12">
        <v>1320.37</v>
      </c>
      <c r="W15" s="12">
        <v>1430.93</v>
      </c>
      <c r="X15" s="12">
        <v>1507.32</v>
      </c>
      <c r="Y15" s="12">
        <v>1525.22</v>
      </c>
      <c r="Z15" s="12">
        <v>1513.56</v>
      </c>
      <c r="AA15" s="12">
        <v>1795.82</v>
      </c>
      <c r="AB15" s="12">
        <v>1990.21</v>
      </c>
      <c r="AC15" s="12">
        <v>2767.76</v>
      </c>
      <c r="AD15" s="12">
        <v>3483.03</v>
      </c>
      <c r="AE15" s="12">
        <v>3498.61</v>
      </c>
      <c r="AF15" s="12">
        <v>3217.39</v>
      </c>
      <c r="AG15" s="12">
        <v>3404.4</v>
      </c>
      <c r="AH15" s="12">
        <v>2834.24</v>
      </c>
      <c r="AI15" s="12">
        <v>1934.98</v>
      </c>
      <c r="AJ15" s="12">
        <v>1978.54</v>
      </c>
      <c r="AK15" s="12">
        <v>2718.39</v>
      </c>
      <c r="AL15" s="12">
        <v>3011.74</v>
      </c>
      <c r="AM15" s="12">
        <v>3234.74</v>
      </c>
      <c r="AN15" s="12">
        <v>3221.7</v>
      </c>
      <c r="AO15" s="12">
        <v>3236.38</v>
      </c>
      <c r="AP15" s="12">
        <v>3815.87</v>
      </c>
      <c r="AQ15" s="12">
        <v>3914.75</v>
      </c>
      <c r="AR15" s="12">
        <v>4080.8</v>
      </c>
      <c r="AS15" s="12">
        <v>4720.1899999999996</v>
      </c>
      <c r="AT15" s="12">
        <v>4006.03</v>
      </c>
      <c r="AU15" s="13">
        <v>3460.99</v>
      </c>
      <c r="AV15" s="12">
        <v>3908.42</v>
      </c>
      <c r="AW15" s="12">
        <v>3152.59</v>
      </c>
      <c r="AX15" s="12">
        <v>3256.76</v>
      </c>
      <c r="AY15" s="12">
        <v>3051.94</v>
      </c>
      <c r="AZ15" s="12">
        <v>3104.15</v>
      </c>
      <c r="BA15" s="12">
        <v>2886.33</v>
      </c>
      <c r="BB15" s="12">
        <v>2894.93</v>
      </c>
      <c r="BC15" s="12">
        <v>2997.51</v>
      </c>
      <c r="BD15" s="12">
        <v>2758.05</v>
      </c>
      <c r="BE15" s="12">
        <v>2753.2</v>
      </c>
      <c r="BF15" s="12">
        <v>2943.18</v>
      </c>
      <c r="BG15" s="12">
        <v>2605.16</v>
      </c>
      <c r="BH15" s="12">
        <v>2634.9</v>
      </c>
      <c r="BI15" s="12">
        <v>2903.75</v>
      </c>
      <c r="BJ15" s="12">
        <v>2587.6999999999998</v>
      </c>
      <c r="BK15" s="12">
        <v>2642.73</v>
      </c>
      <c r="BL15" s="12">
        <v>2744.38</v>
      </c>
      <c r="BM15" s="12">
        <v>2744.32</v>
      </c>
      <c r="BN15" s="12">
        <v>2816.99</v>
      </c>
      <c r="BO15" s="12">
        <v>2776.49</v>
      </c>
      <c r="BP15" s="12">
        <v>3060.95</v>
      </c>
      <c r="BQ15" s="12">
        <v>3196.73</v>
      </c>
    </row>
    <row r="16" spans="1:69" x14ac:dyDescent="0.4">
      <c r="A16" s="6" t="s">
        <v>5</v>
      </c>
      <c r="B16" s="4" t="s">
        <v>52</v>
      </c>
      <c r="C16" s="6"/>
      <c r="D16" s="11">
        <v>549.96</v>
      </c>
      <c r="E16" s="11">
        <v>636.4</v>
      </c>
      <c r="F16" s="11">
        <v>580.6</v>
      </c>
      <c r="G16" s="11">
        <v>652.22</v>
      </c>
      <c r="H16" s="11">
        <v>794.14</v>
      </c>
      <c r="I16" s="11">
        <v>665.69</v>
      </c>
      <c r="J16" s="11">
        <v>654.47</v>
      </c>
      <c r="K16" s="11">
        <v>620.79</v>
      </c>
      <c r="L16" s="11">
        <v>520.91999999999996</v>
      </c>
      <c r="M16" s="11">
        <v>645.01</v>
      </c>
      <c r="N16" s="11">
        <v>708.07</v>
      </c>
      <c r="O16" s="11">
        <v>750.42</v>
      </c>
      <c r="P16" s="11">
        <v>769.06</v>
      </c>
      <c r="Q16" s="11">
        <v>711.99</v>
      </c>
      <c r="R16" s="11">
        <v>751.06</v>
      </c>
      <c r="S16" s="11">
        <v>889.74</v>
      </c>
      <c r="T16" s="12">
        <v>1140.1400000000001</v>
      </c>
      <c r="U16" s="12">
        <v>1129.93</v>
      </c>
      <c r="V16" s="12">
        <v>1404.37</v>
      </c>
      <c r="W16" s="12">
        <v>1787.69</v>
      </c>
      <c r="X16" s="12">
        <v>1843.87</v>
      </c>
      <c r="Y16" s="12">
        <v>1971.14</v>
      </c>
      <c r="Z16" s="13">
        <v>2080.5500000000002</v>
      </c>
      <c r="AA16" s="12">
        <v>2433.91</v>
      </c>
      <c r="AB16" s="12">
        <v>2453.4899999999998</v>
      </c>
      <c r="AC16" s="12">
        <v>3968.61</v>
      </c>
      <c r="AD16" s="12">
        <v>4603.72</v>
      </c>
      <c r="AE16" s="12">
        <v>4802.37</v>
      </c>
      <c r="AF16" s="12">
        <v>4196.95</v>
      </c>
      <c r="AG16" s="12">
        <v>4231.5200000000004</v>
      </c>
      <c r="AH16" s="12">
        <v>2822.08</v>
      </c>
      <c r="AI16" s="12">
        <v>1855.63</v>
      </c>
      <c r="AJ16" s="12">
        <v>2000</v>
      </c>
      <c r="AK16" s="12">
        <v>2761.14</v>
      </c>
      <c r="AL16" s="12">
        <v>2629.12</v>
      </c>
      <c r="AM16" s="12">
        <v>2410.5100000000002</v>
      </c>
      <c r="AN16" s="12">
        <v>2635.55</v>
      </c>
      <c r="AO16" s="12">
        <v>2336.4699999999998</v>
      </c>
      <c r="AP16" s="12">
        <v>2691.05</v>
      </c>
      <c r="AQ16" s="12">
        <v>3260.53</v>
      </c>
      <c r="AR16" s="12">
        <v>3266.94</v>
      </c>
      <c r="AS16" s="12">
        <v>3649.05</v>
      </c>
      <c r="AT16" s="12">
        <v>3134.74</v>
      </c>
      <c r="AU16" s="12">
        <v>2756.49</v>
      </c>
      <c r="AV16" s="12">
        <v>3308.36</v>
      </c>
      <c r="AW16" s="12">
        <v>2659.72</v>
      </c>
      <c r="AX16" s="12">
        <v>2610.94</v>
      </c>
      <c r="AY16" s="12">
        <v>2450.81</v>
      </c>
      <c r="AZ16" s="12">
        <v>2532.7199999999998</v>
      </c>
      <c r="BA16" s="12">
        <v>2382.1799999999998</v>
      </c>
      <c r="BB16" s="12">
        <v>2380.2800000000002</v>
      </c>
      <c r="BC16" s="12">
        <v>2510.31</v>
      </c>
      <c r="BD16" s="12">
        <v>2400.09</v>
      </c>
      <c r="BE16" s="12">
        <v>2370.35</v>
      </c>
      <c r="BF16" s="12">
        <v>2388.0100000000002</v>
      </c>
      <c r="BG16" s="12">
        <v>2077.1</v>
      </c>
      <c r="BH16" s="12">
        <v>2226.7399999999998</v>
      </c>
      <c r="BI16" s="12">
        <v>2316.9499999999998</v>
      </c>
      <c r="BJ16" s="12">
        <v>2023.31</v>
      </c>
      <c r="BK16" s="12">
        <v>1954</v>
      </c>
      <c r="BL16" s="12">
        <v>1881.06</v>
      </c>
      <c r="BM16" s="12">
        <v>1843.91</v>
      </c>
      <c r="BN16" s="12">
        <v>1964.74</v>
      </c>
      <c r="BO16" s="12">
        <v>1809.72</v>
      </c>
      <c r="BP16" s="12">
        <v>1879.17</v>
      </c>
      <c r="BQ16" s="12">
        <v>2081.6999999999998</v>
      </c>
    </row>
    <row r="17" spans="1:69" x14ac:dyDescent="0.4">
      <c r="A17" s="6" t="s">
        <v>6</v>
      </c>
      <c r="B17" s="4" t="s">
        <v>53</v>
      </c>
      <c r="C17" s="6"/>
      <c r="D17" s="11">
        <v>487.57</v>
      </c>
      <c r="E17" s="11">
        <v>645.29999999999995</v>
      </c>
      <c r="F17" s="11">
        <v>477.08</v>
      </c>
      <c r="G17" s="11">
        <v>496.17</v>
      </c>
      <c r="H17" s="11">
        <v>415.68</v>
      </c>
      <c r="I17" s="11">
        <v>346.16</v>
      </c>
      <c r="J17" s="11">
        <v>346.49</v>
      </c>
      <c r="K17" s="11">
        <v>323.75</v>
      </c>
      <c r="L17" s="11">
        <v>296.92</v>
      </c>
      <c r="M17" s="11">
        <v>335.01</v>
      </c>
      <c r="N17" s="11">
        <v>328.61</v>
      </c>
      <c r="O17" s="11">
        <v>322.14999999999998</v>
      </c>
      <c r="P17" s="11">
        <v>281.56</v>
      </c>
      <c r="Q17" s="11">
        <v>304.55</v>
      </c>
      <c r="R17" s="11">
        <v>284.31</v>
      </c>
      <c r="S17" s="11">
        <v>386.58</v>
      </c>
      <c r="T17" s="11">
        <v>444.78</v>
      </c>
      <c r="U17" s="11">
        <v>376.29</v>
      </c>
      <c r="V17" s="11">
        <v>410.21</v>
      </c>
      <c r="W17" s="11">
        <v>499.39</v>
      </c>
      <c r="X17" s="11">
        <v>455.89</v>
      </c>
      <c r="Y17" s="11">
        <v>448.57</v>
      </c>
      <c r="Z17" s="11">
        <v>358.53</v>
      </c>
      <c r="AA17" s="11">
        <v>402.57</v>
      </c>
      <c r="AB17" s="11">
        <v>409.84</v>
      </c>
      <c r="AC17" s="11">
        <v>539.65</v>
      </c>
      <c r="AD17" s="11">
        <v>570.14</v>
      </c>
      <c r="AE17" s="11">
        <v>603.6</v>
      </c>
      <c r="AF17" s="11">
        <v>556.23</v>
      </c>
      <c r="AG17" s="11">
        <v>486.98</v>
      </c>
      <c r="AH17" s="11">
        <v>355.62</v>
      </c>
      <c r="AI17" s="11">
        <v>280.01</v>
      </c>
      <c r="AJ17" s="11">
        <v>306.29000000000002</v>
      </c>
      <c r="AK17" s="11">
        <v>441.97</v>
      </c>
      <c r="AL17" s="11">
        <v>451.86</v>
      </c>
      <c r="AM17" s="11">
        <v>362.21</v>
      </c>
      <c r="AN17" s="11">
        <v>387.81</v>
      </c>
      <c r="AO17" s="11">
        <v>314.76</v>
      </c>
      <c r="AP17" s="11">
        <v>310.45</v>
      </c>
      <c r="AQ17" s="11">
        <v>288.7</v>
      </c>
      <c r="AR17" s="11">
        <v>289.89</v>
      </c>
      <c r="AS17" s="11">
        <v>271.04000000000002</v>
      </c>
      <c r="AT17" s="11">
        <v>285.29000000000002</v>
      </c>
      <c r="AU17" s="11">
        <v>285.14999999999998</v>
      </c>
      <c r="AV17" s="11">
        <v>298.36</v>
      </c>
      <c r="AW17" s="11">
        <v>287.43</v>
      </c>
      <c r="AX17" s="11">
        <v>315.19</v>
      </c>
      <c r="AY17" s="11">
        <v>345.45</v>
      </c>
      <c r="AZ17" s="11">
        <v>343.46</v>
      </c>
      <c r="BA17" s="11">
        <v>334.24</v>
      </c>
      <c r="BB17" s="11">
        <v>324.23</v>
      </c>
      <c r="BC17" s="11">
        <v>348.77</v>
      </c>
      <c r="BD17" s="11">
        <v>410.53</v>
      </c>
      <c r="BE17" s="11">
        <v>408.86</v>
      </c>
      <c r="BF17" s="11">
        <v>387.32</v>
      </c>
      <c r="BG17" s="11">
        <v>368</v>
      </c>
      <c r="BH17" s="11">
        <v>394.35</v>
      </c>
      <c r="BI17" s="11">
        <v>451.57</v>
      </c>
      <c r="BJ17" s="11">
        <v>475.81</v>
      </c>
      <c r="BK17" s="11">
        <v>458.28</v>
      </c>
      <c r="BL17" s="11">
        <v>415.58</v>
      </c>
      <c r="BM17" s="11">
        <v>429.49</v>
      </c>
      <c r="BN17" s="11">
        <v>423.7</v>
      </c>
      <c r="BO17" s="11">
        <v>393.45</v>
      </c>
      <c r="BP17" s="11">
        <v>384.12</v>
      </c>
      <c r="BQ17" s="11">
        <v>434.8</v>
      </c>
    </row>
    <row r="18" spans="1:69" x14ac:dyDescent="0.4">
      <c r="A18" s="6" t="s">
        <v>7</v>
      </c>
      <c r="B18" s="4" t="s">
        <v>54</v>
      </c>
      <c r="C18" s="6"/>
      <c r="D18" s="11">
        <v>453.41</v>
      </c>
      <c r="E18" s="11">
        <v>443.79</v>
      </c>
      <c r="F18" s="11">
        <v>363.31</v>
      </c>
      <c r="G18" s="11">
        <v>415.25</v>
      </c>
      <c r="H18" s="11">
        <v>755.88</v>
      </c>
      <c r="I18" s="11">
        <v>718.82</v>
      </c>
      <c r="J18" s="11">
        <v>659.11</v>
      </c>
      <c r="K18" s="11">
        <v>625.92999999999995</v>
      </c>
      <c r="L18" s="11">
        <v>558.22</v>
      </c>
      <c r="M18" s="11">
        <v>607.33000000000004</v>
      </c>
      <c r="N18" s="11">
        <v>713.91</v>
      </c>
      <c r="O18" s="11">
        <v>927.73</v>
      </c>
      <c r="P18" s="11">
        <v>931.35</v>
      </c>
      <c r="Q18" s="11">
        <v>796.39</v>
      </c>
      <c r="R18" s="11">
        <v>998.73</v>
      </c>
      <c r="S18" s="12">
        <v>1246.97</v>
      </c>
      <c r="T18" s="12">
        <v>1483.25</v>
      </c>
      <c r="U18" s="12">
        <v>1294.07</v>
      </c>
      <c r="V18" s="12">
        <v>1218.51</v>
      </c>
      <c r="W18" s="12">
        <v>1479.56</v>
      </c>
      <c r="X18" s="12">
        <v>1672.72</v>
      </c>
      <c r="Y18" s="12">
        <v>1588.29</v>
      </c>
      <c r="Z18" s="12">
        <v>1439.23</v>
      </c>
      <c r="AA18" s="12">
        <v>1763.98</v>
      </c>
      <c r="AB18" s="12">
        <v>1717.34</v>
      </c>
      <c r="AC18" s="12">
        <v>3006.55</v>
      </c>
      <c r="AD18" s="12">
        <v>3521.92</v>
      </c>
      <c r="AE18" s="12">
        <v>3775.34</v>
      </c>
      <c r="AF18" s="12">
        <v>3186.25</v>
      </c>
      <c r="AG18" s="12">
        <v>3119.99</v>
      </c>
      <c r="AH18" s="12">
        <v>2552.14</v>
      </c>
      <c r="AI18" s="12">
        <v>1831.52</v>
      </c>
      <c r="AJ18" s="12">
        <v>1617.25</v>
      </c>
      <c r="AK18" s="12">
        <v>1996.01</v>
      </c>
      <c r="AL18" s="12">
        <v>2047.65</v>
      </c>
      <c r="AM18" s="12">
        <v>1986.04</v>
      </c>
      <c r="AN18" s="12">
        <v>2225.83</v>
      </c>
      <c r="AO18" s="12">
        <v>2495.7199999999998</v>
      </c>
      <c r="AP18" s="12">
        <v>2647.61</v>
      </c>
      <c r="AQ18" s="12">
        <v>2875.86</v>
      </c>
      <c r="AR18" s="12">
        <v>2472.94</v>
      </c>
      <c r="AS18" s="12">
        <v>2422.81</v>
      </c>
      <c r="AT18" s="12">
        <v>2303.65</v>
      </c>
      <c r="AU18" s="12">
        <v>1955.48</v>
      </c>
      <c r="AV18" s="12">
        <v>2261.48</v>
      </c>
      <c r="AW18" s="12">
        <v>1959.87</v>
      </c>
      <c r="AX18" s="12">
        <v>2154.0300000000002</v>
      </c>
      <c r="AY18" s="12">
        <v>2018.95</v>
      </c>
      <c r="AZ18" s="12">
        <v>1907.37</v>
      </c>
      <c r="BA18" s="12">
        <v>1637.85</v>
      </c>
      <c r="BB18" s="12">
        <v>1627.56</v>
      </c>
      <c r="BC18" s="12">
        <v>1512.49</v>
      </c>
      <c r="BD18" s="12">
        <v>1671.36</v>
      </c>
      <c r="BE18" s="12">
        <v>1690.45</v>
      </c>
      <c r="BF18" s="12">
        <v>1929.64</v>
      </c>
      <c r="BG18" s="12">
        <v>1952.54</v>
      </c>
      <c r="BH18" s="12">
        <v>2082.12</v>
      </c>
      <c r="BI18" s="12">
        <v>2054.66</v>
      </c>
      <c r="BJ18" s="12">
        <v>1703.79</v>
      </c>
      <c r="BK18" s="12">
        <v>1543.24</v>
      </c>
      <c r="BL18" s="12">
        <v>1434.12</v>
      </c>
      <c r="BM18" s="12">
        <v>1452.21</v>
      </c>
      <c r="BN18" s="12">
        <v>1448.03</v>
      </c>
      <c r="BO18" s="12">
        <v>1330.45</v>
      </c>
      <c r="BP18" s="12">
        <v>1347.59</v>
      </c>
      <c r="BQ18" s="12">
        <v>1494.76</v>
      </c>
    </row>
    <row r="19" spans="1:69" x14ac:dyDescent="0.4">
      <c r="A19" s="6" t="s">
        <v>8</v>
      </c>
      <c r="B19" s="4" t="s">
        <v>55</v>
      </c>
      <c r="C19" s="6"/>
      <c r="D19" s="11">
        <v>817.15</v>
      </c>
      <c r="E19" s="12">
        <v>1135.92</v>
      </c>
      <c r="F19" s="11">
        <v>957.29</v>
      </c>
      <c r="G19" s="12">
        <v>1132.93</v>
      </c>
      <c r="H19" s="12">
        <v>1494.85</v>
      </c>
      <c r="I19" s="12">
        <v>1505.68</v>
      </c>
      <c r="J19" s="12">
        <v>1334.69</v>
      </c>
      <c r="K19" s="12">
        <v>1334.68</v>
      </c>
      <c r="L19" s="12">
        <v>1031.7</v>
      </c>
      <c r="M19" s="12">
        <v>1231.8</v>
      </c>
      <c r="N19" s="12">
        <v>1567.45</v>
      </c>
      <c r="O19" s="12">
        <v>1819.53</v>
      </c>
      <c r="P19" s="12">
        <v>1923.31</v>
      </c>
      <c r="Q19" s="12">
        <v>1673.56</v>
      </c>
      <c r="R19" s="12">
        <v>1897.86</v>
      </c>
      <c r="S19" s="12">
        <v>1963.3</v>
      </c>
      <c r="T19" s="12">
        <v>2256.61</v>
      </c>
      <c r="U19" s="12">
        <v>2215.42</v>
      </c>
      <c r="V19" s="12">
        <v>2586.5300000000002</v>
      </c>
      <c r="W19" s="12">
        <v>3373.76</v>
      </c>
      <c r="X19" s="12">
        <v>3100.13</v>
      </c>
      <c r="Y19" s="12">
        <v>2760.47</v>
      </c>
      <c r="Z19" s="12">
        <v>2924.7</v>
      </c>
      <c r="AA19" s="12">
        <v>2761.57</v>
      </c>
      <c r="AB19" s="12">
        <v>2591.15</v>
      </c>
      <c r="AC19" s="12">
        <v>2688.28</v>
      </c>
      <c r="AD19" s="12">
        <v>2984</v>
      </c>
      <c r="AE19" s="12">
        <v>2660.62</v>
      </c>
      <c r="AF19" s="12">
        <v>2454.96</v>
      </c>
      <c r="AG19" s="12">
        <v>2970.03</v>
      </c>
      <c r="AH19" s="12">
        <v>2656.56</v>
      </c>
      <c r="AI19" s="12">
        <v>1640</v>
      </c>
      <c r="AJ19" s="12">
        <v>1841.8</v>
      </c>
      <c r="AK19" s="12">
        <v>2743.37</v>
      </c>
      <c r="AL19" s="12">
        <v>3666.86</v>
      </c>
      <c r="AM19" s="12">
        <v>3660.48</v>
      </c>
      <c r="AN19" s="12">
        <v>4047.95</v>
      </c>
      <c r="AO19" s="12">
        <v>5142.01</v>
      </c>
      <c r="AP19" s="12">
        <v>5290.58</v>
      </c>
      <c r="AQ19" s="12">
        <v>6731.48</v>
      </c>
      <c r="AR19" s="12">
        <v>6952.8</v>
      </c>
      <c r="AS19" s="12">
        <v>9654.36</v>
      </c>
      <c r="AT19" s="12">
        <v>8379.8799999999992</v>
      </c>
      <c r="AU19" s="12">
        <v>8351.9699999999993</v>
      </c>
      <c r="AV19" s="12">
        <v>8264.9</v>
      </c>
      <c r="AW19" s="12">
        <v>8853.93</v>
      </c>
      <c r="AX19" s="12">
        <v>8848.7199999999993</v>
      </c>
      <c r="AY19" s="12">
        <v>8098.76</v>
      </c>
      <c r="AZ19" s="12">
        <v>8032.97</v>
      </c>
      <c r="BA19" s="12">
        <v>7989.07</v>
      </c>
      <c r="BB19" s="12">
        <v>8744.4599999999991</v>
      </c>
      <c r="BC19" s="12">
        <v>8921.23</v>
      </c>
      <c r="BD19" s="12">
        <v>8693.2000000000007</v>
      </c>
      <c r="BE19" s="12">
        <v>8383.1200000000008</v>
      </c>
      <c r="BF19" s="12">
        <v>8673.5</v>
      </c>
      <c r="BG19" s="12">
        <v>7303.51</v>
      </c>
      <c r="BH19" s="12">
        <v>6700.13</v>
      </c>
      <c r="BI19" s="12">
        <v>6516.91</v>
      </c>
      <c r="BJ19" s="12">
        <v>6085.37</v>
      </c>
      <c r="BK19" s="12">
        <v>6616.05</v>
      </c>
      <c r="BL19" s="12">
        <v>6516.84</v>
      </c>
      <c r="BM19" s="12">
        <v>6576.75</v>
      </c>
      <c r="BN19" s="12">
        <v>6431.41</v>
      </c>
      <c r="BO19" s="12">
        <v>6067.07</v>
      </c>
      <c r="BP19" s="12">
        <v>6419.31</v>
      </c>
      <c r="BQ19" s="12">
        <v>6766.87</v>
      </c>
    </row>
    <row r="20" spans="1:69" x14ac:dyDescent="0.4">
      <c r="A20" s="6" t="s">
        <v>9</v>
      </c>
      <c r="B20" s="4" t="s">
        <v>56</v>
      </c>
      <c r="C20" s="6"/>
      <c r="D20" s="11">
        <v>921.93</v>
      </c>
      <c r="E20" s="12">
        <v>1018.75</v>
      </c>
      <c r="F20" s="11">
        <v>806.25</v>
      </c>
      <c r="G20" s="11">
        <v>861.02</v>
      </c>
      <c r="H20" s="12">
        <v>1085.03</v>
      </c>
      <c r="I20" s="12">
        <v>1037.22</v>
      </c>
      <c r="J20" s="11">
        <v>834.97</v>
      </c>
      <c r="K20" s="11">
        <v>747.68</v>
      </c>
      <c r="L20" s="11">
        <v>569.11</v>
      </c>
      <c r="M20" s="11">
        <v>596.80999999999995</v>
      </c>
      <c r="N20" s="11">
        <v>603.62</v>
      </c>
      <c r="O20" s="11">
        <v>585.74</v>
      </c>
      <c r="P20" s="11">
        <v>584.48</v>
      </c>
      <c r="Q20" s="11">
        <v>556.80999999999995</v>
      </c>
      <c r="R20" s="11">
        <v>568.04</v>
      </c>
      <c r="S20" s="11">
        <v>555.34</v>
      </c>
      <c r="T20" s="11">
        <v>695.18</v>
      </c>
      <c r="U20" s="11">
        <v>737.32</v>
      </c>
      <c r="V20" s="11">
        <v>832.21</v>
      </c>
      <c r="W20" s="12">
        <v>1161.23</v>
      </c>
      <c r="X20" s="12">
        <v>1279.8399999999999</v>
      </c>
      <c r="Y20" s="12">
        <v>1140.26</v>
      </c>
      <c r="Z20" s="12">
        <v>1104.4000000000001</v>
      </c>
      <c r="AA20" s="12">
        <v>1247.3699999999999</v>
      </c>
      <c r="AB20" s="12">
        <v>1203.1500000000001</v>
      </c>
      <c r="AC20" s="12">
        <v>1440.4</v>
      </c>
      <c r="AD20" s="12">
        <v>1482.26</v>
      </c>
      <c r="AE20" s="12">
        <v>1440.39</v>
      </c>
      <c r="AF20" s="12">
        <v>1250.6400000000001</v>
      </c>
      <c r="AG20" s="12">
        <v>1321.68</v>
      </c>
      <c r="AH20" s="12">
        <v>1230.56</v>
      </c>
      <c r="AI20" s="11">
        <v>943.14</v>
      </c>
      <c r="AJ20" s="12">
        <v>931.05</v>
      </c>
      <c r="AK20" s="12">
        <v>1177.01</v>
      </c>
      <c r="AL20" s="12">
        <v>1296.03</v>
      </c>
      <c r="AM20" s="12">
        <v>1373.86</v>
      </c>
      <c r="AN20" s="12">
        <v>1315.82</v>
      </c>
      <c r="AO20" s="12">
        <v>1375.36</v>
      </c>
      <c r="AP20" s="12">
        <v>1517.37</v>
      </c>
      <c r="AQ20" s="12">
        <v>1566.1</v>
      </c>
      <c r="AR20" s="12">
        <v>1455.17</v>
      </c>
      <c r="AS20" s="12">
        <v>1723.7</v>
      </c>
      <c r="AT20" s="12">
        <v>1757.11</v>
      </c>
      <c r="AU20" s="12">
        <v>1744.24</v>
      </c>
      <c r="AV20" s="12">
        <v>1778.32</v>
      </c>
      <c r="AW20" s="12">
        <v>1760.75</v>
      </c>
      <c r="AX20" s="12">
        <v>1967.57</v>
      </c>
      <c r="AY20" s="12">
        <v>2053.69</v>
      </c>
      <c r="AZ20" s="12">
        <v>1997.12</v>
      </c>
      <c r="BA20" s="12">
        <v>2049.3200000000002</v>
      </c>
      <c r="BB20" s="12">
        <v>1883.91</v>
      </c>
      <c r="BC20" s="12">
        <v>2113.16</v>
      </c>
      <c r="BD20" s="12">
        <v>2245.0700000000002</v>
      </c>
      <c r="BE20" s="12">
        <v>2687.21</v>
      </c>
      <c r="BF20" s="12">
        <v>3314.25</v>
      </c>
      <c r="BG20" s="12">
        <v>3542.87</v>
      </c>
      <c r="BH20" s="12">
        <v>3834.27</v>
      </c>
      <c r="BI20" s="12">
        <v>4998.42</v>
      </c>
      <c r="BJ20" s="12">
        <v>4728.1000000000004</v>
      </c>
      <c r="BK20" s="12">
        <v>4518.45</v>
      </c>
      <c r="BL20" s="12">
        <v>4240.6899999999996</v>
      </c>
      <c r="BM20" s="12">
        <v>4628.8100000000004</v>
      </c>
      <c r="BN20" s="12">
        <v>4117.71</v>
      </c>
      <c r="BO20" s="12">
        <v>3571.7</v>
      </c>
      <c r="BP20" s="12">
        <v>3654.78</v>
      </c>
      <c r="BQ20" s="12">
        <v>4036.22</v>
      </c>
    </row>
    <row r="21" spans="1:69" x14ac:dyDescent="0.4">
      <c r="A21" s="6" t="s">
        <v>10</v>
      </c>
      <c r="B21" s="4" t="s">
        <v>57</v>
      </c>
      <c r="C21" s="6"/>
      <c r="D21" s="11">
        <v>611.87</v>
      </c>
      <c r="E21" s="11">
        <v>690.18</v>
      </c>
      <c r="F21" s="11">
        <v>627.45000000000005</v>
      </c>
      <c r="G21" s="11">
        <v>682.78</v>
      </c>
      <c r="H21" s="12">
        <v>894.18</v>
      </c>
      <c r="I21" s="11">
        <v>812.8</v>
      </c>
      <c r="J21" s="11">
        <v>763.63</v>
      </c>
      <c r="K21" s="11">
        <v>705.03</v>
      </c>
      <c r="L21" s="11">
        <v>617.07000000000005</v>
      </c>
      <c r="M21" s="11">
        <v>660.11</v>
      </c>
      <c r="N21" s="11">
        <v>681.3</v>
      </c>
      <c r="O21" s="11">
        <v>701.63</v>
      </c>
      <c r="P21" s="11">
        <v>770.48</v>
      </c>
      <c r="Q21" s="11">
        <v>697.19</v>
      </c>
      <c r="R21" s="11">
        <v>726.76</v>
      </c>
      <c r="S21" s="11">
        <v>811.32</v>
      </c>
      <c r="T21" s="11">
        <v>840.77</v>
      </c>
      <c r="U21" s="11">
        <v>906.69</v>
      </c>
      <c r="V21" s="12">
        <v>1026.81</v>
      </c>
      <c r="W21" s="12">
        <v>1229.9100000000001</v>
      </c>
      <c r="X21" s="12">
        <v>1231.43</v>
      </c>
      <c r="Y21" s="12">
        <v>1168.57</v>
      </c>
      <c r="Z21" s="12">
        <v>1135.27</v>
      </c>
      <c r="AA21" s="12">
        <v>1170.8800000000001</v>
      </c>
      <c r="AB21" s="12">
        <v>1101.92</v>
      </c>
      <c r="AC21" s="12">
        <v>1255.04</v>
      </c>
      <c r="AD21" s="12">
        <v>1479.54</v>
      </c>
      <c r="AE21" s="12">
        <v>1484.95</v>
      </c>
      <c r="AF21" s="12">
        <v>1354.04</v>
      </c>
      <c r="AG21" s="12">
        <v>1400.35</v>
      </c>
      <c r="AH21" s="12">
        <v>1108.5899999999999</v>
      </c>
      <c r="AI21" s="11">
        <v>764.04</v>
      </c>
      <c r="AJ21" s="11">
        <v>750.83</v>
      </c>
      <c r="AK21" s="11">
        <v>960.37</v>
      </c>
      <c r="AL21" s="12">
        <v>970.53</v>
      </c>
      <c r="AM21" s="12">
        <v>1022.4</v>
      </c>
      <c r="AN21" s="12">
        <v>1043.56</v>
      </c>
      <c r="AO21" s="12">
        <v>1088.56</v>
      </c>
      <c r="AP21" s="12">
        <v>1260.3399999999999</v>
      </c>
      <c r="AQ21" s="12">
        <v>1350.02</v>
      </c>
      <c r="AR21" s="12">
        <v>1282.56</v>
      </c>
      <c r="AS21" s="12">
        <v>1333.33</v>
      </c>
      <c r="AT21" s="12">
        <v>1453.33</v>
      </c>
      <c r="AU21" s="12">
        <v>1400.6</v>
      </c>
      <c r="AV21" s="12">
        <v>1412.92</v>
      </c>
      <c r="AW21" s="12">
        <v>1539.85</v>
      </c>
      <c r="AX21" s="12">
        <v>1596.05</v>
      </c>
      <c r="AY21" s="12">
        <v>1848.5</v>
      </c>
      <c r="AZ21" s="12">
        <v>1868.89</v>
      </c>
      <c r="BA21" s="12">
        <v>2126.3000000000002</v>
      </c>
      <c r="BB21" s="12">
        <v>1891.7</v>
      </c>
      <c r="BC21" s="12">
        <v>2126.66</v>
      </c>
      <c r="BD21" s="12">
        <v>2254.91</v>
      </c>
      <c r="BE21" s="12">
        <v>2313.42</v>
      </c>
      <c r="BF21" s="12">
        <v>2746.52</v>
      </c>
      <c r="BG21" s="12">
        <v>2314.3200000000002</v>
      </c>
      <c r="BH21" s="12">
        <v>2401.1</v>
      </c>
      <c r="BI21" s="12">
        <v>2924.5</v>
      </c>
      <c r="BJ21" s="13">
        <v>2964.81</v>
      </c>
      <c r="BK21" s="12">
        <v>2462.16</v>
      </c>
      <c r="BL21" s="12">
        <v>2222.0700000000002</v>
      </c>
      <c r="BM21" s="12">
        <v>2327.79</v>
      </c>
      <c r="BN21" s="12">
        <v>2187.64</v>
      </c>
      <c r="BO21" s="12">
        <v>1907.3</v>
      </c>
      <c r="BP21" s="12">
        <v>1961.29</v>
      </c>
      <c r="BQ21" s="12">
        <v>2099.0100000000002</v>
      </c>
    </row>
    <row r="22" spans="1:69" x14ac:dyDescent="0.4">
      <c r="A22" s="6" t="s">
        <v>11</v>
      </c>
      <c r="B22" s="4" t="s">
        <v>58</v>
      </c>
      <c r="C22" s="6"/>
      <c r="D22" s="11">
        <v>617.84</v>
      </c>
      <c r="E22" s="11">
        <v>713.53</v>
      </c>
      <c r="F22" s="11">
        <v>586.96</v>
      </c>
      <c r="G22" s="11">
        <v>677.92</v>
      </c>
      <c r="H22" s="11">
        <v>861.58</v>
      </c>
      <c r="I22" s="11">
        <v>695.28</v>
      </c>
      <c r="J22" s="11">
        <v>581.28</v>
      </c>
      <c r="K22" s="11">
        <v>534.99</v>
      </c>
      <c r="L22" s="11">
        <v>435.77</v>
      </c>
      <c r="M22" s="11">
        <v>558.17999999999995</v>
      </c>
      <c r="N22" s="11">
        <v>528.94000000000005</v>
      </c>
      <c r="O22" s="11">
        <v>537.09</v>
      </c>
      <c r="P22" s="11">
        <v>487.89</v>
      </c>
      <c r="Q22" s="11">
        <v>433.7</v>
      </c>
      <c r="R22" s="11">
        <v>402.48</v>
      </c>
      <c r="S22" s="11">
        <v>390.21</v>
      </c>
      <c r="T22" s="11">
        <v>466.32</v>
      </c>
      <c r="U22" s="11">
        <v>438.75</v>
      </c>
      <c r="V22" s="11">
        <v>448.26</v>
      </c>
      <c r="W22" s="11">
        <v>632.30999999999995</v>
      </c>
      <c r="X22" s="11">
        <v>569.86</v>
      </c>
      <c r="Y22" s="11">
        <v>506.78</v>
      </c>
      <c r="Z22" s="11">
        <v>446.95</v>
      </c>
      <c r="AA22" s="11">
        <v>507.69</v>
      </c>
      <c r="AB22" s="11">
        <v>436.51</v>
      </c>
      <c r="AC22" s="11">
        <v>475.35</v>
      </c>
      <c r="AD22" s="11">
        <v>487.03</v>
      </c>
      <c r="AE22" s="11">
        <v>419.69</v>
      </c>
      <c r="AF22" s="11">
        <v>373.82</v>
      </c>
      <c r="AG22" s="11">
        <v>330.23</v>
      </c>
      <c r="AH22" s="11">
        <v>270.58</v>
      </c>
      <c r="AI22" s="11">
        <v>198.5</v>
      </c>
      <c r="AJ22" s="11">
        <v>188.94</v>
      </c>
      <c r="AK22" s="11">
        <v>270.41000000000003</v>
      </c>
      <c r="AL22" s="11">
        <v>291.83</v>
      </c>
      <c r="AM22" s="11">
        <v>276.73</v>
      </c>
      <c r="AN22" s="11">
        <v>288.58999999999997</v>
      </c>
      <c r="AO22" s="11">
        <v>278.92</v>
      </c>
      <c r="AP22" s="11">
        <v>268.52</v>
      </c>
      <c r="AQ22" s="11">
        <v>289.89</v>
      </c>
      <c r="AR22" s="11">
        <v>289.95999999999998</v>
      </c>
      <c r="AS22" s="11">
        <v>299.95999999999998</v>
      </c>
      <c r="AT22" s="11">
        <v>341.55</v>
      </c>
      <c r="AU22" s="11">
        <v>356.62</v>
      </c>
      <c r="AV22" s="11">
        <v>361.37</v>
      </c>
      <c r="AW22" s="11">
        <v>329.4</v>
      </c>
      <c r="AX22" s="11">
        <v>376.84</v>
      </c>
      <c r="AY22" s="11">
        <v>391.57</v>
      </c>
      <c r="AZ22" s="11">
        <v>421.91</v>
      </c>
      <c r="BA22" s="11">
        <v>454.66</v>
      </c>
      <c r="BB22" s="11">
        <v>408.73</v>
      </c>
      <c r="BC22" s="11">
        <v>407.81</v>
      </c>
      <c r="BD22" s="11">
        <v>415.21</v>
      </c>
      <c r="BE22" s="11">
        <v>419.33</v>
      </c>
      <c r="BF22" s="11">
        <v>423.58</v>
      </c>
      <c r="BG22" s="11">
        <v>379.98</v>
      </c>
      <c r="BH22" s="11">
        <v>423.17</v>
      </c>
      <c r="BI22" s="11">
        <v>496.69</v>
      </c>
      <c r="BJ22" s="11">
        <v>520.84</v>
      </c>
      <c r="BK22" s="11">
        <v>525.48</v>
      </c>
      <c r="BL22" s="11">
        <v>483.63</v>
      </c>
      <c r="BM22" s="11">
        <v>502.49</v>
      </c>
      <c r="BN22" s="11">
        <v>420.27</v>
      </c>
      <c r="BO22" s="11">
        <v>369.76</v>
      </c>
      <c r="BP22" s="11">
        <v>401.37</v>
      </c>
      <c r="BQ22" s="11">
        <v>430.09</v>
      </c>
    </row>
    <row r="23" spans="1:69" x14ac:dyDescent="0.4">
      <c r="A23" s="6" t="s">
        <v>12</v>
      </c>
      <c r="B23" s="4" t="s">
        <v>59</v>
      </c>
      <c r="C23" s="6"/>
      <c r="D23" s="11">
        <v>539.1</v>
      </c>
      <c r="E23" s="11">
        <v>689.06</v>
      </c>
      <c r="F23" s="11">
        <v>634.17999999999995</v>
      </c>
      <c r="G23" s="11">
        <v>784.31</v>
      </c>
      <c r="H23" s="12">
        <v>1337.13</v>
      </c>
      <c r="I23" s="12">
        <v>1270.83</v>
      </c>
      <c r="J23" s="12">
        <v>1327.69</v>
      </c>
      <c r="K23" s="12">
        <v>1096.45</v>
      </c>
      <c r="L23" s="11">
        <v>874.71</v>
      </c>
      <c r="M23" s="12">
        <v>986.46</v>
      </c>
      <c r="N23" s="12">
        <v>1122.29</v>
      </c>
      <c r="O23" s="12">
        <v>1130.56</v>
      </c>
      <c r="P23" s="12">
        <v>1160.26</v>
      </c>
      <c r="Q23" s="12">
        <v>1108.1199999999999</v>
      </c>
      <c r="R23" s="12">
        <v>1258.58</v>
      </c>
      <c r="S23" s="13">
        <v>1303.96</v>
      </c>
      <c r="T23" s="12">
        <v>1551.45</v>
      </c>
      <c r="U23" s="12">
        <v>1627.15</v>
      </c>
      <c r="V23" s="12">
        <v>1794.07</v>
      </c>
      <c r="W23" s="12">
        <v>2229.44</v>
      </c>
      <c r="X23" s="12">
        <v>2467.66</v>
      </c>
      <c r="Y23" s="12">
        <v>2173.4899999999998</v>
      </c>
      <c r="Z23" s="12">
        <v>2528.42</v>
      </c>
      <c r="AA23" s="12">
        <v>2756.55</v>
      </c>
      <c r="AB23" s="12">
        <v>2495.0500000000002</v>
      </c>
      <c r="AC23" s="12">
        <v>2983.15</v>
      </c>
      <c r="AD23" s="12">
        <v>2762.97</v>
      </c>
      <c r="AE23" s="12">
        <v>2895.72</v>
      </c>
      <c r="AF23" s="12">
        <v>2384.0700000000002</v>
      </c>
      <c r="AG23" s="12">
        <v>2523.62</v>
      </c>
      <c r="AH23" s="12">
        <v>2197.15</v>
      </c>
      <c r="AI23" s="12">
        <v>1473.86</v>
      </c>
      <c r="AJ23" s="12">
        <v>1417.12</v>
      </c>
      <c r="AK23" s="12">
        <v>1919.15</v>
      </c>
      <c r="AL23" s="12">
        <v>2052.7399999999998</v>
      </c>
      <c r="AM23" s="12">
        <v>2193.38</v>
      </c>
      <c r="AN23" s="12">
        <v>2120.9499999999998</v>
      </c>
      <c r="AO23" s="13">
        <v>2044.39</v>
      </c>
      <c r="AP23" s="12">
        <v>2362.56</v>
      </c>
      <c r="AQ23" s="12">
        <v>2448.83</v>
      </c>
      <c r="AR23" s="12">
        <v>2216.6799999999998</v>
      </c>
      <c r="AS23" s="12">
        <v>2645.79</v>
      </c>
      <c r="AT23" s="12">
        <v>2745.02</v>
      </c>
      <c r="AU23" s="12">
        <v>2395.09</v>
      </c>
      <c r="AV23" s="12">
        <v>2453.79</v>
      </c>
      <c r="AW23" s="12">
        <v>2168.34</v>
      </c>
      <c r="AX23" s="12">
        <v>2162.0700000000002</v>
      </c>
      <c r="AY23" s="12">
        <v>2194.65</v>
      </c>
      <c r="AZ23" s="12">
        <v>2330.79</v>
      </c>
      <c r="BA23" s="12">
        <v>2346.1999999999998</v>
      </c>
      <c r="BB23" s="12">
        <v>2283.6</v>
      </c>
      <c r="BC23" s="12">
        <v>2699.03</v>
      </c>
      <c r="BD23" s="12">
        <v>2499.9299999999998</v>
      </c>
      <c r="BE23" s="12">
        <v>2286.63</v>
      </c>
      <c r="BF23" s="12">
        <v>2494.3000000000002</v>
      </c>
      <c r="BG23" s="12">
        <v>2189.62</v>
      </c>
      <c r="BH23" s="12">
        <v>2142.5500000000002</v>
      </c>
      <c r="BI23" s="12">
        <v>2551.33</v>
      </c>
      <c r="BJ23" s="12">
        <v>2633.89</v>
      </c>
      <c r="BK23" s="12">
        <v>2382.7600000000002</v>
      </c>
      <c r="BL23" s="12">
        <v>2196.62</v>
      </c>
      <c r="BM23" s="12">
        <v>2245.7399999999998</v>
      </c>
      <c r="BN23" s="12">
        <v>2007.11</v>
      </c>
      <c r="BO23" s="12">
        <v>1983.12</v>
      </c>
      <c r="BP23" s="12">
        <v>2144.84</v>
      </c>
      <c r="BQ23" s="12">
        <v>2537.17</v>
      </c>
    </row>
    <row r="24" spans="1:69" x14ac:dyDescent="0.4">
      <c r="A24" s="6" t="s">
        <v>13</v>
      </c>
      <c r="B24" s="4" t="s">
        <v>60</v>
      </c>
      <c r="C24" s="6"/>
      <c r="D24" s="11">
        <v>333.4</v>
      </c>
      <c r="E24" s="11">
        <v>411.69</v>
      </c>
      <c r="F24" s="11">
        <v>427.07</v>
      </c>
      <c r="G24" s="11">
        <v>480.91</v>
      </c>
      <c r="H24" s="11">
        <v>553.54999999999995</v>
      </c>
      <c r="I24" s="11">
        <v>458.93</v>
      </c>
      <c r="J24" s="11">
        <v>353.19</v>
      </c>
      <c r="K24" s="11">
        <v>296.68</v>
      </c>
      <c r="L24" s="11">
        <v>223.68</v>
      </c>
      <c r="M24" s="11">
        <v>264.05</v>
      </c>
      <c r="N24" s="11">
        <v>228.6</v>
      </c>
      <c r="O24" s="11">
        <v>173.52</v>
      </c>
      <c r="P24" s="11">
        <v>171.12</v>
      </c>
      <c r="Q24" s="11">
        <v>205.85</v>
      </c>
      <c r="R24" s="11">
        <v>179.94</v>
      </c>
      <c r="S24" s="11">
        <v>217.08</v>
      </c>
      <c r="T24" s="11">
        <v>258.87</v>
      </c>
      <c r="U24" s="11">
        <v>263.48</v>
      </c>
      <c r="V24" s="11">
        <v>309.7</v>
      </c>
      <c r="W24" s="11">
        <v>424.7</v>
      </c>
      <c r="X24" s="11">
        <v>424.4</v>
      </c>
      <c r="Y24" s="11">
        <v>487.81</v>
      </c>
      <c r="Z24" s="11">
        <v>483.37</v>
      </c>
      <c r="AA24" s="11">
        <v>591.04</v>
      </c>
      <c r="AB24" s="11">
        <v>541.72</v>
      </c>
      <c r="AC24" s="11">
        <v>635.29999999999995</v>
      </c>
      <c r="AD24" s="11">
        <v>698.97</v>
      </c>
      <c r="AE24" s="11">
        <v>859.28</v>
      </c>
      <c r="AF24" s="11">
        <v>897.49</v>
      </c>
      <c r="AG24" s="11">
        <v>935.47</v>
      </c>
      <c r="AH24" s="11">
        <v>628.87</v>
      </c>
      <c r="AI24" s="11">
        <v>395.04</v>
      </c>
      <c r="AJ24" s="11">
        <v>468.11</v>
      </c>
      <c r="AK24" s="11">
        <v>569.4</v>
      </c>
      <c r="AL24" s="11">
        <v>644.92999999999995</v>
      </c>
      <c r="AM24" s="11">
        <v>622.5</v>
      </c>
      <c r="AN24" s="11">
        <v>562.42999999999995</v>
      </c>
      <c r="AO24" s="11">
        <v>460.74</v>
      </c>
      <c r="AP24" s="11">
        <v>454.05</v>
      </c>
      <c r="AQ24" s="11">
        <v>508.9</v>
      </c>
      <c r="AR24" s="11">
        <v>436.61</v>
      </c>
      <c r="AS24" s="11">
        <v>399</v>
      </c>
      <c r="AT24" s="11">
        <v>399.76</v>
      </c>
      <c r="AU24" s="11">
        <v>342.57</v>
      </c>
      <c r="AV24" s="11">
        <v>363.04</v>
      </c>
      <c r="AW24" s="11">
        <v>276.91000000000003</v>
      </c>
      <c r="AX24" s="11">
        <v>261.44</v>
      </c>
      <c r="AY24" s="11">
        <v>260.23</v>
      </c>
      <c r="AZ24" s="11">
        <v>275.98</v>
      </c>
      <c r="BA24" s="11">
        <v>283.16000000000003</v>
      </c>
      <c r="BB24" s="11">
        <v>263.63</v>
      </c>
      <c r="BC24" s="11">
        <v>261.7</v>
      </c>
      <c r="BD24" s="11">
        <v>258.52999999999997</v>
      </c>
      <c r="BE24" s="11">
        <v>263.42</v>
      </c>
      <c r="BF24" s="11">
        <v>268.22000000000003</v>
      </c>
      <c r="BG24" s="11">
        <v>264</v>
      </c>
      <c r="BH24" s="11">
        <v>280.64</v>
      </c>
      <c r="BI24" s="11">
        <v>313.82</v>
      </c>
      <c r="BJ24" s="11">
        <v>288.45</v>
      </c>
      <c r="BK24" s="11">
        <v>273.17</v>
      </c>
      <c r="BL24" s="11">
        <v>301.76</v>
      </c>
      <c r="BM24" s="11">
        <v>288.58</v>
      </c>
      <c r="BN24" s="11">
        <v>289.42</v>
      </c>
      <c r="BO24" s="11">
        <v>268.05</v>
      </c>
      <c r="BP24" s="11">
        <v>275.08999999999997</v>
      </c>
      <c r="BQ24" s="11">
        <v>274.01</v>
      </c>
    </row>
    <row r="25" spans="1:69" x14ac:dyDescent="0.4">
      <c r="A25" s="6" t="s">
        <v>14</v>
      </c>
      <c r="B25" s="4" t="s">
        <v>61</v>
      </c>
      <c r="C25" s="6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2">
        <v>1110.3900000000001</v>
      </c>
      <c r="AC25" s="12">
        <v>1525.97</v>
      </c>
      <c r="AD25" s="12">
        <v>2519.48</v>
      </c>
      <c r="AE25" s="12">
        <v>1374.25</v>
      </c>
      <c r="AF25" s="12">
        <v>1814.01</v>
      </c>
      <c r="AG25" s="12">
        <v>1717.81</v>
      </c>
      <c r="AH25" s="12">
        <v>1717.81</v>
      </c>
      <c r="AI25" s="12">
        <v>1717.81</v>
      </c>
      <c r="AJ25" s="12">
        <v>1717.81</v>
      </c>
      <c r="AK25" s="12">
        <v>1717.81</v>
      </c>
      <c r="AL25" s="12">
        <v>1717.81</v>
      </c>
      <c r="AM25" s="12">
        <v>1717.81</v>
      </c>
      <c r="AN25" s="12">
        <v>1717.81</v>
      </c>
      <c r="AO25" s="12">
        <v>1717.81</v>
      </c>
      <c r="AP25" s="12">
        <v>2052.9499999999998</v>
      </c>
      <c r="AQ25" s="12">
        <v>2052.9499999999998</v>
      </c>
      <c r="AR25" s="12">
        <v>1912.58</v>
      </c>
      <c r="AS25" s="13">
        <v>2401.7199999999998</v>
      </c>
      <c r="AT25" s="12">
        <v>2867.64</v>
      </c>
      <c r="AU25" s="12">
        <v>2651.97</v>
      </c>
      <c r="AV25" s="12">
        <v>2651.02</v>
      </c>
      <c r="AW25" s="12">
        <v>2894.72</v>
      </c>
      <c r="AX25" s="12">
        <v>3063.24</v>
      </c>
      <c r="AY25" s="12">
        <v>3115.9</v>
      </c>
      <c r="AZ25" s="12">
        <v>3058.73</v>
      </c>
      <c r="BA25" s="12">
        <v>3084.32</v>
      </c>
      <c r="BB25" s="12">
        <v>3010.31</v>
      </c>
      <c r="BC25" s="12">
        <v>2940.99</v>
      </c>
      <c r="BD25" s="12">
        <v>2879.14</v>
      </c>
      <c r="BE25" s="12">
        <v>2888.32</v>
      </c>
      <c r="BF25" s="12">
        <v>3435.94</v>
      </c>
      <c r="BG25" s="12">
        <v>3151.77</v>
      </c>
      <c r="BH25" s="12">
        <v>3203.44</v>
      </c>
      <c r="BI25" s="12">
        <v>3418.72</v>
      </c>
      <c r="BJ25" s="12">
        <v>4947.05</v>
      </c>
      <c r="BK25" s="12">
        <v>4353.05</v>
      </c>
      <c r="BL25" s="12">
        <v>3340.79</v>
      </c>
      <c r="BM25" s="12">
        <v>3207.03</v>
      </c>
      <c r="BN25" s="12">
        <v>2669.49</v>
      </c>
      <c r="BO25" s="12">
        <v>2587.81</v>
      </c>
      <c r="BP25" s="12">
        <v>2571.7199999999998</v>
      </c>
      <c r="BQ25" s="12">
        <v>2884.39</v>
      </c>
    </row>
    <row r="26" spans="1:69" x14ac:dyDescent="0.4">
      <c r="A26" s="6" t="s">
        <v>15</v>
      </c>
      <c r="B26" s="4" t="s">
        <v>62</v>
      </c>
      <c r="C26" s="6"/>
      <c r="D26" s="11">
        <v>726.42</v>
      </c>
      <c r="E26" s="11">
        <v>815.19</v>
      </c>
      <c r="F26" s="11">
        <v>741.91</v>
      </c>
      <c r="G26" s="11">
        <v>884.88</v>
      </c>
      <c r="H26" s="12">
        <v>1096.68</v>
      </c>
      <c r="I26" s="12">
        <v>1084.08</v>
      </c>
      <c r="J26" s="12">
        <v>1040.48</v>
      </c>
      <c r="K26" s="11">
        <v>992.84</v>
      </c>
      <c r="L26" s="11">
        <v>826.28</v>
      </c>
      <c r="M26" s="12">
        <v>1022.39</v>
      </c>
      <c r="N26" s="12">
        <v>1020.64</v>
      </c>
      <c r="O26" s="12">
        <v>1144.4100000000001</v>
      </c>
      <c r="P26" s="12">
        <v>1259.82</v>
      </c>
      <c r="Q26" s="12">
        <v>1213.33</v>
      </c>
      <c r="R26" s="12">
        <v>1292.6199999999999</v>
      </c>
      <c r="S26" s="12">
        <v>1454.37</v>
      </c>
      <c r="T26" s="12">
        <v>1585.6</v>
      </c>
      <c r="U26" s="12">
        <v>1680.64</v>
      </c>
      <c r="V26" s="12">
        <v>1891.95</v>
      </c>
      <c r="W26" s="12">
        <v>2243.96</v>
      </c>
      <c r="X26" s="12">
        <v>2515.79</v>
      </c>
      <c r="Y26" s="12">
        <v>2356.5100000000002</v>
      </c>
      <c r="Z26" s="12">
        <v>2279.4499999999998</v>
      </c>
      <c r="AA26" s="12">
        <v>2488.9699999999998</v>
      </c>
      <c r="AB26" s="12">
        <v>2339.56</v>
      </c>
      <c r="AC26" s="12">
        <v>2757.42</v>
      </c>
      <c r="AD26" s="12">
        <v>2982.17</v>
      </c>
      <c r="AE26" s="12">
        <v>3089.82</v>
      </c>
      <c r="AF26" s="12">
        <v>2927</v>
      </c>
      <c r="AG26" s="12">
        <v>3137.66</v>
      </c>
      <c r="AH26" s="12">
        <v>3082.17</v>
      </c>
      <c r="AI26" s="12">
        <v>2575.65</v>
      </c>
      <c r="AJ26" s="12">
        <v>2417.5300000000002</v>
      </c>
      <c r="AK26" s="12">
        <v>2491.19</v>
      </c>
      <c r="AL26" s="12">
        <v>2507.02</v>
      </c>
      <c r="AM26" s="12">
        <v>2613.54</v>
      </c>
      <c r="AN26" s="12">
        <v>2535.59</v>
      </c>
      <c r="AO26" s="12">
        <v>2525.5700000000002</v>
      </c>
      <c r="AP26" s="12">
        <v>2629.63</v>
      </c>
      <c r="AQ26" s="12">
        <v>2693.11</v>
      </c>
      <c r="AR26" s="12">
        <v>2540.29</v>
      </c>
      <c r="AS26" s="12">
        <v>2883.4</v>
      </c>
      <c r="AT26" s="12">
        <v>3134.69</v>
      </c>
      <c r="AU26" s="12">
        <v>3206.67</v>
      </c>
      <c r="AV26" s="12">
        <v>3278.92</v>
      </c>
      <c r="AW26" s="12">
        <v>3402.75</v>
      </c>
      <c r="AX26" s="12">
        <v>3570.33</v>
      </c>
      <c r="AY26" s="12">
        <v>3911.67</v>
      </c>
      <c r="AZ26" s="12">
        <v>4019.28</v>
      </c>
      <c r="BA26" s="12">
        <v>4017.54</v>
      </c>
      <c r="BB26" s="12">
        <v>3565.31</v>
      </c>
      <c r="BC26" s="12">
        <v>3751.23</v>
      </c>
      <c r="BD26" s="12">
        <v>3876.31</v>
      </c>
      <c r="BE26" s="12">
        <v>4117.3599999999997</v>
      </c>
      <c r="BF26" s="12">
        <v>4676.46</v>
      </c>
      <c r="BG26" s="12">
        <v>4513.8900000000003</v>
      </c>
      <c r="BH26" s="12">
        <v>4375.18</v>
      </c>
      <c r="BI26" s="12">
        <v>5311.24</v>
      </c>
      <c r="BJ26" s="12">
        <v>5667.06</v>
      </c>
      <c r="BK26" s="12">
        <v>5468.21</v>
      </c>
      <c r="BL26" s="12">
        <v>5286.81</v>
      </c>
      <c r="BM26" s="12">
        <v>5589.44</v>
      </c>
      <c r="BN26" s="12">
        <v>4910.74</v>
      </c>
      <c r="BO26" s="12">
        <v>4682.95</v>
      </c>
      <c r="BP26" s="12">
        <v>4680.34</v>
      </c>
      <c r="BQ26" s="12">
        <v>5123.37</v>
      </c>
    </row>
    <row r="27" spans="1:69" x14ac:dyDescent="0.4">
      <c r="A27" s="6" t="s">
        <v>16</v>
      </c>
      <c r="B27" s="4" t="s">
        <v>63</v>
      </c>
      <c r="C27" s="6"/>
      <c r="D27" s="11">
        <v>434.78</v>
      </c>
      <c r="E27" s="12">
        <v>1006.53</v>
      </c>
      <c r="F27" s="11">
        <v>783.56</v>
      </c>
      <c r="G27" s="12">
        <v>1000.16</v>
      </c>
      <c r="H27" s="12">
        <v>1242.24</v>
      </c>
      <c r="I27" s="12">
        <v>1210.3800000000001</v>
      </c>
      <c r="J27" s="12">
        <v>1305.94</v>
      </c>
      <c r="K27" s="12">
        <v>1251.79</v>
      </c>
      <c r="L27" s="11">
        <v>812.23</v>
      </c>
      <c r="M27" s="12">
        <v>1008.12</v>
      </c>
      <c r="N27" s="11">
        <v>925.31</v>
      </c>
      <c r="O27" s="11">
        <v>987.42</v>
      </c>
      <c r="P27" s="12">
        <v>974.68</v>
      </c>
      <c r="Q27" s="12">
        <v>968.31</v>
      </c>
      <c r="R27" s="11">
        <v>920.53</v>
      </c>
      <c r="S27" s="11">
        <v>863.2</v>
      </c>
      <c r="T27" s="12">
        <v>1079.79</v>
      </c>
      <c r="U27" s="12">
        <v>1181.72</v>
      </c>
      <c r="V27" s="12">
        <v>1710.46</v>
      </c>
      <c r="W27" s="12">
        <v>1888.84</v>
      </c>
      <c r="X27" s="12">
        <v>1990.76</v>
      </c>
      <c r="Y27" s="12">
        <v>2236.0300000000002</v>
      </c>
      <c r="Z27" s="12">
        <v>2353.88</v>
      </c>
      <c r="AA27" s="12">
        <v>3280.78</v>
      </c>
      <c r="AB27" s="12">
        <v>3599.21</v>
      </c>
      <c r="AC27" s="12">
        <v>4618.93</v>
      </c>
      <c r="AD27" s="12">
        <v>4570.9799999999996</v>
      </c>
      <c r="AE27" s="12">
        <v>6249.14</v>
      </c>
      <c r="AF27" s="12">
        <v>5513.95</v>
      </c>
      <c r="AG27" s="12">
        <v>6904.42</v>
      </c>
      <c r="AH27" s="13">
        <v>6041.37</v>
      </c>
      <c r="AI27" s="12">
        <v>5338.14</v>
      </c>
      <c r="AJ27" s="12">
        <v>4778.75</v>
      </c>
      <c r="AK27" s="12">
        <v>6185.21</v>
      </c>
      <c r="AL27" s="12">
        <v>6920.4</v>
      </c>
      <c r="AM27" s="12">
        <v>9125.98</v>
      </c>
      <c r="AN27" s="12">
        <v>8870.26</v>
      </c>
      <c r="AO27" s="12">
        <v>10196.799999999999</v>
      </c>
      <c r="AP27" s="12">
        <v>12849.89</v>
      </c>
      <c r="AQ27" s="12">
        <v>12226.57</v>
      </c>
      <c r="AR27" s="12">
        <v>11440.83</v>
      </c>
      <c r="AS27" s="12">
        <v>14105.54</v>
      </c>
      <c r="AT27" s="12">
        <v>14996.8</v>
      </c>
      <c r="AU27" s="12">
        <v>16944.830000000002</v>
      </c>
      <c r="AV27" s="12">
        <v>16382.11</v>
      </c>
      <c r="AW27" s="12">
        <v>18526.03</v>
      </c>
      <c r="AX27" s="12">
        <v>19681.48</v>
      </c>
      <c r="AY27" s="12">
        <v>20348.73</v>
      </c>
      <c r="AZ27" s="12">
        <v>19563.900000000001</v>
      </c>
      <c r="BA27" s="12">
        <v>19604.080000000002</v>
      </c>
      <c r="BB27" s="12">
        <v>15507.99</v>
      </c>
      <c r="BC27" s="12">
        <v>17120.8</v>
      </c>
      <c r="BD27" s="12">
        <v>14438.07</v>
      </c>
      <c r="BE27" s="12">
        <v>16061.41</v>
      </c>
      <c r="BF27" s="12">
        <v>16194.46</v>
      </c>
      <c r="BG27" s="12">
        <v>19632.63</v>
      </c>
      <c r="BH27" s="12">
        <v>21073.1</v>
      </c>
      <c r="BI27" s="12">
        <v>25897.78</v>
      </c>
      <c r="BJ27" s="12">
        <v>25464.99</v>
      </c>
      <c r="BK27" s="12">
        <v>31752.22</v>
      </c>
      <c r="BL27" s="12">
        <v>27538.84</v>
      </c>
      <c r="BM27" s="12">
        <v>33186.43</v>
      </c>
      <c r="BN27" s="12">
        <v>32871.32</v>
      </c>
      <c r="BO27" s="12">
        <v>32854.160000000003</v>
      </c>
      <c r="BP27" s="12">
        <v>34742.26</v>
      </c>
      <c r="BQ27" s="12">
        <v>33945.57</v>
      </c>
    </row>
    <row r="28" spans="1:69" x14ac:dyDescent="0.4">
      <c r="A28" s="6" t="s">
        <v>17</v>
      </c>
      <c r="B28" s="4" t="s">
        <v>64</v>
      </c>
      <c r="C28" s="6"/>
      <c r="D28" s="11">
        <v>326.3</v>
      </c>
      <c r="E28" s="11">
        <v>328.7</v>
      </c>
      <c r="F28" s="11">
        <v>215.63</v>
      </c>
      <c r="G28" s="11">
        <v>204.85</v>
      </c>
      <c r="H28" s="11">
        <v>193.72</v>
      </c>
      <c r="I28" s="11">
        <v>148.44999999999999</v>
      </c>
      <c r="J28" s="11">
        <v>136.77000000000001</v>
      </c>
      <c r="K28" s="11">
        <v>124.16</v>
      </c>
      <c r="L28" s="11">
        <v>107.62</v>
      </c>
      <c r="M28" s="11">
        <v>146.18</v>
      </c>
      <c r="N28" s="11">
        <v>146.31</v>
      </c>
      <c r="O28" s="11">
        <v>110.13</v>
      </c>
      <c r="P28" s="11">
        <v>107.99</v>
      </c>
      <c r="Q28" s="11">
        <v>94.72</v>
      </c>
      <c r="R28" s="11">
        <v>90.4</v>
      </c>
      <c r="S28" s="11">
        <v>96.43</v>
      </c>
      <c r="T28" s="11">
        <v>191.32</v>
      </c>
      <c r="U28" s="11">
        <v>182.77</v>
      </c>
      <c r="V28" s="11">
        <v>199.99</v>
      </c>
      <c r="W28" s="11">
        <v>284.39</v>
      </c>
      <c r="X28" s="11">
        <v>177.45</v>
      </c>
      <c r="Y28" s="11">
        <v>142.82</v>
      </c>
      <c r="Z28" s="11">
        <v>152.54</v>
      </c>
      <c r="AA28" s="11">
        <v>150.84</v>
      </c>
      <c r="AB28" s="11">
        <v>164.78</v>
      </c>
      <c r="AC28" s="11">
        <v>250.36</v>
      </c>
      <c r="AD28" s="11">
        <v>223.68</v>
      </c>
      <c r="AE28" s="11">
        <v>221.2</v>
      </c>
      <c r="AF28" s="11">
        <v>184.35</v>
      </c>
      <c r="AG28" s="11">
        <v>162.32</v>
      </c>
      <c r="AH28" s="11">
        <v>114.91</v>
      </c>
      <c r="AI28" s="11">
        <v>61.95</v>
      </c>
      <c r="AJ28" s="11">
        <v>69.22</v>
      </c>
      <c r="AK28" s="11">
        <v>105.96</v>
      </c>
      <c r="AL28" s="11">
        <v>105.19</v>
      </c>
      <c r="AM28" s="11">
        <v>84.02</v>
      </c>
      <c r="AN28" s="11">
        <v>98.66</v>
      </c>
      <c r="AO28" s="11">
        <v>89.31</v>
      </c>
      <c r="AP28" s="11">
        <v>80.8</v>
      </c>
      <c r="AQ28" s="11">
        <v>82.73</v>
      </c>
      <c r="AR28" s="11">
        <v>95.33</v>
      </c>
      <c r="AS28" s="11">
        <v>85.7</v>
      </c>
      <c r="AT28" s="11">
        <v>108.79</v>
      </c>
      <c r="AU28" s="11">
        <v>109.53</v>
      </c>
      <c r="AV28" s="11">
        <v>129.1</v>
      </c>
      <c r="AW28" s="11">
        <v>97.21</v>
      </c>
      <c r="AX28" s="11">
        <v>121.93</v>
      </c>
      <c r="AY28" s="11">
        <v>123.44</v>
      </c>
      <c r="AZ28" s="11">
        <v>125.72</v>
      </c>
      <c r="BA28" s="11">
        <v>133.57</v>
      </c>
      <c r="BB28" s="11">
        <v>118.25</v>
      </c>
      <c r="BC28" s="11">
        <v>119.97</v>
      </c>
      <c r="BD28" s="11">
        <v>129.82</v>
      </c>
      <c r="BE28" s="11">
        <v>135.38999999999999</v>
      </c>
      <c r="BF28" s="11">
        <v>149.84</v>
      </c>
      <c r="BG28" s="11">
        <v>164.72</v>
      </c>
      <c r="BH28" s="11">
        <v>182.43</v>
      </c>
      <c r="BI28" s="11">
        <v>212.62</v>
      </c>
      <c r="BJ28" s="11">
        <v>213.45</v>
      </c>
      <c r="BK28" s="11">
        <v>223.4</v>
      </c>
      <c r="BL28" s="11">
        <v>234.83</v>
      </c>
      <c r="BM28" s="11">
        <v>256.39999999999998</v>
      </c>
      <c r="BN28" s="11">
        <v>234.48</v>
      </c>
      <c r="BO28" s="11">
        <v>205.73</v>
      </c>
      <c r="BP28" s="11">
        <v>191.15</v>
      </c>
      <c r="BQ28" s="11">
        <v>187.21</v>
      </c>
    </row>
    <row r="29" spans="1:69" x14ac:dyDescent="0.4">
      <c r="A29" s="6" t="s">
        <v>18</v>
      </c>
      <c r="B29" s="4" t="s">
        <v>65</v>
      </c>
      <c r="C29" s="6"/>
      <c r="D29" s="11">
        <v>985</v>
      </c>
      <c r="E29" s="12">
        <v>1047.1099999999999</v>
      </c>
      <c r="F29" s="11">
        <v>924.24</v>
      </c>
      <c r="G29" s="12">
        <v>1040.9000000000001</v>
      </c>
      <c r="H29" s="12">
        <v>1104.92</v>
      </c>
      <c r="I29" s="11">
        <v>957.42</v>
      </c>
      <c r="J29" s="11">
        <v>940.03</v>
      </c>
      <c r="K29" s="11">
        <v>879.12</v>
      </c>
      <c r="L29" s="11">
        <v>776.06</v>
      </c>
      <c r="M29" s="12">
        <v>997.81</v>
      </c>
      <c r="N29" s="12">
        <v>1065.3399999999999</v>
      </c>
      <c r="O29" s="11">
        <v>955.03</v>
      </c>
      <c r="P29" s="12">
        <v>1044.25</v>
      </c>
      <c r="Q29" s="11">
        <v>939.11</v>
      </c>
      <c r="R29" s="12">
        <v>1038.29</v>
      </c>
      <c r="S29" s="12">
        <v>1335.02</v>
      </c>
      <c r="T29" s="12">
        <v>1740.52</v>
      </c>
      <c r="U29" s="12">
        <v>1762.79</v>
      </c>
      <c r="V29" s="12">
        <v>2163.92</v>
      </c>
      <c r="W29" s="12">
        <v>3374.44</v>
      </c>
      <c r="X29" s="12">
        <v>3020.83</v>
      </c>
      <c r="Y29" s="12">
        <v>2637.14</v>
      </c>
      <c r="Z29" s="12">
        <v>2703.31</v>
      </c>
      <c r="AA29" s="12">
        <v>3055.03</v>
      </c>
      <c r="AB29" s="12">
        <v>2743.44</v>
      </c>
      <c r="AC29" s="12">
        <v>3429.83</v>
      </c>
      <c r="AD29" s="12">
        <v>3847.34</v>
      </c>
      <c r="AE29" s="12">
        <v>3701.51</v>
      </c>
      <c r="AF29" s="12">
        <v>3534.04</v>
      </c>
      <c r="AG29" s="12">
        <v>3466.78</v>
      </c>
      <c r="AH29" s="12">
        <v>2874.7</v>
      </c>
      <c r="AI29" s="12">
        <v>2250.2399999999998</v>
      </c>
      <c r="AJ29" s="12">
        <v>2667.93</v>
      </c>
      <c r="AK29" s="12">
        <v>3280.13</v>
      </c>
      <c r="AL29" s="12">
        <v>3574</v>
      </c>
      <c r="AM29" s="12">
        <v>3056.85</v>
      </c>
      <c r="AN29" s="12">
        <v>3158.71</v>
      </c>
      <c r="AO29" s="12">
        <v>2921.46</v>
      </c>
      <c r="AP29" s="12">
        <v>3154.79</v>
      </c>
      <c r="AQ29" s="12">
        <v>3299.62</v>
      </c>
      <c r="AR29" s="12">
        <v>3228.5</v>
      </c>
      <c r="AS29" s="12">
        <v>3208.75</v>
      </c>
      <c r="AT29" s="12">
        <v>3899.1</v>
      </c>
      <c r="AU29" s="12">
        <v>3724.46</v>
      </c>
      <c r="AV29" s="12">
        <v>3660.64</v>
      </c>
      <c r="AW29" s="12">
        <v>3450.18</v>
      </c>
      <c r="AX29" s="12">
        <v>3970.67</v>
      </c>
      <c r="AY29" s="12">
        <v>4122.37</v>
      </c>
      <c r="AZ29" s="12">
        <v>4635.1400000000003</v>
      </c>
      <c r="BA29" s="12">
        <v>4662.28</v>
      </c>
      <c r="BB29" s="12">
        <v>4310.97</v>
      </c>
      <c r="BC29" s="12">
        <v>4452.8500000000004</v>
      </c>
      <c r="BD29" s="12">
        <v>4765.18</v>
      </c>
      <c r="BE29" s="12">
        <v>4741.5200000000004</v>
      </c>
      <c r="BF29" s="12">
        <v>4833.53</v>
      </c>
      <c r="BG29" s="12">
        <v>4937.2299999999996</v>
      </c>
      <c r="BH29" s="12">
        <v>5892.9</v>
      </c>
      <c r="BI29" s="12">
        <v>8505.81</v>
      </c>
      <c r="BJ29" s="12">
        <v>8690.73</v>
      </c>
      <c r="BK29" s="12">
        <v>9509.39</v>
      </c>
      <c r="BL29" s="12">
        <v>9364.77</v>
      </c>
      <c r="BM29" s="12">
        <v>10242.73</v>
      </c>
      <c r="BN29" s="12">
        <v>9550.5</v>
      </c>
      <c r="BO29" s="12">
        <v>7665.79</v>
      </c>
      <c r="BP29" s="12">
        <v>7871.63</v>
      </c>
      <c r="BQ29" s="12">
        <v>8632.0400000000009</v>
      </c>
    </row>
    <row r="30" spans="1:69" x14ac:dyDescent="0.4">
      <c r="A30" s="6" t="s">
        <v>19</v>
      </c>
      <c r="B30" s="4" t="s">
        <v>66</v>
      </c>
      <c r="C30" s="6"/>
      <c r="D30" s="11">
        <v>787.22</v>
      </c>
      <c r="E30" s="11">
        <v>754.79</v>
      </c>
      <c r="F30" s="11">
        <v>776.63</v>
      </c>
      <c r="G30" s="12">
        <v>1052.97</v>
      </c>
      <c r="H30" s="12">
        <v>1318.59</v>
      </c>
      <c r="I30" s="12">
        <v>1398.23</v>
      </c>
      <c r="J30" s="12">
        <v>1269.21</v>
      </c>
      <c r="K30" s="12">
        <v>1038.28</v>
      </c>
      <c r="L30" s="11">
        <v>883.68</v>
      </c>
      <c r="M30" s="11">
        <v>851.21</v>
      </c>
      <c r="N30" s="12">
        <v>1112.8699999999999</v>
      </c>
      <c r="O30" s="12">
        <v>1193.73</v>
      </c>
      <c r="P30" s="12">
        <v>1394.47</v>
      </c>
      <c r="Q30" s="12">
        <v>1206.69</v>
      </c>
      <c r="R30" s="12">
        <v>1201.5999999999999</v>
      </c>
      <c r="S30" s="12">
        <v>1319.93</v>
      </c>
      <c r="T30" s="12">
        <v>1543.38</v>
      </c>
      <c r="U30" s="12">
        <v>1439.09</v>
      </c>
      <c r="V30" s="12">
        <v>1723.28</v>
      </c>
      <c r="W30" s="12">
        <v>2307.62</v>
      </c>
      <c r="X30" s="12">
        <v>2329.6</v>
      </c>
      <c r="Y30" s="12">
        <v>2441.91</v>
      </c>
      <c r="Z30" s="12">
        <v>2429.1999999999998</v>
      </c>
      <c r="AA30" s="12">
        <v>2456.17</v>
      </c>
      <c r="AB30" s="12">
        <v>2790.62</v>
      </c>
      <c r="AC30" s="12">
        <v>2804.78</v>
      </c>
      <c r="AD30" s="12">
        <v>2728.76</v>
      </c>
      <c r="AE30" s="12">
        <v>2407.42</v>
      </c>
      <c r="AF30" s="12">
        <v>2290.17</v>
      </c>
      <c r="AG30" s="12">
        <v>2442.96</v>
      </c>
      <c r="AH30" s="12">
        <v>2228.15</v>
      </c>
      <c r="AI30" s="12">
        <v>1233.0899999999999</v>
      </c>
      <c r="AJ30" s="12">
        <v>1100.97</v>
      </c>
      <c r="AK30" s="12">
        <v>1592.14</v>
      </c>
      <c r="AL30" s="12">
        <v>2043.27</v>
      </c>
      <c r="AM30" s="12">
        <v>2261.59</v>
      </c>
      <c r="AN30" s="12">
        <v>2028.38</v>
      </c>
      <c r="AO30" s="12">
        <v>2060.27</v>
      </c>
      <c r="AP30" s="12">
        <v>2081.94</v>
      </c>
      <c r="AQ30" s="12">
        <v>2202.4</v>
      </c>
      <c r="AR30" s="12">
        <v>2280.81</v>
      </c>
      <c r="AS30" s="12">
        <v>2232.75</v>
      </c>
      <c r="AT30" s="12">
        <v>1988.49</v>
      </c>
      <c r="AU30" s="12">
        <v>1820</v>
      </c>
      <c r="AV30" s="12">
        <v>1945.17</v>
      </c>
      <c r="AW30" s="12">
        <v>1755.07</v>
      </c>
      <c r="AX30" s="12">
        <v>1682.36</v>
      </c>
      <c r="AY30" s="12">
        <v>1637.31</v>
      </c>
      <c r="AZ30" s="12">
        <v>1946.03</v>
      </c>
      <c r="BA30" s="12">
        <v>1847.68</v>
      </c>
      <c r="BB30" s="12">
        <v>1771.8</v>
      </c>
      <c r="BC30" s="12">
        <v>1960.96</v>
      </c>
      <c r="BD30" s="12">
        <v>1987.44</v>
      </c>
      <c r="BE30" s="12">
        <v>1870.48</v>
      </c>
      <c r="BF30" s="12">
        <v>2186.71</v>
      </c>
      <c r="BG30" s="12">
        <v>1932.64</v>
      </c>
      <c r="BH30" s="12">
        <v>1783.78</v>
      </c>
      <c r="BI30" s="12">
        <v>1801.81</v>
      </c>
      <c r="BJ30" s="12">
        <v>1636.43</v>
      </c>
      <c r="BK30" s="12">
        <v>1613.57</v>
      </c>
      <c r="BL30" s="12">
        <v>1415.78</v>
      </c>
      <c r="BM30" s="12">
        <v>1552.61</v>
      </c>
      <c r="BN30" s="12">
        <v>1672.73</v>
      </c>
      <c r="BO30" s="12">
        <v>1809.13</v>
      </c>
      <c r="BP30" s="12">
        <v>1939.75</v>
      </c>
      <c r="BQ30" s="12">
        <v>2160.7800000000002</v>
      </c>
    </row>
    <row r="31" spans="1:69" x14ac:dyDescent="0.4">
      <c r="A31" s="6" t="s">
        <v>20</v>
      </c>
      <c r="B31" s="4" t="s">
        <v>67</v>
      </c>
      <c r="C31" s="6"/>
      <c r="D31" s="11">
        <v>636.09</v>
      </c>
      <c r="E31" s="11">
        <v>654.29</v>
      </c>
      <c r="F31" s="11">
        <v>518.20000000000005</v>
      </c>
      <c r="G31" s="11">
        <v>722.25</v>
      </c>
      <c r="H31" s="11">
        <v>906.68</v>
      </c>
      <c r="I31" s="11">
        <v>668.05</v>
      </c>
      <c r="J31" s="11">
        <v>645.4</v>
      </c>
      <c r="K31" s="11">
        <v>597.51</v>
      </c>
      <c r="L31" s="11">
        <v>456.74</v>
      </c>
      <c r="M31" s="11">
        <v>477.54</v>
      </c>
      <c r="N31" s="11">
        <v>563.73</v>
      </c>
      <c r="O31" s="11">
        <v>452.05</v>
      </c>
      <c r="P31" s="11">
        <v>493.89</v>
      </c>
      <c r="Q31" s="11">
        <v>370.54</v>
      </c>
      <c r="R31" s="11">
        <v>364.11</v>
      </c>
      <c r="S31" s="11">
        <v>372.16</v>
      </c>
      <c r="T31" s="11">
        <v>608.87</v>
      </c>
      <c r="U31" s="11">
        <v>541.79999999999995</v>
      </c>
      <c r="V31" s="11">
        <v>682.1</v>
      </c>
      <c r="W31" s="12">
        <v>1125.46</v>
      </c>
      <c r="X31" s="12">
        <v>1213.17</v>
      </c>
      <c r="Y31" s="12">
        <v>1041.93</v>
      </c>
      <c r="Z31" s="12">
        <v>1129.5999999999999</v>
      </c>
      <c r="AA31" s="12">
        <v>1205.22</v>
      </c>
      <c r="AB31" s="12">
        <v>1178.6400000000001</v>
      </c>
      <c r="AC31" s="12">
        <v>1538.43</v>
      </c>
      <c r="AD31" s="12">
        <v>1910.13</v>
      </c>
      <c r="AE31" s="12">
        <v>1847.54</v>
      </c>
      <c r="AF31" s="12">
        <v>1636.52</v>
      </c>
      <c r="AG31" s="12">
        <v>1499.93</v>
      </c>
      <c r="AH31" s="12">
        <v>1153.4100000000001</v>
      </c>
      <c r="AI31" s="11">
        <v>850.18</v>
      </c>
      <c r="AJ31" s="12">
        <v>896.95</v>
      </c>
      <c r="AK31" s="12">
        <v>1274.1300000000001</v>
      </c>
      <c r="AL31" s="12">
        <v>1362.87</v>
      </c>
      <c r="AM31" s="12">
        <v>1109.2</v>
      </c>
      <c r="AN31" s="12">
        <v>1112.04</v>
      </c>
      <c r="AO31" s="12">
        <v>1024.01</v>
      </c>
      <c r="AP31" s="12">
        <v>1118.8900000000001</v>
      </c>
      <c r="AQ31" s="12">
        <v>1170.94</v>
      </c>
      <c r="AR31" s="12">
        <v>1213.99</v>
      </c>
      <c r="AS31" s="12">
        <v>1093.97</v>
      </c>
      <c r="AT31" s="11">
        <v>972.75</v>
      </c>
      <c r="AU31" s="11">
        <v>785.61</v>
      </c>
      <c r="AV31" s="12">
        <v>1005.3</v>
      </c>
      <c r="AW31" s="11">
        <v>812.34</v>
      </c>
      <c r="AX31" s="11">
        <v>803.05</v>
      </c>
      <c r="AY31" s="11">
        <v>803.17</v>
      </c>
      <c r="AZ31" s="11">
        <v>927.09</v>
      </c>
      <c r="BA31" s="11">
        <v>889.46</v>
      </c>
      <c r="BB31" s="11">
        <v>738.67</v>
      </c>
      <c r="BC31" s="11">
        <v>753.91</v>
      </c>
      <c r="BD31" s="11">
        <v>715.06</v>
      </c>
      <c r="BE31" s="11">
        <v>723.26</v>
      </c>
      <c r="BF31" s="11">
        <v>931.82</v>
      </c>
      <c r="BG31" s="11">
        <v>929.65</v>
      </c>
      <c r="BH31" s="12">
        <v>948.43</v>
      </c>
      <c r="BI31" s="12">
        <v>1154.0999999999999</v>
      </c>
      <c r="BJ31" s="11">
        <v>962.71</v>
      </c>
      <c r="BK31" s="11">
        <v>867.62</v>
      </c>
      <c r="BL31" s="11">
        <v>768.05</v>
      </c>
      <c r="BM31" s="11">
        <v>775.57</v>
      </c>
      <c r="BN31" s="11">
        <v>782.83</v>
      </c>
      <c r="BO31" s="11">
        <v>734.12</v>
      </c>
      <c r="BP31" s="11">
        <v>841.27</v>
      </c>
      <c r="BQ31" s="11">
        <v>984.43</v>
      </c>
    </row>
    <row r="32" spans="1:69" x14ac:dyDescent="0.4">
      <c r="A32" s="6" t="s">
        <v>21</v>
      </c>
      <c r="B32" s="4" t="s">
        <v>68</v>
      </c>
      <c r="C32" s="6"/>
      <c r="D32" s="11">
        <v>655.37</v>
      </c>
      <c r="E32" s="11">
        <v>634.5</v>
      </c>
      <c r="F32" s="11">
        <v>582.21</v>
      </c>
      <c r="G32" s="11">
        <v>642.91</v>
      </c>
      <c r="H32" s="11">
        <v>759.43</v>
      </c>
      <c r="I32" s="11">
        <v>636.78</v>
      </c>
      <c r="J32" s="11">
        <v>502.97</v>
      </c>
      <c r="K32" s="11">
        <v>402.59</v>
      </c>
      <c r="L32" s="11">
        <v>292.27999999999997</v>
      </c>
      <c r="M32" s="11">
        <v>228.72</v>
      </c>
      <c r="N32" s="11">
        <v>280.58</v>
      </c>
      <c r="O32" s="11">
        <v>136.41999999999999</v>
      </c>
      <c r="P32" s="11">
        <v>75.03</v>
      </c>
      <c r="Q32" s="11">
        <v>73.44</v>
      </c>
      <c r="R32" s="11">
        <v>66.099999999999994</v>
      </c>
      <c r="S32" s="11">
        <v>75.010000000000005</v>
      </c>
      <c r="T32" s="11">
        <v>128.16999999999999</v>
      </c>
      <c r="U32" s="11">
        <v>136.93</v>
      </c>
      <c r="V32" s="11">
        <v>130.37</v>
      </c>
      <c r="W32" s="11">
        <v>207.66</v>
      </c>
      <c r="X32" s="11">
        <v>201.69</v>
      </c>
      <c r="Y32" s="11">
        <v>194.17</v>
      </c>
      <c r="Z32" s="11">
        <v>229.27</v>
      </c>
      <c r="AA32" s="11">
        <v>239.42</v>
      </c>
      <c r="AB32" s="11">
        <v>244.49</v>
      </c>
      <c r="AC32" s="11">
        <v>212.15</v>
      </c>
      <c r="AD32" s="11">
        <v>211.42</v>
      </c>
      <c r="AE32" s="11">
        <v>199.97</v>
      </c>
      <c r="AF32" s="11">
        <v>181.13</v>
      </c>
      <c r="AG32" s="11">
        <v>180.47</v>
      </c>
      <c r="AH32" s="11">
        <v>136.34</v>
      </c>
      <c r="AI32" s="11">
        <v>106.58</v>
      </c>
      <c r="AJ32" s="11">
        <v>89.61</v>
      </c>
      <c r="AK32" s="11">
        <v>142.87</v>
      </c>
      <c r="AL32" s="11">
        <v>152.06</v>
      </c>
      <c r="AM32" s="11">
        <v>143.97</v>
      </c>
      <c r="AN32" s="11">
        <v>147.07</v>
      </c>
      <c r="AO32" s="11">
        <v>136.54</v>
      </c>
      <c r="AP32" s="11">
        <v>144.41</v>
      </c>
      <c r="AQ32" s="11">
        <v>164.55</v>
      </c>
      <c r="AR32" s="11">
        <v>141.84</v>
      </c>
      <c r="AS32" s="11">
        <v>141.01</v>
      </c>
      <c r="AT32" s="11">
        <v>135.88</v>
      </c>
      <c r="AU32" s="11">
        <v>111.96</v>
      </c>
      <c r="AV32" s="11">
        <v>118.56</v>
      </c>
      <c r="AW32" s="11">
        <v>95.4</v>
      </c>
      <c r="AX32" s="11">
        <v>104.01</v>
      </c>
      <c r="AY32" s="11">
        <v>102.07</v>
      </c>
      <c r="AZ32" s="11">
        <v>111.55</v>
      </c>
      <c r="BA32" s="11">
        <v>117.24</v>
      </c>
      <c r="BB32" s="11">
        <v>108.36</v>
      </c>
      <c r="BC32" s="11">
        <v>111.64</v>
      </c>
      <c r="BD32" s="11">
        <v>103.03</v>
      </c>
      <c r="BE32" s="11">
        <v>111.45</v>
      </c>
      <c r="BF32" s="11">
        <v>137.84</v>
      </c>
      <c r="BG32" s="11">
        <v>136.72</v>
      </c>
      <c r="BH32" s="11">
        <v>121.24</v>
      </c>
      <c r="BI32" s="11">
        <v>136.91</v>
      </c>
      <c r="BJ32" s="11">
        <v>125.04</v>
      </c>
      <c r="BK32" s="11">
        <v>112.84</v>
      </c>
      <c r="BL32" s="11">
        <v>114.27</v>
      </c>
      <c r="BM32" s="11">
        <v>127.42</v>
      </c>
      <c r="BN32" s="11">
        <v>140.31</v>
      </c>
      <c r="BO32" s="11">
        <v>132.87</v>
      </c>
      <c r="BP32" s="11">
        <v>136.36000000000001</v>
      </c>
      <c r="BQ32" s="11">
        <v>138.55000000000001</v>
      </c>
    </row>
    <row r="33" spans="1:69" x14ac:dyDescent="0.4">
      <c r="A33" s="6" t="s">
        <v>22</v>
      </c>
      <c r="B33" s="4" t="s">
        <v>69</v>
      </c>
      <c r="C33" s="6"/>
      <c r="D33" s="11">
        <v>736.83</v>
      </c>
      <c r="E33" s="11">
        <v>848.42</v>
      </c>
      <c r="F33" s="11">
        <v>822.11</v>
      </c>
      <c r="G33" s="12">
        <v>1191.19</v>
      </c>
      <c r="H33" s="12">
        <v>1514.98</v>
      </c>
      <c r="I33" s="12">
        <v>1648.55</v>
      </c>
      <c r="J33" s="12">
        <v>1711.93</v>
      </c>
      <c r="K33" s="12">
        <v>1541.81</v>
      </c>
      <c r="L33" s="13">
        <v>1181.45</v>
      </c>
      <c r="M33" s="12">
        <v>1385.69</v>
      </c>
      <c r="N33" s="12">
        <v>1445.1</v>
      </c>
      <c r="O33" s="12">
        <v>1478.38</v>
      </c>
      <c r="P33" s="12">
        <v>1688.89</v>
      </c>
      <c r="Q33" s="12">
        <v>1660.91</v>
      </c>
      <c r="R33" s="12">
        <v>1523.33</v>
      </c>
      <c r="S33" s="12">
        <v>1759.29</v>
      </c>
      <c r="T33" s="12">
        <v>1970.88</v>
      </c>
      <c r="U33" s="13">
        <v>1843.25</v>
      </c>
      <c r="V33" s="12">
        <v>2512.98</v>
      </c>
      <c r="W33" s="12">
        <v>3075.39</v>
      </c>
      <c r="X33" s="12">
        <v>3415.41</v>
      </c>
      <c r="Y33" s="12">
        <v>3705.94</v>
      </c>
      <c r="Z33" s="12">
        <v>3604.65</v>
      </c>
      <c r="AA33" s="12">
        <v>3864.54</v>
      </c>
      <c r="AB33" s="12">
        <v>4296.32</v>
      </c>
      <c r="AC33" s="12">
        <v>4524.78</v>
      </c>
      <c r="AD33" s="12">
        <v>5366.87</v>
      </c>
      <c r="AE33" s="12">
        <v>6269.81</v>
      </c>
      <c r="AF33" s="12">
        <v>5244.61</v>
      </c>
      <c r="AG33" s="12">
        <v>6074.5</v>
      </c>
      <c r="AH33" s="12">
        <v>5171.16</v>
      </c>
      <c r="AI33" s="12">
        <v>4246.1899999999996</v>
      </c>
      <c r="AJ33" s="12">
        <v>3648.86</v>
      </c>
      <c r="AK33" s="12">
        <v>4562.37</v>
      </c>
      <c r="AL33" s="12">
        <v>5729.45</v>
      </c>
      <c r="AM33" s="12">
        <v>5232.6400000000003</v>
      </c>
      <c r="AN33" s="12">
        <v>4942.07</v>
      </c>
      <c r="AO33" s="12">
        <v>4823.03</v>
      </c>
      <c r="AP33" s="12">
        <v>4989.54</v>
      </c>
      <c r="AQ33" s="12">
        <v>4813.3999999999996</v>
      </c>
      <c r="AR33" s="12">
        <v>5412.25</v>
      </c>
      <c r="AS33" s="12">
        <v>5001.7700000000004</v>
      </c>
      <c r="AT33" s="12">
        <v>5186.67</v>
      </c>
      <c r="AU33" s="12">
        <v>5123.8900000000003</v>
      </c>
      <c r="AV33" s="12">
        <v>5164.84</v>
      </c>
      <c r="AW33" s="12">
        <v>5080.8</v>
      </c>
      <c r="AX33" s="12">
        <v>5321.56</v>
      </c>
      <c r="AY33" s="12">
        <v>5153.01</v>
      </c>
      <c r="AZ33" s="12">
        <v>5398.03</v>
      </c>
      <c r="BA33" s="12">
        <v>5484.9</v>
      </c>
      <c r="BB33" s="12">
        <v>5555.26</v>
      </c>
      <c r="BC33" s="12">
        <v>5788.34</v>
      </c>
      <c r="BD33" s="12">
        <v>5509.49</v>
      </c>
      <c r="BE33" s="12">
        <v>5640.69</v>
      </c>
      <c r="BF33" s="12">
        <v>6048.52</v>
      </c>
      <c r="BG33" s="12">
        <v>6471.95</v>
      </c>
      <c r="BH33" s="12">
        <v>5602.91</v>
      </c>
      <c r="BI33" s="12">
        <v>6303.67</v>
      </c>
      <c r="BJ33" s="12">
        <v>5843.74</v>
      </c>
      <c r="BK33" s="12">
        <v>6276.97</v>
      </c>
      <c r="BL33" s="12">
        <v>6372.89</v>
      </c>
      <c r="BM33" s="12">
        <v>6133.06</v>
      </c>
      <c r="BN33" s="12">
        <v>5930.49</v>
      </c>
      <c r="BO33" s="12">
        <v>6451.26</v>
      </c>
      <c r="BP33" s="12">
        <v>5858.36</v>
      </c>
      <c r="BQ33" s="12">
        <v>6636.88</v>
      </c>
    </row>
    <row r="34" spans="1:69" x14ac:dyDescent="0.4">
      <c r="A34" s="6" t="s">
        <v>23</v>
      </c>
      <c r="B34" s="4" t="s">
        <v>70</v>
      </c>
      <c r="C34" s="6"/>
      <c r="D34" s="12">
        <v>1818.18</v>
      </c>
      <c r="E34" s="12">
        <v>2115.21</v>
      </c>
      <c r="F34" s="12">
        <v>1488.18</v>
      </c>
      <c r="G34" s="12">
        <v>1583.22</v>
      </c>
      <c r="H34" s="12">
        <v>1262.5999999999999</v>
      </c>
      <c r="I34" s="12">
        <v>1171.1199999999999</v>
      </c>
      <c r="J34" s="12">
        <v>1023.98</v>
      </c>
      <c r="K34" s="11">
        <v>883.98</v>
      </c>
      <c r="L34" s="11">
        <v>703.66</v>
      </c>
      <c r="M34" s="11">
        <v>736.68</v>
      </c>
      <c r="N34" s="11">
        <v>882.26</v>
      </c>
      <c r="O34" s="11">
        <v>859.16</v>
      </c>
      <c r="P34" s="11">
        <v>731.17</v>
      </c>
      <c r="Q34" s="11">
        <v>688.99</v>
      </c>
      <c r="R34" s="11">
        <v>673.96</v>
      </c>
      <c r="S34" s="11">
        <v>821.65</v>
      </c>
      <c r="T34" s="11">
        <v>991.23</v>
      </c>
      <c r="U34" s="12">
        <v>905.1</v>
      </c>
      <c r="V34" s="12">
        <v>1062.78</v>
      </c>
      <c r="W34" s="12">
        <v>1790.72</v>
      </c>
      <c r="X34" s="12">
        <v>2364.5100000000002</v>
      </c>
      <c r="Y34" s="12">
        <v>1580.45</v>
      </c>
      <c r="Z34" s="12">
        <v>1405.15</v>
      </c>
      <c r="AA34" s="12">
        <v>1713.48</v>
      </c>
      <c r="AB34" s="12">
        <v>1550.81</v>
      </c>
      <c r="AC34" s="12">
        <v>1679.76</v>
      </c>
      <c r="AD34" s="12">
        <v>2314.0100000000002</v>
      </c>
      <c r="AE34" s="12">
        <v>1643.7</v>
      </c>
      <c r="AF34" s="12">
        <v>1871.07</v>
      </c>
      <c r="AG34" s="12">
        <v>1873.22</v>
      </c>
      <c r="AH34" s="12">
        <v>1412.16</v>
      </c>
      <c r="AI34" s="11">
        <v>835.85</v>
      </c>
      <c r="AJ34" s="12">
        <v>1050.8499999999999</v>
      </c>
      <c r="AK34" s="12">
        <v>1346.9</v>
      </c>
      <c r="AL34" s="12">
        <v>1329.56</v>
      </c>
      <c r="AM34" s="12">
        <v>1077.68</v>
      </c>
      <c r="AN34" s="12">
        <v>1320.28</v>
      </c>
      <c r="AO34" s="12">
        <v>1539.99</v>
      </c>
      <c r="AP34" s="12">
        <v>1265.33</v>
      </c>
      <c r="AQ34" s="12">
        <v>1236.8900000000001</v>
      </c>
      <c r="AR34" s="12">
        <v>1438.77</v>
      </c>
      <c r="AS34" s="12">
        <v>1176.28</v>
      </c>
      <c r="AT34" s="12">
        <v>1418.58</v>
      </c>
      <c r="AU34" s="12">
        <v>1424.75</v>
      </c>
      <c r="AV34" s="12">
        <v>1815.9</v>
      </c>
      <c r="AW34" s="12">
        <v>2182.67</v>
      </c>
      <c r="AX34" s="12">
        <v>1903.56</v>
      </c>
      <c r="AY34" s="12">
        <v>1970.77</v>
      </c>
      <c r="AZ34" s="12">
        <v>2217.4899999999998</v>
      </c>
      <c r="BA34" s="12">
        <v>2610.3200000000002</v>
      </c>
      <c r="BB34" s="12">
        <v>2802.67</v>
      </c>
      <c r="BC34" s="12">
        <v>2945.48</v>
      </c>
      <c r="BD34" s="12">
        <v>3328.94</v>
      </c>
      <c r="BE34" s="12">
        <v>4407.6400000000003</v>
      </c>
      <c r="BF34" s="12">
        <v>4958.3599999999997</v>
      </c>
      <c r="BG34" s="12">
        <v>4155.51</v>
      </c>
      <c r="BH34" s="12">
        <v>4578.96</v>
      </c>
      <c r="BI34" s="12">
        <v>4255.78</v>
      </c>
      <c r="BJ34" s="12">
        <v>4399.62</v>
      </c>
      <c r="BK34" s="12">
        <v>4144.6000000000004</v>
      </c>
      <c r="BL34" s="12">
        <v>4498.37</v>
      </c>
      <c r="BM34" s="12">
        <v>4392.25</v>
      </c>
      <c r="BN34" s="12">
        <v>3571.61</v>
      </c>
      <c r="BO34" s="12">
        <v>3554.96</v>
      </c>
      <c r="BP34" s="12">
        <v>3708.9</v>
      </c>
      <c r="BQ34" s="12">
        <v>4059.78</v>
      </c>
    </row>
    <row r="35" spans="1:69" x14ac:dyDescent="0.4">
      <c r="A35" s="6" t="s">
        <v>24</v>
      </c>
      <c r="B35" s="4" t="s">
        <v>71</v>
      </c>
      <c r="C35" s="6"/>
      <c r="D35" s="11">
        <v>404.85</v>
      </c>
      <c r="E35" s="11">
        <v>431.98</v>
      </c>
      <c r="F35" s="11">
        <v>302.87</v>
      </c>
      <c r="G35" s="11">
        <v>324.38</v>
      </c>
      <c r="H35" s="11">
        <v>302.67</v>
      </c>
      <c r="I35" s="11">
        <v>338.31</v>
      </c>
      <c r="J35" s="11">
        <v>384.57</v>
      </c>
      <c r="K35" s="11">
        <v>299.11</v>
      </c>
      <c r="L35" s="11">
        <v>233.98</v>
      </c>
      <c r="M35" s="11">
        <v>280.8</v>
      </c>
      <c r="N35" s="11">
        <v>324.7</v>
      </c>
      <c r="O35" s="11">
        <v>385.64</v>
      </c>
      <c r="P35" s="11">
        <v>403.9</v>
      </c>
      <c r="Q35" s="11">
        <v>315.08999999999997</v>
      </c>
      <c r="R35" s="11">
        <v>323.64999999999998</v>
      </c>
      <c r="S35" s="11">
        <v>325.98</v>
      </c>
      <c r="T35" s="11">
        <v>395.03</v>
      </c>
      <c r="U35" s="11">
        <v>362.99</v>
      </c>
      <c r="V35" s="11">
        <v>358.79</v>
      </c>
      <c r="W35" s="11">
        <v>428.21</v>
      </c>
      <c r="X35" s="11">
        <v>411.13</v>
      </c>
      <c r="Y35" s="11">
        <v>429.72</v>
      </c>
      <c r="Z35" s="11">
        <v>457.69</v>
      </c>
      <c r="AA35" s="11">
        <v>492.21</v>
      </c>
      <c r="AB35" s="11">
        <v>493.94</v>
      </c>
      <c r="AC35" s="11">
        <v>562.37</v>
      </c>
      <c r="AD35" s="11">
        <v>644.53</v>
      </c>
      <c r="AE35" s="11">
        <v>633.74</v>
      </c>
      <c r="AF35" s="11">
        <v>609.89</v>
      </c>
      <c r="AG35" s="11">
        <v>558.72</v>
      </c>
      <c r="AH35" s="11">
        <v>495.03</v>
      </c>
      <c r="AI35" s="11">
        <v>374.48</v>
      </c>
      <c r="AJ35" s="11">
        <v>419.83</v>
      </c>
      <c r="AK35" s="11">
        <v>444.86</v>
      </c>
      <c r="AL35" s="11">
        <v>452.7</v>
      </c>
      <c r="AM35" s="11">
        <v>431.47</v>
      </c>
      <c r="AN35" s="11">
        <v>464.66</v>
      </c>
      <c r="AO35" s="11">
        <v>510.16</v>
      </c>
      <c r="AP35" s="11">
        <v>514.07000000000005</v>
      </c>
      <c r="AQ35" s="11">
        <v>629.86</v>
      </c>
      <c r="AR35" s="11">
        <v>625.55999999999995</v>
      </c>
      <c r="AS35" s="11">
        <v>598.67999999999995</v>
      </c>
      <c r="AT35" s="11">
        <v>555.4</v>
      </c>
      <c r="AU35" s="11">
        <v>528.03</v>
      </c>
      <c r="AV35" s="11">
        <v>536.61</v>
      </c>
      <c r="AW35" s="11">
        <v>505.55</v>
      </c>
      <c r="AX35" s="11">
        <v>555.52</v>
      </c>
      <c r="AY35" s="11">
        <v>584.30999999999995</v>
      </c>
      <c r="AZ35" s="11">
        <v>651.74</v>
      </c>
      <c r="BA35" s="11">
        <v>763.39</v>
      </c>
      <c r="BB35" s="11">
        <v>756.25</v>
      </c>
      <c r="BC35" s="11">
        <v>878.02</v>
      </c>
      <c r="BD35" s="11">
        <v>893.77</v>
      </c>
      <c r="BE35" s="11">
        <v>920.07</v>
      </c>
      <c r="BF35" s="12">
        <v>1021.73</v>
      </c>
      <c r="BG35" s="12">
        <v>1148.81</v>
      </c>
      <c r="BH35" s="12">
        <v>1373.24</v>
      </c>
      <c r="BI35" s="12">
        <v>1676.34</v>
      </c>
      <c r="BJ35" s="12">
        <v>2238.35</v>
      </c>
      <c r="BK35" s="12">
        <v>2147.2800000000002</v>
      </c>
      <c r="BL35" s="12">
        <v>1764.48</v>
      </c>
      <c r="BM35" s="12">
        <v>1722.61</v>
      </c>
      <c r="BN35" s="12">
        <v>1663.73</v>
      </c>
      <c r="BO35" s="12">
        <v>1452.79</v>
      </c>
      <c r="BP35" s="12">
        <v>1550.25</v>
      </c>
      <c r="BQ35" s="12">
        <v>1693.22</v>
      </c>
    </row>
    <row r="36" spans="1:69" x14ac:dyDescent="0.4">
      <c r="A36" s="6" t="s">
        <v>25</v>
      </c>
      <c r="B36" s="4" t="s">
        <v>72</v>
      </c>
      <c r="C36" s="6"/>
      <c r="D36" s="11">
        <v>223.06</v>
      </c>
      <c r="E36" s="11">
        <v>244.77</v>
      </c>
      <c r="F36" s="11">
        <v>169.48</v>
      </c>
      <c r="G36" s="11">
        <v>173.2</v>
      </c>
      <c r="H36" s="11">
        <v>168.93</v>
      </c>
      <c r="I36" s="11">
        <v>127.75</v>
      </c>
      <c r="J36" s="11">
        <v>96.64</v>
      </c>
      <c r="K36" s="11">
        <v>80.86</v>
      </c>
      <c r="L36" s="11">
        <v>71.47</v>
      </c>
      <c r="M36" s="11">
        <v>115.02</v>
      </c>
      <c r="N36" s="11">
        <v>120.96</v>
      </c>
      <c r="O36" s="11">
        <v>101.44</v>
      </c>
      <c r="P36" s="11">
        <v>95.19</v>
      </c>
      <c r="Q36" s="11">
        <v>98.97</v>
      </c>
      <c r="R36" s="11">
        <v>84.23</v>
      </c>
      <c r="S36" s="11">
        <v>80.39</v>
      </c>
      <c r="T36" s="11">
        <v>89.01</v>
      </c>
      <c r="U36" s="11">
        <v>89.78</v>
      </c>
      <c r="V36" s="11">
        <v>96.12</v>
      </c>
      <c r="W36" s="11">
        <v>158.16999999999999</v>
      </c>
      <c r="X36" s="11">
        <v>154.13999999999999</v>
      </c>
      <c r="Y36" s="11">
        <v>150.04</v>
      </c>
      <c r="Z36" s="11">
        <v>139.36000000000001</v>
      </c>
      <c r="AA36" s="11">
        <v>154.08000000000001</v>
      </c>
      <c r="AB36" s="11">
        <v>163.63</v>
      </c>
      <c r="AC36" s="11">
        <v>205.83</v>
      </c>
      <c r="AD36" s="11">
        <v>203.8</v>
      </c>
      <c r="AE36" s="11">
        <v>231.83</v>
      </c>
      <c r="AF36" s="11">
        <v>195.59</v>
      </c>
      <c r="AG36" s="11">
        <v>188.97</v>
      </c>
      <c r="AH36" s="11">
        <v>137.96</v>
      </c>
      <c r="AI36" s="11">
        <v>100.83</v>
      </c>
      <c r="AJ36" s="11">
        <v>115.08</v>
      </c>
      <c r="AK36" s="11">
        <v>189.22</v>
      </c>
      <c r="AL36" s="11">
        <v>162.47999999999999</v>
      </c>
      <c r="AM36" s="11">
        <v>173.46</v>
      </c>
      <c r="AN36" s="11">
        <v>181.13</v>
      </c>
      <c r="AO36" s="11">
        <v>184.45</v>
      </c>
      <c r="AP36" s="11">
        <v>196.96</v>
      </c>
      <c r="AQ36" s="11">
        <v>204.13</v>
      </c>
      <c r="AR36" s="11">
        <v>196.6</v>
      </c>
      <c r="AS36" s="11">
        <v>210.89</v>
      </c>
      <c r="AT36" s="11">
        <v>240.98</v>
      </c>
      <c r="AU36" s="11">
        <v>259.42</v>
      </c>
      <c r="AV36" s="11">
        <v>247.39</v>
      </c>
      <c r="AW36" s="11">
        <v>231.42</v>
      </c>
      <c r="AX36" s="11">
        <v>254.61</v>
      </c>
      <c r="AY36" s="11">
        <v>226.21</v>
      </c>
      <c r="AZ36" s="11">
        <v>232.63</v>
      </c>
      <c r="BA36" s="11">
        <v>257.3</v>
      </c>
      <c r="BB36" s="11">
        <v>230.86</v>
      </c>
      <c r="BC36" s="11">
        <v>299.14999999999998</v>
      </c>
      <c r="BD36" s="11">
        <v>329.01</v>
      </c>
      <c r="BE36" s="11">
        <v>314.51</v>
      </c>
      <c r="BF36" s="11">
        <v>336.35</v>
      </c>
      <c r="BG36" s="11">
        <v>345.26</v>
      </c>
      <c r="BH36" s="11">
        <v>327.26</v>
      </c>
      <c r="BI36" s="11">
        <v>333.86</v>
      </c>
      <c r="BJ36" s="11">
        <v>308.37</v>
      </c>
      <c r="BK36" s="11">
        <v>322.07</v>
      </c>
      <c r="BL36" s="11">
        <v>284.41000000000003</v>
      </c>
      <c r="BM36" s="11">
        <v>317.91000000000003</v>
      </c>
      <c r="BN36" s="11">
        <v>325.81</v>
      </c>
      <c r="BO36" s="11">
        <v>300.42</v>
      </c>
      <c r="BP36" s="11">
        <v>303.93</v>
      </c>
      <c r="BQ36" s="11">
        <v>339.07</v>
      </c>
    </row>
    <row r="37" spans="1:69" x14ac:dyDescent="0.4">
      <c r="A37" s="6" t="s">
        <v>26</v>
      </c>
      <c r="B37" s="4" t="s">
        <v>73</v>
      </c>
      <c r="C37" s="6"/>
      <c r="D37" s="11">
        <v>355.04</v>
      </c>
      <c r="E37" s="11">
        <v>362.96</v>
      </c>
      <c r="F37" s="11">
        <v>246.22</v>
      </c>
      <c r="G37" s="11">
        <v>274.89</v>
      </c>
      <c r="H37" s="11">
        <v>336.02</v>
      </c>
      <c r="I37" s="11">
        <v>315.36</v>
      </c>
      <c r="J37" s="11">
        <v>259.95</v>
      </c>
      <c r="K37" s="11">
        <v>234.46</v>
      </c>
      <c r="L37" s="11">
        <v>190.15</v>
      </c>
      <c r="M37" s="11">
        <v>190.12</v>
      </c>
      <c r="N37" s="11">
        <v>218.73</v>
      </c>
      <c r="O37" s="11">
        <v>196.52</v>
      </c>
      <c r="P37" s="11">
        <v>193.35</v>
      </c>
      <c r="Q37" s="11">
        <v>172.24</v>
      </c>
      <c r="R37" s="11">
        <v>145.99</v>
      </c>
      <c r="S37" s="11">
        <v>133.88999999999999</v>
      </c>
      <c r="T37" s="11">
        <v>165.96</v>
      </c>
      <c r="U37" s="11">
        <v>142.61000000000001</v>
      </c>
      <c r="V37" s="11">
        <v>145.30000000000001</v>
      </c>
      <c r="W37" s="11">
        <v>192.06</v>
      </c>
      <c r="X37" s="11">
        <v>204.54</v>
      </c>
      <c r="Y37" s="11">
        <v>170.82</v>
      </c>
      <c r="Z37" s="11">
        <v>166.32</v>
      </c>
      <c r="AA37" s="11">
        <v>177.68</v>
      </c>
      <c r="AB37" s="11">
        <v>158.69</v>
      </c>
      <c r="AC37" s="11">
        <v>194.04</v>
      </c>
      <c r="AD37" s="11">
        <v>217.56</v>
      </c>
      <c r="AE37" s="11">
        <v>178.14</v>
      </c>
      <c r="AF37" s="11">
        <v>157.88999999999999</v>
      </c>
      <c r="AG37" s="11">
        <v>165.19</v>
      </c>
      <c r="AH37" s="11">
        <v>111.96</v>
      </c>
      <c r="AI37" s="11">
        <v>81.37</v>
      </c>
      <c r="AJ37" s="11">
        <v>88.38</v>
      </c>
      <c r="AK37" s="11">
        <v>149.74</v>
      </c>
      <c r="AL37" s="11">
        <v>164.74</v>
      </c>
      <c r="AM37" s="11">
        <v>160.16999999999999</v>
      </c>
      <c r="AN37" s="11">
        <v>173.3</v>
      </c>
      <c r="AO37" s="11">
        <v>193.33</v>
      </c>
      <c r="AP37" s="11">
        <v>176.62</v>
      </c>
      <c r="AQ37" s="11">
        <v>184.87</v>
      </c>
      <c r="AR37" s="11">
        <v>178.83</v>
      </c>
      <c r="AS37" s="11">
        <v>153.03</v>
      </c>
      <c r="AT37" s="11">
        <v>121.78</v>
      </c>
      <c r="AU37" s="11">
        <v>135.54</v>
      </c>
      <c r="AV37" s="11">
        <v>156.65</v>
      </c>
      <c r="AW37" s="11">
        <v>152.13</v>
      </c>
      <c r="AX37" s="11">
        <v>155.72</v>
      </c>
      <c r="AY37" s="11">
        <v>165.94</v>
      </c>
      <c r="AZ37" s="11">
        <v>171.62</v>
      </c>
      <c r="BA37" s="11">
        <v>188.67</v>
      </c>
      <c r="BB37" s="11">
        <v>160.04</v>
      </c>
      <c r="BC37" s="11">
        <v>151.38</v>
      </c>
      <c r="BD37" s="11">
        <v>137.77000000000001</v>
      </c>
      <c r="BE37" s="11">
        <v>133.66</v>
      </c>
      <c r="BF37" s="11">
        <v>123.92</v>
      </c>
      <c r="BG37" s="11">
        <v>121.04</v>
      </c>
      <c r="BH37" s="11">
        <v>142.07</v>
      </c>
      <c r="BI37" s="11">
        <v>132.44</v>
      </c>
      <c r="BJ37" s="11">
        <v>129.5</v>
      </c>
      <c r="BK37" s="11">
        <v>141.09</v>
      </c>
      <c r="BL37" s="11">
        <v>129.9</v>
      </c>
      <c r="BM37" s="11">
        <v>132.4</v>
      </c>
      <c r="BN37" s="11">
        <v>133.38</v>
      </c>
      <c r="BO37" s="11">
        <v>118.15</v>
      </c>
      <c r="BP37" s="11">
        <v>130.41999999999999</v>
      </c>
      <c r="BQ37" s="11">
        <v>145.86000000000001</v>
      </c>
    </row>
    <row r="38" spans="1:69" x14ac:dyDescent="0.4">
      <c r="A38" s="6" t="s">
        <v>27</v>
      </c>
      <c r="B38" s="4" t="s">
        <v>74</v>
      </c>
      <c r="C38" s="6"/>
      <c r="D38" s="11">
        <v>507.6</v>
      </c>
      <c r="E38" s="11">
        <v>569.89</v>
      </c>
      <c r="F38" s="11">
        <v>458.56</v>
      </c>
      <c r="G38" s="11">
        <v>545.1</v>
      </c>
      <c r="H38" s="11">
        <v>828.57</v>
      </c>
      <c r="I38" s="11">
        <v>803.16</v>
      </c>
      <c r="J38" s="11">
        <v>779.08</v>
      </c>
      <c r="K38" s="11">
        <v>885.26</v>
      </c>
      <c r="L38" s="11">
        <v>630.82000000000005</v>
      </c>
      <c r="M38" s="11">
        <v>724.79</v>
      </c>
      <c r="N38" s="11">
        <v>987.01</v>
      </c>
      <c r="O38" s="12">
        <v>1037.17</v>
      </c>
      <c r="P38" s="12">
        <v>1218.0999999999999</v>
      </c>
      <c r="Q38" s="12">
        <v>1146.33</v>
      </c>
      <c r="R38" s="12">
        <v>1020.44</v>
      </c>
      <c r="S38" s="12">
        <v>987.13</v>
      </c>
      <c r="T38" s="12">
        <v>1217.32</v>
      </c>
      <c r="U38" s="12">
        <v>1136.42</v>
      </c>
      <c r="V38" s="12">
        <v>1281.27</v>
      </c>
      <c r="W38" s="12">
        <v>1401.94</v>
      </c>
      <c r="X38" s="12">
        <v>1642.46</v>
      </c>
      <c r="Y38" s="12">
        <v>1472.97</v>
      </c>
      <c r="Z38" s="12">
        <v>1578.17</v>
      </c>
      <c r="AA38" s="12">
        <v>1547.37</v>
      </c>
      <c r="AB38" s="12">
        <v>1374.75</v>
      </c>
      <c r="AC38" s="12">
        <v>1306.58</v>
      </c>
      <c r="AD38" s="12">
        <v>1460.74</v>
      </c>
      <c r="AE38" s="12">
        <v>1337.03</v>
      </c>
      <c r="AF38" s="12">
        <v>1313.28</v>
      </c>
      <c r="AG38" s="12">
        <v>1713.6</v>
      </c>
      <c r="AH38" s="12">
        <v>1178.44</v>
      </c>
      <c r="AI38" s="12">
        <v>1018.95</v>
      </c>
      <c r="AJ38" s="12">
        <v>1014.87</v>
      </c>
      <c r="AK38" s="12">
        <v>1218.8599999999999</v>
      </c>
      <c r="AL38" s="12">
        <v>1709.55</v>
      </c>
      <c r="AM38" s="12">
        <v>1575.97</v>
      </c>
      <c r="AN38" s="12">
        <v>1654.19</v>
      </c>
      <c r="AO38" s="12">
        <v>1763.03</v>
      </c>
      <c r="AP38" s="12">
        <v>1684.42</v>
      </c>
      <c r="AQ38" s="12">
        <v>1844.98</v>
      </c>
      <c r="AR38" s="12">
        <v>2086.0300000000002</v>
      </c>
      <c r="AS38" s="12">
        <v>2049.23</v>
      </c>
      <c r="AT38" s="12">
        <v>1649.01</v>
      </c>
      <c r="AU38" s="12">
        <v>2170.29</v>
      </c>
      <c r="AV38" s="12">
        <v>2622.54</v>
      </c>
      <c r="AW38" s="12">
        <v>2546.2800000000002</v>
      </c>
      <c r="AX38" s="12">
        <v>2572.9</v>
      </c>
      <c r="AY38" s="12">
        <v>2903.04</v>
      </c>
      <c r="AZ38" s="12">
        <v>3181.89</v>
      </c>
      <c r="BA38" s="12">
        <v>3237.88</v>
      </c>
      <c r="BB38" s="12">
        <v>2868.65</v>
      </c>
      <c r="BC38" s="12">
        <v>3163.6</v>
      </c>
      <c r="BD38" s="12">
        <v>2930.78</v>
      </c>
      <c r="BE38" s="12">
        <v>3164.84</v>
      </c>
      <c r="BF38" s="12">
        <v>2796.4</v>
      </c>
      <c r="BG38" s="13">
        <v>2920.6</v>
      </c>
      <c r="BH38" s="12">
        <v>3054.51</v>
      </c>
      <c r="BI38" s="12">
        <v>3036.56</v>
      </c>
      <c r="BJ38" s="12">
        <v>2468.04</v>
      </c>
      <c r="BK38" s="12">
        <v>2778.85</v>
      </c>
      <c r="BL38" s="12">
        <v>2583.27</v>
      </c>
      <c r="BM38" s="12">
        <v>2785.74</v>
      </c>
      <c r="BN38" s="12">
        <v>3451.98</v>
      </c>
      <c r="BO38" s="12">
        <v>3723.38</v>
      </c>
      <c r="BP38" s="12">
        <v>4082.15</v>
      </c>
      <c r="BQ38" s="12">
        <v>4774.57</v>
      </c>
    </row>
    <row r="39" spans="1:69" x14ac:dyDescent="0.4">
      <c r="A39" s="6" t="s">
        <v>28</v>
      </c>
      <c r="B39" s="4" t="s">
        <v>75</v>
      </c>
      <c r="C39" s="6"/>
      <c r="D39" s="11">
        <v>342.51</v>
      </c>
      <c r="E39" s="11">
        <v>399.59</v>
      </c>
      <c r="F39" s="11">
        <v>304.89</v>
      </c>
      <c r="G39" s="11">
        <v>446.03</v>
      </c>
      <c r="H39" s="11">
        <v>740.22</v>
      </c>
      <c r="I39" s="11">
        <v>540.57000000000005</v>
      </c>
      <c r="J39" s="11">
        <v>476.32</v>
      </c>
      <c r="K39" s="11">
        <v>468.45</v>
      </c>
      <c r="L39" s="11">
        <v>387.55</v>
      </c>
      <c r="M39" s="11">
        <v>404.38</v>
      </c>
      <c r="N39" s="11">
        <v>562.42999999999995</v>
      </c>
      <c r="O39" s="11">
        <v>522.01</v>
      </c>
      <c r="P39" s="11">
        <v>547.51</v>
      </c>
      <c r="Q39" s="11">
        <v>542.38</v>
      </c>
      <c r="R39" s="11">
        <v>484.5</v>
      </c>
      <c r="S39" s="11">
        <v>531.69000000000005</v>
      </c>
      <c r="T39" s="11">
        <v>705.43</v>
      </c>
      <c r="U39" s="11">
        <v>655.88</v>
      </c>
      <c r="V39" s="11">
        <v>584.4</v>
      </c>
      <c r="W39" s="11">
        <v>733.06</v>
      </c>
      <c r="X39" s="11">
        <v>765.01</v>
      </c>
      <c r="Y39" s="11">
        <v>653.04999999999995</v>
      </c>
      <c r="Z39" s="11">
        <v>616.17999999999995</v>
      </c>
      <c r="AA39" s="11">
        <v>591.03</v>
      </c>
      <c r="AB39" s="11">
        <v>586.72</v>
      </c>
      <c r="AC39" s="11">
        <v>723.42</v>
      </c>
      <c r="AD39" s="11">
        <v>790.63</v>
      </c>
      <c r="AE39" s="12">
        <v>1008.21</v>
      </c>
      <c r="AF39" s="12">
        <v>961.96</v>
      </c>
      <c r="AG39" s="12">
        <v>1221.24</v>
      </c>
      <c r="AH39" s="11">
        <v>896.61</v>
      </c>
      <c r="AI39" s="11">
        <v>643.86</v>
      </c>
      <c r="AJ39" s="11">
        <v>619.07000000000005</v>
      </c>
      <c r="AK39" s="12">
        <v>1005.17</v>
      </c>
      <c r="AL39" s="12">
        <v>1174.0899999999999</v>
      </c>
      <c r="AM39" s="12">
        <v>904.8</v>
      </c>
      <c r="AN39" s="12">
        <v>919.57</v>
      </c>
      <c r="AO39" s="11">
        <v>921.99</v>
      </c>
      <c r="AP39" s="11">
        <v>967.4</v>
      </c>
      <c r="AQ39" s="12">
        <v>980.52</v>
      </c>
      <c r="AR39" s="11">
        <v>985.76</v>
      </c>
      <c r="AS39" s="11">
        <v>964.3</v>
      </c>
      <c r="AT39" s="11">
        <v>678.42</v>
      </c>
      <c r="AU39" s="11">
        <v>712.69</v>
      </c>
      <c r="AV39" s="11">
        <v>830.49</v>
      </c>
      <c r="AW39" s="11">
        <v>650.87</v>
      </c>
      <c r="AX39" s="11">
        <v>708.92</v>
      </c>
      <c r="AY39" s="11">
        <v>758.54</v>
      </c>
      <c r="AZ39" s="11">
        <v>795.63</v>
      </c>
      <c r="BA39" s="11">
        <v>825.87</v>
      </c>
      <c r="BB39" s="11">
        <v>738.11</v>
      </c>
      <c r="BC39" s="11">
        <v>701.64</v>
      </c>
      <c r="BD39" s="11">
        <v>634.94000000000005</v>
      </c>
      <c r="BE39" s="11">
        <v>732.09</v>
      </c>
      <c r="BF39" s="11">
        <v>737.95</v>
      </c>
      <c r="BG39" s="11">
        <v>645.41999999999996</v>
      </c>
      <c r="BH39" s="11">
        <v>658.14</v>
      </c>
      <c r="BI39" s="11">
        <v>607.89</v>
      </c>
      <c r="BJ39" s="11">
        <v>472.46</v>
      </c>
      <c r="BK39" s="11">
        <v>597.04999999999995</v>
      </c>
      <c r="BL39" s="11">
        <v>591.80999999999995</v>
      </c>
      <c r="BM39" s="11">
        <v>593.34</v>
      </c>
      <c r="BN39" s="11">
        <v>601.66999999999996</v>
      </c>
      <c r="BO39" s="11">
        <v>510.62</v>
      </c>
      <c r="BP39" s="11">
        <v>643.74</v>
      </c>
      <c r="BQ39" s="11">
        <v>831.74</v>
      </c>
    </row>
    <row r="40" spans="1:69" x14ac:dyDescent="0.4">
      <c r="A40" s="6" t="s">
        <v>29</v>
      </c>
      <c r="B40" s="4" t="s">
        <v>76</v>
      </c>
      <c r="C40" s="6"/>
      <c r="D40" s="12">
        <v>1006.73</v>
      </c>
      <c r="E40" s="12">
        <v>999.26</v>
      </c>
      <c r="F40" s="11">
        <v>812.68</v>
      </c>
      <c r="G40" s="11">
        <v>891.03</v>
      </c>
      <c r="H40" s="12">
        <v>1136.83</v>
      </c>
      <c r="I40" s="12">
        <v>1376.67</v>
      </c>
      <c r="J40" s="12">
        <v>1348.32</v>
      </c>
      <c r="K40" s="12">
        <v>1253.47</v>
      </c>
      <c r="L40" s="12">
        <v>990.1</v>
      </c>
      <c r="M40" s="12">
        <v>1156.99</v>
      </c>
      <c r="N40" s="12">
        <v>1673.15</v>
      </c>
      <c r="O40" s="12">
        <v>1648.99</v>
      </c>
      <c r="P40" s="12">
        <v>2028.67</v>
      </c>
      <c r="Q40" s="12">
        <v>1633.75</v>
      </c>
      <c r="R40" s="12">
        <v>1461.25</v>
      </c>
      <c r="S40" s="12">
        <v>1451.53</v>
      </c>
      <c r="T40" s="12">
        <v>1752.46</v>
      </c>
      <c r="U40" s="12">
        <v>1603.58</v>
      </c>
      <c r="V40" s="12">
        <v>1539.23</v>
      </c>
      <c r="W40" s="12">
        <v>1700.53</v>
      </c>
      <c r="X40" s="12">
        <v>1541.92</v>
      </c>
      <c r="Y40" s="12">
        <v>1338.64</v>
      </c>
      <c r="Z40" s="12">
        <v>1351.76</v>
      </c>
      <c r="AA40" s="12">
        <v>1157.24</v>
      </c>
      <c r="AB40" s="12">
        <v>1114.73</v>
      </c>
      <c r="AC40" s="12">
        <v>1338.26</v>
      </c>
      <c r="AD40" s="12">
        <v>1403.87</v>
      </c>
      <c r="AE40" s="12">
        <v>1518.4</v>
      </c>
      <c r="AF40" s="12">
        <v>1390.72</v>
      </c>
      <c r="AG40" s="12">
        <v>1488.43</v>
      </c>
      <c r="AH40" s="12">
        <v>1048.3599999999999</v>
      </c>
      <c r="AI40" s="11">
        <v>753.27</v>
      </c>
      <c r="AJ40" s="12">
        <v>939.22</v>
      </c>
      <c r="AK40" s="12">
        <v>1320.22</v>
      </c>
      <c r="AL40" s="12">
        <v>1621.85</v>
      </c>
      <c r="AM40" s="12">
        <v>1377.36</v>
      </c>
      <c r="AN40" s="12">
        <v>1474.33</v>
      </c>
      <c r="AO40" s="12">
        <v>1919.51</v>
      </c>
      <c r="AP40" s="12">
        <v>1627.3</v>
      </c>
      <c r="AQ40" s="12">
        <v>1768.39</v>
      </c>
      <c r="AR40" s="12">
        <v>1741.47</v>
      </c>
      <c r="AS40" s="12">
        <v>1679.24</v>
      </c>
      <c r="AT40" s="12">
        <v>1217.53</v>
      </c>
      <c r="AU40" s="12">
        <v>1256.49</v>
      </c>
      <c r="AV40" s="12">
        <v>1404.05</v>
      </c>
      <c r="AW40" s="12">
        <v>1169.32</v>
      </c>
      <c r="AX40" s="12">
        <v>1238.44</v>
      </c>
      <c r="AY40" s="12">
        <v>1392.31</v>
      </c>
      <c r="AZ40" s="12">
        <v>1344.52</v>
      </c>
      <c r="BA40" s="12">
        <v>1449.28</v>
      </c>
      <c r="BB40" s="12">
        <v>1383.05</v>
      </c>
      <c r="BC40" s="12">
        <v>1307.93</v>
      </c>
      <c r="BD40" s="12">
        <v>1248.3599999999999</v>
      </c>
      <c r="BE40" s="12">
        <v>1287.28</v>
      </c>
      <c r="BF40" s="12">
        <v>1400.11</v>
      </c>
      <c r="BG40" s="12">
        <v>1300.68</v>
      </c>
      <c r="BH40" s="12">
        <v>1381.85</v>
      </c>
      <c r="BI40" s="12">
        <v>1320.83</v>
      </c>
      <c r="BJ40" s="12">
        <v>1080.3399999999999</v>
      </c>
      <c r="BK40" s="12">
        <v>1192.18</v>
      </c>
      <c r="BL40" s="12">
        <v>1181.93</v>
      </c>
      <c r="BM40" s="12">
        <v>1237.6400000000001</v>
      </c>
      <c r="BN40" s="12">
        <v>1348.22</v>
      </c>
      <c r="BO40" s="12">
        <v>1282.0999999999999</v>
      </c>
      <c r="BP40" s="12">
        <v>1321.58</v>
      </c>
      <c r="BQ40" s="12">
        <v>1483.86</v>
      </c>
    </row>
    <row r="41" spans="1:69" x14ac:dyDescent="0.4">
      <c r="A41" s="6" t="s">
        <v>30</v>
      </c>
      <c r="B41" s="4" t="s">
        <v>77</v>
      </c>
      <c r="C41" s="6"/>
      <c r="D41" s="11">
        <v>313.73</v>
      </c>
      <c r="E41" s="11">
        <v>315.77</v>
      </c>
      <c r="F41" s="11">
        <v>296.05</v>
      </c>
      <c r="G41" s="11">
        <v>344.49</v>
      </c>
      <c r="H41" s="11">
        <v>354.16</v>
      </c>
      <c r="I41" s="11">
        <v>349.96</v>
      </c>
      <c r="J41" s="11">
        <v>323.58999999999997</v>
      </c>
      <c r="K41" s="11">
        <v>320.60000000000002</v>
      </c>
      <c r="L41" s="11">
        <v>233.92</v>
      </c>
      <c r="M41" s="11">
        <v>252.77</v>
      </c>
      <c r="N41" s="11">
        <v>257.89999999999998</v>
      </c>
      <c r="O41" s="11">
        <v>254.12</v>
      </c>
      <c r="P41" s="11">
        <v>272.35000000000002</v>
      </c>
      <c r="Q41" s="11">
        <v>233.95</v>
      </c>
      <c r="R41" s="11">
        <v>215.12</v>
      </c>
      <c r="S41" s="11">
        <v>247.17</v>
      </c>
      <c r="T41" s="11">
        <v>239.88</v>
      </c>
      <c r="U41" s="11">
        <v>237.01</v>
      </c>
      <c r="V41" s="11">
        <v>241.12</v>
      </c>
      <c r="W41" s="11">
        <v>251.39</v>
      </c>
      <c r="X41" s="11">
        <v>253.69</v>
      </c>
      <c r="Y41" s="11">
        <v>290.39</v>
      </c>
      <c r="Z41" s="11">
        <v>263.42</v>
      </c>
      <c r="AA41" s="11">
        <v>297.16000000000003</v>
      </c>
      <c r="AB41" s="11">
        <v>269.60000000000002</v>
      </c>
      <c r="AC41" s="11">
        <v>280.8</v>
      </c>
      <c r="AD41" s="11">
        <v>284.95999999999998</v>
      </c>
      <c r="AE41" s="11">
        <v>325.12</v>
      </c>
      <c r="AF41" s="11">
        <v>270.55</v>
      </c>
      <c r="AG41" s="11">
        <v>281.51</v>
      </c>
      <c r="AH41" s="11">
        <v>275.76</v>
      </c>
      <c r="AI41" s="11">
        <v>261.05</v>
      </c>
      <c r="AJ41" s="11">
        <v>243.66</v>
      </c>
      <c r="AK41" s="11">
        <v>228.95</v>
      </c>
      <c r="AL41" s="11">
        <v>235.82</v>
      </c>
      <c r="AM41" s="11">
        <v>230.79</v>
      </c>
      <c r="AN41" s="11">
        <v>244.68</v>
      </c>
      <c r="AO41" s="11">
        <v>242.07</v>
      </c>
      <c r="AP41" s="11">
        <v>235.33</v>
      </c>
      <c r="AQ41" s="11">
        <v>246.96</v>
      </c>
      <c r="AR41" s="11">
        <v>218.31</v>
      </c>
      <c r="AS41" s="11">
        <v>212.04</v>
      </c>
      <c r="AT41" s="11">
        <v>203.94</v>
      </c>
      <c r="AU41" s="11">
        <v>204.75</v>
      </c>
      <c r="AV41" s="11">
        <v>191.57</v>
      </c>
      <c r="AW41" s="11">
        <v>161.76</v>
      </c>
      <c r="AX41" s="11">
        <v>198.85</v>
      </c>
      <c r="AY41" s="11">
        <v>212.43</v>
      </c>
      <c r="AZ41" s="11">
        <v>226.39</v>
      </c>
      <c r="BA41" s="11">
        <v>261.8</v>
      </c>
      <c r="BB41" s="11">
        <v>265.94</v>
      </c>
      <c r="BC41" s="11">
        <v>254.36</v>
      </c>
      <c r="BD41" s="11">
        <v>241.31</v>
      </c>
      <c r="BE41" s="11">
        <v>238.91</v>
      </c>
      <c r="BF41" s="11">
        <v>285.77</v>
      </c>
      <c r="BG41" s="11">
        <v>285.29000000000002</v>
      </c>
      <c r="BH41" s="11">
        <v>287.57</v>
      </c>
      <c r="BI41" s="11">
        <v>254.27</v>
      </c>
      <c r="BJ41" s="11">
        <v>258.10000000000002</v>
      </c>
      <c r="BK41" s="11">
        <v>255.16</v>
      </c>
      <c r="BL41" s="11">
        <v>250.39</v>
      </c>
      <c r="BM41" s="11">
        <v>255.32</v>
      </c>
      <c r="BN41" s="11">
        <v>251.8</v>
      </c>
      <c r="BO41" s="11">
        <v>250.19</v>
      </c>
      <c r="BP41" s="11">
        <v>259.12</v>
      </c>
      <c r="BQ41" s="11">
        <v>287.89999999999998</v>
      </c>
    </row>
    <row r="42" spans="1:69" x14ac:dyDescent="0.4">
      <c r="A42" s="6" t="s">
        <v>31</v>
      </c>
      <c r="B42" s="4" t="s">
        <v>78</v>
      </c>
      <c r="C42" s="6"/>
      <c r="D42" s="11">
        <v>708.4</v>
      </c>
      <c r="E42" s="11">
        <v>679.26</v>
      </c>
      <c r="F42" s="11">
        <v>633.82000000000005</v>
      </c>
      <c r="G42" s="11">
        <v>646.04</v>
      </c>
      <c r="H42" s="11">
        <v>619.21</v>
      </c>
      <c r="I42" s="11">
        <v>699.5</v>
      </c>
      <c r="J42" s="11">
        <v>604.71</v>
      </c>
      <c r="K42" s="11">
        <v>578.85</v>
      </c>
      <c r="L42" s="11">
        <v>530.30999999999995</v>
      </c>
      <c r="M42" s="11">
        <v>592.38</v>
      </c>
      <c r="N42" s="11">
        <v>575.16999999999996</v>
      </c>
      <c r="O42" s="11">
        <v>723.44</v>
      </c>
      <c r="P42" s="11">
        <v>607.22</v>
      </c>
      <c r="Q42" s="11">
        <v>569.89</v>
      </c>
      <c r="R42" s="11">
        <v>619.14</v>
      </c>
      <c r="S42" s="11">
        <v>773.58</v>
      </c>
      <c r="T42" s="11">
        <v>808.68</v>
      </c>
      <c r="U42" s="11">
        <v>860.24</v>
      </c>
      <c r="V42" s="12">
        <v>937.73</v>
      </c>
      <c r="W42" s="12">
        <v>1022.85</v>
      </c>
      <c r="X42" s="12">
        <v>1171.74</v>
      </c>
      <c r="Y42" s="12">
        <v>1111.42</v>
      </c>
      <c r="Z42" s="12">
        <v>1058.19</v>
      </c>
      <c r="AA42" s="12">
        <v>1134.48</v>
      </c>
      <c r="AB42" s="12">
        <v>1151.67</v>
      </c>
      <c r="AC42" s="12">
        <v>1264.73</v>
      </c>
      <c r="AD42" s="12">
        <v>1343.11</v>
      </c>
      <c r="AE42" s="12">
        <v>1290.1600000000001</v>
      </c>
      <c r="AF42" s="12">
        <v>1145.4000000000001</v>
      </c>
      <c r="AG42" s="12">
        <v>1164.57</v>
      </c>
      <c r="AH42" s="12">
        <v>1117.8</v>
      </c>
      <c r="AI42" s="11">
        <v>908.61</v>
      </c>
      <c r="AJ42" s="11">
        <v>776.42</v>
      </c>
      <c r="AK42" s="11">
        <v>910.3</v>
      </c>
      <c r="AL42" s="12">
        <v>997.32</v>
      </c>
      <c r="AM42" s="12">
        <v>993.49</v>
      </c>
      <c r="AN42" s="12">
        <v>1121.8499999999999</v>
      </c>
      <c r="AO42" s="12">
        <v>1000.23</v>
      </c>
      <c r="AP42" s="11">
        <v>919.77</v>
      </c>
      <c r="AQ42" s="11">
        <v>888.11</v>
      </c>
      <c r="AR42" s="11">
        <v>857.62</v>
      </c>
      <c r="AS42" s="11">
        <v>896.73</v>
      </c>
      <c r="AT42" s="11">
        <v>737.3</v>
      </c>
      <c r="AU42" s="11">
        <v>804.48</v>
      </c>
      <c r="AV42" s="11">
        <v>827.46</v>
      </c>
      <c r="AW42" s="11">
        <v>748.35</v>
      </c>
      <c r="AX42" s="11">
        <v>851.55</v>
      </c>
      <c r="AY42" s="12">
        <v>956.28</v>
      </c>
      <c r="AZ42" s="12">
        <v>1075.01</v>
      </c>
      <c r="BA42" s="11">
        <v>931.18</v>
      </c>
      <c r="BB42" s="12">
        <v>996.39</v>
      </c>
      <c r="BC42" s="12">
        <v>1055.1500000000001</v>
      </c>
      <c r="BD42" s="12">
        <v>1184.25</v>
      </c>
      <c r="BE42" s="12">
        <v>1198.3800000000001</v>
      </c>
      <c r="BF42" s="12">
        <v>1289.43</v>
      </c>
      <c r="BG42" s="12">
        <v>1373.67</v>
      </c>
      <c r="BH42" s="12">
        <v>1292.46</v>
      </c>
      <c r="BI42" s="12">
        <v>1385.1</v>
      </c>
      <c r="BJ42" s="12">
        <v>1381.08</v>
      </c>
      <c r="BK42" s="12">
        <v>1359.13</v>
      </c>
      <c r="BL42" s="12">
        <v>1493.85</v>
      </c>
      <c r="BM42" s="12">
        <v>1589.98</v>
      </c>
      <c r="BN42" s="12">
        <v>1495.54</v>
      </c>
      <c r="BO42" s="12">
        <v>1248.99</v>
      </c>
      <c r="BP42" s="12">
        <v>1210.6600000000001</v>
      </c>
      <c r="BQ42" s="12">
        <v>1193.52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BP60"/>
  <sheetViews>
    <sheetView tabSelected="1" workbookViewId="0">
      <selection activeCell="C10" sqref="C10"/>
    </sheetView>
  </sheetViews>
  <sheetFormatPr defaultRowHeight="17.399999999999999" x14ac:dyDescent="0.4"/>
  <cols>
    <col min="2" max="2" width="20.19921875" bestFit="1" customWidth="1"/>
    <col min="3" max="3" width="9.3984375" bestFit="1" customWidth="1"/>
  </cols>
  <sheetData>
    <row r="1" spans="1:67" x14ac:dyDescent="0.4">
      <c r="C1" s="14">
        <v>20010531</v>
      </c>
      <c r="D1" s="14">
        <v>20010831</v>
      </c>
      <c r="E1" s="14">
        <v>20011130</v>
      </c>
      <c r="F1" s="14">
        <v>20020228</v>
      </c>
      <c r="G1" s="14">
        <v>20020531</v>
      </c>
      <c r="H1" s="14">
        <v>20020830</v>
      </c>
      <c r="I1" s="14">
        <v>20021129</v>
      </c>
      <c r="J1" s="14">
        <v>20030228</v>
      </c>
      <c r="K1" s="14">
        <v>20030530</v>
      </c>
      <c r="L1" s="14">
        <v>20030829</v>
      </c>
      <c r="M1" s="14">
        <v>20031128</v>
      </c>
      <c r="N1" s="14">
        <v>20040227</v>
      </c>
      <c r="O1" s="14">
        <v>20040531</v>
      </c>
      <c r="P1" s="14">
        <v>20040831</v>
      </c>
      <c r="Q1" s="14">
        <v>20041130</v>
      </c>
      <c r="R1" s="14">
        <v>20050228</v>
      </c>
      <c r="S1" s="14">
        <v>20050531</v>
      </c>
      <c r="T1" s="14">
        <v>20050831</v>
      </c>
      <c r="U1" s="14">
        <v>20051130</v>
      </c>
      <c r="V1" s="14">
        <v>20060228</v>
      </c>
      <c r="W1" s="14">
        <v>20060530</v>
      </c>
      <c r="X1" s="14">
        <v>20060831</v>
      </c>
      <c r="Y1" s="14">
        <v>20061130</v>
      </c>
      <c r="Z1" s="14">
        <v>20070228</v>
      </c>
      <c r="AA1" s="14">
        <v>20070531</v>
      </c>
      <c r="AB1" s="14">
        <v>20070831</v>
      </c>
      <c r="AC1" s="14">
        <v>20071130</v>
      </c>
      <c r="AD1" s="14">
        <v>20080229</v>
      </c>
      <c r="AE1" s="14">
        <v>20080530</v>
      </c>
      <c r="AF1" s="14">
        <v>20080829</v>
      </c>
      <c r="AG1" s="14">
        <v>20081128</v>
      </c>
      <c r="AH1" s="14">
        <v>20090227</v>
      </c>
      <c r="AI1" s="14">
        <v>20090529</v>
      </c>
      <c r="AJ1" s="14">
        <v>20090831</v>
      </c>
      <c r="AK1" s="14">
        <v>20091130</v>
      </c>
      <c r="AL1" s="14">
        <v>20100226</v>
      </c>
      <c r="AM1" s="14">
        <v>20100531</v>
      </c>
      <c r="AN1" s="14">
        <v>20100831</v>
      </c>
      <c r="AO1" s="14">
        <v>20101130</v>
      </c>
      <c r="AP1" s="14">
        <v>20110228</v>
      </c>
      <c r="AQ1" s="14">
        <v>20110531</v>
      </c>
      <c r="AR1" s="14">
        <v>20110831</v>
      </c>
      <c r="AS1" s="14">
        <v>20111130</v>
      </c>
      <c r="AT1" s="14">
        <v>20120229</v>
      </c>
      <c r="AU1" s="14">
        <v>20120531</v>
      </c>
      <c r="AV1" s="14">
        <v>20120831</v>
      </c>
      <c r="AW1" s="14">
        <v>20121130</v>
      </c>
      <c r="AX1" s="14">
        <v>20130228</v>
      </c>
      <c r="AY1" s="14">
        <v>20130531</v>
      </c>
      <c r="AZ1" s="14">
        <v>20130830</v>
      </c>
      <c r="BA1" s="14">
        <v>20131129</v>
      </c>
      <c r="BB1" s="14">
        <v>20140228</v>
      </c>
      <c r="BC1" s="14">
        <v>20140530</v>
      </c>
      <c r="BD1" s="14">
        <v>20140829</v>
      </c>
      <c r="BE1" s="14">
        <v>20141128</v>
      </c>
      <c r="BF1" s="14">
        <v>20150227</v>
      </c>
      <c r="BG1" s="14">
        <v>20150529</v>
      </c>
      <c r="BH1" s="14">
        <v>20150831</v>
      </c>
      <c r="BI1" s="14">
        <v>20151130</v>
      </c>
      <c r="BJ1" s="14">
        <v>20160229</v>
      </c>
      <c r="BK1" s="14">
        <v>20160531</v>
      </c>
      <c r="BL1" s="14">
        <v>20160831</v>
      </c>
      <c r="BM1" s="14">
        <v>20161130</v>
      </c>
      <c r="BN1" s="14">
        <v>20170228</v>
      </c>
      <c r="BO1" s="7">
        <v>20170531</v>
      </c>
    </row>
    <row r="2" spans="1:67" x14ac:dyDescent="0.4">
      <c r="A2" s="6" t="s">
        <v>3</v>
      </c>
      <c r="B2" s="4" t="s">
        <v>50</v>
      </c>
      <c r="C2">
        <f>IFERROR(중분류_Rawdata!E14/중분류_Rawdata!D14,1)</f>
        <v>1.2149249352046556</v>
      </c>
      <c r="D2">
        <f>IFERROR(중분류_Rawdata!F14/중분류_Rawdata!E14,1)</f>
        <v>0.87124993291472119</v>
      </c>
      <c r="E2">
        <f>IFERROR(중분류_Rawdata!G14/중분류_Rawdata!F14,1)</f>
        <v>1.1483922631514107</v>
      </c>
      <c r="F2">
        <f>IFERROR(중분류_Rawdata!H14/중분류_Rawdata!G14,1)</f>
        <v>1.0484364104489621</v>
      </c>
      <c r="G2">
        <f>IFERROR(중분류_Rawdata!I14/중분류_Rawdata!H14,1)</f>
        <v>1.1309730891230942</v>
      </c>
      <c r="H2">
        <f>IFERROR(중분류_Rawdata!J14/중분류_Rawdata!I14,1)</f>
        <v>0.83056636207364509</v>
      </c>
      <c r="I2">
        <f>IFERROR(중분류_Rawdata!K14/중분류_Rawdata!J14,1)</f>
        <v>0.9489529152256202</v>
      </c>
      <c r="J2">
        <f>IFERROR(중분류_Rawdata!L14/중분류_Rawdata!K14,1)</f>
        <v>0.83227870804815407</v>
      </c>
      <c r="K2">
        <f>IFERROR(중분류_Rawdata!M14/중분류_Rawdata!L14,1)</f>
        <v>1.0373250120681334</v>
      </c>
      <c r="L2">
        <f>IFERROR(중분류_Rawdata!N14/중분류_Rawdata!M14,1)</f>
        <v>1.3163256826605061</v>
      </c>
      <c r="M2">
        <f>IFERROR(중분류_Rawdata!O14/중분류_Rawdata!N14,1)</f>
        <v>1.4446857402590845</v>
      </c>
      <c r="N2">
        <f>IFERROR(중분류_Rawdata!P14/중분류_Rawdata!O14,1)</f>
        <v>1.5427977137263813</v>
      </c>
      <c r="O2">
        <f>IFERROR(중분류_Rawdata!Q14/중분류_Rawdata!P14,1)</f>
        <v>1.1184217979946751</v>
      </c>
      <c r="P2">
        <f>IFERROR(중분류_Rawdata!R14/중분류_Rawdata!Q14,1)</f>
        <v>0.91017803327677471</v>
      </c>
      <c r="Q2">
        <f>IFERROR(중분류_Rawdata!S14/중분류_Rawdata!R14,1)</f>
        <v>1.3551677508750648</v>
      </c>
      <c r="R2">
        <f>IFERROR(중분류_Rawdata!T14/중분류_Rawdata!S14,1)</f>
        <v>1.0399548300995791</v>
      </c>
      <c r="S2">
        <f>IFERROR(중분류_Rawdata!U14/중분류_Rawdata!T14,1)</f>
        <v>0.88500128329154404</v>
      </c>
      <c r="T2">
        <f>IFERROR(중분류_Rawdata!V14/중분류_Rawdata!U14,1)</f>
        <v>0.99386073323190471</v>
      </c>
      <c r="U2">
        <f>IFERROR(중분류_Rawdata!W14/중분류_Rawdata!V14,1)</f>
        <v>1.0345940607393773</v>
      </c>
      <c r="V2">
        <f>IFERROR(중분류_Rawdata!X14/중분류_Rawdata!W14,1)</f>
        <v>1.0439553763977418</v>
      </c>
      <c r="W2">
        <f>IFERROR(중분류_Rawdata!Y14/중분류_Rawdata!X14,1)</f>
        <v>1.037545045325885</v>
      </c>
      <c r="X2">
        <f>IFERROR(중분류_Rawdata!Z14/중분류_Rawdata!Y14,1)</f>
        <v>0.98196086914719749</v>
      </c>
      <c r="Y2">
        <f>IFERROR(중분류_Rawdata!AA14/중분류_Rawdata!Z14,1)</f>
        <v>1.0739716303376701</v>
      </c>
      <c r="Z2">
        <f>IFERROR(중분류_Rawdata!AB14/중분류_Rawdata!AA14,1)</f>
        <v>1.103284672919207</v>
      </c>
      <c r="AA2">
        <f>IFERROR(중분류_Rawdata!AC14/중분류_Rawdata!AB14,1)</f>
        <v>1.267849457552773</v>
      </c>
      <c r="AB2">
        <f>IFERROR(중분류_Rawdata!AD14/중분류_Rawdata!AC14,1)</f>
        <v>0.98639466866537406</v>
      </c>
      <c r="AC2">
        <f>IFERROR(중분류_Rawdata!AE14/중분류_Rawdata!AD14,1)</f>
        <v>1.3844940368033301</v>
      </c>
      <c r="AD2">
        <f>IFERROR(중분류_Rawdata!AF14/중분류_Rawdata!AE14,1)</f>
        <v>0.73598442592471081</v>
      </c>
      <c r="AE2">
        <f>IFERROR(중분류_Rawdata!AG14/중분류_Rawdata!AF14,1)</f>
        <v>0.99763588270736014</v>
      </c>
      <c r="AF2">
        <f>IFERROR(중분류_Rawdata!AH14/중분류_Rawdata!AG14,1)</f>
        <v>0.6948857388921087</v>
      </c>
      <c r="AG2">
        <f>IFERROR(중분류_Rawdata!AI14/중분류_Rawdata!AH14,1)</f>
        <v>0.83593874838744886</v>
      </c>
      <c r="AH2">
        <f>IFERROR(중분류_Rawdata!AJ14/중분류_Rawdata!AI14,1)</f>
        <v>0.98506662439506532</v>
      </c>
      <c r="AI2">
        <f>IFERROR(중분류_Rawdata!AK14/중분류_Rawdata!AJ14,1)</f>
        <v>1.3143840252173626</v>
      </c>
      <c r="AJ2">
        <f>IFERROR(중분류_Rawdata!AL14/중분류_Rawdata!AK14,1)</f>
        <v>0.98209983903898712</v>
      </c>
      <c r="AK2">
        <f>IFERROR(중분류_Rawdata!AM14/중분류_Rawdata!AL14,1)</f>
        <v>0.97104159333567996</v>
      </c>
      <c r="AL2">
        <f>IFERROR(중분류_Rawdata!AN14/중분류_Rawdata!AM14,1)</f>
        <v>1.0159984594355795</v>
      </c>
      <c r="AM2">
        <f>IFERROR(중분류_Rawdata!AO14/중분류_Rawdata!AN14,1)</f>
        <v>0.97794666914429063</v>
      </c>
      <c r="AN2">
        <f>IFERROR(중분류_Rawdata!AP14/중분류_Rawdata!AO14,1)</f>
        <v>1.1635663009565216</v>
      </c>
      <c r="AO2">
        <f>IFERROR(중분류_Rawdata!AQ14/중분류_Rawdata!AP14,1)</f>
        <v>1.2930446597121974</v>
      </c>
      <c r="AP2">
        <f>IFERROR(중분류_Rawdata!AR14/중분류_Rawdata!AQ14,1)</f>
        <v>1.0956891391160044</v>
      </c>
      <c r="AQ2">
        <f>IFERROR(중분류_Rawdata!AS14/중분류_Rawdata!AR14,1)</f>
        <v>1.3495646521020492</v>
      </c>
      <c r="AR2">
        <f>IFERROR(중분류_Rawdata!AT14/중분류_Rawdata!AS14,1)</f>
        <v>0.76970221837319308</v>
      </c>
      <c r="AS2">
        <f>IFERROR(중분류_Rawdata!AU14/중분류_Rawdata!AT14,1)</f>
        <v>0.8947861324527413</v>
      </c>
      <c r="AT2">
        <f>IFERROR(중분류_Rawdata!AV14/중분류_Rawdata!AU14,1)</f>
        <v>1.1628438774194187</v>
      </c>
      <c r="AU2">
        <f>IFERROR(중분류_Rawdata!AW14/중분류_Rawdata!AV14,1)</f>
        <v>0.76764408536559359</v>
      </c>
      <c r="AV2">
        <f>IFERROR(중분류_Rawdata!AX14/중분류_Rawdata!AW14,1)</f>
        <v>1.1758675013128173</v>
      </c>
      <c r="AW2">
        <f>IFERROR(중분류_Rawdata!AY14/중분류_Rawdata!AX14,1)</f>
        <v>1.0233997306301836</v>
      </c>
      <c r="AX2">
        <f>IFERROR(중분류_Rawdata!AZ14/중분류_Rawdata!AY14,1)</f>
        <v>1.0313544040469809</v>
      </c>
      <c r="AY2">
        <f>IFERROR(중분류_Rawdata!BA14/중분류_Rawdata!AZ14,1)</f>
        <v>0.8805376399451077</v>
      </c>
      <c r="AZ2">
        <f>IFERROR(중분류_Rawdata!BB14/중분류_Rawdata!BA14,1)</f>
        <v>0.95386316833193496</v>
      </c>
      <c r="BA2">
        <f>IFERROR(중분류_Rawdata!BC14/중분류_Rawdata!BB14,1)</f>
        <v>1.0128017527446607</v>
      </c>
      <c r="BB2">
        <f>IFERROR(중분류_Rawdata!BD14/중분류_Rawdata!BC14,1)</f>
        <v>0.93107640807819236</v>
      </c>
      <c r="BC2">
        <f>IFERROR(중분류_Rawdata!BE14/중분류_Rawdata!BD14,1)</f>
        <v>0.86678198735994749</v>
      </c>
      <c r="BD2">
        <f>IFERROR(중분류_Rawdata!BF14/중분류_Rawdata!BE14,1)</f>
        <v>0.90089805128740252</v>
      </c>
      <c r="BE2">
        <f>IFERROR(중분류_Rawdata!BG14/중분류_Rawdata!BF14,1)</f>
        <v>0.95541004730827839</v>
      </c>
      <c r="BF2">
        <f>IFERROR(중분류_Rawdata!BH14/중분류_Rawdata!BG14,1)</f>
        <v>1.186456731097085</v>
      </c>
      <c r="BG2">
        <f>IFERROR(중분류_Rawdata!BI14/중분류_Rawdata!BH14,1)</f>
        <v>1.0517865695947888</v>
      </c>
      <c r="BH2">
        <f>IFERROR(중분류_Rawdata!BJ14/중분류_Rawdata!BI14,1)</f>
        <v>0.9560184341870378</v>
      </c>
      <c r="BI2">
        <f>IFERROR(중분류_Rawdata!BK14/중분류_Rawdata!BJ14,1)</f>
        <v>1.2142609899619243</v>
      </c>
      <c r="BJ2">
        <f>IFERROR(중분류_Rawdata!BL14/중분류_Rawdata!BK14,1)</f>
        <v>1.0940706955530217</v>
      </c>
      <c r="BK2">
        <f>IFERROR(중분류_Rawdata!BM14/중분류_Rawdata!BL14,1)</f>
        <v>1.0905192402388477</v>
      </c>
      <c r="BL2">
        <f>IFERROR(중분류_Rawdata!BN14/중분류_Rawdata!BM14,1)</f>
        <v>0.8982091580631727</v>
      </c>
      <c r="BM2">
        <f>IFERROR(중분류_Rawdata!BO14/중분류_Rawdata!BN14,1)</f>
        <v>1.068006110715227</v>
      </c>
      <c r="BN2">
        <f>IFERROR(중분류_Rawdata!BP14/중분류_Rawdata!BO14,1)</f>
        <v>1.0090896835062688</v>
      </c>
      <c r="BO2">
        <f>IFERROR(중분류_Rawdata!BQ14/중분류_Rawdata!BP14,1)</f>
        <v>1.1370780563248244</v>
      </c>
    </row>
    <row r="3" spans="1:67" x14ac:dyDescent="0.4">
      <c r="A3" s="6" t="s">
        <v>4</v>
      </c>
      <c r="B3" s="4" t="s">
        <v>51</v>
      </c>
      <c r="C3">
        <f>IFERROR(중분류_Rawdata!E15/중분류_Rawdata!D15,1)</f>
        <v>1.0636831478754571</v>
      </c>
      <c r="D3">
        <f>IFERROR(중분류_Rawdata!F15/중분류_Rawdata!E15,1)</f>
        <v>0.84054061768567689</v>
      </c>
      <c r="E3">
        <f>IFERROR(중분류_Rawdata!G15/중분류_Rawdata!F15,1)</f>
        <v>1.1741064606503098</v>
      </c>
      <c r="F3">
        <f>IFERROR(중분류_Rawdata!H15/중분류_Rawdata!G15,1)</f>
        <v>1.373280886202259</v>
      </c>
      <c r="G3">
        <f>IFERROR(중분류_Rawdata!I15/중분류_Rawdata!H15,1)</f>
        <v>0.94570402586324909</v>
      </c>
      <c r="H3">
        <f>IFERROR(중분류_Rawdata!J15/중분류_Rawdata!I15,1)</f>
        <v>0.85379433216413347</v>
      </c>
      <c r="I3">
        <f>IFERROR(중분류_Rawdata!K15/중분류_Rawdata!J15,1)</f>
        <v>1.060593413759374</v>
      </c>
      <c r="J3">
        <f>IFERROR(중분류_Rawdata!L15/중분류_Rawdata!K15,1)</f>
        <v>0.8639957698503461</v>
      </c>
      <c r="K3">
        <f>IFERROR(중분류_Rawdata!M15/중분류_Rawdata!L15,1)</f>
        <v>1.0471527589985909</v>
      </c>
      <c r="L3">
        <f>IFERROR(중분류_Rawdata!N15/중분류_Rawdata!M15,1)</f>
        <v>1.1809742572104276</v>
      </c>
      <c r="M3">
        <f>IFERROR(중분류_Rawdata!O15/중분류_Rawdata!N15,1)</f>
        <v>1.0406035286399888</v>
      </c>
      <c r="N3">
        <f>IFERROR(중분류_Rawdata!P15/중분류_Rawdata!O15,1)</f>
        <v>1.145304533439508</v>
      </c>
      <c r="O3">
        <f>IFERROR(중분류_Rawdata!Q15/중분류_Rawdata!P15,1)</f>
        <v>0.81776833566703688</v>
      </c>
      <c r="P3">
        <f>IFERROR(중분류_Rawdata!R15/중분류_Rawdata!Q15,1)</f>
        <v>1.1356336498039772</v>
      </c>
      <c r="Q3">
        <f>IFERROR(중분류_Rawdata!S15/중분류_Rawdata!R15,1)</f>
        <v>1.193137152958303</v>
      </c>
      <c r="R3">
        <f>IFERROR(중분류_Rawdata!T15/중분류_Rawdata!S15,1)</f>
        <v>1.1963588510074601</v>
      </c>
      <c r="S3">
        <f>IFERROR(중분류_Rawdata!U15/중분류_Rawdata!T15,1)</f>
        <v>0.83069022036059004</v>
      </c>
      <c r="T3">
        <f>IFERROR(중분류_Rawdata!V15/중분류_Rawdata!U15,1)</f>
        <v>1.157884121263143</v>
      </c>
      <c r="U3">
        <f>IFERROR(중분류_Rawdata!W15/중분류_Rawdata!V15,1)</f>
        <v>1.083734104834251</v>
      </c>
      <c r="V3">
        <f>IFERROR(중분류_Rawdata!X15/중분류_Rawdata!W15,1)</f>
        <v>1.0533848615935091</v>
      </c>
      <c r="W3">
        <f>IFERROR(중분류_Rawdata!Y15/중분류_Rawdata!X15,1)</f>
        <v>1.0118753814717512</v>
      </c>
      <c r="X3">
        <f>IFERROR(중분류_Rawdata!Z15/중분류_Rawdata!Y15,1)</f>
        <v>0.99235520121687359</v>
      </c>
      <c r="Y3">
        <f>IFERROR(중분류_Rawdata!AA15/중분류_Rawdata!Z15,1)</f>
        <v>1.1864874864557731</v>
      </c>
      <c r="Z3">
        <f>IFERROR(중분류_Rawdata!AB15/중분류_Rawdata!AA15,1)</f>
        <v>1.1082458152821553</v>
      </c>
      <c r="AA3">
        <f>IFERROR(중분류_Rawdata!AC15/중분류_Rawdata!AB15,1)</f>
        <v>1.3906874148959156</v>
      </c>
      <c r="AB3">
        <f>IFERROR(중분류_Rawdata!AD15/중분류_Rawdata!AC15,1)</f>
        <v>1.2584291990635026</v>
      </c>
      <c r="AC3">
        <f>IFERROR(중분류_Rawdata!AE15/중분류_Rawdata!AD15,1)</f>
        <v>1.0044731167977308</v>
      </c>
      <c r="AD3">
        <f>IFERROR(중분류_Rawdata!AF15/중분류_Rawdata!AE15,1)</f>
        <v>0.91961950603239562</v>
      </c>
      <c r="AE3">
        <f>IFERROR(중분류_Rawdata!AG15/중분류_Rawdata!AF15,1)</f>
        <v>1.0581247532938189</v>
      </c>
      <c r="AF3">
        <f>IFERROR(중분류_Rawdata!AH15/중분류_Rawdata!AG15,1)</f>
        <v>0.83252261778874392</v>
      </c>
      <c r="AG3">
        <f>IFERROR(중분류_Rawdata!AI15/중분류_Rawdata!AH15,1)</f>
        <v>0.6827156486394943</v>
      </c>
      <c r="AH3">
        <f>IFERROR(중분류_Rawdata!AJ15/중분류_Rawdata!AI15,1)</f>
        <v>1.0225118605877064</v>
      </c>
      <c r="AI3">
        <f>IFERROR(중분류_Rawdata!AK15/중분류_Rawdata!AJ15,1)</f>
        <v>1.3739373477412637</v>
      </c>
      <c r="AJ3">
        <f>IFERROR(중분류_Rawdata!AL15/중분류_Rawdata!AK15,1)</f>
        <v>1.1079131397628743</v>
      </c>
      <c r="AK3">
        <f>IFERROR(중분류_Rawdata!AM15/중분류_Rawdata!AL15,1)</f>
        <v>1.0740435761387106</v>
      </c>
      <c r="AL3">
        <f>IFERROR(중분류_Rawdata!AN15/중분류_Rawdata!AM15,1)</f>
        <v>0.99596876410468849</v>
      </c>
      <c r="AM3">
        <f>IFERROR(중분류_Rawdata!AO15/중분류_Rawdata!AN15,1)</f>
        <v>1.0045566005525035</v>
      </c>
      <c r="AN3">
        <f>IFERROR(중분류_Rawdata!AP15/중분류_Rawdata!AO15,1)</f>
        <v>1.1790549935421675</v>
      </c>
      <c r="AO3">
        <f>IFERROR(중분류_Rawdata!AQ15/중분류_Rawdata!AP15,1)</f>
        <v>1.0259128324602254</v>
      </c>
      <c r="AP3">
        <f>IFERROR(중분류_Rawdata!AR15/중분류_Rawdata!AQ15,1)</f>
        <v>1.0424165016923175</v>
      </c>
      <c r="AQ3">
        <f>IFERROR(중분류_Rawdata!AS15/중분류_Rawdata!AR15,1)</f>
        <v>1.1566825132326992</v>
      </c>
      <c r="AR3">
        <f>IFERROR(중분류_Rawdata!AT15/중분류_Rawdata!AS15,1)</f>
        <v>0.84870100567985618</v>
      </c>
      <c r="AS3">
        <f>IFERROR(중분류_Rawdata!AU15/중분류_Rawdata!AT15,1)</f>
        <v>0.86394510275759284</v>
      </c>
      <c r="AT3">
        <f>IFERROR(중분류_Rawdata!AV15/중분류_Rawdata!AU15,1)</f>
        <v>1.1292780389426147</v>
      </c>
      <c r="AU3">
        <f>IFERROR(중분류_Rawdata!AW15/중분류_Rawdata!AV15,1)</f>
        <v>0.80661494926338517</v>
      </c>
      <c r="AV3">
        <f>IFERROR(중분류_Rawdata!AX15/중분류_Rawdata!AW15,1)</f>
        <v>1.0330426728499424</v>
      </c>
      <c r="AW3">
        <f>IFERROR(중분류_Rawdata!AY15/중분류_Rawdata!AX15,1)</f>
        <v>0.93710927424802559</v>
      </c>
      <c r="AX3">
        <f>IFERROR(중분류_Rawdata!AZ15/중분류_Rawdata!AY15,1)</f>
        <v>1.0171071515167402</v>
      </c>
      <c r="AY3">
        <f>IFERROR(중분류_Rawdata!BA15/중분류_Rawdata!AZ15,1)</f>
        <v>0.92982942190293638</v>
      </c>
      <c r="AZ3">
        <f>IFERROR(중분류_Rawdata!BB15/중분류_Rawdata!BA15,1)</f>
        <v>1.0029795622815132</v>
      </c>
      <c r="BA3">
        <f>IFERROR(중분류_Rawdata!BC15/중분류_Rawdata!BB15,1)</f>
        <v>1.0354343628343345</v>
      </c>
      <c r="BB3">
        <f>IFERROR(중분류_Rawdata!BD15/중분류_Rawdata!BC15,1)</f>
        <v>0.92011369436632406</v>
      </c>
      <c r="BC3">
        <f>IFERROR(중분류_Rawdata!BE15/중분류_Rawdata!BD15,1)</f>
        <v>0.99824151121263194</v>
      </c>
      <c r="BD3">
        <f>IFERROR(중분류_Rawdata!BF15/중분류_Rawdata!BE15,1)</f>
        <v>1.0690033415661775</v>
      </c>
      <c r="BE3">
        <f>IFERROR(중분류_Rawdata!BG15/중분류_Rawdata!BF15,1)</f>
        <v>0.88515143484258518</v>
      </c>
      <c r="BF3">
        <f>IFERROR(중분류_Rawdata!BH15/중분류_Rawdata!BG15,1)</f>
        <v>1.0114158055551292</v>
      </c>
      <c r="BG3">
        <f>IFERROR(중분류_Rawdata!BI15/중분류_Rawdata!BH15,1)</f>
        <v>1.1020342327982087</v>
      </c>
      <c r="BH3">
        <f>IFERROR(중분류_Rawdata!BJ15/중분류_Rawdata!BI15,1)</f>
        <v>0.89115798536375368</v>
      </c>
      <c r="BI3">
        <f>IFERROR(중분류_Rawdata!BK15/중분류_Rawdata!BJ15,1)</f>
        <v>1.0212659891022917</v>
      </c>
      <c r="BJ3">
        <f>IFERROR(중분류_Rawdata!BL15/중분류_Rawdata!BK15,1)</f>
        <v>1.0384640125930382</v>
      </c>
      <c r="BK3">
        <f>IFERROR(중분류_Rawdata!BM15/중분류_Rawdata!BL15,1)</f>
        <v>0.99997813713844297</v>
      </c>
      <c r="BL3">
        <f>IFERROR(중분류_Rawdata!BN15/중분류_Rawdata!BM15,1)</f>
        <v>1.0264801480876864</v>
      </c>
      <c r="BM3">
        <f>IFERROR(중분류_Rawdata!BO15/중분류_Rawdata!BN15,1)</f>
        <v>0.98562295215815465</v>
      </c>
      <c r="BN3">
        <f>IFERROR(중분류_Rawdata!BP15/중분류_Rawdata!BO15,1)</f>
        <v>1.1024530972558879</v>
      </c>
      <c r="BO3">
        <f>IFERROR(중분류_Rawdata!BQ15/중분류_Rawdata!BP15,1)</f>
        <v>1.0443587775037162</v>
      </c>
    </row>
    <row r="4" spans="1:67" x14ac:dyDescent="0.4">
      <c r="A4" s="6" t="s">
        <v>5</v>
      </c>
      <c r="B4" s="4" t="s">
        <v>52</v>
      </c>
      <c r="C4">
        <f>IFERROR(중분류_Rawdata!E16/중분류_Rawdata!D16,1)</f>
        <v>1.15717506727762</v>
      </c>
      <c r="D4">
        <f>IFERROR(중분류_Rawdata!F16/중분류_Rawdata!E16,1)</f>
        <v>0.91231929604022632</v>
      </c>
      <c r="E4">
        <f>IFERROR(중분류_Rawdata!G16/중분류_Rawdata!F16,1)</f>
        <v>1.1233551498449879</v>
      </c>
      <c r="F4">
        <f>IFERROR(중분류_Rawdata!H16/중분류_Rawdata!G16,1)</f>
        <v>1.2175952899328446</v>
      </c>
      <c r="G4">
        <f>IFERROR(중분류_Rawdata!I16/중분류_Rawdata!H16,1)</f>
        <v>0.83825270103508209</v>
      </c>
      <c r="H4">
        <f>IFERROR(중분류_Rawdata!J16/중분류_Rawdata!I16,1)</f>
        <v>0.98314530787603838</v>
      </c>
      <c r="I4">
        <f>IFERROR(중분류_Rawdata!K16/중분류_Rawdata!J16,1)</f>
        <v>0.94853851207847562</v>
      </c>
      <c r="J4">
        <f>IFERROR(중분류_Rawdata!L16/중분류_Rawdata!K16,1)</f>
        <v>0.83912434156478033</v>
      </c>
      <c r="K4">
        <f>IFERROR(중분류_Rawdata!M16/중분류_Rawdata!L16,1)</f>
        <v>1.2382131613299547</v>
      </c>
      <c r="L4">
        <f>IFERROR(중분류_Rawdata!N16/중분류_Rawdata!M16,1)</f>
        <v>1.0977659261096728</v>
      </c>
      <c r="M4">
        <f>IFERROR(중분류_Rawdata!O16/중분류_Rawdata!N16,1)</f>
        <v>1.059810470716172</v>
      </c>
      <c r="N4">
        <f>IFERROR(중분류_Rawdata!P16/중분류_Rawdata!O16,1)</f>
        <v>1.0248394232563098</v>
      </c>
      <c r="O4">
        <f>IFERROR(중분류_Rawdata!Q16/중분류_Rawdata!P16,1)</f>
        <v>0.92579252594075889</v>
      </c>
      <c r="P4">
        <f>IFERROR(중분류_Rawdata!R16/중분류_Rawdata!Q16,1)</f>
        <v>1.0548743662130085</v>
      </c>
      <c r="Q4">
        <f>IFERROR(중분류_Rawdata!S16/중분류_Rawdata!R16,1)</f>
        <v>1.1846457007429501</v>
      </c>
      <c r="R4">
        <f>IFERROR(중분류_Rawdata!T16/중분류_Rawdata!S16,1)</f>
        <v>1.2814305302672693</v>
      </c>
      <c r="S4">
        <f>IFERROR(중분류_Rawdata!U16/중분류_Rawdata!T16,1)</f>
        <v>0.99104495939095194</v>
      </c>
      <c r="T4">
        <f>IFERROR(중분류_Rawdata!V16/중분류_Rawdata!U16,1)</f>
        <v>1.2428823024435141</v>
      </c>
      <c r="U4">
        <f>IFERROR(중분류_Rawdata!W16/중분류_Rawdata!V16,1)</f>
        <v>1.2729480122759673</v>
      </c>
      <c r="V4">
        <f>IFERROR(중분류_Rawdata!X16/중분류_Rawdata!W16,1)</f>
        <v>1.0314260302401421</v>
      </c>
      <c r="W4">
        <f>IFERROR(중분류_Rawdata!Y16/중분류_Rawdata!X16,1)</f>
        <v>1.0690233042459611</v>
      </c>
      <c r="X4">
        <f>IFERROR(중분류_Rawdata!Z16/중분류_Rawdata!Y16,1)</f>
        <v>1.0555059508710696</v>
      </c>
      <c r="Y4">
        <f>IFERROR(중분류_Rawdata!AA16/중분류_Rawdata!Z16,1)</f>
        <v>1.1698397058470114</v>
      </c>
      <c r="Z4">
        <f>IFERROR(중분류_Rawdata!AB16/중분류_Rawdata!AA16,1)</f>
        <v>1.0080446688661453</v>
      </c>
      <c r="AA4">
        <f>IFERROR(중분류_Rawdata!AC16/중분류_Rawdata!AB16,1)</f>
        <v>1.617536651871416</v>
      </c>
      <c r="AB4">
        <f>IFERROR(중분류_Rawdata!AD16/중분류_Rawdata!AC16,1)</f>
        <v>1.1600333618067786</v>
      </c>
      <c r="AC4">
        <f>IFERROR(중분류_Rawdata!AE16/중분류_Rawdata!AD16,1)</f>
        <v>1.0431498874822969</v>
      </c>
      <c r="AD4">
        <f>IFERROR(중분류_Rawdata!AF16/중분류_Rawdata!AE16,1)</f>
        <v>0.87393307887563842</v>
      </c>
      <c r="AE4">
        <f>IFERROR(중분류_Rawdata!AG16/중분류_Rawdata!AF16,1)</f>
        <v>1.0082369339639501</v>
      </c>
      <c r="AF4">
        <f>IFERROR(중분류_Rawdata!AH16/중분류_Rawdata!AG16,1)</f>
        <v>0.66691874314667066</v>
      </c>
      <c r="AG4">
        <f>IFERROR(중분류_Rawdata!AI16/중분류_Rawdata!AH16,1)</f>
        <v>0.65753982877877315</v>
      </c>
      <c r="AH4">
        <f>IFERROR(중분류_Rawdata!AJ16/중분류_Rawdata!AI16,1)</f>
        <v>1.0778010702564627</v>
      </c>
      <c r="AI4">
        <f>IFERROR(중분류_Rawdata!AK16/중분류_Rawdata!AJ16,1)</f>
        <v>1.3805699999999999</v>
      </c>
      <c r="AJ4">
        <f>IFERROR(중분류_Rawdata!AL16/중분류_Rawdata!AK16,1)</f>
        <v>0.95218641575581098</v>
      </c>
      <c r="AK4">
        <f>IFERROR(중분류_Rawdata!AM16/중분류_Rawdata!AL16,1)</f>
        <v>0.91685050511197674</v>
      </c>
      <c r="AL4">
        <f>IFERROR(중분류_Rawdata!AN16/중분류_Rawdata!AM16,1)</f>
        <v>1.0933578371381989</v>
      </c>
      <c r="AM4">
        <f>IFERROR(중분류_Rawdata!AO16/중분류_Rawdata!AN16,1)</f>
        <v>0.88652084005236087</v>
      </c>
      <c r="AN4">
        <f>IFERROR(중분류_Rawdata!AP16/중분류_Rawdata!AO16,1)</f>
        <v>1.1517588498889353</v>
      </c>
      <c r="AO4">
        <f>IFERROR(중분류_Rawdata!AQ16/중분류_Rawdata!AP16,1)</f>
        <v>1.2116199996283978</v>
      </c>
      <c r="AP4">
        <f>IFERROR(중분류_Rawdata!AR16/중분류_Rawdata!AQ16,1)</f>
        <v>1.0019659380530159</v>
      </c>
      <c r="AQ4">
        <f>IFERROR(중분류_Rawdata!AS16/중분류_Rawdata!AR16,1)</f>
        <v>1.1169626623078477</v>
      </c>
      <c r="AR4">
        <f>IFERROR(중분류_Rawdata!AT16/중분류_Rawdata!AS16,1)</f>
        <v>0.85905646675162017</v>
      </c>
      <c r="AS4">
        <f>IFERROR(중분류_Rawdata!AU16/중분류_Rawdata!AT16,1)</f>
        <v>0.87933608528937013</v>
      </c>
      <c r="AT4">
        <f>IFERROR(중분류_Rawdata!AV16/중분류_Rawdata!AU16,1)</f>
        <v>1.2002075102757495</v>
      </c>
      <c r="AU4">
        <f>IFERROR(중분류_Rawdata!AW16/중분류_Rawdata!AV16,1)</f>
        <v>0.8039391118257988</v>
      </c>
      <c r="AV4">
        <f>IFERROR(중분류_Rawdata!AX16/중분류_Rawdata!AW16,1)</f>
        <v>0.98165972357992581</v>
      </c>
      <c r="AW4">
        <f>IFERROR(중분류_Rawdata!AY16/중분류_Rawdata!AX16,1)</f>
        <v>0.9386695979225872</v>
      </c>
      <c r="AX4">
        <f>IFERROR(중분류_Rawdata!AZ16/중분류_Rawdata!AY16,1)</f>
        <v>1.0334216034698731</v>
      </c>
      <c r="AY4">
        <f>IFERROR(중분류_Rawdata!BA16/중분류_Rawdata!AZ16,1)</f>
        <v>0.94056192551880979</v>
      </c>
      <c r="AZ4">
        <f>IFERROR(중분류_Rawdata!BB16/중분류_Rawdata!BA16,1)</f>
        <v>0.99920241123676645</v>
      </c>
      <c r="BA4">
        <f>IFERROR(중분류_Rawdata!BC16/중분류_Rawdata!BB16,1)</f>
        <v>1.0546280269548118</v>
      </c>
      <c r="BB4">
        <f>IFERROR(중분류_Rawdata!BD16/중분류_Rawdata!BC16,1)</f>
        <v>0.95609307217036943</v>
      </c>
      <c r="BC4">
        <f>IFERROR(중분류_Rawdata!BE16/중분류_Rawdata!BD16,1)</f>
        <v>0.98760879800340806</v>
      </c>
      <c r="BD4">
        <f>IFERROR(중분류_Rawdata!BF16/중분류_Rawdata!BE16,1)</f>
        <v>1.0074503765266734</v>
      </c>
      <c r="BE4">
        <f>IFERROR(중분류_Rawdata!BG16/중분류_Rawdata!BF16,1)</f>
        <v>0.86980372779008452</v>
      </c>
      <c r="BF4">
        <f>IFERROR(중분류_Rawdata!BH16/중분류_Rawdata!BG16,1)</f>
        <v>1.0720427519137259</v>
      </c>
      <c r="BG4">
        <f>IFERROR(중분류_Rawdata!BI16/중분류_Rawdata!BH16,1)</f>
        <v>1.0405121388217753</v>
      </c>
      <c r="BH4">
        <f>IFERROR(중분류_Rawdata!BJ16/중분류_Rawdata!BI16,1)</f>
        <v>0.87326442089816358</v>
      </c>
      <c r="BI4">
        <f>IFERROR(중분류_Rawdata!BK16/중분류_Rawdata!BJ16,1)</f>
        <v>0.96574425075742232</v>
      </c>
      <c r="BJ4">
        <f>IFERROR(중분류_Rawdata!BL16/중분류_Rawdata!BK16,1)</f>
        <v>0.96267144319344933</v>
      </c>
      <c r="BK4">
        <f>IFERROR(중분류_Rawdata!BM16/중분류_Rawdata!BL16,1)</f>
        <v>0.98025049706016831</v>
      </c>
      <c r="BL4">
        <f>IFERROR(중분류_Rawdata!BN16/중분류_Rawdata!BM16,1)</f>
        <v>1.0655292286499882</v>
      </c>
      <c r="BM4">
        <f>IFERROR(중분류_Rawdata!BO16/중분류_Rawdata!BN16,1)</f>
        <v>0.92109897492798032</v>
      </c>
      <c r="BN4">
        <f>IFERROR(중분류_Rawdata!BP16/중분류_Rawdata!BO16,1)</f>
        <v>1.0383761023804787</v>
      </c>
      <c r="BO4">
        <f>IFERROR(중분류_Rawdata!BQ16/중분류_Rawdata!BP16,1)</f>
        <v>1.1077763054965755</v>
      </c>
    </row>
    <row r="5" spans="1:67" x14ac:dyDescent="0.4">
      <c r="A5" s="6" t="s">
        <v>6</v>
      </c>
      <c r="B5" s="4" t="s">
        <v>53</v>
      </c>
      <c r="C5">
        <f>IFERROR(중분류_Rawdata!E17/중분류_Rawdata!D17,1)</f>
        <v>1.3235022663412432</v>
      </c>
      <c r="D5">
        <f>IFERROR(중분류_Rawdata!F17/중분류_Rawdata!E17,1)</f>
        <v>0.7393150472648381</v>
      </c>
      <c r="E5">
        <f>IFERROR(중분류_Rawdata!G17/중분류_Rawdata!F17,1)</f>
        <v>1.0400142533746961</v>
      </c>
      <c r="F5">
        <f>IFERROR(중분류_Rawdata!H17/중분류_Rawdata!G17,1)</f>
        <v>0.83777737469012636</v>
      </c>
      <c r="G5">
        <f>IFERROR(중분류_Rawdata!I17/중분류_Rawdata!H17,1)</f>
        <v>0.83275596612779068</v>
      </c>
      <c r="H5">
        <f>IFERROR(중분류_Rawdata!J17/중분류_Rawdata!I17,1)</f>
        <v>1.0009533163854865</v>
      </c>
      <c r="I5">
        <f>IFERROR(중분류_Rawdata!K17/중분류_Rawdata!J17,1)</f>
        <v>0.93437040030015295</v>
      </c>
      <c r="J5">
        <f>IFERROR(중분류_Rawdata!L17/중분류_Rawdata!K17,1)</f>
        <v>0.91712741312741319</v>
      </c>
      <c r="K5">
        <f>IFERROR(중분류_Rawdata!M17/중분류_Rawdata!L17,1)</f>
        <v>1.1282837127845884</v>
      </c>
      <c r="L5">
        <f>IFERROR(중분류_Rawdata!N17/중분류_Rawdata!M17,1)</f>
        <v>0.98089609265395072</v>
      </c>
      <c r="M5">
        <f>IFERROR(중분류_Rawdata!O17/중분류_Rawdata!N17,1)</f>
        <v>0.98034143817899622</v>
      </c>
      <c r="N5">
        <f>IFERROR(중분류_Rawdata!P17/중분류_Rawdata!O17,1)</f>
        <v>0.87400279372962908</v>
      </c>
      <c r="O5">
        <f>IFERROR(중분류_Rawdata!Q17/중분류_Rawdata!P17,1)</f>
        <v>1.0816522233271773</v>
      </c>
      <c r="P5">
        <f>IFERROR(중분류_Rawdata!R17/중분류_Rawdata!Q17,1)</f>
        <v>0.93354129042850109</v>
      </c>
      <c r="Q5">
        <f>IFERROR(중분류_Rawdata!S17/중분류_Rawdata!R17,1)</f>
        <v>1.359712989342619</v>
      </c>
      <c r="R5">
        <f>IFERROR(중분류_Rawdata!T17/중분류_Rawdata!S17,1)</f>
        <v>1.1505509855657303</v>
      </c>
      <c r="S5">
        <f>IFERROR(중분류_Rawdata!U17/중분류_Rawdata!T17,1)</f>
        <v>0.84601375961149339</v>
      </c>
      <c r="T5">
        <f>IFERROR(중분류_Rawdata!V17/중분류_Rawdata!U17,1)</f>
        <v>1.0901432405857183</v>
      </c>
      <c r="U5">
        <f>IFERROR(중분류_Rawdata!W17/중분류_Rawdata!V17,1)</f>
        <v>1.2174008434704175</v>
      </c>
      <c r="V5">
        <f>IFERROR(중분류_Rawdata!X17/중분류_Rawdata!W17,1)</f>
        <v>0.91289373035102828</v>
      </c>
      <c r="W5">
        <f>IFERROR(중분류_Rawdata!Y17/중분류_Rawdata!X17,1)</f>
        <v>0.9839434951413718</v>
      </c>
      <c r="X5">
        <f>IFERROR(중분류_Rawdata!Z17/중분류_Rawdata!Y17,1)</f>
        <v>0.79927324609314032</v>
      </c>
      <c r="Y5">
        <f>IFERROR(중분류_Rawdata!AA17/중분류_Rawdata!Z17,1)</f>
        <v>1.1228349092126182</v>
      </c>
      <c r="Z5">
        <f>IFERROR(중분류_Rawdata!AB17/중분류_Rawdata!AA17,1)</f>
        <v>1.0180589711106143</v>
      </c>
      <c r="AA5">
        <f>IFERROR(중분류_Rawdata!AC17/중분류_Rawdata!AB17,1)</f>
        <v>1.3167333593597501</v>
      </c>
      <c r="AB5">
        <f>IFERROR(중분류_Rawdata!AD17/중분류_Rawdata!AC17,1)</f>
        <v>1.0564995830630965</v>
      </c>
      <c r="AC5">
        <f>IFERROR(중분류_Rawdata!AE17/중분류_Rawdata!AD17,1)</f>
        <v>1.0586873399515908</v>
      </c>
      <c r="AD5">
        <f>IFERROR(중분류_Rawdata!AF17/중분류_Rawdata!AE17,1)</f>
        <v>0.92152087475149103</v>
      </c>
      <c r="AE5">
        <f>IFERROR(중분류_Rawdata!AG17/중분류_Rawdata!AF17,1)</f>
        <v>0.87550114161408055</v>
      </c>
      <c r="AF5">
        <f>IFERROR(중분류_Rawdata!AH17/중분류_Rawdata!AG17,1)</f>
        <v>0.73025586266376441</v>
      </c>
      <c r="AG5">
        <f>IFERROR(중분류_Rawdata!AI17/중분류_Rawdata!AH17,1)</f>
        <v>0.78738541139418472</v>
      </c>
      <c r="AH5">
        <f>IFERROR(중분류_Rawdata!AJ17/중분류_Rawdata!AI17,1)</f>
        <v>1.0938537909360382</v>
      </c>
      <c r="AI5">
        <f>IFERROR(중분류_Rawdata!AK17/중분류_Rawdata!AJ17,1)</f>
        <v>1.442978876228411</v>
      </c>
      <c r="AJ5">
        <f>IFERROR(중분류_Rawdata!AL17/중분류_Rawdata!AK17,1)</f>
        <v>1.0223770844174944</v>
      </c>
      <c r="AK5">
        <f>IFERROR(중분류_Rawdata!AM17/중분류_Rawdata!AL17,1)</f>
        <v>0.80159784003895007</v>
      </c>
      <c r="AL5">
        <f>IFERROR(중분류_Rawdata!AN17/중분류_Rawdata!AM17,1)</f>
        <v>1.0706772314403248</v>
      </c>
      <c r="AM5">
        <f>IFERROR(중분류_Rawdata!AO17/중분류_Rawdata!AN17,1)</f>
        <v>0.81163456331708828</v>
      </c>
      <c r="AN5">
        <f>IFERROR(중분류_Rawdata!AP17/중분류_Rawdata!AO17,1)</f>
        <v>0.9863070275765663</v>
      </c>
      <c r="AO5">
        <f>IFERROR(중분류_Rawdata!AQ17/중분류_Rawdata!AP17,1)</f>
        <v>0.92994040908358833</v>
      </c>
      <c r="AP5">
        <f>IFERROR(중분류_Rawdata!AR17/중분류_Rawdata!AQ17,1)</f>
        <v>1.0041219258746104</v>
      </c>
      <c r="AQ5">
        <f>IFERROR(중분류_Rawdata!AS17/중분류_Rawdata!AR17,1)</f>
        <v>0.93497533547207567</v>
      </c>
      <c r="AR5">
        <f>IFERROR(중분류_Rawdata!AT17/중분류_Rawdata!AS17,1)</f>
        <v>1.0525752656434475</v>
      </c>
      <c r="AS5">
        <f>IFERROR(중분류_Rawdata!AU17/중분류_Rawdata!AT17,1)</f>
        <v>0.99950927126783262</v>
      </c>
      <c r="AT5">
        <f>IFERROR(중분류_Rawdata!AV17/중분류_Rawdata!AU17,1)</f>
        <v>1.0463264948272841</v>
      </c>
      <c r="AU5">
        <f>IFERROR(중분류_Rawdata!AW17/중분류_Rawdata!AV17,1)</f>
        <v>0.96336640300308352</v>
      </c>
      <c r="AV5">
        <f>IFERROR(중분류_Rawdata!AX17/중분류_Rawdata!AW17,1)</f>
        <v>1.0965800368785443</v>
      </c>
      <c r="AW5">
        <f>IFERROR(중분류_Rawdata!AY17/중분류_Rawdata!AX17,1)</f>
        <v>1.0960055839335003</v>
      </c>
      <c r="AX5">
        <f>IFERROR(중분류_Rawdata!AZ17/중분류_Rawdata!AY17,1)</f>
        <v>0.99423939788681426</v>
      </c>
      <c r="AY5">
        <f>IFERROR(중분류_Rawdata!BA17/중분류_Rawdata!AZ17,1)</f>
        <v>0.97315553485121997</v>
      </c>
      <c r="AZ5">
        <f>IFERROR(중분류_Rawdata!BB17/중분류_Rawdata!BA17,1)</f>
        <v>0.97005146002872189</v>
      </c>
      <c r="BA5">
        <f>IFERROR(중분류_Rawdata!BC17/중분류_Rawdata!BB17,1)</f>
        <v>1.0756870123060789</v>
      </c>
      <c r="BB5">
        <f>IFERROR(중분류_Rawdata!BD17/중분류_Rawdata!BC17,1)</f>
        <v>1.1770794506408235</v>
      </c>
      <c r="BC5">
        <f>IFERROR(중분류_Rawdata!BE17/중분류_Rawdata!BD17,1)</f>
        <v>0.99593208778895581</v>
      </c>
      <c r="BD5">
        <f>IFERROR(중분류_Rawdata!BF17/중분류_Rawdata!BE17,1)</f>
        <v>0.94731693000048911</v>
      </c>
      <c r="BE5">
        <f>IFERROR(중분류_Rawdata!BG17/중분류_Rawdata!BF17,1)</f>
        <v>0.95011876484560576</v>
      </c>
      <c r="BF5">
        <f>IFERROR(중분류_Rawdata!BH17/중분류_Rawdata!BG17,1)</f>
        <v>1.0716032608695654</v>
      </c>
      <c r="BG5">
        <f>IFERROR(중분류_Rawdata!BI17/중분류_Rawdata!BH17,1)</f>
        <v>1.1450995308735894</v>
      </c>
      <c r="BH5">
        <f>IFERROR(중분류_Rawdata!BJ17/중분류_Rawdata!BI17,1)</f>
        <v>1.053679385255885</v>
      </c>
      <c r="BI5">
        <f>IFERROR(중분류_Rawdata!BK17/중분류_Rawdata!BJ17,1)</f>
        <v>0.96315756289275123</v>
      </c>
      <c r="BJ5">
        <f>IFERROR(중분류_Rawdata!BL17/중분류_Rawdata!BK17,1)</f>
        <v>0.90682552151523088</v>
      </c>
      <c r="BK5">
        <f>IFERROR(중분류_Rawdata!BM17/중분류_Rawdata!BL17,1)</f>
        <v>1.0334712931324896</v>
      </c>
      <c r="BL5">
        <f>IFERROR(중분류_Rawdata!BN17/중분류_Rawdata!BM17,1)</f>
        <v>0.9865188945027823</v>
      </c>
      <c r="BM5">
        <f>IFERROR(중분류_Rawdata!BO17/중분류_Rawdata!BN17,1)</f>
        <v>0.92860514514987014</v>
      </c>
      <c r="BN5">
        <f>IFERROR(중분류_Rawdata!BP17/중분류_Rawdata!BO17,1)</f>
        <v>0.97628669462447581</v>
      </c>
      <c r="BO5">
        <f>IFERROR(중분류_Rawdata!BQ17/중분류_Rawdata!BP17,1)</f>
        <v>1.1319379360616475</v>
      </c>
    </row>
    <row r="6" spans="1:67" x14ac:dyDescent="0.4">
      <c r="A6" s="6" t="s">
        <v>7</v>
      </c>
      <c r="B6" s="4" t="s">
        <v>54</v>
      </c>
      <c r="C6">
        <f>IFERROR(중분류_Rawdata!E18/중분류_Rawdata!D18,1)</f>
        <v>0.97878299993383466</v>
      </c>
      <c r="D6">
        <f>IFERROR(중분류_Rawdata!F18/중분류_Rawdata!E18,1)</f>
        <v>0.8186529664931611</v>
      </c>
      <c r="E6">
        <f>IFERROR(중분류_Rawdata!G18/중분류_Rawdata!F18,1)</f>
        <v>1.1429633095703393</v>
      </c>
      <c r="F6">
        <f>IFERROR(중분류_Rawdata!H18/중분류_Rawdata!G18,1)</f>
        <v>1.8203010234798314</v>
      </c>
      <c r="G6">
        <f>IFERROR(중분류_Rawdata!I18/중분류_Rawdata!H18,1)</f>
        <v>0.95097105360639267</v>
      </c>
      <c r="H6">
        <f>IFERROR(중분류_Rawdata!J18/중분류_Rawdata!I18,1)</f>
        <v>0.9169333073648479</v>
      </c>
      <c r="I6">
        <f>IFERROR(중분류_Rawdata!K18/중분류_Rawdata!J18,1)</f>
        <v>0.94965938917631343</v>
      </c>
      <c r="J6">
        <f>IFERROR(중분류_Rawdata!L18/중분류_Rawdata!K18,1)</f>
        <v>0.89182496445289416</v>
      </c>
      <c r="K6">
        <f>IFERROR(중분류_Rawdata!M18/중분류_Rawdata!L18,1)</f>
        <v>1.0879760667837053</v>
      </c>
      <c r="L6">
        <f>IFERROR(중분류_Rawdata!N18/중분류_Rawdata!M18,1)</f>
        <v>1.1754894373734213</v>
      </c>
      <c r="M6">
        <f>IFERROR(중분류_Rawdata!O18/중분류_Rawdata!N18,1)</f>
        <v>1.2995055399139948</v>
      </c>
      <c r="N6">
        <f>IFERROR(중분류_Rawdata!P18/중분류_Rawdata!O18,1)</f>
        <v>1.0039019973483665</v>
      </c>
      <c r="O6">
        <f>IFERROR(중분류_Rawdata!Q18/중분류_Rawdata!P18,1)</f>
        <v>0.85509207065013149</v>
      </c>
      <c r="P6">
        <f>IFERROR(중분류_Rawdata!R18/중분류_Rawdata!Q18,1)</f>
        <v>1.2540714976330694</v>
      </c>
      <c r="Q6">
        <f>IFERROR(중분류_Rawdata!S18/중분류_Rawdata!R18,1)</f>
        <v>1.2485556656954333</v>
      </c>
      <c r="R6">
        <f>IFERROR(중분류_Rawdata!T18/중분류_Rawdata!S18,1)</f>
        <v>1.1894833075374709</v>
      </c>
      <c r="S6">
        <f>IFERROR(중분류_Rawdata!U18/중분류_Rawdata!T18,1)</f>
        <v>0.87245575594134495</v>
      </c>
      <c r="T6">
        <f>IFERROR(중분류_Rawdata!V18/중분류_Rawdata!U18,1)</f>
        <v>0.94161057748035271</v>
      </c>
      <c r="U6">
        <f>IFERROR(중분류_Rawdata!W18/중분류_Rawdata!V18,1)</f>
        <v>1.2142370600159211</v>
      </c>
      <c r="V6">
        <f>IFERROR(중분류_Rawdata!X18/중분류_Rawdata!W18,1)</f>
        <v>1.1305523263672985</v>
      </c>
      <c r="W6">
        <f>IFERROR(중분류_Rawdata!Y18/중분류_Rawdata!X18,1)</f>
        <v>0.94952532402314793</v>
      </c>
      <c r="X6">
        <f>IFERROR(중분류_Rawdata!Z18/중분류_Rawdata!Y18,1)</f>
        <v>0.90615063999647427</v>
      </c>
      <c r="Y6">
        <f>IFERROR(중분류_Rawdata!AA18/중분류_Rawdata!Z18,1)</f>
        <v>1.2256414888516776</v>
      </c>
      <c r="Z6">
        <f>IFERROR(중분류_Rawdata!AB18/중분류_Rawdata!AA18,1)</f>
        <v>0.97355979092733469</v>
      </c>
      <c r="AA6">
        <f>IFERROR(중분류_Rawdata!AC18/중분류_Rawdata!AB18,1)</f>
        <v>1.7507016665307977</v>
      </c>
      <c r="AB6">
        <f>IFERROR(중분류_Rawdata!AD18/중분류_Rawdata!AC18,1)</f>
        <v>1.171415742295987</v>
      </c>
      <c r="AC6">
        <f>IFERROR(중분류_Rawdata!AE18/중분류_Rawdata!AD18,1)</f>
        <v>1.071955069961839</v>
      </c>
      <c r="AD6">
        <f>IFERROR(중분류_Rawdata!AF18/중분류_Rawdata!AE18,1)</f>
        <v>0.84396372247267792</v>
      </c>
      <c r="AE6">
        <f>IFERROR(중분류_Rawdata!AG18/중분류_Rawdata!AF18,1)</f>
        <v>0.97920439387995284</v>
      </c>
      <c r="AF6">
        <f>IFERROR(중분류_Rawdata!AH18/중분류_Rawdata!AG18,1)</f>
        <v>0.81799621152631896</v>
      </c>
      <c r="AG6">
        <f>IFERROR(중분류_Rawdata!AI18/중분류_Rawdata!AH18,1)</f>
        <v>0.71764088176980889</v>
      </c>
      <c r="AH6">
        <f>IFERROR(중분류_Rawdata!AJ18/중분류_Rawdata!AI18,1)</f>
        <v>0.88300974054337378</v>
      </c>
      <c r="AI6">
        <f>IFERROR(중분류_Rawdata!AK18/중분류_Rawdata!AJ18,1)</f>
        <v>1.2342000309166796</v>
      </c>
      <c r="AJ6">
        <f>IFERROR(중분류_Rawdata!AL18/중분류_Rawdata!AK18,1)</f>
        <v>1.02587161386967</v>
      </c>
      <c r="AK6">
        <f>IFERROR(중분류_Rawdata!AM18/중분류_Rawdata!AL18,1)</f>
        <v>0.96991185016970671</v>
      </c>
      <c r="AL6">
        <f>IFERROR(중분류_Rawdata!AN18/중분류_Rawdata!AM18,1)</f>
        <v>1.1207377494914503</v>
      </c>
      <c r="AM6">
        <f>IFERROR(중분류_Rawdata!AO18/중분류_Rawdata!AN18,1)</f>
        <v>1.1212536447078167</v>
      </c>
      <c r="AN6">
        <f>IFERROR(중분류_Rawdata!AP18/중분류_Rawdata!AO18,1)</f>
        <v>1.0608601926498167</v>
      </c>
      <c r="AO6">
        <f>IFERROR(중분류_Rawdata!AQ18/중분류_Rawdata!AP18,1)</f>
        <v>1.0862098269760274</v>
      </c>
      <c r="AP6">
        <f>IFERROR(중분류_Rawdata!AR18/중분류_Rawdata!AQ18,1)</f>
        <v>0.85989582246701857</v>
      </c>
      <c r="AQ6">
        <f>IFERROR(중분류_Rawdata!AS18/중분류_Rawdata!AR18,1)</f>
        <v>0.97972858217344538</v>
      </c>
      <c r="AR6">
        <f>IFERROR(중분류_Rawdata!AT18/중분류_Rawdata!AS18,1)</f>
        <v>0.95081743925441953</v>
      </c>
      <c r="AS6">
        <f>IFERROR(중분류_Rawdata!AU18/중분류_Rawdata!AT18,1)</f>
        <v>0.84886158921711197</v>
      </c>
      <c r="AT6">
        <f>IFERROR(중분류_Rawdata!AV18/중분류_Rawdata!AU18,1)</f>
        <v>1.156483318673676</v>
      </c>
      <c r="AU6">
        <f>IFERROR(중분류_Rawdata!AW18/중분류_Rawdata!AV18,1)</f>
        <v>0.86663158639475024</v>
      </c>
      <c r="AV6">
        <f>IFERROR(중분류_Rawdata!AX18/중분류_Rawdata!AW18,1)</f>
        <v>1.0990677953129546</v>
      </c>
      <c r="AW6">
        <f>IFERROR(중분류_Rawdata!AY18/중분류_Rawdata!AX18,1)</f>
        <v>0.93728963849157154</v>
      </c>
      <c r="AX6">
        <f>IFERROR(중분류_Rawdata!AZ18/중분류_Rawdata!AY18,1)</f>
        <v>0.94473364867876863</v>
      </c>
      <c r="AY6">
        <f>IFERROR(중분류_Rawdata!BA18/중분류_Rawdata!AZ18,1)</f>
        <v>0.85869548121234995</v>
      </c>
      <c r="AZ6">
        <f>IFERROR(중분류_Rawdata!BB18/중분류_Rawdata!BA18,1)</f>
        <v>0.99371737338584121</v>
      </c>
      <c r="BA6">
        <f>IFERROR(중분류_Rawdata!BC18/중분류_Rawdata!BB18,1)</f>
        <v>0.92929907345965745</v>
      </c>
      <c r="BB6">
        <f>IFERROR(중분류_Rawdata!BD18/중분류_Rawdata!BC18,1)</f>
        <v>1.1050387109997422</v>
      </c>
      <c r="BC6">
        <f>IFERROR(중분류_Rawdata!BE18/중분류_Rawdata!BD18,1)</f>
        <v>1.0114218361095157</v>
      </c>
      <c r="BD6">
        <f>IFERROR(중분류_Rawdata!BF18/중분류_Rawdata!BE18,1)</f>
        <v>1.141494868230353</v>
      </c>
      <c r="BE6">
        <f>IFERROR(중분류_Rawdata!BG18/중분류_Rawdata!BF18,1)</f>
        <v>1.0118674986007752</v>
      </c>
      <c r="BF6">
        <f>IFERROR(중분류_Rawdata!BH18/중분류_Rawdata!BG18,1)</f>
        <v>1.0663648375961567</v>
      </c>
      <c r="BG6">
        <f>IFERROR(중분류_Rawdata!BI18/중분류_Rawdata!BH18,1)</f>
        <v>0.98681151902868225</v>
      </c>
      <c r="BH6">
        <f>IFERROR(중분류_Rawdata!BJ18/중분류_Rawdata!BI18,1)</f>
        <v>0.82923208706063289</v>
      </c>
      <c r="BI6">
        <f>IFERROR(중분류_Rawdata!BK18/중분류_Rawdata!BJ18,1)</f>
        <v>0.90576890344467342</v>
      </c>
      <c r="BJ6">
        <f>IFERROR(중분류_Rawdata!BL18/중분류_Rawdata!BK18,1)</f>
        <v>0.92929162022757306</v>
      </c>
      <c r="BK6">
        <f>IFERROR(중분류_Rawdata!BM18/중분류_Rawdata!BL18,1)</f>
        <v>1.0126140071960505</v>
      </c>
      <c r="BL6">
        <f>IFERROR(중분류_Rawdata!BN18/중분류_Rawdata!BM18,1)</f>
        <v>0.99712162841462315</v>
      </c>
      <c r="BM6">
        <f>IFERROR(중분류_Rawdata!BO18/중분류_Rawdata!BN18,1)</f>
        <v>0.91880002486136347</v>
      </c>
      <c r="BN6">
        <f>IFERROR(중분류_Rawdata!BP18/중분류_Rawdata!BO18,1)</f>
        <v>1.012882859182983</v>
      </c>
      <c r="BO6">
        <f>IFERROR(중분류_Rawdata!BQ18/중분류_Rawdata!BP18,1)</f>
        <v>1.1092097744863052</v>
      </c>
    </row>
    <row r="7" spans="1:67" x14ac:dyDescent="0.4">
      <c r="A7" s="6" t="s">
        <v>8</v>
      </c>
      <c r="B7" s="4" t="s">
        <v>55</v>
      </c>
      <c r="C7">
        <f>IFERROR(중분류_Rawdata!E19/중분류_Rawdata!D19,1)</f>
        <v>1.390099736890412</v>
      </c>
      <c r="D7">
        <f>IFERROR(중분류_Rawdata!F19/중분류_Rawdata!E19,1)</f>
        <v>0.84274420733854494</v>
      </c>
      <c r="E7">
        <f>IFERROR(중분류_Rawdata!G19/중분류_Rawdata!F19,1)</f>
        <v>1.1834762715582532</v>
      </c>
      <c r="F7">
        <f>IFERROR(중분류_Rawdata!H19/중분류_Rawdata!G19,1)</f>
        <v>1.3194548648195386</v>
      </c>
      <c r="G7">
        <f>IFERROR(중분류_Rawdata!I19/중분류_Rawdata!H19,1)</f>
        <v>1.0072448740676323</v>
      </c>
      <c r="H7">
        <f>IFERROR(중분류_Rawdata!J19/중분류_Rawdata!I19,1)</f>
        <v>0.88643669305562933</v>
      </c>
      <c r="I7">
        <f>IFERROR(중분류_Rawdata!K19/중분류_Rawdata!J19,1)</f>
        <v>0.99999250762349312</v>
      </c>
      <c r="J7">
        <f>IFERROR(중분류_Rawdata!L19/중분류_Rawdata!K19,1)</f>
        <v>0.77299427578146074</v>
      </c>
      <c r="K7">
        <f>IFERROR(중분류_Rawdata!M19/중분류_Rawdata!L19,1)</f>
        <v>1.1939517301541145</v>
      </c>
      <c r="L7">
        <f>IFERROR(중분류_Rawdata!N19/중분류_Rawdata!M19,1)</f>
        <v>1.2724874167884397</v>
      </c>
      <c r="M7">
        <f>IFERROR(중분류_Rawdata!O19/중분류_Rawdata!N19,1)</f>
        <v>1.1608217168011739</v>
      </c>
      <c r="N7">
        <f>IFERROR(중분류_Rawdata!P19/중분류_Rawdata!O19,1)</f>
        <v>1.0570367072815507</v>
      </c>
      <c r="O7">
        <f>IFERROR(중분류_Rawdata!Q19/중분류_Rawdata!P19,1)</f>
        <v>0.87014573833651365</v>
      </c>
      <c r="P7">
        <f>IFERROR(중분류_Rawdata!R19/중분류_Rawdata!Q19,1)</f>
        <v>1.1340256698295847</v>
      </c>
      <c r="Q7">
        <f>IFERROR(중분류_Rawdata!S19/중분류_Rawdata!R19,1)</f>
        <v>1.0344809416922218</v>
      </c>
      <c r="R7">
        <f>IFERROR(중분류_Rawdata!T19/중분류_Rawdata!S19,1)</f>
        <v>1.149396424387511</v>
      </c>
      <c r="S7">
        <f>IFERROR(중분류_Rawdata!U19/중분류_Rawdata!T19,1)</f>
        <v>0.98174695671826318</v>
      </c>
      <c r="T7">
        <f>IFERROR(중분류_Rawdata!V19/중분류_Rawdata!U19,1)</f>
        <v>1.1675122550125936</v>
      </c>
      <c r="U7">
        <f>IFERROR(중분류_Rawdata!W19/중분류_Rawdata!V19,1)</f>
        <v>1.3043575755935559</v>
      </c>
      <c r="V7">
        <f>IFERROR(중분류_Rawdata!X19/중분류_Rawdata!W19,1)</f>
        <v>0.91889464573650759</v>
      </c>
      <c r="W7">
        <f>IFERROR(중분류_Rawdata!Y19/중분류_Rawdata!X19,1)</f>
        <v>0.89043685264811467</v>
      </c>
      <c r="X7">
        <f>IFERROR(중분류_Rawdata!Z19/중분류_Rawdata!Y19,1)</f>
        <v>1.0594934920502668</v>
      </c>
      <c r="Y7">
        <f>IFERROR(중분류_Rawdata!AA19/중분류_Rawdata!Z19,1)</f>
        <v>0.9442233391458954</v>
      </c>
      <c r="Z7">
        <f>IFERROR(중분류_Rawdata!AB19/중분류_Rawdata!AA19,1)</f>
        <v>0.93828872706467692</v>
      </c>
      <c r="AA7">
        <f>IFERROR(중분류_Rawdata!AC19/중분류_Rawdata!AB19,1)</f>
        <v>1.0374852864558208</v>
      </c>
      <c r="AB7">
        <f>IFERROR(중분류_Rawdata!AD19/중분류_Rawdata!AC19,1)</f>
        <v>1.1100034222625619</v>
      </c>
      <c r="AC7">
        <f>IFERROR(중분류_Rawdata!AE19/중분류_Rawdata!AD19,1)</f>
        <v>0.8916286863270777</v>
      </c>
      <c r="AD7">
        <f>IFERROR(중분류_Rawdata!AF19/중분류_Rawdata!AE19,1)</f>
        <v>0.92270222730040374</v>
      </c>
      <c r="AE7">
        <f>IFERROR(중분류_Rawdata!AG19/중분류_Rawdata!AF19,1)</f>
        <v>1.2098078991103725</v>
      </c>
      <c r="AF7">
        <f>IFERROR(중분류_Rawdata!AH19/중분류_Rawdata!AG19,1)</f>
        <v>0.89445561155947917</v>
      </c>
      <c r="AG7">
        <f>IFERROR(중분류_Rawdata!AI19/중분류_Rawdata!AH19,1)</f>
        <v>0.61733971752943662</v>
      </c>
      <c r="AH7">
        <f>IFERROR(중분류_Rawdata!AJ19/중분류_Rawdata!AI19,1)</f>
        <v>1.1230487804878049</v>
      </c>
      <c r="AI7">
        <f>IFERROR(중분류_Rawdata!AK19/중분류_Rawdata!AJ19,1)</f>
        <v>1.4895048322293409</v>
      </c>
      <c r="AJ7">
        <f>IFERROR(중분류_Rawdata!AL19/중분류_Rawdata!AK19,1)</f>
        <v>1.3366261204285241</v>
      </c>
      <c r="AK7">
        <f>IFERROR(중분류_Rawdata!AM19/중분류_Rawdata!AL19,1)</f>
        <v>0.99826009174061725</v>
      </c>
      <c r="AL7">
        <f>IFERROR(중분류_Rawdata!AN19/중분류_Rawdata!AM19,1)</f>
        <v>1.1058522379578635</v>
      </c>
      <c r="AM7">
        <f>IFERROR(중분류_Rawdata!AO19/중분류_Rawdata!AN19,1)</f>
        <v>1.2702750775083687</v>
      </c>
      <c r="AN7">
        <f>IFERROR(중분류_Rawdata!AP19/중분류_Rawdata!AO19,1)</f>
        <v>1.0288933704913059</v>
      </c>
      <c r="AO7">
        <f>IFERROR(중분류_Rawdata!AQ19/중분류_Rawdata!AP19,1)</f>
        <v>1.272351991653089</v>
      </c>
      <c r="AP7">
        <f>IFERROR(중분류_Rawdata!AR19/중분류_Rawdata!AQ19,1)</f>
        <v>1.0328783566169699</v>
      </c>
      <c r="AQ7">
        <f>IFERROR(중분류_Rawdata!AS19/중분류_Rawdata!AR19,1)</f>
        <v>1.3885571280635141</v>
      </c>
      <c r="AR7">
        <f>IFERROR(중분류_Rawdata!AT19/중분류_Rawdata!AS19,1)</f>
        <v>0.86798917794654418</v>
      </c>
      <c r="AS7">
        <f>IFERROR(중분류_Rawdata!AU19/중분류_Rawdata!AT19,1)</f>
        <v>0.99666940338047805</v>
      </c>
      <c r="AT7">
        <f>IFERROR(중분류_Rawdata!AV19/중분류_Rawdata!AU19,1)</f>
        <v>0.98957491466085246</v>
      </c>
      <c r="AU7">
        <f>IFERROR(중분류_Rawdata!AW19/중분류_Rawdata!AV19,1)</f>
        <v>1.0712688598773126</v>
      </c>
      <c r="AV7">
        <f>IFERROR(중분류_Rawdata!AX19/중분류_Rawdata!AW19,1)</f>
        <v>0.99941156074195292</v>
      </c>
      <c r="AW7">
        <f>IFERROR(중분류_Rawdata!AY19/중분류_Rawdata!AX19,1)</f>
        <v>0.91524649892865872</v>
      </c>
      <c r="AX7">
        <f>IFERROR(중분류_Rawdata!AZ19/중분류_Rawdata!AY19,1)</f>
        <v>0.99187653418548027</v>
      </c>
      <c r="AY7">
        <f>IFERROR(중분류_Rawdata!BA19/중분류_Rawdata!AZ19,1)</f>
        <v>0.99453502253836368</v>
      </c>
      <c r="AZ7">
        <f>IFERROR(중분류_Rawdata!BB19/중분류_Rawdata!BA19,1)</f>
        <v>1.0945529329446355</v>
      </c>
      <c r="BA7">
        <f>IFERROR(중분류_Rawdata!BC19/중분류_Rawdata!BB19,1)</f>
        <v>1.0202150847508022</v>
      </c>
      <c r="BB7">
        <f>IFERROR(중분류_Rawdata!BD19/중분류_Rawdata!BC19,1)</f>
        <v>0.97443962323580957</v>
      </c>
      <c r="BC7">
        <f>IFERROR(중분류_Rawdata!BE19/중분류_Rawdata!BD19,1)</f>
        <v>0.96433074126903784</v>
      </c>
      <c r="BD7">
        <f>IFERROR(중분류_Rawdata!BF19/중분류_Rawdata!BE19,1)</f>
        <v>1.0346386548206394</v>
      </c>
      <c r="BE7">
        <f>IFERROR(중분류_Rawdata!BG19/중분류_Rawdata!BF19,1)</f>
        <v>0.84204876923963801</v>
      </c>
      <c r="BF7">
        <f>IFERROR(중분류_Rawdata!BH19/중분류_Rawdata!BG19,1)</f>
        <v>0.91738492861651455</v>
      </c>
      <c r="BG7">
        <f>IFERROR(중분류_Rawdata!BI19/중분류_Rawdata!BH19,1)</f>
        <v>0.97265426193223115</v>
      </c>
      <c r="BH7">
        <f>IFERROR(중분류_Rawdata!BJ19/중분류_Rawdata!BI19,1)</f>
        <v>0.93378150074191602</v>
      </c>
      <c r="BI7">
        <f>IFERROR(중분류_Rawdata!BK19/중분류_Rawdata!BJ19,1)</f>
        <v>1.0872058724448965</v>
      </c>
      <c r="BJ7">
        <f>IFERROR(중분류_Rawdata!BL19/중분류_Rawdata!BK19,1)</f>
        <v>0.98500464778833297</v>
      </c>
      <c r="BK7">
        <f>IFERROR(중분류_Rawdata!BM19/중분류_Rawdata!BL19,1)</f>
        <v>1.0091931058611228</v>
      </c>
      <c r="BL7">
        <f>IFERROR(중분류_Rawdata!BN19/중분류_Rawdata!BM19,1)</f>
        <v>0.97790093891359708</v>
      </c>
      <c r="BM7">
        <f>IFERROR(중분류_Rawdata!BO19/중분류_Rawdata!BN19,1)</f>
        <v>0.94334990305391819</v>
      </c>
      <c r="BN7">
        <f>IFERROR(중분류_Rawdata!BP19/중분류_Rawdata!BO19,1)</f>
        <v>1.0580576785829074</v>
      </c>
      <c r="BO7">
        <f>IFERROR(중분류_Rawdata!BQ19/중분류_Rawdata!BP19,1)</f>
        <v>1.0541428907468247</v>
      </c>
    </row>
    <row r="8" spans="1:67" x14ac:dyDescent="0.4">
      <c r="A8" s="6" t="s">
        <v>9</v>
      </c>
      <c r="B8" s="4" t="s">
        <v>56</v>
      </c>
      <c r="C8">
        <f>IFERROR(중분류_Rawdata!E20/중분류_Rawdata!D20,1)</f>
        <v>1.1050188192162096</v>
      </c>
      <c r="D8">
        <f>IFERROR(중분류_Rawdata!F20/중분류_Rawdata!E20,1)</f>
        <v>0.79141104294478526</v>
      </c>
      <c r="E8">
        <f>IFERROR(중분류_Rawdata!G20/중분류_Rawdata!F20,1)</f>
        <v>1.0679317829457364</v>
      </c>
      <c r="F8">
        <f>IFERROR(중분류_Rawdata!H20/중분류_Rawdata!G20,1)</f>
        <v>1.2601681726324592</v>
      </c>
      <c r="G8">
        <f>IFERROR(중분류_Rawdata!I20/중분류_Rawdata!H20,1)</f>
        <v>0.9559367022109988</v>
      </c>
      <c r="H8">
        <f>IFERROR(중분류_Rawdata!J20/중분류_Rawdata!I20,1)</f>
        <v>0.80500761651337227</v>
      </c>
      <c r="I8">
        <f>IFERROR(중분류_Rawdata!K20/중분류_Rawdata!J20,1)</f>
        <v>0.89545732181994553</v>
      </c>
      <c r="J8">
        <f>IFERROR(중분류_Rawdata!L20/중분류_Rawdata!K20,1)</f>
        <v>0.7611678793066553</v>
      </c>
      <c r="K8">
        <f>IFERROR(중분류_Rawdata!M20/중분류_Rawdata!L20,1)</f>
        <v>1.048672488622586</v>
      </c>
      <c r="L8">
        <f>IFERROR(중분류_Rawdata!N20/중분류_Rawdata!M20,1)</f>
        <v>1.0114106667113487</v>
      </c>
      <c r="M8">
        <f>IFERROR(중분류_Rawdata!O20/중분류_Rawdata!N20,1)</f>
        <v>0.97037871508564988</v>
      </c>
      <c r="N8">
        <f>IFERROR(중분류_Rawdata!P20/중분류_Rawdata!O20,1)</f>
        <v>0.99784887492744223</v>
      </c>
      <c r="O8">
        <f>IFERROR(중분류_Rawdata!Q20/중분류_Rawdata!P20,1)</f>
        <v>0.95265877361073081</v>
      </c>
      <c r="P8">
        <f>IFERROR(중분류_Rawdata!R20/중분류_Rawdata!Q20,1)</f>
        <v>1.0201684596181821</v>
      </c>
      <c r="Q8">
        <f>IFERROR(중분류_Rawdata!S20/중분류_Rawdata!R20,1)</f>
        <v>0.97764241954791931</v>
      </c>
      <c r="R8">
        <f>IFERROR(중분류_Rawdata!T20/중분류_Rawdata!S20,1)</f>
        <v>1.2518097021644397</v>
      </c>
      <c r="S8">
        <f>IFERROR(중분류_Rawdata!U20/중분류_Rawdata!T20,1)</f>
        <v>1.0606173940562158</v>
      </c>
      <c r="T8">
        <f>IFERROR(중분류_Rawdata!V20/중분류_Rawdata!U20,1)</f>
        <v>1.1286958172842185</v>
      </c>
      <c r="U8">
        <f>IFERROR(중분류_Rawdata!W20/중분류_Rawdata!V20,1)</f>
        <v>1.3953569411566791</v>
      </c>
      <c r="V8">
        <f>IFERROR(중분류_Rawdata!X20/중분류_Rawdata!W20,1)</f>
        <v>1.1021416945824685</v>
      </c>
      <c r="W8">
        <f>IFERROR(중분류_Rawdata!Y20/중분류_Rawdata!X20,1)</f>
        <v>0.89093949243655457</v>
      </c>
      <c r="X8">
        <f>IFERROR(중분류_Rawdata!Z20/중분류_Rawdata!Y20,1)</f>
        <v>0.9685510322207217</v>
      </c>
      <c r="Y8">
        <f>IFERROR(중분류_Rawdata!AA20/중분류_Rawdata!Z20,1)</f>
        <v>1.1294549076421585</v>
      </c>
      <c r="Z8">
        <f>IFERROR(중분류_Rawdata!AB20/중분류_Rawdata!AA20,1)</f>
        <v>0.96454941196276978</v>
      </c>
      <c r="AA8">
        <f>IFERROR(중분류_Rawdata!AC20/중분류_Rawdata!AB20,1)</f>
        <v>1.1971907077255537</v>
      </c>
      <c r="AB8">
        <f>IFERROR(중분류_Rawdata!AD20/중분류_Rawdata!AC20,1)</f>
        <v>1.0290613718411552</v>
      </c>
      <c r="AC8">
        <f>IFERROR(중분류_Rawdata!AE20/중분류_Rawdata!AD20,1)</f>
        <v>0.97175259401184688</v>
      </c>
      <c r="AD8">
        <f>IFERROR(중분류_Rawdata!AF20/중분류_Rawdata!AE20,1)</f>
        <v>0.86826484493782929</v>
      </c>
      <c r="AE8">
        <f>IFERROR(중분류_Rawdata!AG20/중분류_Rawdata!AF20,1)</f>
        <v>1.0568029169065438</v>
      </c>
      <c r="AF8">
        <f>IFERROR(중분류_Rawdata!AH20/중분류_Rawdata!AG20,1)</f>
        <v>0.93105744204345975</v>
      </c>
      <c r="AG8">
        <f>IFERROR(중분류_Rawdata!AI20/중분류_Rawdata!AH20,1)</f>
        <v>0.76643154336237163</v>
      </c>
      <c r="AH8">
        <f>IFERROR(중분류_Rawdata!AJ20/중분류_Rawdata!AI20,1)</f>
        <v>0.98718111839175515</v>
      </c>
      <c r="AI8">
        <f>IFERROR(중분류_Rawdata!AK20/중분류_Rawdata!AJ20,1)</f>
        <v>1.2641748563449868</v>
      </c>
      <c r="AJ8">
        <f>IFERROR(중분류_Rawdata!AL20/중분류_Rawdata!AK20,1)</f>
        <v>1.1011206361883077</v>
      </c>
      <c r="AK8">
        <f>IFERROR(중분류_Rawdata!AM20/중분류_Rawdata!AL20,1)</f>
        <v>1.0600526222386828</v>
      </c>
      <c r="AL8">
        <f>IFERROR(중분류_Rawdata!AN20/중분류_Rawdata!AM20,1)</f>
        <v>0.95775406518859274</v>
      </c>
      <c r="AM8">
        <f>IFERROR(중분류_Rawdata!AO20/중분류_Rawdata!AN20,1)</f>
        <v>1.045249350215075</v>
      </c>
      <c r="AN8">
        <f>IFERROR(중분류_Rawdata!AP20/중분류_Rawdata!AO20,1)</f>
        <v>1.1032529664960447</v>
      </c>
      <c r="AO8">
        <f>IFERROR(중분류_Rawdata!AQ20/중분류_Rawdata!AP20,1)</f>
        <v>1.032114777542722</v>
      </c>
      <c r="AP8">
        <f>IFERROR(중분류_Rawdata!AR20/중분류_Rawdata!AQ20,1)</f>
        <v>0.92916799693506169</v>
      </c>
      <c r="AQ8">
        <f>IFERROR(중분류_Rawdata!AS20/중분류_Rawdata!AR20,1)</f>
        <v>1.1845351402241662</v>
      </c>
      <c r="AR8">
        <f>IFERROR(중분류_Rawdata!AT20/중분류_Rawdata!AS20,1)</f>
        <v>1.0193827232116957</v>
      </c>
      <c r="AS8">
        <f>IFERROR(중분류_Rawdata!AU20/중분류_Rawdata!AT20,1)</f>
        <v>0.99267547279339374</v>
      </c>
      <c r="AT8">
        <f>IFERROR(중분류_Rawdata!AV20/중분류_Rawdata!AU20,1)</f>
        <v>1.0195385956061092</v>
      </c>
      <c r="AU8">
        <f>IFERROR(중분류_Rawdata!AW20/중분류_Rawdata!AV20,1)</f>
        <v>0.99011988843402765</v>
      </c>
      <c r="AV8">
        <f>IFERROR(중분류_Rawdata!AX20/중분류_Rawdata!AW20,1)</f>
        <v>1.1174613091012353</v>
      </c>
      <c r="AW8">
        <f>IFERROR(중분류_Rawdata!AY20/중분류_Rawdata!AX20,1)</f>
        <v>1.0437697261088552</v>
      </c>
      <c r="AX8">
        <f>IFERROR(중분류_Rawdata!AZ20/중분류_Rawdata!AY20,1)</f>
        <v>0.97245446002074309</v>
      </c>
      <c r="AY8">
        <f>IFERROR(중분류_Rawdata!BA20/중분류_Rawdata!AZ20,1)</f>
        <v>1.0261376381990066</v>
      </c>
      <c r="AZ8">
        <f>IFERROR(중분류_Rawdata!BB20/중분류_Rawdata!BA20,1)</f>
        <v>0.91928542150567016</v>
      </c>
      <c r="BA8">
        <f>IFERROR(중분류_Rawdata!BC20/중분류_Rawdata!BB20,1)</f>
        <v>1.1216884033738341</v>
      </c>
      <c r="BB8">
        <f>IFERROR(중분류_Rawdata!BD20/중분류_Rawdata!BC20,1)</f>
        <v>1.0624231009483429</v>
      </c>
      <c r="BC8">
        <f>IFERROR(중분류_Rawdata!BE20/중분류_Rawdata!BD20,1)</f>
        <v>1.1969381801012886</v>
      </c>
      <c r="BD8">
        <f>IFERROR(중분류_Rawdata!BF20/중분류_Rawdata!BE20,1)</f>
        <v>1.2333423885740229</v>
      </c>
      <c r="BE8">
        <f>IFERROR(중분류_Rawdata!BG20/중분류_Rawdata!BF20,1)</f>
        <v>1.0689809157426264</v>
      </c>
      <c r="BF8">
        <f>IFERROR(중분류_Rawdata!BH20/중분류_Rawdata!BG20,1)</f>
        <v>1.08224970151318</v>
      </c>
      <c r="BG8">
        <f>IFERROR(중분류_Rawdata!BI20/중분류_Rawdata!BH20,1)</f>
        <v>1.3036171161655283</v>
      </c>
      <c r="BH8">
        <f>IFERROR(중분류_Rawdata!BJ20/중분류_Rawdata!BI20,1)</f>
        <v>0.94591891037567877</v>
      </c>
      <c r="BI8">
        <f>IFERROR(중분류_Rawdata!BK20/중분류_Rawdata!BJ20,1)</f>
        <v>0.9556587212622405</v>
      </c>
      <c r="BJ8">
        <f>IFERROR(중분류_Rawdata!BL20/중분류_Rawdata!BK20,1)</f>
        <v>0.93852759242660644</v>
      </c>
      <c r="BK8">
        <f>IFERROR(중분류_Rawdata!BM20/중분류_Rawdata!BL20,1)</f>
        <v>1.0915228418016882</v>
      </c>
      <c r="BL8">
        <f>IFERROR(중분류_Rawdata!BN20/중분류_Rawdata!BM20,1)</f>
        <v>0.88958285174807339</v>
      </c>
      <c r="BM8">
        <f>IFERROR(중분류_Rawdata!BO20/중분류_Rawdata!BN20,1)</f>
        <v>0.86739959832042557</v>
      </c>
      <c r="BN8">
        <f>IFERROR(중분류_Rawdata!BP20/중분류_Rawdata!BO20,1)</f>
        <v>1.0232606321919535</v>
      </c>
      <c r="BO8">
        <f>IFERROR(중분류_Rawdata!BQ20/중분류_Rawdata!BP20,1)</f>
        <v>1.1043674311449663</v>
      </c>
    </row>
    <row r="9" spans="1:67" x14ac:dyDescent="0.4">
      <c r="A9" s="6" t="s">
        <v>10</v>
      </c>
      <c r="B9" s="4" t="s">
        <v>57</v>
      </c>
      <c r="C9">
        <f>IFERROR(중분류_Rawdata!E21/중분류_Rawdata!D21,1)</f>
        <v>1.1279847026329122</v>
      </c>
      <c r="D9">
        <f>IFERROR(중분류_Rawdata!F21/중분류_Rawdata!E21,1)</f>
        <v>0.90911066678257857</v>
      </c>
      <c r="E9">
        <f>IFERROR(중분류_Rawdata!G21/중분류_Rawdata!F21,1)</f>
        <v>1.0881823252848832</v>
      </c>
      <c r="F9">
        <f>IFERROR(중분류_Rawdata!H21/중분류_Rawdata!G21,1)</f>
        <v>1.3096165675620257</v>
      </c>
      <c r="G9">
        <f>IFERROR(중분류_Rawdata!I21/중분류_Rawdata!H21,1)</f>
        <v>0.9089892415397347</v>
      </c>
      <c r="H9">
        <f>IFERROR(중분류_Rawdata!J21/중분류_Rawdata!I21,1)</f>
        <v>0.93950541338582683</v>
      </c>
      <c r="I9">
        <f>IFERROR(중분류_Rawdata!K21/중분류_Rawdata!J21,1)</f>
        <v>0.92326126527244867</v>
      </c>
      <c r="J9">
        <f>IFERROR(중분류_Rawdata!L21/중분류_Rawdata!K21,1)</f>
        <v>0.87523935151695686</v>
      </c>
      <c r="K9">
        <f>IFERROR(중분류_Rawdata!M21/중분류_Rawdata!L21,1)</f>
        <v>1.0697489749947331</v>
      </c>
      <c r="L9">
        <f>IFERROR(중분류_Rawdata!N21/중분류_Rawdata!M21,1)</f>
        <v>1.0321007104876458</v>
      </c>
      <c r="M9">
        <f>IFERROR(중분류_Rawdata!O21/중분류_Rawdata!N21,1)</f>
        <v>1.0298400117422575</v>
      </c>
      <c r="N9">
        <f>IFERROR(중분류_Rawdata!P21/중분류_Rawdata!O21,1)</f>
        <v>1.0981286433020254</v>
      </c>
      <c r="O9">
        <f>IFERROR(중분류_Rawdata!Q21/중분류_Rawdata!P21,1)</f>
        <v>0.90487747897414605</v>
      </c>
      <c r="P9">
        <f>IFERROR(중분류_Rawdata!R21/중분류_Rawdata!Q21,1)</f>
        <v>1.0424131155065333</v>
      </c>
      <c r="Q9">
        <f>IFERROR(중분류_Rawdata!S21/중분류_Rawdata!R21,1)</f>
        <v>1.1163520281798669</v>
      </c>
      <c r="R9">
        <f>IFERROR(중분류_Rawdata!T21/중분류_Rawdata!S21,1)</f>
        <v>1.036298870975694</v>
      </c>
      <c r="S9">
        <f>IFERROR(중분류_Rawdata!U21/중분류_Rawdata!T21,1)</f>
        <v>1.0784043198496618</v>
      </c>
      <c r="T9">
        <f>IFERROR(중분류_Rawdata!V21/중분류_Rawdata!U21,1)</f>
        <v>1.1324818846573801</v>
      </c>
      <c r="U9">
        <f>IFERROR(중분류_Rawdata!W21/중분류_Rawdata!V21,1)</f>
        <v>1.1977970607999533</v>
      </c>
      <c r="V9">
        <f>IFERROR(중분류_Rawdata!X21/중분류_Rawdata!W21,1)</f>
        <v>1.001235862786708</v>
      </c>
      <c r="W9">
        <f>IFERROR(중분류_Rawdata!Y21/중분류_Rawdata!X21,1)</f>
        <v>0.94895365550620003</v>
      </c>
      <c r="X9">
        <f>IFERROR(중분류_Rawdata!Z21/중분류_Rawdata!Y21,1)</f>
        <v>0.9715036326450277</v>
      </c>
      <c r="Y9">
        <f>IFERROR(중분류_Rawdata!AA21/중분류_Rawdata!Z21,1)</f>
        <v>1.0313669875888556</v>
      </c>
      <c r="Z9">
        <f>IFERROR(중분류_Rawdata!AB21/중분류_Rawdata!AA21,1)</f>
        <v>0.94110412681060396</v>
      </c>
      <c r="AA9">
        <f>IFERROR(중분류_Rawdata!AC21/중분류_Rawdata!AB21,1)</f>
        <v>1.138957456076666</v>
      </c>
      <c r="AB9">
        <f>IFERROR(중분류_Rawdata!AD21/중분류_Rawdata!AC21,1)</f>
        <v>1.178878760836308</v>
      </c>
      <c r="AC9">
        <f>IFERROR(중분류_Rawdata!AE21/중분류_Rawdata!AD21,1)</f>
        <v>1.0036565418981576</v>
      </c>
      <c r="AD9">
        <f>IFERROR(중분류_Rawdata!AF21/중분류_Rawdata!AE21,1)</f>
        <v>0.91184214956732546</v>
      </c>
      <c r="AE9">
        <f>IFERROR(중분류_Rawdata!AG21/중분류_Rawdata!AF21,1)</f>
        <v>1.0342013529880949</v>
      </c>
      <c r="AF9">
        <f>IFERROR(중분류_Rawdata!AH21/중분류_Rawdata!AG21,1)</f>
        <v>0.7916520869782554</v>
      </c>
      <c r="AG9">
        <f>IFERROR(중분류_Rawdata!AI21/중분류_Rawdata!AH21,1)</f>
        <v>0.68919979433334233</v>
      </c>
      <c r="AH9">
        <f>IFERROR(중분류_Rawdata!AJ21/중분류_Rawdata!AI21,1)</f>
        <v>0.98271032930213087</v>
      </c>
      <c r="AI9">
        <f>IFERROR(중분류_Rawdata!AK21/중분류_Rawdata!AJ21,1)</f>
        <v>1.2790778205452631</v>
      </c>
      <c r="AJ9">
        <f>IFERROR(중분류_Rawdata!AL21/중분류_Rawdata!AK21,1)</f>
        <v>1.0105792559117839</v>
      </c>
      <c r="AK9">
        <f>IFERROR(중분류_Rawdata!AM21/중분류_Rawdata!AL21,1)</f>
        <v>1.0534450248833112</v>
      </c>
      <c r="AL9">
        <f>IFERROR(중분류_Rawdata!AN21/중분류_Rawdata!AM21,1)</f>
        <v>1.020696400625978</v>
      </c>
      <c r="AM9">
        <f>IFERROR(중분류_Rawdata!AO21/중분류_Rawdata!AN21,1)</f>
        <v>1.0431216221395991</v>
      </c>
      <c r="AN9">
        <f>IFERROR(중분류_Rawdata!AP21/중분류_Rawdata!AO21,1)</f>
        <v>1.1578048063496729</v>
      </c>
      <c r="AO9">
        <f>IFERROR(중분류_Rawdata!AQ21/중분류_Rawdata!AP21,1)</f>
        <v>1.0711554025104337</v>
      </c>
      <c r="AP9">
        <f>IFERROR(중분류_Rawdata!AR21/중분류_Rawdata!AQ21,1)</f>
        <v>0.95003036992044565</v>
      </c>
      <c r="AQ9">
        <f>IFERROR(중분류_Rawdata!AS21/중분류_Rawdata!AR21,1)</f>
        <v>1.0395848927145708</v>
      </c>
      <c r="AR9">
        <f>IFERROR(중분류_Rawdata!AT21/중분류_Rawdata!AS21,1)</f>
        <v>1.0900002250005625</v>
      </c>
      <c r="AS9">
        <f>IFERROR(중분류_Rawdata!AU21/중분류_Rawdata!AT21,1)</f>
        <v>0.96371780669221718</v>
      </c>
      <c r="AT9">
        <f>IFERROR(중분류_Rawdata!AV21/중분류_Rawdata!AU21,1)</f>
        <v>1.0087962301870628</v>
      </c>
      <c r="AU9">
        <f>IFERROR(중분류_Rawdata!AW21/중분류_Rawdata!AV21,1)</f>
        <v>1.0898352348328284</v>
      </c>
      <c r="AV9">
        <f>IFERROR(중분류_Rawdata!AX21/중분류_Rawdata!AW21,1)</f>
        <v>1.0364970614020848</v>
      </c>
      <c r="AW9">
        <f>IFERROR(중분류_Rawdata!AY21/중분류_Rawdata!AX21,1)</f>
        <v>1.1581717364744213</v>
      </c>
      <c r="AX9">
        <f>IFERROR(중분류_Rawdata!AZ21/중분류_Rawdata!AY21,1)</f>
        <v>1.0110305653232352</v>
      </c>
      <c r="AY9">
        <f>IFERROR(중분류_Rawdata!BA21/중분류_Rawdata!AZ21,1)</f>
        <v>1.137734163059356</v>
      </c>
      <c r="AZ9">
        <f>IFERROR(중분류_Rawdata!BB21/중분류_Rawdata!BA21,1)</f>
        <v>0.88966749753092222</v>
      </c>
      <c r="BA9">
        <f>IFERROR(중분류_Rawdata!BC21/중분류_Rawdata!BB21,1)</f>
        <v>1.1242057408680022</v>
      </c>
      <c r="BB9">
        <f>IFERROR(중분류_Rawdata!BD21/중분류_Rawdata!BC21,1)</f>
        <v>1.0603058316797231</v>
      </c>
      <c r="BC9">
        <f>IFERROR(중분류_Rawdata!BE21/중분류_Rawdata!BD21,1)</f>
        <v>1.0259478205338572</v>
      </c>
      <c r="BD9">
        <f>IFERROR(중분류_Rawdata!BF21/중분류_Rawdata!BE21,1)</f>
        <v>1.1872120064666165</v>
      </c>
      <c r="BE9">
        <f>IFERROR(중분류_Rawdata!BG21/중분류_Rawdata!BF21,1)</f>
        <v>0.84263722820150599</v>
      </c>
      <c r="BF9">
        <f>IFERROR(중분류_Rawdata!BH21/중분류_Rawdata!BG21,1)</f>
        <v>1.0374969753534515</v>
      </c>
      <c r="BG9">
        <f>IFERROR(중분류_Rawdata!BI21/중분류_Rawdata!BH21,1)</f>
        <v>1.2179834242638792</v>
      </c>
      <c r="BH9">
        <f>IFERROR(중분류_Rawdata!BJ21/중분류_Rawdata!BI21,1)</f>
        <v>1.0137835527440588</v>
      </c>
      <c r="BI9">
        <f>IFERROR(중분류_Rawdata!BK21/중분류_Rawdata!BJ21,1)</f>
        <v>0.83046131118014299</v>
      </c>
      <c r="BJ9">
        <f>IFERROR(중분류_Rawdata!BL21/중분류_Rawdata!BK21,1)</f>
        <v>0.90248805926503572</v>
      </c>
      <c r="BK9">
        <f>IFERROR(중분류_Rawdata!BM21/중분류_Rawdata!BL21,1)</f>
        <v>1.0475772590422443</v>
      </c>
      <c r="BL9">
        <f>IFERROR(중분류_Rawdata!BN21/중분류_Rawdata!BM21,1)</f>
        <v>0.93979267889285545</v>
      </c>
      <c r="BM9">
        <f>IFERROR(중분류_Rawdata!BO21/중분류_Rawdata!BN21,1)</f>
        <v>0.87185277285110896</v>
      </c>
      <c r="BN9">
        <f>IFERROR(중분류_Rawdata!BP21/중분류_Rawdata!BO21,1)</f>
        <v>1.0283070308813507</v>
      </c>
      <c r="BO9">
        <f>IFERROR(중분류_Rawdata!BQ21/중분류_Rawdata!BP21,1)</f>
        <v>1.0702190904965612</v>
      </c>
    </row>
    <row r="10" spans="1:67" x14ac:dyDescent="0.4">
      <c r="A10" s="6" t="s">
        <v>11</v>
      </c>
      <c r="B10" s="4" t="s">
        <v>58</v>
      </c>
      <c r="C10">
        <f>IFERROR(중분류_Rawdata!E22/중분류_Rawdata!D22,1)</f>
        <v>1.154878285640295</v>
      </c>
      <c r="D10">
        <f>IFERROR(중분류_Rawdata!F22/중분류_Rawdata!E22,1)</f>
        <v>0.82261432595686246</v>
      </c>
      <c r="E10">
        <f>IFERROR(중분류_Rawdata!G22/중분류_Rawdata!F22,1)</f>
        <v>1.1549679705601743</v>
      </c>
      <c r="F10">
        <f>IFERROR(중분류_Rawdata!H22/중분류_Rawdata!G22,1)</f>
        <v>1.27091692235072</v>
      </c>
      <c r="G10">
        <f>IFERROR(중분류_Rawdata!I22/중분류_Rawdata!H22,1)</f>
        <v>0.80698252048561936</v>
      </c>
      <c r="H10">
        <f>IFERROR(중분류_Rawdata!J22/중분류_Rawdata!I22,1)</f>
        <v>0.8360372799447704</v>
      </c>
      <c r="I10">
        <f>IFERROR(중분류_Rawdata!K22/중분류_Rawdata!J22,1)</f>
        <v>0.92036540049545834</v>
      </c>
      <c r="J10">
        <f>IFERROR(중분류_Rawdata!L22/중분류_Rawdata!K22,1)</f>
        <v>0.81453858950634583</v>
      </c>
      <c r="K10">
        <f>IFERROR(중분류_Rawdata!M22/중분류_Rawdata!L22,1)</f>
        <v>1.2809050645982971</v>
      </c>
      <c r="L10">
        <f>IFERROR(중분류_Rawdata!N22/중분류_Rawdata!M22,1)</f>
        <v>0.94761546454548728</v>
      </c>
      <c r="M10">
        <f>IFERROR(중분류_Rawdata!O22/중분류_Rawdata!N22,1)</f>
        <v>1.0154081748402466</v>
      </c>
      <c r="N10">
        <f>IFERROR(중분류_Rawdata!P22/중분류_Rawdata!O22,1)</f>
        <v>0.90839524102105784</v>
      </c>
      <c r="O10">
        <f>IFERROR(중분류_Rawdata!Q22/중분류_Rawdata!P22,1)</f>
        <v>0.88892988173563714</v>
      </c>
      <c r="P10">
        <f>IFERROR(중분류_Rawdata!R22/중분류_Rawdata!Q22,1)</f>
        <v>0.92801475674429335</v>
      </c>
      <c r="Q10">
        <f>IFERROR(중분류_Rawdata!S22/중분류_Rawdata!R22,1)</f>
        <v>0.96951401311866414</v>
      </c>
      <c r="R10">
        <f>IFERROR(중분류_Rawdata!T22/중분류_Rawdata!S22,1)</f>
        <v>1.1950488198662259</v>
      </c>
      <c r="S10">
        <f>IFERROR(중분류_Rawdata!U22/중분류_Rawdata!T22,1)</f>
        <v>0.94087750900669065</v>
      </c>
      <c r="T10">
        <f>IFERROR(중분류_Rawdata!V22/중분류_Rawdata!U22,1)</f>
        <v>1.0216752136752136</v>
      </c>
      <c r="U10">
        <f>IFERROR(중분류_Rawdata!W22/중분류_Rawdata!V22,1)</f>
        <v>1.4105876054075759</v>
      </c>
      <c r="V10">
        <f>IFERROR(중분류_Rawdata!X22/중분류_Rawdata!W22,1)</f>
        <v>0.90123515364299167</v>
      </c>
      <c r="W10">
        <f>IFERROR(중분류_Rawdata!Y22/중분류_Rawdata!X22,1)</f>
        <v>0.88930614536903796</v>
      </c>
      <c r="X10">
        <f>IFERROR(중분류_Rawdata!Z22/중분류_Rawdata!Y22,1)</f>
        <v>0.88194088164489526</v>
      </c>
      <c r="Y10">
        <f>IFERROR(중분류_Rawdata!AA22/중분류_Rawdata!Z22,1)</f>
        <v>1.1358988701197001</v>
      </c>
      <c r="Z10">
        <f>IFERROR(중분류_Rawdata!AB22/중분류_Rawdata!AA22,1)</f>
        <v>0.85979633240757158</v>
      </c>
      <c r="AA10">
        <f>IFERROR(중분류_Rawdata!AC22/중분류_Rawdata!AB22,1)</f>
        <v>1.0889784884653273</v>
      </c>
      <c r="AB10">
        <f>IFERROR(중분류_Rawdata!AD22/중분류_Rawdata!AC22,1)</f>
        <v>1.0245713684653412</v>
      </c>
      <c r="AC10">
        <f>IFERROR(중분류_Rawdata!AE22/중분류_Rawdata!AD22,1)</f>
        <v>0.86173336344783691</v>
      </c>
      <c r="AD10">
        <f>IFERROR(중분류_Rawdata!AF22/중분류_Rawdata!AE22,1)</f>
        <v>0.89070504419928997</v>
      </c>
      <c r="AE10">
        <f>IFERROR(중분류_Rawdata!AG22/중분류_Rawdata!AF22,1)</f>
        <v>0.88339307688192181</v>
      </c>
      <c r="AF10">
        <f>IFERROR(중분류_Rawdata!AH22/중분류_Rawdata!AG22,1)</f>
        <v>0.81936831905035878</v>
      </c>
      <c r="AG10">
        <f>IFERROR(중분류_Rawdata!AI22/중분류_Rawdata!AH22,1)</f>
        <v>0.73360928376081014</v>
      </c>
      <c r="AH10">
        <f>IFERROR(중분류_Rawdata!AJ22/중분류_Rawdata!AI22,1)</f>
        <v>0.95183879093198986</v>
      </c>
      <c r="AI10">
        <f>IFERROR(중분류_Rawdata!AK22/중분류_Rawdata!AJ22,1)</f>
        <v>1.4311950883878481</v>
      </c>
      <c r="AJ10">
        <f>IFERROR(중분류_Rawdata!AL22/중분류_Rawdata!AK22,1)</f>
        <v>1.0792130468547758</v>
      </c>
      <c r="AK10">
        <f>IFERROR(중분류_Rawdata!AM22/중분류_Rawdata!AL22,1)</f>
        <v>0.9482575472021384</v>
      </c>
      <c r="AL10">
        <f>IFERROR(중분류_Rawdata!AN22/중분류_Rawdata!AM22,1)</f>
        <v>1.0428576590900878</v>
      </c>
      <c r="AM10">
        <f>IFERROR(중분류_Rawdata!AO22/중분류_Rawdata!AN22,1)</f>
        <v>0.96649225544890693</v>
      </c>
      <c r="AN10">
        <f>IFERROR(중분류_Rawdata!AP22/중분류_Rawdata!AO22,1)</f>
        <v>0.96271332281657807</v>
      </c>
      <c r="AO10">
        <f>IFERROR(중분류_Rawdata!AQ22/중분류_Rawdata!AP22,1)</f>
        <v>1.0795843884999254</v>
      </c>
      <c r="AP10">
        <f>IFERROR(중분류_Rawdata!AR22/중분류_Rawdata!AQ22,1)</f>
        <v>1.0002414709027563</v>
      </c>
      <c r="AQ10">
        <f>IFERROR(중분류_Rawdata!AS22/중분류_Rawdata!AR22,1)</f>
        <v>1.034487515519382</v>
      </c>
      <c r="AR10">
        <f>IFERROR(중분류_Rawdata!AT22/중분류_Rawdata!AS22,1)</f>
        <v>1.1386518202426992</v>
      </c>
      <c r="AS10">
        <f>IFERROR(중분류_Rawdata!AU22/중분류_Rawdata!AT22,1)</f>
        <v>1.0441223832528179</v>
      </c>
      <c r="AT10">
        <f>IFERROR(중분류_Rawdata!AV22/중분류_Rawdata!AU22,1)</f>
        <v>1.0133194997476305</v>
      </c>
      <c r="AU10">
        <f>IFERROR(중분류_Rawdata!AW22/중분류_Rawdata!AV22,1)</f>
        <v>0.91153111769100914</v>
      </c>
      <c r="AV10">
        <f>IFERROR(중분류_Rawdata!AX22/중분류_Rawdata!AW22,1)</f>
        <v>1.144019429265331</v>
      </c>
      <c r="AW10">
        <f>IFERROR(중분류_Rawdata!AY22/중분류_Rawdata!AX22,1)</f>
        <v>1.0390882071966883</v>
      </c>
      <c r="AX10">
        <f>IFERROR(중분류_Rawdata!AZ22/중분류_Rawdata!AY22,1)</f>
        <v>1.0774829532395229</v>
      </c>
      <c r="AY10">
        <f>IFERROR(중분류_Rawdata!BA22/중분류_Rawdata!AZ22,1)</f>
        <v>1.0776231897798108</v>
      </c>
      <c r="AZ10">
        <f>IFERROR(중분류_Rawdata!BB22/중분류_Rawdata!BA22,1)</f>
        <v>0.8989794571767914</v>
      </c>
      <c r="BA10">
        <f>IFERROR(중분류_Rawdata!BC22/중분류_Rawdata!BB22,1)</f>
        <v>0.99774912533946614</v>
      </c>
      <c r="BB10">
        <f>IFERROR(중분류_Rawdata!BD22/중분류_Rawdata!BC22,1)</f>
        <v>1.0181457051077707</v>
      </c>
      <c r="BC10">
        <f>IFERROR(중분류_Rawdata!BE22/중분류_Rawdata!BD22,1)</f>
        <v>1.0099226897232725</v>
      </c>
      <c r="BD10">
        <f>IFERROR(중분류_Rawdata!BF22/중분류_Rawdata!BE22,1)</f>
        <v>1.0101352157012378</v>
      </c>
      <c r="BE10">
        <f>IFERROR(중분류_Rawdata!BG22/중분류_Rawdata!BF22,1)</f>
        <v>0.89706785022900049</v>
      </c>
      <c r="BF10">
        <f>IFERROR(중분류_Rawdata!BH22/중분류_Rawdata!BG22,1)</f>
        <v>1.1136638770461602</v>
      </c>
      <c r="BG10">
        <f>IFERROR(중분류_Rawdata!BI22/중분류_Rawdata!BH22,1)</f>
        <v>1.1737363234633835</v>
      </c>
      <c r="BH10">
        <f>IFERROR(중분류_Rawdata!BJ22/중분류_Rawdata!BI22,1)</f>
        <v>1.0486218768245787</v>
      </c>
      <c r="BI10">
        <f>IFERROR(중분류_Rawdata!BK22/중분류_Rawdata!BJ22,1)</f>
        <v>1.0089086859688197</v>
      </c>
      <c r="BJ10">
        <f>IFERROR(중분류_Rawdata!BL22/중분류_Rawdata!BK22,1)</f>
        <v>0.92035852934459916</v>
      </c>
      <c r="BK10">
        <f>IFERROR(중분류_Rawdata!BM22/중분류_Rawdata!BL22,1)</f>
        <v>1.0389967537166842</v>
      </c>
      <c r="BL10">
        <f>IFERROR(중분류_Rawdata!BN22/중분류_Rawdata!BM22,1)</f>
        <v>0.83637485323090999</v>
      </c>
      <c r="BM10">
        <f>IFERROR(중분류_Rawdata!BO22/중분류_Rawdata!BN22,1)</f>
        <v>0.87981535679444167</v>
      </c>
      <c r="BN10">
        <f>IFERROR(중분류_Rawdata!BP22/중분류_Rawdata!BO22,1)</f>
        <v>1.0854878840328863</v>
      </c>
      <c r="BO10">
        <f>IFERROR(중분류_Rawdata!BQ22/중분류_Rawdata!BP22,1)</f>
        <v>1.0715549243839848</v>
      </c>
    </row>
    <row r="11" spans="1:67" x14ac:dyDescent="0.4">
      <c r="A11" s="6" t="s">
        <v>12</v>
      </c>
      <c r="B11" s="4" t="s">
        <v>59</v>
      </c>
      <c r="C11">
        <f>IFERROR(중분류_Rawdata!E23/중분류_Rawdata!D23,1)</f>
        <v>1.2781673158968649</v>
      </c>
      <c r="D11">
        <f>IFERROR(중분류_Rawdata!F23/중분류_Rawdata!E23,1)</f>
        <v>0.9203552665950715</v>
      </c>
      <c r="E11">
        <f>IFERROR(중분류_Rawdata!G23/중분류_Rawdata!F23,1)</f>
        <v>1.2367308965908732</v>
      </c>
      <c r="F11">
        <f>IFERROR(중분류_Rawdata!H23/중분류_Rawdata!G23,1)</f>
        <v>1.7048488480320285</v>
      </c>
      <c r="G11">
        <f>IFERROR(중분류_Rawdata!I23/중분류_Rawdata!H23,1)</f>
        <v>0.95041618989926169</v>
      </c>
      <c r="H11">
        <f>IFERROR(중분류_Rawdata!J23/중분류_Rawdata!I23,1)</f>
        <v>1.0447424124391147</v>
      </c>
      <c r="I11">
        <f>IFERROR(중분류_Rawdata!K23/중분류_Rawdata!J23,1)</f>
        <v>0.82583283748465375</v>
      </c>
      <c r="J11">
        <f>IFERROR(중분류_Rawdata!L23/중분류_Rawdata!K23,1)</f>
        <v>0.79776551598340095</v>
      </c>
      <c r="K11">
        <f>IFERROR(중분류_Rawdata!M23/중분류_Rawdata!L23,1)</f>
        <v>1.1277566279109648</v>
      </c>
      <c r="L11">
        <f>IFERROR(중분류_Rawdata!N23/중분류_Rawdata!M23,1)</f>
        <v>1.1376943819313503</v>
      </c>
      <c r="M11">
        <f>IFERROR(중분류_Rawdata!O23/중분류_Rawdata!N23,1)</f>
        <v>1.0073688618806191</v>
      </c>
      <c r="N11">
        <f>IFERROR(중분류_Rawdata!P23/중분류_Rawdata!O23,1)</f>
        <v>1.0262701669968866</v>
      </c>
      <c r="O11">
        <f>IFERROR(중분류_Rawdata!Q23/중분류_Rawdata!P23,1)</f>
        <v>0.95506179649388923</v>
      </c>
      <c r="P11">
        <f>IFERROR(중분류_Rawdata!R23/중분류_Rawdata!Q23,1)</f>
        <v>1.1357795184637043</v>
      </c>
      <c r="Q11">
        <f>IFERROR(중분류_Rawdata!S23/중분류_Rawdata!R23,1)</f>
        <v>1.036056508128208</v>
      </c>
      <c r="R11">
        <f>IFERROR(중분류_Rawdata!T23/중분류_Rawdata!S23,1)</f>
        <v>1.1897987668333385</v>
      </c>
      <c r="S11">
        <f>IFERROR(중분류_Rawdata!U23/중분류_Rawdata!T23,1)</f>
        <v>1.0487930645525154</v>
      </c>
      <c r="T11">
        <f>IFERROR(중분류_Rawdata!V23/중분류_Rawdata!U23,1)</f>
        <v>1.1025842731155702</v>
      </c>
      <c r="U11">
        <f>IFERROR(중분류_Rawdata!W23/중분류_Rawdata!V23,1)</f>
        <v>1.2426716906252264</v>
      </c>
      <c r="V11">
        <f>IFERROR(중분류_Rawdata!X23/중분류_Rawdata!W23,1)</f>
        <v>1.1068519448830199</v>
      </c>
      <c r="W11">
        <f>IFERROR(중분류_Rawdata!Y23/중분류_Rawdata!X23,1)</f>
        <v>0.88078989812210751</v>
      </c>
      <c r="X11">
        <f>IFERROR(중분류_Rawdata!Z23/중분류_Rawdata!Y23,1)</f>
        <v>1.1632995780978981</v>
      </c>
      <c r="Y11">
        <f>IFERROR(중분류_Rawdata!AA23/중분류_Rawdata!Z23,1)</f>
        <v>1.0902263073381797</v>
      </c>
      <c r="Z11">
        <f>IFERROR(중분류_Rawdata!AB23/중분류_Rawdata!AA23,1)</f>
        <v>0.90513504199089445</v>
      </c>
      <c r="AA11">
        <f>IFERROR(중분류_Rawdata!AC23/중분류_Rawdata!AB23,1)</f>
        <v>1.1956273421374322</v>
      </c>
      <c r="AB11">
        <f>IFERROR(중분류_Rawdata!AD23/중분류_Rawdata!AC23,1)</f>
        <v>0.92619211236444687</v>
      </c>
      <c r="AC11">
        <f>IFERROR(중분류_Rawdata!AE23/중분류_Rawdata!AD23,1)</f>
        <v>1.0480461242793082</v>
      </c>
      <c r="AD11">
        <f>IFERROR(중분류_Rawdata!AF23/중분류_Rawdata!AE23,1)</f>
        <v>0.82330819278107015</v>
      </c>
      <c r="AE11">
        <f>IFERROR(중분류_Rawdata!AG23/중분류_Rawdata!AF23,1)</f>
        <v>1.0585343551154118</v>
      </c>
      <c r="AF11">
        <f>IFERROR(중분류_Rawdata!AH23/중분류_Rawdata!AG23,1)</f>
        <v>0.87063424762840691</v>
      </c>
      <c r="AG11">
        <f>IFERROR(중분류_Rawdata!AI23/중분류_Rawdata!AH23,1)</f>
        <v>0.67080536149102243</v>
      </c>
      <c r="AH11">
        <f>IFERROR(중분류_Rawdata!AJ23/중분류_Rawdata!AI23,1)</f>
        <v>0.96150244935068463</v>
      </c>
      <c r="AI11">
        <f>IFERROR(중분류_Rawdata!AK23/중분류_Rawdata!AJ23,1)</f>
        <v>1.3542607542057132</v>
      </c>
      <c r="AJ11">
        <f>IFERROR(중분류_Rawdata!AL23/중분류_Rawdata!AK23,1)</f>
        <v>1.069608941458458</v>
      </c>
      <c r="AK11">
        <f>IFERROR(중분류_Rawdata!AM23/중분류_Rawdata!AL23,1)</f>
        <v>1.068513304169062</v>
      </c>
      <c r="AL11">
        <f>IFERROR(중분류_Rawdata!AN23/중분류_Rawdata!AM23,1)</f>
        <v>0.96697790624515578</v>
      </c>
      <c r="AM11">
        <f>IFERROR(중분류_Rawdata!AO23/중분류_Rawdata!AN23,1)</f>
        <v>0.9639029680096185</v>
      </c>
      <c r="AN11">
        <f>IFERROR(중분류_Rawdata!AP23/중분류_Rawdata!AO23,1)</f>
        <v>1.155630774949985</v>
      </c>
      <c r="AO11">
        <f>IFERROR(중분류_Rawdata!AQ23/중분류_Rawdata!AP23,1)</f>
        <v>1.036515474739266</v>
      </c>
      <c r="AP11">
        <f>IFERROR(중분류_Rawdata!AR23/중분류_Rawdata!AQ23,1)</f>
        <v>0.90519962594381798</v>
      </c>
      <c r="AQ11">
        <f>IFERROR(중분류_Rawdata!AS23/중분류_Rawdata!AR23,1)</f>
        <v>1.1935822942418393</v>
      </c>
      <c r="AR11">
        <f>IFERROR(중분류_Rawdata!AT23/중분류_Rawdata!AS23,1)</f>
        <v>1.037504866221431</v>
      </c>
      <c r="AS11">
        <f>IFERROR(중분류_Rawdata!AU23/중분류_Rawdata!AT23,1)</f>
        <v>0.87252187597904574</v>
      </c>
      <c r="AT11">
        <f>IFERROR(중분류_Rawdata!AV23/중분류_Rawdata!AU23,1)</f>
        <v>1.0245084735855436</v>
      </c>
      <c r="AU11">
        <f>IFERROR(중분류_Rawdata!AW23/중분류_Rawdata!AV23,1)</f>
        <v>0.88366975169024253</v>
      </c>
      <c r="AV11">
        <f>IFERROR(중분류_Rawdata!AX23/중분류_Rawdata!AW23,1)</f>
        <v>0.99710838706106975</v>
      </c>
      <c r="AW11">
        <f>IFERROR(중분류_Rawdata!AY23/중분류_Rawdata!AX23,1)</f>
        <v>1.0150688923115347</v>
      </c>
      <c r="AX11">
        <f>IFERROR(중분류_Rawdata!AZ23/중분류_Rawdata!AY23,1)</f>
        <v>1.0620326703574601</v>
      </c>
      <c r="AY11">
        <f>IFERROR(중분류_Rawdata!BA23/중분류_Rawdata!AZ23,1)</f>
        <v>1.0066114922408282</v>
      </c>
      <c r="AZ11">
        <f>IFERROR(중분류_Rawdata!BB23/중분류_Rawdata!BA23,1)</f>
        <v>0.97331855766771802</v>
      </c>
      <c r="BA11">
        <f>IFERROR(중분류_Rawdata!BC23/중분류_Rawdata!BB23,1)</f>
        <v>1.1819188999824839</v>
      </c>
      <c r="BB11">
        <f>IFERROR(중분류_Rawdata!BD23/중분류_Rawdata!BC23,1)</f>
        <v>0.92623275769443081</v>
      </c>
      <c r="BC11">
        <f>IFERROR(중분류_Rawdata!BE23/중분류_Rawdata!BD23,1)</f>
        <v>0.9146776109731074</v>
      </c>
      <c r="BD11">
        <f>IFERROR(중분류_Rawdata!BF23/중분류_Rawdata!BE23,1)</f>
        <v>1.0908192405417581</v>
      </c>
      <c r="BE11">
        <f>IFERROR(중분류_Rawdata!BG23/중분류_Rawdata!BF23,1)</f>
        <v>0.87784949685282432</v>
      </c>
      <c r="BF11">
        <f>IFERROR(중분류_Rawdata!BH23/중분류_Rawdata!BG23,1)</f>
        <v>0.97850311926270328</v>
      </c>
      <c r="BG11">
        <f>IFERROR(중분류_Rawdata!BI23/중분류_Rawdata!BH23,1)</f>
        <v>1.190791346759702</v>
      </c>
      <c r="BH11">
        <f>IFERROR(중분류_Rawdata!BJ23/중분류_Rawdata!BI23,1)</f>
        <v>1.032359592839813</v>
      </c>
      <c r="BI11">
        <f>IFERROR(중분류_Rawdata!BK23/중분류_Rawdata!BJ23,1)</f>
        <v>0.90465433256514138</v>
      </c>
      <c r="BJ11">
        <f>IFERROR(중분류_Rawdata!BL23/중분류_Rawdata!BK23,1)</f>
        <v>0.92188050831808477</v>
      </c>
      <c r="BK11">
        <f>IFERROR(중분류_Rawdata!BM23/중분류_Rawdata!BL23,1)</f>
        <v>1.0223616283198733</v>
      </c>
      <c r="BL11">
        <f>IFERROR(중분류_Rawdata!BN23/중분류_Rawdata!BM23,1)</f>
        <v>0.89374103858861675</v>
      </c>
      <c r="BM11">
        <f>IFERROR(중분류_Rawdata!BO23/중분류_Rawdata!BN23,1)</f>
        <v>0.98804749116889456</v>
      </c>
      <c r="BN11">
        <f>IFERROR(중분류_Rawdata!BP23/중분류_Rawdata!BO23,1)</f>
        <v>1.0815482673766592</v>
      </c>
      <c r="BO11">
        <f>IFERROR(중분류_Rawdata!BQ23/중분류_Rawdata!BP23,1)</f>
        <v>1.1829180731429849</v>
      </c>
    </row>
    <row r="12" spans="1:67" x14ac:dyDescent="0.4">
      <c r="A12" s="6" t="s">
        <v>13</v>
      </c>
      <c r="B12" s="4" t="s">
        <v>60</v>
      </c>
      <c r="C12">
        <f>IFERROR(중분류_Rawdata!E24/중분류_Rawdata!D24,1)</f>
        <v>1.2348230353929215</v>
      </c>
      <c r="D12">
        <f>IFERROR(중분류_Rawdata!F24/중분류_Rawdata!E24,1)</f>
        <v>1.03735820641745</v>
      </c>
      <c r="E12">
        <f>IFERROR(중분류_Rawdata!G24/중분류_Rawdata!F24,1)</f>
        <v>1.1260683260355446</v>
      </c>
      <c r="F12">
        <f>IFERROR(중분류_Rawdata!H24/중분류_Rawdata!G24,1)</f>
        <v>1.1510469734461748</v>
      </c>
      <c r="G12">
        <f>IFERROR(중분류_Rawdata!I24/중분류_Rawdata!H24,1)</f>
        <v>0.8290669316231597</v>
      </c>
      <c r="H12">
        <f>IFERROR(중분류_Rawdata!J24/중분류_Rawdata!I24,1)</f>
        <v>0.76959449153465664</v>
      </c>
      <c r="I12">
        <f>IFERROR(중분류_Rawdata!K24/중분류_Rawdata!J24,1)</f>
        <v>0.84000113253489628</v>
      </c>
      <c r="J12">
        <f>IFERROR(중분류_Rawdata!L24/중분류_Rawdata!K24,1)</f>
        <v>0.75394364298233785</v>
      </c>
      <c r="K12">
        <f>IFERROR(중분류_Rawdata!M24/중분류_Rawdata!L24,1)</f>
        <v>1.1804810443490701</v>
      </c>
      <c r="L12">
        <f>IFERROR(중분류_Rawdata!N24/중분류_Rawdata!M24,1)</f>
        <v>0.86574512402953985</v>
      </c>
      <c r="M12">
        <f>IFERROR(중분류_Rawdata!O24/중분류_Rawdata!N24,1)</f>
        <v>0.75905511811023629</v>
      </c>
      <c r="N12">
        <f>IFERROR(중분류_Rawdata!P24/중분류_Rawdata!O24,1)</f>
        <v>0.98616874135546329</v>
      </c>
      <c r="O12">
        <f>IFERROR(중분류_Rawdata!Q24/중분류_Rawdata!P24,1)</f>
        <v>1.2029569892473118</v>
      </c>
      <c r="P12">
        <f>IFERROR(중분류_Rawdata!R24/중분류_Rawdata!Q24,1)</f>
        <v>0.87413164925916931</v>
      </c>
      <c r="Q12">
        <f>IFERROR(중분류_Rawdata!S24/중분류_Rawdata!R24,1)</f>
        <v>1.2064021340446816</v>
      </c>
      <c r="R12">
        <f>IFERROR(중분류_Rawdata!T24/중분류_Rawdata!S24,1)</f>
        <v>1.1925096738529575</v>
      </c>
      <c r="S12">
        <f>IFERROR(중분류_Rawdata!U24/중분류_Rawdata!T24,1)</f>
        <v>1.0178081662610576</v>
      </c>
      <c r="T12">
        <f>IFERROR(중분류_Rawdata!V24/중분류_Rawdata!U24,1)</f>
        <v>1.1754212843479579</v>
      </c>
      <c r="U12">
        <f>IFERROR(중분류_Rawdata!W24/중분류_Rawdata!V24,1)</f>
        <v>1.3713270907329673</v>
      </c>
      <c r="V12">
        <f>IFERROR(중분류_Rawdata!X24/중분류_Rawdata!W24,1)</f>
        <v>0.9992936190251942</v>
      </c>
      <c r="W12">
        <f>IFERROR(중분류_Rawdata!Y24/중분류_Rawdata!X24,1)</f>
        <v>1.1494109330819982</v>
      </c>
      <c r="X12">
        <f>IFERROR(중분류_Rawdata!Z24/중분류_Rawdata!Y24,1)</f>
        <v>0.99089809556999653</v>
      </c>
      <c r="Y12">
        <f>IFERROR(중분류_Rawdata!AA24/중분류_Rawdata!Z24,1)</f>
        <v>1.2227486190702774</v>
      </c>
      <c r="Z12">
        <f>IFERROR(중분류_Rawdata!AB24/중분류_Rawdata!AA24,1)</f>
        <v>0.91655387114239317</v>
      </c>
      <c r="AA12">
        <f>IFERROR(중분류_Rawdata!AC24/중분류_Rawdata!AB24,1)</f>
        <v>1.1727460680794506</v>
      </c>
      <c r="AB12">
        <f>IFERROR(중분류_Rawdata!AD24/중분류_Rawdata!AC24,1)</f>
        <v>1.100220368329923</v>
      </c>
      <c r="AC12">
        <f>IFERROR(중분류_Rawdata!AE24/중분류_Rawdata!AD24,1)</f>
        <v>1.2293517604475155</v>
      </c>
      <c r="AD12">
        <f>IFERROR(중분류_Rawdata!AF24/중분류_Rawdata!AE24,1)</f>
        <v>1.0444674611302487</v>
      </c>
      <c r="AE12">
        <f>IFERROR(중분류_Rawdata!AG24/중분류_Rawdata!AF24,1)</f>
        <v>1.0423180202564932</v>
      </c>
      <c r="AF12">
        <f>IFERROR(중분류_Rawdata!AH24/중분류_Rawdata!AG24,1)</f>
        <v>0.67225031267705004</v>
      </c>
      <c r="AG12">
        <f>IFERROR(중분류_Rawdata!AI24/중분류_Rawdata!AH24,1)</f>
        <v>0.62817434445910925</v>
      </c>
      <c r="AH12">
        <f>IFERROR(중분류_Rawdata!AJ24/중분류_Rawdata!AI24,1)</f>
        <v>1.1849686107735926</v>
      </c>
      <c r="AI12">
        <f>IFERROR(중분류_Rawdata!AK24/중분류_Rawdata!AJ24,1)</f>
        <v>1.2163807652047596</v>
      </c>
      <c r="AJ12">
        <f>IFERROR(중분류_Rawdata!AL24/중분류_Rawdata!AK24,1)</f>
        <v>1.132648401826484</v>
      </c>
      <c r="AK12">
        <f>IFERROR(중분류_Rawdata!AM24/중분류_Rawdata!AL24,1)</f>
        <v>0.96522103173987883</v>
      </c>
      <c r="AL12">
        <f>IFERROR(중분류_Rawdata!AN24/중분류_Rawdata!AM24,1)</f>
        <v>0.90350200803212843</v>
      </c>
      <c r="AM12">
        <f>IFERROR(중분류_Rawdata!AO24/중분류_Rawdata!AN24,1)</f>
        <v>0.81919527763455013</v>
      </c>
      <c r="AN12">
        <f>IFERROR(중분류_Rawdata!AP24/중분류_Rawdata!AO24,1)</f>
        <v>0.98547988019273347</v>
      </c>
      <c r="AO12">
        <f>IFERROR(중분류_Rawdata!AQ24/중분류_Rawdata!AP24,1)</f>
        <v>1.1208016738244686</v>
      </c>
      <c r="AP12">
        <f>IFERROR(중분류_Rawdata!AR24/중분류_Rawdata!AQ24,1)</f>
        <v>0.85794851640793879</v>
      </c>
      <c r="AQ12">
        <f>IFERROR(중분류_Rawdata!AS24/중분류_Rawdata!AR24,1)</f>
        <v>0.91385905041112203</v>
      </c>
      <c r="AR12">
        <f>IFERROR(중분류_Rawdata!AT24/중분류_Rawdata!AS24,1)</f>
        <v>1.0019047619047619</v>
      </c>
      <c r="AS12">
        <f>IFERROR(중분류_Rawdata!AU24/중분류_Rawdata!AT24,1)</f>
        <v>0.85693916349809884</v>
      </c>
      <c r="AT12">
        <f>IFERROR(중분류_Rawdata!AV24/중분류_Rawdata!AU24,1)</f>
        <v>1.059754210818227</v>
      </c>
      <c r="AU12">
        <f>IFERROR(중분류_Rawdata!AW24/중분류_Rawdata!AV24,1)</f>
        <v>0.7627534156015866</v>
      </c>
      <c r="AV12">
        <f>IFERROR(중분류_Rawdata!AX24/중분류_Rawdata!AW24,1)</f>
        <v>0.94413347296955685</v>
      </c>
      <c r="AW12">
        <f>IFERROR(중분류_Rawdata!AY24/중분류_Rawdata!AX24,1)</f>
        <v>0.99537178702570384</v>
      </c>
      <c r="AX12">
        <f>IFERROR(중분류_Rawdata!AZ24/중분류_Rawdata!AY24,1)</f>
        <v>1.0605233831610499</v>
      </c>
      <c r="AY12">
        <f>IFERROR(중분류_Rawdata!BA24/중분류_Rawdata!AZ24,1)</f>
        <v>1.0260163779984057</v>
      </c>
      <c r="AZ12">
        <f>IFERROR(중분류_Rawdata!BB24/중분류_Rawdata!BA24,1)</f>
        <v>0.93102839384093794</v>
      </c>
      <c r="BA12">
        <f>IFERROR(중분류_Rawdata!BC24/중분류_Rawdata!BB24,1)</f>
        <v>0.99267913363426008</v>
      </c>
      <c r="BB12">
        <f>IFERROR(중분류_Rawdata!BD24/중분류_Rawdata!BC24,1)</f>
        <v>0.98788689338937707</v>
      </c>
      <c r="BC12">
        <f>IFERROR(중분류_Rawdata!BE24/중분류_Rawdata!BD24,1)</f>
        <v>1.0189146327312113</v>
      </c>
      <c r="BD12">
        <f>IFERROR(중분류_Rawdata!BF24/중분류_Rawdata!BE24,1)</f>
        <v>1.0182218510363679</v>
      </c>
      <c r="BE12">
        <f>IFERROR(중분류_Rawdata!BG24/중분류_Rawdata!BF24,1)</f>
        <v>0.98426664678249187</v>
      </c>
      <c r="BF12">
        <f>IFERROR(중분류_Rawdata!BH24/중분류_Rawdata!BG24,1)</f>
        <v>1.063030303030303</v>
      </c>
      <c r="BG12">
        <f>IFERROR(중분류_Rawdata!BI24/중분류_Rawdata!BH24,1)</f>
        <v>1.1182297605473204</v>
      </c>
      <c r="BH12">
        <f>IFERROR(중분류_Rawdata!BJ24/중분류_Rawdata!BI24,1)</f>
        <v>0.9191574788095086</v>
      </c>
      <c r="BI12">
        <f>IFERROR(중분류_Rawdata!BK24/중분류_Rawdata!BJ24,1)</f>
        <v>0.94702721442191029</v>
      </c>
      <c r="BJ12">
        <f>IFERROR(중분류_Rawdata!BL24/중분류_Rawdata!BK24,1)</f>
        <v>1.1046601017681297</v>
      </c>
      <c r="BK12">
        <f>IFERROR(중분류_Rawdata!BM24/중분류_Rawdata!BL24,1)</f>
        <v>0.95632290562036049</v>
      </c>
      <c r="BL12">
        <f>IFERROR(중분류_Rawdata!BN24/중분류_Rawdata!BM24,1)</f>
        <v>1.0029108046295656</v>
      </c>
      <c r="BM12">
        <f>IFERROR(중분류_Rawdata!BO24/중분류_Rawdata!BN24,1)</f>
        <v>0.92616267016792209</v>
      </c>
      <c r="BN12">
        <f>IFERROR(중분류_Rawdata!BP24/중분류_Rawdata!BO24,1)</f>
        <v>1.026263756761798</v>
      </c>
      <c r="BO12">
        <f>IFERROR(중분류_Rawdata!BQ24/중분류_Rawdata!BP24,1)</f>
        <v>0.99607401214148106</v>
      </c>
    </row>
    <row r="13" spans="1:67" x14ac:dyDescent="0.4">
      <c r="A13" s="6" t="s">
        <v>14</v>
      </c>
      <c r="B13" s="4" t="s">
        <v>61</v>
      </c>
      <c r="C13">
        <f>IFERROR(중분류_Rawdata!E25/중분류_Rawdata!D25,1)</f>
        <v>1</v>
      </c>
      <c r="D13">
        <f>IFERROR(중분류_Rawdata!F25/중분류_Rawdata!E25,1)</f>
        <v>1</v>
      </c>
      <c r="E13">
        <f>IFERROR(중분류_Rawdata!G25/중분류_Rawdata!F25,1)</f>
        <v>1</v>
      </c>
      <c r="F13">
        <f>IFERROR(중분류_Rawdata!H25/중분류_Rawdata!G25,1)</f>
        <v>1</v>
      </c>
      <c r="G13">
        <f>IFERROR(중분류_Rawdata!I25/중분류_Rawdata!H25,1)</f>
        <v>1</v>
      </c>
      <c r="H13">
        <f>IFERROR(중분류_Rawdata!J25/중분류_Rawdata!I25,1)</f>
        <v>1</v>
      </c>
      <c r="I13">
        <f>IFERROR(중분류_Rawdata!K25/중분류_Rawdata!J25,1)</f>
        <v>1</v>
      </c>
      <c r="J13">
        <f>IFERROR(중분류_Rawdata!L25/중분류_Rawdata!K25,1)</f>
        <v>1</v>
      </c>
      <c r="K13">
        <f>IFERROR(중분류_Rawdata!M25/중분류_Rawdata!L25,1)</f>
        <v>1</v>
      </c>
      <c r="L13">
        <f>IFERROR(중분류_Rawdata!N25/중분류_Rawdata!M25,1)</f>
        <v>1</v>
      </c>
      <c r="M13">
        <f>IFERROR(중분류_Rawdata!O25/중분류_Rawdata!N25,1)</f>
        <v>1</v>
      </c>
      <c r="N13">
        <f>IFERROR(중분류_Rawdata!P25/중분류_Rawdata!O25,1)</f>
        <v>1</v>
      </c>
      <c r="O13">
        <f>IFERROR(중분류_Rawdata!Q25/중분류_Rawdata!P25,1)</f>
        <v>1</v>
      </c>
      <c r="P13">
        <f>IFERROR(중분류_Rawdata!R25/중분류_Rawdata!Q25,1)</f>
        <v>1</v>
      </c>
      <c r="Q13">
        <f>IFERROR(중분류_Rawdata!S25/중분류_Rawdata!R25,1)</f>
        <v>1</v>
      </c>
      <c r="R13">
        <f>IFERROR(중분류_Rawdata!T25/중분류_Rawdata!S25,1)</f>
        <v>1</v>
      </c>
      <c r="S13">
        <f>IFERROR(중분류_Rawdata!U25/중분류_Rawdata!T25,1)</f>
        <v>1</v>
      </c>
      <c r="T13">
        <f>IFERROR(중분류_Rawdata!V25/중분류_Rawdata!U25,1)</f>
        <v>1</v>
      </c>
      <c r="U13">
        <f>IFERROR(중분류_Rawdata!W25/중분류_Rawdata!V25,1)</f>
        <v>1</v>
      </c>
      <c r="V13">
        <f>IFERROR(중분류_Rawdata!X25/중분류_Rawdata!W25,1)</f>
        <v>1</v>
      </c>
      <c r="W13">
        <f>IFERROR(중분류_Rawdata!Y25/중분류_Rawdata!X25,1)</f>
        <v>1</v>
      </c>
      <c r="X13">
        <f>IFERROR(중분류_Rawdata!Z25/중분류_Rawdata!Y25,1)</f>
        <v>1</v>
      </c>
      <c r="Y13">
        <f>IFERROR(중분류_Rawdata!AA25/중분류_Rawdata!Z25,1)</f>
        <v>1</v>
      </c>
      <c r="Z13">
        <f>IFERROR(중분류_Rawdata!AB25/중분류_Rawdata!AA25,1)</f>
        <v>1</v>
      </c>
      <c r="AA13">
        <f>IFERROR(중분류_Rawdata!AC25/중분류_Rawdata!AB25,1)</f>
        <v>1.3742648979187491</v>
      </c>
      <c r="AB13">
        <f>IFERROR(중분류_Rawdata!AD25/중분류_Rawdata!AC25,1)</f>
        <v>1.6510678453704857</v>
      </c>
      <c r="AC13">
        <f>IFERROR(중분류_Rawdata!AE25/중분류_Rawdata!AD25,1)</f>
        <v>0.54544985473192875</v>
      </c>
      <c r="AD13">
        <f>IFERROR(중분류_Rawdata!AF25/중분류_Rawdata!AE25,1)</f>
        <v>1.32</v>
      </c>
      <c r="AE13">
        <f>IFERROR(중분류_Rawdata!AG25/중분류_Rawdata!AF25,1)</f>
        <v>0.94696831880750376</v>
      </c>
      <c r="AF13">
        <f>IFERROR(중분류_Rawdata!AH25/중분류_Rawdata!AG25,1)</f>
        <v>1</v>
      </c>
      <c r="AG13">
        <f>IFERROR(중분류_Rawdata!AI25/중분류_Rawdata!AH25,1)</f>
        <v>1</v>
      </c>
      <c r="AH13">
        <f>IFERROR(중분류_Rawdata!AJ25/중분류_Rawdata!AI25,1)</f>
        <v>1</v>
      </c>
      <c r="AI13">
        <f>IFERROR(중분류_Rawdata!AK25/중분류_Rawdata!AJ25,1)</f>
        <v>1</v>
      </c>
      <c r="AJ13">
        <f>IFERROR(중분류_Rawdata!AL25/중분류_Rawdata!AK25,1)</f>
        <v>1</v>
      </c>
      <c r="AK13">
        <f>IFERROR(중분류_Rawdata!AM25/중분류_Rawdata!AL25,1)</f>
        <v>1</v>
      </c>
      <c r="AL13">
        <f>IFERROR(중분류_Rawdata!AN25/중분류_Rawdata!AM25,1)</f>
        <v>1</v>
      </c>
      <c r="AM13">
        <f>IFERROR(중분류_Rawdata!AO25/중분류_Rawdata!AN25,1)</f>
        <v>1</v>
      </c>
      <c r="AN13">
        <f>IFERROR(중분류_Rawdata!AP25/중분류_Rawdata!AO25,1)</f>
        <v>1.195097245911946</v>
      </c>
      <c r="AO13">
        <f>IFERROR(중분류_Rawdata!AQ25/중분류_Rawdata!AP25,1)</f>
        <v>1</v>
      </c>
      <c r="AP13">
        <f>IFERROR(중분류_Rawdata!AR25/중분류_Rawdata!AQ25,1)</f>
        <v>0.93162522224116517</v>
      </c>
      <c r="AQ13">
        <f>IFERROR(중분류_Rawdata!AS25/중분류_Rawdata!AR25,1)</f>
        <v>1.255748779136036</v>
      </c>
      <c r="AR13">
        <f>IFERROR(중분류_Rawdata!AT25/중분류_Rawdata!AS25,1)</f>
        <v>1.1939943040820746</v>
      </c>
      <c r="AS13">
        <f>IFERROR(중분류_Rawdata!AU25/중분류_Rawdata!AT25,1)</f>
        <v>0.92479181487215967</v>
      </c>
      <c r="AT13">
        <f>IFERROR(중분류_Rawdata!AV25/중분류_Rawdata!AU25,1)</f>
        <v>0.99964177573652802</v>
      </c>
      <c r="AU13">
        <f>IFERROR(중분류_Rawdata!AW25/중분류_Rawdata!AV25,1)</f>
        <v>1.0919268809741156</v>
      </c>
      <c r="AV13">
        <f>IFERROR(중분류_Rawdata!AX25/중분류_Rawdata!AW25,1)</f>
        <v>1.0582163387132435</v>
      </c>
      <c r="AW13">
        <f>IFERROR(중분류_Rawdata!AY25/중분류_Rawdata!AX25,1)</f>
        <v>1.0171909481464072</v>
      </c>
      <c r="AX13">
        <f>IFERROR(중분류_Rawdata!AZ25/중분류_Rawdata!AY25,1)</f>
        <v>0.98165217112230818</v>
      </c>
      <c r="AY13">
        <f>IFERROR(중분류_Rawdata!BA25/중분류_Rawdata!AZ25,1)</f>
        <v>1.0083662173516459</v>
      </c>
      <c r="AZ13">
        <f>IFERROR(중분류_Rawdata!BB25/중분류_Rawdata!BA25,1)</f>
        <v>0.97600443533744874</v>
      </c>
      <c r="BA13">
        <f>IFERROR(중분류_Rawdata!BC25/중분류_Rawdata!BB25,1)</f>
        <v>0.97697247127372255</v>
      </c>
      <c r="BB13">
        <f>IFERROR(중분류_Rawdata!BD25/중분류_Rawdata!BC25,1)</f>
        <v>0.97896966667686736</v>
      </c>
      <c r="BC13">
        <f>IFERROR(중분류_Rawdata!BE25/중분류_Rawdata!BD25,1)</f>
        <v>1.0031884521072265</v>
      </c>
      <c r="BD13">
        <f>IFERROR(중분류_Rawdata!BF25/중분류_Rawdata!BE25,1)</f>
        <v>1.1895981054730778</v>
      </c>
      <c r="BE13">
        <f>IFERROR(중분류_Rawdata!BG25/중분류_Rawdata!BF25,1)</f>
        <v>0.91729483052672633</v>
      </c>
      <c r="BF13">
        <f>IFERROR(중분류_Rawdata!BH25/중분류_Rawdata!BG25,1)</f>
        <v>1.0163939627574348</v>
      </c>
      <c r="BG13">
        <f>IFERROR(중분류_Rawdata!BI25/중분류_Rawdata!BH25,1)</f>
        <v>1.0672027570361859</v>
      </c>
      <c r="BH13">
        <f>IFERROR(중분류_Rawdata!BJ25/중분류_Rawdata!BI25,1)</f>
        <v>1.4470474329573644</v>
      </c>
      <c r="BI13">
        <f>IFERROR(중분류_Rawdata!BK25/중분류_Rawdata!BJ25,1)</f>
        <v>0.87992844220292898</v>
      </c>
      <c r="BJ13">
        <f>IFERROR(중분류_Rawdata!BL25/중분류_Rawdata!BK25,1)</f>
        <v>0.76745959729385138</v>
      </c>
      <c r="BK13">
        <f>IFERROR(중분류_Rawdata!BM25/중분류_Rawdata!BL25,1)</f>
        <v>0.95996156597690974</v>
      </c>
      <c r="BL13">
        <f>IFERROR(중분류_Rawdata!BN25/중분류_Rawdata!BM25,1)</f>
        <v>0.83238697486459423</v>
      </c>
      <c r="BM13">
        <f>IFERROR(중분류_Rawdata!BO25/중분류_Rawdata!BN25,1)</f>
        <v>0.96940239521406713</v>
      </c>
      <c r="BN13">
        <f>IFERROR(중분류_Rawdata!BP25/중분류_Rawdata!BO25,1)</f>
        <v>0.99378238742411529</v>
      </c>
      <c r="BO13">
        <f>IFERROR(중분류_Rawdata!BQ25/중분류_Rawdata!BP25,1)</f>
        <v>1.1215801098097771</v>
      </c>
    </row>
    <row r="14" spans="1:67" x14ac:dyDescent="0.4">
      <c r="A14" s="6" t="s">
        <v>15</v>
      </c>
      <c r="B14" s="4" t="s">
        <v>62</v>
      </c>
      <c r="C14">
        <f>IFERROR(중분류_Rawdata!E26/중분류_Rawdata!D26,1)</f>
        <v>1.1222020318823822</v>
      </c>
      <c r="D14">
        <f>IFERROR(중분류_Rawdata!F26/중분류_Rawdata!E26,1)</f>
        <v>0.9101068462567008</v>
      </c>
      <c r="E14">
        <f>IFERROR(중분류_Rawdata!G26/중분류_Rawdata!F26,1)</f>
        <v>1.192705314660808</v>
      </c>
      <c r="F14">
        <f>IFERROR(중분류_Rawdata!H26/중분류_Rawdata!G26,1)</f>
        <v>1.2393544887442365</v>
      </c>
      <c r="G14">
        <f>IFERROR(중분류_Rawdata!I26/중분류_Rawdata!H26,1)</f>
        <v>0.98851077798446207</v>
      </c>
      <c r="H14">
        <f>IFERROR(중분류_Rawdata!J26/중분류_Rawdata!I26,1)</f>
        <v>0.95978156593609332</v>
      </c>
      <c r="I14">
        <f>IFERROR(중분류_Rawdata!K26/중분류_Rawdata!J26,1)</f>
        <v>0.954213439950792</v>
      </c>
      <c r="J14">
        <f>IFERROR(중분류_Rawdata!L26/중분류_Rawdata!K26,1)</f>
        <v>0.83223883002296439</v>
      </c>
      <c r="K14">
        <f>IFERROR(중분류_Rawdata!M26/중분류_Rawdata!L26,1)</f>
        <v>1.2373408529796195</v>
      </c>
      <c r="L14">
        <f>IFERROR(중분류_Rawdata!N26/중분류_Rawdata!M26,1)</f>
        <v>0.99828832441631865</v>
      </c>
      <c r="M14">
        <f>IFERROR(중분류_Rawdata!O26/중분류_Rawdata!N26,1)</f>
        <v>1.1212670481266658</v>
      </c>
      <c r="N14">
        <f>IFERROR(중분류_Rawdata!P26/중분류_Rawdata!O26,1)</f>
        <v>1.1008467245130678</v>
      </c>
      <c r="O14">
        <f>IFERROR(중분류_Rawdata!Q26/중분류_Rawdata!P26,1)</f>
        <v>0.96309790287501384</v>
      </c>
      <c r="P14">
        <f>IFERROR(중분류_Rawdata!R26/중분류_Rawdata!Q26,1)</f>
        <v>1.0653490806293424</v>
      </c>
      <c r="Q14">
        <f>IFERROR(중분류_Rawdata!S26/중분류_Rawdata!R26,1)</f>
        <v>1.1251334498924666</v>
      </c>
      <c r="R14">
        <f>IFERROR(중분류_Rawdata!T26/중분류_Rawdata!S26,1)</f>
        <v>1.0902315091757944</v>
      </c>
      <c r="S14">
        <f>IFERROR(중분류_Rawdata!U26/중분류_Rawdata!T26,1)</f>
        <v>1.059939455095863</v>
      </c>
      <c r="T14">
        <f>IFERROR(중분류_Rawdata!V26/중분류_Rawdata!U26,1)</f>
        <v>1.1257318640517897</v>
      </c>
      <c r="U14">
        <f>IFERROR(중분류_Rawdata!W26/중분류_Rawdata!V26,1)</f>
        <v>1.1860567139723566</v>
      </c>
      <c r="V14">
        <f>IFERROR(중분류_Rawdata!X26/중분류_Rawdata!W26,1)</f>
        <v>1.1211385229683237</v>
      </c>
      <c r="W14">
        <f>IFERROR(중분류_Rawdata!Y26/중분류_Rawdata!X26,1)</f>
        <v>0.93668787935400022</v>
      </c>
      <c r="X14">
        <f>IFERROR(중분류_Rawdata!Z26/중분류_Rawdata!Y26,1)</f>
        <v>0.96729909909145284</v>
      </c>
      <c r="Y14">
        <f>IFERROR(중분류_Rawdata!AA26/중분류_Rawdata!Z26,1)</f>
        <v>1.0919169097808681</v>
      </c>
      <c r="Z14">
        <f>IFERROR(중분류_Rawdata!AB26/중분류_Rawdata!AA26,1)</f>
        <v>0.93997115272582643</v>
      </c>
      <c r="AA14">
        <f>IFERROR(중분류_Rawdata!AC26/중분류_Rawdata!AB26,1)</f>
        <v>1.1786062336507721</v>
      </c>
      <c r="AB14">
        <f>IFERROR(중분류_Rawdata!AD26/중분류_Rawdata!AC26,1)</f>
        <v>1.0815073510745552</v>
      </c>
      <c r="AC14">
        <f>IFERROR(중분류_Rawdata!AE26/중분류_Rawdata!AD26,1)</f>
        <v>1.0360978750373051</v>
      </c>
      <c r="AD14">
        <f>IFERROR(중분류_Rawdata!AF26/중분류_Rawdata!AE26,1)</f>
        <v>0.94730437371756282</v>
      </c>
      <c r="AE14">
        <f>IFERROR(중분류_Rawdata!AG26/중분류_Rawdata!AF26,1)</f>
        <v>1.0719713016740691</v>
      </c>
      <c r="AF14">
        <f>IFERROR(중분류_Rawdata!AH26/중분류_Rawdata!AG26,1)</f>
        <v>0.98231484609549802</v>
      </c>
      <c r="AG14">
        <f>IFERROR(중분류_Rawdata!AI26/중분류_Rawdata!AH26,1)</f>
        <v>0.83566123867275333</v>
      </c>
      <c r="AH14">
        <f>IFERROR(중분류_Rawdata!AJ26/중분류_Rawdata!AI26,1)</f>
        <v>0.93860967134509743</v>
      </c>
      <c r="AI14">
        <f>IFERROR(중분류_Rawdata!AK26/중분류_Rawdata!AJ26,1)</f>
        <v>1.0304691151712697</v>
      </c>
      <c r="AJ14">
        <f>IFERROR(중분류_Rawdata!AL26/중분류_Rawdata!AK26,1)</f>
        <v>1.006354392880511</v>
      </c>
      <c r="AK14">
        <f>IFERROR(중분류_Rawdata!AM26/중분류_Rawdata!AL26,1)</f>
        <v>1.0424886917535561</v>
      </c>
      <c r="AL14">
        <f>IFERROR(중분류_Rawdata!AN26/중분류_Rawdata!AM26,1)</f>
        <v>0.97017455252263218</v>
      </c>
      <c r="AM14">
        <f>IFERROR(중분류_Rawdata!AO26/중분류_Rawdata!AN26,1)</f>
        <v>0.99604825701316069</v>
      </c>
      <c r="AN14">
        <f>IFERROR(중분류_Rawdata!AP26/중분류_Rawdata!AO26,1)</f>
        <v>1.0412025800116409</v>
      </c>
      <c r="AO14">
        <f>IFERROR(중분류_Rawdata!AQ26/중분류_Rawdata!AP26,1)</f>
        <v>1.0241402782901017</v>
      </c>
      <c r="AP14">
        <f>IFERROR(중분류_Rawdata!AR26/중분류_Rawdata!AQ26,1)</f>
        <v>0.94325519566597715</v>
      </c>
      <c r="AQ14">
        <f>IFERROR(중분류_Rawdata!AS26/중분류_Rawdata!AR26,1)</f>
        <v>1.1350672561006814</v>
      </c>
      <c r="AR14">
        <f>IFERROR(중분류_Rawdata!AT26/중분류_Rawdata!AS26,1)</f>
        <v>1.0871505861136159</v>
      </c>
      <c r="AS14">
        <f>IFERROR(중분류_Rawdata!AU26/중분류_Rawdata!AT26,1)</f>
        <v>1.0229623981956748</v>
      </c>
      <c r="AT14">
        <f>IFERROR(중분류_Rawdata!AV26/중분류_Rawdata!AU26,1)</f>
        <v>1.0225311616100192</v>
      </c>
      <c r="AU14">
        <f>IFERROR(중분류_Rawdata!AW26/중분류_Rawdata!AV26,1)</f>
        <v>1.0377654837568469</v>
      </c>
      <c r="AV14">
        <f>IFERROR(중분류_Rawdata!AX26/중분류_Rawdata!AW26,1)</f>
        <v>1.0492484020277717</v>
      </c>
      <c r="AW14">
        <f>IFERROR(중분류_Rawdata!AY26/중분류_Rawdata!AX26,1)</f>
        <v>1.095604607977414</v>
      </c>
      <c r="AX14">
        <f>IFERROR(중분류_Rawdata!AZ26/중분류_Rawdata!AY26,1)</f>
        <v>1.0275099893395916</v>
      </c>
      <c r="AY14">
        <f>IFERROR(중분류_Rawdata!BA26/중분류_Rawdata!AZ26,1)</f>
        <v>0.9995670866423837</v>
      </c>
      <c r="AZ14">
        <f>IFERROR(중분류_Rawdata!BB26/중분류_Rawdata!BA26,1)</f>
        <v>0.88743609273336421</v>
      </c>
      <c r="BA14">
        <f>IFERROR(중분류_Rawdata!BC26/중분류_Rawdata!BB26,1)</f>
        <v>1.052146938134412</v>
      </c>
      <c r="BB14">
        <f>IFERROR(중분류_Rawdata!BD26/중분류_Rawdata!BC26,1)</f>
        <v>1.0333437299232517</v>
      </c>
      <c r="BC14">
        <f>IFERROR(중분류_Rawdata!BE26/중분류_Rawdata!BD26,1)</f>
        <v>1.0621854289259631</v>
      </c>
      <c r="BD14">
        <f>IFERROR(중분류_Rawdata!BF26/중분류_Rawdata!BE26,1)</f>
        <v>1.1357908951366897</v>
      </c>
      <c r="BE14">
        <f>IFERROR(중분류_Rawdata!BG26/중분류_Rawdata!BF26,1)</f>
        <v>0.9652365250638304</v>
      </c>
      <c r="BF14">
        <f>IFERROR(중분류_Rawdata!BH26/중분류_Rawdata!BG26,1)</f>
        <v>0.96927040756420735</v>
      </c>
      <c r="BG14">
        <f>IFERROR(중분류_Rawdata!BI26/중분류_Rawdata!BH26,1)</f>
        <v>1.2139477690060752</v>
      </c>
      <c r="BH14">
        <f>IFERROR(중분류_Rawdata!BJ26/중분류_Rawdata!BI26,1)</f>
        <v>1.0669937716992643</v>
      </c>
      <c r="BI14">
        <f>IFERROR(중분류_Rawdata!BK26/중분류_Rawdata!BJ26,1)</f>
        <v>0.96491125910083886</v>
      </c>
      <c r="BJ14">
        <f>IFERROR(중분류_Rawdata!BL26/중분류_Rawdata!BK26,1)</f>
        <v>0.96682643863348339</v>
      </c>
      <c r="BK14">
        <f>IFERROR(중분류_Rawdata!BM26/중분류_Rawdata!BL26,1)</f>
        <v>1.0572424581174658</v>
      </c>
      <c r="BL14">
        <f>IFERROR(중분류_Rawdata!BN26/중분류_Rawdata!BM26,1)</f>
        <v>0.87857459781301883</v>
      </c>
      <c r="BM14">
        <f>IFERROR(중분류_Rawdata!BO26/중분류_Rawdata!BN26,1)</f>
        <v>0.95361391562167819</v>
      </c>
      <c r="BN14">
        <f>IFERROR(중분류_Rawdata!BP26/중분류_Rawdata!BO26,1)</f>
        <v>0.99944265900767681</v>
      </c>
      <c r="BO14">
        <f>IFERROR(중분류_Rawdata!BQ26/중분류_Rawdata!BP26,1)</f>
        <v>1.0946576530764858</v>
      </c>
    </row>
    <row r="15" spans="1:67" x14ac:dyDescent="0.4">
      <c r="A15" s="15" t="s">
        <v>16</v>
      </c>
      <c r="B15" s="16" t="s">
        <v>63</v>
      </c>
      <c r="C15" s="17">
        <f>IFERROR(중분류_Rawdata!E27/중분류_Rawdata!D27,1)</f>
        <v>2.3150328901973412</v>
      </c>
      <c r="D15" s="17">
        <f>IFERROR(중분류_Rawdata!F27/중분류_Rawdata!E27,1)</f>
        <v>0.7784765481406416</v>
      </c>
      <c r="E15" s="17">
        <f>IFERROR(중분류_Rawdata!G27/중분류_Rawdata!F27,1)</f>
        <v>1.2764306498545102</v>
      </c>
      <c r="F15" s="17">
        <f>IFERROR(중분류_Rawdata!H27/중분류_Rawdata!G27,1)</f>
        <v>1.2420412733962567</v>
      </c>
      <c r="G15" s="17">
        <f>IFERROR(중분류_Rawdata!I27/중분류_Rawdata!H27,1)</f>
        <v>0.97435278207109743</v>
      </c>
      <c r="H15" s="17">
        <f>IFERROR(중분류_Rawdata!J27/중분류_Rawdata!I27,1)</f>
        <v>1.0789504122672218</v>
      </c>
      <c r="I15" s="17">
        <f>IFERROR(중분류_Rawdata!K27/중분류_Rawdata!J27,1)</f>
        <v>0.95853561419360755</v>
      </c>
      <c r="J15" s="17">
        <f>IFERROR(중분류_Rawdata!L27/중분류_Rawdata!K27,1)</f>
        <v>0.64885483986930714</v>
      </c>
      <c r="K15" s="17">
        <f>IFERROR(중분류_Rawdata!M27/중분류_Rawdata!L27,1)</f>
        <v>1.2411755290989006</v>
      </c>
      <c r="L15" s="17">
        <f>IFERROR(중분류_Rawdata!N27/중분류_Rawdata!M27,1)</f>
        <v>0.9178570011506566</v>
      </c>
      <c r="M15" s="17">
        <f>IFERROR(중분류_Rawdata!O27/중분류_Rawdata!N27,1)</f>
        <v>1.0671234505192855</v>
      </c>
      <c r="N15" s="17">
        <f>IFERROR(중분류_Rawdata!P27/중분류_Rawdata!O27,1)</f>
        <v>0.9870976889266978</v>
      </c>
      <c r="O15" s="17">
        <f>IFERROR(중분류_Rawdata!Q27/중분류_Rawdata!P27,1)</f>
        <v>0.99346452168916977</v>
      </c>
      <c r="P15" s="17">
        <f>IFERROR(중분류_Rawdata!R27/중분류_Rawdata!Q27,1)</f>
        <v>0.95065629808635665</v>
      </c>
      <c r="Q15" s="17">
        <f>IFERROR(중분류_Rawdata!S27/중분류_Rawdata!R27,1)</f>
        <v>0.9377206609235984</v>
      </c>
      <c r="R15" s="17">
        <f>IFERROR(중분류_Rawdata!T27/중분류_Rawdata!S27,1)</f>
        <v>1.2509151992585728</v>
      </c>
      <c r="S15" s="17">
        <f>IFERROR(중분류_Rawdata!U27/중분류_Rawdata!T27,1)</f>
        <v>1.0943979847933396</v>
      </c>
      <c r="T15" s="17">
        <f>IFERROR(중분류_Rawdata!V27/중분류_Rawdata!U27,1)</f>
        <v>1.4474325559354162</v>
      </c>
      <c r="U15" s="17">
        <f>IFERROR(중분류_Rawdata!W27/중분류_Rawdata!V27,1)</f>
        <v>1.1042877354629748</v>
      </c>
      <c r="V15" s="17">
        <f>IFERROR(중분류_Rawdata!X27/중분류_Rawdata!W27,1)</f>
        <v>1.0539590436458355</v>
      </c>
      <c r="W15" s="17">
        <f>IFERROR(중분류_Rawdata!Y27/중분류_Rawdata!X27,1)</f>
        <v>1.1232042034197995</v>
      </c>
      <c r="X15" s="17">
        <f>IFERROR(중분류_Rawdata!Z27/중분류_Rawdata!Y27,1)</f>
        <v>1.0527050173745431</v>
      </c>
      <c r="Y15" s="17">
        <f>IFERROR(중분류_Rawdata!AA27/중분류_Rawdata!Z27,1)</f>
        <v>1.3937753836219349</v>
      </c>
      <c r="Z15" s="17">
        <f>IFERROR(중분류_Rawdata!AB27/중분류_Rawdata!AA27,1)</f>
        <v>1.0970592359134108</v>
      </c>
      <c r="AA15" s="17">
        <f>IFERROR(중분류_Rawdata!AC27/중분류_Rawdata!AB27,1)</f>
        <v>1.2833177280569903</v>
      </c>
      <c r="AB15" s="17">
        <f>IFERROR(중분류_Rawdata!AD27/중분류_Rawdata!AC27,1)</f>
        <v>0.98961880781912681</v>
      </c>
      <c r="AC15" s="17">
        <f>IFERROR(중분류_Rawdata!AE27/중분류_Rawdata!AD27,1)</f>
        <v>1.3671335249771386</v>
      </c>
      <c r="AD15" s="17">
        <f>IFERROR(중분류_Rawdata!AF27/중분류_Rawdata!AE27,1)</f>
        <v>0.88235341182946769</v>
      </c>
      <c r="AE15" s="17">
        <f>IFERROR(중분류_Rawdata!AG27/중분류_Rawdata!AF27,1)</f>
        <v>1.2521731245296022</v>
      </c>
      <c r="AF15" s="17">
        <f>IFERROR(중분류_Rawdata!AH27/중분류_Rawdata!AG27,1)</f>
        <v>0.87500036208689502</v>
      </c>
      <c r="AG15" s="17">
        <f>IFERROR(중분류_Rawdata!AI27/중분류_Rawdata!AH27,1)</f>
        <v>0.88359759458533416</v>
      </c>
      <c r="AH15" s="17">
        <f>IFERROR(중분류_Rawdata!AJ27/중분류_Rawdata!AI27,1)</f>
        <v>0.89520881805272989</v>
      </c>
      <c r="AI15" s="17">
        <f>IFERROR(중분류_Rawdata!AK27/중분류_Rawdata!AJ27,1)</f>
        <v>1.2943154590635626</v>
      </c>
      <c r="AJ15" s="17">
        <f>IFERROR(중분류_Rawdata!AL27/중분류_Rawdata!AK27,1)</f>
        <v>1.1188625770184035</v>
      </c>
      <c r="AK15" s="17">
        <f>IFERROR(중분류_Rawdata!AM27/중분류_Rawdata!AL27,1)</f>
        <v>1.3187070111554247</v>
      </c>
      <c r="AL15" s="17">
        <f>IFERROR(중분류_Rawdata!AN27/중분류_Rawdata!AM27,1)</f>
        <v>0.97197889980035024</v>
      </c>
      <c r="AM15" s="17">
        <f>IFERROR(중분류_Rawdata!AO27/중분류_Rawdata!AN27,1)</f>
        <v>1.1495491676681404</v>
      </c>
      <c r="AN15" s="17">
        <f>IFERROR(중분류_Rawdata!AP27/중분류_Rawdata!AO27,1)</f>
        <v>1.2601884905068257</v>
      </c>
      <c r="AO15" s="17">
        <f>IFERROR(중분류_Rawdata!AQ27/중분류_Rawdata!AP27,1)</f>
        <v>0.95149219176195288</v>
      </c>
      <c r="AP15" s="17">
        <f>IFERROR(중분류_Rawdata!AR27/중분류_Rawdata!AQ27,1)</f>
        <v>0.93573504261620388</v>
      </c>
      <c r="AQ15" s="17">
        <f>IFERROR(중분류_Rawdata!AS27/중분류_Rawdata!AR27,1)</f>
        <v>1.2329122974469511</v>
      </c>
      <c r="AR15" s="17">
        <f>IFERROR(중분류_Rawdata!AT27/중분류_Rawdata!AS27,1)</f>
        <v>1.0631851031580499</v>
      </c>
      <c r="AS15" s="17">
        <f>IFERROR(중분류_Rawdata!AU27/중분류_Rawdata!AT27,1)</f>
        <v>1.1298963778939508</v>
      </c>
      <c r="AT15" s="17">
        <f>IFERROR(중분류_Rawdata!AV27/중분류_Rawdata!AU27,1)</f>
        <v>0.96679105072166549</v>
      </c>
      <c r="AU15" s="17">
        <f>IFERROR(중분류_Rawdata!AW27/중분류_Rawdata!AV27,1)</f>
        <v>1.1308695888380678</v>
      </c>
      <c r="AV15" s="17">
        <f>IFERROR(중분류_Rawdata!AX27/중분류_Rawdata!AW27,1)</f>
        <v>1.0623690018854552</v>
      </c>
      <c r="AW15" s="17">
        <f>IFERROR(중분류_Rawdata!AY27/중분류_Rawdata!AX27,1)</f>
        <v>1.0339024301018014</v>
      </c>
      <c r="AX15" s="17">
        <f>IFERROR(중분류_Rawdata!AZ27/중분류_Rawdata!AY27,1)</f>
        <v>0.96143100822508343</v>
      </c>
      <c r="AY15" s="17">
        <f>IFERROR(중분류_Rawdata!BA27/중분류_Rawdata!AZ27,1)</f>
        <v>1.0020537827324818</v>
      </c>
      <c r="AZ15" s="17">
        <f>IFERROR(중분류_Rawdata!BB27/중분류_Rawdata!BA27,1)</f>
        <v>0.79105931010279484</v>
      </c>
      <c r="BA15" s="17">
        <f>IFERROR(중분류_Rawdata!BC27/중분류_Rawdata!BB27,1)</f>
        <v>1.1039986484386435</v>
      </c>
      <c r="BB15" s="17">
        <f>IFERROR(중분류_Rawdata!BD27/중분류_Rawdata!BC27,1)</f>
        <v>0.84330580346712769</v>
      </c>
      <c r="BC15" s="17">
        <f>IFERROR(중분류_Rawdata!BE27/중분류_Rawdata!BD27,1)</f>
        <v>1.1124346952189594</v>
      </c>
      <c r="BD15" s="17">
        <f>IFERROR(중분류_Rawdata!BF27/중분류_Rawdata!BE27,1)</f>
        <v>1.0082838306225916</v>
      </c>
      <c r="BE15" s="17">
        <f>IFERROR(중분류_Rawdata!BG27/중분류_Rawdata!BF27,1)</f>
        <v>1.2123053192264517</v>
      </c>
      <c r="BF15" s="17">
        <f>IFERROR(중분류_Rawdata!BH27/중분류_Rawdata!BG27,1)</f>
        <v>1.0733712192406213</v>
      </c>
      <c r="BG15" s="17">
        <f>IFERROR(중분류_Rawdata!BI27/중분류_Rawdata!BH27,1)</f>
        <v>1.2289497036506256</v>
      </c>
      <c r="BH15" s="17">
        <f>IFERROR(중분류_Rawdata!BJ27/중분류_Rawdata!BI27,1)</f>
        <v>0.98328852897815966</v>
      </c>
      <c r="BI15" s="17">
        <f>IFERROR(중분류_Rawdata!BK27/중분류_Rawdata!BJ27,1)</f>
        <v>1.2468970142929567</v>
      </c>
      <c r="BJ15" s="17">
        <f>IFERROR(중분류_Rawdata!BL27/중분류_Rawdata!BK27,1)</f>
        <v>0.86730439635401868</v>
      </c>
      <c r="BK15" s="17">
        <f>IFERROR(중분류_Rawdata!BM27/중분류_Rawdata!BL27,1)</f>
        <v>1.2050772654185871</v>
      </c>
      <c r="BL15" s="17">
        <f>IFERROR(중분류_Rawdata!BN27/중분류_Rawdata!BM27,1)</f>
        <v>0.99050485394180687</v>
      </c>
      <c r="BM15" s="17">
        <f>IFERROR(중분류_Rawdata!BO27/중분류_Rawdata!BN27,1)</f>
        <v>0.9994779643774574</v>
      </c>
      <c r="BN15" s="17">
        <f>IFERROR(중분류_Rawdata!BP27/중분류_Rawdata!BO27,1)</f>
        <v>1.0574691302410411</v>
      </c>
      <c r="BO15" s="17">
        <f>IFERROR(중분류_Rawdata!BQ27/중분류_Rawdata!BP27,1)</f>
        <v>0.97706856145800525</v>
      </c>
    </row>
    <row r="16" spans="1:67" x14ac:dyDescent="0.4">
      <c r="A16" s="6" t="s">
        <v>17</v>
      </c>
      <c r="B16" s="4" t="s">
        <v>64</v>
      </c>
      <c r="C16">
        <f>IFERROR(중분류_Rawdata!E28/중분류_Rawdata!D28,1)</f>
        <v>1.0073551946061905</v>
      </c>
      <c r="D16">
        <f>IFERROR(중분류_Rawdata!F28/중분류_Rawdata!E28,1)</f>
        <v>0.65600851840584118</v>
      </c>
      <c r="E16">
        <f>IFERROR(중분류_Rawdata!G28/중분류_Rawdata!F28,1)</f>
        <v>0.9500069563604322</v>
      </c>
      <c r="F16">
        <f>IFERROR(중분류_Rawdata!H28/중분류_Rawdata!G28,1)</f>
        <v>0.94566756163046128</v>
      </c>
      <c r="G16">
        <f>IFERROR(중분류_Rawdata!I28/중분류_Rawdata!H28,1)</f>
        <v>0.76631220317984716</v>
      </c>
      <c r="H16">
        <f>IFERROR(중분류_Rawdata!J28/중분류_Rawdata!I28,1)</f>
        <v>0.92132030986864277</v>
      </c>
      <c r="I16">
        <f>IFERROR(중분류_Rawdata!K28/중분류_Rawdata!J28,1)</f>
        <v>0.90780141843971618</v>
      </c>
      <c r="J16">
        <f>IFERROR(중분류_Rawdata!L28/중분류_Rawdata!K28,1)</f>
        <v>0.86678479381443307</v>
      </c>
      <c r="K16">
        <f>IFERROR(중분류_Rawdata!M28/중분류_Rawdata!L28,1)</f>
        <v>1.3582977141795205</v>
      </c>
      <c r="L16">
        <f>IFERROR(중분류_Rawdata!N28/중분류_Rawdata!M28,1)</f>
        <v>1.0008893145437132</v>
      </c>
      <c r="M16">
        <f>IFERROR(중분류_Rawdata!O28/중분류_Rawdata!N28,1)</f>
        <v>0.75271683411933565</v>
      </c>
      <c r="N16">
        <f>IFERROR(중분류_Rawdata!P28/중분류_Rawdata!O28,1)</f>
        <v>0.98056841914101511</v>
      </c>
      <c r="O16">
        <f>IFERROR(중분류_Rawdata!Q28/중분류_Rawdata!P28,1)</f>
        <v>0.87711825168997137</v>
      </c>
      <c r="P16">
        <f>IFERROR(중분류_Rawdata!R28/중분류_Rawdata!Q28,1)</f>
        <v>0.954391891891892</v>
      </c>
      <c r="Q16">
        <f>IFERROR(중분류_Rawdata!S28/중분류_Rawdata!R28,1)</f>
        <v>1.0667035398230089</v>
      </c>
      <c r="R16">
        <f>IFERROR(중분류_Rawdata!T28/중분류_Rawdata!S28,1)</f>
        <v>1.984029866224204</v>
      </c>
      <c r="S16">
        <f>IFERROR(중분류_Rawdata!U28/중분류_Rawdata!T28,1)</f>
        <v>0.95531047459753304</v>
      </c>
      <c r="T16">
        <f>IFERROR(중분류_Rawdata!V28/중분류_Rawdata!U28,1)</f>
        <v>1.0942167751819227</v>
      </c>
      <c r="U16">
        <f>IFERROR(중분류_Rawdata!W28/중분류_Rawdata!V28,1)</f>
        <v>1.4220211010550525</v>
      </c>
      <c r="V16">
        <f>IFERROR(중분류_Rawdata!X28/중분류_Rawdata!W28,1)</f>
        <v>0.62396708745033225</v>
      </c>
      <c r="W16">
        <f>IFERROR(중분류_Rawdata!Y28/중분류_Rawdata!X28,1)</f>
        <v>0.80484643561566638</v>
      </c>
      <c r="X16">
        <f>IFERROR(중분류_Rawdata!Z28/중분류_Rawdata!Y28,1)</f>
        <v>1.0680576950007001</v>
      </c>
      <c r="Y16">
        <f>IFERROR(중분류_Rawdata!AA28/중분류_Rawdata!Z28,1)</f>
        <v>0.98885538219483426</v>
      </c>
      <c r="Z16">
        <f>IFERROR(중분류_Rawdata!AB28/중분류_Rawdata!AA28,1)</f>
        <v>1.092415804826306</v>
      </c>
      <c r="AA16">
        <f>IFERROR(중분류_Rawdata!AC28/중분류_Rawdata!AB28,1)</f>
        <v>1.5193591455273698</v>
      </c>
      <c r="AB16">
        <f>IFERROR(중분류_Rawdata!AD28/중분류_Rawdata!AC28,1)</f>
        <v>0.893433455823614</v>
      </c>
      <c r="AC16">
        <f>IFERROR(중분류_Rawdata!AE28/중분류_Rawdata!AD28,1)</f>
        <v>0.98891273247496414</v>
      </c>
      <c r="AD16">
        <f>IFERROR(중분류_Rawdata!AF28/중분류_Rawdata!AE28,1)</f>
        <v>0.83340867992766732</v>
      </c>
      <c r="AE16">
        <f>IFERROR(중분류_Rawdata!AG28/중분류_Rawdata!AF28,1)</f>
        <v>0.88049905071874146</v>
      </c>
      <c r="AF16">
        <f>IFERROR(중분류_Rawdata!AH28/중분류_Rawdata!AG28,1)</f>
        <v>0.70792262198127154</v>
      </c>
      <c r="AG16">
        <f>IFERROR(중분류_Rawdata!AI28/중분류_Rawdata!AH28,1)</f>
        <v>0.53911757027238716</v>
      </c>
      <c r="AH16">
        <f>IFERROR(중분류_Rawdata!AJ28/중분류_Rawdata!AI28,1)</f>
        <v>1.1173527037933817</v>
      </c>
      <c r="AI16">
        <f>IFERROR(중분류_Rawdata!AK28/중분류_Rawdata!AJ28,1)</f>
        <v>1.5307714533371857</v>
      </c>
      <c r="AJ16">
        <f>IFERROR(중분류_Rawdata!AL28/중분류_Rawdata!AK28,1)</f>
        <v>0.99273310683276716</v>
      </c>
      <c r="AK16">
        <f>IFERROR(중분류_Rawdata!AM28/중분류_Rawdata!AL28,1)</f>
        <v>0.79874512786386531</v>
      </c>
      <c r="AL16">
        <f>IFERROR(중분류_Rawdata!AN28/중분류_Rawdata!AM28,1)</f>
        <v>1.1742442275648655</v>
      </c>
      <c r="AM16">
        <f>IFERROR(중분류_Rawdata!AO28/중분류_Rawdata!AN28,1)</f>
        <v>0.90523008311372399</v>
      </c>
      <c r="AN16">
        <f>IFERROR(중분류_Rawdata!AP28/중분류_Rawdata!AO28,1)</f>
        <v>0.9047139178143544</v>
      </c>
      <c r="AO16">
        <f>IFERROR(중분류_Rawdata!AQ28/중분류_Rawdata!AP28,1)</f>
        <v>1.0238861386138616</v>
      </c>
      <c r="AP16">
        <f>IFERROR(중분류_Rawdata!AR28/중분류_Rawdata!AQ28,1)</f>
        <v>1.1523026713405051</v>
      </c>
      <c r="AQ16">
        <f>IFERROR(중분류_Rawdata!AS28/중분류_Rawdata!AR28,1)</f>
        <v>0.89898248190496177</v>
      </c>
      <c r="AR16">
        <f>IFERROR(중분류_Rawdata!AT28/중분류_Rawdata!AS28,1)</f>
        <v>1.2694282380396733</v>
      </c>
      <c r="AS16">
        <f>IFERROR(중분류_Rawdata!AU28/중분류_Rawdata!AT28,1)</f>
        <v>1.0068020957808621</v>
      </c>
      <c r="AT16">
        <f>IFERROR(중분류_Rawdata!AV28/중분류_Rawdata!AU28,1)</f>
        <v>1.1786725098146627</v>
      </c>
      <c r="AU16">
        <f>IFERROR(중분류_Rawdata!AW28/중분류_Rawdata!AV28,1)</f>
        <v>0.75298218435321451</v>
      </c>
      <c r="AV16">
        <f>IFERROR(중분류_Rawdata!AX28/중분류_Rawdata!AW28,1)</f>
        <v>1.2542948256352229</v>
      </c>
      <c r="AW16">
        <f>IFERROR(중분류_Rawdata!AY28/중분류_Rawdata!AX28,1)</f>
        <v>1.0123841548429426</v>
      </c>
      <c r="AX16">
        <f>IFERROR(중분류_Rawdata!AZ28/중분류_Rawdata!AY28,1)</f>
        <v>1.0184705119896307</v>
      </c>
      <c r="AY16">
        <f>IFERROR(중분류_Rawdata!BA28/중분류_Rawdata!AZ28,1)</f>
        <v>1.0624403436207446</v>
      </c>
      <c r="AZ16">
        <f>IFERROR(중분류_Rawdata!BB28/중분류_Rawdata!BA28,1)</f>
        <v>0.88530358613461113</v>
      </c>
      <c r="BA16">
        <f>IFERROR(중분류_Rawdata!BC28/중분류_Rawdata!BB28,1)</f>
        <v>1.0145454545454546</v>
      </c>
      <c r="BB16">
        <f>IFERROR(중분류_Rawdata!BD28/중분류_Rawdata!BC28,1)</f>
        <v>1.0821038592981578</v>
      </c>
      <c r="BC16">
        <f>IFERROR(중분류_Rawdata!BE28/중분류_Rawdata!BD28,1)</f>
        <v>1.0429055615467571</v>
      </c>
      <c r="BD16">
        <f>IFERROR(중분류_Rawdata!BF28/중분류_Rawdata!BE28,1)</f>
        <v>1.1067287096535934</v>
      </c>
      <c r="BE16">
        <f>IFERROR(중분류_Rawdata!BG28/중분류_Rawdata!BF28,1)</f>
        <v>1.0993059263214096</v>
      </c>
      <c r="BF16">
        <f>IFERROR(중분류_Rawdata!BH28/중분류_Rawdata!BG28,1)</f>
        <v>1.1075157843613406</v>
      </c>
      <c r="BG16">
        <f>IFERROR(중분류_Rawdata!BI28/중분류_Rawdata!BH28,1)</f>
        <v>1.1654881324343584</v>
      </c>
      <c r="BH16">
        <f>IFERROR(중분류_Rawdata!BJ28/중분류_Rawdata!BI28,1)</f>
        <v>1.0039036779230552</v>
      </c>
      <c r="BI16">
        <f>IFERROR(중분류_Rawdata!BK28/중분류_Rawdata!BJ28,1)</f>
        <v>1.0466151323494965</v>
      </c>
      <c r="BJ16">
        <f>IFERROR(중분류_Rawdata!BL28/중분류_Rawdata!BK28,1)</f>
        <v>1.0511638316920322</v>
      </c>
      <c r="BK16">
        <f>IFERROR(중분류_Rawdata!BM28/중분류_Rawdata!BL28,1)</f>
        <v>1.0918536813865347</v>
      </c>
      <c r="BL16">
        <f>IFERROR(중분류_Rawdata!BN28/중분류_Rawdata!BM28,1)</f>
        <v>0.91450858034321381</v>
      </c>
      <c r="BM16">
        <f>IFERROR(중분류_Rawdata!BO28/중분류_Rawdata!BN28,1)</f>
        <v>0.87738826339133402</v>
      </c>
      <c r="BN16">
        <f>IFERROR(중분류_Rawdata!BP28/중분류_Rawdata!BO28,1)</f>
        <v>0.92913041364895743</v>
      </c>
      <c r="BO16">
        <f>IFERROR(중분류_Rawdata!BQ28/중분류_Rawdata!BP28,1)</f>
        <v>0.97938791524980384</v>
      </c>
    </row>
    <row r="17" spans="1:68" x14ac:dyDescent="0.4">
      <c r="A17" s="6" t="s">
        <v>18</v>
      </c>
      <c r="B17" s="4" t="s">
        <v>65</v>
      </c>
      <c r="C17">
        <f>IFERROR(중분류_Rawdata!E29/중분류_Rawdata!D29,1)</f>
        <v>1.0630558375634516</v>
      </c>
      <c r="D17">
        <f>IFERROR(중분류_Rawdata!F29/중분류_Rawdata!E29,1)</f>
        <v>0.88265798244692539</v>
      </c>
      <c r="E17">
        <f>IFERROR(중분류_Rawdata!G29/중분류_Rawdata!F29,1)</f>
        <v>1.126222626157708</v>
      </c>
      <c r="F17">
        <f>IFERROR(중분류_Rawdata!H29/중분류_Rawdata!G29,1)</f>
        <v>1.0615044672879239</v>
      </c>
      <c r="G17">
        <f>IFERROR(중분류_Rawdata!I29/중분류_Rawdata!H29,1)</f>
        <v>0.86650617239257133</v>
      </c>
      <c r="H17">
        <f>IFERROR(중분류_Rawdata!J29/중분류_Rawdata!I29,1)</f>
        <v>0.98183660253598215</v>
      </c>
      <c r="I17">
        <f>IFERROR(중분류_Rawdata!K29/중분류_Rawdata!J29,1)</f>
        <v>0.93520419561077839</v>
      </c>
      <c r="J17">
        <f>IFERROR(중분류_Rawdata!L29/중분류_Rawdata!K29,1)</f>
        <v>0.88276913276913271</v>
      </c>
      <c r="K17">
        <f>IFERROR(중분류_Rawdata!M29/중분류_Rawdata!L29,1)</f>
        <v>1.2857382161173105</v>
      </c>
      <c r="L17">
        <f>IFERROR(중분류_Rawdata!N29/중분류_Rawdata!M29,1)</f>
        <v>1.0676782152914883</v>
      </c>
      <c r="M17">
        <f>IFERROR(중분류_Rawdata!O29/중분류_Rawdata!N29,1)</f>
        <v>0.89645559164210487</v>
      </c>
      <c r="N17">
        <f>IFERROR(중분류_Rawdata!P29/중분류_Rawdata!O29,1)</f>
        <v>1.093421149073851</v>
      </c>
      <c r="O17">
        <f>IFERROR(중분류_Rawdata!Q29/중분류_Rawdata!P29,1)</f>
        <v>0.89931529806080923</v>
      </c>
      <c r="P17">
        <f>IFERROR(중분류_Rawdata!R29/중분류_Rawdata!Q29,1)</f>
        <v>1.1056106313424412</v>
      </c>
      <c r="Q17">
        <f>IFERROR(중분류_Rawdata!S29/중분류_Rawdata!R29,1)</f>
        <v>1.2857872078128461</v>
      </c>
      <c r="R17">
        <f>IFERROR(중분류_Rawdata!T29/중분류_Rawdata!S29,1)</f>
        <v>1.3037407679285704</v>
      </c>
      <c r="S17">
        <f>IFERROR(중분류_Rawdata!U29/중분류_Rawdata!T29,1)</f>
        <v>1.0127950267736079</v>
      </c>
      <c r="T17">
        <f>IFERROR(중분류_Rawdata!V29/중분류_Rawdata!U29,1)</f>
        <v>1.2275540478446101</v>
      </c>
      <c r="U17">
        <f>IFERROR(중분류_Rawdata!W29/중분류_Rawdata!V29,1)</f>
        <v>1.5594106991016303</v>
      </c>
      <c r="V17">
        <f>IFERROR(중분류_Rawdata!X29/중분류_Rawdata!W29,1)</f>
        <v>0.89520927916928439</v>
      </c>
      <c r="W17">
        <f>IFERROR(중분류_Rawdata!Y29/중분류_Rawdata!X29,1)</f>
        <v>0.87298523915612591</v>
      </c>
      <c r="X17">
        <f>IFERROR(중분류_Rawdata!Z29/중분류_Rawdata!Y29,1)</f>
        <v>1.0250915764805812</v>
      </c>
      <c r="Y17">
        <f>IFERROR(중분류_Rawdata!AA29/중분류_Rawdata!Z29,1)</f>
        <v>1.1301071649200425</v>
      </c>
      <c r="Z17">
        <f>IFERROR(중분류_Rawdata!AB29/중분류_Rawdata!AA29,1)</f>
        <v>0.89800754820738249</v>
      </c>
      <c r="AA17">
        <f>IFERROR(중분류_Rawdata!AC29/중분류_Rawdata!AB29,1)</f>
        <v>1.2501931881141923</v>
      </c>
      <c r="AB17">
        <f>IFERROR(중분류_Rawdata!AD29/중분류_Rawdata!AC29,1)</f>
        <v>1.1217290652889502</v>
      </c>
      <c r="AC17">
        <f>IFERROR(중분류_Rawdata!AE29/중분류_Rawdata!AD29,1)</f>
        <v>0.96209588962763881</v>
      </c>
      <c r="AD17">
        <f>IFERROR(중분류_Rawdata!AF29/중분류_Rawdata!AE29,1)</f>
        <v>0.95475630215776797</v>
      </c>
      <c r="AE17">
        <f>IFERROR(중분류_Rawdata!AG29/중분류_Rawdata!AF29,1)</f>
        <v>0.98096795735192588</v>
      </c>
      <c r="AF17">
        <f>IFERROR(중분류_Rawdata!AH29/중분류_Rawdata!AG29,1)</f>
        <v>0.82921327571983217</v>
      </c>
      <c r="AG17">
        <f>IFERROR(중분류_Rawdata!AI29/중분류_Rawdata!AH29,1)</f>
        <v>0.78277385466309524</v>
      </c>
      <c r="AH17">
        <f>IFERROR(중분류_Rawdata!AJ29/중분류_Rawdata!AI29,1)</f>
        <v>1.1856202005119454</v>
      </c>
      <c r="AI17">
        <f>IFERROR(중분류_Rawdata!AK29/중분류_Rawdata!AJ29,1)</f>
        <v>1.2294662903449491</v>
      </c>
      <c r="AJ17">
        <f>IFERROR(중분류_Rawdata!AL29/중분류_Rawdata!AK29,1)</f>
        <v>1.0895909613338495</v>
      </c>
      <c r="AK17">
        <f>IFERROR(중분류_Rawdata!AM29/중분류_Rawdata!AL29,1)</f>
        <v>0.8553021824286513</v>
      </c>
      <c r="AL17">
        <f>IFERROR(중분류_Rawdata!AN29/중분류_Rawdata!AM29,1)</f>
        <v>1.033321883638386</v>
      </c>
      <c r="AM17">
        <f>IFERROR(중분류_Rawdata!AO29/중분류_Rawdata!AN29,1)</f>
        <v>0.92489022417379252</v>
      </c>
      <c r="AN17">
        <f>IFERROR(중분류_Rawdata!AP29/중분류_Rawdata!AO29,1)</f>
        <v>1.0798676004463521</v>
      </c>
      <c r="AO17">
        <f>IFERROR(중분류_Rawdata!AQ29/중분류_Rawdata!AP29,1)</f>
        <v>1.0459079685177144</v>
      </c>
      <c r="AP17">
        <f>IFERROR(중분류_Rawdata!AR29/중분류_Rawdata!AQ29,1)</f>
        <v>0.97844600287305816</v>
      </c>
      <c r="AQ17">
        <f>IFERROR(중분류_Rawdata!AS29/중분류_Rawdata!AR29,1)</f>
        <v>0.99388260802230133</v>
      </c>
      <c r="AR17">
        <f>IFERROR(중분류_Rawdata!AT29/중분류_Rawdata!AS29,1)</f>
        <v>1.2151460849240359</v>
      </c>
      <c r="AS17">
        <f>IFERROR(중분류_Rawdata!AU29/중분류_Rawdata!AT29,1)</f>
        <v>0.95521017670744535</v>
      </c>
      <c r="AT17">
        <f>IFERROR(중분류_Rawdata!AV29/중분류_Rawdata!AU29,1)</f>
        <v>0.98286463004032798</v>
      </c>
      <c r="AU17">
        <f>IFERROR(중분류_Rawdata!AW29/중분류_Rawdata!AV29,1)</f>
        <v>0.94250732112417501</v>
      </c>
      <c r="AV17">
        <f>IFERROR(중분류_Rawdata!AX29/중분류_Rawdata!AW29,1)</f>
        <v>1.1508587957729743</v>
      </c>
      <c r="AW17">
        <f>IFERROR(중분류_Rawdata!AY29/중분류_Rawdata!AX29,1)</f>
        <v>1.0382051391830598</v>
      </c>
      <c r="AX17">
        <f>IFERROR(중분류_Rawdata!AZ29/중분류_Rawdata!AY29,1)</f>
        <v>1.1243871850416145</v>
      </c>
      <c r="AY17">
        <f>IFERROR(중분류_Rawdata!BA29/중분류_Rawdata!AZ29,1)</f>
        <v>1.0058552708224562</v>
      </c>
      <c r="AZ17">
        <f>IFERROR(중분류_Rawdata!BB29/중분류_Rawdata!BA29,1)</f>
        <v>0.92464845526223227</v>
      </c>
      <c r="BA17">
        <f>IFERROR(중분류_Rawdata!BC29/중분류_Rawdata!BB29,1)</f>
        <v>1.0329113865324973</v>
      </c>
      <c r="BB17">
        <f>IFERROR(중분류_Rawdata!BD29/중분류_Rawdata!BC29,1)</f>
        <v>1.0701415947090065</v>
      </c>
      <c r="BC17">
        <f>IFERROR(중분류_Rawdata!BE29/중분류_Rawdata!BD29,1)</f>
        <v>0.99503481505420577</v>
      </c>
      <c r="BD17">
        <f>IFERROR(중분류_Rawdata!BF29/중분류_Rawdata!BE29,1)</f>
        <v>1.0194051696502386</v>
      </c>
      <c r="BE17">
        <f>IFERROR(중분류_Rawdata!BG29/중분류_Rawdata!BF29,1)</f>
        <v>1.0214542994457467</v>
      </c>
      <c r="BF17">
        <f>IFERROR(중분류_Rawdata!BH29/중분류_Rawdata!BG29,1)</f>
        <v>1.1935640024872247</v>
      </c>
      <c r="BG17">
        <f>IFERROR(중분류_Rawdata!BI29/중분류_Rawdata!BH29,1)</f>
        <v>1.4433996843659318</v>
      </c>
      <c r="BH17">
        <f>IFERROR(중분류_Rawdata!BJ29/중분류_Rawdata!BI29,1)</f>
        <v>1.0217404338916576</v>
      </c>
      <c r="BI17">
        <f>IFERROR(중분류_Rawdata!BK29/중분류_Rawdata!BJ29,1)</f>
        <v>1.0941992214693126</v>
      </c>
      <c r="BJ17">
        <f>IFERROR(중분류_Rawdata!BL29/중분류_Rawdata!BK29,1)</f>
        <v>0.98479187413703728</v>
      </c>
      <c r="BK17">
        <f>IFERROR(중분류_Rawdata!BM29/중분류_Rawdata!BL29,1)</f>
        <v>1.0937513681596023</v>
      </c>
      <c r="BL17">
        <f>IFERROR(중분류_Rawdata!BN29/중분류_Rawdata!BM29,1)</f>
        <v>0.9324174316808117</v>
      </c>
      <c r="BM17">
        <f>IFERROR(중분류_Rawdata!BO29/중분류_Rawdata!BN29,1)</f>
        <v>0.80265849955499713</v>
      </c>
      <c r="BN17">
        <f>IFERROR(중분류_Rawdata!BP29/중분류_Rawdata!BO29,1)</f>
        <v>1.0268517660932532</v>
      </c>
      <c r="BO17">
        <f>IFERROR(중분류_Rawdata!BQ29/중분류_Rawdata!BP29,1)</f>
        <v>1.0966013392397764</v>
      </c>
    </row>
    <row r="18" spans="1:68" x14ac:dyDescent="0.4">
      <c r="A18" s="6" t="s">
        <v>19</v>
      </c>
      <c r="B18" s="4" t="s">
        <v>66</v>
      </c>
      <c r="C18">
        <f>IFERROR(중분류_Rawdata!E30/중분류_Rawdata!D30,1)</f>
        <v>0.95880440029470793</v>
      </c>
      <c r="D18">
        <f>IFERROR(중분류_Rawdata!F30/중분류_Rawdata!E30,1)</f>
        <v>1.0289352005193497</v>
      </c>
      <c r="E18">
        <f>IFERROR(중분류_Rawdata!G30/중분류_Rawdata!F30,1)</f>
        <v>1.3558193734468151</v>
      </c>
      <c r="F18">
        <f>IFERROR(중분류_Rawdata!H30/중분류_Rawdata!G30,1)</f>
        <v>1.2522578990854438</v>
      </c>
      <c r="G18">
        <f>IFERROR(중분류_Rawdata!I30/중분류_Rawdata!H30,1)</f>
        <v>1.0603978492177251</v>
      </c>
      <c r="H18">
        <f>IFERROR(중분류_Rawdata!J30/중분류_Rawdata!I30,1)</f>
        <v>0.90772619669153143</v>
      </c>
      <c r="I18">
        <f>IFERROR(중분류_Rawdata!K30/중분류_Rawdata!J30,1)</f>
        <v>0.81805217418709275</v>
      </c>
      <c r="J18">
        <f>IFERROR(중분류_Rawdata!L30/중분류_Rawdata!K30,1)</f>
        <v>0.85109989598181601</v>
      </c>
      <c r="K18">
        <f>IFERROR(중분류_Rawdata!M30/중분류_Rawdata!L30,1)</f>
        <v>0.9632559297483253</v>
      </c>
      <c r="L18">
        <f>IFERROR(중분류_Rawdata!N30/중분류_Rawdata!M30,1)</f>
        <v>1.3073977044442615</v>
      </c>
      <c r="M18">
        <f>IFERROR(중분류_Rawdata!O30/중분류_Rawdata!N30,1)</f>
        <v>1.0726589808333409</v>
      </c>
      <c r="N18">
        <f>IFERROR(중분류_Rawdata!P30/중분류_Rawdata!O30,1)</f>
        <v>1.1681619796771465</v>
      </c>
      <c r="O18">
        <f>IFERROR(중분류_Rawdata!Q30/중분류_Rawdata!P30,1)</f>
        <v>0.86533951967414147</v>
      </c>
      <c r="P18">
        <f>IFERROR(중분류_Rawdata!R30/중분류_Rawdata!Q30,1)</f>
        <v>0.99578184952224669</v>
      </c>
      <c r="Q18">
        <f>IFERROR(중분류_Rawdata!S30/중분류_Rawdata!R30,1)</f>
        <v>1.0984770306258325</v>
      </c>
      <c r="R18">
        <f>IFERROR(중분류_Rawdata!T30/중분류_Rawdata!S30,1)</f>
        <v>1.1692892804921473</v>
      </c>
      <c r="S18">
        <f>IFERROR(중분류_Rawdata!U30/중분류_Rawdata!T30,1)</f>
        <v>0.93242752918918204</v>
      </c>
      <c r="T18">
        <f>IFERROR(중분류_Rawdata!V30/중분류_Rawdata!U30,1)</f>
        <v>1.1974789623998499</v>
      </c>
      <c r="U18">
        <f>IFERROR(중분류_Rawdata!W30/중분류_Rawdata!V30,1)</f>
        <v>1.3390859291583492</v>
      </c>
      <c r="V18">
        <f>IFERROR(중분류_Rawdata!X30/중분류_Rawdata!W30,1)</f>
        <v>1.0095249651155735</v>
      </c>
      <c r="W18">
        <f>IFERROR(중분류_Rawdata!Y30/중분류_Rawdata!X30,1)</f>
        <v>1.048209993131868</v>
      </c>
      <c r="X18">
        <f>IFERROR(중분류_Rawdata!Z30/중분류_Rawdata!Y30,1)</f>
        <v>0.99479505796691936</v>
      </c>
      <c r="Y18">
        <f>IFERROR(중분류_Rawdata!AA30/중분류_Rawdata!Z30,1)</f>
        <v>1.0111024205499755</v>
      </c>
      <c r="Z18">
        <f>IFERROR(중분류_Rawdata!AB30/중분류_Rawdata!AA30,1)</f>
        <v>1.1361672848377757</v>
      </c>
      <c r="AA18">
        <f>IFERROR(중분류_Rawdata!AC30/중분류_Rawdata!AB30,1)</f>
        <v>1.0050741412302644</v>
      </c>
      <c r="AB18">
        <f>IFERROR(중분류_Rawdata!AD30/중분류_Rawdata!AC30,1)</f>
        <v>0.97289626993917533</v>
      </c>
      <c r="AC18">
        <f>IFERROR(중분류_Rawdata!AE30/중분류_Rawdata!AD30,1)</f>
        <v>0.88223955203095905</v>
      </c>
      <c r="AD18">
        <f>IFERROR(중분류_Rawdata!AF30/중분류_Rawdata!AE30,1)</f>
        <v>0.95129640860340114</v>
      </c>
      <c r="AE18">
        <f>IFERROR(중분류_Rawdata!AG30/중분류_Rawdata!AF30,1)</f>
        <v>1.0667155713331324</v>
      </c>
      <c r="AF18">
        <f>IFERROR(중분류_Rawdata!AH30/중분류_Rawdata!AG30,1)</f>
        <v>0.91206978419622098</v>
      </c>
      <c r="AG18">
        <f>IFERROR(중분류_Rawdata!AI30/중분류_Rawdata!AH30,1)</f>
        <v>0.55341426744159949</v>
      </c>
      <c r="AH18">
        <f>IFERROR(중분류_Rawdata!AJ30/중분류_Rawdata!AI30,1)</f>
        <v>0.89285453616524346</v>
      </c>
      <c r="AI18">
        <f>IFERROR(중분류_Rawdata!AK30/중분류_Rawdata!AJ30,1)</f>
        <v>1.4461247808750466</v>
      </c>
      <c r="AJ18">
        <f>IFERROR(중분류_Rawdata!AL30/중분류_Rawdata!AK30,1)</f>
        <v>1.2833481980227868</v>
      </c>
      <c r="AK18">
        <f>IFERROR(중분류_Rawdata!AM30/중분류_Rawdata!AL30,1)</f>
        <v>1.1068483362453323</v>
      </c>
      <c r="AL18">
        <f>IFERROR(중분류_Rawdata!AN30/중분류_Rawdata!AM30,1)</f>
        <v>0.89688228193439123</v>
      </c>
      <c r="AM18">
        <f>IFERROR(중분류_Rawdata!AO30/중분류_Rawdata!AN30,1)</f>
        <v>1.0157219061517073</v>
      </c>
      <c r="AN18">
        <f>IFERROR(중분류_Rawdata!AP30/중분류_Rawdata!AO30,1)</f>
        <v>1.0105180388978143</v>
      </c>
      <c r="AO18">
        <f>IFERROR(중분류_Rawdata!AQ30/중분류_Rawdata!AP30,1)</f>
        <v>1.0578594964312131</v>
      </c>
      <c r="AP18">
        <f>IFERROR(중분류_Rawdata!AR30/중분류_Rawdata!AQ30,1)</f>
        <v>1.0356020704685798</v>
      </c>
      <c r="AQ18">
        <f>IFERROR(중분류_Rawdata!AS30/중분류_Rawdata!AR30,1)</f>
        <v>0.97892853854551676</v>
      </c>
      <c r="AR18">
        <f>IFERROR(중분류_Rawdata!AT30/중분류_Rawdata!AS30,1)</f>
        <v>0.89060127645280485</v>
      </c>
      <c r="AS18">
        <f>IFERROR(중분류_Rawdata!AU30/중분류_Rawdata!AT30,1)</f>
        <v>0.91526736367796668</v>
      </c>
      <c r="AT18">
        <f>IFERROR(중분류_Rawdata!AV30/중분류_Rawdata!AU30,1)</f>
        <v>1.0687747252747253</v>
      </c>
      <c r="AU18">
        <f>IFERROR(중분류_Rawdata!AW30/중분류_Rawdata!AV30,1)</f>
        <v>0.90227075268485524</v>
      </c>
      <c r="AV18">
        <f>IFERROR(중분류_Rawdata!AX30/중분류_Rawdata!AW30,1)</f>
        <v>0.95857145299047897</v>
      </c>
      <c r="AW18">
        <f>IFERROR(중분류_Rawdata!AY30/중분류_Rawdata!AX30,1)</f>
        <v>0.97322214032668397</v>
      </c>
      <c r="AX18">
        <f>IFERROR(중분류_Rawdata!AZ30/중분류_Rawdata!AY30,1)</f>
        <v>1.1885531756356462</v>
      </c>
      <c r="AY18">
        <f>IFERROR(중분류_Rawdata!BA30/중분류_Rawdata!AZ30,1)</f>
        <v>0.9494612107727014</v>
      </c>
      <c r="AZ18">
        <f>IFERROR(중분류_Rawdata!BB30/중분류_Rawdata!BA30,1)</f>
        <v>0.95893228264634567</v>
      </c>
      <c r="BA18">
        <f>IFERROR(중분류_Rawdata!BC30/중분류_Rawdata!BB30,1)</f>
        <v>1.106761485494977</v>
      </c>
      <c r="BB18">
        <f>IFERROR(중분류_Rawdata!BD30/중분류_Rawdata!BC30,1)</f>
        <v>1.0135035900783289</v>
      </c>
      <c r="BC18">
        <f>IFERROR(중분류_Rawdata!BE30/중분류_Rawdata!BD30,1)</f>
        <v>0.94115042466690813</v>
      </c>
      <c r="BD18">
        <f>IFERROR(중분류_Rawdata!BF30/중분류_Rawdata!BE30,1)</f>
        <v>1.169063555878705</v>
      </c>
      <c r="BE18">
        <f>IFERROR(중분류_Rawdata!BG30/중분류_Rawdata!BF30,1)</f>
        <v>0.88381175373049015</v>
      </c>
      <c r="BF18">
        <f>IFERROR(중분류_Rawdata!BH30/중분류_Rawdata!BG30,1)</f>
        <v>0.9229758258133951</v>
      </c>
      <c r="BG18">
        <f>IFERROR(중분류_Rawdata!BI30/중분류_Rawdata!BH30,1)</f>
        <v>1.0101077487134063</v>
      </c>
      <c r="BH18">
        <f>IFERROR(중분류_Rawdata!BJ30/중분류_Rawdata!BI30,1)</f>
        <v>0.90821451762394489</v>
      </c>
      <c r="BI18">
        <f>IFERROR(중분류_Rawdata!BK30/중분류_Rawdata!BJ30,1)</f>
        <v>0.98603056653813481</v>
      </c>
      <c r="BJ18">
        <f>IFERROR(중분류_Rawdata!BL30/중분류_Rawdata!BK30,1)</f>
        <v>0.87742087421060133</v>
      </c>
      <c r="BK18">
        <f>IFERROR(중분류_Rawdata!BM30/중분류_Rawdata!BL30,1)</f>
        <v>1.0966463716114085</v>
      </c>
      <c r="BL18">
        <f>IFERROR(중분류_Rawdata!BN30/중분류_Rawdata!BM30,1)</f>
        <v>1.07736649899202</v>
      </c>
      <c r="BM18">
        <f>IFERROR(중분류_Rawdata!BO30/중분류_Rawdata!BN30,1)</f>
        <v>1.0815433453097631</v>
      </c>
      <c r="BN18">
        <f>IFERROR(중분류_Rawdata!BP30/중분류_Rawdata!BO30,1)</f>
        <v>1.0722004499400264</v>
      </c>
      <c r="BO18">
        <f>IFERROR(중분류_Rawdata!BQ30/중분류_Rawdata!BP30,1)</f>
        <v>1.1139476736692875</v>
      </c>
    </row>
    <row r="19" spans="1:68" x14ac:dyDescent="0.4">
      <c r="A19" s="6" t="s">
        <v>20</v>
      </c>
      <c r="B19" s="4" t="s">
        <v>67</v>
      </c>
      <c r="C19">
        <f>IFERROR(중분류_Rawdata!E31/중분류_Rawdata!D31,1)</f>
        <v>1.0286123032904149</v>
      </c>
      <c r="D19">
        <f>IFERROR(중분류_Rawdata!F31/중분류_Rawdata!E31,1)</f>
        <v>0.79200354582830257</v>
      </c>
      <c r="E19">
        <f>IFERROR(중분류_Rawdata!G31/중분류_Rawdata!F31,1)</f>
        <v>1.393766885372443</v>
      </c>
      <c r="F19">
        <f>IFERROR(중분류_Rawdata!H31/중분류_Rawdata!G31,1)</f>
        <v>1.2553547940463827</v>
      </c>
      <c r="G19">
        <f>IFERROR(중분류_Rawdata!I31/중분류_Rawdata!H31,1)</f>
        <v>0.73680901751444827</v>
      </c>
      <c r="H19">
        <f>IFERROR(중분류_Rawdata!J31/중분류_Rawdata!I31,1)</f>
        <v>0.96609535214430065</v>
      </c>
      <c r="I19">
        <f>IFERROR(중분류_Rawdata!K31/중분류_Rawdata!J31,1)</f>
        <v>0.92579795475673998</v>
      </c>
      <c r="J19">
        <f>IFERROR(중분류_Rawdata!L31/중분류_Rawdata!K31,1)</f>
        <v>0.76440561664239937</v>
      </c>
      <c r="K19">
        <f>IFERROR(중분류_Rawdata!M31/중분류_Rawdata!L31,1)</f>
        <v>1.0455401322415379</v>
      </c>
      <c r="L19">
        <f>IFERROR(중분류_Rawdata!N31/중분류_Rawdata!M31,1)</f>
        <v>1.1804874984294509</v>
      </c>
      <c r="M19">
        <f>IFERROR(중분류_Rawdata!O31/중분류_Rawdata!N31,1)</f>
        <v>0.80189097617653837</v>
      </c>
      <c r="N19">
        <f>IFERROR(중분류_Rawdata!P31/중분류_Rawdata!O31,1)</f>
        <v>1.0925561331711093</v>
      </c>
      <c r="O19">
        <f>IFERROR(중분류_Rawdata!Q31/중분류_Rawdata!P31,1)</f>
        <v>0.75024803093806325</v>
      </c>
      <c r="P19">
        <f>IFERROR(중분류_Rawdata!R31/중분류_Rawdata!Q31,1)</f>
        <v>0.98264694769795435</v>
      </c>
      <c r="Q19">
        <f>IFERROR(중분류_Rawdata!S31/중분류_Rawdata!R31,1)</f>
        <v>1.0221087034138034</v>
      </c>
      <c r="R19">
        <f>IFERROR(중분류_Rawdata!T31/중분류_Rawdata!S31,1)</f>
        <v>1.6360436371453138</v>
      </c>
      <c r="S19">
        <f>IFERROR(중분류_Rawdata!U31/중분류_Rawdata!T31,1)</f>
        <v>0.88984512293264562</v>
      </c>
      <c r="T19">
        <f>IFERROR(중분류_Rawdata!V31/중분류_Rawdata!U31,1)</f>
        <v>1.2589516426725731</v>
      </c>
      <c r="U19">
        <f>IFERROR(중분류_Rawdata!W31/중분류_Rawdata!V31,1)</f>
        <v>1.6499926696965255</v>
      </c>
      <c r="V19">
        <f>IFERROR(중분류_Rawdata!X31/중분류_Rawdata!W31,1)</f>
        <v>1.0779325786789402</v>
      </c>
      <c r="W19">
        <f>IFERROR(중분류_Rawdata!Y31/중분류_Rawdata!X31,1)</f>
        <v>0.85884913078958436</v>
      </c>
      <c r="X19">
        <f>IFERROR(중분류_Rawdata!Z31/중분류_Rawdata!Y31,1)</f>
        <v>1.0841419289203689</v>
      </c>
      <c r="Y19">
        <f>IFERROR(중분류_Rawdata!AA31/중분류_Rawdata!Z31,1)</f>
        <v>1.0669440509915016</v>
      </c>
      <c r="Z19">
        <f>IFERROR(중분류_Rawdata!AB31/중분류_Rawdata!AA31,1)</f>
        <v>0.97794593518195849</v>
      </c>
      <c r="AA19">
        <f>IFERROR(중분류_Rawdata!AC31/중분류_Rawdata!AB31,1)</f>
        <v>1.3052586031358175</v>
      </c>
      <c r="AB19">
        <f>IFERROR(중분류_Rawdata!AD31/중분류_Rawdata!AC31,1)</f>
        <v>1.2416099530040365</v>
      </c>
      <c r="AC19">
        <f>IFERROR(중분류_Rawdata!AE31/중분류_Rawdata!AD31,1)</f>
        <v>0.96723259673425366</v>
      </c>
      <c r="AD19">
        <f>IFERROR(중분류_Rawdata!AF31/중분류_Rawdata!AE31,1)</f>
        <v>0.88578325773731559</v>
      </c>
      <c r="AE19">
        <f>IFERROR(중분류_Rawdata!AG31/중분류_Rawdata!AF31,1)</f>
        <v>0.91653630875271919</v>
      </c>
      <c r="AF19">
        <f>IFERROR(중분류_Rawdata!AH31/중분류_Rawdata!AG31,1)</f>
        <v>0.76897588554132523</v>
      </c>
      <c r="AG19">
        <f>IFERROR(중분류_Rawdata!AI31/중분류_Rawdata!AH31,1)</f>
        <v>0.73710129095464738</v>
      </c>
      <c r="AH19">
        <f>IFERROR(중분류_Rawdata!AJ31/중분류_Rawdata!AI31,1)</f>
        <v>1.055011879837211</v>
      </c>
      <c r="AI19">
        <f>IFERROR(중분류_Rawdata!AK31/중분류_Rawdata!AJ31,1)</f>
        <v>1.420513963989074</v>
      </c>
      <c r="AJ19">
        <f>IFERROR(중분류_Rawdata!AL31/중분류_Rawdata!AK31,1)</f>
        <v>1.0696475241929786</v>
      </c>
      <c r="AK19">
        <f>IFERROR(중분류_Rawdata!AM31/중분류_Rawdata!AL31,1)</f>
        <v>0.81387072868285315</v>
      </c>
      <c r="AL19">
        <f>IFERROR(중분류_Rawdata!AN31/중분류_Rawdata!AM31,1)</f>
        <v>1.0025604038946989</v>
      </c>
      <c r="AM19">
        <f>IFERROR(중분류_Rawdata!AO31/중분류_Rawdata!AN31,1)</f>
        <v>0.92083917844681851</v>
      </c>
      <c r="AN19">
        <f>IFERROR(중분류_Rawdata!AP31/중분류_Rawdata!AO31,1)</f>
        <v>1.0926553451626451</v>
      </c>
      <c r="AO19">
        <f>IFERROR(중분류_Rawdata!AQ31/중분류_Rawdata!AP31,1)</f>
        <v>1.0465193182529113</v>
      </c>
      <c r="AP19">
        <f>IFERROR(중분류_Rawdata!AR31/중분류_Rawdata!AQ31,1)</f>
        <v>1.0367653338343552</v>
      </c>
      <c r="AQ19">
        <f>IFERROR(중분류_Rawdata!AS31/중분류_Rawdata!AR31,1)</f>
        <v>0.90113592368965145</v>
      </c>
      <c r="AR19">
        <f>IFERROR(중분류_Rawdata!AT31/중분류_Rawdata!AS31,1)</f>
        <v>0.88919257383657679</v>
      </c>
      <c r="AS19">
        <f>IFERROR(중분류_Rawdata!AU31/중분류_Rawdata!AT31,1)</f>
        <v>0.80761757902852738</v>
      </c>
      <c r="AT19">
        <f>IFERROR(중분류_Rawdata!AV31/중분류_Rawdata!AU31,1)</f>
        <v>1.2796425707412074</v>
      </c>
      <c r="AU19">
        <f>IFERROR(중분류_Rawdata!AW31/중분류_Rawdata!AV31,1)</f>
        <v>0.808057296329454</v>
      </c>
      <c r="AV19">
        <f>IFERROR(중분류_Rawdata!AX31/중분류_Rawdata!AW31,1)</f>
        <v>0.98856390181451104</v>
      </c>
      <c r="AW19">
        <f>IFERROR(중분류_Rawdata!AY31/중분류_Rawdata!AX31,1)</f>
        <v>1.0001494302969927</v>
      </c>
      <c r="AX19">
        <f>IFERROR(중분류_Rawdata!AZ31/중분류_Rawdata!AY31,1)</f>
        <v>1.1542886312984799</v>
      </c>
      <c r="AY19">
        <f>IFERROR(중분류_Rawdata!BA31/중분류_Rawdata!AZ31,1)</f>
        <v>0.95941062895727491</v>
      </c>
      <c r="AZ19">
        <f>IFERROR(중분류_Rawdata!BB31/중분류_Rawdata!BA31,1)</f>
        <v>0.83047017291390268</v>
      </c>
      <c r="BA19">
        <f>IFERROR(중분류_Rawdata!BC31/중분류_Rawdata!BB31,1)</f>
        <v>1.0206316758498382</v>
      </c>
      <c r="BB19">
        <f>IFERROR(중분류_Rawdata!BD31/중분류_Rawdata!BC31,1)</f>
        <v>0.94846865010412384</v>
      </c>
      <c r="BC19">
        <f>IFERROR(중분류_Rawdata!BE31/중분류_Rawdata!BD31,1)</f>
        <v>1.0114675691550361</v>
      </c>
      <c r="BD19">
        <f>IFERROR(중분류_Rawdata!BF31/중분류_Rawdata!BE31,1)</f>
        <v>1.2883610319940271</v>
      </c>
      <c r="BE19">
        <f>IFERROR(중분류_Rawdata!BG31/중분류_Rawdata!BF31,1)</f>
        <v>0.99767122405614805</v>
      </c>
      <c r="BF19">
        <f>IFERROR(중분류_Rawdata!BH31/중분류_Rawdata!BG31,1)</f>
        <v>1.0202011509707953</v>
      </c>
      <c r="BG19">
        <f>IFERROR(중분류_Rawdata!BI31/중분류_Rawdata!BH31,1)</f>
        <v>1.2168531151481923</v>
      </c>
      <c r="BH19">
        <f>IFERROR(중분류_Rawdata!BJ31/중분류_Rawdata!BI31,1)</f>
        <v>0.8341651503335934</v>
      </c>
      <c r="BI19">
        <f>IFERROR(중분류_Rawdata!BK31/중분류_Rawdata!BJ31,1)</f>
        <v>0.90122674533348568</v>
      </c>
      <c r="BJ19">
        <f>IFERROR(중분류_Rawdata!BL31/중분류_Rawdata!BK31,1)</f>
        <v>0.88523777690694072</v>
      </c>
      <c r="BK19">
        <f>IFERROR(중분류_Rawdata!BM31/중분류_Rawdata!BL31,1)</f>
        <v>1.009791029229868</v>
      </c>
      <c r="BL19">
        <f>IFERROR(중분류_Rawdata!BN31/중분류_Rawdata!BM31,1)</f>
        <v>1.0093608571760124</v>
      </c>
      <c r="BM19">
        <f>IFERROR(중분류_Rawdata!BO31/중분류_Rawdata!BN31,1)</f>
        <v>0.93777703971488058</v>
      </c>
      <c r="BN19">
        <f>IFERROR(중분류_Rawdata!BP31/중분류_Rawdata!BO31,1)</f>
        <v>1.1459570642401786</v>
      </c>
      <c r="BO19">
        <f>IFERROR(중분류_Rawdata!BQ31/중분류_Rawdata!BP31,1)</f>
        <v>1.1701712886469267</v>
      </c>
    </row>
    <row r="20" spans="1:68" x14ac:dyDescent="0.4">
      <c r="A20" s="6" t="s">
        <v>21</v>
      </c>
      <c r="B20" s="4" t="s">
        <v>68</v>
      </c>
      <c r="C20">
        <f>IFERROR(중분류_Rawdata!E32/중분류_Rawdata!D32,1)</f>
        <v>0.9681553931367014</v>
      </c>
      <c r="D20">
        <f>IFERROR(중분류_Rawdata!F32/중분류_Rawdata!E32,1)</f>
        <v>0.91758865248226951</v>
      </c>
      <c r="E20">
        <f>IFERROR(중분류_Rawdata!G32/중분류_Rawdata!F32,1)</f>
        <v>1.1042579138111677</v>
      </c>
      <c r="F20">
        <f>IFERROR(중분류_Rawdata!H32/중분류_Rawdata!G32,1)</f>
        <v>1.1812384315067428</v>
      </c>
      <c r="G20">
        <f>IFERROR(중분류_Rawdata!I32/중분류_Rawdata!H32,1)</f>
        <v>0.83849729402314899</v>
      </c>
      <c r="H20">
        <f>IFERROR(중분류_Rawdata!J32/중분류_Rawdata!I32,1)</f>
        <v>0.78986463142686647</v>
      </c>
      <c r="I20">
        <f>IFERROR(중분류_Rawdata!K32/중분류_Rawdata!J32,1)</f>
        <v>0.80042547269220821</v>
      </c>
      <c r="J20">
        <f>IFERROR(중분류_Rawdata!L32/중분류_Rawdata!K32,1)</f>
        <v>0.72599915546834248</v>
      </c>
      <c r="K20">
        <f>IFERROR(중분류_Rawdata!M32/중분류_Rawdata!L32,1)</f>
        <v>0.78253729300670594</v>
      </c>
      <c r="L20">
        <f>IFERROR(중분류_Rawdata!N32/중분류_Rawdata!M32,1)</f>
        <v>1.2267401189227001</v>
      </c>
      <c r="M20">
        <f>IFERROR(중분류_Rawdata!O32/중분류_Rawdata!N32,1)</f>
        <v>0.48620714234799345</v>
      </c>
      <c r="N20">
        <f>IFERROR(중분류_Rawdata!P32/중분류_Rawdata!O32,1)</f>
        <v>0.54999266969652549</v>
      </c>
      <c r="O20">
        <f>IFERROR(중분류_Rawdata!Q32/중분류_Rawdata!P32,1)</f>
        <v>0.97880847660935622</v>
      </c>
      <c r="P20">
        <f>IFERROR(중분류_Rawdata!R32/중분류_Rawdata!Q32,1)</f>
        <v>0.90005446623093677</v>
      </c>
      <c r="Q20">
        <f>IFERROR(중분류_Rawdata!S32/중분류_Rawdata!R32,1)</f>
        <v>1.1347957639939488</v>
      </c>
      <c r="R20">
        <f>IFERROR(중분류_Rawdata!T32/중분류_Rawdata!S32,1)</f>
        <v>1.708705505932542</v>
      </c>
      <c r="S20">
        <f>IFERROR(중분류_Rawdata!U32/중분류_Rawdata!T32,1)</f>
        <v>1.068346727003199</v>
      </c>
      <c r="T20">
        <f>IFERROR(중분류_Rawdata!V32/중분류_Rawdata!U32,1)</f>
        <v>0.9520923099393851</v>
      </c>
      <c r="U20">
        <f>IFERROR(중분류_Rawdata!W32/중분류_Rawdata!V32,1)</f>
        <v>1.5928511160543068</v>
      </c>
      <c r="V20">
        <f>IFERROR(중분류_Rawdata!X32/중분류_Rawdata!W32,1)</f>
        <v>0.97125108350187805</v>
      </c>
      <c r="W20">
        <f>IFERROR(중분류_Rawdata!Y32/중분류_Rawdata!X32,1)</f>
        <v>0.9627150577619118</v>
      </c>
      <c r="X20">
        <f>IFERROR(중분류_Rawdata!Z32/중분류_Rawdata!Y32,1)</f>
        <v>1.1807694288510069</v>
      </c>
      <c r="Y20">
        <f>IFERROR(중분류_Rawdata!AA32/중분류_Rawdata!Z32,1)</f>
        <v>1.0442709469184803</v>
      </c>
      <c r="Z20">
        <f>IFERROR(중분류_Rawdata!AB32/중분류_Rawdata!AA32,1)</f>
        <v>1.0211761757580822</v>
      </c>
      <c r="AA20">
        <f>IFERROR(중분류_Rawdata!AC32/중분류_Rawdata!AB32,1)</f>
        <v>0.86772465131498222</v>
      </c>
      <c r="AB20">
        <f>IFERROR(중분류_Rawdata!AD32/중분류_Rawdata!AC32,1)</f>
        <v>0.99655903841621485</v>
      </c>
      <c r="AC20">
        <f>IFERROR(중분류_Rawdata!AE32/중분류_Rawdata!AD32,1)</f>
        <v>0.94584239901617639</v>
      </c>
      <c r="AD20">
        <f>IFERROR(중분류_Rawdata!AF32/중분류_Rawdata!AE32,1)</f>
        <v>0.90578586788018201</v>
      </c>
      <c r="AE20">
        <f>IFERROR(중분류_Rawdata!AG32/중분류_Rawdata!AF32,1)</f>
        <v>0.99635620824821958</v>
      </c>
      <c r="AF20">
        <f>IFERROR(중분류_Rawdata!AH32/중분류_Rawdata!AG32,1)</f>
        <v>0.75547182357178477</v>
      </c>
      <c r="AG20">
        <f>IFERROR(중분류_Rawdata!AI32/중분류_Rawdata!AH32,1)</f>
        <v>0.78172216517529702</v>
      </c>
      <c r="AH20">
        <f>IFERROR(중분류_Rawdata!AJ32/중분류_Rawdata!AI32,1)</f>
        <v>0.84077688121598804</v>
      </c>
      <c r="AI20">
        <f>IFERROR(중분류_Rawdata!AK32/중분류_Rawdata!AJ32,1)</f>
        <v>1.5943533087825019</v>
      </c>
      <c r="AJ20">
        <f>IFERROR(중분류_Rawdata!AL32/중분류_Rawdata!AK32,1)</f>
        <v>1.064324210821026</v>
      </c>
      <c r="AK20">
        <f>IFERROR(중분류_Rawdata!AM32/중분류_Rawdata!AL32,1)</f>
        <v>0.94679731684861235</v>
      </c>
      <c r="AL20">
        <f>IFERROR(중분류_Rawdata!AN32/중분류_Rawdata!AM32,1)</f>
        <v>1.0215322636660416</v>
      </c>
      <c r="AM20">
        <f>IFERROR(중분류_Rawdata!AO32/중분류_Rawdata!AN32,1)</f>
        <v>0.92840144149044668</v>
      </c>
      <c r="AN20">
        <f>IFERROR(중분류_Rawdata!AP32/중분류_Rawdata!AO32,1)</f>
        <v>1.0576387871685953</v>
      </c>
      <c r="AO20">
        <f>IFERROR(중분류_Rawdata!AQ32/중분류_Rawdata!AP32,1)</f>
        <v>1.1394640260369782</v>
      </c>
      <c r="AP20">
        <f>IFERROR(중분류_Rawdata!AR32/중분류_Rawdata!AQ32,1)</f>
        <v>0.86198723792160437</v>
      </c>
      <c r="AQ20">
        <f>IFERROR(중분류_Rawdata!AS32/중분류_Rawdata!AR32,1)</f>
        <v>0.99414833615341225</v>
      </c>
      <c r="AR20">
        <f>IFERROR(중분류_Rawdata!AT32/중분류_Rawdata!AS32,1)</f>
        <v>0.96361960144670589</v>
      </c>
      <c r="AS20">
        <f>IFERROR(중분류_Rawdata!AU32/중분류_Rawdata!AT32,1)</f>
        <v>0.82396231969384748</v>
      </c>
      <c r="AT20">
        <f>IFERROR(중분류_Rawdata!AV32/중분류_Rawdata!AU32,1)</f>
        <v>1.0589496248660237</v>
      </c>
      <c r="AU20">
        <f>IFERROR(중분류_Rawdata!AW32/중분류_Rawdata!AV32,1)</f>
        <v>0.80465587044534415</v>
      </c>
      <c r="AV20">
        <f>IFERROR(중분류_Rawdata!AX32/중분류_Rawdata!AW32,1)</f>
        <v>1.0902515723270441</v>
      </c>
      <c r="AW20">
        <f>IFERROR(중분류_Rawdata!AY32/중분류_Rawdata!AX32,1)</f>
        <v>0.98134794731275832</v>
      </c>
      <c r="AX20">
        <f>IFERROR(중분류_Rawdata!AZ32/중분류_Rawdata!AY32,1)</f>
        <v>1.0928774370530028</v>
      </c>
      <c r="AY20">
        <f>IFERROR(중분류_Rawdata!BA32/중분류_Rawdata!AZ32,1)</f>
        <v>1.0510085163603764</v>
      </c>
      <c r="AZ20">
        <f>IFERROR(중분류_Rawdata!BB32/중분류_Rawdata!BA32,1)</f>
        <v>0.92425793244626409</v>
      </c>
      <c r="BA20">
        <f>IFERROR(중분류_Rawdata!BC32/중분류_Rawdata!BB32,1)</f>
        <v>1.0302694721299372</v>
      </c>
      <c r="BB20">
        <f>IFERROR(중분류_Rawdata!BD32/중분류_Rawdata!BC32,1)</f>
        <v>0.92287710498029385</v>
      </c>
      <c r="BC20">
        <f>IFERROR(중분류_Rawdata!BE32/중분류_Rawdata!BD32,1)</f>
        <v>1.0817237697757935</v>
      </c>
      <c r="BD20">
        <f>IFERROR(중분류_Rawdata!BF32/중분류_Rawdata!BE32,1)</f>
        <v>1.2367877972184835</v>
      </c>
      <c r="BE20">
        <f>IFERROR(중분류_Rawdata!BG32/중분류_Rawdata!BF32,1)</f>
        <v>0.991874637260592</v>
      </c>
      <c r="BF20">
        <f>IFERROR(중분류_Rawdata!BH32/중분류_Rawdata!BG32,1)</f>
        <v>0.88677589233469867</v>
      </c>
      <c r="BG20">
        <f>IFERROR(중분류_Rawdata!BI32/중분류_Rawdata!BH32,1)</f>
        <v>1.1292477730122072</v>
      </c>
      <c r="BH20">
        <f>IFERROR(중분류_Rawdata!BJ32/중분류_Rawdata!BI32,1)</f>
        <v>0.91330070849463163</v>
      </c>
      <c r="BI20">
        <f>IFERROR(중분류_Rawdata!BK32/중분류_Rawdata!BJ32,1)</f>
        <v>0.90243122200895709</v>
      </c>
      <c r="BJ20">
        <f>IFERROR(중분류_Rawdata!BL32/중분류_Rawdata!BK32,1)</f>
        <v>1.0126728110599077</v>
      </c>
      <c r="BK20">
        <f>IFERROR(중분류_Rawdata!BM32/중분류_Rawdata!BL32,1)</f>
        <v>1.1150783232694497</v>
      </c>
      <c r="BL20">
        <f>IFERROR(중분류_Rawdata!BN32/중분류_Rawdata!BM32,1)</f>
        <v>1.1011615131062626</v>
      </c>
      <c r="BM20">
        <f>IFERROR(중분류_Rawdata!BO32/중분류_Rawdata!BN32,1)</f>
        <v>0.94697455633953387</v>
      </c>
      <c r="BN20">
        <f>IFERROR(중분류_Rawdata!BP32/중분류_Rawdata!BO32,1)</f>
        <v>1.0262662753066909</v>
      </c>
      <c r="BO20">
        <f>IFERROR(중분류_Rawdata!BQ32/중분류_Rawdata!BP32,1)</f>
        <v>1.0160604282780874</v>
      </c>
    </row>
    <row r="21" spans="1:68" x14ac:dyDescent="0.4">
      <c r="A21" s="6" t="s">
        <v>22</v>
      </c>
      <c r="B21" s="4" t="s">
        <v>69</v>
      </c>
      <c r="C21">
        <f>IFERROR(중분류_Rawdata!E33/중분류_Rawdata!D33,1)</f>
        <v>1.151446059470977</v>
      </c>
      <c r="D21">
        <f>IFERROR(중분류_Rawdata!F33/중분류_Rawdata!E33,1)</f>
        <v>0.96898941561962237</v>
      </c>
      <c r="E21">
        <f>IFERROR(중분류_Rawdata!G33/중분류_Rawdata!F33,1)</f>
        <v>1.4489423556458383</v>
      </c>
      <c r="F21">
        <f>IFERROR(중분류_Rawdata!H33/중분류_Rawdata!G33,1)</f>
        <v>1.2718206163584314</v>
      </c>
      <c r="G21">
        <f>IFERROR(중분류_Rawdata!I33/중분류_Rawdata!H33,1)</f>
        <v>1.0881661804116225</v>
      </c>
      <c r="H21">
        <f>IFERROR(중분류_Rawdata!J33/중분류_Rawdata!I33,1)</f>
        <v>1.03844590700919</v>
      </c>
      <c r="I21">
        <f>IFERROR(중분류_Rawdata!K33/중분류_Rawdata!J33,1)</f>
        <v>0.90062677796405222</v>
      </c>
      <c r="J21">
        <f>IFERROR(중분류_Rawdata!L33/중분류_Rawdata!K33,1)</f>
        <v>0.76627470310868395</v>
      </c>
      <c r="K21">
        <f>IFERROR(중분류_Rawdata!M33/중분류_Rawdata!L33,1)</f>
        <v>1.1728723179144271</v>
      </c>
      <c r="L21">
        <f>IFERROR(중분류_Rawdata!N33/중분류_Rawdata!M33,1)</f>
        <v>1.0428739472753645</v>
      </c>
      <c r="M21">
        <f>IFERROR(중분류_Rawdata!O33/중분류_Rawdata!N33,1)</f>
        <v>1.0230295481281573</v>
      </c>
      <c r="N21">
        <f>IFERROR(중분류_Rawdata!P33/중분류_Rawdata!O33,1)</f>
        <v>1.1423923483813363</v>
      </c>
      <c r="O21">
        <f>IFERROR(중분류_Rawdata!Q33/중분류_Rawdata!P33,1)</f>
        <v>0.9834329056362463</v>
      </c>
      <c r="P21">
        <f>IFERROR(중분류_Rawdata!R33/중분류_Rawdata!Q33,1)</f>
        <v>0.91716589098747059</v>
      </c>
      <c r="Q21">
        <f>IFERROR(중분류_Rawdata!S33/중분류_Rawdata!R33,1)</f>
        <v>1.1548974943052392</v>
      </c>
      <c r="R21">
        <f>IFERROR(중분류_Rawdata!T33/중분류_Rawdata!S33,1)</f>
        <v>1.1202701089644118</v>
      </c>
      <c r="S21">
        <f>IFERROR(중분류_Rawdata!U33/중분류_Rawdata!T33,1)</f>
        <v>0.93524212534502349</v>
      </c>
      <c r="T21">
        <f>IFERROR(중분류_Rawdata!V33/중분류_Rawdata!U33,1)</f>
        <v>1.3633419232334192</v>
      </c>
      <c r="U21">
        <f>IFERROR(중분류_Rawdata!W33/중분류_Rawdata!V33,1)</f>
        <v>1.2238020199126136</v>
      </c>
      <c r="V21">
        <f>IFERROR(중분류_Rawdata!X33/중분류_Rawdata!W33,1)</f>
        <v>1.1105615873108776</v>
      </c>
      <c r="W21">
        <f>IFERROR(중분류_Rawdata!Y33/중분류_Rawdata!X33,1)</f>
        <v>1.0850644578542548</v>
      </c>
      <c r="X21">
        <f>IFERROR(중분류_Rawdata!Z33/중분류_Rawdata!Y33,1)</f>
        <v>0.97266820293906542</v>
      </c>
      <c r="Y21">
        <f>IFERROR(중분류_Rawdata!AA33/중분류_Rawdata!Z33,1)</f>
        <v>1.0720985393866256</v>
      </c>
      <c r="Z21">
        <f>IFERROR(중분류_Rawdata!AB33/중분류_Rawdata!AA33,1)</f>
        <v>1.1117286921599983</v>
      </c>
      <c r="AA21">
        <f>IFERROR(중분류_Rawdata!AC33/중분류_Rawdata!AB33,1)</f>
        <v>1.0531757410993594</v>
      </c>
      <c r="AB21">
        <f>IFERROR(중분류_Rawdata!AD33/중분류_Rawdata!AC33,1)</f>
        <v>1.1861062858304714</v>
      </c>
      <c r="AC21">
        <f>IFERROR(중분류_Rawdata!AE33/중분류_Rawdata!AD33,1)</f>
        <v>1.1682433150048352</v>
      </c>
      <c r="AD21">
        <f>IFERROR(중분류_Rawdata!AF33/중분류_Rawdata!AE33,1)</f>
        <v>0.83648627310875434</v>
      </c>
      <c r="AE21">
        <f>IFERROR(중분류_Rawdata!AG33/중분류_Rawdata!AF33,1)</f>
        <v>1.1582367421028448</v>
      </c>
      <c r="AF21">
        <f>IFERROR(중분류_Rawdata!AH33/중분류_Rawdata!AG33,1)</f>
        <v>0.85128981809202398</v>
      </c>
      <c r="AG21">
        <f>IFERROR(중분류_Rawdata!AI33/중분류_Rawdata!AH33,1)</f>
        <v>0.82112910836253372</v>
      </c>
      <c r="AH21">
        <f>IFERROR(중분류_Rawdata!AJ33/중분류_Rawdata!AI33,1)</f>
        <v>0.85932565429243635</v>
      </c>
      <c r="AI21">
        <f>IFERROR(중분류_Rawdata!AK33/중분류_Rawdata!AJ33,1)</f>
        <v>1.2503549053677039</v>
      </c>
      <c r="AJ21">
        <f>IFERROR(중분류_Rawdata!AL33/중분류_Rawdata!AK33,1)</f>
        <v>1.2558056448731689</v>
      </c>
      <c r="AK21">
        <f>IFERROR(중분류_Rawdata!AM33/중분류_Rawdata!AL33,1)</f>
        <v>0.91328836101196453</v>
      </c>
      <c r="AL21">
        <f>IFERROR(중분류_Rawdata!AN33/중분류_Rawdata!AM33,1)</f>
        <v>0.94446971318493145</v>
      </c>
      <c r="AM21">
        <f>IFERROR(중분류_Rawdata!AO33/중분류_Rawdata!AN33,1)</f>
        <v>0.97591292717424072</v>
      </c>
      <c r="AN21">
        <f>IFERROR(중분류_Rawdata!AP33/중분류_Rawdata!AO33,1)</f>
        <v>1.0345239403445552</v>
      </c>
      <c r="AO21">
        <f>IFERROR(중분류_Rawdata!AQ33/중분류_Rawdata!AP33,1)</f>
        <v>0.96469814852671787</v>
      </c>
      <c r="AP21">
        <f>IFERROR(중분류_Rawdata!AR33/중분류_Rawdata!AQ33,1)</f>
        <v>1.1244130967715129</v>
      </c>
      <c r="AQ21">
        <f>IFERROR(중분류_Rawdata!AS33/중분류_Rawdata!AR33,1)</f>
        <v>0.92415723590004162</v>
      </c>
      <c r="AR21">
        <f>IFERROR(중분류_Rawdata!AT33/중분류_Rawdata!AS33,1)</f>
        <v>1.0369669137125457</v>
      </c>
      <c r="AS21">
        <f>IFERROR(중분류_Rawdata!AU33/중분류_Rawdata!AT33,1)</f>
        <v>0.98789589466844818</v>
      </c>
      <c r="AT21">
        <f>IFERROR(중분류_Rawdata!AV33/중분류_Rawdata!AU33,1)</f>
        <v>1.0079919748472352</v>
      </c>
      <c r="AU21">
        <f>IFERROR(중분류_Rawdata!AW33/중분류_Rawdata!AV33,1)</f>
        <v>0.98372844076486399</v>
      </c>
      <c r="AV21">
        <f>IFERROR(중분류_Rawdata!AX33/중분류_Rawdata!AW33,1)</f>
        <v>1.0473862383876555</v>
      </c>
      <c r="AW21">
        <f>IFERROR(중분류_Rawdata!AY33/중분류_Rawdata!AX33,1)</f>
        <v>0.96832695675704117</v>
      </c>
      <c r="AX21">
        <f>IFERROR(중분류_Rawdata!AZ33/중분류_Rawdata!AY33,1)</f>
        <v>1.0475489083079597</v>
      </c>
      <c r="AY21">
        <f>IFERROR(중분류_Rawdata!BA33/중분류_Rawdata!AZ33,1)</f>
        <v>1.0160929079682772</v>
      </c>
      <c r="AZ21">
        <f>IFERROR(중분류_Rawdata!BB33/중분류_Rawdata!BA33,1)</f>
        <v>1.0128279458148737</v>
      </c>
      <c r="BA21">
        <f>IFERROR(중분류_Rawdata!BC33/중분류_Rawdata!BB33,1)</f>
        <v>1.0419566320928273</v>
      </c>
      <c r="BB21">
        <f>IFERROR(중분류_Rawdata!BD33/중분류_Rawdata!BC33,1)</f>
        <v>0.95182556657003559</v>
      </c>
      <c r="BC21">
        <f>IFERROR(중분류_Rawdata!BE33/중분류_Rawdata!BD33,1)</f>
        <v>1.0238134564179262</v>
      </c>
      <c r="BD21">
        <f>IFERROR(중분류_Rawdata!BF33/중분류_Rawdata!BE33,1)</f>
        <v>1.0723014382992153</v>
      </c>
      <c r="BE21">
        <f>IFERROR(중분류_Rawdata!BG33/중분류_Rawdata!BF33,1)</f>
        <v>1.0700055550779364</v>
      </c>
      <c r="BF21">
        <f>IFERROR(중분류_Rawdata!BH33/중분류_Rawdata!BG33,1)</f>
        <v>0.86572207758094544</v>
      </c>
      <c r="BG21">
        <f>IFERROR(중분류_Rawdata!BI33/중분류_Rawdata!BH33,1)</f>
        <v>1.1250707221782967</v>
      </c>
      <c r="BH21">
        <f>IFERROR(중분류_Rawdata!BJ33/중분류_Rawdata!BI33,1)</f>
        <v>0.92703774150613849</v>
      </c>
      <c r="BI21">
        <f>IFERROR(중분류_Rawdata!BK33/중분류_Rawdata!BJ33,1)</f>
        <v>1.0741357418365636</v>
      </c>
      <c r="BJ21">
        <f>IFERROR(중분류_Rawdata!BL33/중분류_Rawdata!BK33,1)</f>
        <v>1.0152812583141229</v>
      </c>
      <c r="BK21">
        <f>IFERROR(중분류_Rawdata!BM33/중분류_Rawdata!BL33,1)</f>
        <v>0.96236715210838408</v>
      </c>
      <c r="BL21">
        <f>IFERROR(중분류_Rawdata!BN33/중분류_Rawdata!BM33,1)</f>
        <v>0.96697081065569213</v>
      </c>
      <c r="BM21">
        <f>IFERROR(중분류_Rawdata!BO33/중분류_Rawdata!BN33,1)</f>
        <v>1.0878123055599116</v>
      </c>
      <c r="BN21">
        <f>IFERROR(중분류_Rawdata!BP33/중분류_Rawdata!BO33,1)</f>
        <v>0.90809547282236325</v>
      </c>
      <c r="BO21">
        <f>IFERROR(중분류_Rawdata!BQ33/중분류_Rawdata!BP33,1)</f>
        <v>1.1328904335001606</v>
      </c>
    </row>
    <row r="22" spans="1:68" x14ac:dyDescent="0.4">
      <c r="A22" s="6" t="s">
        <v>23</v>
      </c>
      <c r="B22" s="4" t="s">
        <v>70</v>
      </c>
      <c r="C22">
        <f>IFERROR(중분류_Rawdata!E34/중분류_Rawdata!D34,1)</f>
        <v>1.1633666633666633</v>
      </c>
      <c r="D22">
        <f>IFERROR(중분류_Rawdata!F34/중분류_Rawdata!E34,1)</f>
        <v>0.70356134851858687</v>
      </c>
      <c r="E22">
        <f>IFERROR(중분류_Rawdata!G34/중분류_Rawdata!F34,1)</f>
        <v>1.0638632423497156</v>
      </c>
      <c r="F22">
        <f>IFERROR(중분류_Rawdata!H34/중분류_Rawdata!G34,1)</f>
        <v>0.7974886623463574</v>
      </c>
      <c r="G22">
        <f>IFERROR(중분류_Rawdata!I34/중분류_Rawdata!H34,1)</f>
        <v>0.92754633296372557</v>
      </c>
      <c r="H22">
        <f>IFERROR(중분류_Rawdata!J34/중분류_Rawdata!I34,1)</f>
        <v>0.87435958740351127</v>
      </c>
      <c r="I22">
        <f>IFERROR(중분류_Rawdata!K34/중분류_Rawdata!J34,1)</f>
        <v>0.86327857965975896</v>
      </c>
      <c r="J22">
        <f>IFERROR(중분류_Rawdata!L34/중분류_Rawdata!K34,1)</f>
        <v>0.79601348446797437</v>
      </c>
      <c r="K22">
        <f>IFERROR(중분류_Rawdata!M34/중분류_Rawdata!L34,1)</f>
        <v>1.0469260722508029</v>
      </c>
      <c r="L22">
        <f>IFERROR(중분류_Rawdata!N34/중분류_Rawdata!M34,1)</f>
        <v>1.1976163327360592</v>
      </c>
      <c r="M22">
        <f>IFERROR(중분류_Rawdata!O34/중분류_Rawdata!N34,1)</f>
        <v>0.97381724208283271</v>
      </c>
      <c r="N22">
        <f>IFERROR(중분류_Rawdata!P34/중분류_Rawdata!O34,1)</f>
        <v>0.85102891196051955</v>
      </c>
      <c r="O22">
        <f>IFERROR(중분류_Rawdata!Q34/중분류_Rawdata!P34,1)</f>
        <v>0.94231163751248004</v>
      </c>
      <c r="P22">
        <f>IFERROR(중분류_Rawdata!R34/중분류_Rawdata!Q34,1)</f>
        <v>0.97818545987605054</v>
      </c>
      <c r="Q22">
        <f>IFERROR(중분류_Rawdata!S34/중분류_Rawdata!R34,1)</f>
        <v>1.2191376342809661</v>
      </c>
      <c r="R22">
        <f>IFERROR(중분류_Rawdata!T34/중분류_Rawdata!S34,1)</f>
        <v>1.2063895819387818</v>
      </c>
      <c r="S22">
        <f>IFERROR(중분류_Rawdata!U34/중분류_Rawdata!T34,1)</f>
        <v>0.91310795678096912</v>
      </c>
      <c r="T22">
        <f>IFERROR(중분류_Rawdata!V34/중분류_Rawdata!U34,1)</f>
        <v>1.1742127941663905</v>
      </c>
      <c r="U22">
        <f>IFERROR(중분류_Rawdata!W34/중분류_Rawdata!V34,1)</f>
        <v>1.6849394982969195</v>
      </c>
      <c r="V22">
        <f>IFERROR(중분류_Rawdata!X34/중분류_Rawdata!W34,1)</f>
        <v>1.3204241869192281</v>
      </c>
      <c r="W22">
        <f>IFERROR(중분류_Rawdata!Y34/중분류_Rawdata!X34,1)</f>
        <v>0.66840487035368845</v>
      </c>
      <c r="X22">
        <f>IFERROR(중분류_Rawdata!Z34/중분류_Rawdata!Y34,1)</f>
        <v>0.88908222341738119</v>
      </c>
      <c r="Y22">
        <f>IFERROR(중분류_Rawdata!AA34/중분류_Rawdata!Z34,1)</f>
        <v>1.2194285307618402</v>
      </c>
      <c r="Z22">
        <f>IFERROR(중분류_Rawdata!AB34/중분류_Rawdata!AA34,1)</f>
        <v>0.90506454700375838</v>
      </c>
      <c r="AA22">
        <f>IFERROR(중분류_Rawdata!AC34/중분류_Rawdata!AB34,1)</f>
        <v>1.0831500957564113</v>
      </c>
      <c r="AB22">
        <f>IFERROR(중분류_Rawdata!AD34/중분류_Rawdata!AC34,1)</f>
        <v>1.3775837024336812</v>
      </c>
      <c r="AC22">
        <f>IFERROR(중분류_Rawdata!AE34/중분류_Rawdata!AD34,1)</f>
        <v>0.71032536592322415</v>
      </c>
      <c r="AD22">
        <f>IFERROR(중분류_Rawdata!AF34/중분류_Rawdata!AE34,1)</f>
        <v>1.138328162073371</v>
      </c>
      <c r="AE22">
        <f>IFERROR(중분류_Rawdata!AG34/중분류_Rawdata!AF34,1)</f>
        <v>1.0011490751281353</v>
      </c>
      <c r="AF22">
        <f>IFERROR(중분류_Rawdata!AH34/중분류_Rawdata!AG34,1)</f>
        <v>0.75386767170967639</v>
      </c>
      <c r="AG22">
        <f>IFERROR(중분류_Rawdata!AI34/중분류_Rawdata!AH34,1)</f>
        <v>0.59189468615454333</v>
      </c>
      <c r="AH22">
        <f>IFERROR(중분류_Rawdata!AJ34/중분류_Rawdata!AI34,1)</f>
        <v>1.2572231859783451</v>
      </c>
      <c r="AI22">
        <f>IFERROR(중분류_Rawdata!AK34/중분류_Rawdata!AJ34,1)</f>
        <v>1.2817243184089073</v>
      </c>
      <c r="AJ22">
        <f>IFERROR(중분류_Rawdata!AL34/중분류_Rawdata!AK34,1)</f>
        <v>0.98712599302101112</v>
      </c>
      <c r="AK22">
        <f>IFERROR(중분류_Rawdata!AM34/중분류_Rawdata!AL34,1)</f>
        <v>0.81055386744486901</v>
      </c>
      <c r="AL22">
        <f>IFERROR(중분류_Rawdata!AN34/중분류_Rawdata!AM34,1)</f>
        <v>1.2251132061465368</v>
      </c>
      <c r="AM22">
        <f>IFERROR(중분류_Rawdata!AO34/중분류_Rawdata!AN34,1)</f>
        <v>1.1664116702517648</v>
      </c>
      <c r="AN22">
        <f>IFERROR(중분류_Rawdata!AP34/중분류_Rawdata!AO34,1)</f>
        <v>0.82164819252073062</v>
      </c>
      <c r="AO22">
        <f>IFERROR(중분류_Rawdata!AQ34/중분류_Rawdata!AP34,1)</f>
        <v>0.97752364995692842</v>
      </c>
      <c r="AP22">
        <f>IFERROR(중분류_Rawdata!AR34/중분류_Rawdata!AQ34,1)</f>
        <v>1.163215807387884</v>
      </c>
      <c r="AQ22">
        <f>IFERROR(중분류_Rawdata!AS34/중분류_Rawdata!AR34,1)</f>
        <v>0.81755944313545592</v>
      </c>
      <c r="AR22">
        <f>IFERROR(중분류_Rawdata!AT34/중분류_Rawdata!AS34,1)</f>
        <v>1.2059883701159588</v>
      </c>
      <c r="AS22">
        <f>IFERROR(중분류_Rawdata!AU34/중분류_Rawdata!AT34,1)</f>
        <v>1.0043494198423777</v>
      </c>
      <c r="AT22">
        <f>IFERROR(중분류_Rawdata!AV34/중분류_Rawdata!AU34,1)</f>
        <v>1.2745393928759432</v>
      </c>
      <c r="AU22">
        <f>IFERROR(중분류_Rawdata!AW34/중분류_Rawdata!AV34,1)</f>
        <v>1.2019769811112946</v>
      </c>
      <c r="AV22">
        <f>IFERROR(중분류_Rawdata!AX34/중분류_Rawdata!AW34,1)</f>
        <v>0.87212450805664621</v>
      </c>
      <c r="AW22">
        <f>IFERROR(중분류_Rawdata!AY34/중분류_Rawdata!AX34,1)</f>
        <v>1.0353075290508311</v>
      </c>
      <c r="AX22">
        <f>IFERROR(중분류_Rawdata!AZ34/중분류_Rawdata!AY34,1)</f>
        <v>1.1251896466863205</v>
      </c>
      <c r="AY22">
        <f>IFERROR(중분류_Rawdata!BA34/중분류_Rawdata!AZ34,1)</f>
        <v>1.1771507425061671</v>
      </c>
      <c r="AZ22">
        <f>IFERROR(중분류_Rawdata!BB34/중분류_Rawdata!BA34,1)</f>
        <v>1.0736882834288517</v>
      </c>
      <c r="BA22">
        <f>IFERROR(중분류_Rawdata!BC34/중분류_Rawdata!BB34,1)</f>
        <v>1.0509549822133895</v>
      </c>
      <c r="BB22">
        <f>IFERROR(중분류_Rawdata!BD34/중분류_Rawdata!BC34,1)</f>
        <v>1.1301859119736002</v>
      </c>
      <c r="BC22">
        <f>IFERROR(중분류_Rawdata!BE34/중분류_Rawdata!BD34,1)</f>
        <v>1.3240370808725901</v>
      </c>
      <c r="BD22">
        <f>IFERROR(중분류_Rawdata!BF34/중분류_Rawdata!BE34,1)</f>
        <v>1.124946683485947</v>
      </c>
      <c r="BE22">
        <f>IFERROR(중분류_Rawdata!BG34/중분류_Rawdata!BF34,1)</f>
        <v>0.8380815430908608</v>
      </c>
      <c r="BF22">
        <f>IFERROR(중분류_Rawdata!BH34/중분류_Rawdata!BG34,1)</f>
        <v>1.1019008497151974</v>
      </c>
      <c r="BG22">
        <f>IFERROR(중분류_Rawdata!BI34/중분류_Rawdata!BH34,1)</f>
        <v>0.9294206544717577</v>
      </c>
      <c r="BH22">
        <f>IFERROR(중분류_Rawdata!BJ34/중분류_Rawdata!BI34,1)</f>
        <v>1.0337987395965018</v>
      </c>
      <c r="BI22">
        <f>IFERROR(중분류_Rawdata!BK34/중분류_Rawdata!BJ34,1)</f>
        <v>0.94203590310072249</v>
      </c>
      <c r="BJ22">
        <f>IFERROR(중분류_Rawdata!BL34/중분류_Rawdata!BK34,1)</f>
        <v>1.0853568498769481</v>
      </c>
      <c r="BK22">
        <f>IFERROR(중분류_Rawdata!BM34/중분류_Rawdata!BL34,1)</f>
        <v>0.97640923267761437</v>
      </c>
      <c r="BL22">
        <f>IFERROR(중분류_Rawdata!BN34/중분류_Rawdata!BM34,1)</f>
        <v>0.81316181911321084</v>
      </c>
      <c r="BM22">
        <f>IFERROR(중분류_Rawdata!BO34/중분류_Rawdata!BN34,1)</f>
        <v>0.99533823681756961</v>
      </c>
      <c r="BN22">
        <f>IFERROR(중분류_Rawdata!BP34/중분류_Rawdata!BO34,1)</f>
        <v>1.0433028782321039</v>
      </c>
      <c r="BO22">
        <f>IFERROR(중분류_Rawdata!BQ34/중분류_Rawdata!BP34,1)</f>
        <v>1.0946048693682764</v>
      </c>
    </row>
    <row r="23" spans="1:68" x14ac:dyDescent="0.4">
      <c r="A23" s="6" t="s">
        <v>24</v>
      </c>
      <c r="B23" s="4" t="s">
        <v>71</v>
      </c>
      <c r="C23">
        <f>IFERROR(중분류_Rawdata!E35/중분류_Rawdata!D35,1)</f>
        <v>1.0670124737557121</v>
      </c>
      <c r="D23">
        <f>IFERROR(중분류_Rawdata!F35/중분류_Rawdata!E35,1)</f>
        <v>0.7011204222417704</v>
      </c>
      <c r="E23">
        <f>IFERROR(중분류_Rawdata!G35/중분류_Rawdata!F35,1)</f>
        <v>1.0710205698814672</v>
      </c>
      <c r="F23">
        <f>IFERROR(중분류_Rawdata!H35/중분류_Rawdata!G35,1)</f>
        <v>0.93307232258462303</v>
      </c>
      <c r="G23">
        <f>IFERROR(중분류_Rawdata!I35/중분류_Rawdata!H35,1)</f>
        <v>1.1177520071364853</v>
      </c>
      <c r="H23">
        <f>IFERROR(중분류_Rawdata!J35/중분류_Rawdata!I35,1)</f>
        <v>1.1367384942803938</v>
      </c>
      <c r="I23">
        <f>IFERROR(중분류_Rawdata!K35/중분류_Rawdata!J35,1)</f>
        <v>0.77777777777777779</v>
      </c>
      <c r="J23">
        <f>IFERROR(중분류_Rawdata!L35/중분류_Rawdata!K35,1)</f>
        <v>0.78225402026010493</v>
      </c>
      <c r="K23">
        <f>IFERROR(중분류_Rawdata!M35/중분류_Rawdata!L35,1)</f>
        <v>1.2001025728694761</v>
      </c>
      <c r="L23">
        <f>IFERROR(중분류_Rawdata!N35/중분류_Rawdata!M35,1)</f>
        <v>1.1563390313390312</v>
      </c>
      <c r="M23">
        <f>IFERROR(중분류_Rawdata!O35/중분류_Rawdata!N35,1)</f>
        <v>1.1876809362488452</v>
      </c>
      <c r="N23">
        <f>IFERROR(중분류_Rawdata!P35/중분류_Rawdata!O35,1)</f>
        <v>1.0473498599730318</v>
      </c>
      <c r="O23">
        <f>IFERROR(중분류_Rawdata!Q35/중분류_Rawdata!P35,1)</f>
        <v>0.78011884129735076</v>
      </c>
      <c r="P23">
        <f>IFERROR(중분류_Rawdata!R35/중분류_Rawdata!Q35,1)</f>
        <v>1.0271668412199688</v>
      </c>
      <c r="Q23">
        <f>IFERROR(중분류_Rawdata!S35/중분류_Rawdata!R35,1)</f>
        <v>1.007199134867913</v>
      </c>
      <c r="R23">
        <f>IFERROR(중분류_Rawdata!T35/중분류_Rawdata!S35,1)</f>
        <v>1.2118228112154119</v>
      </c>
      <c r="S23">
        <f>IFERROR(중분류_Rawdata!U35/중분류_Rawdata!T35,1)</f>
        <v>0.91889223603270642</v>
      </c>
      <c r="T23">
        <f>IFERROR(중분류_Rawdata!V35/중분류_Rawdata!U35,1)</f>
        <v>0.98842943331772226</v>
      </c>
      <c r="U23">
        <f>IFERROR(중분류_Rawdata!W35/중분류_Rawdata!V35,1)</f>
        <v>1.1934836533905626</v>
      </c>
      <c r="V23">
        <f>IFERROR(중분류_Rawdata!X35/중분류_Rawdata!W35,1)</f>
        <v>0.96011302865416503</v>
      </c>
      <c r="W23">
        <f>IFERROR(중분류_Rawdata!Y35/중분류_Rawdata!X35,1)</f>
        <v>1.0452168413883687</v>
      </c>
      <c r="X23">
        <f>IFERROR(중분류_Rawdata!Z35/중분류_Rawdata!Y35,1)</f>
        <v>1.0650888950944801</v>
      </c>
      <c r="Y23">
        <f>IFERROR(중분류_Rawdata!AA35/중분류_Rawdata!Z35,1)</f>
        <v>1.075422229019642</v>
      </c>
      <c r="Z23">
        <f>IFERROR(중분류_Rawdata!AB35/중분류_Rawdata!AA35,1)</f>
        <v>1.0035147599601797</v>
      </c>
      <c r="AA23">
        <f>IFERROR(중분류_Rawdata!AC35/중분류_Rawdata!AB35,1)</f>
        <v>1.1385390938170628</v>
      </c>
      <c r="AB23">
        <f>IFERROR(중분류_Rawdata!AD35/중분류_Rawdata!AC35,1)</f>
        <v>1.1460959866280207</v>
      </c>
      <c r="AC23">
        <f>IFERROR(중분류_Rawdata!AE35/중분류_Rawdata!AD35,1)</f>
        <v>0.98325911904798846</v>
      </c>
      <c r="AD23">
        <f>IFERROR(중분류_Rawdata!AF35/중분류_Rawdata!AE35,1)</f>
        <v>0.96236627007921227</v>
      </c>
      <c r="AE23">
        <f>IFERROR(중분류_Rawdata!AG35/중분류_Rawdata!AF35,1)</f>
        <v>0.91609962452245497</v>
      </c>
      <c r="AF23">
        <f>IFERROR(중분류_Rawdata!AH35/중분류_Rawdata!AG35,1)</f>
        <v>0.88600730240549819</v>
      </c>
      <c r="AG23">
        <f>IFERROR(중분류_Rawdata!AI35/중분류_Rawdata!AH35,1)</f>
        <v>0.7564794052885685</v>
      </c>
      <c r="AH23">
        <f>IFERROR(중분류_Rawdata!AJ35/중분류_Rawdata!AI35,1)</f>
        <v>1.1211012604144412</v>
      </c>
      <c r="AI23">
        <f>IFERROR(중분류_Rawdata!AK35/중분류_Rawdata!AJ35,1)</f>
        <v>1.0596193697448968</v>
      </c>
      <c r="AJ23">
        <f>IFERROR(중분류_Rawdata!AL35/중분류_Rawdata!AK35,1)</f>
        <v>1.0176235220069234</v>
      </c>
      <c r="AK23">
        <f>IFERROR(중분류_Rawdata!AM35/중분류_Rawdata!AL35,1)</f>
        <v>0.95310360061851129</v>
      </c>
      <c r="AL23">
        <f>IFERROR(중분류_Rawdata!AN35/중분류_Rawdata!AM35,1)</f>
        <v>1.0769230769230769</v>
      </c>
      <c r="AM23">
        <f>IFERROR(중분류_Rawdata!AO35/중분류_Rawdata!AN35,1)</f>
        <v>1.0979210605604097</v>
      </c>
      <c r="AN23">
        <f>IFERROR(중분류_Rawdata!AP35/중분류_Rawdata!AO35,1)</f>
        <v>1.0076642621922534</v>
      </c>
      <c r="AO23">
        <f>IFERROR(중분류_Rawdata!AQ35/중분류_Rawdata!AP35,1)</f>
        <v>1.2252416986013577</v>
      </c>
      <c r="AP23">
        <f>IFERROR(중분류_Rawdata!AR35/중분류_Rawdata!AQ35,1)</f>
        <v>0.99317308608262145</v>
      </c>
      <c r="AQ23">
        <f>IFERROR(중분류_Rawdata!AS35/중분류_Rawdata!AR35,1)</f>
        <v>0.95703050067139839</v>
      </c>
      <c r="AR23">
        <f>IFERROR(중분류_Rawdata!AT35/중분류_Rawdata!AS35,1)</f>
        <v>0.92770762343823077</v>
      </c>
      <c r="AS23">
        <f>IFERROR(중분류_Rawdata!AU35/중분류_Rawdata!AT35,1)</f>
        <v>0.95072020165646376</v>
      </c>
      <c r="AT23">
        <f>IFERROR(중분류_Rawdata!AV35/중분류_Rawdata!AU35,1)</f>
        <v>1.0162490767570025</v>
      </c>
      <c r="AU23">
        <f>IFERROR(중분류_Rawdata!AW35/중분류_Rawdata!AV35,1)</f>
        <v>0.94211811185031957</v>
      </c>
      <c r="AV23">
        <f>IFERROR(중분류_Rawdata!AX35/중분류_Rawdata!AW35,1)</f>
        <v>1.0988428444268619</v>
      </c>
      <c r="AW23">
        <f>IFERROR(중분류_Rawdata!AY35/중분류_Rawdata!AX35,1)</f>
        <v>1.0518253168202765</v>
      </c>
      <c r="AX23">
        <f>IFERROR(중분류_Rawdata!AZ35/중분류_Rawdata!AY35,1)</f>
        <v>1.1154010713491127</v>
      </c>
      <c r="AY23">
        <f>IFERROR(중분류_Rawdata!BA35/중분류_Rawdata!AZ35,1)</f>
        <v>1.1713106453493725</v>
      </c>
      <c r="AZ23">
        <f>IFERROR(중분류_Rawdata!BB35/중분류_Rawdata!BA35,1)</f>
        <v>0.99064698253841421</v>
      </c>
      <c r="BA23">
        <f>IFERROR(중분류_Rawdata!BC35/중분류_Rawdata!BB35,1)</f>
        <v>1.1610181818181817</v>
      </c>
      <c r="BB23">
        <f>IFERROR(중분류_Rawdata!BD35/중분류_Rawdata!BC35,1)</f>
        <v>1.0179380879706612</v>
      </c>
      <c r="BC23">
        <f>IFERROR(중분류_Rawdata!BE35/중분류_Rawdata!BD35,1)</f>
        <v>1.0294259149445608</v>
      </c>
      <c r="BD23">
        <f>IFERROR(중분류_Rawdata!BF35/중분류_Rawdata!BE35,1)</f>
        <v>1.1104915930309649</v>
      </c>
      <c r="BE23">
        <f>IFERROR(중분류_Rawdata!BG35/중분류_Rawdata!BF35,1)</f>
        <v>1.1243772816693254</v>
      </c>
      <c r="BF23">
        <f>IFERROR(중분류_Rawdata!BH35/중분류_Rawdata!BG35,1)</f>
        <v>1.1953586754989947</v>
      </c>
      <c r="BG23">
        <f>IFERROR(중분류_Rawdata!BI35/중분류_Rawdata!BH35,1)</f>
        <v>1.2207188838076373</v>
      </c>
      <c r="BH23">
        <f>IFERROR(중분류_Rawdata!BJ35/중분류_Rawdata!BI35,1)</f>
        <v>1.3352601500888841</v>
      </c>
      <c r="BI23">
        <f>IFERROR(중분류_Rawdata!BK35/중분류_Rawdata!BJ35,1)</f>
        <v>0.95931378023990899</v>
      </c>
      <c r="BJ23">
        <f>IFERROR(중분류_Rawdata!BL35/중분류_Rawdata!BK35,1)</f>
        <v>0.82172795350396777</v>
      </c>
      <c r="BK23">
        <f>IFERROR(중분류_Rawdata!BM35/중분류_Rawdata!BL35,1)</f>
        <v>0.97627062930721797</v>
      </c>
      <c r="BL23">
        <f>IFERROR(중분류_Rawdata!BN35/중분류_Rawdata!BM35,1)</f>
        <v>0.96581930907169944</v>
      </c>
      <c r="BM23">
        <f>IFERROR(중분류_Rawdata!BO35/중분류_Rawdata!BN35,1)</f>
        <v>0.87321260060226114</v>
      </c>
      <c r="BN23">
        <f>IFERROR(중분류_Rawdata!BP35/중분류_Rawdata!BO35,1)</f>
        <v>1.0670847128628365</v>
      </c>
      <c r="BO23">
        <f>IFERROR(중분류_Rawdata!BQ35/중분류_Rawdata!BP35,1)</f>
        <v>1.0922238348653444</v>
      </c>
    </row>
    <row r="24" spans="1:68" x14ac:dyDescent="0.4">
      <c r="A24" s="6" t="s">
        <v>25</v>
      </c>
      <c r="B24" s="4" t="s">
        <v>72</v>
      </c>
      <c r="C24">
        <f>IFERROR(중분류_Rawdata!E36/중분류_Rawdata!D36,1)</f>
        <v>1.097328073164171</v>
      </c>
      <c r="D24">
        <f>IFERROR(중분류_Rawdata!F36/중분류_Rawdata!E36,1)</f>
        <v>0.69240511500592383</v>
      </c>
      <c r="E24">
        <f>IFERROR(중분류_Rawdata!G36/중분류_Rawdata!F36,1)</f>
        <v>1.0219494925654944</v>
      </c>
      <c r="F24">
        <f>IFERROR(중분류_Rawdata!H36/중분류_Rawdata!G36,1)</f>
        <v>0.97534642032332575</v>
      </c>
      <c r="G24">
        <f>IFERROR(중분류_Rawdata!I36/중분류_Rawdata!H36,1)</f>
        <v>0.75623039128633163</v>
      </c>
      <c r="H24">
        <f>IFERROR(중분류_Rawdata!J36/중분류_Rawdata!I36,1)</f>
        <v>0.75647749510763207</v>
      </c>
      <c r="I24">
        <f>IFERROR(중분류_Rawdata!K36/중분류_Rawdata!J36,1)</f>
        <v>0.83671357615894038</v>
      </c>
      <c r="J24">
        <f>IFERROR(중분류_Rawdata!L36/중분류_Rawdata!K36,1)</f>
        <v>0.8838733613653228</v>
      </c>
      <c r="K24">
        <f>IFERROR(중분류_Rawdata!M36/중분류_Rawdata!L36,1)</f>
        <v>1.6093465789841892</v>
      </c>
      <c r="L24">
        <f>IFERROR(중분류_Rawdata!N36/중분류_Rawdata!M36,1)</f>
        <v>1.051643192488263</v>
      </c>
      <c r="M24">
        <f>IFERROR(중분류_Rawdata!O36/중분류_Rawdata!N36,1)</f>
        <v>0.83862433862433861</v>
      </c>
      <c r="N24">
        <f>IFERROR(중분류_Rawdata!P36/중분류_Rawdata!O36,1)</f>
        <v>0.93838722397476337</v>
      </c>
      <c r="O24">
        <f>IFERROR(중분류_Rawdata!Q36/중분류_Rawdata!P36,1)</f>
        <v>1.0397100535770565</v>
      </c>
      <c r="P24">
        <f>IFERROR(중분류_Rawdata!R36/중분류_Rawdata!Q36,1)</f>
        <v>0.8510659795897747</v>
      </c>
      <c r="Q24">
        <f>IFERROR(중분류_Rawdata!S36/중분류_Rawdata!R36,1)</f>
        <v>0.9544105425620325</v>
      </c>
      <c r="R24">
        <f>IFERROR(중분류_Rawdata!T36/중분류_Rawdata!S36,1)</f>
        <v>1.107227267073019</v>
      </c>
      <c r="S24">
        <f>IFERROR(중분류_Rawdata!U36/중분류_Rawdata!T36,1)</f>
        <v>1.0086507134029883</v>
      </c>
      <c r="T24">
        <f>IFERROR(중분류_Rawdata!V36/중분류_Rawdata!U36,1)</f>
        <v>1.0706170639340611</v>
      </c>
      <c r="U24">
        <f>IFERROR(중분류_Rawdata!W36/중분류_Rawdata!V36,1)</f>
        <v>1.6455472326258842</v>
      </c>
      <c r="V24">
        <f>IFERROR(중분류_Rawdata!X36/중분류_Rawdata!W36,1)</f>
        <v>0.97452108490864264</v>
      </c>
      <c r="W24">
        <f>IFERROR(중분류_Rawdata!Y36/중분류_Rawdata!X36,1)</f>
        <v>0.97340080446347477</v>
      </c>
      <c r="X24">
        <f>IFERROR(중분류_Rawdata!Z36/중분류_Rawdata!Y36,1)</f>
        <v>0.9288189816049055</v>
      </c>
      <c r="Y24">
        <f>IFERROR(중분류_Rawdata!AA36/중분류_Rawdata!Z36,1)</f>
        <v>1.105625717566016</v>
      </c>
      <c r="Z24">
        <f>IFERROR(중분류_Rawdata!AB36/중분류_Rawdata!AA36,1)</f>
        <v>1.0619807892004152</v>
      </c>
      <c r="AA24">
        <f>IFERROR(중분류_Rawdata!AC36/중분류_Rawdata!AB36,1)</f>
        <v>1.257898918291267</v>
      </c>
      <c r="AB24">
        <f>IFERROR(중분류_Rawdata!AD36/중분류_Rawdata!AC36,1)</f>
        <v>0.99013749210513535</v>
      </c>
      <c r="AC24">
        <f>IFERROR(중분류_Rawdata!AE36/중분류_Rawdata!AD36,1)</f>
        <v>1.1375368007850835</v>
      </c>
      <c r="AD24">
        <f>IFERROR(중분류_Rawdata!AF36/중분류_Rawdata!AE36,1)</f>
        <v>0.843678557563732</v>
      </c>
      <c r="AE24">
        <f>IFERROR(중분류_Rawdata!AG36/중분류_Rawdata!AF36,1)</f>
        <v>0.96615368883889763</v>
      </c>
      <c r="AF24">
        <f>IFERROR(중분류_Rawdata!AH36/중분류_Rawdata!AG36,1)</f>
        <v>0.73006297295867073</v>
      </c>
      <c r="AG24">
        <f>IFERROR(중분류_Rawdata!AI36/중분류_Rawdata!AH36,1)</f>
        <v>0.73086401855610317</v>
      </c>
      <c r="AH24">
        <f>IFERROR(중분류_Rawdata!AJ36/중분류_Rawdata!AI36,1)</f>
        <v>1.1413269860160666</v>
      </c>
      <c r="AI24">
        <f>IFERROR(중분류_Rawdata!AK36/중분류_Rawdata!AJ36,1)</f>
        <v>1.6442474800139033</v>
      </c>
      <c r="AJ24">
        <f>IFERROR(중분류_Rawdata!AL36/중분류_Rawdata!AK36,1)</f>
        <v>0.85868301448049889</v>
      </c>
      <c r="AK24">
        <f>IFERROR(중분류_Rawdata!AM36/중분류_Rawdata!AL36,1)</f>
        <v>1.0675775480059084</v>
      </c>
      <c r="AL24">
        <f>IFERROR(중분류_Rawdata!AN36/중분류_Rawdata!AM36,1)</f>
        <v>1.0442176870748299</v>
      </c>
      <c r="AM24">
        <f>IFERROR(중분류_Rawdata!AO36/중분류_Rawdata!AN36,1)</f>
        <v>1.0183293766907746</v>
      </c>
      <c r="AN24">
        <f>IFERROR(중분류_Rawdata!AP36/중분류_Rawdata!AO36,1)</f>
        <v>1.0678232583355924</v>
      </c>
      <c r="AO24">
        <f>IFERROR(중분류_Rawdata!AQ36/중분류_Rawdata!AP36,1)</f>
        <v>1.0364033306255076</v>
      </c>
      <c r="AP24">
        <f>IFERROR(중분류_Rawdata!AR36/중분류_Rawdata!AQ36,1)</f>
        <v>0.96311174251702347</v>
      </c>
      <c r="AQ24">
        <f>IFERROR(중분류_Rawdata!AS36/중분류_Rawdata!AR36,1)</f>
        <v>1.0726856561546287</v>
      </c>
      <c r="AR24">
        <f>IFERROR(중분류_Rawdata!AT36/중분류_Rawdata!AS36,1)</f>
        <v>1.1426810185404714</v>
      </c>
      <c r="AS24">
        <f>IFERROR(중분류_Rawdata!AU36/중분류_Rawdata!AT36,1)</f>
        <v>1.0765208731015024</v>
      </c>
      <c r="AT24">
        <f>IFERROR(중분류_Rawdata!AV36/중분류_Rawdata!AU36,1)</f>
        <v>0.95362732248862836</v>
      </c>
      <c r="AU24">
        <f>IFERROR(중분류_Rawdata!AW36/중분류_Rawdata!AV36,1)</f>
        <v>0.93544605683334003</v>
      </c>
      <c r="AV24">
        <f>IFERROR(중분류_Rawdata!AX36/중분류_Rawdata!AW36,1)</f>
        <v>1.1002074150894479</v>
      </c>
      <c r="AW24">
        <f>IFERROR(중분류_Rawdata!AY36/중분류_Rawdata!AX36,1)</f>
        <v>0.88845685558304854</v>
      </c>
      <c r="AX24">
        <f>IFERROR(중분류_Rawdata!AZ36/중분류_Rawdata!AY36,1)</f>
        <v>1.0283807081915035</v>
      </c>
      <c r="AY24">
        <f>IFERROR(중분류_Rawdata!BA36/중분류_Rawdata!AZ36,1)</f>
        <v>1.1060482310965911</v>
      </c>
      <c r="AZ24">
        <f>IFERROR(중분류_Rawdata!BB36/중분류_Rawdata!BA36,1)</f>
        <v>0.89724057520404199</v>
      </c>
      <c r="BA24">
        <f>IFERROR(중분류_Rawdata!BC36/중분류_Rawdata!BB36,1)</f>
        <v>1.295806982586849</v>
      </c>
      <c r="BB24">
        <f>IFERROR(중분류_Rawdata!BD36/중분류_Rawdata!BC36,1)</f>
        <v>1.0998161457462812</v>
      </c>
      <c r="BC24">
        <f>IFERROR(중분류_Rawdata!BE36/중분류_Rawdata!BD36,1)</f>
        <v>0.95592839123430895</v>
      </c>
      <c r="BD24">
        <f>IFERROR(중분류_Rawdata!BF36/중분류_Rawdata!BE36,1)</f>
        <v>1.069441353216114</v>
      </c>
      <c r="BE24">
        <f>IFERROR(중분류_Rawdata!BG36/중분류_Rawdata!BF36,1)</f>
        <v>1.0264902631187749</v>
      </c>
      <c r="BF24">
        <f>IFERROR(중분류_Rawdata!BH36/중분류_Rawdata!BG36,1)</f>
        <v>0.94786537681747085</v>
      </c>
      <c r="BG24">
        <f>IFERROR(중분류_Rawdata!BI36/중분류_Rawdata!BH36,1)</f>
        <v>1.0201674509564262</v>
      </c>
      <c r="BH24">
        <f>IFERROR(중분류_Rawdata!BJ36/중분류_Rawdata!BI36,1)</f>
        <v>0.92365063200143771</v>
      </c>
      <c r="BI24">
        <f>IFERROR(중분류_Rawdata!BK36/중분류_Rawdata!BJ36,1)</f>
        <v>1.0444271492038784</v>
      </c>
      <c r="BJ24">
        <f>IFERROR(중분류_Rawdata!BL36/중분류_Rawdata!BK36,1)</f>
        <v>0.88306889806563804</v>
      </c>
      <c r="BK24">
        <f>IFERROR(중분류_Rawdata!BM36/중분류_Rawdata!BL36,1)</f>
        <v>1.1177877008544004</v>
      </c>
      <c r="BL24">
        <f>IFERROR(중분류_Rawdata!BN36/중분류_Rawdata!BM36,1)</f>
        <v>1.0248498002579345</v>
      </c>
      <c r="BM24">
        <f>IFERROR(중분류_Rawdata!BO36/중분류_Rawdata!BN36,1)</f>
        <v>0.92207114575979865</v>
      </c>
      <c r="BN24">
        <f>IFERROR(중분류_Rawdata!BP36/중분류_Rawdata!BO36,1)</f>
        <v>1.0116836428999401</v>
      </c>
      <c r="BO24">
        <f>IFERROR(중분류_Rawdata!BQ36/중분류_Rawdata!BP36,1)</f>
        <v>1.1156187279965781</v>
      </c>
    </row>
    <row r="25" spans="1:68" x14ac:dyDescent="0.4">
      <c r="A25" s="6" t="s">
        <v>26</v>
      </c>
      <c r="B25" s="4" t="s">
        <v>73</v>
      </c>
      <c r="C25">
        <f>IFERROR(중분류_Rawdata!E37/중분류_Rawdata!D37,1)</f>
        <v>1.0223073456511942</v>
      </c>
      <c r="D25">
        <f>IFERROR(중분류_Rawdata!F37/중분류_Rawdata!E37,1)</f>
        <v>0.67836676217765046</v>
      </c>
      <c r="E25">
        <f>IFERROR(중분류_Rawdata!G37/중분류_Rawdata!F37,1)</f>
        <v>1.1164405815936966</v>
      </c>
      <c r="F25">
        <f>IFERROR(중분류_Rawdata!H37/중분류_Rawdata!G37,1)</f>
        <v>1.2223798610353231</v>
      </c>
      <c r="G25">
        <f>IFERROR(중분류_Rawdata!I37/중분류_Rawdata!H37,1)</f>
        <v>0.93851556454972929</v>
      </c>
      <c r="H25">
        <f>IFERROR(중분류_Rawdata!J37/중분류_Rawdata!I37,1)</f>
        <v>0.8242960426179603</v>
      </c>
      <c r="I25">
        <f>IFERROR(중분류_Rawdata!K37/중분류_Rawdata!J37,1)</f>
        <v>0.90194268128486255</v>
      </c>
      <c r="J25">
        <f>IFERROR(중분류_Rawdata!L37/중분류_Rawdata!K37,1)</f>
        <v>0.81101253945235863</v>
      </c>
      <c r="K25">
        <f>IFERROR(중분류_Rawdata!M37/중분류_Rawdata!L37,1)</f>
        <v>0.9998422298185643</v>
      </c>
      <c r="L25">
        <f>IFERROR(중분류_Rawdata!N37/중분류_Rawdata!M37,1)</f>
        <v>1.1504839049021669</v>
      </c>
      <c r="M25">
        <f>IFERROR(중분류_Rawdata!O37/중분류_Rawdata!N37,1)</f>
        <v>0.89845928770630468</v>
      </c>
      <c r="N25">
        <f>IFERROR(중분류_Rawdata!P37/중분류_Rawdata!O37,1)</f>
        <v>0.98386932627722357</v>
      </c>
      <c r="O25">
        <f>IFERROR(중분류_Rawdata!Q37/중분류_Rawdata!P37,1)</f>
        <v>0.89081975691750714</v>
      </c>
      <c r="P25">
        <f>IFERROR(중분류_Rawdata!R37/중분류_Rawdata!Q37,1)</f>
        <v>0.84759637714816538</v>
      </c>
      <c r="Q25">
        <f>IFERROR(중분류_Rawdata!S37/중분류_Rawdata!R37,1)</f>
        <v>0.91711761079525977</v>
      </c>
      <c r="R25">
        <f>IFERROR(중분류_Rawdata!T37/중분류_Rawdata!S37,1)</f>
        <v>1.2395249831951605</v>
      </c>
      <c r="S25">
        <f>IFERROR(중분류_Rawdata!U37/중분류_Rawdata!T37,1)</f>
        <v>0.85930344661364189</v>
      </c>
      <c r="T25">
        <f>IFERROR(중분류_Rawdata!V37/중분류_Rawdata!U37,1)</f>
        <v>1.0188626323539725</v>
      </c>
      <c r="U25">
        <f>IFERROR(중분류_Rawdata!W37/중분류_Rawdata!V37,1)</f>
        <v>1.321816930488644</v>
      </c>
      <c r="V25">
        <f>IFERROR(중분류_Rawdata!X37/중분류_Rawdata!W37,1)</f>
        <v>1.0649796938456733</v>
      </c>
      <c r="W25">
        <f>IFERROR(중분류_Rawdata!Y37/중분류_Rawdata!X37,1)</f>
        <v>0.83514227046054557</v>
      </c>
      <c r="X25">
        <f>IFERROR(중분류_Rawdata!Z37/중분류_Rawdata!Y37,1)</f>
        <v>0.97365648050579556</v>
      </c>
      <c r="Y25">
        <f>IFERROR(중분류_Rawdata!AA37/중분류_Rawdata!Z37,1)</f>
        <v>1.0683020683020683</v>
      </c>
      <c r="Z25">
        <f>IFERROR(중분류_Rawdata!AB37/중분류_Rawdata!AA37,1)</f>
        <v>0.89312246735704637</v>
      </c>
      <c r="AA25">
        <f>IFERROR(중분류_Rawdata!AC37/중분류_Rawdata!AB37,1)</f>
        <v>1.2227613586237318</v>
      </c>
      <c r="AB25">
        <f>IFERROR(중분류_Rawdata!AD37/중분류_Rawdata!AC37,1)</f>
        <v>1.1212121212121213</v>
      </c>
      <c r="AC25">
        <f>IFERROR(중분류_Rawdata!AE37/중분류_Rawdata!AD37,1)</f>
        <v>0.81880860452289017</v>
      </c>
      <c r="AD25">
        <f>IFERROR(중분류_Rawdata!AF37/중분류_Rawdata!AE37,1)</f>
        <v>0.88632536207477264</v>
      </c>
      <c r="AE25">
        <f>IFERROR(중분류_Rawdata!AG37/중분류_Rawdata!AF37,1)</f>
        <v>1.0462347203749447</v>
      </c>
      <c r="AF25">
        <f>IFERROR(중분류_Rawdata!AH37/중분류_Rawdata!AG37,1)</f>
        <v>0.67776499788122768</v>
      </c>
      <c r="AG25">
        <f>IFERROR(중분류_Rawdata!AI37/중분류_Rawdata!AH37,1)</f>
        <v>0.72677742050732408</v>
      </c>
      <c r="AH25">
        <f>IFERROR(중분류_Rawdata!AJ37/중분류_Rawdata!AI37,1)</f>
        <v>1.0861496866166891</v>
      </c>
      <c r="AI25">
        <f>IFERROR(중분류_Rawdata!AK37/중분류_Rawdata!AJ37,1)</f>
        <v>1.6942747227879613</v>
      </c>
      <c r="AJ25">
        <f>IFERROR(중분류_Rawdata!AL37/중분류_Rawdata!AK37,1)</f>
        <v>1.1001736342994524</v>
      </c>
      <c r="AK25">
        <f>IFERROR(중분류_Rawdata!AM37/중분류_Rawdata!AL37,1)</f>
        <v>0.97225931771275942</v>
      </c>
      <c r="AL25">
        <f>IFERROR(중분류_Rawdata!AN37/중분류_Rawdata!AM37,1)</f>
        <v>1.0819754011362928</v>
      </c>
      <c r="AM25">
        <f>IFERROR(중분류_Rawdata!AO37/중분류_Rawdata!AN37,1)</f>
        <v>1.1155799192152338</v>
      </c>
      <c r="AN25">
        <f>IFERROR(중분류_Rawdata!AP37/중분류_Rawdata!AO37,1)</f>
        <v>0.91356747530129823</v>
      </c>
      <c r="AO25">
        <f>IFERROR(중분류_Rawdata!AQ37/중분류_Rawdata!AP37,1)</f>
        <v>1.0467104518174613</v>
      </c>
      <c r="AP25">
        <f>IFERROR(중분류_Rawdata!AR37/중분류_Rawdata!AQ37,1)</f>
        <v>0.96732839292475803</v>
      </c>
      <c r="AQ25">
        <f>IFERROR(중분류_Rawdata!AS37/중분류_Rawdata!AR37,1)</f>
        <v>0.85572890454621697</v>
      </c>
      <c r="AR25">
        <f>IFERROR(중분류_Rawdata!AT37/중분류_Rawdata!AS37,1)</f>
        <v>0.79579167483499968</v>
      </c>
      <c r="AS25">
        <f>IFERROR(중분류_Rawdata!AU37/중분류_Rawdata!AT37,1)</f>
        <v>1.112990638856955</v>
      </c>
      <c r="AT25">
        <f>IFERROR(중분류_Rawdata!AV37/중분류_Rawdata!AU37,1)</f>
        <v>1.1557473808469825</v>
      </c>
      <c r="AU25">
        <f>IFERROR(중분류_Rawdata!AW37/중분류_Rawdata!AV37,1)</f>
        <v>0.97114586658155111</v>
      </c>
      <c r="AV25">
        <f>IFERROR(중분류_Rawdata!AX37/중분류_Rawdata!AW37,1)</f>
        <v>1.0235982383487807</v>
      </c>
      <c r="AW25">
        <f>IFERROR(중분류_Rawdata!AY37/중분류_Rawdata!AX37,1)</f>
        <v>1.065630619059851</v>
      </c>
      <c r="AX25">
        <f>IFERROR(중분류_Rawdata!AZ37/중분류_Rawdata!AY37,1)</f>
        <v>1.034229239484151</v>
      </c>
      <c r="AY25">
        <f>IFERROR(중분류_Rawdata!BA37/중분류_Rawdata!AZ37,1)</f>
        <v>1.0993473954084605</v>
      </c>
      <c r="AZ25">
        <f>IFERROR(중분류_Rawdata!BB37/중분류_Rawdata!BA37,1)</f>
        <v>0.84825356442465683</v>
      </c>
      <c r="BA25">
        <f>IFERROR(중분류_Rawdata!BC37/중분류_Rawdata!BB37,1)</f>
        <v>0.94588852786803301</v>
      </c>
      <c r="BB25">
        <f>IFERROR(중분류_Rawdata!BD37/중분류_Rawdata!BC37,1)</f>
        <v>0.91009380367287629</v>
      </c>
      <c r="BC25">
        <f>IFERROR(중분류_Rawdata!BE37/중분류_Rawdata!BD37,1)</f>
        <v>0.97016767075560706</v>
      </c>
      <c r="BD25">
        <f>IFERROR(중분류_Rawdata!BF37/중분류_Rawdata!BE37,1)</f>
        <v>0.92712853508903192</v>
      </c>
      <c r="BE25">
        <f>IFERROR(중분류_Rawdata!BG37/중분류_Rawdata!BF37,1)</f>
        <v>0.97675919948353784</v>
      </c>
      <c r="BF25">
        <f>IFERROR(중분류_Rawdata!BH37/중분류_Rawdata!BG37,1)</f>
        <v>1.1737442167878387</v>
      </c>
      <c r="BG25">
        <f>IFERROR(중분류_Rawdata!BI37/중분류_Rawdata!BH37,1)</f>
        <v>0.93221651298655595</v>
      </c>
      <c r="BH25">
        <f>IFERROR(중분류_Rawdata!BJ37/중분류_Rawdata!BI37,1)</f>
        <v>0.97780126849894289</v>
      </c>
      <c r="BI25">
        <f>IFERROR(중분류_Rawdata!BK37/중분류_Rawdata!BJ37,1)</f>
        <v>1.0894980694980696</v>
      </c>
      <c r="BJ25">
        <f>IFERROR(중분류_Rawdata!BL37/중분류_Rawdata!BK37,1)</f>
        <v>0.92068892196470342</v>
      </c>
      <c r="BK25">
        <f>IFERROR(중분류_Rawdata!BM37/중분류_Rawdata!BL37,1)</f>
        <v>1.0192455735180908</v>
      </c>
      <c r="BL25">
        <f>IFERROR(중분류_Rawdata!BN37/중분류_Rawdata!BM37,1)</f>
        <v>1.0074018126888218</v>
      </c>
      <c r="BM25">
        <f>IFERROR(중분류_Rawdata!BO37/중분류_Rawdata!BN37,1)</f>
        <v>0.88581496476233323</v>
      </c>
      <c r="BN25">
        <f>IFERROR(중분류_Rawdata!BP37/중분류_Rawdata!BO37,1)</f>
        <v>1.1038510368176047</v>
      </c>
      <c r="BO25">
        <f>IFERROR(중분류_Rawdata!BQ37/중분류_Rawdata!BP37,1)</f>
        <v>1.11838675049839</v>
      </c>
    </row>
    <row r="26" spans="1:68" x14ac:dyDescent="0.4">
      <c r="A26" s="6" t="s">
        <v>27</v>
      </c>
      <c r="B26" s="4" t="s">
        <v>74</v>
      </c>
      <c r="C26">
        <f>IFERROR(중분류_Rawdata!E38/중분류_Rawdata!D38,1)</f>
        <v>1.1227147360126082</v>
      </c>
      <c r="D26">
        <f>IFERROR(중분류_Rawdata!F38/중분류_Rawdata!E38,1)</f>
        <v>0.80464651073014093</v>
      </c>
      <c r="E26">
        <f>IFERROR(중분류_Rawdata!G38/중분류_Rawdata!F38,1)</f>
        <v>1.1887212142358687</v>
      </c>
      <c r="F26">
        <f>IFERROR(중분류_Rawdata!H38/중분류_Rawdata!G38,1)</f>
        <v>1.5200330214639517</v>
      </c>
      <c r="G26">
        <f>IFERROR(중분류_Rawdata!I38/중분류_Rawdata!H38,1)</f>
        <v>0.96933270574604424</v>
      </c>
      <c r="H26">
        <f>IFERROR(중분류_Rawdata!J38/중분류_Rawdata!I38,1)</f>
        <v>0.97001842721251064</v>
      </c>
      <c r="I26">
        <f>IFERROR(중분류_Rawdata!K38/중분류_Rawdata!J38,1)</f>
        <v>1.1362889562047542</v>
      </c>
      <c r="J26">
        <f>IFERROR(중분류_Rawdata!L38/중분류_Rawdata!K38,1)</f>
        <v>0.71258161444095525</v>
      </c>
      <c r="K26">
        <f>IFERROR(중분류_Rawdata!M38/중분류_Rawdata!L38,1)</f>
        <v>1.148964839415364</v>
      </c>
      <c r="L26">
        <f>IFERROR(중분류_Rawdata!N38/중분류_Rawdata!M38,1)</f>
        <v>1.3617875522565157</v>
      </c>
      <c r="M26">
        <f>IFERROR(중분류_Rawdata!O38/중분류_Rawdata!N38,1)</f>
        <v>1.0508201537978339</v>
      </c>
      <c r="N26">
        <f>IFERROR(중분류_Rawdata!P38/중분류_Rawdata!O38,1)</f>
        <v>1.1744458478359381</v>
      </c>
      <c r="O26">
        <f>IFERROR(중분류_Rawdata!Q38/중분류_Rawdata!P38,1)</f>
        <v>0.94108037106969877</v>
      </c>
      <c r="P26">
        <f>IFERROR(중분류_Rawdata!R38/중분류_Rawdata!Q38,1)</f>
        <v>0.89017996562944368</v>
      </c>
      <c r="Q26">
        <f>IFERROR(중분류_Rawdata!S38/중분류_Rawdata!R38,1)</f>
        <v>0.96735721845478417</v>
      </c>
      <c r="R26">
        <f>IFERROR(중분류_Rawdata!T38/중분류_Rawdata!S38,1)</f>
        <v>1.2331911703625662</v>
      </c>
      <c r="S26">
        <f>IFERROR(중분류_Rawdata!U38/중분류_Rawdata!T38,1)</f>
        <v>0.93354253606282667</v>
      </c>
      <c r="T26">
        <f>IFERROR(중분류_Rawdata!V38/중분류_Rawdata!U38,1)</f>
        <v>1.127461677900776</v>
      </c>
      <c r="U26">
        <f>IFERROR(중분류_Rawdata!W38/중분류_Rawdata!V38,1)</f>
        <v>1.0941799932879097</v>
      </c>
      <c r="V26">
        <f>IFERROR(중분류_Rawdata!X38/중분류_Rawdata!W38,1)</f>
        <v>1.1715622637202734</v>
      </c>
      <c r="W26">
        <f>IFERROR(중분류_Rawdata!Y38/중분류_Rawdata!X38,1)</f>
        <v>0.89680722818211711</v>
      </c>
      <c r="X26">
        <f>IFERROR(중분류_Rawdata!Z38/중분류_Rawdata!Y38,1)</f>
        <v>1.0714203276373586</v>
      </c>
      <c r="Y26">
        <f>IFERROR(중분류_Rawdata!AA38/중분류_Rawdata!Z38,1)</f>
        <v>0.98048372482051982</v>
      </c>
      <c r="Z26">
        <f>IFERROR(중분류_Rawdata!AB38/중분류_Rawdata!AA38,1)</f>
        <v>0.88844297097656033</v>
      </c>
      <c r="AA26">
        <f>IFERROR(중분류_Rawdata!AC38/중분류_Rawdata!AB38,1)</f>
        <v>0.95041280232769587</v>
      </c>
      <c r="AB26">
        <f>IFERROR(중분류_Rawdata!AD38/중분류_Rawdata!AC38,1)</f>
        <v>1.1179874175327955</v>
      </c>
      <c r="AC26">
        <f>IFERROR(중분류_Rawdata!AE38/중분류_Rawdata!AD38,1)</f>
        <v>0.91531004833166751</v>
      </c>
      <c r="AD26">
        <f>IFERROR(중분류_Rawdata!AF38/중분류_Rawdata!AE38,1)</f>
        <v>0.98223674861446642</v>
      </c>
      <c r="AE26">
        <f>IFERROR(중분류_Rawdata!AG38/중분류_Rawdata!AF38,1)</f>
        <v>1.3048245614035088</v>
      </c>
      <c r="AF26">
        <f>IFERROR(중분류_Rawdata!AH38/중분류_Rawdata!AG38,1)</f>
        <v>0.68769841269841281</v>
      </c>
      <c r="AG26">
        <f>IFERROR(중분류_Rawdata!AI38/중분류_Rawdata!AH38,1)</f>
        <v>0.86466005906113164</v>
      </c>
      <c r="AH26">
        <f>IFERROR(중분류_Rawdata!AJ38/중분류_Rawdata!AI38,1)</f>
        <v>0.99599587810981893</v>
      </c>
      <c r="AI26">
        <f>IFERROR(중분류_Rawdata!AK38/중분류_Rawdata!AJ38,1)</f>
        <v>1.2010011134431009</v>
      </c>
      <c r="AJ26">
        <f>IFERROR(중분류_Rawdata!AL38/중분류_Rawdata!AK38,1)</f>
        <v>1.4025811003724793</v>
      </c>
      <c r="AK26">
        <f>IFERROR(중분류_Rawdata!AM38/중분류_Rawdata!AL38,1)</f>
        <v>0.92186247842999625</v>
      </c>
      <c r="AL26">
        <f>IFERROR(중분류_Rawdata!AN38/중분류_Rawdata!AM38,1)</f>
        <v>1.0496329244846032</v>
      </c>
      <c r="AM26">
        <f>IFERROR(중분류_Rawdata!AO38/중분류_Rawdata!AN38,1)</f>
        <v>1.0657965529957258</v>
      </c>
      <c r="AN26">
        <f>IFERROR(중분류_Rawdata!AP38/중분류_Rawdata!AO38,1)</f>
        <v>0.95541198958611029</v>
      </c>
      <c r="AO26">
        <f>IFERROR(중분류_Rawdata!AQ38/중분류_Rawdata!AP38,1)</f>
        <v>1.0953206444948409</v>
      </c>
      <c r="AP26">
        <f>IFERROR(중분류_Rawdata!AR38/중분류_Rawdata!AQ38,1)</f>
        <v>1.130651822783987</v>
      </c>
      <c r="AQ26">
        <f>IFERROR(중분류_Rawdata!AS38/중분류_Rawdata!AR38,1)</f>
        <v>0.98235883472433272</v>
      </c>
      <c r="AR26">
        <f>IFERROR(중분류_Rawdata!AT38/중분류_Rawdata!AS38,1)</f>
        <v>0.8046973741356509</v>
      </c>
      <c r="AS26">
        <f>IFERROR(중분류_Rawdata!AU38/중분류_Rawdata!AT38,1)</f>
        <v>1.3161169428930086</v>
      </c>
      <c r="AT26">
        <f>IFERROR(중분류_Rawdata!AV38/중분류_Rawdata!AU38,1)</f>
        <v>1.2083822899243879</v>
      </c>
      <c r="AU26">
        <f>IFERROR(중분류_Rawdata!AW38/중분류_Rawdata!AV38,1)</f>
        <v>0.97092132055183156</v>
      </c>
      <c r="AV26">
        <f>IFERROR(중분류_Rawdata!AX38/중분류_Rawdata!AW38,1)</f>
        <v>1.0104544669085882</v>
      </c>
      <c r="AW26">
        <f>IFERROR(중분류_Rawdata!AY38/중분류_Rawdata!AX38,1)</f>
        <v>1.1283143534533018</v>
      </c>
      <c r="AX26">
        <f>IFERROR(중분류_Rawdata!AZ38/중분류_Rawdata!AY38,1)</f>
        <v>1.0960544808201058</v>
      </c>
      <c r="AY26">
        <f>IFERROR(중분류_Rawdata!BA38/중분류_Rawdata!AZ38,1)</f>
        <v>1.017596459965618</v>
      </c>
      <c r="AZ26">
        <f>IFERROR(중분류_Rawdata!BB38/중분류_Rawdata!BA38,1)</f>
        <v>0.88596550829555143</v>
      </c>
      <c r="BA26">
        <f>IFERROR(중분류_Rawdata!BC38/중분류_Rawdata!BB38,1)</f>
        <v>1.1028183988984366</v>
      </c>
      <c r="BB26">
        <f>IFERROR(중분류_Rawdata!BD38/중분류_Rawdata!BC38,1)</f>
        <v>0.92640662536351004</v>
      </c>
      <c r="BC26">
        <f>IFERROR(중분류_Rawdata!BE38/중분류_Rawdata!BD38,1)</f>
        <v>1.079862698667249</v>
      </c>
      <c r="BD26">
        <f>IFERROR(중분류_Rawdata!BF38/중분류_Rawdata!BE38,1)</f>
        <v>0.88358337230318118</v>
      </c>
      <c r="BE26">
        <f>IFERROR(중분류_Rawdata!BG38/중분류_Rawdata!BF38,1)</f>
        <v>1.0444142468888571</v>
      </c>
      <c r="BF26">
        <f>IFERROR(중분류_Rawdata!BH38/중분류_Rawdata!BG38,1)</f>
        <v>1.0458501677737453</v>
      </c>
      <c r="BG26">
        <f>IFERROR(중분류_Rawdata!BI38/중분류_Rawdata!BH38,1)</f>
        <v>0.99412344369473327</v>
      </c>
      <c r="BH26">
        <f>IFERROR(중분류_Rawdata!BJ38/중분류_Rawdata!BI38,1)</f>
        <v>0.81277498221671896</v>
      </c>
      <c r="BI26">
        <f>IFERROR(중분류_Rawdata!BK38/중분류_Rawdata!BJ38,1)</f>
        <v>1.1259339394823422</v>
      </c>
      <c r="BJ26">
        <f>IFERROR(중분류_Rawdata!BL38/중분류_Rawdata!BK38,1)</f>
        <v>0.9296183673102183</v>
      </c>
      <c r="BK26">
        <f>IFERROR(중분류_Rawdata!BM38/중분류_Rawdata!BL38,1)</f>
        <v>1.0783774053815511</v>
      </c>
      <c r="BL26">
        <f>IFERROR(중분류_Rawdata!BN38/중분류_Rawdata!BM38,1)</f>
        <v>1.2391608692842837</v>
      </c>
      <c r="BM26">
        <f>IFERROR(중분류_Rawdata!BO38/중분류_Rawdata!BN38,1)</f>
        <v>1.0786215447366438</v>
      </c>
      <c r="BN26">
        <f>IFERROR(중분류_Rawdata!BP38/중분류_Rawdata!BO38,1)</f>
        <v>1.0963559991190799</v>
      </c>
      <c r="BO26">
        <f>IFERROR(중분류_Rawdata!BQ38/중분류_Rawdata!BP38,1)</f>
        <v>1.1696214004874881</v>
      </c>
    </row>
    <row r="27" spans="1:68" x14ac:dyDescent="0.4">
      <c r="A27" s="6" t="s">
        <v>28</v>
      </c>
      <c r="B27" s="4" t="s">
        <v>75</v>
      </c>
      <c r="C27">
        <f>IFERROR(중분류_Rawdata!E39/중분류_Rawdata!D39,1)</f>
        <v>1.1666520685527428</v>
      </c>
      <c r="D27">
        <f>IFERROR(중분류_Rawdata!F39/중분류_Rawdata!E39,1)</f>
        <v>0.76300708225931579</v>
      </c>
      <c r="E27">
        <f>IFERROR(중분류_Rawdata!G39/중분류_Rawdata!F39,1)</f>
        <v>1.462921053494703</v>
      </c>
      <c r="F27">
        <f>IFERROR(중분류_Rawdata!H39/중분류_Rawdata!G39,1)</f>
        <v>1.6595744680851066</v>
      </c>
      <c r="G27">
        <f>IFERROR(중분류_Rawdata!I39/중분류_Rawdata!H39,1)</f>
        <v>0.73028288887087622</v>
      </c>
      <c r="H27">
        <f>IFERROR(중분류_Rawdata!J39/중분류_Rawdata!I39,1)</f>
        <v>0.88114397765321784</v>
      </c>
      <c r="I27">
        <f>IFERROR(중분류_Rawdata!K39/중분류_Rawdata!J39,1)</f>
        <v>0.98347749412159891</v>
      </c>
      <c r="J27">
        <f>IFERROR(중분류_Rawdata!L39/중분류_Rawdata!K39,1)</f>
        <v>0.82730280712989657</v>
      </c>
      <c r="K27">
        <f>IFERROR(중분류_Rawdata!M39/중분류_Rawdata!L39,1)</f>
        <v>1.0434266546252096</v>
      </c>
      <c r="L27">
        <f>IFERROR(중분류_Rawdata!N39/중분류_Rawdata!M39,1)</f>
        <v>1.3908452445719373</v>
      </c>
      <c r="M27">
        <f>IFERROR(중분류_Rawdata!O39/중분류_Rawdata!N39,1)</f>
        <v>0.92813327880802954</v>
      </c>
      <c r="N27">
        <f>IFERROR(중분류_Rawdata!P39/중분류_Rawdata!O39,1)</f>
        <v>1.0488496388958066</v>
      </c>
      <c r="O27">
        <f>IFERROR(중분류_Rawdata!Q39/중분류_Rawdata!P39,1)</f>
        <v>0.99063030812222608</v>
      </c>
      <c r="P27">
        <f>IFERROR(중분류_Rawdata!R39/중분류_Rawdata!Q39,1)</f>
        <v>0.893285150632398</v>
      </c>
      <c r="Q27">
        <f>IFERROR(중분류_Rawdata!S39/중분류_Rawdata!R39,1)</f>
        <v>1.0973993808049536</v>
      </c>
      <c r="R27">
        <f>IFERROR(중분류_Rawdata!T39/중분류_Rawdata!S39,1)</f>
        <v>1.3267693580845978</v>
      </c>
      <c r="S27">
        <f>IFERROR(중분류_Rawdata!U39/중분류_Rawdata!T39,1)</f>
        <v>0.9297591539911827</v>
      </c>
      <c r="T27">
        <f>IFERROR(중분류_Rawdata!V39/중분류_Rawdata!U39,1)</f>
        <v>0.89101664938708303</v>
      </c>
      <c r="U27">
        <f>IFERROR(중분류_Rawdata!W39/중분류_Rawdata!V39,1)</f>
        <v>1.2543805612594112</v>
      </c>
      <c r="V27">
        <f>IFERROR(중분류_Rawdata!X39/중분류_Rawdata!W39,1)</f>
        <v>1.0435844269227621</v>
      </c>
      <c r="W27">
        <f>IFERROR(중분류_Rawdata!Y39/중분류_Rawdata!X39,1)</f>
        <v>0.85364897190886391</v>
      </c>
      <c r="X27">
        <f>IFERROR(중분류_Rawdata!Z39/중분류_Rawdata!Y39,1)</f>
        <v>0.94354184212541148</v>
      </c>
      <c r="Y27">
        <f>IFERROR(중분류_Rawdata!AA39/중분류_Rawdata!Z39,1)</f>
        <v>0.95918400467395892</v>
      </c>
      <c r="Z27">
        <f>IFERROR(중분류_Rawdata!AB39/중분류_Rawdata!AA39,1)</f>
        <v>0.99270764597397776</v>
      </c>
      <c r="AA27">
        <f>IFERROR(중분류_Rawdata!AC39/중분류_Rawdata!AB39,1)</f>
        <v>1.2329901827106626</v>
      </c>
      <c r="AB27">
        <f>IFERROR(중분류_Rawdata!AD39/중분류_Rawdata!AC39,1)</f>
        <v>1.0929059191064665</v>
      </c>
      <c r="AC27">
        <f>IFERROR(중분류_Rawdata!AE39/중분류_Rawdata!AD39,1)</f>
        <v>1.2751982596157496</v>
      </c>
      <c r="AD27">
        <f>IFERROR(중분류_Rawdata!AF39/중분류_Rawdata!AE39,1)</f>
        <v>0.95412662044613716</v>
      </c>
      <c r="AE27">
        <f>IFERROR(중분류_Rawdata!AG39/중분류_Rawdata!AF39,1)</f>
        <v>1.2695330367167033</v>
      </c>
      <c r="AF27">
        <f>IFERROR(중분류_Rawdata!AH39/중분류_Rawdata!AG39,1)</f>
        <v>0.73418001375650976</v>
      </c>
      <c r="AG27">
        <f>IFERROR(중분류_Rawdata!AI39/중분류_Rawdata!AH39,1)</f>
        <v>0.71810486164553156</v>
      </c>
      <c r="AH27">
        <f>IFERROR(중분류_Rawdata!AJ39/중분류_Rawdata!AI39,1)</f>
        <v>0.96149784114559067</v>
      </c>
      <c r="AI27">
        <f>IFERROR(중분류_Rawdata!AK39/중분류_Rawdata!AJ39,1)</f>
        <v>1.6236774516613628</v>
      </c>
      <c r="AJ27">
        <f>IFERROR(중분류_Rawdata!AL39/중분류_Rawdata!AK39,1)</f>
        <v>1.1680511754230627</v>
      </c>
      <c r="AK27">
        <f>IFERROR(중분류_Rawdata!AM39/중분류_Rawdata!AL39,1)</f>
        <v>0.77063938880324334</v>
      </c>
      <c r="AL27">
        <f>IFERROR(중분류_Rawdata!AN39/중분류_Rawdata!AM39,1)</f>
        <v>1.0163240495137047</v>
      </c>
      <c r="AM27">
        <f>IFERROR(중분류_Rawdata!AO39/중분류_Rawdata!AN39,1)</f>
        <v>1.0026316647998521</v>
      </c>
      <c r="AN27">
        <f>IFERROR(중분류_Rawdata!AP39/중분류_Rawdata!AO39,1)</f>
        <v>1.0492521610863459</v>
      </c>
      <c r="AO27">
        <f>IFERROR(중분류_Rawdata!AQ39/중분류_Rawdata!AP39,1)</f>
        <v>1.013562125284267</v>
      </c>
      <c r="AP27">
        <f>IFERROR(중분류_Rawdata!AR39/중분류_Rawdata!AQ39,1)</f>
        <v>1.0053441031289521</v>
      </c>
      <c r="AQ27">
        <f>IFERROR(중분류_Rawdata!AS39/중분류_Rawdata!AR39,1)</f>
        <v>0.97822999513066056</v>
      </c>
      <c r="AR27">
        <f>IFERROR(중분류_Rawdata!AT39/중분류_Rawdata!AS39,1)</f>
        <v>0.70353624390749769</v>
      </c>
      <c r="AS27">
        <f>IFERROR(중분류_Rawdata!AU39/중분류_Rawdata!AT39,1)</f>
        <v>1.0505144305887211</v>
      </c>
      <c r="AT27">
        <f>IFERROR(중분류_Rawdata!AV39/중분류_Rawdata!AU39,1)</f>
        <v>1.165289256198347</v>
      </c>
      <c r="AU27">
        <f>IFERROR(중분류_Rawdata!AW39/중분류_Rawdata!AV39,1)</f>
        <v>0.78371804597285943</v>
      </c>
      <c r="AV27">
        <f>IFERROR(중분류_Rawdata!AX39/중분류_Rawdata!AW39,1)</f>
        <v>1.0891883171754728</v>
      </c>
      <c r="AW27">
        <f>IFERROR(중분류_Rawdata!AY39/중분류_Rawdata!AX39,1)</f>
        <v>1.0699937933758392</v>
      </c>
      <c r="AX27">
        <f>IFERROR(중분류_Rawdata!AZ39/중분류_Rawdata!AY39,1)</f>
        <v>1.0488965644527646</v>
      </c>
      <c r="AY27">
        <f>IFERROR(중분류_Rawdata!BA39/중분류_Rawdata!AZ39,1)</f>
        <v>1.0380076166057086</v>
      </c>
      <c r="AZ27">
        <f>IFERROR(중분류_Rawdata!BB39/중분류_Rawdata!BA39,1)</f>
        <v>0.89373630232361023</v>
      </c>
      <c r="BA27">
        <f>IFERROR(중분류_Rawdata!BC39/중분류_Rawdata!BB39,1)</f>
        <v>0.95059002045765528</v>
      </c>
      <c r="BB27">
        <f>IFERROR(중분류_Rawdata!BD39/중분류_Rawdata!BC39,1)</f>
        <v>0.90493700473177141</v>
      </c>
      <c r="BC27">
        <f>IFERROR(중분류_Rawdata!BE39/중분류_Rawdata!BD39,1)</f>
        <v>1.1530065832992094</v>
      </c>
      <c r="BD27">
        <f>IFERROR(중분류_Rawdata!BF39/중분류_Rawdata!BE39,1)</f>
        <v>1.0080044803234576</v>
      </c>
      <c r="BE27">
        <f>IFERROR(중분류_Rawdata!BG39/중분류_Rawdata!BF39,1)</f>
        <v>0.87461210109085974</v>
      </c>
      <c r="BF27">
        <f>IFERROR(중분류_Rawdata!BH39/중분류_Rawdata!BG39,1)</f>
        <v>1.0197080970530819</v>
      </c>
      <c r="BG27">
        <f>IFERROR(중분류_Rawdata!BI39/중분류_Rawdata!BH39,1)</f>
        <v>0.92364846385267574</v>
      </c>
      <c r="BH27">
        <f>IFERROR(중분류_Rawdata!BJ39/중분류_Rawdata!BI39,1)</f>
        <v>0.77721298261198568</v>
      </c>
      <c r="BI27">
        <f>IFERROR(중분류_Rawdata!BK39/중분류_Rawdata!BJ39,1)</f>
        <v>1.2637048639038224</v>
      </c>
      <c r="BJ27">
        <f>IFERROR(중분류_Rawdata!BL39/중분류_Rawdata!BK39,1)</f>
        <v>0.99122351561845745</v>
      </c>
      <c r="BK27">
        <f>IFERROR(중분류_Rawdata!BM39/중분류_Rawdata!BL39,1)</f>
        <v>1.0025852891975466</v>
      </c>
      <c r="BL27">
        <f>IFERROR(중분류_Rawdata!BN39/중분류_Rawdata!BM39,1)</f>
        <v>1.0140391680992347</v>
      </c>
      <c r="BM27">
        <f>IFERROR(중분류_Rawdata!BO39/중분류_Rawdata!BN39,1)</f>
        <v>0.84867119849751527</v>
      </c>
      <c r="BN27">
        <f>IFERROR(중분류_Rawdata!BP39/중분류_Rawdata!BO39,1)</f>
        <v>1.2607026751791939</v>
      </c>
      <c r="BO27">
        <f>IFERROR(중분류_Rawdata!BQ39/중분류_Rawdata!BP39,1)</f>
        <v>1.2920433715475192</v>
      </c>
    </row>
    <row r="28" spans="1:68" x14ac:dyDescent="0.4">
      <c r="A28" s="6" t="s">
        <v>29</v>
      </c>
      <c r="B28" s="4" t="s">
        <v>76</v>
      </c>
      <c r="C28">
        <f>IFERROR(중분류_Rawdata!E40/중분류_Rawdata!D40,1)</f>
        <v>0.99257993702382963</v>
      </c>
      <c r="D28">
        <f>IFERROR(중분류_Rawdata!F40/중분류_Rawdata!E40,1)</f>
        <v>0.81328182855312925</v>
      </c>
      <c r="E28">
        <f>IFERROR(중분류_Rawdata!G40/중분류_Rawdata!F40,1)</f>
        <v>1.0964094108382143</v>
      </c>
      <c r="F28">
        <f>IFERROR(중분류_Rawdata!H40/중분류_Rawdata!G40,1)</f>
        <v>1.2758605209701133</v>
      </c>
      <c r="G28">
        <f>IFERROR(중분류_Rawdata!I40/중분류_Rawdata!H40,1)</f>
        <v>1.2109726168380499</v>
      </c>
      <c r="H28">
        <f>IFERROR(중분류_Rawdata!J40/중분류_Rawdata!I40,1)</f>
        <v>0.97940682952341507</v>
      </c>
      <c r="I28">
        <f>IFERROR(중분류_Rawdata!K40/중분류_Rawdata!J40,1)</f>
        <v>0.92965319805387447</v>
      </c>
      <c r="J28">
        <f>IFERROR(중분류_Rawdata!L40/중분류_Rawdata!K40,1)</f>
        <v>0.78988727293034533</v>
      </c>
      <c r="K28">
        <f>IFERROR(중분류_Rawdata!M40/중분류_Rawdata!L40,1)</f>
        <v>1.1685587314412686</v>
      </c>
      <c r="L28">
        <f>IFERROR(중분류_Rawdata!N40/중분류_Rawdata!M40,1)</f>
        <v>1.4461231298455475</v>
      </c>
      <c r="M28">
        <f>IFERROR(중분류_Rawdata!O40/중분류_Rawdata!N40,1)</f>
        <v>0.98556017093506254</v>
      </c>
      <c r="N28">
        <f>IFERROR(중분류_Rawdata!P40/중분류_Rawdata!O40,1)</f>
        <v>1.2302500318376703</v>
      </c>
      <c r="O28">
        <f>IFERROR(중분류_Rawdata!Q40/중분류_Rawdata!P40,1)</f>
        <v>0.80533058604898777</v>
      </c>
      <c r="P28">
        <f>IFERROR(중분류_Rawdata!R40/중분류_Rawdata!Q40,1)</f>
        <v>0.89441469013006891</v>
      </c>
      <c r="Q28">
        <f>IFERROR(중분류_Rawdata!S40/중분류_Rawdata!R40,1)</f>
        <v>0.99334816082121469</v>
      </c>
      <c r="R28">
        <f>IFERROR(중분류_Rawdata!T40/중분류_Rawdata!S40,1)</f>
        <v>1.2073191735616902</v>
      </c>
      <c r="S28">
        <f>IFERROR(중분류_Rawdata!U40/중분류_Rawdata!T40,1)</f>
        <v>0.91504513655090547</v>
      </c>
      <c r="T28">
        <f>IFERROR(중분류_Rawdata!V40/중분류_Rawdata!U40,1)</f>
        <v>0.95987103855124167</v>
      </c>
      <c r="U28">
        <f>IFERROR(중분류_Rawdata!W40/중분류_Rawdata!V40,1)</f>
        <v>1.1047926560682939</v>
      </c>
      <c r="V28">
        <f>IFERROR(중분류_Rawdata!X40/중분류_Rawdata!W40,1)</f>
        <v>0.90672907858138352</v>
      </c>
      <c r="W28">
        <f>IFERROR(중분류_Rawdata!Y40/중분류_Rawdata!X40,1)</f>
        <v>0.86816436650409878</v>
      </c>
      <c r="X28">
        <f>IFERROR(중분류_Rawdata!Z40/중분류_Rawdata!Y40,1)</f>
        <v>1.0098009920516344</v>
      </c>
      <c r="Y28">
        <f>IFERROR(중분류_Rawdata!AA40/중분류_Rawdata!Z40,1)</f>
        <v>0.85609871574835772</v>
      </c>
      <c r="Z28">
        <f>IFERROR(중분류_Rawdata!AB40/중분류_Rawdata!AA40,1)</f>
        <v>0.96326604680100936</v>
      </c>
      <c r="AA28">
        <f>IFERROR(중분류_Rawdata!AC40/중분류_Rawdata!AB40,1)</f>
        <v>1.2005238936782898</v>
      </c>
      <c r="AB28">
        <f>IFERROR(중분류_Rawdata!AD40/중분류_Rawdata!AC40,1)</f>
        <v>1.04902634764545</v>
      </c>
      <c r="AC28">
        <f>IFERROR(중분류_Rawdata!AE40/중분류_Rawdata!AD40,1)</f>
        <v>1.081581627928512</v>
      </c>
      <c r="AD28">
        <f>IFERROR(중분류_Rawdata!AF40/중분류_Rawdata!AE40,1)</f>
        <v>0.91591148577449943</v>
      </c>
      <c r="AE28">
        <f>IFERROR(중분류_Rawdata!AG40/중분류_Rawdata!AF40,1)</f>
        <v>1.070258571099862</v>
      </c>
      <c r="AF28">
        <f>IFERROR(중분류_Rawdata!AH40/중분류_Rawdata!AG40,1)</f>
        <v>0.70433947179242551</v>
      </c>
      <c r="AG28">
        <f>IFERROR(중분류_Rawdata!AI40/중분류_Rawdata!AH40,1)</f>
        <v>0.71852226334465263</v>
      </c>
      <c r="AH28">
        <f>IFERROR(중분류_Rawdata!AJ40/중분류_Rawdata!AI40,1)</f>
        <v>1.2468570366535241</v>
      </c>
      <c r="AI28">
        <f>IFERROR(중분류_Rawdata!AK40/중분류_Rawdata!AJ40,1)</f>
        <v>1.4056557569046655</v>
      </c>
      <c r="AJ28">
        <f>IFERROR(중분류_Rawdata!AL40/중분류_Rawdata!AK40,1)</f>
        <v>1.2284694975079911</v>
      </c>
      <c r="AK28">
        <f>IFERROR(중분류_Rawdata!AM40/중분류_Rawdata!AL40,1)</f>
        <v>0.8492523969540956</v>
      </c>
      <c r="AL28">
        <f>IFERROR(중분류_Rawdata!AN40/중분류_Rawdata!AM40,1)</f>
        <v>1.0704027995585759</v>
      </c>
      <c r="AM28">
        <f>IFERROR(중분류_Rawdata!AO40/중분류_Rawdata!AN40,1)</f>
        <v>1.3019541079676871</v>
      </c>
      <c r="AN28">
        <f>IFERROR(중분류_Rawdata!AP40/중분류_Rawdata!AO40,1)</f>
        <v>0.84776844090418912</v>
      </c>
      <c r="AO28">
        <f>IFERROR(중분류_Rawdata!AQ40/중분류_Rawdata!AP40,1)</f>
        <v>1.0867018988508574</v>
      </c>
      <c r="AP28">
        <f>IFERROR(중분류_Rawdata!AR40/중분류_Rawdata!AQ40,1)</f>
        <v>0.98477711364574549</v>
      </c>
      <c r="AQ28">
        <f>IFERROR(중분류_Rawdata!AS40/중분류_Rawdata!AR40,1)</f>
        <v>0.96426582140375661</v>
      </c>
      <c r="AR28">
        <f>IFERROR(중분류_Rawdata!AT40/중분류_Rawdata!AS40,1)</f>
        <v>0.72504823610681024</v>
      </c>
      <c r="AS28">
        <f>IFERROR(중분류_Rawdata!AU40/중분류_Rawdata!AT40,1)</f>
        <v>1.031999211518402</v>
      </c>
      <c r="AT28">
        <f>IFERROR(중분류_Rawdata!AV40/중분류_Rawdata!AU40,1)</f>
        <v>1.1174382605512181</v>
      </c>
      <c r="AU28">
        <f>IFERROR(중분류_Rawdata!AW40/중분류_Rawdata!AV40,1)</f>
        <v>0.83281934404045443</v>
      </c>
      <c r="AV28">
        <f>IFERROR(중분류_Rawdata!AX40/중분류_Rawdata!AW40,1)</f>
        <v>1.0591112783498102</v>
      </c>
      <c r="AW28">
        <f>IFERROR(중분류_Rawdata!AY40/중분류_Rawdata!AX40,1)</f>
        <v>1.1242450179257775</v>
      </c>
      <c r="AX28">
        <f>IFERROR(중분류_Rawdata!AZ40/중분류_Rawdata!AY40,1)</f>
        <v>0.96567574749876106</v>
      </c>
      <c r="AY28">
        <f>IFERROR(중분류_Rawdata!BA40/중분류_Rawdata!AZ40,1)</f>
        <v>1.0779162823907418</v>
      </c>
      <c r="AZ28">
        <f>IFERROR(중분류_Rawdata!BB40/중분류_Rawdata!BA40,1)</f>
        <v>0.95430144623537205</v>
      </c>
      <c r="BA28">
        <f>IFERROR(중분류_Rawdata!BC40/중분류_Rawdata!BB40,1)</f>
        <v>0.94568526083655691</v>
      </c>
      <c r="BB28">
        <f>IFERROR(중분류_Rawdata!BD40/중분류_Rawdata!BC40,1)</f>
        <v>0.95445474910736805</v>
      </c>
      <c r="BC28">
        <f>IFERROR(중분류_Rawdata!BE40/중분류_Rawdata!BD40,1)</f>
        <v>1.0311769040981769</v>
      </c>
      <c r="BD28">
        <f>IFERROR(중분류_Rawdata!BF40/중분류_Rawdata!BE40,1)</f>
        <v>1.0876499285314771</v>
      </c>
      <c r="BE28">
        <f>IFERROR(중분류_Rawdata!BG40/중분류_Rawdata!BF40,1)</f>
        <v>0.92898415124525946</v>
      </c>
      <c r="BF28">
        <f>IFERROR(중분류_Rawdata!BH40/중분류_Rawdata!BG40,1)</f>
        <v>1.062405818494941</v>
      </c>
      <c r="BG28">
        <f>IFERROR(중분류_Rawdata!BI40/중분류_Rawdata!BH40,1)</f>
        <v>0.95584180627419768</v>
      </c>
      <c r="BH28">
        <f>IFERROR(중분류_Rawdata!BJ40/중분류_Rawdata!BI40,1)</f>
        <v>0.81792509255543866</v>
      </c>
      <c r="BI28">
        <f>IFERROR(중분류_Rawdata!BK40/중분류_Rawdata!BJ40,1)</f>
        <v>1.1035229649925025</v>
      </c>
      <c r="BJ28">
        <f>IFERROR(중분류_Rawdata!BL40/중분류_Rawdata!BK40,1)</f>
        <v>0.99140230502105386</v>
      </c>
      <c r="BK28">
        <f>IFERROR(중분류_Rawdata!BM40/중분류_Rawdata!BL40,1)</f>
        <v>1.047134771094735</v>
      </c>
      <c r="BL28">
        <f>IFERROR(중분류_Rawdata!BN40/중분류_Rawdata!BM40,1)</f>
        <v>1.0893474677612229</v>
      </c>
      <c r="BM28">
        <f>IFERROR(중분류_Rawdata!BO40/중분류_Rawdata!BN40,1)</f>
        <v>0.95095755885537958</v>
      </c>
      <c r="BN28">
        <f>IFERROR(중분류_Rawdata!BP40/중분류_Rawdata!BO40,1)</f>
        <v>1.0307932298572655</v>
      </c>
      <c r="BO28">
        <f>IFERROR(중분류_Rawdata!BQ40/중분류_Rawdata!BP40,1)</f>
        <v>1.1227924151394544</v>
      </c>
    </row>
    <row r="29" spans="1:68" x14ac:dyDescent="0.4">
      <c r="A29" s="6" t="s">
        <v>30</v>
      </c>
      <c r="B29" s="4" t="s">
        <v>77</v>
      </c>
      <c r="C29">
        <f>IFERROR(중분류_Rawdata!E41/중분류_Rawdata!D41,1)</f>
        <v>1.006502406527906</v>
      </c>
      <c r="D29">
        <f>IFERROR(중분류_Rawdata!F41/중분류_Rawdata!E41,1)</f>
        <v>0.93754948221807022</v>
      </c>
      <c r="E29">
        <f>IFERROR(중분류_Rawdata!G41/중분류_Rawdata!F41,1)</f>
        <v>1.163621009964533</v>
      </c>
      <c r="F29">
        <f>IFERROR(중분류_Rawdata!H41/중분류_Rawdata!G41,1)</f>
        <v>1.0280704810008998</v>
      </c>
      <c r="G29">
        <f>IFERROR(중분류_Rawdata!I41/중분류_Rawdata!H41,1)</f>
        <v>0.98814095324147266</v>
      </c>
      <c r="H29">
        <f>IFERROR(중분류_Rawdata!J41/중분류_Rawdata!I41,1)</f>
        <v>0.92464853126071544</v>
      </c>
      <c r="I29">
        <f>IFERROR(중분류_Rawdata!K41/중분류_Rawdata!J41,1)</f>
        <v>0.99075991223461801</v>
      </c>
      <c r="J29">
        <f>IFERROR(중분류_Rawdata!L41/중분류_Rawdata!K41,1)</f>
        <v>0.72963194011228938</v>
      </c>
      <c r="K29">
        <f>IFERROR(중분류_Rawdata!M41/중분류_Rawdata!L41,1)</f>
        <v>1.0805831053351573</v>
      </c>
      <c r="L29">
        <f>IFERROR(중분류_Rawdata!N41/중분류_Rawdata!M41,1)</f>
        <v>1.0202951299600427</v>
      </c>
      <c r="M29">
        <f>IFERROR(중분류_Rawdata!O41/중분류_Rawdata!N41,1)</f>
        <v>0.98534315626211721</v>
      </c>
      <c r="N29">
        <f>IFERROR(중분류_Rawdata!P41/중분류_Rawdata!O41,1)</f>
        <v>1.0717377616873918</v>
      </c>
      <c r="O29">
        <f>IFERROR(중분류_Rawdata!Q41/중분류_Rawdata!P41,1)</f>
        <v>0.85900495685698541</v>
      </c>
      <c r="P29">
        <f>IFERROR(중분류_Rawdata!R41/중분류_Rawdata!Q41,1)</f>
        <v>0.91951271639239163</v>
      </c>
      <c r="Q29">
        <f>IFERROR(중분류_Rawdata!S41/중분류_Rawdata!R41,1)</f>
        <v>1.148986612123466</v>
      </c>
      <c r="R29">
        <f>IFERROR(중분류_Rawdata!T41/중분류_Rawdata!S41,1)</f>
        <v>0.9705061293846341</v>
      </c>
      <c r="S29">
        <f>IFERROR(중분류_Rawdata!U41/중분류_Rawdata!T41,1)</f>
        <v>0.9880356845089211</v>
      </c>
      <c r="T29">
        <f>IFERROR(중분류_Rawdata!V41/중분류_Rawdata!U41,1)</f>
        <v>1.0173410404624279</v>
      </c>
      <c r="U29">
        <f>IFERROR(중분류_Rawdata!W41/중분류_Rawdata!V41,1)</f>
        <v>1.0425928998009288</v>
      </c>
      <c r="V29">
        <f>IFERROR(중분류_Rawdata!X41/중분류_Rawdata!W41,1)</f>
        <v>1.0091491308325709</v>
      </c>
      <c r="W29">
        <f>IFERROR(중분류_Rawdata!Y41/중분류_Rawdata!X41,1)</f>
        <v>1.1446647483148724</v>
      </c>
      <c r="X29">
        <f>IFERROR(중분류_Rawdata!Z41/중분류_Rawdata!Y41,1)</f>
        <v>0.90712490099521348</v>
      </c>
      <c r="Y29">
        <f>IFERROR(중분류_Rawdata!AA41/중분류_Rawdata!Z41,1)</f>
        <v>1.1280844279098019</v>
      </c>
      <c r="Z29">
        <f>IFERROR(중분류_Rawdata!AB41/중분류_Rawdata!AA41,1)</f>
        <v>0.9072553506528469</v>
      </c>
      <c r="AA29">
        <f>IFERROR(중분류_Rawdata!AC41/중분류_Rawdata!AB41,1)</f>
        <v>1.0415430267062313</v>
      </c>
      <c r="AB29">
        <f>IFERROR(중분류_Rawdata!AD41/중분류_Rawdata!AC41,1)</f>
        <v>1.0148148148148146</v>
      </c>
      <c r="AC29">
        <f>IFERROR(중분류_Rawdata!AE41/중분류_Rawdata!AD41,1)</f>
        <v>1.1409320606400899</v>
      </c>
      <c r="AD29">
        <f>IFERROR(중분류_Rawdata!AF41/중분류_Rawdata!AE41,1)</f>
        <v>0.83215428149606296</v>
      </c>
      <c r="AE29">
        <f>IFERROR(중분류_Rawdata!AG41/중분류_Rawdata!AF41,1)</f>
        <v>1.0405100720754019</v>
      </c>
      <c r="AF29">
        <f>IFERROR(중분류_Rawdata!AH41/중분류_Rawdata!AG41,1)</f>
        <v>0.97957443785300702</v>
      </c>
      <c r="AG29">
        <f>IFERROR(중분류_Rawdata!AI41/중분류_Rawdata!AH41,1)</f>
        <v>0.9466565129097767</v>
      </c>
      <c r="AH29">
        <f>IFERROR(중분류_Rawdata!AJ41/중분류_Rawdata!AI41,1)</f>
        <v>0.93338440911702736</v>
      </c>
      <c r="AI29">
        <f>IFERROR(중분류_Rawdata!AK41/중분류_Rawdata!AJ41,1)</f>
        <v>0.93962899121726995</v>
      </c>
      <c r="AJ29">
        <f>IFERROR(중분류_Rawdata!AL41/중분류_Rawdata!AK41,1)</f>
        <v>1.0300065516488317</v>
      </c>
      <c r="AK29">
        <f>IFERROR(중분류_Rawdata!AM41/중분류_Rawdata!AL41,1)</f>
        <v>0.97867017216521079</v>
      </c>
      <c r="AL29">
        <f>IFERROR(중분류_Rawdata!AN41/중분류_Rawdata!AM41,1)</f>
        <v>1.0601845833874952</v>
      </c>
      <c r="AM29">
        <f>IFERROR(중분류_Rawdata!AO41/중분류_Rawdata!AN41,1)</f>
        <v>0.98933300637567434</v>
      </c>
      <c r="AN29">
        <f>IFERROR(중분류_Rawdata!AP41/중분류_Rawdata!AO41,1)</f>
        <v>0.97215681414466892</v>
      </c>
      <c r="AO29">
        <f>IFERROR(중분류_Rawdata!AQ41/중분류_Rawdata!AP41,1)</f>
        <v>1.049419963455573</v>
      </c>
      <c r="AP29">
        <f>IFERROR(중분류_Rawdata!AR41/중분류_Rawdata!AQ41,1)</f>
        <v>0.88398931000971814</v>
      </c>
      <c r="AQ29">
        <f>IFERROR(중분류_Rawdata!AS41/중분류_Rawdata!AR41,1)</f>
        <v>0.97127937336814618</v>
      </c>
      <c r="AR29">
        <f>IFERROR(중분류_Rawdata!AT41/중분류_Rawdata!AS41,1)</f>
        <v>0.96179966044142617</v>
      </c>
      <c r="AS29">
        <f>IFERROR(중분류_Rawdata!AU41/중분류_Rawdata!AT41,1)</f>
        <v>1.003971756398941</v>
      </c>
      <c r="AT29">
        <f>IFERROR(중분류_Rawdata!AV41/중분류_Rawdata!AU41,1)</f>
        <v>0.93562881562881561</v>
      </c>
      <c r="AU29">
        <f>IFERROR(중분류_Rawdata!AW41/중분류_Rawdata!AV41,1)</f>
        <v>0.84439108419898734</v>
      </c>
      <c r="AV29">
        <f>IFERROR(중분류_Rawdata!AX41/중분류_Rawdata!AW41,1)</f>
        <v>1.2292903066271019</v>
      </c>
      <c r="AW29">
        <f>IFERROR(중분류_Rawdata!AY41/중분류_Rawdata!AX41,1)</f>
        <v>1.0682926829268293</v>
      </c>
      <c r="AX29">
        <f>IFERROR(중분류_Rawdata!AZ41/중분류_Rawdata!AY41,1)</f>
        <v>1.0657157651932401</v>
      </c>
      <c r="AY29">
        <f>IFERROR(중분류_Rawdata!BA41/중분류_Rawdata!AZ41,1)</f>
        <v>1.1564115022748356</v>
      </c>
      <c r="AZ29">
        <f>IFERROR(중분류_Rawdata!BB41/중분류_Rawdata!BA41,1)</f>
        <v>1.0158135981665393</v>
      </c>
      <c r="BA29">
        <f>IFERROR(중분류_Rawdata!BC41/중분류_Rawdata!BB41,1)</f>
        <v>0.95645634353613607</v>
      </c>
      <c r="BB29">
        <f>IFERROR(중분류_Rawdata!BD41/중분류_Rawdata!BC41,1)</f>
        <v>0.94869476332756719</v>
      </c>
      <c r="BC29">
        <f>IFERROR(중분류_Rawdata!BE41/중분류_Rawdata!BD41,1)</f>
        <v>0.99005428701670051</v>
      </c>
      <c r="BD29">
        <f>IFERROR(중분류_Rawdata!BF41/중분류_Rawdata!BE41,1)</f>
        <v>1.1961408061613159</v>
      </c>
      <c r="BE29">
        <f>IFERROR(중분류_Rawdata!BG41/중분류_Rawdata!BF41,1)</f>
        <v>0.99832032753613054</v>
      </c>
      <c r="BF29">
        <f>IFERROR(중분류_Rawdata!BH41/중분류_Rawdata!BG41,1)</f>
        <v>1.0079918679238669</v>
      </c>
      <c r="BG29">
        <f>IFERROR(중분류_Rawdata!BI41/중분류_Rawdata!BH41,1)</f>
        <v>0.88420210731300208</v>
      </c>
      <c r="BH29">
        <f>IFERROR(중분류_Rawdata!BJ41/중분류_Rawdata!BI41,1)</f>
        <v>1.0150627285955873</v>
      </c>
      <c r="BI29">
        <f>IFERROR(중분류_Rawdata!BK41/중분류_Rawdata!BJ41,1)</f>
        <v>0.98860906625339007</v>
      </c>
      <c r="BJ29">
        <f>IFERROR(중분류_Rawdata!BL41/중분류_Rawdata!BK41,1)</f>
        <v>0.98130584731149084</v>
      </c>
      <c r="BK29">
        <f>IFERROR(중분류_Rawdata!BM41/중분류_Rawdata!BL41,1)</f>
        <v>1.0196892847158434</v>
      </c>
      <c r="BL29">
        <f>IFERROR(중분류_Rawdata!BN41/중분류_Rawdata!BM41,1)</f>
        <v>0.98621337928873576</v>
      </c>
      <c r="BM29">
        <f>IFERROR(중분류_Rawdata!BO41/중분류_Rawdata!BN41,1)</f>
        <v>0.99360603653693402</v>
      </c>
      <c r="BN29">
        <f>IFERROR(중분류_Rawdata!BP41/중분류_Rawdata!BO41,1)</f>
        <v>1.0356928734162036</v>
      </c>
      <c r="BO29">
        <f>IFERROR(중분류_Rawdata!BQ41/중분류_Rawdata!BP41,1)</f>
        <v>1.1110682309354738</v>
      </c>
    </row>
    <row r="30" spans="1:68" x14ac:dyDescent="0.4">
      <c r="A30" s="6" t="s">
        <v>31</v>
      </c>
      <c r="B30" s="4" t="s">
        <v>78</v>
      </c>
      <c r="C30">
        <f>IFERROR(중분류_Rawdata!E42/중분류_Rawdata!D42,1)</f>
        <v>0.95886504799548278</v>
      </c>
      <c r="D30">
        <f>IFERROR(중분류_Rawdata!F42/중분류_Rawdata!E42,1)</f>
        <v>0.93310367164267005</v>
      </c>
      <c r="E30">
        <f>IFERROR(중분류_Rawdata!G42/중분류_Rawdata!F42,1)</f>
        <v>1.0192799217443438</v>
      </c>
      <c r="F30">
        <f>IFERROR(중분류_Rawdata!H42/중분류_Rawdata!G42,1)</f>
        <v>0.95847006377314115</v>
      </c>
      <c r="G30">
        <f>IFERROR(중분류_Rawdata!I42/중분류_Rawdata!H42,1)</f>
        <v>1.1296652185849712</v>
      </c>
      <c r="H30">
        <f>IFERROR(중분류_Rawdata!J42/중분류_Rawdata!I42,1)</f>
        <v>0.86448892065761263</v>
      </c>
      <c r="I30">
        <f>IFERROR(중분류_Rawdata!K42/중분류_Rawdata!J42,1)</f>
        <v>0.95723569975690825</v>
      </c>
      <c r="J30">
        <f>IFERROR(중분류_Rawdata!L42/중분류_Rawdata!K42,1)</f>
        <v>0.91614407877688508</v>
      </c>
      <c r="K30">
        <f>IFERROR(중분류_Rawdata!M42/중분류_Rawdata!L42,1)</f>
        <v>1.1170447474118912</v>
      </c>
      <c r="L30">
        <f>IFERROR(중분류_Rawdata!N42/중분류_Rawdata!M42,1)</f>
        <v>0.97094770248826756</v>
      </c>
      <c r="M30">
        <f>IFERROR(중분류_Rawdata!O42/중분류_Rawdata!N42,1)</f>
        <v>1.2577846549715739</v>
      </c>
      <c r="N30">
        <f>IFERROR(중분류_Rawdata!P42/중분류_Rawdata!O42,1)</f>
        <v>0.83935087913303108</v>
      </c>
      <c r="O30">
        <f>IFERROR(중분류_Rawdata!Q42/중분류_Rawdata!P42,1)</f>
        <v>0.93852310529956184</v>
      </c>
      <c r="P30">
        <f>IFERROR(중분류_Rawdata!R42/중분류_Rawdata!Q42,1)</f>
        <v>1.0864201863517522</v>
      </c>
      <c r="Q30">
        <f>IFERROR(중분류_Rawdata!S42/중분류_Rawdata!R42,1)</f>
        <v>1.2494427754627386</v>
      </c>
      <c r="R30">
        <f>IFERROR(중분류_Rawdata!T42/중분류_Rawdata!S42,1)</f>
        <v>1.0453734584658341</v>
      </c>
      <c r="S30">
        <f>IFERROR(중분류_Rawdata!U42/중분류_Rawdata!T42,1)</f>
        <v>1.0637582232774399</v>
      </c>
      <c r="T30">
        <f>IFERROR(중분류_Rawdata!V42/중분류_Rawdata!U42,1)</f>
        <v>1.0900795126941318</v>
      </c>
      <c r="U30">
        <f>IFERROR(중분류_Rawdata!W42/중분류_Rawdata!V42,1)</f>
        <v>1.0907723971718939</v>
      </c>
      <c r="V30">
        <f>IFERROR(중분류_Rawdata!X42/중분류_Rawdata!W42,1)</f>
        <v>1.1455638656694529</v>
      </c>
      <c r="W30">
        <f>IFERROR(중분류_Rawdata!Y42/중분류_Rawdata!X42,1)</f>
        <v>0.94852100295287356</v>
      </c>
      <c r="X30">
        <f>IFERROR(중분류_Rawdata!Z42/중분류_Rawdata!Y42,1)</f>
        <v>0.95210631444458438</v>
      </c>
      <c r="Y30">
        <f>IFERROR(중분류_Rawdata!AA42/중분류_Rawdata!Z42,1)</f>
        <v>1.0720948033906954</v>
      </c>
      <c r="Z30">
        <f>IFERROR(중분류_Rawdata!AB42/중분류_Rawdata!AA42,1)</f>
        <v>1.0151523164797969</v>
      </c>
      <c r="AA30">
        <f>IFERROR(중분류_Rawdata!AC42/중분류_Rawdata!AB42,1)</f>
        <v>1.0981704828640149</v>
      </c>
      <c r="AB30">
        <f>IFERROR(중분류_Rawdata!AD42/중분류_Rawdata!AC42,1)</f>
        <v>1.0619737018968474</v>
      </c>
      <c r="AC30">
        <f>IFERROR(중분류_Rawdata!AE42/중분류_Rawdata!AD42,1)</f>
        <v>0.96057657228372972</v>
      </c>
      <c r="AD30">
        <f>IFERROR(중분류_Rawdata!AF42/중분류_Rawdata!AE42,1)</f>
        <v>0.88779686240466305</v>
      </c>
      <c r="AE30">
        <f>IFERROR(중분류_Rawdata!AG42/중분류_Rawdata!AF42,1)</f>
        <v>1.0167365112624409</v>
      </c>
      <c r="AF30">
        <f>IFERROR(중분류_Rawdata!AH42/중분류_Rawdata!AG42,1)</f>
        <v>0.95983925397356962</v>
      </c>
      <c r="AG30">
        <f>IFERROR(중분류_Rawdata!AI42/중분류_Rawdata!AH42,1)</f>
        <v>0.81285560923242084</v>
      </c>
      <c r="AH30">
        <f>IFERROR(중분류_Rawdata!AJ42/중분류_Rawdata!AI42,1)</f>
        <v>0.85451403792606284</v>
      </c>
      <c r="AI30">
        <f>IFERROR(중분류_Rawdata!AK42/중분류_Rawdata!AJ42,1)</f>
        <v>1.1724324463563536</v>
      </c>
      <c r="AJ30">
        <f>IFERROR(중분류_Rawdata!AL42/중분류_Rawdata!AK42,1)</f>
        <v>1.095594858837746</v>
      </c>
      <c r="AK30">
        <f>IFERROR(중분류_Rawdata!AM42/중분류_Rawdata!AL42,1)</f>
        <v>0.99615970801748688</v>
      </c>
      <c r="AL30">
        <f>IFERROR(중분류_Rawdata!AN42/중분류_Rawdata!AM42,1)</f>
        <v>1.1292010991555022</v>
      </c>
      <c r="AM30">
        <f>IFERROR(중분류_Rawdata!AO42/중분류_Rawdata!AN42,1)</f>
        <v>0.89158978473057904</v>
      </c>
      <c r="AN30">
        <f>IFERROR(중분류_Rawdata!AP42/중분류_Rawdata!AO42,1)</f>
        <v>0.91955850154464469</v>
      </c>
      <c r="AO30">
        <f>IFERROR(중분류_Rawdata!AQ42/중분류_Rawdata!AP42,1)</f>
        <v>0.96557835110951651</v>
      </c>
      <c r="AP30">
        <f>IFERROR(중분류_Rawdata!AR42/중분류_Rawdata!AQ42,1)</f>
        <v>0.96566866716960731</v>
      </c>
      <c r="AQ30">
        <f>IFERROR(중분류_Rawdata!AS42/중분류_Rawdata!AR42,1)</f>
        <v>1.0456029476924513</v>
      </c>
      <c r="AR30">
        <f>IFERROR(중분류_Rawdata!AT42/중분류_Rawdata!AS42,1)</f>
        <v>0.82220958370970076</v>
      </c>
      <c r="AS30">
        <f>IFERROR(중분류_Rawdata!AU42/중분류_Rawdata!AT42,1)</f>
        <v>1.0911162349111625</v>
      </c>
      <c r="AT30">
        <f>IFERROR(중분류_Rawdata!AV42/중분류_Rawdata!AU42,1)</f>
        <v>1.0285650357995226</v>
      </c>
      <c r="AU30">
        <f>IFERROR(중분류_Rawdata!AW42/중분류_Rawdata!AV42,1)</f>
        <v>0.90439417011094192</v>
      </c>
      <c r="AV30">
        <f>IFERROR(중분류_Rawdata!AX42/중분류_Rawdata!AW42,1)</f>
        <v>1.1379033874523952</v>
      </c>
      <c r="AW30">
        <f>IFERROR(중분류_Rawdata!AY42/중분류_Rawdata!AX42,1)</f>
        <v>1.1229874933943984</v>
      </c>
      <c r="AX30">
        <f>IFERROR(중분류_Rawdata!AZ42/중분류_Rawdata!AY42,1)</f>
        <v>1.1241581963441669</v>
      </c>
      <c r="AY30">
        <f>IFERROR(중분류_Rawdata!BA42/중분류_Rawdata!AZ42,1)</f>
        <v>0.86620589575910922</v>
      </c>
      <c r="AZ30">
        <f>IFERROR(중분류_Rawdata!BB42/중분류_Rawdata!BA42,1)</f>
        <v>1.0700294250306064</v>
      </c>
      <c r="BA30">
        <f>IFERROR(중분류_Rawdata!BC42/중분류_Rawdata!BB42,1)</f>
        <v>1.0589728921406278</v>
      </c>
      <c r="BB30">
        <f>IFERROR(중분류_Rawdata!BD42/중분류_Rawdata!BC42,1)</f>
        <v>1.1223522721887882</v>
      </c>
      <c r="BC30">
        <f>IFERROR(중분류_Rawdata!BE42/중분류_Rawdata!BD42,1)</f>
        <v>1.0119316022799241</v>
      </c>
      <c r="BD30">
        <f>IFERROR(중분류_Rawdata!BF42/중분류_Rawdata!BE42,1)</f>
        <v>1.0759775697191207</v>
      </c>
      <c r="BE30">
        <f>IFERROR(중분류_Rawdata!BG42/중분류_Rawdata!BF42,1)</f>
        <v>1.0653311928526559</v>
      </c>
      <c r="BF30">
        <f>IFERROR(중분류_Rawdata!BH42/중분류_Rawdata!BG42,1)</f>
        <v>0.9408809976195156</v>
      </c>
      <c r="BG30">
        <f>IFERROR(중분류_Rawdata!BI42/중분류_Rawdata!BH42,1)</f>
        <v>1.071677266607864</v>
      </c>
      <c r="BH30">
        <f>IFERROR(중분류_Rawdata!BJ42/중분류_Rawdata!BI42,1)</f>
        <v>0.9970976824777994</v>
      </c>
      <c r="BI30">
        <f>IFERROR(중분류_Rawdata!BK42/중분류_Rawdata!BJ42,1)</f>
        <v>0.98410664117936697</v>
      </c>
      <c r="BJ30">
        <f>IFERROR(중분류_Rawdata!BL42/중분류_Rawdata!BK42,1)</f>
        <v>1.0991222326046808</v>
      </c>
      <c r="BK30">
        <f>IFERROR(중분류_Rawdata!BM42/중분류_Rawdata!BL42,1)</f>
        <v>1.0643505037319678</v>
      </c>
      <c r="BL30">
        <f>IFERROR(중분류_Rawdata!BN42/중분류_Rawdata!BM42,1)</f>
        <v>0.94060302645316285</v>
      </c>
      <c r="BM30">
        <f>IFERROR(중분류_Rawdata!BO42/중분류_Rawdata!BN42,1)</f>
        <v>0.83514315899273839</v>
      </c>
      <c r="BN30">
        <f>IFERROR(중분류_Rawdata!BP42/중분류_Rawdata!BO42,1)</f>
        <v>0.96931120345238964</v>
      </c>
      <c r="BO30">
        <f>IFERROR(중분류_Rawdata!BQ42/중분류_Rawdata!BP42,1)</f>
        <v>0.98584243305304542</v>
      </c>
    </row>
    <row r="31" spans="1:68" x14ac:dyDescent="0.4">
      <c r="C31">
        <v>20010228</v>
      </c>
      <c r="D31" s="14">
        <v>20010531</v>
      </c>
      <c r="E31" s="14">
        <v>20010831</v>
      </c>
      <c r="F31" s="14">
        <v>20011130</v>
      </c>
      <c r="G31" s="14">
        <v>20020228</v>
      </c>
      <c r="H31" s="14">
        <v>20020531</v>
      </c>
      <c r="I31" s="14">
        <v>20020830</v>
      </c>
      <c r="J31" s="14">
        <v>20021129</v>
      </c>
      <c r="K31" s="14">
        <v>20030228</v>
      </c>
      <c r="L31" s="14">
        <v>20030530</v>
      </c>
      <c r="M31" s="14">
        <v>20030829</v>
      </c>
      <c r="N31" s="14">
        <v>20031128</v>
      </c>
      <c r="O31" s="14">
        <v>20040227</v>
      </c>
      <c r="P31" s="14">
        <v>20040531</v>
      </c>
      <c r="Q31" s="14">
        <v>20040831</v>
      </c>
      <c r="R31" s="14">
        <v>20041130</v>
      </c>
      <c r="S31" s="14">
        <v>20050228</v>
      </c>
      <c r="T31" s="14">
        <v>20050531</v>
      </c>
      <c r="U31" s="14">
        <v>20050831</v>
      </c>
      <c r="V31" s="14">
        <v>20051130</v>
      </c>
      <c r="W31" s="14">
        <v>20060228</v>
      </c>
      <c r="X31" s="14">
        <v>20060530</v>
      </c>
      <c r="Y31" s="14">
        <v>20060831</v>
      </c>
      <c r="Z31" s="14">
        <v>20061130</v>
      </c>
      <c r="AA31" s="14">
        <v>20070228</v>
      </c>
      <c r="AB31" s="14">
        <v>20070531</v>
      </c>
      <c r="AC31" s="14">
        <v>20070831</v>
      </c>
      <c r="AD31" s="14">
        <v>20071130</v>
      </c>
      <c r="AE31" s="14">
        <v>20080229</v>
      </c>
      <c r="AF31" s="14">
        <v>20080530</v>
      </c>
      <c r="AG31" s="14">
        <v>20080829</v>
      </c>
      <c r="AH31" s="14">
        <v>20081128</v>
      </c>
      <c r="AI31" s="14">
        <v>20090227</v>
      </c>
      <c r="AJ31" s="14">
        <v>20090529</v>
      </c>
      <c r="AK31" s="14">
        <v>20090831</v>
      </c>
      <c r="AL31" s="14">
        <v>20091130</v>
      </c>
      <c r="AM31" s="14">
        <v>20100226</v>
      </c>
      <c r="AN31" s="14">
        <v>20100531</v>
      </c>
      <c r="AO31" s="14">
        <v>20100831</v>
      </c>
      <c r="AP31" s="14">
        <v>20101130</v>
      </c>
      <c r="AQ31" s="14">
        <v>20110228</v>
      </c>
      <c r="AR31" s="14">
        <v>20110531</v>
      </c>
      <c r="AS31" s="14">
        <v>20110831</v>
      </c>
      <c r="AT31" s="14">
        <v>20111130</v>
      </c>
      <c r="AU31" s="14">
        <v>20120229</v>
      </c>
      <c r="AV31" s="14">
        <v>20120531</v>
      </c>
      <c r="AW31" s="14">
        <v>20120831</v>
      </c>
      <c r="AX31" s="14">
        <v>20121130</v>
      </c>
      <c r="AY31" s="14">
        <v>20130228</v>
      </c>
      <c r="AZ31" s="14">
        <v>20130531</v>
      </c>
      <c r="BA31" s="14">
        <v>20130830</v>
      </c>
      <c r="BB31" s="14">
        <v>20131129</v>
      </c>
      <c r="BC31" s="14">
        <v>20140228</v>
      </c>
      <c r="BD31" s="14">
        <v>20140530</v>
      </c>
      <c r="BE31" s="14">
        <v>20140829</v>
      </c>
      <c r="BF31" s="14">
        <v>20141128</v>
      </c>
      <c r="BG31" s="14">
        <v>20150227</v>
      </c>
      <c r="BH31" s="14">
        <v>20150529</v>
      </c>
      <c r="BI31" s="14">
        <v>20150831</v>
      </c>
      <c r="BJ31" s="14">
        <v>20151130</v>
      </c>
      <c r="BK31" s="14">
        <v>20160229</v>
      </c>
      <c r="BL31" s="14">
        <v>20160531</v>
      </c>
      <c r="BM31" s="14">
        <v>20160831</v>
      </c>
      <c r="BN31" s="14">
        <v>20161130</v>
      </c>
      <c r="BO31" s="14">
        <v>20170228</v>
      </c>
      <c r="BP31" s="7">
        <v>20170531</v>
      </c>
    </row>
    <row r="32" spans="1:68" x14ac:dyDescent="0.4">
      <c r="A32" s="6" t="s">
        <v>3</v>
      </c>
      <c r="B32" s="4" t="s">
        <v>50</v>
      </c>
      <c r="C32">
        <v>100</v>
      </c>
      <c r="D32">
        <f>C32*C2</f>
        <v>121.49249352046556</v>
      </c>
      <c r="E32">
        <f t="shared" ref="E32:BP36" si="0">D32*D2</f>
        <v>105.85032682934782</v>
      </c>
      <c r="F32">
        <f t="shared" si="0"/>
        <v>121.55769638287124</v>
      </c>
      <c r="G32">
        <f t="shared" si="0"/>
        <v>127.4455148581023</v>
      </c>
      <c r="H32">
        <f t="shared" si="0"/>
        <v>144.13744763395115</v>
      </c>
      <c r="I32">
        <f t="shared" si="0"/>
        <v>119.71571551991133</v>
      </c>
      <c r="J32">
        <f t="shared" si="0"/>
        <v>113.60457724094088</v>
      </c>
      <c r="K32">
        <f t="shared" si="0"/>
        <v>94.550670774447013</v>
      </c>
      <c r="L32">
        <f t="shared" si="0"/>
        <v>98.079775702153356</v>
      </c>
      <c r="M32">
        <f t="shared" si="0"/>
        <v>129.10492770632632</v>
      </c>
      <c r="N32">
        <f t="shared" si="0"/>
        <v>186.51604805450964</v>
      </c>
      <c r="O32">
        <f t="shared" si="0"/>
        <v>287.75653251177732</v>
      </c>
      <c r="P32">
        <f t="shared" si="0"/>
        <v>321.83317847653518</v>
      </c>
      <c r="Q32">
        <f t="shared" si="0"/>
        <v>292.925489428986</v>
      </c>
      <c r="R32">
        <f t="shared" si="0"/>
        <v>396.96317668345654</v>
      </c>
      <c r="S32">
        <f t="shared" si="0"/>
        <v>412.82377296363325</v>
      </c>
      <c r="T32">
        <f t="shared" si="0"/>
        <v>365.34956884607243</v>
      </c>
      <c r="U32">
        <f t="shared" si="0"/>
        <v>363.10659037931782</v>
      </c>
      <c r="V32">
        <f t="shared" si="0"/>
        <v>375.66792182176812</v>
      </c>
      <c r="W32">
        <f t="shared" si="0"/>
        <v>392.18054672600141</v>
      </c>
      <c r="X32">
        <f t="shared" si="0"/>
        <v>406.90498312875951</v>
      </c>
      <c r="Y32">
        <f t="shared" si="0"/>
        <v>399.56477089344241</v>
      </c>
      <c r="Z32">
        <f t="shared" si="0"/>
        <v>429.12122842192798</v>
      </c>
      <c r="AA32">
        <f t="shared" si="0"/>
        <v>473.44287414217513</v>
      </c>
      <c r="AB32">
        <f t="shared" si="0"/>
        <v>600.2542911633825</v>
      </c>
      <c r="AC32">
        <f t="shared" si="0"/>
        <v>592.08763264707363</v>
      </c>
      <c r="AD32">
        <f t="shared" si="0"/>
        <v>819.74179666487407</v>
      </c>
      <c r="AE32">
        <f t="shared" si="0"/>
        <v>603.31719562488831</v>
      </c>
      <c r="AF32">
        <f t="shared" si="0"/>
        <v>601.89088300976448</v>
      </c>
      <c r="AG32">
        <f t="shared" si="0"/>
        <v>418.24539097266393</v>
      </c>
      <c r="AH32">
        <f t="shared" si="0"/>
        <v>349.62752864850791</v>
      </c>
      <c r="AI32">
        <f t="shared" si="0"/>
        <v>344.40640944137465</v>
      </c>
      <c r="AJ32">
        <f t="shared" si="0"/>
        <v>452.6822827522131</v>
      </c>
      <c r="AK32">
        <f t="shared" si="0"/>
        <v>444.57919702674974</v>
      </c>
      <c r="AL32">
        <f t="shared" si="0"/>
        <v>431.70489184475224</v>
      </c>
      <c r="AM32">
        <f t="shared" si="0"/>
        <v>438.61150504507174</v>
      </c>
      <c r="AN32">
        <f t="shared" si="0"/>
        <v>428.93866040719212</v>
      </c>
      <c r="AO32">
        <f t="shared" si="0"/>
        <v>499.09857042724212</v>
      </c>
      <c r="AP32">
        <f t="shared" si="0"/>
        <v>645.35674116093753</v>
      </c>
      <c r="AQ32">
        <f t="shared" si="0"/>
        <v>707.11037214533769</v>
      </c>
      <c r="AR32">
        <f t="shared" si="0"/>
        <v>954.29116338207325</v>
      </c>
      <c r="AS32">
        <f t="shared" si="0"/>
        <v>734.52002542911703</v>
      </c>
      <c r="AT32">
        <f t="shared" si="0"/>
        <v>657.2383327628088</v>
      </c>
      <c r="AU32">
        <f t="shared" si="0"/>
        <v>764.2655712585788</v>
      </c>
      <c r="AV32">
        <f t="shared" si="0"/>
        <v>586.68394542520457</v>
      </c>
      <c r="AW32">
        <f t="shared" si="0"/>
        <v>689.86258496748053</v>
      </c>
      <c r="AX32">
        <f t="shared" si="0"/>
        <v>706.00518362756179</v>
      </c>
      <c r="AY32">
        <f t="shared" si="0"/>
        <v>728.14155541428329</v>
      </c>
      <c r="AZ32">
        <f t="shared" si="0"/>
        <v>641.1560467504529</v>
      </c>
      <c r="BA32">
        <f t="shared" si="0"/>
        <v>611.5751381485652</v>
      </c>
      <c r="BB32">
        <f t="shared" si="0"/>
        <v>619.40437185192479</v>
      </c>
      <c r="BC32">
        <f t="shared" si="0"/>
        <v>576.71279769181911</v>
      </c>
      <c r="BD32">
        <f t="shared" si="0"/>
        <v>499.8842649192303</v>
      </c>
      <c r="BE32">
        <f t="shared" si="0"/>
        <v>450.34476013497027</v>
      </c>
      <c r="BF32">
        <f t="shared" si="0"/>
        <v>430.26390858558722</v>
      </c>
      <c r="BG32">
        <f t="shared" si="0"/>
        <v>510.48951048951085</v>
      </c>
      <c r="BH32">
        <f t="shared" si="0"/>
        <v>536.92601105188555</v>
      </c>
      <c r="BI32">
        <f t="shared" si="0"/>
        <v>513.31116436011575</v>
      </c>
      <c r="BJ32">
        <f t="shared" si="0"/>
        <v>623.29372259442221</v>
      </c>
      <c r="BK32">
        <f t="shared" si="0"/>
        <v>681.92739661271162</v>
      </c>
      <c r="BL32">
        <f t="shared" si="0"/>
        <v>743.6549464521496</v>
      </c>
      <c r="BM32">
        <f t="shared" si="0"/>
        <v>667.95768334229911</v>
      </c>
      <c r="BN32">
        <f t="shared" si="0"/>
        <v>713.382887508762</v>
      </c>
      <c r="BO32">
        <f t="shared" si="0"/>
        <v>719.86731217500483</v>
      </c>
      <c r="BP32">
        <f t="shared" si="0"/>
        <v>818.54532413973004</v>
      </c>
    </row>
    <row r="33" spans="1:68" x14ac:dyDescent="0.4">
      <c r="A33" s="6" t="s">
        <v>4</v>
      </c>
      <c r="B33" s="4" t="s">
        <v>51</v>
      </c>
      <c r="C33">
        <v>100</v>
      </c>
      <c r="D33">
        <f t="shared" ref="D33:S60" si="1">C33*C3</f>
        <v>106.36831478754571</v>
      </c>
      <c r="E33">
        <f t="shared" si="1"/>
        <v>89.406889013708195</v>
      </c>
      <c r="F33">
        <f t="shared" si="1"/>
        <v>104.97320601764</v>
      </c>
      <c r="G33">
        <f t="shared" si="1"/>
        <v>144.15769738739695</v>
      </c>
      <c r="H33">
        <f t="shared" si="1"/>
        <v>136.33051477843728</v>
      </c>
      <c r="I33">
        <f t="shared" si="1"/>
        <v>116.39822081884839</v>
      </c>
      <c r="J33">
        <f t="shared" si="1"/>
        <v>123.45118637377985</v>
      </c>
      <c r="K33">
        <f t="shared" si="1"/>
        <v>106.66130280995247</v>
      </c>
      <c r="L33">
        <f t="shared" si="1"/>
        <v>111.6906775158259</v>
      </c>
      <c r="M33">
        <f t="shared" si="1"/>
        <v>131.90381491658189</v>
      </c>
      <c r="N33">
        <f t="shared" si="1"/>
        <v>137.25957524327112</v>
      </c>
      <c r="O33">
        <f t="shared" si="1"/>
        <v>157.20401378409966</v>
      </c>
      <c r="P33">
        <f t="shared" si="1"/>
        <v>128.55646471240109</v>
      </c>
      <c r="Q33">
        <f t="shared" si="1"/>
        <v>145.99304722724025</v>
      </c>
      <c r="R33">
        <f t="shared" si="1"/>
        <v>174.18972872041653</v>
      </c>
      <c r="S33">
        <f t="shared" si="1"/>
        <v>208.39342370925868</v>
      </c>
      <c r="T33">
        <f t="shared" si="0"/>
        <v>173.11037906274191</v>
      </c>
      <c r="U33">
        <f t="shared" si="0"/>
        <v>200.4417591425925</v>
      </c>
      <c r="V33">
        <f t="shared" si="0"/>
        <v>217.22557041580004</v>
      </c>
      <c r="W33">
        <f t="shared" si="0"/>
        <v>228.82212742701859</v>
      </c>
      <c r="X33">
        <f t="shared" si="0"/>
        <v>231.53947747939208</v>
      </c>
      <c r="Y33">
        <f t="shared" si="0"/>
        <v>229.76940476371189</v>
      </c>
      <c r="Z33">
        <f t="shared" si="0"/>
        <v>272.61852352253567</v>
      </c>
      <c r="AA33">
        <f t="shared" si="0"/>
        <v>302.12833786224996</v>
      </c>
      <c r="AB33">
        <f t="shared" si="0"/>
        <v>420.16607714845219</v>
      </c>
      <c r="AC33">
        <f t="shared" si="0"/>
        <v>528.7492599395805</v>
      </c>
      <c r="AD33">
        <f t="shared" si="0"/>
        <v>531.11441713600391</v>
      </c>
      <c r="AE33">
        <f t="shared" si="0"/>
        <v>488.42317793329562</v>
      </c>
      <c r="AF33">
        <f t="shared" si="0"/>
        <v>516.81265465365141</v>
      </c>
      <c r="AG33">
        <f t="shared" si="0"/>
        <v>430.25822415860796</v>
      </c>
      <c r="AH33">
        <f t="shared" si="0"/>
        <v>293.74402258892098</v>
      </c>
      <c r="AI33">
        <f t="shared" si="0"/>
        <v>300.35674707391485</v>
      </c>
      <c r="AJ33">
        <f t="shared" si="0"/>
        <v>412.67135245092817</v>
      </c>
      <c r="AK33">
        <f t="shared" si="0"/>
        <v>457.20401378409952</v>
      </c>
      <c r="AL33">
        <f t="shared" si="0"/>
        <v>491.05703398964658</v>
      </c>
      <c r="AM33">
        <f t="shared" si="0"/>
        <v>489.07746724758232</v>
      </c>
      <c r="AN33">
        <f t="shared" si="0"/>
        <v>491.30599790505966</v>
      </c>
      <c r="AO33">
        <f t="shared" si="0"/>
        <v>579.27679018717822</v>
      </c>
      <c r="AP33">
        <f t="shared" si="0"/>
        <v>594.2874925993957</v>
      </c>
      <c r="AQ33">
        <f t="shared" si="0"/>
        <v>619.4950890349611</v>
      </c>
      <c r="AR33">
        <f t="shared" si="0"/>
        <v>716.55913652027357</v>
      </c>
      <c r="AS33">
        <f t="shared" si="0"/>
        <v>608.1444597938455</v>
      </c>
      <c r="AT33">
        <f t="shared" si="0"/>
        <v>525.40342780805463</v>
      </c>
      <c r="AU33">
        <f t="shared" si="0"/>
        <v>593.32655260880756</v>
      </c>
      <c r="AV33">
        <f t="shared" si="0"/>
        <v>478.58606712917253</v>
      </c>
      <c r="AW33">
        <f t="shared" si="0"/>
        <v>494.39982997586236</v>
      </c>
      <c r="AX33">
        <f t="shared" si="0"/>
        <v>463.30666585702761</v>
      </c>
      <c r="AY33">
        <f t="shared" si="0"/>
        <v>471.23252318855953</v>
      </c>
      <c r="AZ33">
        <f t="shared" si="0"/>
        <v>438.16586461828035</v>
      </c>
      <c r="BA33">
        <f t="shared" si="0"/>
        <v>439.4714071015436</v>
      </c>
      <c r="BB33">
        <f t="shared" si="0"/>
        <v>455.04379639609527</v>
      </c>
      <c r="BC33">
        <f t="shared" si="0"/>
        <v>418.69202860048858</v>
      </c>
      <c r="BD33">
        <f t="shared" si="0"/>
        <v>417.95576336283426</v>
      </c>
      <c r="BE33">
        <f t="shared" si="0"/>
        <v>446.79610766171237</v>
      </c>
      <c r="BF33">
        <f t="shared" si="0"/>
        <v>395.48221577884686</v>
      </c>
      <c r="BG33">
        <f t="shared" si="0"/>
        <v>399.99696385468985</v>
      </c>
      <c r="BH33">
        <f t="shared" si="0"/>
        <v>440.81034718321592</v>
      </c>
      <c r="BI33">
        <f t="shared" si="0"/>
        <v>392.83166092329151</v>
      </c>
      <c r="BJ33">
        <f t="shared" si="0"/>
        <v>401.1856147435214</v>
      </c>
      <c r="BK33">
        <f t="shared" si="0"/>
        <v>416.616823281162</v>
      </c>
      <c r="BL33">
        <f t="shared" si="0"/>
        <v>416.60771484523229</v>
      </c>
      <c r="BM33">
        <f t="shared" si="0"/>
        <v>427.63954882880665</v>
      </c>
      <c r="BN33">
        <f t="shared" si="0"/>
        <v>421.49135457622975</v>
      </c>
      <c r="BO33">
        <f t="shared" si="0"/>
        <v>464.67444931914417</v>
      </c>
      <c r="BP33">
        <f t="shared" si="0"/>
        <v>485.28683982815392</v>
      </c>
    </row>
    <row r="34" spans="1:68" x14ac:dyDescent="0.4">
      <c r="A34" s="6" t="s">
        <v>5</v>
      </c>
      <c r="B34" s="4" t="s">
        <v>52</v>
      </c>
      <c r="C34">
        <v>100</v>
      </c>
      <c r="D34">
        <f t="shared" si="1"/>
        <v>115.717506727762</v>
      </c>
      <c r="E34">
        <f t="shared" si="0"/>
        <v>105.57131427740198</v>
      </c>
      <c r="F34">
        <f t="shared" si="0"/>
        <v>118.59407956942322</v>
      </c>
      <c r="G34">
        <f t="shared" si="0"/>
        <v>144.39959269765069</v>
      </c>
      <c r="H34">
        <f t="shared" si="0"/>
        <v>121.04334860717141</v>
      </c>
      <c r="I34">
        <f t="shared" si="0"/>
        <v>119.00320023274418</v>
      </c>
      <c r="J34">
        <f t="shared" si="0"/>
        <v>112.87911848134407</v>
      </c>
      <c r="K34">
        <f t="shared" si="0"/>
        <v>94.71961597207067</v>
      </c>
      <c r="L34">
        <f t="shared" si="0"/>
        <v>117.2830751327369</v>
      </c>
      <c r="M34">
        <f t="shared" si="0"/>
        <v>128.74936359007927</v>
      </c>
      <c r="N34">
        <f t="shared" si="0"/>
        <v>136.44992363080948</v>
      </c>
      <c r="O34">
        <f t="shared" si="0"/>
        <v>139.8392610371663</v>
      </c>
      <c r="P34">
        <f t="shared" si="0"/>
        <v>129.46214270128732</v>
      </c>
      <c r="Q34">
        <f t="shared" si="0"/>
        <v>136.56629573059851</v>
      </c>
      <c r="R34">
        <f t="shared" si="0"/>
        <v>161.78267510364381</v>
      </c>
      <c r="S34">
        <f t="shared" si="0"/>
        <v>207.31325914611963</v>
      </c>
      <c r="T34">
        <f t="shared" si="0"/>
        <v>205.45676049167204</v>
      </c>
      <c r="U34">
        <f t="shared" si="0"/>
        <v>255.35857153247497</v>
      </c>
      <c r="V34">
        <f t="shared" si="0"/>
        <v>325.0581860498944</v>
      </c>
      <c r="W34">
        <f t="shared" si="0"/>
        <v>335.27347443450412</v>
      </c>
      <c r="X34">
        <f t="shared" si="0"/>
        <v>358.41515746599737</v>
      </c>
      <c r="Y34">
        <f t="shared" si="0"/>
        <v>378.30933158775167</v>
      </c>
      <c r="Z34">
        <f t="shared" si="0"/>
        <v>442.56127718379491</v>
      </c>
      <c r="AA34">
        <f t="shared" si="0"/>
        <v>446.12153611171686</v>
      </c>
      <c r="AB34">
        <f t="shared" si="0"/>
        <v>721.61793584987947</v>
      </c>
      <c r="AC34">
        <f t="shared" si="0"/>
        <v>837.10088006400406</v>
      </c>
      <c r="AD34">
        <f t="shared" si="0"/>
        <v>873.22168885009751</v>
      </c>
      <c r="AE34">
        <f t="shared" si="0"/>
        <v>763.13731907775048</v>
      </c>
      <c r="AF34">
        <f t="shared" si="0"/>
        <v>769.42323078041977</v>
      </c>
      <c r="AG34">
        <f t="shared" si="0"/>
        <v>513.14277401992831</v>
      </c>
      <c r="AH34">
        <f t="shared" si="0"/>
        <v>337.41181176812836</v>
      </c>
      <c r="AI34">
        <f t="shared" si="0"/>
        <v>363.66281184086085</v>
      </c>
      <c r="AJ34">
        <f t="shared" si="0"/>
        <v>502.06196814313722</v>
      </c>
      <c r="AK34">
        <f t="shared" si="0"/>
        <v>478.056585933522</v>
      </c>
      <c r="AL34">
        <f t="shared" si="0"/>
        <v>438.30642228525676</v>
      </c>
      <c r="AM34">
        <f t="shared" si="0"/>
        <v>479.22576187359039</v>
      </c>
      <c r="AN34">
        <f t="shared" si="0"/>
        <v>424.84362499090798</v>
      </c>
      <c r="AO34">
        <f t="shared" si="0"/>
        <v>489.3174049021743</v>
      </c>
      <c r="AP34">
        <f t="shared" si="0"/>
        <v>592.86675394574104</v>
      </c>
      <c r="AQ34">
        <f t="shared" si="0"/>
        <v>594.03229325769098</v>
      </c>
      <c r="AR34">
        <f t="shared" si="0"/>
        <v>663.51189177394667</v>
      </c>
      <c r="AS34">
        <f t="shared" si="0"/>
        <v>569.99418139501006</v>
      </c>
      <c r="AT34">
        <f t="shared" si="0"/>
        <v>501.21645210560729</v>
      </c>
      <c r="AU34">
        <f t="shared" si="0"/>
        <v>601.56375009091539</v>
      </c>
      <c r="AV34">
        <f t="shared" si="0"/>
        <v>483.62062695468734</v>
      </c>
      <c r="AW34">
        <f t="shared" si="0"/>
        <v>474.75089097388877</v>
      </c>
      <c r="AX34">
        <f t="shared" si="0"/>
        <v>445.63422794385019</v>
      </c>
      <c r="AY34">
        <f t="shared" si="0"/>
        <v>460.52803840279262</v>
      </c>
      <c r="AZ34">
        <f t="shared" si="0"/>
        <v>433.15513855553098</v>
      </c>
      <c r="BA34">
        <f t="shared" si="0"/>
        <v>432.80965888428221</v>
      </c>
      <c r="BB34">
        <f t="shared" si="0"/>
        <v>456.45319659611567</v>
      </c>
      <c r="BC34">
        <f t="shared" si="0"/>
        <v>436.41173903556586</v>
      </c>
      <c r="BD34">
        <f t="shared" si="0"/>
        <v>431.0040730234922</v>
      </c>
      <c r="BE34">
        <f t="shared" si="0"/>
        <v>434.21521565204705</v>
      </c>
      <c r="BF34">
        <f t="shared" si="0"/>
        <v>377.68201323732598</v>
      </c>
      <c r="BG34">
        <f t="shared" si="0"/>
        <v>404.89126481925916</v>
      </c>
      <c r="BH34">
        <f t="shared" si="0"/>
        <v>421.29427594734119</v>
      </c>
      <c r="BI34">
        <f t="shared" si="0"/>
        <v>367.90130191286602</v>
      </c>
      <c r="BJ34">
        <f t="shared" si="0"/>
        <v>355.298567168521</v>
      </c>
      <c r="BK34">
        <f t="shared" si="0"/>
        <v>342.03578442068482</v>
      </c>
      <c r="BL34">
        <f t="shared" si="0"/>
        <v>335.2807476907409</v>
      </c>
      <c r="BM34">
        <f t="shared" si="0"/>
        <v>357.25143646810648</v>
      </c>
      <c r="BN34">
        <f t="shared" si="0"/>
        <v>329.06393192232139</v>
      </c>
      <c r="BO34">
        <f t="shared" si="0"/>
        <v>341.69212306349527</v>
      </c>
      <c r="BP34">
        <f t="shared" si="0"/>
        <v>378.51843770455997</v>
      </c>
    </row>
    <row r="35" spans="1:68" x14ac:dyDescent="0.4">
      <c r="A35" s="6" t="s">
        <v>6</v>
      </c>
      <c r="B35" s="4" t="s">
        <v>53</v>
      </c>
      <c r="C35">
        <v>100</v>
      </c>
      <c r="D35">
        <f t="shared" si="1"/>
        <v>132.35022663412431</v>
      </c>
      <c r="E35">
        <f t="shared" si="0"/>
        <v>97.848514059519644</v>
      </c>
      <c r="F35">
        <f t="shared" si="0"/>
        <v>101.76384929343477</v>
      </c>
      <c r="G35">
        <f t="shared" si="0"/>
        <v>85.25545049941546</v>
      </c>
      <c r="H35">
        <f t="shared" si="0"/>
        <v>70.996985048300758</v>
      </c>
      <c r="I35">
        <f t="shared" si="0"/>
        <v>71.064667637467437</v>
      </c>
      <c r="J35">
        <f t="shared" si="0"/>
        <v>66.400721947617768</v>
      </c>
      <c r="K35">
        <f t="shared" si="0"/>
        <v>60.897922349611335</v>
      </c>
      <c r="L35">
        <f t="shared" si="0"/>
        <v>68.710133929487043</v>
      </c>
      <c r="M35">
        <f t="shared" si="0"/>
        <v>67.39750189716348</v>
      </c>
      <c r="N35">
        <f t="shared" si="0"/>
        <v>66.072563939536877</v>
      </c>
      <c r="O35">
        <f t="shared" si="0"/>
        <v>57.747605472034778</v>
      </c>
      <c r="P35">
        <f t="shared" si="0"/>
        <v>62.462825850647086</v>
      </c>
      <c r="Q35">
        <f t="shared" si="0"/>
        <v>58.311627048423816</v>
      </c>
      <c r="R35">
        <f t="shared" si="0"/>
        <v>79.287076727444258</v>
      </c>
      <c r="S35">
        <f t="shared" si="0"/>
        <v>91.223824271386675</v>
      </c>
      <c r="T35">
        <f t="shared" si="0"/>
        <v>77.176610537974042</v>
      </c>
      <c r="U35">
        <f t="shared" si="0"/>
        <v>84.133560309288924</v>
      </c>
      <c r="V35">
        <f t="shared" si="0"/>
        <v>102.42426728469758</v>
      </c>
      <c r="W35">
        <f t="shared" si="0"/>
        <v>93.502471439998359</v>
      </c>
      <c r="X35">
        <f t="shared" si="0"/>
        <v>92.001148553028287</v>
      </c>
      <c r="Y35">
        <f t="shared" si="0"/>
        <v>73.534056648276135</v>
      </c>
      <c r="Z35">
        <f t="shared" si="0"/>
        <v>82.566605820702662</v>
      </c>
      <c r="AA35">
        <f t="shared" si="0"/>
        <v>84.057673769920214</v>
      </c>
      <c r="AB35">
        <f t="shared" si="0"/>
        <v>110.681543163033</v>
      </c>
      <c r="AC35">
        <f t="shared" si="0"/>
        <v>116.93500420452449</v>
      </c>
      <c r="AD35">
        <f t="shared" si="0"/>
        <v>123.79760854851612</v>
      </c>
      <c r="AE35">
        <f t="shared" si="0"/>
        <v>114.08208052177125</v>
      </c>
      <c r="AF35">
        <f t="shared" si="0"/>
        <v>99.878991734520184</v>
      </c>
      <c r="AG35">
        <f t="shared" si="0"/>
        <v>72.93721927107903</v>
      </c>
      <c r="AH35">
        <f t="shared" si="0"/>
        <v>57.429702401706422</v>
      </c>
      <c r="AI35">
        <f t="shared" si="0"/>
        <v>62.819697684435063</v>
      </c>
      <c r="AJ35">
        <f t="shared" si="0"/>
        <v>90.647496769694627</v>
      </c>
      <c r="AK35">
        <f t="shared" si="0"/>
        <v>92.675923457144634</v>
      </c>
      <c r="AL35">
        <f t="shared" si="0"/>
        <v>74.288820066862201</v>
      </c>
      <c r="AM35">
        <f t="shared" si="0"/>
        <v>79.539348196156467</v>
      </c>
      <c r="AN35">
        <f t="shared" si="0"/>
        <v>64.55688413971329</v>
      </c>
      <c r="AO35">
        <f t="shared" si="0"/>
        <v>63.672908505445392</v>
      </c>
      <c r="AP35">
        <f t="shared" si="0"/>
        <v>59.212010583095775</v>
      </c>
      <c r="AQ35">
        <f t="shared" si="0"/>
        <v>59.456078101605939</v>
      </c>
      <c r="AR35">
        <f t="shared" si="0"/>
        <v>55.589966568902945</v>
      </c>
      <c r="AS35">
        <f t="shared" si="0"/>
        <v>58.512623828373385</v>
      </c>
      <c r="AT35">
        <f t="shared" si="0"/>
        <v>58.483910002666299</v>
      </c>
      <c r="AU35">
        <f t="shared" si="0"/>
        <v>61.193264556884166</v>
      </c>
      <c r="AV35">
        <f t="shared" si="0"/>
        <v>58.951535164181578</v>
      </c>
      <c r="AW35">
        <f t="shared" si="0"/>
        <v>64.645076604385039</v>
      </c>
      <c r="AX35">
        <f t="shared" si="0"/>
        <v>70.851364932214892</v>
      </c>
      <c r="AY35">
        <f t="shared" si="0"/>
        <v>70.443218409664283</v>
      </c>
      <c r="AZ35">
        <f t="shared" si="0"/>
        <v>68.552207888098152</v>
      </c>
      <c r="BA35">
        <f t="shared" si="0"/>
        <v>66.499169350042081</v>
      </c>
      <c r="BB35">
        <f t="shared" si="0"/>
        <v>71.532292798982738</v>
      </c>
      <c r="BC35">
        <f t="shared" si="0"/>
        <v>84.199191910905142</v>
      </c>
      <c r="BD35">
        <f t="shared" si="0"/>
        <v>83.856676989970723</v>
      </c>
      <c r="BE35">
        <f t="shared" si="0"/>
        <v>79.438849806181722</v>
      </c>
      <c r="BF35">
        <f t="shared" si="0"/>
        <v>75.476341858604968</v>
      </c>
      <c r="BG35">
        <f t="shared" si="0"/>
        <v>80.88069405418716</v>
      </c>
      <c r="BH35">
        <f t="shared" si="0"/>
        <v>92.616444818180028</v>
      </c>
      <c r="BI35">
        <f t="shared" si="0"/>
        <v>97.588038640605532</v>
      </c>
      <c r="BJ35">
        <f t="shared" si="0"/>
        <v>93.992657464569263</v>
      </c>
      <c r="BK35">
        <f t="shared" si="0"/>
        <v>85.234940623910475</v>
      </c>
      <c r="BL35">
        <f t="shared" si="0"/>
        <v>88.087864306663732</v>
      </c>
      <c r="BM35">
        <f t="shared" si="0"/>
        <v>86.900342514921007</v>
      </c>
      <c r="BN35">
        <f t="shared" si="0"/>
        <v>80.696105174641659</v>
      </c>
      <c r="BO35">
        <f t="shared" si="0"/>
        <v>78.782533790019968</v>
      </c>
      <c r="BP35">
        <f t="shared" si="0"/>
        <v>89.176938695982201</v>
      </c>
    </row>
    <row r="36" spans="1:68" x14ac:dyDescent="0.4">
      <c r="A36" s="6" t="s">
        <v>7</v>
      </c>
      <c r="B36" s="4" t="s">
        <v>54</v>
      </c>
      <c r="C36">
        <v>100</v>
      </c>
      <c r="D36">
        <f t="shared" si="1"/>
        <v>97.878299993383465</v>
      </c>
      <c r="E36">
        <f t="shared" si="0"/>
        <v>80.128360644890918</v>
      </c>
      <c r="F36">
        <f t="shared" si="0"/>
        <v>91.583776273130255</v>
      </c>
      <c r="G36">
        <f t="shared" si="0"/>
        <v>166.71004168412691</v>
      </c>
      <c r="H36">
        <f t="shared" si="0"/>
        <v>158.5364239871198</v>
      </c>
      <c r="I36">
        <f t="shared" si="0"/>
        <v>145.36732758430557</v>
      </c>
      <c r="J36">
        <f t="shared" si="0"/>
        <v>138.04944751990467</v>
      </c>
      <c r="K36">
        <f t="shared" si="0"/>
        <v>123.11594362718067</v>
      </c>
      <c r="L36">
        <f t="shared" si="0"/>
        <v>133.94720010586443</v>
      </c>
      <c r="M36">
        <f t="shared" si="0"/>
        <v>157.45351889018764</v>
      </c>
      <c r="N36">
        <f t="shared" si="0"/>
        <v>204.61172007675165</v>
      </c>
      <c r="O36">
        <f t="shared" si="0"/>
        <v>205.41011446593583</v>
      </c>
      <c r="P36">
        <f t="shared" si="0"/>
        <v>175.6445601111576</v>
      </c>
      <c r="Q36">
        <f t="shared" si="0"/>
        <v>220.2708365497011</v>
      </c>
      <c r="R36">
        <f t="shared" si="0"/>
        <v>275.02040096160204</v>
      </c>
      <c r="S36">
        <f t="shared" ref="E36:BP40" si="2">R36*R6</f>
        <v>327.13217617608785</v>
      </c>
      <c r="T36">
        <f t="shared" si="2"/>
        <v>285.40835005844599</v>
      </c>
      <c r="U36">
        <f t="shared" si="2"/>
        <v>268.74352131624801</v>
      </c>
      <c r="V36">
        <f t="shared" si="2"/>
        <v>326.318343221367</v>
      </c>
      <c r="W36">
        <f t="shared" si="2"/>
        <v>368.91996206523902</v>
      </c>
      <c r="X36">
        <f t="shared" si="2"/>
        <v>350.29884651860351</v>
      </c>
      <c r="Y36">
        <f t="shared" si="2"/>
        <v>317.42352396285929</v>
      </c>
      <c r="Z36">
        <f t="shared" si="2"/>
        <v>389.04744050638499</v>
      </c>
      <c r="AA36">
        <f t="shared" si="2"/>
        <v>378.76094484021087</v>
      </c>
      <c r="AB36">
        <f t="shared" si="2"/>
        <v>663.09741734853674</v>
      </c>
      <c r="AC36">
        <f t="shared" si="2"/>
        <v>776.76275335788807</v>
      </c>
      <c r="AD36">
        <f t="shared" si="2"/>
        <v>832.6547716195056</v>
      </c>
      <c r="AE36">
        <f t="shared" si="2"/>
        <v>702.73042059063539</v>
      </c>
      <c r="AF36">
        <f t="shared" si="2"/>
        <v>688.1167155554574</v>
      </c>
      <c r="AG36">
        <f t="shared" si="2"/>
        <v>562.87686641229777</v>
      </c>
      <c r="AH36">
        <f t="shared" si="2"/>
        <v>403.94345073994828</v>
      </c>
      <c r="AI36">
        <f t="shared" si="2"/>
        <v>356.6860016320768</v>
      </c>
      <c r="AJ36">
        <f t="shared" si="2"/>
        <v>440.22187424185603</v>
      </c>
      <c r="AK36">
        <f t="shared" si="2"/>
        <v>451.61112458922372</v>
      </c>
      <c r="AL36">
        <f t="shared" si="2"/>
        <v>438.0229814075559</v>
      </c>
      <c r="AM36">
        <f t="shared" si="2"/>
        <v>490.90889040823959</v>
      </c>
      <c r="AN36">
        <f t="shared" si="2"/>
        <v>550.4333825897088</v>
      </c>
      <c r="AO36">
        <f t="shared" si="2"/>
        <v>583.9328642950087</v>
      </c>
      <c r="AP36">
        <f t="shared" si="2"/>
        <v>634.27361549149748</v>
      </c>
      <c r="AQ36">
        <f t="shared" si="2"/>
        <v>545.4092322621907</v>
      </c>
      <c r="AR36">
        <f t="shared" si="2"/>
        <v>534.35301382854345</v>
      </c>
      <c r="AS36">
        <f t="shared" si="2"/>
        <v>508.0721642663371</v>
      </c>
      <c r="AT36">
        <f t="shared" si="2"/>
        <v>431.28294479610048</v>
      </c>
      <c r="AU36">
        <f t="shared" si="2"/>
        <v>498.7715312851501</v>
      </c>
      <c r="AV36">
        <f t="shared" si="2"/>
        <v>432.25116340618843</v>
      </c>
      <c r="AW36">
        <f t="shared" si="2"/>
        <v>475.07333318629918</v>
      </c>
      <c r="AX36">
        <f t="shared" si="2"/>
        <v>445.28131271917226</v>
      </c>
      <c r="AY36">
        <f t="shared" si="2"/>
        <v>420.67223925365539</v>
      </c>
      <c r="AZ36">
        <f t="shared" si="2"/>
        <v>361.22935091859443</v>
      </c>
      <c r="BA36">
        <f t="shared" si="2"/>
        <v>358.95988178469798</v>
      </c>
      <c r="BB36">
        <f t="shared" si="2"/>
        <v>333.58108555170799</v>
      </c>
      <c r="BC36">
        <f t="shared" si="2"/>
        <v>368.62001279195408</v>
      </c>
      <c r="BD36">
        <f t="shared" si="2"/>
        <v>372.83033016475139</v>
      </c>
      <c r="BE36">
        <f t="shared" si="2"/>
        <v>425.5839086036919</v>
      </c>
      <c r="BF36">
        <f t="shared" si="2"/>
        <v>430.63452504355865</v>
      </c>
      <c r="BG36">
        <f t="shared" si="2"/>
        <v>459.21351536137252</v>
      </c>
      <c r="BH36">
        <f t="shared" si="2"/>
        <v>453.15718665225711</v>
      </c>
      <c r="BI36">
        <f t="shared" si="2"/>
        <v>375.77247965417592</v>
      </c>
      <c r="BJ36">
        <f t="shared" si="2"/>
        <v>340.36302684104879</v>
      </c>
      <c r="BK36">
        <f t="shared" si="2"/>
        <v>316.29650867867917</v>
      </c>
      <c r="BL36">
        <f t="shared" si="2"/>
        <v>320.28627511523769</v>
      </c>
      <c r="BM36">
        <f t="shared" si="2"/>
        <v>319.36437220175981</v>
      </c>
      <c r="BN36">
        <f t="shared" si="2"/>
        <v>293.43199311881062</v>
      </c>
      <c r="BO36">
        <f t="shared" si="2"/>
        <v>297.21223616594233</v>
      </c>
      <c r="BP36">
        <f t="shared" si="2"/>
        <v>329.67071745219539</v>
      </c>
    </row>
    <row r="37" spans="1:68" x14ac:dyDescent="0.4">
      <c r="A37" s="6" t="s">
        <v>8</v>
      </c>
      <c r="B37" s="4" t="s">
        <v>55</v>
      </c>
      <c r="C37">
        <v>100</v>
      </c>
      <c r="D37">
        <f t="shared" si="1"/>
        <v>139.0099736890412</v>
      </c>
      <c r="E37">
        <f t="shared" si="2"/>
        <v>117.14985008872301</v>
      </c>
      <c r="F37">
        <f t="shared" si="2"/>
        <v>138.64406779661022</v>
      </c>
      <c r="G37">
        <f t="shared" si="2"/>
        <v>182.93458973260726</v>
      </c>
      <c r="H37">
        <f t="shared" si="2"/>
        <v>184.259927797834</v>
      </c>
      <c r="I37">
        <f t="shared" si="2"/>
        <v>163.33476105978099</v>
      </c>
      <c r="J37">
        <f t="shared" si="2"/>
        <v>163.33353729425446</v>
      </c>
      <c r="K37">
        <f t="shared" si="2"/>
        <v>126.25588937159642</v>
      </c>
      <c r="L37">
        <f t="shared" si="2"/>
        <v>150.74343755736402</v>
      </c>
      <c r="M37">
        <f t="shared" si="2"/>
        <v>191.8191274551796</v>
      </c>
      <c r="N37">
        <f t="shared" si="2"/>
        <v>222.66780884782477</v>
      </c>
      <c r="O37">
        <f t="shared" si="2"/>
        <v>235.36804748210244</v>
      </c>
      <c r="P37">
        <f t="shared" si="2"/>
        <v>204.80450345713763</v>
      </c>
      <c r="Q37">
        <f t="shared" si="2"/>
        <v>232.253564217096</v>
      </c>
      <c r="R37">
        <f t="shared" si="2"/>
        <v>240.26188582267639</v>
      </c>
      <c r="S37">
        <f t="shared" si="2"/>
        <v>276.15615248118468</v>
      </c>
      <c r="T37">
        <f t="shared" si="2"/>
        <v>271.1154622774277</v>
      </c>
      <c r="U37">
        <f t="shared" si="2"/>
        <v>316.53062473230136</v>
      </c>
      <c r="V37">
        <f t="shared" si="2"/>
        <v>412.86911827693825</v>
      </c>
      <c r="W37">
        <f t="shared" si="2"/>
        <v>379.38322217463144</v>
      </c>
      <c r="X37">
        <f t="shared" si="2"/>
        <v>337.81680230067923</v>
      </c>
      <c r="Y37">
        <f t="shared" si="2"/>
        <v>357.91470354280125</v>
      </c>
      <c r="Z37">
        <f t="shared" si="2"/>
        <v>337.95141650859705</v>
      </c>
      <c r="AA37">
        <f t="shared" si="2"/>
        <v>317.09600440555596</v>
      </c>
      <c r="AB37">
        <f t="shared" si="2"/>
        <v>328.98243896469444</v>
      </c>
      <c r="AC37">
        <f t="shared" si="2"/>
        <v>365.17163311509523</v>
      </c>
      <c r="AD37">
        <f t="shared" si="2"/>
        <v>325.59750351832594</v>
      </c>
      <c r="AE37">
        <f t="shared" si="2"/>
        <v>300.42954169981039</v>
      </c>
      <c r="AF37">
        <f t="shared" si="2"/>
        <v>363.46203267453961</v>
      </c>
      <c r="AG37">
        <f t="shared" si="2"/>
        <v>325.10065471455675</v>
      </c>
      <c r="AH37">
        <f t="shared" si="2"/>
        <v>200.69754635011938</v>
      </c>
      <c r="AI37">
        <f t="shared" si="2"/>
        <v>225.39313467539625</v>
      </c>
      <c r="AJ37">
        <f t="shared" si="2"/>
        <v>335.72416325032134</v>
      </c>
      <c r="AK37">
        <f t="shared" si="2"/>
        <v>448.7376858593895</v>
      </c>
      <c r="AL37">
        <f t="shared" si="2"/>
        <v>447.95692345346646</v>
      </c>
      <c r="AM37">
        <f t="shared" si="2"/>
        <v>495.37416630973524</v>
      </c>
      <c r="AN37">
        <f t="shared" si="2"/>
        <v>629.26145750474245</v>
      </c>
      <c r="AO37">
        <f t="shared" si="2"/>
        <v>647.44294193232611</v>
      </c>
      <c r="AP37">
        <f t="shared" si="2"/>
        <v>823.77531664933042</v>
      </c>
      <c r="AQ37">
        <f t="shared" si="2"/>
        <v>850.85969528238445</v>
      </c>
      <c r="AR37">
        <f t="shared" si="2"/>
        <v>1181.4672948663044</v>
      </c>
      <c r="AS37">
        <f t="shared" si="2"/>
        <v>1025.500826041731</v>
      </c>
      <c r="AT37">
        <f t="shared" si="2"/>
        <v>1022.0852964571994</v>
      </c>
      <c r="AU37">
        <f t="shared" si="2"/>
        <v>1011.4299700177452</v>
      </c>
      <c r="AV37">
        <f t="shared" si="2"/>
        <v>1083.5134308266543</v>
      </c>
      <c r="AW37">
        <f t="shared" si="2"/>
        <v>1082.8758489873346</v>
      </c>
      <c r="AX37">
        <f t="shared" si="2"/>
        <v>991.09832956005698</v>
      </c>
      <c r="AY37">
        <f t="shared" si="2"/>
        <v>983.04717616104824</v>
      </c>
      <c r="AZ37">
        <f t="shared" si="2"/>
        <v>977.67484549960284</v>
      </c>
      <c r="BA37">
        <f t="shared" si="2"/>
        <v>1070.1168696077837</v>
      </c>
      <c r="BB37">
        <f t="shared" si="2"/>
        <v>1091.7493728201682</v>
      </c>
      <c r="BC37">
        <f t="shared" si="2"/>
        <v>1063.8438475188161</v>
      </c>
      <c r="BD37">
        <f t="shared" si="2"/>
        <v>1025.8973260723253</v>
      </c>
      <c r="BE37">
        <f t="shared" si="2"/>
        <v>1061.4330294315616</v>
      </c>
      <c r="BF37">
        <f t="shared" si="2"/>
        <v>893.77837606314699</v>
      </c>
      <c r="BG37">
        <f t="shared" si="2"/>
        <v>819.93881172367435</v>
      </c>
      <c r="BH37">
        <f t="shared" si="2"/>
        <v>797.51697974668116</v>
      </c>
      <c r="BI37">
        <f t="shared" si="2"/>
        <v>744.70660221501612</v>
      </c>
      <c r="BJ37">
        <f t="shared" si="2"/>
        <v>809.64939117665108</v>
      </c>
      <c r="BK37">
        <f t="shared" si="2"/>
        <v>797.50841338799546</v>
      </c>
      <c r="BL37">
        <f t="shared" si="2"/>
        <v>804.83999265740738</v>
      </c>
      <c r="BM37">
        <f t="shared" si="2"/>
        <v>787.05378449489126</v>
      </c>
      <c r="BN37">
        <f t="shared" si="2"/>
        <v>742.46711130147514</v>
      </c>
      <c r="BO37">
        <f t="shared" si="2"/>
        <v>785.57302820779591</v>
      </c>
      <c r="BP37">
        <f t="shared" si="2"/>
        <v>828.10622284770284</v>
      </c>
    </row>
    <row r="38" spans="1:68" x14ac:dyDescent="0.4">
      <c r="A38" s="6" t="s">
        <v>9</v>
      </c>
      <c r="B38" s="4" t="s">
        <v>56</v>
      </c>
      <c r="C38">
        <v>100</v>
      </c>
      <c r="D38">
        <f t="shared" si="1"/>
        <v>110.50188192162096</v>
      </c>
      <c r="E38">
        <f t="shared" si="2"/>
        <v>87.452409618951563</v>
      </c>
      <c r="F38">
        <f t="shared" si="2"/>
        <v>93.393207727267807</v>
      </c>
      <c r="G38">
        <f t="shared" si="2"/>
        <v>117.69114791795474</v>
      </c>
      <c r="H38">
        <f t="shared" si="2"/>
        <v>112.50528782011651</v>
      </c>
      <c r="I38">
        <f t="shared" si="2"/>
        <v>90.567613593222916</v>
      </c>
      <c r="J38">
        <f t="shared" si="2"/>
        <v>81.09943271181109</v>
      </c>
      <c r="K38">
        <f t="shared" si="2"/>
        <v>61.730283210222034</v>
      </c>
      <c r="L38">
        <f t="shared" si="2"/>
        <v>64.734849717440582</v>
      </c>
      <c r="M38">
        <f t="shared" si="2"/>
        <v>65.473517512175547</v>
      </c>
      <c r="N38">
        <f t="shared" si="2"/>
        <v>63.534107795602701</v>
      </c>
      <c r="O38">
        <f t="shared" si="2"/>
        <v>63.397437983360994</v>
      </c>
      <c r="P38">
        <f t="shared" si="2"/>
        <v>60.396125519291047</v>
      </c>
      <c r="Q38">
        <f t="shared" si="2"/>
        <v>61.614222337921525</v>
      </c>
      <c r="R38">
        <f t="shared" si="2"/>
        <v>60.236677405009054</v>
      </c>
      <c r="S38">
        <f t="shared" si="2"/>
        <v>75.404857201739816</v>
      </c>
      <c r="T38">
        <f t="shared" si="2"/>
        <v>79.975703144490353</v>
      </c>
      <c r="U38">
        <f t="shared" si="2"/>
        <v>90.26824162355058</v>
      </c>
      <c r="V38">
        <f t="shared" si="2"/>
        <v>125.95641751542955</v>
      </c>
      <c r="W38">
        <f t="shared" si="2"/>
        <v>138.82181944399244</v>
      </c>
      <c r="X38">
        <f t="shared" si="2"/>
        <v>123.68184135454965</v>
      </c>
      <c r="Y38">
        <f t="shared" si="2"/>
        <v>119.7921751109086</v>
      </c>
      <c r="Z38">
        <f t="shared" si="2"/>
        <v>135.29986007614454</v>
      </c>
      <c r="AA38">
        <f t="shared" si="2"/>
        <v>130.50340047509025</v>
      </c>
      <c r="AB38">
        <f t="shared" si="2"/>
        <v>156.23745837536464</v>
      </c>
      <c r="AC38">
        <f t="shared" si="2"/>
        <v>160.77793324872812</v>
      </c>
      <c r="AD38">
        <f t="shared" si="2"/>
        <v>156.23637369431512</v>
      </c>
      <c r="AE38">
        <f t="shared" si="2"/>
        <v>135.65455077934328</v>
      </c>
      <c r="AF38">
        <f t="shared" si="2"/>
        <v>143.36012495525685</v>
      </c>
      <c r="AG38">
        <f t="shared" si="2"/>
        <v>133.47651123187219</v>
      </c>
      <c r="AH38">
        <f t="shared" si="2"/>
        <v>102.30060850606874</v>
      </c>
      <c r="AI38">
        <f t="shared" si="2"/>
        <v>100.98922911717804</v>
      </c>
      <c r="AJ38">
        <f t="shared" si="2"/>
        <v>127.66804421159951</v>
      </c>
      <c r="AK38">
        <f t="shared" si="2"/>
        <v>140.57791806319344</v>
      </c>
      <c r="AL38">
        <f t="shared" si="2"/>
        <v>149.0199906717429</v>
      </c>
      <c r="AM38">
        <f t="shared" si="2"/>
        <v>142.72450186022795</v>
      </c>
      <c r="AN38">
        <f t="shared" si="2"/>
        <v>149.18269282917353</v>
      </c>
      <c r="AO38">
        <f t="shared" si="2"/>
        <v>164.58624841365392</v>
      </c>
      <c r="AP38">
        <f t="shared" si="2"/>
        <v>169.87189916804959</v>
      </c>
      <c r="AQ38">
        <f t="shared" si="2"/>
        <v>157.83953228553142</v>
      </c>
      <c r="AR38">
        <f t="shared" si="2"/>
        <v>186.96647250875876</v>
      </c>
      <c r="AS38">
        <f t="shared" si="2"/>
        <v>190.59039189526314</v>
      </c>
      <c r="AT38">
        <f t="shared" si="2"/>
        <v>189.19440738450854</v>
      </c>
      <c r="AU38">
        <f t="shared" si="2"/>
        <v>192.89100040133192</v>
      </c>
      <c r="AV38">
        <f t="shared" si="2"/>
        <v>190.98521579729476</v>
      </c>
      <c r="AW38">
        <f t="shared" si="2"/>
        <v>213.41858926382693</v>
      </c>
      <c r="AX38">
        <f t="shared" si="2"/>
        <v>222.7598624624429</v>
      </c>
      <c r="AY38">
        <f t="shared" si="2"/>
        <v>216.6238217652099</v>
      </c>
      <c r="AZ38">
        <f t="shared" si="2"/>
        <v>222.28585684379505</v>
      </c>
      <c r="BA38">
        <f t="shared" si="2"/>
        <v>204.34414760339718</v>
      </c>
      <c r="BB38">
        <f t="shared" si="2"/>
        <v>229.21046066404168</v>
      </c>
      <c r="BC38">
        <f t="shared" si="2"/>
        <v>243.51848838848935</v>
      </c>
      <c r="BD38">
        <f t="shared" si="2"/>
        <v>291.47657631273523</v>
      </c>
      <c r="BE38">
        <f t="shared" si="2"/>
        <v>359.49041684292735</v>
      </c>
      <c r="BF38">
        <f t="shared" si="2"/>
        <v>384.28839499745095</v>
      </c>
      <c r="BG38">
        <f t="shared" si="2"/>
        <v>415.89600078097033</v>
      </c>
      <c r="BH38">
        <f t="shared" si="2"/>
        <v>542.16914516286488</v>
      </c>
      <c r="BI38">
        <f t="shared" si="2"/>
        <v>512.84804703177031</v>
      </c>
      <c r="BJ38">
        <f t="shared" si="2"/>
        <v>490.10770882821896</v>
      </c>
      <c r="BK38">
        <f t="shared" si="2"/>
        <v>459.97960799626861</v>
      </c>
      <c r="BL38">
        <f t="shared" si="2"/>
        <v>502.0782488909137</v>
      </c>
      <c r="BM38">
        <f t="shared" si="2"/>
        <v>446.640200449058</v>
      </c>
      <c r="BN38">
        <f t="shared" si="2"/>
        <v>387.41553046326726</v>
      </c>
      <c r="BO38">
        <f t="shared" si="2"/>
        <v>396.42706062282389</v>
      </c>
      <c r="BP38">
        <f t="shared" si="2"/>
        <v>437.80113457637782</v>
      </c>
    </row>
    <row r="39" spans="1:68" x14ac:dyDescent="0.4">
      <c r="A39" s="6" t="s">
        <v>10</v>
      </c>
      <c r="B39" s="4" t="s">
        <v>57</v>
      </c>
      <c r="C39">
        <v>100</v>
      </c>
      <c r="D39">
        <f t="shared" si="1"/>
        <v>112.79847026329122</v>
      </c>
      <c r="E39">
        <f t="shared" si="2"/>
        <v>102.54629251311555</v>
      </c>
      <c r="F39">
        <f t="shared" si="2"/>
        <v>111.58906303626588</v>
      </c>
      <c r="G39">
        <f t="shared" si="2"/>
        <v>146.13888571101705</v>
      </c>
      <c r="H39">
        <f t="shared" si="2"/>
        <v>132.83867488191936</v>
      </c>
      <c r="I39">
        <f t="shared" si="2"/>
        <v>124.8026541585631</v>
      </c>
      <c r="J39">
        <f t="shared" si="2"/>
        <v>115.22545638779479</v>
      </c>
      <c r="K39">
        <f t="shared" si="2"/>
        <v>100.8498537270989</v>
      </c>
      <c r="L39">
        <f t="shared" si="2"/>
        <v>107.88402765293282</v>
      </c>
      <c r="M39">
        <f t="shared" si="2"/>
        <v>111.34718159086079</v>
      </c>
      <c r="N39">
        <f t="shared" si="2"/>
        <v>114.66978279699934</v>
      </c>
      <c r="O39">
        <f t="shared" si="2"/>
        <v>125.92217301060683</v>
      </c>
      <c r="P39">
        <f t="shared" si="2"/>
        <v>113.94413846078416</v>
      </c>
      <c r="Q39">
        <f t="shared" si="2"/>
        <v>118.77686436661382</v>
      </c>
      <c r="R39">
        <f t="shared" si="2"/>
        <v>132.5967934365143</v>
      </c>
      <c r="S39">
        <f t="shared" si="2"/>
        <v>137.40990733325708</v>
      </c>
      <c r="T39">
        <f t="shared" si="2"/>
        <v>148.18343765832614</v>
      </c>
      <c r="U39">
        <f t="shared" si="2"/>
        <v>167.81505875431057</v>
      </c>
      <c r="V39">
        <f t="shared" si="2"/>
        <v>201.00838413388468</v>
      </c>
      <c r="W39">
        <f t="shared" si="2"/>
        <v>201.25680291565203</v>
      </c>
      <c r="X39">
        <f t="shared" si="2"/>
        <v>190.98337882229885</v>
      </c>
      <c r="Y39">
        <f t="shared" si="2"/>
        <v>185.54104630068477</v>
      </c>
      <c r="Z39">
        <f t="shared" si="2"/>
        <v>191.36090999722163</v>
      </c>
      <c r="AA39">
        <f t="shared" si="2"/>
        <v>180.09054210861783</v>
      </c>
      <c r="AB39">
        <f t="shared" si="2"/>
        <v>205.11546570349904</v>
      </c>
      <c r="AC39">
        <f t="shared" si="2"/>
        <v>241.8062660369032</v>
      </c>
      <c r="AD39">
        <f t="shared" si="2"/>
        <v>242.69044077990418</v>
      </c>
      <c r="AE39">
        <f t="shared" si="2"/>
        <v>221.29537320018952</v>
      </c>
      <c r="AF39">
        <f t="shared" si="2"/>
        <v>228.86397437364138</v>
      </c>
      <c r="AG39">
        <f t="shared" si="2"/>
        <v>181.18064294703117</v>
      </c>
      <c r="AH39">
        <f t="shared" si="2"/>
        <v>124.86966185627662</v>
      </c>
      <c r="AI39">
        <f t="shared" si="2"/>
        <v>122.71070652262733</v>
      </c>
      <c r="AJ39">
        <f t="shared" si="2"/>
        <v>156.95654305653156</v>
      </c>
      <c r="AK39">
        <f t="shared" si="2"/>
        <v>158.61702649255554</v>
      </c>
      <c r="AL39">
        <f t="shared" si="2"/>
        <v>167.09431742036699</v>
      </c>
      <c r="AM39">
        <f t="shared" si="2"/>
        <v>170.55256835602324</v>
      </c>
      <c r="AN39">
        <f t="shared" si="2"/>
        <v>177.90707176360982</v>
      </c>
      <c r="AO39">
        <f t="shared" si="2"/>
        <v>205.98166277150364</v>
      </c>
      <c r="AP39">
        <f t="shared" si="2"/>
        <v>220.63837089577839</v>
      </c>
      <c r="AQ39">
        <f t="shared" si="2"/>
        <v>209.61315312076084</v>
      </c>
      <c r="AR39">
        <f t="shared" si="2"/>
        <v>217.91066729860904</v>
      </c>
      <c r="AS39">
        <f t="shared" si="2"/>
        <v>237.52267638550657</v>
      </c>
      <c r="AT39">
        <f t="shared" si="2"/>
        <v>228.90483272590569</v>
      </c>
      <c r="AU39">
        <f t="shared" si="2"/>
        <v>230.91833232549385</v>
      </c>
      <c r="AV39">
        <f t="shared" si="2"/>
        <v>251.66293493715969</v>
      </c>
      <c r="AW39">
        <f t="shared" si="2"/>
        <v>260.84789252619009</v>
      </c>
      <c r="AX39">
        <f t="shared" si="2"/>
        <v>302.10665664275081</v>
      </c>
      <c r="AY39">
        <f t="shared" si="2"/>
        <v>305.43906385343286</v>
      </c>
      <c r="AZ39">
        <f t="shared" si="2"/>
        <v>347.50845767891866</v>
      </c>
      <c r="BA39">
        <f t="shared" si="2"/>
        <v>309.16697991403396</v>
      </c>
      <c r="BB39">
        <f t="shared" si="2"/>
        <v>347.56729370617927</v>
      </c>
      <c r="BC39">
        <f t="shared" si="2"/>
        <v>368.527628417801</v>
      </c>
      <c r="BD39">
        <f t="shared" si="2"/>
        <v>378.09011718175412</v>
      </c>
      <c r="BE39">
        <f t="shared" si="2"/>
        <v>448.87312664454845</v>
      </c>
      <c r="BF39">
        <f t="shared" si="2"/>
        <v>378.23720724990585</v>
      </c>
      <c r="BG39">
        <f t="shared" si="2"/>
        <v>392.4199584879139</v>
      </c>
      <c r="BH39">
        <f t="shared" si="2"/>
        <v>477.9610047885987</v>
      </c>
      <c r="BI39">
        <f t="shared" si="2"/>
        <v>484.54900550770571</v>
      </c>
      <c r="BJ39">
        <f t="shared" si="2"/>
        <v>402.39920244496363</v>
      </c>
      <c r="BK39">
        <f t="shared" si="2"/>
        <v>363.16047526435347</v>
      </c>
      <c r="BL39">
        <f t="shared" si="2"/>
        <v>380.43865526991016</v>
      </c>
      <c r="BM39">
        <f t="shared" si="2"/>
        <v>357.5334629905044</v>
      </c>
      <c r="BN39">
        <f t="shared" si="2"/>
        <v>311.71654109533063</v>
      </c>
      <c r="BO39">
        <f t="shared" si="2"/>
        <v>320.54031085034399</v>
      </c>
      <c r="BP39">
        <f t="shared" si="2"/>
        <v>343.04835994574012</v>
      </c>
    </row>
    <row r="40" spans="1:68" x14ac:dyDescent="0.4">
      <c r="A40" s="6" t="s">
        <v>11</v>
      </c>
      <c r="B40" s="4" t="s">
        <v>58</v>
      </c>
      <c r="C40">
        <v>100</v>
      </c>
      <c r="D40">
        <f t="shared" si="1"/>
        <v>115.4878285640295</v>
      </c>
      <c r="E40">
        <f t="shared" si="2"/>
        <v>95.001942250420811</v>
      </c>
      <c r="F40">
        <f t="shared" si="2"/>
        <v>109.72420044024341</v>
      </c>
      <c r="G40">
        <f t="shared" si="2"/>
        <v>139.45034313090767</v>
      </c>
      <c r="H40">
        <f t="shared" si="2"/>
        <v>112.53398938236435</v>
      </c>
      <c r="I40">
        <f t="shared" si="2"/>
        <v>94.082610384565569</v>
      </c>
      <c r="J40">
        <f t="shared" si="2"/>
        <v>86.590379386248856</v>
      </c>
      <c r="K40">
        <f t="shared" si="2"/>
        <v>70.531205490094507</v>
      </c>
      <c r="L40">
        <f t="shared" si="2"/>
        <v>90.343778324485271</v>
      </c>
      <c r="M40">
        <f t="shared" si="2"/>
        <v>85.611161465751636</v>
      </c>
      <c r="N40">
        <f t="shared" si="2"/>
        <v>86.930273209892519</v>
      </c>
      <c r="O40">
        <f t="shared" si="2"/>
        <v>78.967046484526719</v>
      </c>
      <c r="P40">
        <f t="shared" si="2"/>
        <v>70.196167292502892</v>
      </c>
      <c r="Q40">
        <f t="shared" si="2"/>
        <v>65.143079114333787</v>
      </c>
      <c r="R40">
        <f t="shared" ref="E40:BP44" si="3">Q40*Q10</f>
        <v>63.157128059044382</v>
      </c>
      <c r="S40">
        <f t="shared" si="3"/>
        <v>75.475851353101092</v>
      </c>
      <c r="T40">
        <f t="shared" si="3"/>
        <v>71.013531011265016</v>
      </c>
      <c r="U40">
        <f t="shared" si="3"/>
        <v>72.552764469765592</v>
      </c>
      <c r="V40">
        <f t="shared" si="3"/>
        <v>102.3420302991065</v>
      </c>
      <c r="W40">
        <f t="shared" si="3"/>
        <v>92.234235400750947</v>
      </c>
      <c r="X40">
        <f t="shared" si="3"/>
        <v>82.024472355302294</v>
      </c>
      <c r="Y40">
        <f t="shared" si="3"/>
        <v>72.340735465492642</v>
      </c>
      <c r="Z40">
        <f t="shared" si="3"/>
        <v>82.171759678881216</v>
      </c>
      <c r="AA40">
        <f t="shared" si="3"/>
        <v>70.650977599378436</v>
      </c>
      <c r="AB40">
        <f t="shared" si="3"/>
        <v>76.937394794768821</v>
      </c>
      <c r="AC40">
        <f t="shared" si="3"/>
        <v>78.827851871034511</v>
      </c>
      <c r="AD40">
        <f t="shared" si="3"/>
        <v>67.928589926194434</v>
      </c>
      <c r="AE40">
        <f t="shared" si="3"/>
        <v>60.504337692606455</v>
      </c>
      <c r="AF40">
        <f t="shared" si="3"/>
        <v>53.449113038974453</v>
      </c>
      <c r="AG40">
        <f t="shared" si="3"/>
        <v>43.794509905477113</v>
      </c>
      <c r="AH40">
        <f t="shared" si="3"/>
        <v>32.128059044412772</v>
      </c>
      <c r="AI40">
        <f t="shared" si="3"/>
        <v>30.580732875825436</v>
      </c>
      <c r="AJ40">
        <f t="shared" si="3"/>
        <v>43.766994691182163</v>
      </c>
      <c r="AK40">
        <f t="shared" si="3"/>
        <v>47.233911692347498</v>
      </c>
      <c r="AL40">
        <f t="shared" si="3"/>
        <v>44.789913246147847</v>
      </c>
      <c r="AM40">
        <f t="shared" si="3"/>
        <v>46.709504078725857</v>
      </c>
      <c r="AN40">
        <f t="shared" si="3"/>
        <v>45.14437394794767</v>
      </c>
      <c r="AO40">
        <f t="shared" si="3"/>
        <v>43.46109024990286</v>
      </c>
      <c r="AP40">
        <f t="shared" si="3"/>
        <v>46.919914540981452</v>
      </c>
      <c r="AQ40">
        <f t="shared" si="3"/>
        <v>46.93124433510291</v>
      </c>
      <c r="AR40">
        <f t="shared" si="3"/>
        <v>48.54978635245368</v>
      </c>
      <c r="AS40">
        <f t="shared" si="3"/>
        <v>55.28130260261554</v>
      </c>
      <c r="AT40">
        <f t="shared" si="3"/>
        <v>57.720445422763142</v>
      </c>
      <c r="AU40">
        <f t="shared" si="3"/>
        <v>58.489252881004752</v>
      </c>
      <c r="AV40">
        <f t="shared" si="3"/>
        <v>53.314774051534336</v>
      </c>
      <c r="AW40">
        <f t="shared" si="3"/>
        <v>60.993137381846388</v>
      </c>
      <c r="AX40">
        <f t="shared" si="3"/>
        <v>63.377249773404074</v>
      </c>
      <c r="AY40">
        <f t="shared" si="3"/>
        <v>68.287906254046305</v>
      </c>
      <c r="AZ40">
        <f t="shared" si="3"/>
        <v>73.588631360870068</v>
      </c>
      <c r="BA40">
        <f t="shared" si="3"/>
        <v>66.154667875177978</v>
      </c>
      <c r="BB40">
        <f t="shared" si="3"/>
        <v>66.005762009581701</v>
      </c>
      <c r="BC40">
        <f t="shared" si="3"/>
        <v>67.203483102421259</v>
      </c>
      <c r="BD40">
        <f t="shared" si="3"/>
        <v>67.870322413569767</v>
      </c>
      <c r="BE40">
        <f t="shared" si="3"/>
        <v>68.558202770943851</v>
      </c>
      <c r="BF40">
        <f t="shared" si="3"/>
        <v>61.501359575294501</v>
      </c>
      <c r="BG40">
        <f t="shared" si="3"/>
        <v>68.491842548232469</v>
      </c>
      <c r="BH40">
        <f t="shared" si="3"/>
        <v>80.391363459795315</v>
      </c>
      <c r="BI40">
        <f t="shared" si="3"/>
        <v>84.300142431697424</v>
      </c>
      <c r="BJ40">
        <f t="shared" si="3"/>
        <v>85.05114592774818</v>
      </c>
      <c r="BK40">
        <f t="shared" si="3"/>
        <v>78.27754758513521</v>
      </c>
      <c r="BL40">
        <f t="shared" si="3"/>
        <v>81.33011782985875</v>
      </c>
      <c r="BM40">
        <f t="shared" si="3"/>
        <v>68.022465363200723</v>
      </c>
      <c r="BN40">
        <f t="shared" si="3"/>
        <v>59.847209633561995</v>
      </c>
      <c r="BO40">
        <f t="shared" si="3"/>
        <v>64.96342095040778</v>
      </c>
      <c r="BP40">
        <f t="shared" si="3"/>
        <v>69.61187362423918</v>
      </c>
    </row>
    <row r="41" spans="1:68" x14ac:dyDescent="0.4">
      <c r="A41" s="6" t="s">
        <v>12</v>
      </c>
      <c r="B41" s="4" t="s">
        <v>59</v>
      </c>
      <c r="C41">
        <v>100</v>
      </c>
      <c r="D41">
        <f t="shared" si="1"/>
        <v>127.8167315896865</v>
      </c>
      <c r="E41">
        <f t="shared" si="3"/>
        <v>117.63680207753661</v>
      </c>
      <c r="F41">
        <f t="shared" si="3"/>
        <v>145.48506770543494</v>
      </c>
      <c r="G41">
        <f t="shared" si="3"/>
        <v>248.03005008347245</v>
      </c>
      <c r="H41">
        <f t="shared" si="3"/>
        <v>235.73177518085694</v>
      </c>
      <c r="I41">
        <f t="shared" si="3"/>
        <v>246.27898349100352</v>
      </c>
      <c r="J41">
        <f t="shared" si="3"/>
        <v>203.38527174921163</v>
      </c>
      <c r="K41">
        <f t="shared" si="3"/>
        <v>162.25375626043405</v>
      </c>
      <c r="L41">
        <f t="shared" si="3"/>
        <v>182.98274902615469</v>
      </c>
      <c r="M41">
        <f t="shared" si="3"/>
        <v>208.17844555741044</v>
      </c>
      <c r="N41">
        <f t="shared" si="3"/>
        <v>209.71248376924498</v>
      </c>
      <c r="O41">
        <f t="shared" si="3"/>
        <v>215.22166573919492</v>
      </c>
      <c r="P41">
        <f t="shared" si="3"/>
        <v>205.54999072528284</v>
      </c>
      <c r="Q41">
        <f t="shared" si="3"/>
        <v>233.45946948618064</v>
      </c>
      <c r="R41">
        <f t="shared" si="3"/>
        <v>241.87720274531625</v>
      </c>
      <c r="S41">
        <f t="shared" si="3"/>
        <v>287.78519755147465</v>
      </c>
      <c r="T41">
        <f t="shared" si="3"/>
        <v>301.82711927286215</v>
      </c>
      <c r="U41">
        <f t="shared" si="3"/>
        <v>332.78983491003521</v>
      </c>
      <c r="V41">
        <f t="shared" si="3"/>
        <v>413.54850677054344</v>
      </c>
      <c r="W41">
        <f t="shared" si="3"/>
        <v>457.73696902244473</v>
      </c>
      <c r="X41">
        <f t="shared" si="3"/>
        <v>403.17009831200136</v>
      </c>
      <c r="Y41">
        <f t="shared" si="3"/>
        <v>469.00760526803924</v>
      </c>
      <c r="Z41">
        <f t="shared" si="3"/>
        <v>511.32442960489703</v>
      </c>
      <c r="AA41">
        <f t="shared" si="3"/>
        <v>462.81765906139861</v>
      </c>
      <c r="AB41">
        <f t="shared" si="3"/>
        <v>553.35744759784825</v>
      </c>
      <c r="AC41">
        <f t="shared" si="3"/>
        <v>512.51530328324975</v>
      </c>
      <c r="AD41">
        <f t="shared" si="3"/>
        <v>537.1396772398441</v>
      </c>
      <c r="AE41">
        <f t="shared" si="3"/>
        <v>442.23149693934334</v>
      </c>
      <c r="AF41">
        <f t="shared" si="3"/>
        <v>468.11723242441104</v>
      </c>
      <c r="AG41">
        <f t="shared" si="3"/>
        <v>407.55889445371918</v>
      </c>
      <c r="AH41">
        <f t="shared" si="3"/>
        <v>273.39269152290854</v>
      </c>
      <c r="AI41">
        <f t="shared" si="3"/>
        <v>262.86774253385272</v>
      </c>
      <c r="AJ41">
        <f t="shared" si="3"/>
        <v>355.99146726024861</v>
      </c>
      <c r="AK41">
        <f t="shared" si="3"/>
        <v>380.77165646447781</v>
      </c>
      <c r="AL41">
        <f t="shared" si="3"/>
        <v>406.85958078278617</v>
      </c>
      <c r="AM41">
        <f t="shared" si="3"/>
        <v>393.42422556112041</v>
      </c>
      <c r="AN41">
        <f t="shared" si="3"/>
        <v>379.2227787052496</v>
      </c>
      <c r="AO41">
        <f t="shared" si="3"/>
        <v>438.24151363383424</v>
      </c>
      <c r="AP41">
        <f t="shared" si="3"/>
        <v>454.24411055462821</v>
      </c>
      <c r="AQ41">
        <f t="shared" si="3"/>
        <v>411.18159896123177</v>
      </c>
      <c r="AR41">
        <f t="shared" si="3"/>
        <v>490.77907623817487</v>
      </c>
      <c r="AS41">
        <f t="shared" si="3"/>
        <v>509.18567983676513</v>
      </c>
      <c r="AT41">
        <f t="shared" si="3"/>
        <v>444.27564459284008</v>
      </c>
      <c r="AU41">
        <f t="shared" si="3"/>
        <v>455.1641624930441</v>
      </c>
      <c r="AV41">
        <f t="shared" si="3"/>
        <v>402.21480244852546</v>
      </c>
      <c r="AW41">
        <f t="shared" si="3"/>
        <v>401.05175292153604</v>
      </c>
      <c r="AX41">
        <f t="shared" si="3"/>
        <v>407.09515859766287</v>
      </c>
      <c r="AY41">
        <f t="shared" si="3"/>
        <v>432.34835837506961</v>
      </c>
      <c r="AZ41">
        <f t="shared" si="3"/>
        <v>435.20682619180121</v>
      </c>
      <c r="BA41">
        <f t="shared" si="3"/>
        <v>423.59488035614919</v>
      </c>
      <c r="BB41">
        <f t="shared" si="3"/>
        <v>500.65479502875172</v>
      </c>
      <c r="BC41">
        <f t="shared" si="3"/>
        <v>463.72287145242069</v>
      </c>
      <c r="BD41">
        <f t="shared" si="3"/>
        <v>424.15692821368953</v>
      </c>
      <c r="BE41">
        <f t="shared" si="3"/>
        <v>462.67853830458182</v>
      </c>
      <c r="BF41">
        <f t="shared" si="3"/>
        <v>406.16212205527734</v>
      </c>
      <c r="BG41">
        <f t="shared" si="3"/>
        <v>397.43090335744768</v>
      </c>
      <c r="BH41">
        <f t="shared" si="3"/>
        <v>473.2572806529401</v>
      </c>
      <c r="BI41">
        <f t="shared" si="3"/>
        <v>488.57169356334634</v>
      </c>
      <c r="BJ41">
        <f t="shared" si="3"/>
        <v>441.98849935076987</v>
      </c>
      <c r="BK41">
        <f t="shared" si="3"/>
        <v>407.4605824522352</v>
      </c>
      <c r="BL41">
        <f t="shared" si="3"/>
        <v>416.57206455203118</v>
      </c>
      <c r="BM41">
        <f t="shared" si="3"/>
        <v>372.30754961973662</v>
      </c>
      <c r="BN41">
        <f t="shared" si="3"/>
        <v>367.85754034501952</v>
      </c>
      <c r="BO41">
        <f t="shared" si="3"/>
        <v>397.85568540159539</v>
      </c>
      <c r="BP41">
        <f t="shared" si="3"/>
        <v>470.63068076423684</v>
      </c>
    </row>
    <row r="42" spans="1:68" x14ac:dyDescent="0.4">
      <c r="A42" s="6" t="s">
        <v>13</v>
      </c>
      <c r="B42" s="4" t="s">
        <v>60</v>
      </c>
      <c r="C42">
        <v>100</v>
      </c>
      <c r="D42">
        <f t="shared" si="1"/>
        <v>123.48230353929215</v>
      </c>
      <c r="E42">
        <f t="shared" si="3"/>
        <v>128.09538092381524</v>
      </c>
      <c r="F42">
        <f t="shared" si="3"/>
        <v>144.24415116976607</v>
      </c>
      <c r="G42">
        <f t="shared" si="3"/>
        <v>166.03179364127175</v>
      </c>
      <c r="H42">
        <f t="shared" si="3"/>
        <v>137.6514697060588</v>
      </c>
      <c r="I42">
        <f t="shared" si="3"/>
        <v>105.93581283743252</v>
      </c>
      <c r="J42">
        <f t="shared" si="3"/>
        <v>88.986202759448119</v>
      </c>
      <c r="K42">
        <f t="shared" si="3"/>
        <v>67.090581883623273</v>
      </c>
      <c r="L42">
        <f t="shared" si="3"/>
        <v>79.199160167966397</v>
      </c>
      <c r="M42">
        <f t="shared" si="3"/>
        <v>68.566286742651457</v>
      </c>
      <c r="N42">
        <f t="shared" si="3"/>
        <v>52.045590881823628</v>
      </c>
      <c r="O42">
        <f t="shared" si="3"/>
        <v>51.325734853029381</v>
      </c>
      <c r="P42">
        <f t="shared" si="3"/>
        <v>61.74265146970604</v>
      </c>
      <c r="Q42">
        <f t="shared" si="3"/>
        <v>53.971205758848214</v>
      </c>
      <c r="R42">
        <f t="shared" si="3"/>
        <v>65.110977804439088</v>
      </c>
      <c r="S42">
        <f t="shared" si="3"/>
        <v>77.645470905818812</v>
      </c>
      <c r="T42">
        <f t="shared" si="3"/>
        <v>79.028194361127746</v>
      </c>
      <c r="U42">
        <f t="shared" si="3"/>
        <v>92.891421715656818</v>
      </c>
      <c r="V42">
        <f t="shared" si="3"/>
        <v>127.38452309538084</v>
      </c>
      <c r="W42">
        <f t="shared" si="3"/>
        <v>127.29454109178155</v>
      </c>
      <c r="X42">
        <f t="shared" si="3"/>
        <v>146.3137372525494</v>
      </c>
      <c r="Y42">
        <f t="shared" si="3"/>
        <v>144.98200359928006</v>
      </c>
      <c r="Z42">
        <f t="shared" si="3"/>
        <v>177.2765446910617</v>
      </c>
      <c r="AA42">
        <f t="shared" si="3"/>
        <v>162.48350329934007</v>
      </c>
      <c r="AB42">
        <f t="shared" si="3"/>
        <v>190.55188962207549</v>
      </c>
      <c r="AC42">
        <f t="shared" si="3"/>
        <v>209.64907018596273</v>
      </c>
      <c r="AD42">
        <f t="shared" si="3"/>
        <v>257.73245350929801</v>
      </c>
      <c r="AE42">
        <f t="shared" si="3"/>
        <v>269.19316136772636</v>
      </c>
      <c r="AF42">
        <f t="shared" si="3"/>
        <v>280.58488302339526</v>
      </c>
      <c r="AG42">
        <f t="shared" si="3"/>
        <v>188.62327534493099</v>
      </c>
      <c r="AH42">
        <f t="shared" si="3"/>
        <v>118.48830233953208</v>
      </c>
      <c r="AI42">
        <f t="shared" si="3"/>
        <v>140.40491901619674</v>
      </c>
      <c r="AJ42">
        <f t="shared" si="3"/>
        <v>170.78584283143368</v>
      </c>
      <c r="AK42">
        <f t="shared" si="3"/>
        <v>193.44031193761242</v>
      </c>
      <c r="AL42">
        <f t="shared" si="3"/>
        <v>186.71265746850625</v>
      </c>
      <c r="AM42">
        <f t="shared" si="3"/>
        <v>168.69526094781037</v>
      </c>
      <c r="AN42">
        <f t="shared" si="3"/>
        <v>138.19436112777439</v>
      </c>
      <c r="AO42">
        <f t="shared" si="3"/>
        <v>136.18776244751044</v>
      </c>
      <c r="AP42">
        <f t="shared" si="3"/>
        <v>152.63947210557882</v>
      </c>
      <c r="AQ42">
        <f t="shared" si="3"/>
        <v>130.95680863827229</v>
      </c>
      <c r="AR42">
        <f t="shared" si="3"/>
        <v>119.67606478704253</v>
      </c>
      <c r="AS42">
        <f t="shared" si="3"/>
        <v>119.9040191961607</v>
      </c>
      <c r="AT42">
        <f t="shared" si="3"/>
        <v>102.75044991001793</v>
      </c>
      <c r="AU42">
        <f t="shared" si="3"/>
        <v>108.89022195560881</v>
      </c>
      <c r="AV42">
        <f t="shared" si="3"/>
        <v>83.056388722255491</v>
      </c>
      <c r="AW42">
        <f t="shared" si="3"/>
        <v>78.416316736652618</v>
      </c>
      <c r="AX42">
        <f t="shared" si="3"/>
        <v>78.05338932213553</v>
      </c>
      <c r="AY42">
        <f t="shared" si="3"/>
        <v>82.777444511097741</v>
      </c>
      <c r="AZ42">
        <f t="shared" si="3"/>
        <v>84.93101379724051</v>
      </c>
      <c r="BA42">
        <f t="shared" si="3"/>
        <v>79.073185362927376</v>
      </c>
      <c r="BB42">
        <f t="shared" si="3"/>
        <v>78.494301139772006</v>
      </c>
      <c r="BC42">
        <f t="shared" si="3"/>
        <v>77.543491301739607</v>
      </c>
      <c r="BD42">
        <f t="shared" si="3"/>
        <v>79.010197960407893</v>
      </c>
      <c r="BE42">
        <f t="shared" si="3"/>
        <v>80.449910017996388</v>
      </c>
      <c r="BF42">
        <f t="shared" si="3"/>
        <v>79.184163167366506</v>
      </c>
      <c r="BG42">
        <f t="shared" si="3"/>
        <v>84.17516496700658</v>
      </c>
      <c r="BH42">
        <f t="shared" si="3"/>
        <v>94.12717456508696</v>
      </c>
      <c r="BI42">
        <f t="shared" si="3"/>
        <v>86.517696460707839</v>
      </c>
      <c r="BJ42">
        <f t="shared" si="3"/>
        <v>81.934613077384512</v>
      </c>
      <c r="BK42">
        <f t="shared" si="3"/>
        <v>90.509898020395909</v>
      </c>
      <c r="BL42">
        <f t="shared" si="3"/>
        <v>86.556688662267533</v>
      </c>
      <c r="BM42">
        <f t="shared" si="3"/>
        <v>86.808638272345533</v>
      </c>
      <c r="BN42">
        <f t="shared" si="3"/>
        <v>80.398920215956807</v>
      </c>
      <c r="BO42">
        <f t="shared" si="3"/>
        <v>82.510497900419907</v>
      </c>
      <c r="BP42">
        <f t="shared" si="3"/>
        <v>82.186562687462512</v>
      </c>
    </row>
    <row r="43" spans="1:68" x14ac:dyDescent="0.4">
      <c r="A43" s="6" t="s">
        <v>14</v>
      </c>
      <c r="B43" s="4" t="s">
        <v>61</v>
      </c>
      <c r="C43">
        <v>100</v>
      </c>
      <c r="D43">
        <f t="shared" si="1"/>
        <v>100</v>
      </c>
      <c r="E43">
        <f t="shared" si="3"/>
        <v>100</v>
      </c>
      <c r="F43">
        <f t="shared" si="3"/>
        <v>100</v>
      </c>
      <c r="G43">
        <f t="shared" si="3"/>
        <v>100</v>
      </c>
      <c r="H43">
        <f t="shared" si="3"/>
        <v>100</v>
      </c>
      <c r="I43">
        <f t="shared" si="3"/>
        <v>100</v>
      </c>
      <c r="J43">
        <f t="shared" si="3"/>
        <v>100</v>
      </c>
      <c r="K43">
        <f t="shared" si="3"/>
        <v>100</v>
      </c>
      <c r="L43">
        <f t="shared" si="3"/>
        <v>100</v>
      </c>
      <c r="M43">
        <f t="shared" si="3"/>
        <v>100</v>
      </c>
      <c r="N43">
        <f t="shared" si="3"/>
        <v>100</v>
      </c>
      <c r="O43">
        <f t="shared" si="3"/>
        <v>100</v>
      </c>
      <c r="P43">
        <f t="shared" si="3"/>
        <v>100</v>
      </c>
      <c r="Q43">
        <f t="shared" si="3"/>
        <v>100</v>
      </c>
      <c r="R43">
        <f t="shared" si="3"/>
        <v>100</v>
      </c>
      <c r="S43">
        <f t="shared" si="3"/>
        <v>100</v>
      </c>
      <c r="T43">
        <f t="shared" si="3"/>
        <v>100</v>
      </c>
      <c r="U43">
        <f t="shared" si="3"/>
        <v>100</v>
      </c>
      <c r="V43">
        <f t="shared" si="3"/>
        <v>100</v>
      </c>
      <c r="W43">
        <f t="shared" si="3"/>
        <v>100</v>
      </c>
      <c r="X43">
        <f t="shared" si="3"/>
        <v>100</v>
      </c>
      <c r="Y43">
        <f t="shared" si="3"/>
        <v>100</v>
      </c>
      <c r="Z43">
        <f t="shared" si="3"/>
        <v>100</v>
      </c>
      <c r="AA43">
        <f t="shared" si="3"/>
        <v>100</v>
      </c>
      <c r="AB43">
        <f t="shared" si="3"/>
        <v>137.4264897918749</v>
      </c>
      <c r="AC43">
        <f t="shared" si="3"/>
        <v>226.90045839749993</v>
      </c>
      <c r="AD43">
        <f t="shared" si="3"/>
        <v>123.76282207152438</v>
      </c>
      <c r="AE43">
        <f t="shared" si="3"/>
        <v>163.36692513441218</v>
      </c>
      <c r="AF43">
        <f t="shared" si="3"/>
        <v>154.70330244328565</v>
      </c>
      <c r="AG43">
        <f t="shared" si="3"/>
        <v>154.70330244328565</v>
      </c>
      <c r="AH43">
        <f t="shared" si="3"/>
        <v>154.70330244328565</v>
      </c>
      <c r="AI43">
        <f t="shared" si="3"/>
        <v>154.70330244328565</v>
      </c>
      <c r="AJ43">
        <f t="shared" si="3"/>
        <v>154.70330244328565</v>
      </c>
      <c r="AK43">
        <f t="shared" si="3"/>
        <v>154.70330244328565</v>
      </c>
      <c r="AL43">
        <f t="shared" si="3"/>
        <v>154.70330244328565</v>
      </c>
      <c r="AM43">
        <f t="shared" si="3"/>
        <v>154.70330244328565</v>
      </c>
      <c r="AN43">
        <f t="shared" si="3"/>
        <v>154.70330244328565</v>
      </c>
      <c r="AO43">
        <f t="shared" si="3"/>
        <v>184.8854906834535</v>
      </c>
      <c r="AP43">
        <f t="shared" si="3"/>
        <v>184.8854906834535</v>
      </c>
      <c r="AQ43">
        <f t="shared" si="3"/>
        <v>172.24398634713924</v>
      </c>
      <c r="AR43">
        <f t="shared" si="3"/>
        <v>216.29517556894416</v>
      </c>
      <c r="AS43">
        <f t="shared" si="3"/>
        <v>258.25520762975162</v>
      </c>
      <c r="AT43">
        <f t="shared" si="3"/>
        <v>238.83230216410442</v>
      </c>
      <c r="AU43">
        <f t="shared" si="3"/>
        <v>238.74674663856837</v>
      </c>
      <c r="AV43">
        <f t="shared" si="3"/>
        <v>260.6939903997694</v>
      </c>
      <c r="AW43">
        <f t="shared" si="3"/>
        <v>275.87064004538945</v>
      </c>
      <c r="AX43">
        <f t="shared" si="3"/>
        <v>280.61311791352591</v>
      </c>
      <c r="AY43">
        <f t="shared" si="3"/>
        <v>275.46447644521299</v>
      </c>
      <c r="AZ43">
        <f t="shared" si="3"/>
        <v>277.769072127811</v>
      </c>
      <c r="BA43">
        <f t="shared" si="3"/>
        <v>271.10384639631127</v>
      </c>
      <c r="BB43">
        <f t="shared" si="3"/>
        <v>264.8609947856159</v>
      </c>
      <c r="BC43">
        <f t="shared" si="3"/>
        <v>259.29087978097789</v>
      </c>
      <c r="BD43">
        <f t="shared" si="3"/>
        <v>260.11761633300017</v>
      </c>
      <c r="BE43">
        <f t="shared" si="3"/>
        <v>309.43542358990993</v>
      </c>
      <c r="BF43">
        <f t="shared" si="3"/>
        <v>283.84351444087218</v>
      </c>
      <c r="BG43">
        <f t="shared" si="3"/>
        <v>288.49683444555524</v>
      </c>
      <c r="BH43">
        <f t="shared" si="3"/>
        <v>307.88461711650865</v>
      </c>
      <c r="BI43">
        <f t="shared" si="3"/>
        <v>445.52364484550486</v>
      </c>
      <c r="BJ43">
        <f t="shared" si="3"/>
        <v>392.02892677347609</v>
      </c>
      <c r="BK43">
        <f t="shared" si="3"/>
        <v>300.8663622691127</v>
      </c>
      <c r="BL43">
        <f t="shared" si="3"/>
        <v>288.82014427363367</v>
      </c>
      <c r="BM43">
        <f t="shared" si="3"/>
        <v>240.41012617188559</v>
      </c>
      <c r="BN43">
        <f t="shared" si="3"/>
        <v>233.05415214474198</v>
      </c>
      <c r="BO43">
        <f t="shared" si="3"/>
        <v>231.60511171750468</v>
      </c>
      <c r="BP43">
        <f t="shared" si="3"/>
        <v>259.76368663262457</v>
      </c>
    </row>
    <row r="44" spans="1:68" x14ac:dyDescent="0.4">
      <c r="A44" s="6" t="s">
        <v>15</v>
      </c>
      <c r="B44" s="4" t="s">
        <v>62</v>
      </c>
      <c r="C44">
        <v>100</v>
      </c>
      <c r="D44">
        <f t="shared" si="1"/>
        <v>112.22020318823822</v>
      </c>
      <c r="E44">
        <f t="shared" si="3"/>
        <v>102.13237520993364</v>
      </c>
      <c r="F44">
        <f t="shared" si="3"/>
        <v>121.81382671181962</v>
      </c>
      <c r="G44">
        <f t="shared" si="3"/>
        <v>150.97051292640623</v>
      </c>
      <c r="H44">
        <f t="shared" si="3"/>
        <v>149.23597918559511</v>
      </c>
      <c r="I44">
        <f t="shared" si="3"/>
        <v>143.23394179675671</v>
      </c>
      <c r="J44">
        <f t="shared" si="3"/>
        <v>136.67575231959475</v>
      </c>
      <c r="K44">
        <f t="shared" si="3"/>
        <v>113.746868202968</v>
      </c>
      <c r="L44">
        <f t="shared" si="3"/>
        <v>140.74364692602077</v>
      </c>
      <c r="M44">
        <f t="shared" si="3"/>
        <v>140.50273946201924</v>
      </c>
      <c r="N44">
        <f t="shared" si="3"/>
        <v>157.5410919302883</v>
      </c>
      <c r="O44">
        <f t="shared" si="3"/>
        <v>173.42859502766996</v>
      </c>
      <c r="P44">
        <f t="shared" si="3"/>
        <v>167.02871616970899</v>
      </c>
      <c r="Q44">
        <f t="shared" ref="E44:BP48" si="4">P44*P14</f>
        <v>177.94388921009886</v>
      </c>
      <c r="R44">
        <f t="shared" si="4"/>
        <v>200.21062195424139</v>
      </c>
      <c r="S44">
        <f t="shared" si="4"/>
        <v>218.27592852619702</v>
      </c>
      <c r="T44">
        <f t="shared" si="4"/>
        <v>231.35926874260079</v>
      </c>
      <c r="U44">
        <f t="shared" si="4"/>
        <v>260.44850086726694</v>
      </c>
      <c r="V44">
        <f t="shared" si="4"/>
        <v>308.90669309765707</v>
      </c>
      <c r="W44">
        <f t="shared" si="4"/>
        <v>346.32719363453651</v>
      </c>
      <c r="X44">
        <f t="shared" si="4"/>
        <v>324.40048456815623</v>
      </c>
      <c r="Y44">
        <f t="shared" si="4"/>
        <v>313.79229646760825</v>
      </c>
      <c r="Z44">
        <f t="shared" si="4"/>
        <v>342.63511467195281</v>
      </c>
      <c r="AA44">
        <f t="shared" si="4"/>
        <v>322.06712370254121</v>
      </c>
      <c r="AB44">
        <f t="shared" si="4"/>
        <v>379.59031964978942</v>
      </c>
      <c r="AC44">
        <f t="shared" si="4"/>
        <v>410.52972109798742</v>
      </c>
      <c r="AD44">
        <f t="shared" si="4"/>
        <v>425.34897166928226</v>
      </c>
      <c r="AE44">
        <f t="shared" si="4"/>
        <v>402.93494121857879</v>
      </c>
      <c r="AF44">
        <f t="shared" si="4"/>
        <v>431.9346934280444</v>
      </c>
      <c r="AG44">
        <f t="shared" si="4"/>
        <v>424.29586189807554</v>
      </c>
      <c r="AH44">
        <f t="shared" si="4"/>
        <v>354.5676055174693</v>
      </c>
      <c r="AI44">
        <f t="shared" si="4"/>
        <v>332.80058368437</v>
      </c>
      <c r="AJ44">
        <f t="shared" si="4"/>
        <v>342.94072299771483</v>
      </c>
      <c r="AK44">
        <f t="shared" si="4"/>
        <v>345.11990308636882</v>
      </c>
      <c r="AL44">
        <f t="shared" si="4"/>
        <v>359.78359626662268</v>
      </c>
      <c r="AM44">
        <f t="shared" si="4"/>
        <v>349.05288951295404</v>
      </c>
      <c r="AN44">
        <f t="shared" si="4"/>
        <v>347.67352220478523</v>
      </c>
      <c r="AO44">
        <f t="shared" si="4"/>
        <v>361.99856832135691</v>
      </c>
      <c r="AP44">
        <f t="shared" si="4"/>
        <v>370.73731450125285</v>
      </c>
      <c r="AQ44">
        <f t="shared" si="4"/>
        <v>349.69989813055815</v>
      </c>
      <c r="AR44">
        <f t="shared" si="4"/>
        <v>396.93290382974044</v>
      </c>
      <c r="AS44">
        <f t="shared" si="4"/>
        <v>431.52583904628187</v>
      </c>
      <c r="AT44">
        <f t="shared" si="4"/>
        <v>441.43470719418525</v>
      </c>
      <c r="AU44">
        <f t="shared" si="4"/>
        <v>451.38074392224894</v>
      </c>
      <c r="AV44">
        <f t="shared" si="4"/>
        <v>468.4273560749981</v>
      </c>
      <c r="AW44">
        <f t="shared" si="4"/>
        <v>491.49665482778579</v>
      </c>
      <c r="AX44">
        <f t="shared" si="4"/>
        <v>538.48599983480665</v>
      </c>
      <c r="AY44">
        <f t="shared" si="4"/>
        <v>553.29974394978149</v>
      </c>
      <c r="AZ44">
        <f t="shared" si="4"/>
        <v>553.06021309985999</v>
      </c>
      <c r="BA44">
        <f t="shared" si="4"/>
        <v>490.80559455962151</v>
      </c>
      <c r="BB44">
        <f t="shared" si="4"/>
        <v>516.39960353514539</v>
      </c>
      <c r="BC44">
        <f t="shared" si="4"/>
        <v>533.61829244789556</v>
      </c>
      <c r="BD44">
        <f t="shared" si="4"/>
        <v>566.80157484650795</v>
      </c>
      <c r="BE44">
        <f t="shared" si="4"/>
        <v>643.76806805980073</v>
      </c>
      <c r="BF44">
        <f t="shared" si="4"/>
        <v>621.38845296109753</v>
      </c>
      <c r="BG44">
        <f t="shared" si="4"/>
        <v>602.29343905729525</v>
      </c>
      <c r="BH44">
        <f t="shared" si="4"/>
        <v>731.1527766306001</v>
      </c>
      <c r="BI44">
        <f t="shared" si="4"/>
        <v>780.13545882547373</v>
      </c>
      <c r="BJ44">
        <f t="shared" si="4"/>
        <v>752.76148784449845</v>
      </c>
      <c r="BK44">
        <f t="shared" si="4"/>
        <v>727.78970843313868</v>
      </c>
      <c r="BL44">
        <f t="shared" si="4"/>
        <v>769.45018033644521</v>
      </c>
      <c r="BM44">
        <f t="shared" si="4"/>
        <v>676.01938272624716</v>
      </c>
      <c r="BN44">
        <f t="shared" si="4"/>
        <v>644.66149059772647</v>
      </c>
      <c r="BO44">
        <f t="shared" si="4"/>
        <v>644.30219432284423</v>
      </c>
      <c r="BP44">
        <f t="shared" si="4"/>
        <v>705.29032790947451</v>
      </c>
    </row>
    <row r="45" spans="1:68" x14ac:dyDescent="0.4">
      <c r="A45" s="6" t="s">
        <v>16</v>
      </c>
      <c r="B45" s="4" t="s">
        <v>63</v>
      </c>
      <c r="C45">
        <v>100</v>
      </c>
      <c r="D45">
        <f t="shared" si="1"/>
        <v>231.50328901973413</v>
      </c>
      <c r="E45">
        <f t="shared" si="4"/>
        <v>180.21988131928791</v>
      </c>
      <c r="F45">
        <f t="shared" si="4"/>
        <v>230.03818022908135</v>
      </c>
      <c r="G45">
        <f t="shared" si="4"/>
        <v>285.71691430148582</v>
      </c>
      <c r="H45">
        <f t="shared" si="4"/>
        <v>278.38907033442206</v>
      </c>
      <c r="I45">
        <f t="shared" si="4"/>
        <v>300.36800220801325</v>
      </c>
      <c r="J45">
        <f t="shared" si="4"/>
        <v>287.91342748056485</v>
      </c>
      <c r="K45">
        <f t="shared" si="4"/>
        <v>186.81402088412528</v>
      </c>
      <c r="L45">
        <f t="shared" si="4"/>
        <v>231.86899121394725</v>
      </c>
      <c r="M45">
        <f t="shared" si="4"/>
        <v>212.82257693546157</v>
      </c>
      <c r="N45">
        <f t="shared" si="4"/>
        <v>227.10796264777585</v>
      </c>
      <c r="O45">
        <f t="shared" si="4"/>
        <v>224.17774506647035</v>
      </c>
      <c r="P45">
        <f t="shared" si="4"/>
        <v>222.7126362758176</v>
      </c>
      <c r="Q45">
        <f t="shared" si="4"/>
        <v>211.72317033902198</v>
      </c>
      <c r="R45">
        <f t="shared" si="4"/>
        <v>198.53719122314729</v>
      </c>
      <c r="S45">
        <f t="shared" si="4"/>
        <v>248.35319011914066</v>
      </c>
      <c r="T45">
        <f t="shared" si="4"/>
        <v>271.79723078338469</v>
      </c>
      <c r="U45">
        <f t="shared" si="4"/>
        <v>393.40816044896269</v>
      </c>
      <c r="V45">
        <f t="shared" si="4"/>
        <v>434.43580661483963</v>
      </c>
      <c r="W45">
        <f t="shared" si="4"/>
        <v>457.87754726528351</v>
      </c>
      <c r="X45">
        <f t="shared" si="4"/>
        <v>514.28998573991441</v>
      </c>
      <c r="Y45">
        <f t="shared" si="4"/>
        <v>541.39564837389014</v>
      </c>
      <c r="Z45">
        <f t="shared" si="4"/>
        <v>754.58392750356484</v>
      </c>
      <c r="AA45">
        <f t="shared" si="4"/>
        <v>827.82326693960147</v>
      </c>
      <c r="AB45">
        <f t="shared" si="4"/>
        <v>1062.3602741616448</v>
      </c>
      <c r="AC45">
        <f t="shared" si="4"/>
        <v>1051.3317079902477</v>
      </c>
      <c r="AD45">
        <f t="shared" si="4"/>
        <v>1437.3108238649429</v>
      </c>
      <c r="AE45">
        <f t="shared" si="4"/>
        <v>1268.2161092966555</v>
      </c>
      <c r="AF45">
        <f t="shared" si="4"/>
        <v>1588.0261281567687</v>
      </c>
      <c r="AG45">
        <f t="shared" si="4"/>
        <v>1389.5234371406225</v>
      </c>
      <c r="AH45">
        <f t="shared" si="4"/>
        <v>1227.7795666773998</v>
      </c>
      <c r="AI45">
        <f t="shared" si="4"/>
        <v>1099.1190947145678</v>
      </c>
      <c r="AJ45">
        <f t="shared" si="4"/>
        <v>1422.6068356410133</v>
      </c>
      <c r="AK45">
        <f t="shared" si="4"/>
        <v>1591.7015502093006</v>
      </c>
      <c r="AL45">
        <f t="shared" si="4"/>
        <v>2098.9879939279631</v>
      </c>
      <c r="AM45">
        <f t="shared" si="4"/>
        <v>2040.1720410322457</v>
      </c>
      <c r="AN45">
        <f t="shared" si="4"/>
        <v>2345.2780716684292</v>
      </c>
      <c r="AO45">
        <f t="shared" si="4"/>
        <v>2955.4924329545966</v>
      </c>
      <c r="AP45">
        <f t="shared" si="4"/>
        <v>2812.1279727678357</v>
      </c>
      <c r="AQ45">
        <f t="shared" si="4"/>
        <v>2631.4066884401295</v>
      </c>
      <c r="AR45">
        <f t="shared" si="4"/>
        <v>3244.2936657619935</v>
      </c>
      <c r="AS45">
        <f t="shared" si="4"/>
        <v>3449.2846957081729</v>
      </c>
      <c r="AT45">
        <f t="shared" si="4"/>
        <v>3897.334284005703</v>
      </c>
      <c r="AU45">
        <f t="shared" si="4"/>
        <v>3767.9079074474434</v>
      </c>
      <c r="AV45">
        <f t="shared" si="4"/>
        <v>4261.0124660747942</v>
      </c>
      <c r="AW45">
        <f t="shared" si="4"/>
        <v>4526.7675606053617</v>
      </c>
      <c r="AX45">
        <f t="shared" si="4"/>
        <v>4680.2359814158872</v>
      </c>
      <c r="AY45">
        <f t="shared" si="4"/>
        <v>4499.7239983439895</v>
      </c>
      <c r="AZ45">
        <f t="shared" si="4"/>
        <v>4508.9654537927227</v>
      </c>
      <c r="BA45">
        <f t="shared" si="4"/>
        <v>3566.8591011546064</v>
      </c>
      <c r="BB45">
        <f t="shared" si="4"/>
        <v>3937.8076268457603</v>
      </c>
      <c r="BC45">
        <f t="shared" si="4"/>
        <v>3320.776024656147</v>
      </c>
      <c r="BD45">
        <f t="shared" si="4"/>
        <v>3694.1464648787887</v>
      </c>
      <c r="BE45">
        <f t="shared" si="4"/>
        <v>3724.7481484888904</v>
      </c>
      <c r="BF45">
        <f t="shared" si="4"/>
        <v>4515.5319931919594</v>
      </c>
      <c r="BG45">
        <f t="shared" si="4"/>
        <v>4846.8420810524858</v>
      </c>
      <c r="BH45">
        <f t="shared" si="4"/>
        <v>5956.5251391508336</v>
      </c>
      <c r="BI45">
        <f t="shared" si="4"/>
        <v>5856.982841897051</v>
      </c>
      <c r="BJ45">
        <f t="shared" si="4"/>
        <v>7303.0544183265092</v>
      </c>
      <c r="BK45">
        <f t="shared" si="4"/>
        <v>6333.9712038272219</v>
      </c>
      <c r="BL45">
        <f t="shared" si="4"/>
        <v>7632.9246975481847</v>
      </c>
      <c r="BM45">
        <f t="shared" si="4"/>
        <v>7560.4489626937748</v>
      </c>
      <c r="BN45">
        <f t="shared" si="4"/>
        <v>7556.5021390128331</v>
      </c>
      <c r="BO45">
        <f t="shared" si="4"/>
        <v>7990.7677446064672</v>
      </c>
      <c r="BP45">
        <f t="shared" si="4"/>
        <v>7807.5279451676697</v>
      </c>
    </row>
    <row r="46" spans="1:68" x14ac:dyDescent="0.4">
      <c r="A46" s="6" t="s">
        <v>17</v>
      </c>
      <c r="B46" s="4" t="s">
        <v>64</v>
      </c>
      <c r="C46">
        <v>100</v>
      </c>
      <c r="D46">
        <f t="shared" si="1"/>
        <v>100.73551946061905</v>
      </c>
      <c r="E46">
        <f t="shared" si="4"/>
        <v>66.083358872203476</v>
      </c>
      <c r="F46">
        <f t="shared" si="4"/>
        <v>62.779650628256185</v>
      </c>
      <c r="G46">
        <f t="shared" si="4"/>
        <v>59.368679129635282</v>
      </c>
      <c r="H46">
        <f t="shared" si="4"/>
        <v>45.494943303708226</v>
      </c>
      <c r="I46">
        <f t="shared" si="4"/>
        <v>41.915415262028795</v>
      </c>
      <c r="J46">
        <f t="shared" si="4"/>
        <v>38.05087342935947</v>
      </c>
      <c r="K46">
        <f t="shared" si="4"/>
        <v>32.981918479926435</v>
      </c>
      <c r="L46">
        <f t="shared" si="4"/>
        <v>44.799264480539364</v>
      </c>
      <c r="M46">
        <f t="shared" si="4"/>
        <v>44.839105117989561</v>
      </c>
      <c r="N46">
        <f t="shared" si="4"/>
        <v>33.751149249157201</v>
      </c>
      <c r="O46">
        <f t="shared" si="4"/>
        <v>33.095311063438537</v>
      </c>
      <c r="P46">
        <f t="shared" si="4"/>
        <v>29.028501379098977</v>
      </c>
      <c r="Q46">
        <f t="shared" si="4"/>
        <v>27.704566349984667</v>
      </c>
      <c r="R46">
        <f t="shared" si="4"/>
        <v>29.552558994790061</v>
      </c>
      <c r="S46">
        <f t="shared" si="4"/>
        <v>58.633159669016223</v>
      </c>
      <c r="T46">
        <f t="shared" si="4"/>
        <v>56.01287159056082</v>
      </c>
      <c r="U46">
        <f t="shared" si="4"/>
        <v>61.290223720502595</v>
      </c>
      <c r="V46">
        <f t="shared" si="4"/>
        <v>87.155991418939593</v>
      </c>
      <c r="W46">
        <f t="shared" si="4"/>
        <v>54.382470119521891</v>
      </c>
      <c r="X46">
        <f t="shared" si="4"/>
        <v>43.769537235672679</v>
      </c>
      <c r="Y46">
        <f t="shared" si="4"/>
        <v>46.74839105117988</v>
      </c>
      <c r="Z46">
        <f t="shared" si="4"/>
        <v>46.227398099908051</v>
      </c>
      <c r="AA46">
        <f t="shared" si="4"/>
        <v>50.499540300337102</v>
      </c>
      <c r="AB46">
        <f t="shared" si="4"/>
        <v>76.72693840024516</v>
      </c>
      <c r="AC46">
        <f t="shared" si="4"/>
        <v>68.550413729696587</v>
      </c>
      <c r="AD46">
        <f t="shared" si="4"/>
        <v>67.790376953723552</v>
      </c>
      <c r="AE46">
        <f t="shared" si="4"/>
        <v>56.497088568801708</v>
      </c>
      <c r="AF46">
        <f t="shared" si="4"/>
        <v>49.745632853202565</v>
      </c>
      <c r="AG46">
        <f t="shared" si="4"/>
        <v>35.216058841556844</v>
      </c>
      <c r="AH46">
        <f t="shared" si="4"/>
        <v>18.985596077229545</v>
      </c>
      <c r="AI46">
        <f t="shared" si="4"/>
        <v>21.213607110021453</v>
      </c>
      <c r="AJ46">
        <f t="shared" si="4"/>
        <v>32.473184186331594</v>
      </c>
      <c r="AK46">
        <f t="shared" si="4"/>
        <v>32.237205026049644</v>
      </c>
      <c r="AL46">
        <f t="shared" si="4"/>
        <v>25.749310450505664</v>
      </c>
      <c r="AM46">
        <f t="shared" si="4"/>
        <v>30.235979160281943</v>
      </c>
      <c r="AN46">
        <f t="shared" si="4"/>
        <v>27.370517928286851</v>
      </c>
      <c r="AO46">
        <f t="shared" si="4"/>
        <v>24.762488507508422</v>
      </c>
      <c r="AP46">
        <f t="shared" si="4"/>
        <v>25.353968740422921</v>
      </c>
      <c r="AQ46">
        <f t="shared" si="4"/>
        <v>29.215445908672994</v>
      </c>
      <c r="AR46">
        <f t="shared" si="4"/>
        <v>26.26417407293901</v>
      </c>
      <c r="AS46">
        <f t="shared" si="4"/>
        <v>33.34048421697824</v>
      </c>
      <c r="AT46">
        <f t="shared" si="4"/>
        <v>33.567269384002444</v>
      </c>
      <c r="AU46">
        <f t="shared" si="4"/>
        <v>39.564817652467042</v>
      </c>
      <c r="AV46">
        <f t="shared" si="4"/>
        <v>29.791602819491253</v>
      </c>
      <c r="AW46">
        <f t="shared" si="4"/>
        <v>37.367453263867596</v>
      </c>
      <c r="AX46">
        <f t="shared" si="4"/>
        <v>37.830217591173756</v>
      </c>
      <c r="AY46">
        <f t="shared" si="4"/>
        <v>38.528961078761867</v>
      </c>
      <c r="AZ46">
        <f t="shared" si="4"/>
        <v>40.934722647870053</v>
      </c>
      <c r="BA46">
        <f t="shared" si="4"/>
        <v>36.239656757585045</v>
      </c>
      <c r="BB46">
        <f t="shared" si="4"/>
        <v>36.766779037695379</v>
      </c>
      <c r="BC46">
        <f t="shared" si="4"/>
        <v>39.785473490652777</v>
      </c>
      <c r="BD46">
        <f t="shared" si="4"/>
        <v>41.492491572172852</v>
      </c>
      <c r="BE46">
        <f t="shared" si="4"/>
        <v>45.920931657983459</v>
      </c>
      <c r="BF46">
        <f t="shared" si="4"/>
        <v>50.481152313821646</v>
      </c>
      <c r="BG46">
        <f t="shared" si="4"/>
        <v>55.908673000306486</v>
      </c>
      <c r="BH46">
        <f t="shared" si="4"/>
        <v>65.160894882010453</v>
      </c>
      <c r="BI46">
        <f t="shared" si="4"/>
        <v>65.415262028807874</v>
      </c>
      <c r="BJ46">
        <f t="shared" si="4"/>
        <v>68.464603125957751</v>
      </c>
      <c r="BK46">
        <f t="shared" si="4"/>
        <v>71.967514557156036</v>
      </c>
      <c r="BL46">
        <f t="shared" si="4"/>
        <v>78.577995709469846</v>
      </c>
      <c r="BM46">
        <f t="shared" si="4"/>
        <v>71.860251302482411</v>
      </c>
      <c r="BN46">
        <f t="shared" si="4"/>
        <v>63.049341097149892</v>
      </c>
      <c r="BO46">
        <f t="shared" si="4"/>
        <v>58.581060373889088</v>
      </c>
      <c r="BP46">
        <f t="shared" si="4"/>
        <v>57.373582592706128</v>
      </c>
    </row>
    <row r="47" spans="1:68" x14ac:dyDescent="0.4">
      <c r="A47" s="6" t="s">
        <v>18</v>
      </c>
      <c r="B47" s="4" t="s">
        <v>65</v>
      </c>
      <c r="C47">
        <v>100</v>
      </c>
      <c r="D47">
        <f t="shared" si="1"/>
        <v>106.30558375634516</v>
      </c>
      <c r="E47">
        <f t="shared" si="4"/>
        <v>93.831472081218266</v>
      </c>
      <c r="F47">
        <f t="shared" si="4"/>
        <v>105.67512690355329</v>
      </c>
      <c r="G47">
        <f t="shared" si="4"/>
        <v>112.1746192893401</v>
      </c>
      <c r="H47">
        <f t="shared" si="4"/>
        <v>97.199999999999989</v>
      </c>
      <c r="I47">
        <f t="shared" si="4"/>
        <v>95.43451776649745</v>
      </c>
      <c r="J47">
        <f t="shared" si="4"/>
        <v>89.25076142131978</v>
      </c>
      <c r="K47">
        <f t="shared" si="4"/>
        <v>78.787817258883223</v>
      </c>
      <c r="L47">
        <f t="shared" si="4"/>
        <v>101.30050761421316</v>
      </c>
      <c r="M47">
        <f t="shared" si="4"/>
        <v>108.15634517766493</v>
      </c>
      <c r="N47">
        <f t="shared" si="4"/>
        <v>96.957360406091325</v>
      </c>
      <c r="O47">
        <f t="shared" si="4"/>
        <v>106.01522842639588</v>
      </c>
      <c r="P47">
        <f t="shared" si="4"/>
        <v>95.341116751268984</v>
      </c>
      <c r="Q47">
        <f t="shared" si="4"/>
        <v>105.4101522842639</v>
      </c>
      <c r="R47">
        <f t="shared" si="4"/>
        <v>135.53502538071058</v>
      </c>
      <c r="S47">
        <f t="shared" si="4"/>
        <v>176.7025380710659</v>
      </c>
      <c r="T47">
        <f t="shared" si="4"/>
        <v>178.96345177664966</v>
      </c>
      <c r="U47">
        <f t="shared" si="4"/>
        <v>219.68730964466997</v>
      </c>
      <c r="V47">
        <f t="shared" si="4"/>
        <v>342.58274111675115</v>
      </c>
      <c r="W47">
        <f t="shared" si="4"/>
        <v>306.68324873096435</v>
      </c>
      <c r="X47">
        <f t="shared" si="4"/>
        <v>267.72994923857857</v>
      </c>
      <c r="Y47">
        <f t="shared" si="4"/>
        <v>274.44771573604049</v>
      </c>
      <c r="Z47">
        <f t="shared" si="4"/>
        <v>310.15532994923848</v>
      </c>
      <c r="AA47">
        <f t="shared" si="4"/>
        <v>278.52182741116741</v>
      </c>
      <c r="AB47">
        <f t="shared" si="4"/>
        <v>348.20609137055823</v>
      </c>
      <c r="AC47">
        <f t="shared" si="4"/>
        <v>390.59289340101509</v>
      </c>
      <c r="AD47">
        <f t="shared" si="4"/>
        <v>375.78781725888308</v>
      </c>
      <c r="AE47">
        <f t="shared" si="4"/>
        <v>358.78578680203026</v>
      </c>
      <c r="AF47">
        <f t="shared" si="4"/>
        <v>351.9573604060912</v>
      </c>
      <c r="AG47">
        <f t="shared" si="4"/>
        <v>291.84771573604041</v>
      </c>
      <c r="AH47">
        <f t="shared" si="4"/>
        <v>228.45076142131964</v>
      </c>
      <c r="AI47">
        <f t="shared" si="4"/>
        <v>270.85583756345159</v>
      </c>
      <c r="AJ47">
        <f t="shared" si="4"/>
        <v>333.00812182741095</v>
      </c>
      <c r="AK47">
        <f t="shared" si="4"/>
        <v>362.84263959390836</v>
      </c>
      <c r="AL47">
        <f t="shared" si="4"/>
        <v>310.34010152284236</v>
      </c>
      <c r="AM47">
        <f t="shared" si="4"/>
        <v>320.68121827411142</v>
      </c>
      <c r="AN47">
        <f t="shared" si="4"/>
        <v>296.5949238578678</v>
      </c>
      <c r="AO47">
        <f t="shared" si="4"/>
        <v>320.2832487309642</v>
      </c>
      <c r="AP47">
        <f t="shared" si="4"/>
        <v>334.9868020304566</v>
      </c>
      <c r="AQ47">
        <f t="shared" si="4"/>
        <v>327.76649746192868</v>
      </c>
      <c r="AR47">
        <f t="shared" si="4"/>
        <v>325.76142131979668</v>
      </c>
      <c r="AS47">
        <f t="shared" si="4"/>
        <v>395.8477157360403</v>
      </c>
      <c r="AT47">
        <f t="shared" si="4"/>
        <v>378.11776649746167</v>
      </c>
      <c r="AU47">
        <f t="shared" si="4"/>
        <v>371.63857868020278</v>
      </c>
      <c r="AV47">
        <f t="shared" si="4"/>
        <v>350.27208121827385</v>
      </c>
      <c r="AW47">
        <f t="shared" si="4"/>
        <v>403.11370558375609</v>
      </c>
      <c r="AX47">
        <f t="shared" si="4"/>
        <v>418.51472081218247</v>
      </c>
      <c r="AY47">
        <f t="shared" si="4"/>
        <v>470.57258883248704</v>
      </c>
      <c r="AZ47">
        <f t="shared" si="4"/>
        <v>473.3279187817256</v>
      </c>
      <c r="BA47">
        <f t="shared" si="4"/>
        <v>437.66192893400989</v>
      </c>
      <c r="BB47">
        <f t="shared" si="4"/>
        <v>452.06598984771546</v>
      </c>
      <c r="BC47">
        <f t="shared" si="4"/>
        <v>483.77461928933974</v>
      </c>
      <c r="BD47">
        <f t="shared" si="4"/>
        <v>481.372588832487</v>
      </c>
      <c r="BE47">
        <f t="shared" si="4"/>
        <v>490.713705583756</v>
      </c>
      <c r="BF47">
        <f t="shared" si="4"/>
        <v>501.24162436548187</v>
      </c>
      <c r="BG47">
        <f t="shared" si="4"/>
        <v>598.26395939086251</v>
      </c>
      <c r="BH47">
        <f t="shared" si="4"/>
        <v>863.5340101522836</v>
      </c>
      <c r="BI47">
        <f t="shared" si="4"/>
        <v>882.30761421319733</v>
      </c>
      <c r="BJ47">
        <f t="shared" si="4"/>
        <v>965.42030456852706</v>
      </c>
      <c r="BK47">
        <f t="shared" si="4"/>
        <v>950.73807106598906</v>
      </c>
      <c r="BL47">
        <f t="shared" si="4"/>
        <v>1039.8710659898468</v>
      </c>
      <c r="BM47">
        <f t="shared" si="4"/>
        <v>969.59390862944076</v>
      </c>
      <c r="BN47">
        <f t="shared" si="4"/>
        <v>778.25279187817193</v>
      </c>
      <c r="BO47">
        <f t="shared" si="4"/>
        <v>799.15025380710586</v>
      </c>
      <c r="BP47">
        <f t="shared" si="4"/>
        <v>876.34923857867955</v>
      </c>
    </row>
    <row r="48" spans="1:68" x14ac:dyDescent="0.4">
      <c r="A48" s="6" t="s">
        <v>19</v>
      </c>
      <c r="B48" s="4" t="s">
        <v>66</v>
      </c>
      <c r="C48">
        <v>100</v>
      </c>
      <c r="D48">
        <f t="shared" si="1"/>
        <v>95.88044002947079</v>
      </c>
      <c r="E48">
        <f t="shared" si="4"/>
        <v>98.65475978760702</v>
      </c>
      <c r="F48">
        <f t="shared" si="4"/>
        <v>133.75803460277939</v>
      </c>
      <c r="G48">
        <f t="shared" si="4"/>
        <v>167.49955539747461</v>
      </c>
      <c r="H48">
        <f t="shared" si="4"/>
        <v>177.61616828840727</v>
      </c>
      <c r="I48">
        <f t="shared" si="4"/>
        <v>161.22684891135893</v>
      </c>
      <c r="J48">
        <f t="shared" si="4"/>
        <v>131.89197428927108</v>
      </c>
      <c r="K48">
        <f t="shared" si="4"/>
        <v>112.25324559843496</v>
      </c>
      <c r="L48">
        <f t="shared" si="4"/>
        <v>108.12860445618757</v>
      </c>
      <c r="M48">
        <f t="shared" si="4"/>
        <v>141.36708925078119</v>
      </c>
      <c r="N48">
        <f t="shared" si="4"/>
        <v>151.63867787911889</v>
      </c>
      <c r="O48">
        <f t="shared" si="4"/>
        <v>177.13853814689665</v>
      </c>
      <c r="P48">
        <f t="shared" ref="E48:BP52" si="5">O48*O18</f>
        <v>153.28497751581514</v>
      </c>
      <c r="Q48">
        <f t="shared" si="5"/>
        <v>152.63839841467441</v>
      </c>
      <c r="R48">
        <f t="shared" si="5"/>
        <v>167.66977465003433</v>
      </c>
      <c r="S48">
        <f t="shared" si="5"/>
        <v>196.05447016081911</v>
      </c>
      <c r="T48">
        <f t="shared" si="5"/>
        <v>182.80658519854677</v>
      </c>
      <c r="U48">
        <f t="shared" si="5"/>
        <v>218.90703996341554</v>
      </c>
      <c r="V48">
        <f t="shared" si="5"/>
        <v>293.1353370087142</v>
      </c>
      <c r="W48">
        <f t="shared" si="5"/>
        <v>295.92744086786411</v>
      </c>
      <c r="X48">
        <f t="shared" si="5"/>
        <v>310.19410075963509</v>
      </c>
      <c r="Y48">
        <f t="shared" si="5"/>
        <v>308.5795584461776</v>
      </c>
      <c r="Z48">
        <f t="shared" si="5"/>
        <v>312.00553847717282</v>
      </c>
      <c r="AA48">
        <f t="shared" si="5"/>
        <v>354.49048550595762</v>
      </c>
      <c r="AB48">
        <f t="shared" si="5"/>
        <v>356.28922029419982</v>
      </c>
      <c r="AC48">
        <f t="shared" si="5"/>
        <v>346.63245344376412</v>
      </c>
      <c r="AD48">
        <f t="shared" si="5"/>
        <v>305.81286044561875</v>
      </c>
      <c r="AE48">
        <f t="shared" si="5"/>
        <v>290.91867584665022</v>
      </c>
      <c r="AF48">
        <f t="shared" si="5"/>
        <v>310.32748151723786</v>
      </c>
      <c r="AG48">
        <f t="shared" si="5"/>
        <v>283.0403190975839</v>
      </c>
      <c r="AH48">
        <f t="shared" si="5"/>
        <v>156.63855084982595</v>
      </c>
      <c r="AI48">
        <f t="shared" si="5"/>
        <v>139.85544066461725</v>
      </c>
      <c r="AJ48">
        <f t="shared" si="5"/>
        <v>202.24841848530269</v>
      </c>
      <c r="AK48">
        <f t="shared" si="5"/>
        <v>259.5551434160717</v>
      </c>
      <c r="AL48">
        <f t="shared" si="5"/>
        <v>287.28817865399759</v>
      </c>
      <c r="AM48">
        <f t="shared" si="5"/>
        <v>257.66367724397242</v>
      </c>
      <c r="AN48">
        <f t="shared" si="5"/>
        <v>261.71464139630598</v>
      </c>
      <c r="AO48">
        <f t="shared" si="5"/>
        <v>264.46736617463984</v>
      </c>
      <c r="AP48">
        <f t="shared" si="5"/>
        <v>279.76931480399372</v>
      </c>
      <c r="AQ48">
        <f t="shared" si="5"/>
        <v>289.72968166459179</v>
      </c>
      <c r="AR48">
        <f t="shared" si="5"/>
        <v>283.62465384517662</v>
      </c>
      <c r="AS48">
        <f t="shared" si="5"/>
        <v>252.59647874799921</v>
      </c>
      <c r="AT48">
        <f t="shared" si="5"/>
        <v>231.19331317801877</v>
      </c>
      <c r="AU48">
        <f t="shared" si="5"/>
        <v>247.09356977719054</v>
      </c>
      <c r="AV48">
        <f t="shared" si="5"/>
        <v>222.94530118645349</v>
      </c>
      <c r="AW48">
        <f t="shared" si="5"/>
        <v>213.70900129569867</v>
      </c>
      <c r="AX48">
        <f t="shared" si="5"/>
        <v>207.98633164807794</v>
      </c>
      <c r="AY48">
        <f t="shared" si="5"/>
        <v>247.20281496913174</v>
      </c>
      <c r="AZ48">
        <f t="shared" si="5"/>
        <v>234.70948400701189</v>
      </c>
      <c r="BA48">
        <f t="shared" si="5"/>
        <v>225.07050125758988</v>
      </c>
      <c r="BB48">
        <f t="shared" si="5"/>
        <v>249.09936231294927</v>
      </c>
      <c r="BC48">
        <f t="shared" si="5"/>
        <v>252.46309799039648</v>
      </c>
      <c r="BD48">
        <f t="shared" si="5"/>
        <v>237.60575188638489</v>
      </c>
      <c r="BE48">
        <f t="shared" si="5"/>
        <v>277.77622519753044</v>
      </c>
      <c r="BF48">
        <f t="shared" si="5"/>
        <v>245.50189273646495</v>
      </c>
      <c r="BG48">
        <f t="shared" si="5"/>
        <v>226.59231218719029</v>
      </c>
      <c r="BH48">
        <f t="shared" si="5"/>
        <v>228.88265033916809</v>
      </c>
      <c r="BI48">
        <f t="shared" si="5"/>
        <v>207.87454587027759</v>
      </c>
      <c r="BJ48">
        <f t="shared" si="5"/>
        <v>204.9706562333273</v>
      </c>
      <c r="BK48">
        <f t="shared" si="5"/>
        <v>179.84553237976669</v>
      </c>
      <c r="BL48">
        <f t="shared" si="5"/>
        <v>197.22695053479325</v>
      </c>
      <c r="BM48">
        <f t="shared" si="5"/>
        <v>212.4857092045425</v>
      </c>
      <c r="BN48">
        <f t="shared" si="5"/>
        <v>229.81250476359844</v>
      </c>
      <c r="BO48">
        <f t="shared" si="5"/>
        <v>246.40507100937469</v>
      </c>
      <c r="BP48">
        <f t="shared" si="5"/>
        <v>274.48235563120852</v>
      </c>
    </row>
    <row r="49" spans="1:68" x14ac:dyDescent="0.4">
      <c r="A49" s="6" t="s">
        <v>20</v>
      </c>
      <c r="B49" s="4" t="s">
        <v>67</v>
      </c>
      <c r="C49">
        <v>100</v>
      </c>
      <c r="D49">
        <f t="shared" si="1"/>
        <v>102.86123032904149</v>
      </c>
      <c r="E49">
        <f t="shared" si="5"/>
        <v>81.466459148862597</v>
      </c>
      <c r="F49">
        <f t="shared" si="5"/>
        <v>113.54525303023158</v>
      </c>
      <c r="G49">
        <f t="shared" si="5"/>
        <v>142.53957773271077</v>
      </c>
      <c r="H49">
        <f t="shared" si="5"/>
        <v>105.02444622616295</v>
      </c>
      <c r="I49">
        <f t="shared" si="5"/>
        <v>101.46362936062506</v>
      </c>
      <c r="J49">
        <f t="shared" si="5"/>
        <v>93.934820544262593</v>
      </c>
      <c r="K49">
        <f t="shared" si="5"/>
        <v>71.804304422330176</v>
      </c>
      <c r="L49">
        <f t="shared" si="5"/>
        <v>75.07428194123473</v>
      </c>
      <c r="M49">
        <f t="shared" si="5"/>
        <v>88.624251285195484</v>
      </c>
      <c r="N49">
        <f t="shared" si="5"/>
        <v>71.066987376000242</v>
      </c>
      <c r="O49">
        <f t="shared" si="5"/>
        <v>77.644672923642872</v>
      </c>
      <c r="P49">
        <f t="shared" si="5"/>
        <v>58.252762973793018</v>
      </c>
      <c r="Q49">
        <f t="shared" si="5"/>
        <v>57.241899731170122</v>
      </c>
      <c r="R49">
        <f t="shared" si="5"/>
        <v>58.50744391516924</v>
      </c>
      <c r="S49">
        <f t="shared" si="5"/>
        <v>95.720731343048939</v>
      </c>
      <c r="T49">
        <f t="shared" si="5"/>
        <v>85.176625949158122</v>
      </c>
      <c r="U49">
        <f t="shared" si="5"/>
        <v>107.23325315599993</v>
      </c>
      <c r="V49">
        <f t="shared" si="5"/>
        <v>176.9340816551117</v>
      </c>
      <c r="W49">
        <f t="shared" si="5"/>
        <v>190.72301089468473</v>
      </c>
      <c r="X49">
        <f t="shared" si="5"/>
        <v>163.8022921284724</v>
      </c>
      <c r="Y49">
        <f t="shared" si="5"/>
        <v>177.58493294973982</v>
      </c>
      <c r="Z49">
        <f t="shared" si="5"/>
        <v>189.47318775644959</v>
      </c>
      <c r="AA49">
        <f t="shared" si="5"/>
        <v>185.29453379238791</v>
      </c>
      <c r="AB49">
        <f t="shared" si="5"/>
        <v>241.85728434655479</v>
      </c>
      <c r="AC49">
        <f t="shared" si="5"/>
        <v>300.29241145120977</v>
      </c>
      <c r="AD49">
        <f t="shared" si="5"/>
        <v>290.45260890754457</v>
      </c>
      <c r="AE49">
        <f t="shared" si="5"/>
        <v>257.27805813642726</v>
      </c>
      <c r="AF49">
        <f t="shared" si="5"/>
        <v>235.80468172742854</v>
      </c>
      <c r="AG49">
        <f t="shared" si="5"/>
        <v>181.32811394613972</v>
      </c>
      <c r="AH49">
        <f t="shared" si="5"/>
        <v>133.65718687607099</v>
      </c>
      <c r="AI49">
        <f t="shared" si="5"/>
        <v>141.00991997987708</v>
      </c>
      <c r="AJ49">
        <f t="shared" si="5"/>
        <v>200.30656039239733</v>
      </c>
      <c r="AK49">
        <f t="shared" si="5"/>
        <v>214.25741640333916</v>
      </c>
      <c r="AL49">
        <f t="shared" si="5"/>
        <v>174.37783961389113</v>
      </c>
      <c r="AM49">
        <f t="shared" si="5"/>
        <v>174.82431731358773</v>
      </c>
      <c r="AN49">
        <f t="shared" si="5"/>
        <v>160.98508072757002</v>
      </c>
      <c r="AO49">
        <f t="shared" si="5"/>
        <v>175.90120894841931</v>
      </c>
      <c r="AP49">
        <f t="shared" si="5"/>
        <v>184.08401326856267</v>
      </c>
      <c r="AQ49">
        <f t="shared" si="5"/>
        <v>190.85192346994924</v>
      </c>
      <c r="AR49">
        <f t="shared" si="5"/>
        <v>171.98352434403938</v>
      </c>
      <c r="AS49">
        <f t="shared" si="5"/>
        <v>152.92647266896194</v>
      </c>
      <c r="AT49">
        <f t="shared" si="5"/>
        <v>123.5061076262793</v>
      </c>
      <c r="AU49">
        <f t="shared" si="5"/>
        <v>158.04367306513228</v>
      </c>
      <c r="AV49">
        <f t="shared" si="5"/>
        <v>127.70834315898695</v>
      </c>
      <c r="AW49">
        <f t="shared" si="5"/>
        <v>126.24785800751465</v>
      </c>
      <c r="AX49">
        <f t="shared" si="5"/>
        <v>126.2667232624314</v>
      </c>
      <c r="AY49">
        <f t="shared" si="5"/>
        <v>145.74824317313588</v>
      </c>
      <c r="AZ49">
        <f t="shared" si="5"/>
        <v>139.83241365215613</v>
      </c>
      <c r="BA49">
        <f t="shared" si="5"/>
        <v>116.12664874467447</v>
      </c>
      <c r="BB49">
        <f t="shared" si="5"/>
        <v>118.52253611910261</v>
      </c>
      <c r="BC49">
        <f t="shared" si="5"/>
        <v>112.41490983980252</v>
      </c>
      <c r="BD49">
        <f t="shared" si="5"/>
        <v>113.7040355924476</v>
      </c>
      <c r="BE49">
        <f t="shared" si="5"/>
        <v>146.49184863777137</v>
      </c>
      <c r="BF49">
        <f t="shared" si="5"/>
        <v>146.15070194469334</v>
      </c>
      <c r="BG49">
        <f t="shared" si="5"/>
        <v>149.10311433916581</v>
      </c>
      <c r="BH49">
        <f t="shared" si="5"/>
        <v>181.43658916191103</v>
      </c>
      <c r="BI49">
        <f t="shared" si="5"/>
        <v>151.34807967425994</v>
      </c>
      <c r="BJ49">
        <f t="shared" si="5"/>
        <v>136.39893725730636</v>
      </c>
      <c r="BK49">
        <f t="shared" si="5"/>
        <v>120.74549199012716</v>
      </c>
      <c r="BL49">
        <f t="shared" si="5"/>
        <v>121.92771463157729</v>
      </c>
      <c r="BM49">
        <f t="shared" si="5"/>
        <v>123.06906255404108</v>
      </c>
      <c r="BN49">
        <f t="shared" si="5"/>
        <v>115.4113411624141</v>
      </c>
      <c r="BO49">
        <f t="shared" si="5"/>
        <v>132.25644169850176</v>
      </c>
      <c r="BP49">
        <f t="shared" si="5"/>
        <v>154.76269081419292</v>
      </c>
    </row>
    <row r="50" spans="1:68" x14ac:dyDescent="0.4">
      <c r="A50" s="6" t="s">
        <v>21</v>
      </c>
      <c r="B50" s="4" t="s">
        <v>68</v>
      </c>
      <c r="C50">
        <v>100</v>
      </c>
      <c r="D50">
        <f t="shared" si="1"/>
        <v>96.815539313670143</v>
      </c>
      <c r="E50">
        <f t="shared" si="5"/>
        <v>88.836840258174774</v>
      </c>
      <c r="F50">
        <f t="shared" si="5"/>
        <v>98.098783893068031</v>
      </c>
      <c r="G50">
        <f t="shared" si="5"/>
        <v>115.87805361856661</v>
      </c>
      <c r="H50">
        <f t="shared" si="5"/>
        <v>97.16343439583747</v>
      </c>
      <c r="I50">
        <f t="shared" si="5"/>
        <v>76.745960297236678</v>
      </c>
      <c r="J50">
        <f t="shared" si="5"/>
        <v>61.429421548133114</v>
      </c>
      <c r="K50">
        <f t="shared" si="5"/>
        <v>44.597708164853437</v>
      </c>
      <c r="L50">
        <f t="shared" si="5"/>
        <v>34.899369821627474</v>
      </c>
      <c r="M50">
        <f t="shared" si="5"/>
        <v>42.812457085310577</v>
      </c>
      <c r="N50">
        <f t="shared" si="5"/>
        <v>20.815722416344961</v>
      </c>
      <c r="O50">
        <f t="shared" si="5"/>
        <v>11.448494743427375</v>
      </c>
      <c r="P50">
        <f t="shared" si="5"/>
        <v>11.205883699284371</v>
      </c>
      <c r="Q50">
        <f t="shared" si="5"/>
        <v>10.085905671605349</v>
      </c>
      <c r="R50">
        <f t="shared" si="5"/>
        <v>11.445443032180293</v>
      </c>
      <c r="S50">
        <f t="shared" si="5"/>
        <v>19.556891526923714</v>
      </c>
      <c r="T50">
        <f t="shared" si="5"/>
        <v>20.893541053145544</v>
      </c>
      <c r="U50">
        <f t="shared" si="5"/>
        <v>19.892579764102713</v>
      </c>
      <c r="V50">
        <f t="shared" si="5"/>
        <v>31.685917878450326</v>
      </c>
      <c r="W50">
        <f t="shared" si="5"/>
        <v>30.774982071196408</v>
      </c>
      <c r="X50">
        <f t="shared" si="5"/>
        <v>29.627538642293651</v>
      </c>
      <c r="Y50">
        <f t="shared" si="5"/>
        <v>34.983291880922209</v>
      </c>
      <c r="Z50">
        <f t="shared" si="5"/>
        <v>36.532035338816222</v>
      </c>
      <c r="AA50">
        <f t="shared" si="5"/>
        <v>37.305644139951461</v>
      </c>
      <c r="AB50">
        <f t="shared" si="5"/>
        <v>32.371027053420192</v>
      </c>
      <c r="AC50">
        <f t="shared" si="5"/>
        <v>32.259639592901706</v>
      </c>
      <c r="AD50">
        <f t="shared" si="5"/>
        <v>30.51253490394738</v>
      </c>
      <c r="AE50">
        <f t="shared" si="5"/>
        <v>27.637822909196323</v>
      </c>
      <c r="AF50">
        <f t="shared" si="5"/>
        <v>27.537116438042627</v>
      </c>
      <c r="AG50">
        <f t="shared" si="5"/>
        <v>20.803515571356634</v>
      </c>
      <c r="AH50">
        <f t="shared" si="5"/>
        <v>16.262569235698916</v>
      </c>
      <c r="AI50">
        <f t="shared" si="5"/>
        <v>13.673192242550009</v>
      </c>
      <c r="AJ50">
        <f t="shared" si="5"/>
        <v>21.799899293528846</v>
      </c>
      <c r="AK50">
        <f t="shared" si="5"/>
        <v>23.202160611562931</v>
      </c>
      <c r="AL50">
        <f t="shared" si="5"/>
        <v>21.967743412118342</v>
      </c>
      <c r="AM50">
        <f t="shared" si="5"/>
        <v>22.440758655416023</v>
      </c>
      <c r="AN50">
        <f t="shared" si="5"/>
        <v>20.834032683827452</v>
      </c>
      <c r="AO50">
        <f t="shared" si="5"/>
        <v>22.034881059554142</v>
      </c>
      <c r="AP50">
        <f t="shared" si="5"/>
        <v>25.107954285365516</v>
      </c>
      <c r="AQ50">
        <f t="shared" si="5"/>
        <v>21.642736164304132</v>
      </c>
      <c r="AR50">
        <f t="shared" si="5"/>
        <v>21.516090147550237</v>
      </c>
      <c r="AS50">
        <f t="shared" si="5"/>
        <v>20.733326212673756</v>
      </c>
      <c r="AT50">
        <f t="shared" si="5"/>
        <v>17.083479561163919</v>
      </c>
      <c r="AU50">
        <f t="shared" si="5"/>
        <v>18.090544272700917</v>
      </c>
      <c r="AV50">
        <f t="shared" si="5"/>
        <v>14.556662648580192</v>
      </c>
      <c r="AW50">
        <f t="shared" si="5"/>
        <v>15.870424340448908</v>
      </c>
      <c r="AX50">
        <f t="shared" si="5"/>
        <v>15.574408349481972</v>
      </c>
      <c r="AY50">
        <f t="shared" si="5"/>
        <v>17.020919480598746</v>
      </c>
      <c r="AZ50">
        <f t="shared" si="5"/>
        <v>17.889131330393518</v>
      </c>
      <c r="BA50">
        <f t="shared" si="5"/>
        <v>16.534171536689197</v>
      </c>
      <c r="BB50">
        <f t="shared" si="5"/>
        <v>17.03465218121061</v>
      </c>
      <c r="BC50">
        <f t="shared" si="5"/>
        <v>15.720890489341896</v>
      </c>
      <c r="BD50">
        <f t="shared" si="5"/>
        <v>17.005660924363337</v>
      </c>
      <c r="BE50">
        <f t="shared" si="5"/>
        <v>21.032393914887773</v>
      </c>
      <c r="BF50">
        <f t="shared" si="5"/>
        <v>20.861498085051192</v>
      </c>
      <c r="BG50">
        <f t="shared" si="5"/>
        <v>18.499473579809877</v>
      </c>
      <c r="BH50">
        <f t="shared" si="5"/>
        <v>20.890489341898469</v>
      </c>
      <c r="BI50">
        <f t="shared" si="5"/>
        <v>19.079298716755424</v>
      </c>
      <c r="BJ50">
        <f t="shared" si="5"/>
        <v>17.217754856035526</v>
      </c>
      <c r="BK50">
        <f t="shared" si="5"/>
        <v>17.435952210201872</v>
      </c>
      <c r="BL50">
        <f t="shared" si="5"/>
        <v>19.44245235515816</v>
      </c>
      <c r="BM50">
        <f t="shared" si="5"/>
        <v>21.409280253902381</v>
      </c>
      <c r="BN50">
        <f t="shared" si="5"/>
        <v>20.27404366998795</v>
      </c>
      <c r="BO50">
        <f t="shared" si="5"/>
        <v>20.806567282603726</v>
      </c>
      <c r="BP50">
        <f t="shared" si="5"/>
        <v>21.140729664159185</v>
      </c>
    </row>
    <row r="51" spans="1:68" x14ac:dyDescent="0.4">
      <c r="A51" s="6" t="s">
        <v>22</v>
      </c>
      <c r="B51" s="4" t="s">
        <v>69</v>
      </c>
      <c r="C51">
        <v>100</v>
      </c>
      <c r="D51">
        <f t="shared" si="1"/>
        <v>115.1446059470977</v>
      </c>
      <c r="E51">
        <f t="shared" si="5"/>
        <v>111.5739044284299</v>
      </c>
      <c r="F51">
        <f t="shared" si="5"/>
        <v>161.66415591113284</v>
      </c>
      <c r="G51">
        <f t="shared" si="5"/>
        <v>205.60780641396252</v>
      </c>
      <c r="H51">
        <f t="shared" si="5"/>
        <v>223.7354613682939</v>
      </c>
      <c r="I51">
        <f t="shared" si="5"/>
        <v>232.33717411071754</v>
      </c>
      <c r="J51">
        <f t="shared" si="5"/>
        <v>209.24908052060854</v>
      </c>
      <c r="K51">
        <f t="shared" si="5"/>
        <v>160.34227705169442</v>
      </c>
      <c r="L51">
        <f t="shared" si="5"/>
        <v>188.06101814529811</v>
      </c>
      <c r="M51">
        <f t="shared" si="5"/>
        <v>196.12393632181099</v>
      </c>
      <c r="N51">
        <f t="shared" si="5"/>
        <v>200.64058195241779</v>
      </c>
      <c r="O51">
        <f t="shared" si="5"/>
        <v>229.21026559722051</v>
      </c>
      <c r="P51">
        <f t="shared" si="5"/>
        <v>225.41291749793032</v>
      </c>
      <c r="Q51">
        <f t="shared" si="5"/>
        <v>206.74103931707447</v>
      </c>
      <c r="R51">
        <f t="shared" si="5"/>
        <v>238.76470827735025</v>
      </c>
      <c r="S51">
        <f t="shared" si="5"/>
        <v>267.48096575872319</v>
      </c>
      <c r="T51">
        <f t="shared" si="5"/>
        <v>250.15946690552772</v>
      </c>
      <c r="U51">
        <f t="shared" si="5"/>
        <v>341.05288872602904</v>
      </c>
      <c r="V51">
        <f t="shared" si="5"/>
        <v>417.38121411994621</v>
      </c>
      <c r="W51">
        <f t="shared" si="5"/>
        <v>463.52754366678874</v>
      </c>
      <c r="X51">
        <f t="shared" si="5"/>
        <v>502.95726286931853</v>
      </c>
      <c r="Y51">
        <f t="shared" si="5"/>
        <v>489.2105370302512</v>
      </c>
      <c r="Z51">
        <f t="shared" si="5"/>
        <v>524.48190220267907</v>
      </c>
      <c r="AA51">
        <f t="shared" si="5"/>
        <v>583.08157919737255</v>
      </c>
      <c r="AB51">
        <f t="shared" si="5"/>
        <v>614.08737429257769</v>
      </c>
      <c r="AC51">
        <f t="shared" si="5"/>
        <v>728.37289469755581</v>
      </c>
      <c r="AD51">
        <f t="shared" si="5"/>
        <v>850.91676506114038</v>
      </c>
      <c r="AE51">
        <f t="shared" si="5"/>
        <v>711.7801935317508</v>
      </c>
      <c r="AF51">
        <f t="shared" si="5"/>
        <v>824.40997244954735</v>
      </c>
      <c r="AG51">
        <f t="shared" si="5"/>
        <v>701.81181547982567</v>
      </c>
      <c r="AH51">
        <f t="shared" si="5"/>
        <v>576.27811028324027</v>
      </c>
      <c r="AI51">
        <f t="shared" si="5"/>
        <v>495.21056417355425</v>
      </c>
      <c r="AJ51">
        <f t="shared" si="5"/>
        <v>619.18895810431172</v>
      </c>
      <c r="AK51">
        <f t="shared" si="5"/>
        <v>777.58098883053071</v>
      </c>
      <c r="AL51">
        <f t="shared" si="5"/>
        <v>710.15566684309806</v>
      </c>
      <c r="AM51">
        <f t="shared" si="5"/>
        <v>670.72051897995459</v>
      </c>
      <c r="AN51">
        <f t="shared" si="5"/>
        <v>654.56482499355332</v>
      </c>
      <c r="AO51">
        <f t="shared" si="5"/>
        <v>677.162981963275</v>
      </c>
      <c r="AP51">
        <f t="shared" si="5"/>
        <v>653.2578749508026</v>
      </c>
      <c r="AQ51">
        <f t="shared" si="5"/>
        <v>734.53171016380963</v>
      </c>
      <c r="AR51">
        <f t="shared" si="5"/>
        <v>678.82279494591683</v>
      </c>
      <c r="AS51">
        <f t="shared" si="5"/>
        <v>703.91677863279165</v>
      </c>
      <c r="AT51">
        <f t="shared" si="5"/>
        <v>695.3964957995737</v>
      </c>
      <c r="AU51">
        <f t="shared" si="5"/>
        <v>700.95408710285938</v>
      </c>
      <c r="AV51">
        <f t="shared" si="5"/>
        <v>689.54847115345456</v>
      </c>
      <c r="AW51">
        <f t="shared" si="5"/>
        <v>722.22357938737559</v>
      </c>
      <c r="AX51">
        <f t="shared" si="5"/>
        <v>699.34856072635478</v>
      </c>
      <c r="AY51">
        <f t="shared" si="5"/>
        <v>732.60182131563579</v>
      </c>
      <c r="AZ51">
        <f t="shared" si="5"/>
        <v>744.39151500346054</v>
      </c>
      <c r="BA51">
        <f t="shared" si="5"/>
        <v>753.94052902297665</v>
      </c>
      <c r="BB51">
        <f t="shared" si="5"/>
        <v>785.5733344190653</v>
      </c>
      <c r="BC51">
        <f t="shared" si="5"/>
        <v>747.7287841157389</v>
      </c>
      <c r="BD51">
        <f t="shared" si="5"/>
        <v>765.53479092870805</v>
      </c>
      <c r="BE51">
        <f t="shared" si="5"/>
        <v>820.88405738094275</v>
      </c>
      <c r="BF51">
        <f t="shared" si="5"/>
        <v>878.35050147252423</v>
      </c>
      <c r="BG51">
        <f t="shared" si="5"/>
        <v>760.407420979059</v>
      </c>
      <c r="BH51">
        <f t="shared" si="5"/>
        <v>855.51212627064604</v>
      </c>
      <c r="BI51">
        <f t="shared" si="5"/>
        <v>793.0920293690541</v>
      </c>
      <c r="BJ51">
        <f t="shared" si="5"/>
        <v>851.88849531099459</v>
      </c>
      <c r="BK51">
        <f t="shared" si="5"/>
        <v>864.90642346267134</v>
      </c>
      <c r="BL51">
        <f t="shared" si="5"/>
        <v>832.35753158801913</v>
      </c>
      <c r="BM51">
        <f t="shared" si="5"/>
        <v>804.86543707503768</v>
      </c>
      <c r="BN51">
        <f t="shared" si="5"/>
        <v>875.54252677008265</v>
      </c>
      <c r="BO51">
        <f t="shared" si="5"/>
        <v>795.07620482336483</v>
      </c>
      <c r="BP51">
        <f t="shared" si="5"/>
        <v>900.73422634800431</v>
      </c>
    </row>
    <row r="52" spans="1:68" x14ac:dyDescent="0.4">
      <c r="A52" s="6" t="s">
        <v>23</v>
      </c>
      <c r="B52" s="4" t="s">
        <v>70</v>
      </c>
      <c r="C52">
        <v>100</v>
      </c>
      <c r="D52">
        <f t="shared" si="1"/>
        <v>116.33666633666633</v>
      </c>
      <c r="E52">
        <f t="shared" si="5"/>
        <v>81.849981849981845</v>
      </c>
      <c r="F52">
        <f t="shared" si="5"/>
        <v>87.077187077187062</v>
      </c>
      <c r="G52">
        <f t="shared" si="5"/>
        <v>69.443069443069433</v>
      </c>
      <c r="H52">
        <f t="shared" si="5"/>
        <v>64.411664411664404</v>
      </c>
      <c r="I52">
        <f t="shared" si="5"/>
        <v>56.318956318956317</v>
      </c>
      <c r="J52">
        <f t="shared" si="5"/>
        <v>48.618948618948615</v>
      </c>
      <c r="K52">
        <f t="shared" si="5"/>
        <v>38.701338701338699</v>
      </c>
      <c r="L52">
        <f t="shared" si="5"/>
        <v>40.517440517440512</v>
      </c>
      <c r="M52">
        <f t="shared" si="5"/>
        <v>48.524348524348525</v>
      </c>
      <c r="N52">
        <f t="shared" si="5"/>
        <v>47.253847253847255</v>
      </c>
      <c r="O52">
        <f t="shared" ref="E52:BP56" si="6">N52*N22</f>
        <v>40.214390214390214</v>
      </c>
      <c r="P52">
        <f t="shared" si="6"/>
        <v>37.894487894487895</v>
      </c>
      <c r="Q52">
        <f t="shared" si="6"/>
        <v>37.067837067837075</v>
      </c>
      <c r="R52">
        <f t="shared" si="6"/>
        <v>45.190795190795193</v>
      </c>
      <c r="S52">
        <f t="shared" si="6"/>
        <v>54.517704517704523</v>
      </c>
      <c r="T52">
        <f t="shared" si="6"/>
        <v>49.780549780549784</v>
      </c>
      <c r="U52">
        <f t="shared" si="6"/>
        <v>58.452958452958455</v>
      </c>
      <c r="V52">
        <f t="shared" si="6"/>
        <v>98.489698489698497</v>
      </c>
      <c r="W52">
        <f t="shared" si="6"/>
        <v>130.04818004818006</v>
      </c>
      <c r="X52">
        <f t="shared" si="6"/>
        <v>86.924836924836924</v>
      </c>
      <c r="Y52">
        <f t="shared" si="6"/>
        <v>77.283327283327282</v>
      </c>
      <c r="Z52">
        <f t="shared" si="6"/>
        <v>94.241494241494223</v>
      </c>
      <c r="AA52">
        <f t="shared" si="6"/>
        <v>85.29463529463527</v>
      </c>
      <c r="AB52">
        <f t="shared" si="6"/>
        <v>92.38689238689237</v>
      </c>
      <c r="AC52">
        <f t="shared" si="6"/>
        <v>127.27067727067727</v>
      </c>
      <c r="AD52">
        <f t="shared" si="6"/>
        <v>90.4035904035904</v>
      </c>
      <c r="AE52">
        <f t="shared" si="6"/>
        <v>102.9089529089529</v>
      </c>
      <c r="AF52">
        <f t="shared" si="6"/>
        <v>103.02720302720303</v>
      </c>
      <c r="AG52">
        <f t="shared" si="6"/>
        <v>77.66887766887767</v>
      </c>
      <c r="AH52">
        <f t="shared" si="6"/>
        <v>45.97179597179597</v>
      </c>
      <c r="AI52">
        <f t="shared" si="6"/>
        <v>57.796807796807784</v>
      </c>
      <c r="AJ52">
        <f t="shared" si="6"/>
        <v>74.079574079574073</v>
      </c>
      <c r="AK52">
        <f t="shared" si="6"/>
        <v>73.125873125873113</v>
      </c>
      <c r="AL52">
        <f t="shared" si="6"/>
        <v>59.272459272459265</v>
      </c>
      <c r="AM52">
        <f t="shared" si="6"/>
        <v>72.615472615472598</v>
      </c>
      <c r="AN52">
        <f t="shared" si="6"/>
        <v>84.699534699534681</v>
      </c>
      <c r="AO52">
        <f t="shared" si="6"/>
        <v>69.593219593219573</v>
      </c>
      <c r="AP52">
        <f t="shared" si="6"/>
        <v>68.029018029018019</v>
      </c>
      <c r="AQ52">
        <f t="shared" si="6"/>
        <v>79.13242913242911</v>
      </c>
      <c r="AR52">
        <f t="shared" si="6"/>
        <v>64.695464695464679</v>
      </c>
      <c r="AS52">
        <f t="shared" si="6"/>
        <v>78.021978021978001</v>
      </c>
      <c r="AT52">
        <f t="shared" si="6"/>
        <v>78.361328361328347</v>
      </c>
      <c r="AU52">
        <f t="shared" si="6"/>
        <v>99.874599874599866</v>
      </c>
      <c r="AV52">
        <f t="shared" si="6"/>
        <v>120.04697004697003</v>
      </c>
      <c r="AW52">
        <f t="shared" si="6"/>
        <v>104.69590469590469</v>
      </c>
      <c r="AX52">
        <f t="shared" si="6"/>
        <v>108.39245839245839</v>
      </c>
      <c r="AY52">
        <f t="shared" si="6"/>
        <v>121.96207196207196</v>
      </c>
      <c r="AZ52">
        <f t="shared" si="6"/>
        <v>143.56774356774361</v>
      </c>
      <c r="BA52">
        <f t="shared" si="6"/>
        <v>154.1470041470042</v>
      </c>
      <c r="BB52">
        <f t="shared" si="6"/>
        <v>162.00156200156206</v>
      </c>
      <c r="BC52">
        <f t="shared" si="6"/>
        <v>183.09188309188315</v>
      </c>
      <c r="BD52">
        <f t="shared" si="6"/>
        <v>242.4204424204425</v>
      </c>
      <c r="BE52">
        <f t="shared" si="6"/>
        <v>272.71007271007278</v>
      </c>
      <c r="BF52">
        <f t="shared" si="6"/>
        <v>228.55327855327863</v>
      </c>
      <c r="BG52">
        <f t="shared" si="6"/>
        <v>251.84305184305194</v>
      </c>
      <c r="BH52">
        <f t="shared" si="6"/>
        <v>234.06813406813413</v>
      </c>
      <c r="BI52">
        <f t="shared" si="6"/>
        <v>241.97934197934208</v>
      </c>
      <c r="BJ52">
        <f t="shared" si="6"/>
        <v>227.95322795322809</v>
      </c>
      <c r="BK52">
        <f t="shared" si="6"/>
        <v>247.41059741059752</v>
      </c>
      <c r="BL52">
        <f t="shared" si="6"/>
        <v>241.57399157399169</v>
      </c>
      <c r="BM52">
        <f t="shared" si="6"/>
        <v>196.43874643874656</v>
      </c>
      <c r="BN52">
        <f t="shared" si="6"/>
        <v>195.52299552299564</v>
      </c>
      <c r="BO52">
        <f t="shared" si="6"/>
        <v>203.98970398970411</v>
      </c>
      <c r="BP52">
        <f t="shared" si="6"/>
        <v>223.28812328812344</v>
      </c>
    </row>
    <row r="53" spans="1:68" x14ac:dyDescent="0.4">
      <c r="A53" s="6" t="s">
        <v>24</v>
      </c>
      <c r="B53" s="4" t="s">
        <v>71</v>
      </c>
      <c r="C53">
        <v>100</v>
      </c>
      <c r="D53">
        <f t="shared" si="1"/>
        <v>106.7012473755712</v>
      </c>
      <c r="E53">
        <f t="shared" si="6"/>
        <v>74.81042361368408</v>
      </c>
      <c r="F53">
        <f t="shared" si="6"/>
        <v>80.12350253180189</v>
      </c>
      <c r="G53">
        <f t="shared" si="6"/>
        <v>74.761022600963315</v>
      </c>
      <c r="H53">
        <f t="shared" si="6"/>
        <v>83.56428306780289</v>
      </c>
      <c r="I53">
        <f t="shared" si="6"/>
        <v>94.990737310114866</v>
      </c>
      <c r="J53">
        <f t="shared" si="6"/>
        <v>73.881684574533793</v>
      </c>
      <c r="K53">
        <f t="shared" si="6"/>
        <v>57.79424478201804</v>
      </c>
      <c r="L53">
        <f t="shared" si="6"/>
        <v>69.359021859948143</v>
      </c>
      <c r="M53">
        <f t="shared" si="6"/>
        <v>80.202544152155127</v>
      </c>
      <c r="N53">
        <f t="shared" si="6"/>
        <v>95.255032728170946</v>
      </c>
      <c r="O53">
        <f t="shared" si="6"/>
        <v>99.765345189576394</v>
      </c>
      <c r="P53">
        <f t="shared" si="6"/>
        <v>77.828825490922569</v>
      </c>
      <c r="Q53">
        <f t="shared" si="6"/>
        <v>79.943188835371117</v>
      </c>
      <c r="R53">
        <f t="shared" si="6"/>
        <v>80.518710633567991</v>
      </c>
      <c r="S53">
        <f t="shared" si="6"/>
        <v>97.574410275410642</v>
      </c>
      <c r="T53">
        <f t="shared" si="6"/>
        <v>89.660368037544771</v>
      </c>
      <c r="U53">
        <f t="shared" si="6"/>
        <v>88.622946770408802</v>
      </c>
      <c r="V53">
        <f t="shared" si="6"/>
        <v>105.77003828578486</v>
      </c>
      <c r="W53">
        <f t="shared" si="6"/>
        <v>101.55119179943189</v>
      </c>
      <c r="X53">
        <f t="shared" si="6"/>
        <v>106.14301593182661</v>
      </c>
      <c r="Y53">
        <f t="shared" si="6"/>
        <v>113.05174756082501</v>
      </c>
      <c r="Z53">
        <f t="shared" si="6"/>
        <v>121.5783623564283</v>
      </c>
      <c r="AA53">
        <f t="shared" si="6"/>
        <v>122.0056811164629</v>
      </c>
      <c r="AB53">
        <f t="shared" si="6"/>
        <v>138.9082376188712</v>
      </c>
      <c r="AC53">
        <f t="shared" si="6"/>
        <v>159.20217364455974</v>
      </c>
      <c r="AD53">
        <f t="shared" si="6"/>
        <v>156.5369890082747</v>
      </c>
      <c r="AE53">
        <f t="shared" si="6"/>
        <v>150.64591824132398</v>
      </c>
      <c r="AF53">
        <f t="shared" si="6"/>
        <v>138.00666913671736</v>
      </c>
      <c r="AG53">
        <f t="shared" si="6"/>
        <v>122.27491663579107</v>
      </c>
      <c r="AH53">
        <f t="shared" si="6"/>
        <v>92.498456218352516</v>
      </c>
      <c r="AI53">
        <f t="shared" si="6"/>
        <v>103.70013585278501</v>
      </c>
      <c r="AJ53">
        <f t="shared" si="6"/>
        <v>109.88267259478823</v>
      </c>
      <c r="AK53">
        <f t="shared" si="6"/>
        <v>111.81919229344204</v>
      </c>
      <c r="AL53">
        <f t="shared" si="6"/>
        <v>106.5752747931333</v>
      </c>
      <c r="AM53">
        <f t="shared" si="6"/>
        <v>114.77337285414355</v>
      </c>
      <c r="AN53">
        <f t="shared" si="6"/>
        <v>126.01210324811662</v>
      </c>
      <c r="AO53">
        <f t="shared" si="6"/>
        <v>126.97789304680748</v>
      </c>
      <c r="AP53">
        <f t="shared" si="6"/>
        <v>155.57860936149191</v>
      </c>
      <c r="AQ53">
        <f t="shared" si="6"/>
        <v>154.51648758799556</v>
      </c>
      <c r="AR53">
        <f t="shared" si="6"/>
        <v>147.87699147832529</v>
      </c>
      <c r="AS53">
        <f t="shared" si="6"/>
        <v>137.18661232555266</v>
      </c>
      <c r="AT53">
        <f t="shared" si="6"/>
        <v>130.42608373471654</v>
      </c>
      <c r="AU53">
        <f t="shared" si="6"/>
        <v>132.54538718043719</v>
      </c>
      <c r="AV53">
        <f t="shared" si="6"/>
        <v>124.87340990490304</v>
      </c>
      <c r="AW53">
        <f t="shared" si="6"/>
        <v>137.21625293318513</v>
      </c>
      <c r="AX53">
        <f t="shared" si="6"/>
        <v>144.32752871433865</v>
      </c>
      <c r="AY53">
        <f t="shared" si="6"/>
        <v>160.98308015314316</v>
      </c>
      <c r="AZ53">
        <f t="shared" si="6"/>
        <v>188.56119550450788</v>
      </c>
      <c r="BA53">
        <f t="shared" si="6"/>
        <v>186.79757935037674</v>
      </c>
      <c r="BB53">
        <f t="shared" si="6"/>
        <v>216.87538594541192</v>
      </c>
      <c r="BC53">
        <f t="shared" si="6"/>
        <v>220.76571569717183</v>
      </c>
      <c r="BD53">
        <f t="shared" si="6"/>
        <v>227.26194886995191</v>
      </c>
      <c r="BE53">
        <f t="shared" si="6"/>
        <v>252.37248363591459</v>
      </c>
      <c r="BF53">
        <f t="shared" si="6"/>
        <v>283.76188711868593</v>
      </c>
      <c r="BG53">
        <f t="shared" si="6"/>
        <v>339.19723354328767</v>
      </c>
      <c r="BH53">
        <f t="shared" si="6"/>
        <v>414.0644683216006</v>
      </c>
      <c r="BI53">
        <f t="shared" si="6"/>
        <v>552.88378411757446</v>
      </c>
      <c r="BJ53">
        <f t="shared" si="6"/>
        <v>530.38903297517606</v>
      </c>
      <c r="BK53">
        <f t="shared" si="6"/>
        <v>435.83549462763989</v>
      </c>
      <c r="BL53">
        <f t="shared" si="6"/>
        <v>425.49339261454861</v>
      </c>
      <c r="BM53">
        <f t="shared" si="6"/>
        <v>410.94973446955669</v>
      </c>
      <c r="BN53">
        <f t="shared" si="6"/>
        <v>358.84648635297026</v>
      </c>
      <c r="BO53">
        <f t="shared" si="6"/>
        <v>382.91959985179705</v>
      </c>
      <c r="BP53">
        <f t="shared" si="6"/>
        <v>418.23391379523292</v>
      </c>
    </row>
    <row r="54" spans="1:68" x14ac:dyDescent="0.4">
      <c r="A54" s="6" t="s">
        <v>25</v>
      </c>
      <c r="B54" s="4" t="s">
        <v>72</v>
      </c>
      <c r="C54">
        <v>100</v>
      </c>
      <c r="D54">
        <f t="shared" si="1"/>
        <v>109.73280731641711</v>
      </c>
      <c r="E54">
        <f t="shared" si="6"/>
        <v>75.979557069846663</v>
      </c>
      <c r="F54">
        <f t="shared" si="6"/>
        <v>77.64726979288082</v>
      </c>
      <c r="G54">
        <f t="shared" si="6"/>
        <v>75.732986640365809</v>
      </c>
      <c r="H54">
        <f t="shared" si="6"/>
        <v>57.271586120326361</v>
      </c>
      <c r="I54">
        <f t="shared" si="6"/>
        <v>43.324666009145517</v>
      </c>
      <c r="J54">
        <f t="shared" si="6"/>
        <v>36.250336232403832</v>
      </c>
      <c r="K54">
        <f t="shared" si="6"/>
        <v>32.040706536357924</v>
      </c>
      <c r="L54">
        <f t="shared" si="6"/>
        <v>51.564601452523974</v>
      </c>
      <c r="M54">
        <f t="shared" si="6"/>
        <v>54.227562090917232</v>
      </c>
      <c r="N54">
        <f t="shared" si="6"/>
        <v>45.476553393705721</v>
      </c>
      <c r="O54">
        <f t="shared" si="6"/>
        <v>42.674616695059619</v>
      </c>
      <c r="P54">
        <f t="shared" si="6"/>
        <v>44.369228010400782</v>
      </c>
      <c r="Q54">
        <f t="shared" si="6"/>
        <v>37.761140500313815</v>
      </c>
      <c r="R54">
        <f t="shared" si="6"/>
        <v>36.039630592665645</v>
      </c>
      <c r="S54">
        <f t="shared" si="6"/>
        <v>39.90406168743835</v>
      </c>
      <c r="T54">
        <f t="shared" si="6"/>
        <v>40.249260288711547</v>
      </c>
      <c r="U54">
        <f t="shared" si="6"/>
        <v>43.091544875818158</v>
      </c>
      <c r="V54">
        <f t="shared" si="6"/>
        <v>70.90917241997667</v>
      </c>
      <c r="W54">
        <f t="shared" si="6"/>
        <v>69.102483636689669</v>
      </c>
      <c r="X54">
        <f t="shared" si="6"/>
        <v>67.264413162377821</v>
      </c>
      <c r="Y54">
        <f t="shared" si="6"/>
        <v>62.476463731731371</v>
      </c>
      <c r="Z54">
        <f t="shared" si="6"/>
        <v>69.075585044382677</v>
      </c>
      <c r="AA54">
        <f t="shared" si="6"/>
        <v>73.356944319913907</v>
      </c>
      <c r="AB54">
        <f t="shared" si="6"/>
        <v>92.275620909172403</v>
      </c>
      <c r="AC54">
        <f t="shared" si="6"/>
        <v>91.365551869452148</v>
      </c>
      <c r="AD54">
        <f t="shared" si="6"/>
        <v>103.93167757554019</v>
      </c>
      <c r="AE54">
        <f t="shared" si="6"/>
        <v>87.684927822110623</v>
      </c>
      <c r="AF54">
        <f t="shared" si="6"/>
        <v>84.717116470904671</v>
      </c>
      <c r="AG54">
        <f t="shared" si="6"/>
        <v>61.848829911234638</v>
      </c>
      <c r="AH54">
        <f t="shared" si="6"/>
        <v>45.203084371917861</v>
      </c>
      <c r="AI54">
        <f t="shared" si="6"/>
        <v>51.59150004483098</v>
      </c>
      <c r="AJ54">
        <f t="shared" si="6"/>
        <v>84.829193938850523</v>
      </c>
      <c r="AK54">
        <f t="shared" si="6"/>
        <v>72.841387967363033</v>
      </c>
      <c r="AL54">
        <f t="shared" si="6"/>
        <v>77.763830359544514</v>
      </c>
      <c r="AM54">
        <f t="shared" si="6"/>
        <v>81.202367076123011</v>
      </c>
      <c r="AN54">
        <f t="shared" si="6"/>
        <v>82.690755850443821</v>
      </c>
      <c r="AO54">
        <f t="shared" si="6"/>
        <v>88.299112346453882</v>
      </c>
      <c r="AP54">
        <f t="shared" si="6"/>
        <v>91.513494127140689</v>
      </c>
      <c r="AQ54">
        <f t="shared" si="6"/>
        <v>88.137720792611859</v>
      </c>
      <c r="AR54">
        <f t="shared" si="6"/>
        <v>94.544068860396322</v>
      </c>
      <c r="AS54">
        <f t="shared" si="6"/>
        <v>108.03371290235813</v>
      </c>
      <c r="AT54">
        <f t="shared" si="6"/>
        <v>116.30054693804361</v>
      </c>
      <c r="AU54">
        <f t="shared" si="6"/>
        <v>110.90737918048957</v>
      </c>
      <c r="AV54">
        <f t="shared" si="6"/>
        <v>103.74787052810905</v>
      </c>
      <c r="AW54">
        <f t="shared" si="6"/>
        <v>114.14417645476557</v>
      </c>
      <c r="AX54">
        <f t="shared" si="6"/>
        <v>101.41217609611766</v>
      </c>
      <c r="AY54">
        <f t="shared" si="6"/>
        <v>104.29032547296694</v>
      </c>
      <c r="AZ54">
        <f t="shared" si="6"/>
        <v>115.35013000986284</v>
      </c>
      <c r="BA54">
        <f t="shared" si="6"/>
        <v>103.49681699991037</v>
      </c>
      <c r="BB54">
        <f t="shared" si="6"/>
        <v>134.11189814399714</v>
      </c>
      <c r="BC54">
        <f t="shared" si="6"/>
        <v>147.49843091544878</v>
      </c>
      <c r="BD54">
        <f t="shared" si="6"/>
        <v>140.99793777458981</v>
      </c>
      <c r="BE54">
        <f t="shared" si="6"/>
        <v>150.78902537433876</v>
      </c>
      <c r="BF54">
        <f t="shared" si="6"/>
        <v>154.78346633192862</v>
      </c>
      <c r="BG54">
        <f t="shared" si="6"/>
        <v>146.71388863982784</v>
      </c>
      <c r="BH54">
        <f t="shared" si="6"/>
        <v>149.67273379359816</v>
      </c>
      <c r="BI54">
        <f t="shared" si="6"/>
        <v>138.24531516183987</v>
      </c>
      <c r="BJ54">
        <f t="shared" si="6"/>
        <v>144.38716040527211</v>
      </c>
      <c r="BK54">
        <f t="shared" si="6"/>
        <v>127.50381063391016</v>
      </c>
      <c r="BL54">
        <f t="shared" si="6"/>
        <v>142.5221913386533</v>
      </c>
      <c r="BM54">
        <f t="shared" si="6"/>
        <v>146.06383932574195</v>
      </c>
      <c r="BN54">
        <f t="shared" si="6"/>
        <v>134.68125168116202</v>
      </c>
      <c r="BO54">
        <f t="shared" si="6"/>
        <v>136.25481933112167</v>
      </c>
      <c r="BP54">
        <f t="shared" si="6"/>
        <v>152.00842822558951</v>
      </c>
    </row>
    <row r="55" spans="1:68" x14ac:dyDescent="0.4">
      <c r="A55" s="6" t="s">
        <v>26</v>
      </c>
      <c r="B55" s="4" t="s">
        <v>73</v>
      </c>
      <c r="C55">
        <v>100</v>
      </c>
      <c r="D55">
        <f t="shared" si="1"/>
        <v>102.23073456511942</v>
      </c>
      <c r="E55">
        <f t="shared" si="6"/>
        <v>69.349932401982869</v>
      </c>
      <c r="F55">
        <f t="shared" si="6"/>
        <v>77.425078864353296</v>
      </c>
      <c r="G55">
        <f t="shared" si="6"/>
        <v>94.64285714285711</v>
      </c>
      <c r="H55">
        <f t="shared" si="6"/>
        <v>88.823794502027923</v>
      </c>
      <c r="I55">
        <f t="shared" si="6"/>
        <v>73.217102298332563</v>
      </c>
      <c r="J55">
        <f t="shared" si="6"/>
        <v>66.037629562866144</v>
      </c>
      <c r="K55">
        <f t="shared" si="6"/>
        <v>53.557345651194225</v>
      </c>
      <c r="L55">
        <f t="shared" si="6"/>
        <v>53.548895899053619</v>
      </c>
      <c r="M55">
        <f t="shared" si="6"/>
        <v>61.60714285714284</v>
      </c>
      <c r="N55">
        <f t="shared" si="6"/>
        <v>55.351509689049109</v>
      </c>
      <c r="O55">
        <f t="shared" si="6"/>
        <v>54.458652546191956</v>
      </c>
      <c r="P55">
        <f t="shared" si="6"/>
        <v>48.512843623253701</v>
      </c>
      <c r="Q55">
        <f t="shared" si="6"/>
        <v>41.119310500225311</v>
      </c>
      <c r="R55">
        <f t="shared" si="6"/>
        <v>37.711243803515075</v>
      </c>
      <c r="S55">
        <f t="shared" si="6"/>
        <v>46.744028841820622</v>
      </c>
      <c r="T55">
        <f t="shared" si="6"/>
        <v>40.167305092383941</v>
      </c>
      <c r="U55">
        <f t="shared" si="6"/>
        <v>40.924966200991427</v>
      </c>
      <c r="V55">
        <f t="shared" si="6"/>
        <v>54.095313204145988</v>
      </c>
      <c r="W55">
        <f t="shared" si="6"/>
        <v>57.610410094637203</v>
      </c>
      <c r="X55">
        <f t="shared" si="6"/>
        <v>48.112888688598446</v>
      </c>
      <c r="Y55">
        <f t="shared" si="6"/>
        <v>46.845425867507863</v>
      </c>
      <c r="Z55">
        <f t="shared" si="6"/>
        <v>50.045065344749865</v>
      </c>
      <c r="AA55">
        <f t="shared" si="6"/>
        <v>44.69637223974761</v>
      </c>
      <c r="AB55">
        <f t="shared" si="6"/>
        <v>54.652996845425839</v>
      </c>
      <c r="AC55">
        <f t="shared" si="6"/>
        <v>61.277602523659283</v>
      </c>
      <c r="AD55">
        <f t="shared" si="6"/>
        <v>50.174628210905787</v>
      </c>
      <c r="AE55">
        <f t="shared" si="6"/>
        <v>44.471045515998171</v>
      </c>
      <c r="AF55">
        <f t="shared" si="6"/>
        <v>46.527151870211782</v>
      </c>
      <c r="AG55">
        <f t="shared" si="6"/>
        <v>31.534474988733646</v>
      </c>
      <c r="AH55">
        <f t="shared" si="6"/>
        <v>22.918544389364566</v>
      </c>
      <c r="AI55">
        <f t="shared" si="6"/>
        <v>24.892969806219</v>
      </c>
      <c r="AJ55">
        <f t="shared" si="6"/>
        <v>42.17552951780079</v>
      </c>
      <c r="AK55">
        <f t="shared" si="6"/>
        <v>46.400405588102721</v>
      </c>
      <c r="AL55">
        <f t="shared" si="6"/>
        <v>45.113226678684065</v>
      </c>
      <c r="AM55">
        <f t="shared" si="6"/>
        <v>48.811401532221694</v>
      </c>
      <c r="AN55">
        <f t="shared" si="6"/>
        <v>54.453019378098219</v>
      </c>
      <c r="AO55">
        <f t="shared" si="6"/>
        <v>49.746507435781858</v>
      </c>
      <c r="AP55">
        <f t="shared" si="6"/>
        <v>52.070189274447927</v>
      </c>
      <c r="AQ55">
        <f t="shared" si="6"/>
        <v>50.368972510139685</v>
      </c>
      <c r="AR55">
        <f t="shared" si="6"/>
        <v>43.102185669220347</v>
      </c>
      <c r="AS55">
        <f t="shared" si="6"/>
        <v>34.300360522757984</v>
      </c>
      <c r="AT55">
        <f t="shared" si="6"/>
        <v>38.175980171248291</v>
      </c>
      <c r="AU55">
        <f t="shared" si="6"/>
        <v>44.121789094186553</v>
      </c>
      <c r="AV55">
        <f t="shared" si="6"/>
        <v>42.848693105002233</v>
      </c>
      <c r="AW55">
        <f t="shared" si="6"/>
        <v>43.859846777827833</v>
      </c>
      <c r="AX55">
        <f t="shared" si="6"/>
        <v>46.738395673726885</v>
      </c>
      <c r="AY55">
        <f t="shared" si="6"/>
        <v>48.338215412347893</v>
      </c>
      <c r="AZ55">
        <f t="shared" si="6"/>
        <v>53.140491212257757</v>
      </c>
      <c r="BA55">
        <f t="shared" si="6"/>
        <v>45.076611086074799</v>
      </c>
      <c r="BB55">
        <f t="shared" si="6"/>
        <v>42.637449301487145</v>
      </c>
      <c r="BC55">
        <f t="shared" si="6"/>
        <v>38.804078413699855</v>
      </c>
      <c r="BD55">
        <f t="shared" si="6"/>
        <v>37.646462370437121</v>
      </c>
      <c r="BE55">
        <f t="shared" si="6"/>
        <v>34.903109508787729</v>
      </c>
      <c r="BF55">
        <f t="shared" si="6"/>
        <v>34.091933303289757</v>
      </c>
      <c r="BG55">
        <f t="shared" si="6"/>
        <v>40.015209553853069</v>
      </c>
      <c r="BH55">
        <f t="shared" si="6"/>
        <v>37.302839116719227</v>
      </c>
      <c r="BI55">
        <f t="shared" si="6"/>
        <v>36.474763406940049</v>
      </c>
      <c r="BJ55">
        <f t="shared" si="6"/>
        <v>39.739184317260012</v>
      </c>
      <c r="BK55">
        <f t="shared" si="6"/>
        <v>36.587426768814773</v>
      </c>
      <c r="BL55">
        <f t="shared" si="6"/>
        <v>37.291572780531759</v>
      </c>
      <c r="BM55">
        <f t="shared" si="6"/>
        <v>37.567598017124823</v>
      </c>
      <c r="BN55">
        <f t="shared" si="6"/>
        <v>33.277940513744923</v>
      </c>
      <c r="BO55">
        <f t="shared" si="6"/>
        <v>36.733889139251907</v>
      </c>
      <c r="BP55">
        <f t="shared" si="6"/>
        <v>41.082694907616037</v>
      </c>
    </row>
    <row r="56" spans="1:68" x14ac:dyDescent="0.4">
      <c r="A56" s="6" t="s">
        <v>27</v>
      </c>
      <c r="B56" s="4" t="s">
        <v>74</v>
      </c>
      <c r="C56">
        <v>100</v>
      </c>
      <c r="D56">
        <f t="shared" si="1"/>
        <v>112.27147360126082</v>
      </c>
      <c r="E56">
        <f t="shared" si="6"/>
        <v>90.338849487785652</v>
      </c>
      <c r="F56">
        <f t="shared" si="6"/>
        <v>107.38770685579195</v>
      </c>
      <c r="G56">
        <f t="shared" si="6"/>
        <v>163.23286052009456</v>
      </c>
      <c r="H56">
        <f t="shared" si="6"/>
        <v>158.2269503546099</v>
      </c>
      <c r="I56">
        <f t="shared" si="6"/>
        <v>153.48305752561069</v>
      </c>
      <c r="J56">
        <f t="shared" si="6"/>
        <v>174.40110323089041</v>
      </c>
      <c r="K56">
        <f t="shared" si="6"/>
        <v>124.27501970055158</v>
      </c>
      <c r="L56">
        <f t="shared" si="6"/>
        <v>142.78762805358545</v>
      </c>
      <c r="M56">
        <f t="shared" si="6"/>
        <v>194.44641449960594</v>
      </c>
      <c r="N56">
        <f t="shared" ref="E56:BP60" si="7">M56*M26</f>
        <v>204.32821118991328</v>
      </c>
      <c r="O56">
        <f t="shared" si="7"/>
        <v>239.9724192277383</v>
      </c>
      <c r="P56">
        <f t="shared" si="7"/>
        <v>225.83333333333329</v>
      </c>
      <c r="Q56">
        <f t="shared" si="7"/>
        <v>201.03230890464931</v>
      </c>
      <c r="R56">
        <f t="shared" si="7"/>
        <v>194.47005516154451</v>
      </c>
      <c r="S56">
        <f t="shared" si="7"/>
        <v>239.81875492513788</v>
      </c>
      <c r="T56">
        <f t="shared" si="7"/>
        <v>223.88100866824271</v>
      </c>
      <c r="U56">
        <f t="shared" si="7"/>
        <v>252.4172576832151</v>
      </c>
      <c r="V56">
        <f t="shared" si="7"/>
        <v>276.18991331757286</v>
      </c>
      <c r="W56">
        <f t="shared" si="7"/>
        <v>323.57368006304176</v>
      </c>
      <c r="X56">
        <f t="shared" si="7"/>
        <v>290.18321513002365</v>
      </c>
      <c r="Y56">
        <f t="shared" si="7"/>
        <v>310.90819542947207</v>
      </c>
      <c r="Z56">
        <f t="shared" si="7"/>
        <v>304.84042553191489</v>
      </c>
      <c r="AA56">
        <f t="shared" si="7"/>
        <v>270.83333333333337</v>
      </c>
      <c r="AB56">
        <f t="shared" si="7"/>
        <v>257.40346729708432</v>
      </c>
      <c r="AC56">
        <f t="shared" si="7"/>
        <v>287.7738376674547</v>
      </c>
      <c r="AD56">
        <f t="shared" si="7"/>
        <v>263.40228526398738</v>
      </c>
      <c r="AE56">
        <f t="shared" si="7"/>
        <v>258.72340425531917</v>
      </c>
      <c r="AF56">
        <f t="shared" si="7"/>
        <v>337.58865248226954</v>
      </c>
      <c r="AG56">
        <f t="shared" si="7"/>
        <v>232.15918045705286</v>
      </c>
      <c r="AH56">
        <f t="shared" si="7"/>
        <v>200.73877068557923</v>
      </c>
      <c r="AI56">
        <f t="shared" si="7"/>
        <v>199.93498817966906</v>
      </c>
      <c r="AJ56">
        <f t="shared" si="7"/>
        <v>240.12214342001576</v>
      </c>
      <c r="AK56">
        <f t="shared" si="7"/>
        <v>336.79078014184398</v>
      </c>
      <c r="AL56">
        <f t="shared" si="7"/>
        <v>310.47478329393226</v>
      </c>
      <c r="AM56">
        <f t="shared" si="7"/>
        <v>325.88455476753353</v>
      </c>
      <c r="AN56">
        <f t="shared" si="7"/>
        <v>347.32663514578405</v>
      </c>
      <c r="AO56">
        <f t="shared" si="7"/>
        <v>331.84003152088258</v>
      </c>
      <c r="AP56">
        <f t="shared" si="7"/>
        <v>363.47123719464145</v>
      </c>
      <c r="AQ56">
        <f t="shared" si="7"/>
        <v>410.95941686367223</v>
      </c>
      <c r="AR56">
        <f t="shared" si="7"/>
        <v>403.70961386918833</v>
      </c>
      <c r="AS56">
        <f t="shared" si="7"/>
        <v>324.86406619385338</v>
      </c>
      <c r="AT56">
        <f t="shared" si="7"/>
        <v>427.5591016548463</v>
      </c>
      <c r="AU56">
        <f t="shared" si="7"/>
        <v>516.65484633569736</v>
      </c>
      <c r="AV56">
        <f t="shared" si="7"/>
        <v>501.63120567375887</v>
      </c>
      <c r="AW56">
        <f t="shared" si="7"/>
        <v>506.87549251379039</v>
      </c>
      <c r="AX56">
        <f t="shared" si="7"/>
        <v>571.91489361702133</v>
      </c>
      <c r="AY56">
        <f t="shared" si="7"/>
        <v>626.8498817966904</v>
      </c>
      <c r="AZ56">
        <f t="shared" si="7"/>
        <v>637.88022064617826</v>
      </c>
      <c r="BA56">
        <f t="shared" si="7"/>
        <v>565.13987391646981</v>
      </c>
      <c r="BB56">
        <f t="shared" si="7"/>
        <v>623.24665090622557</v>
      </c>
      <c r="BC56">
        <f t="shared" si="7"/>
        <v>577.37982663514606</v>
      </c>
      <c r="BD56">
        <f t="shared" si="7"/>
        <v>623.49093774625726</v>
      </c>
      <c r="BE56">
        <f t="shared" si="7"/>
        <v>550.90622537431079</v>
      </c>
      <c r="BF56">
        <f t="shared" si="7"/>
        <v>575.37431048069379</v>
      </c>
      <c r="BG56">
        <f t="shared" si="7"/>
        <v>601.75531914893656</v>
      </c>
      <c r="BH56">
        <f t="shared" si="7"/>
        <v>598.21907013396412</v>
      </c>
      <c r="BI56">
        <f t="shared" si="7"/>
        <v>486.21749408983482</v>
      </c>
      <c r="BJ56">
        <f t="shared" si="7"/>
        <v>547.44877856580013</v>
      </c>
      <c r="BK56">
        <f t="shared" si="7"/>
        <v>508.91843971631232</v>
      </c>
      <c r="BL56">
        <f t="shared" si="7"/>
        <v>548.80614657210424</v>
      </c>
      <c r="BM56">
        <f t="shared" si="7"/>
        <v>680.0591016548467</v>
      </c>
      <c r="BN56">
        <f t="shared" si="7"/>
        <v>733.52639873916507</v>
      </c>
      <c r="BO56">
        <f t="shared" si="7"/>
        <v>804.20606776989791</v>
      </c>
      <c r="BP56">
        <f t="shared" si="7"/>
        <v>940.61662726556369</v>
      </c>
    </row>
    <row r="57" spans="1:68" x14ac:dyDescent="0.4">
      <c r="A57" s="6" t="s">
        <v>28</v>
      </c>
      <c r="B57" s="4" t="s">
        <v>75</v>
      </c>
      <c r="C57">
        <v>100</v>
      </c>
      <c r="D57">
        <f t="shared" si="1"/>
        <v>116.66520685527428</v>
      </c>
      <c r="E57">
        <f t="shared" si="7"/>
        <v>89.016379083822358</v>
      </c>
      <c r="F57">
        <f t="shared" si="7"/>
        <v>130.22393506758925</v>
      </c>
      <c r="G57">
        <f t="shared" si="7"/>
        <v>216.11631777174389</v>
      </c>
      <c r="H57">
        <f t="shared" si="7"/>
        <v>157.82604887448542</v>
      </c>
      <c r="I57">
        <f t="shared" si="7"/>
        <v>139.06747248255525</v>
      </c>
      <c r="J57">
        <f t="shared" si="7"/>
        <v>136.76972935096785</v>
      </c>
      <c r="K57">
        <f t="shared" si="7"/>
        <v>113.14998102245191</v>
      </c>
      <c r="L57">
        <f t="shared" si="7"/>
        <v>118.06370616916294</v>
      </c>
      <c r="M57">
        <f t="shared" si="7"/>
        <v>164.20834428191876</v>
      </c>
      <c r="N57">
        <f t="shared" si="7"/>
        <v>152.40722898601501</v>
      </c>
      <c r="O57">
        <f t="shared" si="7"/>
        <v>159.85226708709237</v>
      </c>
      <c r="P57">
        <f t="shared" si="7"/>
        <v>158.35450059852269</v>
      </c>
      <c r="Q57">
        <f t="shared" si="7"/>
        <v>141.4557239204695</v>
      </c>
      <c r="R57">
        <f t="shared" si="7"/>
        <v>155.23342384163968</v>
      </c>
      <c r="S57">
        <f t="shared" si="7"/>
        <v>205.95895010364657</v>
      </c>
      <c r="T57">
        <f t="shared" si="7"/>
        <v>191.49221920527864</v>
      </c>
      <c r="U57">
        <f t="shared" si="7"/>
        <v>170.62275553998421</v>
      </c>
      <c r="V57">
        <f t="shared" si="7"/>
        <v>214.0258678578727</v>
      </c>
      <c r="W57">
        <f t="shared" si="7"/>
        <v>223.35406265510488</v>
      </c>
      <c r="X57">
        <f t="shared" si="7"/>
        <v>190.66596595719827</v>
      </c>
      <c r="Y57">
        <f t="shared" si="7"/>
        <v>179.90131674987586</v>
      </c>
      <c r="Z57">
        <f t="shared" si="7"/>
        <v>172.55846544626428</v>
      </c>
      <c r="AA57">
        <f t="shared" si="7"/>
        <v>171.30010802604301</v>
      </c>
      <c r="AB57">
        <f t="shared" si="7"/>
        <v>211.21135149338701</v>
      </c>
      <c r="AC57">
        <f t="shared" si="7"/>
        <v>230.8341362295991</v>
      </c>
      <c r="AD57">
        <f t="shared" si="7"/>
        <v>294.3592887798896</v>
      </c>
      <c r="AE57">
        <f t="shared" si="7"/>
        <v>280.85603340048459</v>
      </c>
      <c r="AF57">
        <f t="shared" si="7"/>
        <v>356.55601296312506</v>
      </c>
      <c r="AG57">
        <f t="shared" si="7"/>
        <v>261.77629850223343</v>
      </c>
      <c r="AH57">
        <f t="shared" si="7"/>
        <v>187.9828326180257</v>
      </c>
      <c r="AI57">
        <f t="shared" si="7"/>
        <v>180.74508773466462</v>
      </c>
      <c r="AJ57">
        <f t="shared" si="7"/>
        <v>293.47172345332967</v>
      </c>
      <c r="AK57">
        <f t="shared" si="7"/>
        <v>342.78999153309371</v>
      </c>
      <c r="AL57">
        <f t="shared" si="7"/>
        <v>264.1674695629323</v>
      </c>
      <c r="AM57">
        <f t="shared" si="7"/>
        <v>268.47975241598766</v>
      </c>
      <c r="AN57">
        <f t="shared" si="7"/>
        <v>269.18630112989382</v>
      </c>
      <c r="AO57">
        <f t="shared" si="7"/>
        <v>282.44430819538098</v>
      </c>
      <c r="AP57">
        <f t="shared" si="7"/>
        <v>286.27485328895489</v>
      </c>
      <c r="AQ57">
        <f t="shared" si="7"/>
        <v>287.80473562815666</v>
      </c>
      <c r="AR57">
        <f t="shared" si="7"/>
        <v>281.53922513211273</v>
      </c>
      <c r="AS57">
        <f t="shared" si="7"/>
        <v>198.07304896207395</v>
      </c>
      <c r="AT57">
        <f t="shared" si="7"/>
        <v>208.07859624536499</v>
      </c>
      <c r="AU57">
        <f t="shared" si="7"/>
        <v>242.47175264955754</v>
      </c>
      <c r="AV57">
        <f t="shared" si="7"/>
        <v>190.02948819012573</v>
      </c>
      <c r="AW57">
        <f t="shared" si="7"/>
        <v>206.97789845551944</v>
      </c>
      <c r="AX57">
        <f t="shared" si="7"/>
        <v>221.46506671338051</v>
      </c>
      <c r="AY57">
        <f t="shared" si="7"/>
        <v>232.29394762196713</v>
      </c>
      <c r="AZ57">
        <f t="shared" si="7"/>
        <v>241.12288692300942</v>
      </c>
      <c r="BA57">
        <f t="shared" si="7"/>
        <v>215.50027736416442</v>
      </c>
      <c r="BB57">
        <f t="shared" si="7"/>
        <v>204.85241306823144</v>
      </c>
      <c r="BC57">
        <f t="shared" si="7"/>
        <v>185.37852909404094</v>
      </c>
      <c r="BD57">
        <f t="shared" si="7"/>
        <v>213.74266444775321</v>
      </c>
      <c r="BE57">
        <f t="shared" si="7"/>
        <v>215.45356339960864</v>
      </c>
      <c r="BF57">
        <f t="shared" si="7"/>
        <v>188.43829377244447</v>
      </c>
      <c r="BG57">
        <f t="shared" si="7"/>
        <v>192.15205395462894</v>
      </c>
      <c r="BH57">
        <f t="shared" si="7"/>
        <v>177.48094946132949</v>
      </c>
      <c r="BI57">
        <f t="shared" si="7"/>
        <v>137.94049808764697</v>
      </c>
      <c r="BJ57">
        <f t="shared" si="7"/>
        <v>174.3160783626754</v>
      </c>
      <c r="BK57">
        <f t="shared" si="7"/>
        <v>172.78619602347362</v>
      </c>
      <c r="BL57">
        <f t="shared" si="7"/>
        <v>173.23289830953829</v>
      </c>
      <c r="BM57">
        <f t="shared" si="7"/>
        <v>175.66494408922352</v>
      </c>
      <c r="BN57">
        <f t="shared" si="7"/>
        <v>149.08177863420033</v>
      </c>
      <c r="BO57">
        <f t="shared" si="7"/>
        <v>187.94779714460876</v>
      </c>
      <c r="BP57">
        <f t="shared" si="7"/>
        <v>242.83670549764952</v>
      </c>
    </row>
    <row r="58" spans="1:68" x14ac:dyDescent="0.4">
      <c r="A58" s="6" t="s">
        <v>29</v>
      </c>
      <c r="B58" s="4" t="s">
        <v>76</v>
      </c>
      <c r="C58">
        <v>100</v>
      </c>
      <c r="D58">
        <f t="shared" si="1"/>
        <v>99.257993702382961</v>
      </c>
      <c r="E58">
        <f t="shared" si="7"/>
        <v>80.724722616789009</v>
      </c>
      <c r="F58">
        <f t="shared" si="7"/>
        <v>88.507345564351908</v>
      </c>
      <c r="G58">
        <f t="shared" si="7"/>
        <v>112.92302802141587</v>
      </c>
      <c r="H58">
        <f t="shared" si="7"/>
        <v>136.74669474437042</v>
      </c>
      <c r="I58">
        <f t="shared" si="7"/>
        <v>133.93064674739009</v>
      </c>
      <c r="J58">
        <f t="shared" si="7"/>
        <v>124.50905406613494</v>
      </c>
      <c r="K58">
        <f t="shared" si="7"/>
        <v>98.348117171436243</v>
      </c>
      <c r="L58">
        <f t="shared" si="7"/>
        <v>114.92555104149079</v>
      </c>
      <c r="M58">
        <f t="shared" si="7"/>
        <v>166.19649757134488</v>
      </c>
      <c r="N58">
        <f t="shared" si="7"/>
        <v>163.79664855522336</v>
      </c>
      <c r="O58">
        <f t="shared" si="7"/>
        <v>201.51083209996725</v>
      </c>
      <c r="P58">
        <f t="shared" si="7"/>
        <v>162.28283651028579</v>
      </c>
      <c r="Q58">
        <f t="shared" si="7"/>
        <v>145.14815293077589</v>
      </c>
      <c r="R58">
        <f t="shared" si="7"/>
        <v>144.18265076038264</v>
      </c>
      <c r="S58">
        <f t="shared" si="7"/>
        <v>174.07447875795896</v>
      </c>
      <c r="T58">
        <f t="shared" si="7"/>
        <v>159.28600518510424</v>
      </c>
      <c r="U58">
        <f t="shared" si="7"/>
        <v>152.89402322370447</v>
      </c>
      <c r="V58">
        <f t="shared" si="7"/>
        <v>168.91619401428386</v>
      </c>
      <c r="W58">
        <f t="shared" si="7"/>
        <v>153.16122495604583</v>
      </c>
      <c r="X58">
        <f t="shared" si="7"/>
        <v>132.96911783695728</v>
      </c>
      <c r="Y58">
        <f t="shared" si="7"/>
        <v>134.27234710399014</v>
      </c>
      <c r="Z58">
        <f t="shared" si="7"/>
        <v>114.95038391624368</v>
      </c>
      <c r="AA58">
        <f t="shared" si="7"/>
        <v>110.72780189325837</v>
      </c>
      <c r="AB58">
        <f t="shared" si="7"/>
        <v>132.93137186733284</v>
      </c>
      <c r="AC58">
        <f t="shared" si="7"/>
        <v>139.4485115174873</v>
      </c>
      <c r="AD58">
        <f t="shared" si="7"/>
        <v>150.82494809929176</v>
      </c>
      <c r="AE58">
        <f t="shared" si="7"/>
        <v>138.14230230548409</v>
      </c>
      <c r="AF58">
        <f t="shared" si="7"/>
        <v>147.84798307391259</v>
      </c>
      <c r="AG58">
        <f t="shared" si="7"/>
        <v>104.13517030385506</v>
      </c>
      <c r="AH58">
        <f t="shared" si="7"/>
        <v>74.823438260506805</v>
      </c>
      <c r="AI58">
        <f t="shared" si="7"/>
        <v>93.29413050172343</v>
      </c>
      <c r="AJ58">
        <f t="shared" si="7"/>
        <v>131.1394316251627</v>
      </c>
      <c r="AK58">
        <f t="shared" si="7"/>
        <v>161.10079167204717</v>
      </c>
      <c r="AL58">
        <f t="shared" si="7"/>
        <v>136.81523347868847</v>
      </c>
      <c r="AM58">
        <f t="shared" si="7"/>
        <v>146.44740893784834</v>
      </c>
      <c r="AN58">
        <f t="shared" si="7"/>
        <v>190.66780566785542</v>
      </c>
      <c r="AO58">
        <f t="shared" si="7"/>
        <v>161.64214834166071</v>
      </c>
      <c r="AP58">
        <f t="shared" si="7"/>
        <v>175.65682953721466</v>
      </c>
      <c r="AQ58">
        <f t="shared" si="7"/>
        <v>172.98282558382098</v>
      </c>
      <c r="AR58">
        <f t="shared" si="7"/>
        <v>166.80142640032591</v>
      </c>
      <c r="AS58">
        <f t="shared" si="7"/>
        <v>120.93907999165623</v>
      </c>
      <c r="AT58">
        <f t="shared" si="7"/>
        <v>124.80903519315018</v>
      </c>
      <c r="AU58">
        <f t="shared" si="7"/>
        <v>139.46639118730951</v>
      </c>
      <c r="AV58">
        <f t="shared" si="7"/>
        <v>116.15030842430453</v>
      </c>
      <c r="AW58">
        <f t="shared" si="7"/>
        <v>123.0161016359899</v>
      </c>
      <c r="AX58">
        <f t="shared" si="7"/>
        <v>138.30023938891273</v>
      </c>
      <c r="AY58">
        <f t="shared" si="7"/>
        <v>133.5531870511459</v>
      </c>
      <c r="AZ58">
        <f t="shared" si="7"/>
        <v>143.95915488760653</v>
      </c>
      <c r="BA58">
        <f t="shared" si="7"/>
        <v>137.38042970806484</v>
      </c>
      <c r="BB58">
        <f t="shared" si="7"/>
        <v>129.91864750230957</v>
      </c>
      <c r="BC58">
        <f t="shared" si="7"/>
        <v>124.00147010618547</v>
      </c>
      <c r="BD58">
        <f t="shared" si="7"/>
        <v>127.86745204771896</v>
      </c>
      <c r="BE58">
        <f t="shared" si="7"/>
        <v>139.07502508120359</v>
      </c>
      <c r="BF58">
        <f t="shared" si="7"/>
        <v>129.19849413447508</v>
      </c>
      <c r="BG58">
        <f t="shared" si="7"/>
        <v>137.26123190925082</v>
      </c>
      <c r="BH58">
        <f t="shared" si="7"/>
        <v>131.20002383955986</v>
      </c>
      <c r="BI58">
        <f t="shared" si="7"/>
        <v>107.31179164224775</v>
      </c>
      <c r="BJ58">
        <f t="shared" si="7"/>
        <v>118.42102649171089</v>
      </c>
      <c r="BK58">
        <f t="shared" si="7"/>
        <v>117.40287862684146</v>
      </c>
      <c r="BL58">
        <f t="shared" si="7"/>
        <v>122.93663643678057</v>
      </c>
      <c r="BM58">
        <f t="shared" si="7"/>
        <v>133.920713597489</v>
      </c>
      <c r="BN58">
        <f t="shared" si="7"/>
        <v>127.35291488283858</v>
      </c>
      <c r="BO58">
        <f t="shared" si="7"/>
        <v>131.27452246381858</v>
      </c>
      <c r="BP58">
        <f t="shared" si="7"/>
        <v>147.39403812342943</v>
      </c>
    </row>
    <row r="59" spans="1:68" x14ac:dyDescent="0.4">
      <c r="A59" s="6" t="s">
        <v>30</v>
      </c>
      <c r="B59" s="4" t="s">
        <v>77</v>
      </c>
      <c r="C59">
        <v>100</v>
      </c>
      <c r="D59">
        <f t="shared" si="1"/>
        <v>100.6502406527906</v>
      </c>
      <c r="E59">
        <f t="shared" si="7"/>
        <v>94.364581009147983</v>
      </c>
      <c r="F59">
        <f t="shared" si="7"/>
        <v>109.80460905874476</v>
      </c>
      <c r="G59">
        <f t="shared" si="7"/>
        <v>112.88687725113948</v>
      </c>
      <c r="H59">
        <f t="shared" si="7"/>
        <v>111.54814649539408</v>
      </c>
      <c r="I59">
        <f t="shared" si="7"/>
        <v>103.14282982182125</v>
      </c>
      <c r="J59">
        <f t="shared" si="7"/>
        <v>102.18978102189776</v>
      </c>
      <c r="K59">
        <f t="shared" si="7"/>
        <v>74.560928186657264</v>
      </c>
      <c r="L59">
        <f t="shared" si="7"/>
        <v>80.569279316609766</v>
      </c>
      <c r="M59">
        <f t="shared" si="7"/>
        <v>82.204443311127335</v>
      </c>
      <c r="N59">
        <f t="shared" si="7"/>
        <v>80.999585630956503</v>
      </c>
      <c r="O59">
        <f t="shared" si="7"/>
        <v>86.810314601727541</v>
      </c>
      <c r="P59">
        <f t="shared" si="7"/>
        <v>74.570490549198297</v>
      </c>
      <c r="Q59">
        <f t="shared" si="7"/>
        <v>68.568514327606493</v>
      </c>
      <c r="R59">
        <f t="shared" si="7"/>
        <v>78.784304975615925</v>
      </c>
      <c r="S59">
        <f t="shared" si="7"/>
        <v>76.460650878143582</v>
      </c>
      <c r="T59">
        <f t="shared" si="7"/>
        <v>75.545851528384233</v>
      </c>
      <c r="U59">
        <f t="shared" si="7"/>
        <v>76.855895196506509</v>
      </c>
      <c r="V59">
        <f t="shared" si="7"/>
        <v>80.129410639721996</v>
      </c>
      <c r="W59">
        <f t="shared" si="7"/>
        <v>80.862525101201612</v>
      </c>
      <c r="X59">
        <f t="shared" si="7"/>
        <v>92.560481943071991</v>
      </c>
      <c r="Y59">
        <f t="shared" si="7"/>
        <v>83.963918018678427</v>
      </c>
      <c r="Z59">
        <f t="shared" si="7"/>
        <v>94.71838842316636</v>
      </c>
      <c r="AA59">
        <f t="shared" si="7"/>
        <v>85.933764702132351</v>
      </c>
      <c r="AB59">
        <f t="shared" si="7"/>
        <v>89.503713384120033</v>
      </c>
      <c r="AC59">
        <f t="shared" si="7"/>
        <v>90.829694323144011</v>
      </c>
      <c r="AD59">
        <f t="shared" si="7"/>
        <v>103.63051031141417</v>
      </c>
      <c r="AE59">
        <f t="shared" si="7"/>
        <v>86.236572849265201</v>
      </c>
      <c r="AF59">
        <f t="shared" si="7"/>
        <v>89.73002263092458</v>
      </c>
      <c r="AG59">
        <f t="shared" si="7"/>
        <v>87.897236477225547</v>
      </c>
      <c r="AH59">
        <f t="shared" si="7"/>
        <v>83.208491377936369</v>
      </c>
      <c r="AI59">
        <f t="shared" si="7"/>
        <v>77.6655085583144</v>
      </c>
      <c r="AJ59">
        <f t="shared" si="7"/>
        <v>72.976763459025207</v>
      </c>
      <c r="AK59">
        <f t="shared" si="7"/>
        <v>75.166544480923022</v>
      </c>
      <c r="AL59">
        <f t="shared" si="7"/>
        <v>73.563255028208914</v>
      </c>
      <c r="AM59">
        <f t="shared" si="7"/>
        <v>77.990628884709736</v>
      </c>
      <c r="AN59">
        <f t="shared" si="7"/>
        <v>77.158703343639388</v>
      </c>
      <c r="AO59">
        <f t="shared" si="7"/>
        <v>75.010359226086081</v>
      </c>
      <c r="AP59">
        <f t="shared" si="7"/>
        <v>78.717368437828654</v>
      </c>
      <c r="AQ59">
        <f t="shared" si="7"/>
        <v>69.585312211136923</v>
      </c>
      <c r="AR59">
        <f t="shared" si="7"/>
        <v>67.586778440059888</v>
      </c>
      <c r="AS59">
        <f t="shared" si="7"/>
        <v>65.004940553979509</v>
      </c>
      <c r="AT59">
        <f t="shared" si="7"/>
        <v>65.26312434258756</v>
      </c>
      <c r="AU59">
        <f t="shared" si="7"/>
        <v>61.062059732891321</v>
      </c>
      <c r="AV59">
        <f t="shared" si="7"/>
        <v>51.560258821279433</v>
      </c>
      <c r="AW59">
        <f t="shared" si="7"/>
        <v>63.382526376183328</v>
      </c>
      <c r="AX59">
        <f t="shared" si="7"/>
        <v>67.711089153093411</v>
      </c>
      <c r="AY59">
        <f t="shared" si="7"/>
        <v>72.160775188856647</v>
      </c>
      <c r="AZ59">
        <f t="shared" si="7"/>
        <v>83.447550441462397</v>
      </c>
      <c r="BA59">
        <f t="shared" si="7"/>
        <v>84.767156472125706</v>
      </c>
      <c r="BB59">
        <f t="shared" si="7"/>
        <v>81.076084531284863</v>
      </c>
      <c r="BC59">
        <f t="shared" si="7"/>
        <v>76.916456825933125</v>
      </c>
      <c r="BD59">
        <f t="shared" si="7"/>
        <v>76.151467822650048</v>
      </c>
      <c r="BE59">
        <f t="shared" si="7"/>
        <v>91.087878111752133</v>
      </c>
      <c r="BF59">
        <f t="shared" si="7"/>
        <v>90.934880311095526</v>
      </c>
      <c r="BG59">
        <f t="shared" si="7"/>
        <v>91.661619864214444</v>
      </c>
      <c r="BH59">
        <f t="shared" si="7"/>
        <v>81.047397443661737</v>
      </c>
      <c r="BI59">
        <f t="shared" si="7"/>
        <v>82.268192394734314</v>
      </c>
      <c r="BJ59">
        <f t="shared" si="7"/>
        <v>81.331080865712536</v>
      </c>
      <c r="BK59">
        <f t="shared" si="7"/>
        <v>79.810665221687415</v>
      </c>
      <c r="BL59">
        <f t="shared" si="7"/>
        <v>81.382080132598077</v>
      </c>
      <c r="BM59">
        <f t="shared" si="7"/>
        <v>80.260096261116232</v>
      </c>
      <c r="BN59">
        <f t="shared" si="7"/>
        <v>79.746916138080493</v>
      </c>
      <c r="BO59">
        <f t="shared" si="7"/>
        <v>82.593312721129607</v>
      </c>
      <c r="BP59">
        <f t="shared" si="7"/>
        <v>91.766805852165831</v>
      </c>
    </row>
    <row r="60" spans="1:68" x14ac:dyDescent="0.4">
      <c r="A60" s="6" t="s">
        <v>31</v>
      </c>
      <c r="B60" s="4" t="s">
        <v>78</v>
      </c>
      <c r="C60">
        <v>100</v>
      </c>
      <c r="D60">
        <f t="shared" si="1"/>
        <v>95.886504799548277</v>
      </c>
      <c r="E60">
        <f t="shared" si="7"/>
        <v>89.472049689441008</v>
      </c>
      <c r="F60">
        <f t="shared" si="7"/>
        <v>91.19706380575947</v>
      </c>
      <c r="G60">
        <f t="shared" si="7"/>
        <v>87.409655561829496</v>
      </c>
      <c r="H60">
        <f t="shared" si="7"/>
        <v>98.743647656691152</v>
      </c>
      <c r="I60">
        <f t="shared" si="7"/>
        <v>85.36278938452854</v>
      </c>
      <c r="J60">
        <f t="shared" si="7"/>
        <v>81.712309429700753</v>
      </c>
      <c r="K60">
        <f t="shared" si="7"/>
        <v>74.860248447204981</v>
      </c>
      <c r="L60">
        <f t="shared" si="7"/>
        <v>83.622247317899507</v>
      </c>
      <c r="M60">
        <f t="shared" ref="M60:BP60" si="8">L60*L30</f>
        <v>81.192828910220214</v>
      </c>
      <c r="N60">
        <f t="shared" si="8"/>
        <v>102.12309429700736</v>
      </c>
      <c r="O60">
        <f t="shared" si="8"/>
        <v>85.717108977978555</v>
      </c>
      <c r="P60">
        <f t="shared" si="8"/>
        <v>80.44748729531338</v>
      </c>
      <c r="Q60">
        <f t="shared" si="8"/>
        <v>87.399774138904576</v>
      </c>
      <c r="R60">
        <f t="shared" si="8"/>
        <v>109.20101637492942</v>
      </c>
      <c r="S60">
        <f t="shared" si="8"/>
        <v>114.15584415584415</v>
      </c>
      <c r="T60">
        <f t="shared" si="8"/>
        <v>121.4342179559571</v>
      </c>
      <c r="U60">
        <f t="shared" si="8"/>
        <v>132.3729531338227</v>
      </c>
      <c r="V60">
        <f t="shared" si="8"/>
        <v>144.38876341050255</v>
      </c>
      <c r="W60">
        <f t="shared" si="8"/>
        <v>165.40654997176736</v>
      </c>
      <c r="X60">
        <f t="shared" si="8"/>
        <v>156.89158667419537</v>
      </c>
      <c r="Y60">
        <f t="shared" si="8"/>
        <v>149.37747035573122</v>
      </c>
      <c r="Z60">
        <f t="shared" si="8"/>
        <v>160.14680971202711</v>
      </c>
      <c r="AA60">
        <f t="shared" si="8"/>
        <v>162.57340485601355</v>
      </c>
      <c r="AB60">
        <f t="shared" si="8"/>
        <v>178.53331451157538</v>
      </c>
      <c r="AC60">
        <f t="shared" si="8"/>
        <v>189.59768492377185</v>
      </c>
      <c r="AD60">
        <f t="shared" si="8"/>
        <v>182.12309429700736</v>
      </c>
      <c r="AE60">
        <f t="shared" si="8"/>
        <v>161.6883116883117</v>
      </c>
      <c r="AF60">
        <f t="shared" si="8"/>
        <v>164.39440993788818</v>
      </c>
      <c r="AG60">
        <f t="shared" si="8"/>
        <v>157.79220779220776</v>
      </c>
      <c r="AH60">
        <f t="shared" si="8"/>
        <v>128.26228119706377</v>
      </c>
      <c r="AI60">
        <f t="shared" si="8"/>
        <v>109.60191981931109</v>
      </c>
      <c r="AJ60">
        <f t="shared" si="8"/>
        <v>128.50084697910782</v>
      </c>
      <c r="AK60">
        <f t="shared" si="8"/>
        <v>140.78486730660643</v>
      </c>
      <c r="AL60">
        <f t="shared" si="8"/>
        <v>140.24421230942968</v>
      </c>
      <c r="AM60">
        <f t="shared" si="8"/>
        <v>158.36391869000562</v>
      </c>
      <c r="AN60">
        <f t="shared" si="8"/>
        <v>141.19565217391303</v>
      </c>
      <c r="AO60">
        <f t="shared" si="8"/>
        <v>129.83766233766232</v>
      </c>
      <c r="AP60">
        <f t="shared" si="8"/>
        <v>125.36843591191416</v>
      </c>
      <c r="AQ60">
        <f t="shared" si="8"/>
        <v>121.06437041219648</v>
      </c>
      <c r="AR60">
        <f t="shared" si="8"/>
        <v>126.58526256352343</v>
      </c>
      <c r="AS60">
        <f t="shared" si="8"/>
        <v>104.07961603613776</v>
      </c>
      <c r="AT60">
        <f t="shared" si="8"/>
        <v>113.56295878035009</v>
      </c>
      <c r="AU60">
        <f t="shared" si="8"/>
        <v>116.8068887634105</v>
      </c>
      <c r="AV60">
        <f t="shared" si="8"/>
        <v>105.63946922642575</v>
      </c>
      <c r="AW60">
        <f t="shared" si="8"/>
        <v>120.20750988142291</v>
      </c>
      <c r="AX60">
        <f t="shared" si="8"/>
        <v>134.99153020892149</v>
      </c>
      <c r="AY60">
        <f t="shared" si="8"/>
        <v>151.75183512140029</v>
      </c>
      <c r="AZ60">
        <f t="shared" si="8"/>
        <v>131.4483342744212</v>
      </c>
      <c r="BA60">
        <f t="shared" si="8"/>
        <v>140.65358554488986</v>
      </c>
      <c r="BB60">
        <f t="shared" si="8"/>
        <v>148.94833427442123</v>
      </c>
      <c r="BC60">
        <f t="shared" si="8"/>
        <v>167.17250141163183</v>
      </c>
      <c r="BD60">
        <f t="shared" si="8"/>
        <v>169.16713721061546</v>
      </c>
      <c r="BE60">
        <f t="shared" si="8"/>
        <v>182.02004517221906</v>
      </c>
      <c r="BF60">
        <f t="shared" si="8"/>
        <v>193.91163184641442</v>
      </c>
      <c r="BG60">
        <f t="shared" si="8"/>
        <v>182.44776962168262</v>
      </c>
      <c r="BH60">
        <f t="shared" si="8"/>
        <v>195.52512704686612</v>
      </c>
      <c r="BI60">
        <f t="shared" si="8"/>
        <v>194.9576510446075</v>
      </c>
      <c r="BJ60">
        <f t="shared" si="8"/>
        <v>191.8591191417278</v>
      </c>
      <c r="BK60">
        <f t="shared" si="8"/>
        <v>210.87662337662331</v>
      </c>
      <c r="BL60">
        <f t="shared" si="8"/>
        <v>224.44664031620547</v>
      </c>
      <c r="BM60">
        <f t="shared" si="8"/>
        <v>211.11518915866733</v>
      </c>
      <c r="BN60">
        <f t="shared" si="8"/>
        <v>176.31140598531894</v>
      </c>
      <c r="BO60">
        <f t="shared" si="8"/>
        <v>170.90062111801237</v>
      </c>
      <c r="BP60">
        <f t="shared" si="8"/>
        <v>168.48108413325798</v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BQ42"/>
  <sheetViews>
    <sheetView showGridLines="0" workbookViewId="0">
      <pane xSplit="3" ySplit="13" topLeftCell="D20" activePane="bottomRight" state="frozen"/>
      <selection pane="topRight" activeCell="D1" sqref="D1"/>
      <selection pane="bottomLeft" activeCell="A14" sqref="A14"/>
      <selection pane="bottomRight" activeCell="E27" sqref="E27"/>
    </sheetView>
  </sheetViews>
  <sheetFormatPr defaultRowHeight="17.399999999999999" x14ac:dyDescent="0.4"/>
  <cols>
    <col min="1" max="4" width="14.69921875" customWidth="1"/>
  </cols>
  <sheetData>
    <row r="1" spans="1:69" ht="15" customHeight="1" x14ac:dyDescent="0.4">
      <c r="A1" s="1" t="s">
        <v>0</v>
      </c>
      <c r="B1" t="s">
        <v>81</v>
      </c>
    </row>
    <row r="3" spans="1:69" x14ac:dyDescent="0.4">
      <c r="A3" s="2" t="s">
        <v>82</v>
      </c>
    </row>
    <row r="4" spans="1:69" x14ac:dyDescent="0.4">
      <c r="A4" s="3" t="s">
        <v>35</v>
      </c>
      <c r="B4" s="3" t="s">
        <v>1</v>
      </c>
      <c r="C4" s="3" t="s">
        <v>2</v>
      </c>
    </row>
    <row r="5" spans="1:69" x14ac:dyDescent="0.4">
      <c r="A5" s="4"/>
      <c r="B5" s="4"/>
      <c r="C5" s="4"/>
    </row>
    <row r="6" spans="1:69" x14ac:dyDescent="0.4">
      <c r="A6" s="4"/>
      <c r="B6" s="4"/>
      <c r="C6" s="4"/>
    </row>
    <row r="7" spans="1:69" x14ac:dyDescent="0.4">
      <c r="A7" s="5"/>
      <c r="B7" s="5"/>
      <c r="C7" s="5"/>
    </row>
    <row r="9" spans="1:69" x14ac:dyDescent="0.4">
      <c r="A9" s="3"/>
      <c r="B9" s="3" t="s">
        <v>83</v>
      </c>
      <c r="C9" s="3" t="s">
        <v>32</v>
      </c>
      <c r="D9" s="3" t="s">
        <v>79</v>
      </c>
      <c r="E9" s="3" t="s">
        <v>79</v>
      </c>
      <c r="F9" s="3" t="s">
        <v>79</v>
      </c>
      <c r="G9" s="3" t="s">
        <v>79</v>
      </c>
      <c r="H9" s="3" t="s">
        <v>79</v>
      </c>
      <c r="I9" s="3" t="s">
        <v>79</v>
      </c>
      <c r="J9" s="3" t="s">
        <v>79</v>
      </c>
      <c r="K9" s="3" t="s">
        <v>79</v>
      </c>
      <c r="L9" s="3" t="s">
        <v>79</v>
      </c>
      <c r="M9" s="3" t="s">
        <v>79</v>
      </c>
      <c r="N9" s="3" t="s">
        <v>79</v>
      </c>
      <c r="O9" s="3" t="s">
        <v>79</v>
      </c>
      <c r="P9" s="3" t="s">
        <v>79</v>
      </c>
      <c r="Q9" s="3" t="s">
        <v>79</v>
      </c>
      <c r="R9" s="3" t="s">
        <v>79</v>
      </c>
      <c r="S9" s="3" t="s">
        <v>79</v>
      </c>
      <c r="T9" s="3" t="s">
        <v>79</v>
      </c>
      <c r="U9" s="3" t="s">
        <v>79</v>
      </c>
      <c r="V9" s="3" t="s">
        <v>79</v>
      </c>
      <c r="W9" s="3" t="s">
        <v>79</v>
      </c>
      <c r="X9" s="3" t="s">
        <v>79</v>
      </c>
      <c r="Y9" s="3" t="s">
        <v>79</v>
      </c>
      <c r="Z9" s="3" t="s">
        <v>79</v>
      </c>
      <c r="AA9" s="3" t="s">
        <v>79</v>
      </c>
      <c r="AB9" s="3" t="s">
        <v>79</v>
      </c>
      <c r="AC9" s="3" t="s">
        <v>79</v>
      </c>
      <c r="AD9" s="3" t="s">
        <v>79</v>
      </c>
      <c r="AE9" s="3" t="s">
        <v>79</v>
      </c>
      <c r="AF9" s="3" t="s">
        <v>79</v>
      </c>
      <c r="AG9" s="3" t="s">
        <v>79</v>
      </c>
      <c r="AH9" s="3" t="s">
        <v>79</v>
      </c>
      <c r="AI9" s="3" t="s">
        <v>79</v>
      </c>
      <c r="AJ9" s="3" t="s">
        <v>79</v>
      </c>
      <c r="AK9" s="3" t="s">
        <v>79</v>
      </c>
      <c r="AL9" s="3" t="s">
        <v>79</v>
      </c>
      <c r="AM9" s="3" t="s">
        <v>79</v>
      </c>
      <c r="AN9" s="3" t="s">
        <v>79</v>
      </c>
      <c r="AO9" s="3" t="s">
        <v>79</v>
      </c>
      <c r="AP9" s="3" t="s">
        <v>79</v>
      </c>
      <c r="AQ9" s="3" t="s">
        <v>79</v>
      </c>
      <c r="AR9" s="3" t="s">
        <v>79</v>
      </c>
      <c r="AS9" s="3" t="s">
        <v>79</v>
      </c>
      <c r="AT9" s="3" t="s">
        <v>79</v>
      </c>
      <c r="AU9" s="3" t="s">
        <v>79</v>
      </c>
      <c r="AV9" s="3" t="s">
        <v>79</v>
      </c>
      <c r="AW9" s="3" t="s">
        <v>79</v>
      </c>
      <c r="AX9" s="3" t="s">
        <v>79</v>
      </c>
      <c r="AY9" s="3" t="s">
        <v>79</v>
      </c>
      <c r="AZ9" s="3" t="s">
        <v>79</v>
      </c>
      <c r="BA9" s="3" t="s">
        <v>79</v>
      </c>
      <c r="BB9" s="3" t="s">
        <v>79</v>
      </c>
      <c r="BC9" s="3" t="s">
        <v>79</v>
      </c>
      <c r="BD9" s="3" t="s">
        <v>79</v>
      </c>
      <c r="BE9" s="3" t="s">
        <v>79</v>
      </c>
      <c r="BF9" s="3" t="s">
        <v>79</v>
      </c>
      <c r="BG9" s="3" t="s">
        <v>79</v>
      </c>
      <c r="BH9" s="3" t="s">
        <v>79</v>
      </c>
      <c r="BI9" s="3" t="s">
        <v>79</v>
      </c>
      <c r="BJ9" s="3" t="s">
        <v>79</v>
      </c>
      <c r="BK9" s="3" t="s">
        <v>79</v>
      </c>
      <c r="BL9" s="3" t="s">
        <v>79</v>
      </c>
      <c r="BM9" s="3" t="s">
        <v>79</v>
      </c>
      <c r="BN9" s="3" t="s">
        <v>79</v>
      </c>
      <c r="BO9" s="3" t="s">
        <v>79</v>
      </c>
      <c r="BP9" s="3" t="s">
        <v>79</v>
      </c>
      <c r="BQ9" s="3" t="s">
        <v>79</v>
      </c>
    </row>
    <row r="10" spans="1:69" x14ac:dyDescent="0.4">
      <c r="A10" s="7"/>
      <c r="B10" s="7" t="s">
        <v>40</v>
      </c>
      <c r="C10" s="7"/>
      <c r="D10" s="7">
        <v>20010228</v>
      </c>
      <c r="E10" s="14">
        <v>20010531</v>
      </c>
      <c r="F10" s="14">
        <v>20010831</v>
      </c>
      <c r="G10" s="14">
        <v>20011130</v>
      </c>
      <c r="H10" s="14">
        <v>20020228</v>
      </c>
      <c r="I10" s="14">
        <v>20020531</v>
      </c>
      <c r="J10" s="14">
        <v>20020830</v>
      </c>
      <c r="K10" s="14">
        <v>20021129</v>
      </c>
      <c r="L10" s="14">
        <v>20030228</v>
      </c>
      <c r="M10" s="14">
        <v>20030530</v>
      </c>
      <c r="N10" s="14">
        <v>20030829</v>
      </c>
      <c r="O10" s="14">
        <v>20031128</v>
      </c>
      <c r="P10" s="14">
        <v>20040227</v>
      </c>
      <c r="Q10" s="14">
        <v>20040531</v>
      </c>
      <c r="R10" s="14">
        <v>20040831</v>
      </c>
      <c r="S10" s="14">
        <v>20041130</v>
      </c>
      <c r="T10" s="14">
        <v>20050228</v>
      </c>
      <c r="U10" s="14">
        <v>20050531</v>
      </c>
      <c r="V10" s="14">
        <v>20050831</v>
      </c>
      <c r="W10" s="14">
        <v>20051130</v>
      </c>
      <c r="X10" s="14">
        <v>20060228</v>
      </c>
      <c r="Y10" s="14">
        <v>20060530</v>
      </c>
      <c r="Z10" s="14">
        <v>20060831</v>
      </c>
      <c r="AA10" s="14">
        <v>20061130</v>
      </c>
      <c r="AB10" s="14">
        <v>20070228</v>
      </c>
      <c r="AC10" s="14">
        <v>20070531</v>
      </c>
      <c r="AD10" s="14">
        <v>20070831</v>
      </c>
      <c r="AE10" s="14">
        <v>20071130</v>
      </c>
      <c r="AF10" s="14">
        <v>20080229</v>
      </c>
      <c r="AG10" s="14">
        <v>20080530</v>
      </c>
      <c r="AH10" s="14">
        <v>20080829</v>
      </c>
      <c r="AI10" s="14">
        <v>20081128</v>
      </c>
      <c r="AJ10" s="14">
        <v>20090227</v>
      </c>
      <c r="AK10" s="14">
        <v>20090529</v>
      </c>
      <c r="AL10" s="14">
        <v>20090831</v>
      </c>
      <c r="AM10" s="14">
        <v>20091130</v>
      </c>
      <c r="AN10" s="14">
        <v>20100226</v>
      </c>
      <c r="AO10" s="14">
        <v>20100531</v>
      </c>
      <c r="AP10" s="14">
        <v>20100831</v>
      </c>
      <c r="AQ10" s="14">
        <v>20101130</v>
      </c>
      <c r="AR10" s="14">
        <v>20110228</v>
      </c>
      <c r="AS10" s="14">
        <v>20110531</v>
      </c>
      <c r="AT10" s="14">
        <v>20110831</v>
      </c>
      <c r="AU10" s="14">
        <v>20111130</v>
      </c>
      <c r="AV10" s="14">
        <v>20120229</v>
      </c>
      <c r="AW10" s="14">
        <v>20120531</v>
      </c>
      <c r="AX10" s="14">
        <v>20120831</v>
      </c>
      <c r="AY10" s="14">
        <v>20121130</v>
      </c>
      <c r="AZ10" s="14">
        <v>20130228</v>
      </c>
      <c r="BA10" s="14">
        <v>20130531</v>
      </c>
      <c r="BB10" s="14">
        <v>20130830</v>
      </c>
      <c r="BC10" s="14">
        <v>20131129</v>
      </c>
      <c r="BD10" s="14">
        <v>20140228</v>
      </c>
      <c r="BE10" s="14">
        <v>20140530</v>
      </c>
      <c r="BF10" s="14">
        <v>20140829</v>
      </c>
      <c r="BG10" s="14">
        <v>20141128</v>
      </c>
      <c r="BH10" s="14">
        <v>20150227</v>
      </c>
      <c r="BI10" s="14">
        <v>20150529</v>
      </c>
      <c r="BJ10" s="14">
        <v>20150831</v>
      </c>
      <c r="BK10" s="14">
        <v>20151130</v>
      </c>
      <c r="BL10" s="14">
        <v>20160229</v>
      </c>
      <c r="BM10" s="14">
        <v>20160531</v>
      </c>
      <c r="BN10" s="14">
        <v>20160831</v>
      </c>
      <c r="BO10" s="14">
        <v>20161130</v>
      </c>
      <c r="BP10" s="14">
        <v>20170228</v>
      </c>
      <c r="BQ10" s="7">
        <v>20170531</v>
      </c>
    </row>
    <row r="11" spans="1:69" x14ac:dyDescent="0.4">
      <c r="A11" s="7"/>
      <c r="B11" s="7" t="s">
        <v>84</v>
      </c>
      <c r="C11" s="7" t="s">
        <v>36</v>
      </c>
      <c r="D11" s="7" t="s">
        <v>80</v>
      </c>
      <c r="E11" s="7" t="s">
        <v>80</v>
      </c>
      <c r="F11" s="7" t="s">
        <v>80</v>
      </c>
      <c r="G11" s="7" t="s">
        <v>80</v>
      </c>
      <c r="H11" s="7" t="s">
        <v>80</v>
      </c>
      <c r="I11" s="7" t="s">
        <v>80</v>
      </c>
      <c r="J11" s="7" t="s">
        <v>80</v>
      </c>
      <c r="K11" s="7" t="s">
        <v>80</v>
      </c>
      <c r="L11" s="7" t="s">
        <v>80</v>
      </c>
      <c r="M11" s="7" t="s">
        <v>80</v>
      </c>
      <c r="N11" s="7" t="s">
        <v>80</v>
      </c>
      <c r="O11" s="7" t="s">
        <v>80</v>
      </c>
      <c r="P11" s="7" t="s">
        <v>80</v>
      </c>
      <c r="Q11" s="7" t="s">
        <v>80</v>
      </c>
      <c r="R11" s="7" t="s">
        <v>80</v>
      </c>
      <c r="S11" s="7" t="s">
        <v>80</v>
      </c>
      <c r="T11" s="7" t="s">
        <v>80</v>
      </c>
      <c r="U11" s="7" t="s">
        <v>80</v>
      </c>
      <c r="V11" s="7" t="s">
        <v>80</v>
      </c>
      <c r="W11" s="7" t="s">
        <v>80</v>
      </c>
      <c r="X11" s="7" t="s">
        <v>80</v>
      </c>
      <c r="Y11" s="7" t="s">
        <v>80</v>
      </c>
      <c r="Z11" s="7" t="s">
        <v>80</v>
      </c>
      <c r="AA11" s="7" t="s">
        <v>80</v>
      </c>
      <c r="AB11" s="7" t="s">
        <v>80</v>
      </c>
      <c r="AC11" s="7" t="s">
        <v>80</v>
      </c>
      <c r="AD11" s="7" t="s">
        <v>80</v>
      </c>
      <c r="AE11" s="7" t="s">
        <v>80</v>
      </c>
      <c r="AF11" s="7" t="s">
        <v>80</v>
      </c>
      <c r="AG11" s="7" t="s">
        <v>80</v>
      </c>
      <c r="AH11" s="7" t="s">
        <v>80</v>
      </c>
      <c r="AI11" s="7" t="s">
        <v>80</v>
      </c>
      <c r="AJ11" s="7" t="s">
        <v>80</v>
      </c>
      <c r="AK11" s="7" t="s">
        <v>80</v>
      </c>
      <c r="AL11" s="7" t="s">
        <v>80</v>
      </c>
      <c r="AM11" s="7" t="s">
        <v>80</v>
      </c>
      <c r="AN11" s="7" t="s">
        <v>80</v>
      </c>
      <c r="AO11" s="7" t="s">
        <v>80</v>
      </c>
      <c r="AP11" s="7" t="s">
        <v>80</v>
      </c>
      <c r="AQ11" s="7" t="s">
        <v>80</v>
      </c>
      <c r="AR11" s="7" t="s">
        <v>80</v>
      </c>
      <c r="AS11" s="7" t="s">
        <v>80</v>
      </c>
      <c r="AT11" s="7" t="s">
        <v>80</v>
      </c>
      <c r="AU11" s="7" t="s">
        <v>80</v>
      </c>
      <c r="AV11" s="7" t="s">
        <v>80</v>
      </c>
      <c r="AW11" s="7" t="s">
        <v>80</v>
      </c>
      <c r="AX11" s="7" t="s">
        <v>80</v>
      </c>
      <c r="AY11" s="7" t="s">
        <v>80</v>
      </c>
      <c r="AZ11" s="7" t="s">
        <v>80</v>
      </c>
      <c r="BA11" s="7" t="s">
        <v>80</v>
      </c>
      <c r="BB11" s="7" t="s">
        <v>80</v>
      </c>
      <c r="BC11" s="7" t="s">
        <v>80</v>
      </c>
      <c r="BD11" s="7" t="s">
        <v>80</v>
      </c>
      <c r="BE11" s="7" t="s">
        <v>80</v>
      </c>
      <c r="BF11" s="7" t="s">
        <v>80</v>
      </c>
      <c r="BG11" s="7" t="s">
        <v>80</v>
      </c>
      <c r="BH11" s="7" t="s">
        <v>80</v>
      </c>
      <c r="BI11" s="7" t="s">
        <v>80</v>
      </c>
      <c r="BJ11" s="7" t="s">
        <v>80</v>
      </c>
      <c r="BK11" s="7" t="s">
        <v>80</v>
      </c>
      <c r="BL11" s="7" t="s">
        <v>80</v>
      </c>
      <c r="BM11" s="7" t="s">
        <v>80</v>
      </c>
      <c r="BN11" s="7" t="s">
        <v>80</v>
      </c>
      <c r="BO11" s="7" t="s">
        <v>80</v>
      </c>
      <c r="BP11" s="7" t="s">
        <v>80</v>
      </c>
      <c r="BQ11" s="7" t="s">
        <v>80</v>
      </c>
    </row>
    <row r="12" spans="1:69" x14ac:dyDescent="0.4">
      <c r="A12" s="8"/>
      <c r="B12" s="8" t="s">
        <v>44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</row>
    <row r="13" spans="1:69" x14ac:dyDescent="0.4">
      <c r="A13" s="9" t="s">
        <v>42</v>
      </c>
      <c r="B13" s="10" t="s">
        <v>43</v>
      </c>
      <c r="C13" s="10" t="s">
        <v>45</v>
      </c>
      <c r="D13" s="10" t="s">
        <v>85</v>
      </c>
      <c r="E13" s="10" t="s">
        <v>85</v>
      </c>
      <c r="F13" s="10" t="s">
        <v>85</v>
      </c>
      <c r="G13" s="10" t="s">
        <v>85</v>
      </c>
      <c r="H13" s="10" t="s">
        <v>85</v>
      </c>
      <c r="I13" s="10" t="s">
        <v>85</v>
      </c>
      <c r="J13" s="10" t="s">
        <v>85</v>
      </c>
      <c r="K13" s="10" t="s">
        <v>85</v>
      </c>
      <c r="L13" s="10" t="s">
        <v>85</v>
      </c>
      <c r="M13" s="10" t="s">
        <v>85</v>
      </c>
      <c r="N13" s="10" t="s">
        <v>85</v>
      </c>
      <c r="O13" s="10" t="s">
        <v>85</v>
      </c>
      <c r="P13" s="10" t="s">
        <v>85</v>
      </c>
      <c r="Q13" s="10" t="s">
        <v>85</v>
      </c>
      <c r="R13" s="10" t="s">
        <v>85</v>
      </c>
      <c r="S13" s="10" t="s">
        <v>85</v>
      </c>
      <c r="T13" s="10" t="s">
        <v>85</v>
      </c>
      <c r="U13" s="10" t="s">
        <v>85</v>
      </c>
      <c r="V13" s="10" t="s">
        <v>85</v>
      </c>
      <c r="W13" s="10" t="s">
        <v>85</v>
      </c>
      <c r="X13" s="10" t="s">
        <v>85</v>
      </c>
      <c r="Y13" s="10" t="s">
        <v>85</v>
      </c>
      <c r="Z13" s="10" t="s">
        <v>85</v>
      </c>
      <c r="AA13" s="10" t="s">
        <v>85</v>
      </c>
      <c r="AB13" s="10" t="s">
        <v>85</v>
      </c>
      <c r="AC13" s="10" t="s">
        <v>85</v>
      </c>
      <c r="AD13" s="10" t="s">
        <v>85</v>
      </c>
      <c r="AE13" s="10" t="s">
        <v>85</v>
      </c>
      <c r="AF13" s="10" t="s">
        <v>85</v>
      </c>
      <c r="AG13" s="10" t="s">
        <v>86</v>
      </c>
      <c r="AH13" s="10" t="s">
        <v>85</v>
      </c>
      <c r="AI13" s="10" t="s">
        <v>85</v>
      </c>
      <c r="AJ13" s="10" t="s">
        <v>86</v>
      </c>
      <c r="AK13" s="10" t="s">
        <v>85</v>
      </c>
      <c r="AL13" s="10" t="s">
        <v>85</v>
      </c>
      <c r="AM13" s="10" t="s">
        <v>85</v>
      </c>
      <c r="AN13" s="10" t="s">
        <v>85</v>
      </c>
      <c r="AO13" s="10" t="s">
        <v>85</v>
      </c>
      <c r="AP13" s="10" t="s">
        <v>85</v>
      </c>
      <c r="AQ13" s="10" t="s">
        <v>85</v>
      </c>
      <c r="AR13" s="10" t="s">
        <v>85</v>
      </c>
      <c r="AS13" s="10" t="s">
        <v>85</v>
      </c>
      <c r="AT13" s="10" t="s">
        <v>85</v>
      </c>
      <c r="AU13" s="10" t="s">
        <v>85</v>
      </c>
      <c r="AV13" s="10" t="s">
        <v>85</v>
      </c>
      <c r="AW13" s="10" t="s">
        <v>85</v>
      </c>
      <c r="AX13" s="10" t="s">
        <v>85</v>
      </c>
      <c r="AY13" s="10" t="s">
        <v>85</v>
      </c>
      <c r="AZ13" s="10" t="s">
        <v>85</v>
      </c>
      <c r="BA13" s="10" t="s">
        <v>85</v>
      </c>
      <c r="BB13" s="10" t="s">
        <v>85</v>
      </c>
      <c r="BC13" s="10" t="s">
        <v>85</v>
      </c>
      <c r="BD13" s="10" t="s">
        <v>85</v>
      </c>
      <c r="BE13" s="10" t="s">
        <v>85</v>
      </c>
      <c r="BF13" s="10" t="s">
        <v>85</v>
      </c>
      <c r="BG13" s="10" t="s">
        <v>85</v>
      </c>
      <c r="BH13" s="10" t="s">
        <v>85</v>
      </c>
      <c r="BI13" s="10" t="s">
        <v>85</v>
      </c>
      <c r="BJ13" s="10" t="s">
        <v>85</v>
      </c>
      <c r="BK13" s="10" t="s">
        <v>85</v>
      </c>
      <c r="BL13" s="10" t="s">
        <v>86</v>
      </c>
      <c r="BM13" s="10" t="s">
        <v>85</v>
      </c>
      <c r="BN13" s="10" t="s">
        <v>85</v>
      </c>
      <c r="BO13" s="10" t="s">
        <v>85</v>
      </c>
      <c r="BP13" s="10" t="s">
        <v>85</v>
      </c>
      <c r="BQ13" s="10" t="s">
        <v>86</v>
      </c>
    </row>
    <row r="14" spans="1:69" x14ac:dyDescent="0.4">
      <c r="A14" s="6" t="s">
        <v>3</v>
      </c>
      <c r="B14" s="4" t="s">
        <v>87</v>
      </c>
      <c r="C14" s="6"/>
      <c r="D14" s="11">
        <v>8.74</v>
      </c>
      <c r="E14" s="11">
        <v>21.49</v>
      </c>
      <c r="F14" s="11">
        <v>-12.88</v>
      </c>
      <c r="G14" s="11">
        <v>11.65</v>
      </c>
      <c r="H14" s="11">
        <v>10.79</v>
      </c>
      <c r="I14" s="11">
        <v>13.1</v>
      </c>
      <c r="J14" s="11">
        <v>-18.989999999999998</v>
      </c>
      <c r="K14" s="11">
        <v>-2.42</v>
      </c>
      <c r="L14" s="11">
        <v>-16.36</v>
      </c>
      <c r="M14" s="11">
        <v>3.73</v>
      </c>
      <c r="N14" s="11">
        <v>30.3</v>
      </c>
      <c r="O14" s="11">
        <v>44.72</v>
      </c>
      <c r="P14" s="11">
        <v>59.89</v>
      </c>
      <c r="Q14" s="11">
        <v>11.84</v>
      </c>
      <c r="R14" s="11">
        <v>-8.98</v>
      </c>
      <c r="S14" s="11">
        <v>35.32</v>
      </c>
      <c r="T14" s="11">
        <v>9</v>
      </c>
      <c r="U14" s="11">
        <v>-11.5</v>
      </c>
      <c r="V14" s="11">
        <v>-0.61</v>
      </c>
      <c r="W14" s="11">
        <v>5.15</v>
      </c>
      <c r="X14" s="11">
        <v>4.67</v>
      </c>
      <c r="Y14" s="11">
        <v>3.75</v>
      </c>
      <c r="Z14" s="11">
        <v>-1.8</v>
      </c>
      <c r="AA14" s="11">
        <v>7.82</v>
      </c>
      <c r="AB14" s="11">
        <v>9.86</v>
      </c>
      <c r="AC14" s="11">
        <v>26.78</v>
      </c>
      <c r="AD14" s="11">
        <v>-1.36</v>
      </c>
      <c r="AE14" s="11">
        <v>37.89</v>
      </c>
      <c r="AF14" s="11">
        <v>-23.12</v>
      </c>
      <c r="AG14" s="11">
        <v>-0.24</v>
      </c>
      <c r="AH14" s="11">
        <v>-29.88</v>
      </c>
      <c r="AI14" s="11">
        <v>-18.2</v>
      </c>
      <c r="AJ14" s="11">
        <v>-0.66</v>
      </c>
      <c r="AK14" s="11">
        <v>31.44</v>
      </c>
      <c r="AL14" s="11">
        <v>-1.79</v>
      </c>
      <c r="AM14" s="11">
        <v>-4.54</v>
      </c>
      <c r="AN14" s="11">
        <v>-1.95</v>
      </c>
      <c r="AO14" s="11">
        <v>-2.21</v>
      </c>
      <c r="AP14" s="11">
        <v>16.36</v>
      </c>
      <c r="AQ14" s="11">
        <v>28.97</v>
      </c>
      <c r="AR14" s="11">
        <v>10.89</v>
      </c>
      <c r="AS14" s="11">
        <v>34.96</v>
      </c>
      <c r="AT14" s="11">
        <v>-23.03</v>
      </c>
      <c r="AU14" s="11">
        <v>-7.58</v>
      </c>
      <c r="AV14" s="11">
        <v>14.2</v>
      </c>
      <c r="AW14" s="11">
        <v>-23.24</v>
      </c>
      <c r="AX14" s="11">
        <v>17.59</v>
      </c>
      <c r="AY14" s="11">
        <v>1.42</v>
      </c>
      <c r="AZ14" s="11">
        <v>3.38</v>
      </c>
      <c r="BA14" s="11">
        <v>-11.95</v>
      </c>
      <c r="BB14" s="11">
        <v>-2.84</v>
      </c>
      <c r="BC14" s="11">
        <v>1.68</v>
      </c>
      <c r="BD14" s="11">
        <v>-5.45</v>
      </c>
      <c r="BE14" s="11">
        <v>-13.32</v>
      </c>
      <c r="BF14" s="11">
        <v>-11.33</v>
      </c>
      <c r="BG14" s="11">
        <v>-5.1100000000000003</v>
      </c>
      <c r="BH14" s="11">
        <v>14.08</v>
      </c>
      <c r="BI14" s="11">
        <v>5.18</v>
      </c>
      <c r="BJ14" s="11">
        <v>-4.4000000000000004</v>
      </c>
      <c r="BK14" s="11">
        <v>20.58</v>
      </c>
      <c r="BL14" s="11">
        <v>6.11</v>
      </c>
      <c r="BM14" s="11">
        <v>9.0500000000000007</v>
      </c>
      <c r="BN14" s="11">
        <v>-10.18</v>
      </c>
      <c r="BO14" s="11">
        <v>8.23</v>
      </c>
      <c r="BP14" s="11">
        <v>-0.53</v>
      </c>
      <c r="BQ14" s="11">
        <v>13.71</v>
      </c>
    </row>
    <row r="15" spans="1:69" x14ac:dyDescent="0.4">
      <c r="A15" s="6" t="s">
        <v>4</v>
      </c>
      <c r="B15" s="4" t="s">
        <v>88</v>
      </c>
      <c r="C15" s="6"/>
      <c r="D15" s="11">
        <v>29.07</v>
      </c>
      <c r="E15" s="11">
        <v>6.37</v>
      </c>
      <c r="F15" s="11">
        <v>-15.95</v>
      </c>
      <c r="G15" s="11">
        <v>13.38</v>
      </c>
      <c r="H15" s="11">
        <v>41.53</v>
      </c>
      <c r="I15" s="11">
        <v>-5.43</v>
      </c>
      <c r="J15" s="11">
        <v>-16.010000000000002</v>
      </c>
      <c r="K15" s="11">
        <v>6.43</v>
      </c>
      <c r="L15" s="11">
        <v>-11.57</v>
      </c>
      <c r="M15" s="11">
        <v>4.72</v>
      </c>
      <c r="N15" s="11">
        <v>15.86</v>
      </c>
      <c r="O15" s="11">
        <v>3.32</v>
      </c>
      <c r="P15" s="11">
        <v>16.18</v>
      </c>
      <c r="Q15" s="11">
        <v>-18.22</v>
      </c>
      <c r="R15" s="11">
        <v>13.56</v>
      </c>
      <c r="S15" s="11">
        <v>20.82</v>
      </c>
      <c r="T15" s="11">
        <v>23.68</v>
      </c>
      <c r="U15" s="11">
        <v>-16.93</v>
      </c>
      <c r="V15" s="11">
        <v>15.79</v>
      </c>
      <c r="W15" s="11">
        <v>10.26</v>
      </c>
      <c r="X15" s="11">
        <v>4.92</v>
      </c>
      <c r="Y15" s="11">
        <v>1.19</v>
      </c>
      <c r="Z15" s="11">
        <v>-0.76</v>
      </c>
      <c r="AA15" s="11">
        <v>19.25</v>
      </c>
      <c r="AB15" s="11">
        <v>12.73</v>
      </c>
      <c r="AC15" s="11">
        <v>39.07</v>
      </c>
      <c r="AD15" s="11">
        <v>25.84</v>
      </c>
      <c r="AE15" s="11">
        <v>2.6</v>
      </c>
      <c r="AF15" s="11">
        <v>-5.32</v>
      </c>
      <c r="AG15" s="11">
        <v>5.81</v>
      </c>
      <c r="AH15" s="11">
        <v>-17.399999999999999</v>
      </c>
      <c r="AI15" s="11">
        <v>-31.16</v>
      </c>
      <c r="AJ15" s="11">
        <v>2.46</v>
      </c>
      <c r="AK15" s="11">
        <v>37.39</v>
      </c>
      <c r="AL15" s="11">
        <v>10.79</v>
      </c>
      <c r="AM15" s="11">
        <v>6.24</v>
      </c>
      <c r="AN15" s="11">
        <v>-2.41</v>
      </c>
      <c r="AO15" s="11">
        <v>0.46</v>
      </c>
      <c r="AP15" s="11">
        <v>17.91</v>
      </c>
      <c r="AQ15" s="11">
        <v>2.34</v>
      </c>
      <c r="AR15" s="11">
        <v>5.53</v>
      </c>
      <c r="AS15" s="11">
        <v>15.67</v>
      </c>
      <c r="AT15" s="11">
        <v>-15.13</v>
      </c>
      <c r="AU15" s="11">
        <v>-12.18</v>
      </c>
      <c r="AV15" s="11">
        <v>11.78</v>
      </c>
      <c r="AW15" s="11">
        <v>-19.34</v>
      </c>
      <c r="AX15" s="11">
        <v>3.3</v>
      </c>
      <c r="AY15" s="11">
        <v>-6.1</v>
      </c>
      <c r="AZ15" s="11">
        <v>4.0199999999999996</v>
      </c>
      <c r="BA15" s="11">
        <v>-7.02</v>
      </c>
      <c r="BB15" s="11">
        <v>1.05</v>
      </c>
      <c r="BC15" s="11">
        <v>3.67</v>
      </c>
      <c r="BD15" s="11">
        <v>-7.73</v>
      </c>
      <c r="BE15" s="11">
        <v>-0.18</v>
      </c>
      <c r="BF15" s="11">
        <v>6.01</v>
      </c>
      <c r="BG15" s="11">
        <v>-12.26</v>
      </c>
      <c r="BH15" s="11">
        <v>0.6</v>
      </c>
      <c r="BI15" s="11">
        <v>10.199999999999999</v>
      </c>
      <c r="BJ15" s="11">
        <v>-10.88</v>
      </c>
      <c r="BK15" s="11">
        <v>1.53</v>
      </c>
      <c r="BL15" s="11">
        <v>2.48</v>
      </c>
      <c r="BM15" s="11">
        <v>0</v>
      </c>
      <c r="BN15" s="11">
        <v>2.65</v>
      </c>
      <c r="BO15" s="11">
        <v>-1.26</v>
      </c>
      <c r="BP15" s="11">
        <v>9.16</v>
      </c>
      <c r="BQ15" s="11">
        <v>4.4400000000000004</v>
      </c>
    </row>
    <row r="16" spans="1:69" x14ac:dyDescent="0.4">
      <c r="A16" s="6" t="s">
        <v>5</v>
      </c>
      <c r="B16" s="4" t="s">
        <v>89</v>
      </c>
      <c r="C16" s="6"/>
      <c r="D16" s="11">
        <v>14.78</v>
      </c>
      <c r="E16" s="11">
        <v>15.72</v>
      </c>
      <c r="F16" s="11">
        <v>-8.77</v>
      </c>
      <c r="G16" s="11">
        <v>8.43</v>
      </c>
      <c r="H16" s="11">
        <v>25.19</v>
      </c>
      <c r="I16" s="11">
        <v>-16.18</v>
      </c>
      <c r="J16" s="11">
        <v>-1.84</v>
      </c>
      <c r="K16" s="11">
        <v>-2.58</v>
      </c>
      <c r="L16" s="11">
        <v>-15.59</v>
      </c>
      <c r="M16" s="11">
        <v>23.82</v>
      </c>
      <c r="N16" s="11">
        <v>9.31</v>
      </c>
      <c r="O16" s="11">
        <v>6.56</v>
      </c>
      <c r="P16" s="11">
        <v>4.37</v>
      </c>
      <c r="Q16" s="11">
        <v>-7.42</v>
      </c>
      <c r="R16" s="11">
        <v>5.49</v>
      </c>
      <c r="S16" s="11">
        <v>19.88</v>
      </c>
      <c r="T16" s="11">
        <v>31.4</v>
      </c>
      <c r="U16" s="11">
        <v>-0.9</v>
      </c>
      <c r="V16" s="11">
        <v>24.29</v>
      </c>
      <c r="W16" s="11">
        <v>29.74</v>
      </c>
      <c r="X16" s="11">
        <v>4.4800000000000004</v>
      </c>
      <c r="Y16" s="11">
        <v>6.9</v>
      </c>
      <c r="Z16" s="11">
        <v>5.55</v>
      </c>
      <c r="AA16" s="11">
        <v>17.73</v>
      </c>
      <c r="AB16" s="11">
        <v>3.88</v>
      </c>
      <c r="AC16" s="11">
        <v>61.75</v>
      </c>
      <c r="AD16" s="11">
        <v>16</v>
      </c>
      <c r="AE16" s="11">
        <v>5.78</v>
      </c>
      <c r="AF16" s="11">
        <v>-10.09</v>
      </c>
      <c r="AG16" s="11">
        <v>0.82</v>
      </c>
      <c r="AH16" s="11">
        <v>-33.06</v>
      </c>
      <c r="AI16" s="11">
        <v>-35.42</v>
      </c>
      <c r="AJ16" s="11">
        <v>8.32</v>
      </c>
      <c r="AK16" s="11">
        <v>38.06</v>
      </c>
      <c r="AL16" s="11">
        <v>-4.78</v>
      </c>
      <c r="AM16" s="11">
        <v>-10.47</v>
      </c>
      <c r="AN16" s="11">
        <v>4.7</v>
      </c>
      <c r="AO16" s="11">
        <v>-11.35</v>
      </c>
      <c r="AP16" s="11">
        <v>15.18</v>
      </c>
      <c r="AQ16" s="11">
        <v>19.489999999999998</v>
      </c>
      <c r="AR16" s="11">
        <v>1.0900000000000001</v>
      </c>
      <c r="AS16" s="11">
        <v>11.7</v>
      </c>
      <c r="AT16" s="11">
        <v>-14.09</v>
      </c>
      <c r="AU16" s="11">
        <v>-10.63</v>
      </c>
      <c r="AV16" s="11">
        <v>19.440000000000001</v>
      </c>
      <c r="AW16" s="11">
        <v>-19.61</v>
      </c>
      <c r="AX16" s="11">
        <v>-1.83</v>
      </c>
      <c r="AY16" s="11">
        <v>-6.4</v>
      </c>
      <c r="AZ16" s="11">
        <v>6.04</v>
      </c>
      <c r="BA16" s="11">
        <v>-5.94</v>
      </c>
      <c r="BB16" s="11">
        <v>0.76</v>
      </c>
      <c r="BC16" s="11">
        <v>6.52</v>
      </c>
      <c r="BD16" s="11">
        <v>-4.4000000000000004</v>
      </c>
      <c r="BE16" s="11">
        <v>-1.24</v>
      </c>
      <c r="BF16" s="11">
        <v>-0.17</v>
      </c>
      <c r="BG16" s="11">
        <v>-12.59</v>
      </c>
      <c r="BH16" s="11">
        <v>5.16</v>
      </c>
      <c r="BI16" s="11">
        <v>4.05</v>
      </c>
      <c r="BJ16" s="11">
        <v>-12.67</v>
      </c>
      <c r="BK16" s="11">
        <v>-2.87</v>
      </c>
      <c r="BL16" s="11">
        <v>-5.63</v>
      </c>
      <c r="BM16" s="11">
        <v>-1.98</v>
      </c>
      <c r="BN16" s="11">
        <v>6.55</v>
      </c>
      <c r="BO16" s="11">
        <v>-7.55</v>
      </c>
      <c r="BP16" s="11">
        <v>1.51</v>
      </c>
      <c r="BQ16" s="11">
        <v>10.78</v>
      </c>
    </row>
    <row r="17" spans="1:69" x14ac:dyDescent="0.4">
      <c r="A17" s="6" t="s">
        <v>6</v>
      </c>
      <c r="B17" s="4" t="s">
        <v>90</v>
      </c>
      <c r="C17" s="6"/>
      <c r="D17" s="11">
        <v>9.41</v>
      </c>
      <c r="E17" s="11">
        <v>32.35</v>
      </c>
      <c r="F17" s="11">
        <v>-26.07</v>
      </c>
      <c r="G17" s="11">
        <v>-2.38</v>
      </c>
      <c r="H17" s="11">
        <v>-14.2</v>
      </c>
      <c r="I17" s="11">
        <v>-16.72</v>
      </c>
      <c r="J17" s="11">
        <v>-3.27</v>
      </c>
      <c r="K17" s="11">
        <v>-6.32</v>
      </c>
      <c r="L17" s="11">
        <v>-7.61</v>
      </c>
      <c r="M17" s="11">
        <v>12.83</v>
      </c>
      <c r="N17" s="11">
        <v>-0.36</v>
      </c>
      <c r="O17" s="11">
        <v>1.01</v>
      </c>
      <c r="P17" s="11">
        <v>-12.4</v>
      </c>
      <c r="Q17" s="11">
        <v>8.17</v>
      </c>
      <c r="R17" s="11">
        <v>-6.65</v>
      </c>
      <c r="S17" s="11">
        <v>36.11</v>
      </c>
      <c r="T17" s="11">
        <v>14.68</v>
      </c>
      <c r="U17" s="11">
        <v>-15.4</v>
      </c>
      <c r="V17" s="11">
        <v>9.01</v>
      </c>
      <c r="W17" s="11">
        <v>24.34</v>
      </c>
      <c r="X17" s="11">
        <v>-8.18</v>
      </c>
      <c r="Y17" s="11">
        <v>-1.61</v>
      </c>
      <c r="Z17" s="11">
        <v>-20.07</v>
      </c>
      <c r="AA17" s="11">
        <v>14.05</v>
      </c>
      <c r="AB17" s="11">
        <v>2.13</v>
      </c>
      <c r="AC17" s="11">
        <v>31.67</v>
      </c>
      <c r="AD17" s="11">
        <v>5.65</v>
      </c>
      <c r="AE17" s="11">
        <v>6.95</v>
      </c>
      <c r="AF17" s="11">
        <v>-8.7200000000000006</v>
      </c>
      <c r="AG17" s="11">
        <v>-12.45</v>
      </c>
      <c r="AH17" s="11">
        <v>-26.8</v>
      </c>
      <c r="AI17" s="11">
        <v>-21.63</v>
      </c>
      <c r="AJ17" s="11">
        <v>12.6</v>
      </c>
      <c r="AK17" s="11">
        <v>44.3</v>
      </c>
      <c r="AL17" s="11">
        <v>2.2400000000000002</v>
      </c>
      <c r="AM17" s="11">
        <v>-20.43</v>
      </c>
      <c r="AN17" s="11">
        <v>5.75</v>
      </c>
      <c r="AO17" s="11">
        <v>-18.84</v>
      </c>
      <c r="AP17" s="11">
        <v>-1.37</v>
      </c>
      <c r="AQ17" s="11">
        <v>-7.52</v>
      </c>
      <c r="AR17" s="11">
        <v>1.94</v>
      </c>
      <c r="AS17" s="11">
        <v>-6.5</v>
      </c>
      <c r="AT17" s="11">
        <v>5.26</v>
      </c>
      <c r="AU17" s="11">
        <v>1.85</v>
      </c>
      <c r="AV17" s="11">
        <v>4.8600000000000003</v>
      </c>
      <c r="AW17" s="11">
        <v>-3.66</v>
      </c>
      <c r="AX17" s="11">
        <v>9.66</v>
      </c>
      <c r="AY17" s="11">
        <v>7.89</v>
      </c>
      <c r="AZ17" s="11">
        <v>1.41</v>
      </c>
      <c r="BA17" s="11">
        <v>-2.69</v>
      </c>
      <c r="BB17" s="11">
        <v>-3.63</v>
      </c>
      <c r="BC17" s="11">
        <v>9.8800000000000008</v>
      </c>
      <c r="BD17" s="11">
        <v>16.48</v>
      </c>
      <c r="BE17" s="11">
        <v>-0.41</v>
      </c>
      <c r="BF17" s="11">
        <v>-4.68</v>
      </c>
      <c r="BG17" s="11">
        <v>-5.43</v>
      </c>
      <c r="BH17" s="11">
        <v>8.5399999999999991</v>
      </c>
      <c r="BI17" s="11">
        <v>14.51</v>
      </c>
      <c r="BJ17" s="11">
        <v>5.37</v>
      </c>
      <c r="BK17" s="11">
        <v>-3.07</v>
      </c>
      <c r="BL17" s="11">
        <v>-10.24</v>
      </c>
      <c r="BM17" s="11">
        <v>3.35</v>
      </c>
      <c r="BN17" s="11">
        <v>-1.35</v>
      </c>
      <c r="BO17" s="11">
        <v>-7.19</v>
      </c>
      <c r="BP17" s="11">
        <v>-1.58</v>
      </c>
      <c r="BQ17" s="11">
        <v>13.19</v>
      </c>
    </row>
    <row r="18" spans="1:69" x14ac:dyDescent="0.4">
      <c r="A18" s="6" t="s">
        <v>7</v>
      </c>
      <c r="B18" s="4" t="s">
        <v>91</v>
      </c>
      <c r="C18" s="6"/>
      <c r="D18" s="11">
        <v>15.9</v>
      </c>
      <c r="E18" s="11">
        <v>-2.12</v>
      </c>
      <c r="F18" s="11">
        <v>-18.13</v>
      </c>
      <c r="G18" s="11">
        <v>9.48</v>
      </c>
      <c r="H18" s="11">
        <v>101.61</v>
      </c>
      <c r="I18" s="11">
        <v>-4.9000000000000004</v>
      </c>
      <c r="J18" s="11">
        <v>-12.52</v>
      </c>
      <c r="K18" s="11">
        <v>-3.75</v>
      </c>
      <c r="L18" s="11">
        <v>-8.91</v>
      </c>
      <c r="M18" s="11">
        <v>8.8000000000000007</v>
      </c>
      <c r="N18" s="11">
        <v>17.02</v>
      </c>
      <c r="O18" s="11">
        <v>33.07</v>
      </c>
      <c r="P18" s="11">
        <v>2.12</v>
      </c>
      <c r="Q18" s="11">
        <v>-14.49</v>
      </c>
      <c r="R18" s="11">
        <v>25.41</v>
      </c>
      <c r="S18" s="11">
        <v>27.57</v>
      </c>
      <c r="T18" s="11">
        <v>24.25</v>
      </c>
      <c r="U18" s="11">
        <v>-12.75</v>
      </c>
      <c r="V18" s="11">
        <v>-5.84</v>
      </c>
      <c r="W18" s="11">
        <v>21.47</v>
      </c>
      <c r="X18" s="11">
        <v>15.42</v>
      </c>
      <c r="Y18" s="11">
        <v>-5.05</v>
      </c>
      <c r="Z18" s="11">
        <v>-9.3800000000000008</v>
      </c>
      <c r="AA18" s="11">
        <v>23.47</v>
      </c>
      <c r="AB18" s="11">
        <v>-5.22</v>
      </c>
      <c r="AC18" s="11">
        <v>75.069999999999993</v>
      </c>
      <c r="AD18" s="11">
        <v>17.14</v>
      </c>
      <c r="AE18" s="11">
        <v>8.77</v>
      </c>
      <c r="AF18" s="11">
        <v>-13.86</v>
      </c>
      <c r="AG18" s="11">
        <v>-2.08</v>
      </c>
      <c r="AH18" s="11">
        <v>-19.28</v>
      </c>
      <c r="AI18" s="11">
        <v>-28.63</v>
      </c>
      <c r="AJ18" s="11">
        <v>-11.9</v>
      </c>
      <c r="AK18" s="11">
        <v>23.42</v>
      </c>
      <c r="AL18" s="11">
        <v>2.59</v>
      </c>
      <c r="AM18" s="11">
        <v>-3.56</v>
      </c>
      <c r="AN18" s="11">
        <v>7.46</v>
      </c>
      <c r="AO18" s="11">
        <v>12.13</v>
      </c>
      <c r="AP18" s="11">
        <v>6.09</v>
      </c>
      <c r="AQ18" s="11">
        <v>8.4499999999999993</v>
      </c>
      <c r="AR18" s="11">
        <v>-11.59</v>
      </c>
      <c r="AS18" s="11">
        <v>-2.0299999999999998</v>
      </c>
      <c r="AT18" s="11">
        <v>-4.92</v>
      </c>
      <c r="AU18" s="11">
        <v>-14.09</v>
      </c>
      <c r="AV18" s="11">
        <v>16.13</v>
      </c>
      <c r="AW18" s="11">
        <v>-13.34</v>
      </c>
      <c r="AX18" s="11">
        <v>9.91</v>
      </c>
      <c r="AY18" s="11">
        <v>-6.93</v>
      </c>
      <c r="AZ18" s="11">
        <v>-3.7</v>
      </c>
      <c r="BA18" s="11">
        <v>-14.13</v>
      </c>
      <c r="BB18" s="11">
        <v>0.92</v>
      </c>
      <c r="BC18" s="11">
        <v>-6.33</v>
      </c>
      <c r="BD18" s="11">
        <v>10.81</v>
      </c>
      <c r="BE18" s="11">
        <v>1.1399999999999999</v>
      </c>
      <c r="BF18" s="11">
        <v>13.6</v>
      </c>
      <c r="BG18" s="11">
        <v>0.38</v>
      </c>
      <c r="BH18" s="11">
        <v>9.4499999999999993</v>
      </c>
      <c r="BI18" s="11">
        <v>-1.32</v>
      </c>
      <c r="BJ18" s="11">
        <v>-17.079999999999998</v>
      </c>
      <c r="BK18" s="11">
        <v>-7.95</v>
      </c>
      <c r="BL18" s="11">
        <v>-8.3699999999999992</v>
      </c>
      <c r="BM18" s="11">
        <v>1.26</v>
      </c>
      <c r="BN18" s="11">
        <v>-0.28999999999999998</v>
      </c>
      <c r="BO18" s="11">
        <v>-7.42</v>
      </c>
      <c r="BP18" s="11">
        <v>0.94</v>
      </c>
      <c r="BQ18" s="11">
        <v>10.92</v>
      </c>
    </row>
    <row r="19" spans="1:69" x14ac:dyDescent="0.4">
      <c r="A19" s="6" t="s">
        <v>8</v>
      </c>
      <c r="B19" s="4" t="s">
        <v>92</v>
      </c>
      <c r="C19" s="6"/>
      <c r="D19" s="11">
        <v>10.55</v>
      </c>
      <c r="E19" s="11">
        <v>39.01</v>
      </c>
      <c r="F19" s="11">
        <v>-15.73</v>
      </c>
      <c r="G19" s="11">
        <v>13.31</v>
      </c>
      <c r="H19" s="11">
        <v>37.26</v>
      </c>
      <c r="I19" s="11">
        <v>0.72</v>
      </c>
      <c r="J19" s="11">
        <v>-12.15</v>
      </c>
      <c r="K19" s="11">
        <v>1.89</v>
      </c>
      <c r="L19" s="11">
        <v>-20.12</v>
      </c>
      <c r="M19" s="11">
        <v>19.39</v>
      </c>
      <c r="N19" s="11">
        <v>26.12</v>
      </c>
      <c r="O19" s="11">
        <v>18.48</v>
      </c>
      <c r="P19" s="11">
        <v>7.15</v>
      </c>
      <c r="Q19" s="11">
        <v>-12.99</v>
      </c>
      <c r="R19" s="11">
        <v>13.4</v>
      </c>
      <c r="S19" s="11">
        <v>3.53</v>
      </c>
      <c r="T19" s="11">
        <v>14.05</v>
      </c>
      <c r="U19" s="11">
        <v>-1.83</v>
      </c>
      <c r="V19" s="11">
        <v>16.75</v>
      </c>
      <c r="W19" s="11">
        <v>30.88</v>
      </c>
      <c r="X19" s="11">
        <v>-7.02</v>
      </c>
      <c r="Y19" s="11">
        <v>-10.96</v>
      </c>
      <c r="Z19" s="11">
        <v>5.95</v>
      </c>
      <c r="AA19" s="11">
        <v>-3.95</v>
      </c>
      <c r="AB19" s="11">
        <v>-5.42</v>
      </c>
      <c r="AC19" s="11">
        <v>3.75</v>
      </c>
      <c r="AD19" s="11">
        <v>11</v>
      </c>
      <c r="AE19" s="11">
        <v>-9.7100000000000009</v>
      </c>
      <c r="AF19" s="11">
        <v>-7.47</v>
      </c>
      <c r="AG19" s="11">
        <v>20.98</v>
      </c>
      <c r="AH19" s="11">
        <v>-9.83</v>
      </c>
      <c r="AI19" s="11">
        <v>-37.56</v>
      </c>
      <c r="AJ19" s="11">
        <v>13.84</v>
      </c>
      <c r="AK19" s="11">
        <v>48.95</v>
      </c>
      <c r="AL19" s="11">
        <v>33.659999999999997</v>
      </c>
      <c r="AM19" s="11">
        <v>-1.79</v>
      </c>
      <c r="AN19" s="11">
        <v>10.08</v>
      </c>
      <c r="AO19" s="11">
        <v>27.03</v>
      </c>
      <c r="AP19" s="11">
        <v>2.89</v>
      </c>
      <c r="AQ19" s="11">
        <v>27.91</v>
      </c>
      <c r="AR19" s="11">
        <v>4.03</v>
      </c>
      <c r="AS19" s="11">
        <v>38.86</v>
      </c>
      <c r="AT19" s="11">
        <v>-13.2</v>
      </c>
      <c r="AU19" s="11">
        <v>2.87</v>
      </c>
      <c r="AV19" s="11">
        <v>-2.61</v>
      </c>
      <c r="AW19" s="11">
        <v>7.13</v>
      </c>
      <c r="AX19" s="11">
        <v>-0.06</v>
      </c>
      <c r="AY19" s="11">
        <v>-9.7200000000000006</v>
      </c>
      <c r="AZ19" s="11">
        <v>0.97</v>
      </c>
      <c r="BA19" s="11">
        <v>-0.55000000000000004</v>
      </c>
      <c r="BB19" s="11">
        <v>9.2200000000000006</v>
      </c>
      <c r="BC19" s="11">
        <v>4.55</v>
      </c>
      <c r="BD19" s="11">
        <v>-3.17</v>
      </c>
      <c r="BE19" s="11">
        <v>-3.57</v>
      </c>
      <c r="BF19" s="11">
        <v>2.1</v>
      </c>
      <c r="BG19" s="11">
        <v>-14.82</v>
      </c>
      <c r="BH19" s="11">
        <v>-8.67</v>
      </c>
      <c r="BI19" s="11">
        <v>-2.73</v>
      </c>
      <c r="BJ19" s="11">
        <v>-6.62</v>
      </c>
      <c r="BK19" s="11">
        <v>11.05</v>
      </c>
      <c r="BL19" s="11">
        <v>-3.1</v>
      </c>
      <c r="BM19" s="11">
        <v>0.92</v>
      </c>
      <c r="BN19" s="11">
        <v>-2.21</v>
      </c>
      <c r="BO19" s="11">
        <v>-5.28</v>
      </c>
      <c r="BP19" s="11">
        <v>5.28</v>
      </c>
      <c r="BQ19" s="11">
        <v>5.41</v>
      </c>
    </row>
    <row r="20" spans="1:69" x14ac:dyDescent="0.4">
      <c r="A20" s="6" t="s">
        <v>9</v>
      </c>
      <c r="B20" s="4" t="s">
        <v>93</v>
      </c>
      <c r="C20" s="6"/>
      <c r="D20" s="11">
        <v>13.77</v>
      </c>
      <c r="E20" s="11">
        <v>10.5</v>
      </c>
      <c r="F20" s="11">
        <v>-20.86</v>
      </c>
      <c r="G20" s="11">
        <v>1.45</v>
      </c>
      <c r="H20" s="11">
        <v>29.47</v>
      </c>
      <c r="I20" s="11">
        <v>-4.41</v>
      </c>
      <c r="J20" s="11">
        <v>-22.32</v>
      </c>
      <c r="K20" s="11">
        <v>-9.9</v>
      </c>
      <c r="L20" s="11">
        <v>-22.91</v>
      </c>
      <c r="M20" s="11">
        <v>4.87</v>
      </c>
      <c r="N20" s="11">
        <v>1.02</v>
      </c>
      <c r="O20" s="11">
        <v>-2.14</v>
      </c>
      <c r="P20" s="11">
        <v>1.52</v>
      </c>
      <c r="Q20" s="11">
        <v>-4.7300000000000004</v>
      </c>
      <c r="R20" s="11">
        <v>2.02</v>
      </c>
      <c r="S20" s="11">
        <v>-1.41</v>
      </c>
      <c r="T20" s="11">
        <v>25.95</v>
      </c>
      <c r="U20" s="11">
        <v>6.06</v>
      </c>
      <c r="V20" s="11">
        <v>12.87</v>
      </c>
      <c r="W20" s="11">
        <v>40.39</v>
      </c>
      <c r="X20" s="11">
        <v>11.18</v>
      </c>
      <c r="Y20" s="11">
        <v>-10.91</v>
      </c>
      <c r="Z20" s="11">
        <v>-3.14</v>
      </c>
      <c r="AA20" s="11">
        <v>13.75</v>
      </c>
      <c r="AB20" s="11">
        <v>-2.61</v>
      </c>
      <c r="AC20" s="11">
        <v>19.72</v>
      </c>
      <c r="AD20" s="11">
        <v>2.91</v>
      </c>
      <c r="AE20" s="11">
        <v>-0.78</v>
      </c>
      <c r="AF20" s="11">
        <v>-12.56</v>
      </c>
      <c r="AG20" s="11">
        <v>5.68</v>
      </c>
      <c r="AH20" s="11">
        <v>-6.76</v>
      </c>
      <c r="AI20" s="11">
        <v>-22.75</v>
      </c>
      <c r="AJ20" s="11">
        <v>-0.76</v>
      </c>
      <c r="AK20" s="11">
        <v>26.42</v>
      </c>
      <c r="AL20" s="11">
        <v>10.11</v>
      </c>
      <c r="AM20" s="11">
        <v>3.64</v>
      </c>
      <c r="AN20" s="11">
        <v>-6.33</v>
      </c>
      <c r="AO20" s="11">
        <v>4.5199999999999996</v>
      </c>
      <c r="AP20" s="11">
        <v>10.33</v>
      </c>
      <c r="AQ20" s="11">
        <v>4.24</v>
      </c>
      <c r="AR20" s="11">
        <v>-5.46</v>
      </c>
      <c r="AS20" s="11">
        <v>18.45</v>
      </c>
      <c r="AT20" s="11">
        <v>1.94</v>
      </c>
      <c r="AU20" s="11">
        <v>0.14000000000000001</v>
      </c>
      <c r="AV20" s="11">
        <v>1.77</v>
      </c>
      <c r="AW20" s="11">
        <v>-0.99</v>
      </c>
      <c r="AX20" s="11">
        <v>11.75</v>
      </c>
      <c r="AY20" s="11">
        <v>5.67</v>
      </c>
      <c r="AZ20" s="11">
        <v>-1.87</v>
      </c>
      <c r="BA20" s="11">
        <v>2.61</v>
      </c>
      <c r="BB20" s="11">
        <v>-8.0500000000000007</v>
      </c>
      <c r="BC20" s="11">
        <v>12.45</v>
      </c>
      <c r="BD20" s="11">
        <v>7.49</v>
      </c>
      <c r="BE20" s="11">
        <v>19.690000000000001</v>
      </c>
      <c r="BF20" s="11">
        <v>22.81</v>
      </c>
      <c r="BG20" s="11">
        <v>5.99</v>
      </c>
      <c r="BH20" s="11">
        <v>9.6199999999999992</v>
      </c>
      <c r="BI20" s="11">
        <v>30.36</v>
      </c>
      <c r="BJ20" s="11">
        <v>-5.41</v>
      </c>
      <c r="BK20" s="11">
        <v>-5.22</v>
      </c>
      <c r="BL20" s="11">
        <v>-7.6</v>
      </c>
      <c r="BM20" s="11">
        <v>9.15</v>
      </c>
      <c r="BN20" s="11">
        <v>-11.04</v>
      </c>
      <c r="BO20" s="11">
        <v>-13.54</v>
      </c>
      <c r="BP20" s="11">
        <v>2.5299999999999998</v>
      </c>
      <c r="BQ20" s="11">
        <v>10.44</v>
      </c>
    </row>
    <row r="21" spans="1:69" x14ac:dyDescent="0.4">
      <c r="A21" s="6" t="s">
        <v>10</v>
      </c>
      <c r="B21" s="4" t="s">
        <v>57</v>
      </c>
      <c r="C21" s="6"/>
      <c r="D21" s="11">
        <v>8.83</v>
      </c>
      <c r="E21" s="11">
        <v>12.8</v>
      </c>
      <c r="F21" s="11">
        <v>-9.09</v>
      </c>
      <c r="G21" s="11">
        <v>3.23</v>
      </c>
      <c r="H21" s="11">
        <v>39.94</v>
      </c>
      <c r="I21" s="11">
        <v>-9.1</v>
      </c>
      <c r="J21" s="11">
        <v>-7.05</v>
      </c>
      <c r="K21" s="11">
        <v>-6.9</v>
      </c>
      <c r="L21" s="11">
        <v>-12.05</v>
      </c>
      <c r="M21" s="11">
        <v>6.97</v>
      </c>
      <c r="N21" s="11">
        <v>3.41</v>
      </c>
      <c r="O21" s="11">
        <v>3.56</v>
      </c>
      <c r="P21" s="11">
        <v>12.05</v>
      </c>
      <c r="Q21" s="11">
        <v>-9.51</v>
      </c>
      <c r="R21" s="11">
        <v>4.24</v>
      </c>
      <c r="S21" s="11">
        <v>12.9</v>
      </c>
      <c r="T21" s="11">
        <v>8.1999999999999993</v>
      </c>
      <c r="U21" s="11">
        <v>7.84</v>
      </c>
      <c r="V21" s="11">
        <v>13.25</v>
      </c>
      <c r="W21" s="11">
        <v>19.71</v>
      </c>
      <c r="X21" s="11">
        <v>0.32</v>
      </c>
      <c r="Y21" s="11">
        <v>-5.0999999999999996</v>
      </c>
      <c r="Z21" s="11">
        <v>-2.85</v>
      </c>
      <c r="AA21" s="11">
        <v>4.51</v>
      </c>
      <c r="AB21" s="11">
        <v>-5.86</v>
      </c>
      <c r="AC21" s="11">
        <v>13.9</v>
      </c>
      <c r="AD21" s="11">
        <v>17.89</v>
      </c>
      <c r="AE21" s="11">
        <v>2.33</v>
      </c>
      <c r="AF21" s="11">
        <v>-7.82</v>
      </c>
      <c r="AG21" s="11">
        <v>3.42</v>
      </c>
      <c r="AH21" s="11">
        <v>-20.58</v>
      </c>
      <c r="AI21" s="11">
        <v>-29.09</v>
      </c>
      <c r="AJ21" s="11">
        <v>1.64</v>
      </c>
      <c r="AK21" s="11">
        <v>27.91</v>
      </c>
      <c r="AL21" s="11">
        <v>1.06</v>
      </c>
      <c r="AM21" s="11">
        <v>4.43</v>
      </c>
      <c r="AN21" s="11">
        <v>2.23</v>
      </c>
      <c r="AO21" s="11">
        <v>4.3099999999999996</v>
      </c>
      <c r="AP21" s="11">
        <v>15.78</v>
      </c>
      <c r="AQ21" s="11">
        <v>6.03</v>
      </c>
      <c r="AR21" s="11">
        <v>-3.46</v>
      </c>
      <c r="AS21" s="11">
        <v>3.96</v>
      </c>
      <c r="AT21" s="11">
        <v>9</v>
      </c>
      <c r="AU21" s="11">
        <v>-2.02</v>
      </c>
      <c r="AV21" s="11">
        <v>0.82</v>
      </c>
      <c r="AW21" s="11">
        <v>8.98</v>
      </c>
      <c r="AX21" s="11">
        <v>3.65</v>
      </c>
      <c r="AY21" s="11">
        <v>17.77</v>
      </c>
      <c r="AZ21" s="11">
        <v>2.73</v>
      </c>
      <c r="BA21" s="11">
        <v>13.77</v>
      </c>
      <c r="BB21" s="11">
        <v>-11.76</v>
      </c>
      <c r="BC21" s="11">
        <v>15.16</v>
      </c>
      <c r="BD21" s="11">
        <v>7.52</v>
      </c>
      <c r="BE21" s="11">
        <v>2.59</v>
      </c>
      <c r="BF21" s="11">
        <v>20.95</v>
      </c>
      <c r="BG21" s="11">
        <v>-15.98</v>
      </c>
      <c r="BH21" s="11">
        <v>1.1000000000000001</v>
      </c>
      <c r="BI21" s="11">
        <v>21.8</v>
      </c>
      <c r="BJ21" s="11">
        <v>1.38</v>
      </c>
      <c r="BK21" s="11">
        <v>-16.739999999999998</v>
      </c>
      <c r="BL21" s="11">
        <v>-10.53</v>
      </c>
      <c r="BM21" s="11">
        <v>4.76</v>
      </c>
      <c r="BN21" s="11">
        <v>-6.02</v>
      </c>
      <c r="BO21" s="11">
        <v>-13.65</v>
      </c>
      <c r="BP21" s="11">
        <v>1.58</v>
      </c>
      <c r="BQ21" s="11">
        <v>7.02</v>
      </c>
    </row>
    <row r="22" spans="1:69" x14ac:dyDescent="0.4">
      <c r="A22" s="6" t="s">
        <v>11</v>
      </c>
      <c r="B22" s="4" t="s">
        <v>94</v>
      </c>
      <c r="C22" s="6"/>
      <c r="D22" s="11">
        <v>11.89</v>
      </c>
      <c r="E22" s="11">
        <v>15.49</v>
      </c>
      <c r="F22" s="11">
        <v>-17.739999999999998</v>
      </c>
      <c r="G22" s="11">
        <v>12.05</v>
      </c>
      <c r="H22" s="11">
        <v>35.72</v>
      </c>
      <c r="I22" s="11">
        <v>-19.3</v>
      </c>
      <c r="J22" s="11">
        <v>-16.54</v>
      </c>
      <c r="K22" s="11">
        <v>-7.11</v>
      </c>
      <c r="L22" s="11">
        <v>-16.14</v>
      </c>
      <c r="M22" s="11">
        <v>28.09</v>
      </c>
      <c r="N22" s="11">
        <v>-5.12</v>
      </c>
      <c r="O22" s="11">
        <v>2.98</v>
      </c>
      <c r="P22" s="11">
        <v>-8.5399999999999991</v>
      </c>
      <c r="Q22" s="11">
        <v>-11.11</v>
      </c>
      <c r="R22" s="11">
        <v>-7.2</v>
      </c>
      <c r="S22" s="11">
        <v>-1.33</v>
      </c>
      <c r="T22" s="11">
        <v>21.46</v>
      </c>
      <c r="U22" s="11">
        <v>-5.91</v>
      </c>
      <c r="V22" s="11">
        <v>2.17</v>
      </c>
      <c r="W22" s="11">
        <v>41.89</v>
      </c>
      <c r="X22" s="11">
        <v>-11.16</v>
      </c>
      <c r="Y22" s="11">
        <v>-11.07</v>
      </c>
      <c r="Z22" s="11">
        <v>-11.81</v>
      </c>
      <c r="AA22" s="11">
        <v>14.93</v>
      </c>
      <c r="AB22" s="11">
        <v>-11.93</v>
      </c>
      <c r="AC22" s="11">
        <v>8.9</v>
      </c>
      <c r="AD22" s="11">
        <v>2.46</v>
      </c>
      <c r="AE22" s="11">
        <v>-13.56</v>
      </c>
      <c r="AF22" s="11">
        <v>-9.67</v>
      </c>
      <c r="AG22" s="11">
        <v>-11.66</v>
      </c>
      <c r="AH22" s="11">
        <v>-18.47</v>
      </c>
      <c r="AI22" s="11">
        <v>-25.75</v>
      </c>
      <c r="AJ22" s="11">
        <v>-0.78</v>
      </c>
      <c r="AK22" s="11">
        <v>43.12</v>
      </c>
      <c r="AL22" s="11">
        <v>7.92</v>
      </c>
      <c r="AM22" s="11">
        <v>-6.16</v>
      </c>
      <c r="AN22" s="11">
        <v>2.98</v>
      </c>
      <c r="AO22" s="11">
        <v>-3.35</v>
      </c>
      <c r="AP22" s="11">
        <v>-3.73</v>
      </c>
      <c r="AQ22" s="11">
        <v>7.29</v>
      </c>
      <c r="AR22" s="11">
        <v>1.67</v>
      </c>
      <c r="AS22" s="11">
        <v>3.45</v>
      </c>
      <c r="AT22" s="11">
        <v>13.87</v>
      </c>
      <c r="AU22" s="11">
        <v>6.66</v>
      </c>
      <c r="AV22" s="11">
        <v>1.67</v>
      </c>
      <c r="AW22" s="11">
        <v>-8.85</v>
      </c>
      <c r="AX22" s="11">
        <v>14.4</v>
      </c>
      <c r="AY22" s="11">
        <v>3.05</v>
      </c>
      <c r="AZ22" s="11">
        <v>8.43</v>
      </c>
      <c r="BA22" s="11">
        <v>7.76</v>
      </c>
      <c r="BB22" s="11">
        <v>-9.52</v>
      </c>
      <c r="BC22" s="11">
        <v>1.27</v>
      </c>
      <c r="BD22" s="11">
        <v>2.25</v>
      </c>
      <c r="BE22" s="11">
        <v>0.99</v>
      </c>
      <c r="BF22" s="11">
        <v>0.56999999999999995</v>
      </c>
      <c r="BG22" s="11">
        <v>-10.029999999999999</v>
      </c>
      <c r="BH22" s="11">
        <v>10.82</v>
      </c>
      <c r="BI22" s="11">
        <v>17.37</v>
      </c>
      <c r="BJ22" s="11">
        <v>4.8600000000000003</v>
      </c>
      <c r="BK22" s="11">
        <v>-7.0000000000000007E-2</v>
      </c>
      <c r="BL22" s="11">
        <v>-8.77</v>
      </c>
      <c r="BM22" s="11">
        <v>3.9</v>
      </c>
      <c r="BN22" s="11">
        <v>-16.36</v>
      </c>
      <c r="BO22" s="11">
        <v>-12.41</v>
      </c>
      <c r="BP22" s="11">
        <v>9.51</v>
      </c>
      <c r="BQ22" s="11">
        <v>7.15</v>
      </c>
    </row>
    <row r="23" spans="1:69" x14ac:dyDescent="0.4">
      <c r="A23" s="6" t="s">
        <v>12</v>
      </c>
      <c r="B23" s="4" t="s">
        <v>95</v>
      </c>
      <c r="C23" s="6"/>
      <c r="D23" s="11">
        <v>13.51</v>
      </c>
      <c r="E23" s="11">
        <v>27.82</v>
      </c>
      <c r="F23" s="11">
        <v>-7.96</v>
      </c>
      <c r="G23" s="11">
        <v>22.25</v>
      </c>
      <c r="H23" s="11">
        <v>81.41</v>
      </c>
      <c r="I23" s="11">
        <v>-4.96</v>
      </c>
      <c r="J23" s="11">
        <v>0.42</v>
      </c>
      <c r="K23" s="11">
        <v>-15.31</v>
      </c>
      <c r="L23" s="11">
        <v>-17.649999999999999</v>
      </c>
      <c r="M23" s="11">
        <v>12.78</v>
      </c>
      <c r="N23" s="11">
        <v>13.6</v>
      </c>
      <c r="O23" s="11">
        <v>2.4300000000000002</v>
      </c>
      <c r="P23" s="11">
        <v>3.68</v>
      </c>
      <c r="Q23" s="11">
        <v>-4.49</v>
      </c>
      <c r="R23" s="11">
        <v>13.58</v>
      </c>
      <c r="S23" s="11">
        <v>3.22</v>
      </c>
      <c r="T23" s="11">
        <v>19.27</v>
      </c>
      <c r="U23" s="11">
        <v>4.88</v>
      </c>
      <c r="V23" s="11">
        <v>10.26</v>
      </c>
      <c r="W23" s="11">
        <v>26.56</v>
      </c>
      <c r="X23" s="11">
        <v>10.41</v>
      </c>
      <c r="Y23" s="11">
        <v>-11.92</v>
      </c>
      <c r="Z23" s="11">
        <v>16.329999999999998</v>
      </c>
      <c r="AA23" s="11">
        <v>11.57</v>
      </c>
      <c r="AB23" s="11">
        <v>-6.88</v>
      </c>
      <c r="AC23" s="11">
        <v>19.559999999999999</v>
      </c>
      <c r="AD23" s="11">
        <v>-7.38</v>
      </c>
      <c r="AE23" s="11">
        <v>7.85</v>
      </c>
      <c r="AF23" s="11">
        <v>-16.7</v>
      </c>
      <c r="AG23" s="11">
        <v>5.85</v>
      </c>
      <c r="AH23" s="11">
        <v>-11.7</v>
      </c>
      <c r="AI23" s="11">
        <v>-32.49</v>
      </c>
      <c r="AJ23" s="11">
        <v>-1.0900000000000001</v>
      </c>
      <c r="AK23" s="11">
        <v>35.43</v>
      </c>
      <c r="AL23" s="11">
        <v>6.96</v>
      </c>
      <c r="AM23" s="11">
        <v>6.03</v>
      </c>
      <c r="AN23" s="11">
        <v>-6.49</v>
      </c>
      <c r="AO23" s="11">
        <v>-3.61</v>
      </c>
      <c r="AP23" s="11">
        <v>15.56</v>
      </c>
      <c r="AQ23" s="11">
        <v>3.78</v>
      </c>
      <c r="AR23" s="11">
        <v>-10.76</v>
      </c>
      <c r="AS23" s="11">
        <v>19.36</v>
      </c>
      <c r="AT23" s="11">
        <v>3.75</v>
      </c>
      <c r="AU23" s="11">
        <v>-9.15</v>
      </c>
      <c r="AV23" s="11">
        <v>2.0499999999999998</v>
      </c>
      <c r="AW23" s="11">
        <v>-11.63</v>
      </c>
      <c r="AX23" s="11">
        <v>-0.28999999999999998</v>
      </c>
      <c r="AY23" s="11">
        <v>1.1299999999999999</v>
      </c>
      <c r="AZ23" s="11">
        <v>6.4</v>
      </c>
      <c r="BA23" s="11">
        <v>0.66</v>
      </c>
      <c r="BB23" s="11">
        <v>-2.92</v>
      </c>
      <c r="BC23" s="11">
        <v>18.309999999999999</v>
      </c>
      <c r="BD23" s="11">
        <v>-7.81</v>
      </c>
      <c r="BE23" s="11">
        <v>-8.5299999999999994</v>
      </c>
      <c r="BF23" s="11">
        <v>7.97</v>
      </c>
      <c r="BG23" s="11">
        <v>-13.16</v>
      </c>
      <c r="BH23" s="11">
        <v>-1.77</v>
      </c>
      <c r="BI23" s="11">
        <v>19.079999999999998</v>
      </c>
      <c r="BJ23" s="11">
        <v>3.24</v>
      </c>
      <c r="BK23" s="11">
        <v>-9.35</v>
      </c>
      <c r="BL23" s="11">
        <v>-8.68</v>
      </c>
      <c r="BM23" s="11">
        <v>2.2400000000000002</v>
      </c>
      <c r="BN23" s="11">
        <v>-10.63</v>
      </c>
      <c r="BO23" s="11">
        <v>-1.18</v>
      </c>
      <c r="BP23" s="11">
        <v>9.6</v>
      </c>
      <c r="BQ23" s="11">
        <v>18.29</v>
      </c>
    </row>
    <row r="24" spans="1:69" x14ac:dyDescent="0.4">
      <c r="A24" s="6" t="s">
        <v>13</v>
      </c>
      <c r="B24" s="4" t="s">
        <v>96</v>
      </c>
      <c r="C24" s="6"/>
      <c r="D24" s="11">
        <v>8.8800000000000008</v>
      </c>
      <c r="E24" s="11">
        <v>23.48</v>
      </c>
      <c r="F24" s="11">
        <v>3.74</v>
      </c>
      <c r="G24" s="11">
        <v>6.9</v>
      </c>
      <c r="H24" s="11">
        <v>8.6199999999999992</v>
      </c>
      <c r="I24" s="11">
        <v>-17.09</v>
      </c>
      <c r="J24" s="11">
        <v>-25.24</v>
      </c>
      <c r="K24" s="11">
        <v>-16.66</v>
      </c>
      <c r="L24" s="11">
        <v>-22.6</v>
      </c>
      <c r="M24" s="11">
        <v>18.05</v>
      </c>
      <c r="N24" s="11">
        <v>-12.03</v>
      </c>
      <c r="O24" s="11">
        <v>-23.09</v>
      </c>
      <c r="P24" s="11">
        <v>1.06</v>
      </c>
      <c r="Q24" s="11">
        <v>20.3</v>
      </c>
      <c r="R24" s="11">
        <v>-12.59</v>
      </c>
      <c r="S24" s="11">
        <v>21.98</v>
      </c>
      <c r="T24" s="11">
        <v>22.24</v>
      </c>
      <c r="U24" s="11">
        <v>1.78</v>
      </c>
      <c r="V24" s="11">
        <v>17.54</v>
      </c>
      <c r="W24" s="11">
        <v>39.03</v>
      </c>
      <c r="X24" s="11">
        <v>1.1599999999999999</v>
      </c>
      <c r="Y24" s="11">
        <v>14.94</v>
      </c>
      <c r="Z24" s="11">
        <v>-0.91</v>
      </c>
      <c r="AA24" s="11">
        <v>23.21</v>
      </c>
      <c r="AB24" s="11">
        <v>-4.6900000000000004</v>
      </c>
      <c r="AC24" s="11">
        <v>17.27</v>
      </c>
      <c r="AD24" s="11">
        <v>10.02</v>
      </c>
      <c r="AE24" s="11">
        <v>25.72</v>
      </c>
      <c r="AF24" s="11">
        <v>4.28</v>
      </c>
      <c r="AG24" s="11">
        <v>4.2300000000000004</v>
      </c>
      <c r="AH24" s="11">
        <v>-32.159999999999997</v>
      </c>
      <c r="AI24" s="11">
        <v>-36.19</v>
      </c>
      <c r="AJ24" s="11">
        <v>21.39</v>
      </c>
      <c r="AK24" s="11">
        <v>21.64</v>
      </c>
      <c r="AL24" s="11">
        <v>13.27</v>
      </c>
      <c r="AM24" s="11">
        <v>-3.24</v>
      </c>
      <c r="AN24" s="11">
        <v>-9.25</v>
      </c>
      <c r="AO24" s="11">
        <v>-18.079999999999998</v>
      </c>
      <c r="AP24" s="11">
        <v>-1.45</v>
      </c>
      <c r="AQ24" s="11">
        <v>12.73</v>
      </c>
      <c r="AR24" s="11">
        <v>-15.87</v>
      </c>
      <c r="AS24" s="11">
        <v>-8.61</v>
      </c>
      <c r="AT24" s="11">
        <v>0.19</v>
      </c>
      <c r="AU24" s="11">
        <v>-13.06</v>
      </c>
      <c r="AV24" s="11">
        <v>5.45</v>
      </c>
      <c r="AW24" s="11">
        <v>-23.72</v>
      </c>
      <c r="AX24" s="11">
        <v>-5.59</v>
      </c>
      <c r="AY24" s="11">
        <v>-1.84</v>
      </c>
      <c r="AZ24" s="11">
        <v>8.44</v>
      </c>
      <c r="BA24" s="11">
        <v>2.6</v>
      </c>
      <c r="BB24" s="11">
        <v>-7.22</v>
      </c>
      <c r="BC24" s="11">
        <v>0.06</v>
      </c>
      <c r="BD24" s="11">
        <v>-1.96</v>
      </c>
      <c r="BE24" s="11">
        <v>1.89</v>
      </c>
      <c r="BF24" s="11">
        <v>2.46</v>
      </c>
      <c r="BG24" s="11">
        <v>-1.85</v>
      </c>
      <c r="BH24" s="11">
        <v>5.91</v>
      </c>
      <c r="BI24" s="11">
        <v>11.82</v>
      </c>
      <c r="BJ24" s="11">
        <v>-8.08</v>
      </c>
      <c r="BK24" s="11">
        <v>-5.54</v>
      </c>
      <c r="BL24" s="11">
        <v>8.4499999999999993</v>
      </c>
      <c r="BM24" s="11">
        <v>-4.37</v>
      </c>
      <c r="BN24" s="11">
        <v>0.28999999999999998</v>
      </c>
      <c r="BO24" s="11">
        <v>-7.37</v>
      </c>
      <c r="BP24" s="11">
        <v>3.81</v>
      </c>
      <c r="BQ24" s="11">
        <v>-0.39</v>
      </c>
    </row>
    <row r="25" spans="1:69" x14ac:dyDescent="0.4">
      <c r="A25" s="6" t="s">
        <v>14</v>
      </c>
      <c r="B25" s="4" t="s">
        <v>97</v>
      </c>
      <c r="C25" s="6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>
        <v>37.43</v>
      </c>
      <c r="AD25" s="11">
        <v>65.11</v>
      </c>
      <c r="AE25" s="11">
        <v>-43.86</v>
      </c>
      <c r="AF25" s="11">
        <v>41.18</v>
      </c>
      <c r="AG25" s="11">
        <v>-5.3</v>
      </c>
      <c r="AH25" s="11">
        <v>0</v>
      </c>
      <c r="AI25" s="11">
        <v>0</v>
      </c>
      <c r="AJ25" s="11">
        <v>0</v>
      </c>
      <c r="AK25" s="11">
        <v>0</v>
      </c>
      <c r="AL25" s="11">
        <v>0</v>
      </c>
      <c r="AM25" s="11">
        <v>0</v>
      </c>
      <c r="AN25" s="11">
        <v>0</v>
      </c>
      <c r="AO25" s="11">
        <v>0</v>
      </c>
      <c r="AP25" s="11">
        <v>19.510000000000002</v>
      </c>
      <c r="AQ25" s="11">
        <v>1.74</v>
      </c>
      <c r="AR25" s="11">
        <v>-3.54</v>
      </c>
      <c r="AS25" s="11">
        <v>25.57</v>
      </c>
      <c r="AT25" s="11">
        <v>19.399999999999999</v>
      </c>
      <c r="AU25" s="11">
        <v>-5.37</v>
      </c>
      <c r="AV25" s="11">
        <v>0.2</v>
      </c>
      <c r="AW25" s="11">
        <v>9.19</v>
      </c>
      <c r="AX25" s="11">
        <v>5.82</v>
      </c>
      <c r="AY25" s="11">
        <v>1.53</v>
      </c>
      <c r="AZ25" s="11">
        <v>-2.44</v>
      </c>
      <c r="BA25" s="11">
        <v>0.84</v>
      </c>
      <c r="BB25" s="11">
        <v>-2.35</v>
      </c>
      <c r="BC25" s="11">
        <v>-0.68</v>
      </c>
      <c r="BD25" s="11">
        <v>-2.94</v>
      </c>
      <c r="BE25" s="11">
        <v>0.32</v>
      </c>
      <c r="BF25" s="11">
        <v>18.52</v>
      </c>
      <c r="BG25" s="11">
        <v>-12.86</v>
      </c>
      <c r="BH25" s="11">
        <v>1.64</v>
      </c>
      <c r="BI25" s="11">
        <v>6.72</v>
      </c>
      <c r="BJ25" s="11">
        <v>44.7</v>
      </c>
      <c r="BK25" s="11">
        <v>-12.88</v>
      </c>
      <c r="BL25" s="11">
        <v>-24.46</v>
      </c>
      <c r="BM25" s="11">
        <v>-4</v>
      </c>
      <c r="BN25" s="11">
        <v>-16.760000000000002</v>
      </c>
      <c r="BO25" s="11">
        <v>-1.95</v>
      </c>
      <c r="BP25" s="11">
        <v>1.3</v>
      </c>
      <c r="BQ25" s="11">
        <v>12.16</v>
      </c>
    </row>
    <row r="26" spans="1:69" x14ac:dyDescent="0.4">
      <c r="A26" s="6" t="s">
        <v>15</v>
      </c>
      <c r="B26" s="4" t="s">
        <v>98</v>
      </c>
      <c r="C26" s="6"/>
      <c r="D26" s="11">
        <v>4.09</v>
      </c>
      <c r="E26" s="11">
        <v>12.22</v>
      </c>
      <c r="F26" s="11">
        <v>-8.99</v>
      </c>
      <c r="G26" s="11">
        <v>15.94</v>
      </c>
      <c r="H26" s="11">
        <v>28.2</v>
      </c>
      <c r="I26" s="11">
        <v>-1.1499999999999999</v>
      </c>
      <c r="J26" s="11">
        <v>-5.62</v>
      </c>
      <c r="K26" s="11">
        <v>-3.94</v>
      </c>
      <c r="L26" s="11">
        <v>-16.809999999999999</v>
      </c>
      <c r="M26" s="11">
        <v>23.73</v>
      </c>
      <c r="N26" s="11">
        <v>-0.88</v>
      </c>
      <c r="O26" s="11">
        <v>11.24</v>
      </c>
      <c r="P26" s="11">
        <v>11.53</v>
      </c>
      <c r="Q26" s="11">
        <v>-3.69</v>
      </c>
      <c r="R26" s="11">
        <v>6.54</v>
      </c>
      <c r="S26" s="11">
        <v>13.2</v>
      </c>
      <c r="T26" s="11">
        <v>13.42</v>
      </c>
      <c r="U26" s="11">
        <v>5.99</v>
      </c>
      <c r="V26" s="11">
        <v>12.57</v>
      </c>
      <c r="W26" s="11">
        <v>19.68</v>
      </c>
      <c r="X26" s="11">
        <v>11.78</v>
      </c>
      <c r="Y26" s="11">
        <v>-6.33</v>
      </c>
      <c r="Z26" s="11">
        <v>-3.27</v>
      </c>
      <c r="AA26" s="11">
        <v>10.3</v>
      </c>
      <c r="AB26" s="11">
        <v>-4.49</v>
      </c>
      <c r="AC26" s="11">
        <v>17.86</v>
      </c>
      <c r="AD26" s="11">
        <v>8.15</v>
      </c>
      <c r="AE26" s="11">
        <v>4.68</v>
      </c>
      <c r="AF26" s="11">
        <v>-5.65</v>
      </c>
      <c r="AG26" s="11">
        <v>7.2</v>
      </c>
      <c r="AH26" s="11">
        <v>-1.36</v>
      </c>
      <c r="AI26" s="11">
        <v>-15.73</v>
      </c>
      <c r="AJ26" s="11">
        <v>-5.05</v>
      </c>
      <c r="AK26" s="11">
        <v>3.05</v>
      </c>
      <c r="AL26" s="11">
        <v>0.64</v>
      </c>
      <c r="AM26" s="11">
        <v>3.29</v>
      </c>
      <c r="AN26" s="11">
        <v>-4.01</v>
      </c>
      <c r="AO26" s="11">
        <v>-0.4</v>
      </c>
      <c r="AP26" s="11">
        <v>4.12</v>
      </c>
      <c r="AQ26" s="11">
        <v>2.1</v>
      </c>
      <c r="AR26" s="11">
        <v>-5.76</v>
      </c>
      <c r="AS26" s="11">
        <v>13.51</v>
      </c>
      <c r="AT26" s="11">
        <v>8.7200000000000006</v>
      </c>
      <c r="AU26" s="11">
        <v>5.05</v>
      </c>
      <c r="AV26" s="11">
        <v>3.24</v>
      </c>
      <c r="AW26" s="11">
        <v>3.78</v>
      </c>
      <c r="AX26" s="11">
        <v>4.92</v>
      </c>
      <c r="AY26" s="11">
        <v>8.99</v>
      </c>
      <c r="AZ26" s="11">
        <v>4.5199999999999996</v>
      </c>
      <c r="BA26" s="11">
        <v>-0.04</v>
      </c>
      <c r="BB26" s="11">
        <v>-11.65</v>
      </c>
      <c r="BC26" s="11">
        <v>6.35</v>
      </c>
      <c r="BD26" s="11">
        <v>4.16</v>
      </c>
      <c r="BE26" s="11">
        <v>6.22</v>
      </c>
      <c r="BF26" s="11">
        <v>11.96</v>
      </c>
      <c r="BG26" s="11">
        <v>-4.79</v>
      </c>
      <c r="BH26" s="11">
        <v>-1.62</v>
      </c>
      <c r="BI26" s="11">
        <v>21.39</v>
      </c>
      <c r="BJ26" s="11">
        <v>6.7</v>
      </c>
      <c r="BK26" s="11">
        <v>-2.89</v>
      </c>
      <c r="BL26" s="11">
        <v>-3.62</v>
      </c>
      <c r="BM26" s="11">
        <v>5.72</v>
      </c>
      <c r="BN26" s="11">
        <v>-12.14</v>
      </c>
      <c r="BO26" s="11">
        <v>-4.7</v>
      </c>
      <c r="BP26" s="11">
        <v>1</v>
      </c>
      <c r="BQ26" s="11">
        <v>9.4700000000000006</v>
      </c>
    </row>
    <row r="27" spans="1:69" x14ac:dyDescent="0.4">
      <c r="A27" s="6" t="s">
        <v>16</v>
      </c>
      <c r="B27" s="4" t="s">
        <v>99</v>
      </c>
      <c r="C27" s="6"/>
      <c r="D27" s="11">
        <v>0</v>
      </c>
      <c r="E27" s="11">
        <v>131.5</v>
      </c>
      <c r="F27" s="11">
        <v>-22.15</v>
      </c>
      <c r="G27" s="11">
        <v>24.6</v>
      </c>
      <c r="H27" s="11">
        <v>25.81</v>
      </c>
      <c r="I27" s="11">
        <v>-2.56</v>
      </c>
      <c r="J27" s="11">
        <v>5.67</v>
      </c>
      <c r="K27" s="11">
        <v>-5.3</v>
      </c>
      <c r="L27" s="11">
        <v>-36.25</v>
      </c>
      <c r="M27" s="11">
        <v>24.12</v>
      </c>
      <c r="N27" s="11">
        <v>-9.2200000000000006</v>
      </c>
      <c r="O27" s="11">
        <v>4.7300000000000004</v>
      </c>
      <c r="P27" s="11">
        <v>0.33</v>
      </c>
      <c r="Q27" s="11">
        <v>-0.65</v>
      </c>
      <c r="R27" s="11">
        <v>-4.93</v>
      </c>
      <c r="S27" s="11">
        <v>-6.07</v>
      </c>
      <c r="T27" s="11">
        <v>23.5</v>
      </c>
      <c r="U27" s="11">
        <v>9.44</v>
      </c>
      <c r="V27" s="11">
        <v>44.74</v>
      </c>
      <c r="W27" s="11">
        <v>12.74</v>
      </c>
      <c r="X27" s="11">
        <v>3.82</v>
      </c>
      <c r="Y27" s="11">
        <v>12.32</v>
      </c>
      <c r="Z27" s="11">
        <v>5.27</v>
      </c>
      <c r="AA27" s="11">
        <v>39.380000000000003</v>
      </c>
      <c r="AB27" s="11">
        <v>7.62</v>
      </c>
      <c r="AC27" s="11">
        <v>28.33</v>
      </c>
      <c r="AD27" s="11">
        <v>-1.04</v>
      </c>
      <c r="AE27" s="11">
        <v>41.67</v>
      </c>
      <c r="AF27" s="11">
        <v>-11.31</v>
      </c>
      <c r="AG27" s="11">
        <v>25.22</v>
      </c>
      <c r="AH27" s="11">
        <v>-13.3</v>
      </c>
      <c r="AI27" s="11">
        <v>-10.220000000000001</v>
      </c>
      <c r="AJ27" s="11">
        <v>-10.48</v>
      </c>
      <c r="AK27" s="11">
        <v>29.43</v>
      </c>
      <c r="AL27" s="11">
        <v>11.89</v>
      </c>
      <c r="AM27" s="11">
        <v>30.66</v>
      </c>
      <c r="AN27" s="11">
        <v>-7.5</v>
      </c>
      <c r="AO27" s="11">
        <v>14.95</v>
      </c>
      <c r="AP27" s="11">
        <v>26.02</v>
      </c>
      <c r="AQ27" s="11">
        <v>-3.16</v>
      </c>
      <c r="AR27" s="11">
        <v>-6.43</v>
      </c>
      <c r="AS27" s="11">
        <v>23.29</v>
      </c>
      <c r="AT27" s="11">
        <v>6.32</v>
      </c>
      <c r="AU27" s="11">
        <v>13.99</v>
      </c>
      <c r="AV27" s="11">
        <v>2.0299999999999998</v>
      </c>
      <c r="AW27" s="11">
        <v>13.09</v>
      </c>
      <c r="AX27" s="11">
        <v>6.24</v>
      </c>
      <c r="AY27" s="11">
        <v>2.11</v>
      </c>
      <c r="AZ27" s="11">
        <v>-5.3</v>
      </c>
      <c r="BA27" s="11">
        <v>0.21</v>
      </c>
      <c r="BB27" s="11">
        <v>-23.2</v>
      </c>
      <c r="BC27" s="11">
        <v>8.2200000000000006</v>
      </c>
      <c r="BD27" s="11">
        <v>-16.25</v>
      </c>
      <c r="BE27" s="11">
        <v>11.24</v>
      </c>
      <c r="BF27" s="11">
        <v>5.3</v>
      </c>
      <c r="BG27" s="11">
        <v>18.98</v>
      </c>
      <c r="BH27" s="11">
        <v>11.36</v>
      </c>
      <c r="BI27" s="11">
        <v>22.89</v>
      </c>
      <c r="BJ27" s="11">
        <v>-1.67</v>
      </c>
      <c r="BK27" s="11">
        <v>22.34</v>
      </c>
      <c r="BL27" s="11">
        <v>-14.74</v>
      </c>
      <c r="BM27" s="11">
        <v>20.51</v>
      </c>
      <c r="BN27" s="11">
        <v>-0.95</v>
      </c>
      <c r="BO27" s="11">
        <v>-0.75</v>
      </c>
      <c r="BP27" s="11">
        <v>9.39</v>
      </c>
      <c r="BQ27" s="11">
        <v>-2.29</v>
      </c>
    </row>
    <row r="28" spans="1:69" x14ac:dyDescent="0.4">
      <c r="A28" s="6" t="s">
        <v>17</v>
      </c>
      <c r="B28" s="4" t="s">
        <v>100</v>
      </c>
      <c r="C28" s="6"/>
      <c r="D28" s="11">
        <v>18.260000000000002</v>
      </c>
      <c r="E28" s="11">
        <v>0.73</v>
      </c>
      <c r="F28" s="11">
        <v>-34.4</v>
      </c>
      <c r="G28" s="11">
        <v>-10.6</v>
      </c>
      <c r="H28" s="11">
        <v>-3.84</v>
      </c>
      <c r="I28" s="11">
        <v>-23.37</v>
      </c>
      <c r="J28" s="11">
        <v>-8.9600000000000009</v>
      </c>
      <c r="K28" s="11">
        <v>-8.2200000000000006</v>
      </c>
      <c r="L28" s="11">
        <v>-11.83</v>
      </c>
      <c r="M28" s="11">
        <v>35.83</v>
      </c>
      <c r="N28" s="11">
        <v>2.4900000000000002</v>
      </c>
      <c r="O28" s="11">
        <v>-23.42</v>
      </c>
      <c r="P28" s="11">
        <v>-2.97</v>
      </c>
      <c r="Q28" s="11">
        <v>-12.29</v>
      </c>
      <c r="R28" s="11">
        <v>-4.55</v>
      </c>
      <c r="S28" s="11">
        <v>8.32</v>
      </c>
      <c r="T28" s="11">
        <v>107.15</v>
      </c>
      <c r="U28" s="11">
        <v>-4.47</v>
      </c>
      <c r="V28" s="11">
        <v>9.42</v>
      </c>
      <c r="W28" s="11">
        <v>43.7</v>
      </c>
      <c r="X28" s="11">
        <v>-37.33</v>
      </c>
      <c r="Y28" s="11">
        <v>-19.52</v>
      </c>
      <c r="Z28" s="11">
        <v>6.8</v>
      </c>
      <c r="AA28" s="11">
        <v>-1.25</v>
      </c>
      <c r="AB28" s="11">
        <v>8.73</v>
      </c>
      <c r="AC28" s="11">
        <v>51.93</v>
      </c>
      <c r="AD28" s="11">
        <v>-10.66</v>
      </c>
      <c r="AE28" s="11">
        <v>-0.63</v>
      </c>
      <c r="AF28" s="11">
        <v>-15.51</v>
      </c>
      <c r="AG28" s="11">
        <v>-11.95</v>
      </c>
      <c r="AH28" s="11">
        <v>-28.48</v>
      </c>
      <c r="AI28" s="11">
        <v>-46.47</v>
      </c>
      <c r="AJ28" s="11">
        <v>16.12</v>
      </c>
      <c r="AK28" s="11">
        <v>53.08</v>
      </c>
      <c r="AL28" s="11">
        <v>-0.73</v>
      </c>
      <c r="AM28" s="11">
        <v>-22.8</v>
      </c>
      <c r="AN28" s="11">
        <v>12.9</v>
      </c>
      <c r="AO28" s="11">
        <v>-9.48</v>
      </c>
      <c r="AP28" s="11">
        <v>-9.5299999999999994</v>
      </c>
      <c r="AQ28" s="11">
        <v>2.23</v>
      </c>
      <c r="AR28" s="11">
        <v>16.850000000000001</v>
      </c>
      <c r="AS28" s="11">
        <v>-10.1</v>
      </c>
      <c r="AT28" s="11">
        <v>26.94</v>
      </c>
      <c r="AU28" s="11">
        <v>4.08</v>
      </c>
      <c r="AV28" s="11">
        <v>17.23</v>
      </c>
      <c r="AW28" s="11">
        <v>-24.7</v>
      </c>
      <c r="AX28" s="11">
        <v>25.43</v>
      </c>
      <c r="AY28" s="11">
        <v>3.64</v>
      </c>
      <c r="AZ28" s="11">
        <v>2.29</v>
      </c>
      <c r="BA28" s="11">
        <v>6.24</v>
      </c>
      <c r="BB28" s="11">
        <v>-12.52</v>
      </c>
      <c r="BC28" s="11">
        <v>1.76</v>
      </c>
      <c r="BD28" s="11">
        <v>9.1300000000000008</v>
      </c>
      <c r="BE28" s="11">
        <v>4.3</v>
      </c>
      <c r="BF28" s="11">
        <v>10.17</v>
      </c>
      <c r="BG28" s="11">
        <v>10.130000000000001</v>
      </c>
      <c r="BH28" s="11">
        <v>11.75</v>
      </c>
      <c r="BI28" s="11">
        <v>16.55</v>
      </c>
      <c r="BJ28" s="11">
        <v>0.39</v>
      </c>
      <c r="BK28" s="11">
        <v>3.71</v>
      </c>
      <c r="BL28" s="11">
        <v>4.29</v>
      </c>
      <c r="BM28" s="11">
        <v>9.18</v>
      </c>
      <c r="BN28" s="11">
        <v>-8.5500000000000007</v>
      </c>
      <c r="BO28" s="11">
        <v>-13.84</v>
      </c>
      <c r="BP28" s="11">
        <v>-6.58</v>
      </c>
      <c r="BQ28" s="11">
        <v>-2.06</v>
      </c>
    </row>
    <row r="29" spans="1:69" x14ac:dyDescent="0.4">
      <c r="A29" s="6" t="s">
        <v>18</v>
      </c>
      <c r="B29" s="4" t="s">
        <v>101</v>
      </c>
      <c r="C29" s="6"/>
      <c r="D29" s="11">
        <v>10.36</v>
      </c>
      <c r="E29" s="11">
        <v>6.31</v>
      </c>
      <c r="F29" s="11">
        <v>-11.73</v>
      </c>
      <c r="G29" s="11">
        <v>7.07</v>
      </c>
      <c r="H29" s="11">
        <v>8.41</v>
      </c>
      <c r="I29" s="11">
        <v>-13.35</v>
      </c>
      <c r="J29" s="11">
        <v>-2.37</v>
      </c>
      <c r="K29" s="11">
        <v>-6.3</v>
      </c>
      <c r="L29" s="11">
        <v>-9.74</v>
      </c>
      <c r="M29" s="11">
        <v>28.57</v>
      </c>
      <c r="N29" s="11">
        <v>6.71</v>
      </c>
      <c r="O29" s="11">
        <v>-9.1999999999999993</v>
      </c>
      <c r="P29" s="11">
        <v>10.3</v>
      </c>
      <c r="Q29" s="11">
        <v>-10.07</v>
      </c>
      <c r="R29" s="11">
        <v>10.56</v>
      </c>
      <c r="S29" s="11">
        <v>30.57</v>
      </c>
      <c r="T29" s="11">
        <v>36.03</v>
      </c>
      <c r="U29" s="11">
        <v>1.28</v>
      </c>
      <c r="V29" s="11">
        <v>22.76</v>
      </c>
      <c r="W29" s="11">
        <v>56.99</v>
      </c>
      <c r="X29" s="11">
        <v>-10.53</v>
      </c>
      <c r="Y29" s="11">
        <v>-12.7</v>
      </c>
      <c r="Z29" s="11">
        <v>2.5099999999999998</v>
      </c>
      <c r="AA29" s="11">
        <v>13.41</v>
      </c>
      <c r="AB29" s="11">
        <v>-8.94</v>
      </c>
      <c r="AC29" s="11">
        <v>25.02</v>
      </c>
      <c r="AD29" s="11">
        <v>12.17</v>
      </c>
      <c r="AE29" s="11">
        <v>-1.48</v>
      </c>
      <c r="AF29" s="11">
        <v>-3.31</v>
      </c>
      <c r="AG29" s="11">
        <v>-1.9</v>
      </c>
      <c r="AH29" s="11">
        <v>-17.309999999999999</v>
      </c>
      <c r="AI29" s="11">
        <v>-21.41</v>
      </c>
      <c r="AJ29" s="11">
        <v>20.18</v>
      </c>
      <c r="AK29" s="11">
        <v>22.95</v>
      </c>
      <c r="AL29" s="11">
        <v>8.9600000000000009</v>
      </c>
      <c r="AM29" s="11">
        <v>-18.05</v>
      </c>
      <c r="AN29" s="11">
        <v>0.61</v>
      </c>
      <c r="AO29" s="11">
        <v>-7.51</v>
      </c>
      <c r="AP29" s="11">
        <v>7.99</v>
      </c>
      <c r="AQ29" s="11">
        <v>4.75</v>
      </c>
      <c r="AR29" s="11">
        <v>0.34</v>
      </c>
      <c r="AS29" s="11">
        <v>-0.61</v>
      </c>
      <c r="AT29" s="11">
        <v>21.51</v>
      </c>
      <c r="AU29" s="11">
        <v>-3.1</v>
      </c>
      <c r="AV29" s="11">
        <v>0.52</v>
      </c>
      <c r="AW29" s="11">
        <v>-5.75</v>
      </c>
      <c r="AX29" s="11">
        <v>15.09</v>
      </c>
      <c r="AY29" s="11">
        <v>2.87</v>
      </c>
      <c r="AZ29" s="11">
        <v>15.09</v>
      </c>
      <c r="BA29" s="11">
        <v>0.59</v>
      </c>
      <c r="BB29" s="11">
        <v>-7.93</v>
      </c>
      <c r="BC29" s="11">
        <v>0.79</v>
      </c>
      <c r="BD29" s="11">
        <v>7.55</v>
      </c>
      <c r="BE29" s="11">
        <v>-0.5</v>
      </c>
      <c r="BF29" s="11">
        <v>2.04</v>
      </c>
      <c r="BG29" s="11">
        <v>2</v>
      </c>
      <c r="BH29" s="11">
        <v>19.55</v>
      </c>
      <c r="BI29" s="11">
        <v>44.34</v>
      </c>
      <c r="BJ29" s="11">
        <v>2.17</v>
      </c>
      <c r="BK29" s="11">
        <v>9.6999999999999993</v>
      </c>
      <c r="BL29" s="11">
        <v>-3.54</v>
      </c>
      <c r="BM29" s="11">
        <v>9.3800000000000008</v>
      </c>
      <c r="BN29" s="11">
        <v>-6.76</v>
      </c>
      <c r="BO29" s="11">
        <v>-20.57</v>
      </c>
      <c r="BP29" s="11">
        <v>3.99</v>
      </c>
      <c r="BQ29" s="11">
        <v>9.66</v>
      </c>
    </row>
    <row r="30" spans="1:69" x14ac:dyDescent="0.4">
      <c r="A30" s="6" t="s">
        <v>19</v>
      </c>
      <c r="B30" s="4" t="s">
        <v>102</v>
      </c>
      <c r="C30" s="6"/>
      <c r="D30" s="11">
        <v>12.13</v>
      </c>
      <c r="E30" s="11">
        <v>-4.12</v>
      </c>
      <c r="F30" s="11">
        <v>2.89</v>
      </c>
      <c r="G30" s="11">
        <v>30.1</v>
      </c>
      <c r="H30" s="11">
        <v>33.35</v>
      </c>
      <c r="I30" s="11">
        <v>6.04</v>
      </c>
      <c r="J30" s="11">
        <v>-12.47</v>
      </c>
      <c r="K30" s="11">
        <v>-17.350000000000001</v>
      </c>
      <c r="L30" s="11">
        <v>-10.99</v>
      </c>
      <c r="M30" s="11">
        <v>-3.67</v>
      </c>
      <c r="N30" s="11">
        <v>36.11</v>
      </c>
      <c r="O30" s="11">
        <v>11.84</v>
      </c>
      <c r="P30" s="11">
        <v>19.059999999999999</v>
      </c>
      <c r="Q30" s="11">
        <v>-13.47</v>
      </c>
      <c r="R30" s="11">
        <v>-0.42</v>
      </c>
      <c r="S30" s="11">
        <v>8.98</v>
      </c>
      <c r="T30" s="11">
        <v>19.46</v>
      </c>
      <c r="U30" s="11">
        <v>-6.76</v>
      </c>
      <c r="V30" s="11">
        <v>19.75</v>
      </c>
      <c r="W30" s="11">
        <v>35.630000000000003</v>
      </c>
      <c r="X30" s="11">
        <v>0.63</v>
      </c>
      <c r="Y30" s="11">
        <v>4.82</v>
      </c>
      <c r="Z30" s="11">
        <v>-0.52</v>
      </c>
      <c r="AA30" s="11">
        <v>1.68</v>
      </c>
      <c r="AB30" s="11">
        <v>14.95</v>
      </c>
      <c r="AC30" s="11">
        <v>0.51</v>
      </c>
      <c r="AD30" s="11">
        <v>-2.71</v>
      </c>
      <c r="AE30" s="11">
        <v>-10.91</v>
      </c>
      <c r="AF30" s="11">
        <v>-5.07</v>
      </c>
      <c r="AG30" s="11">
        <v>6.67</v>
      </c>
      <c r="AH30" s="11">
        <v>-8.83</v>
      </c>
      <c r="AI30" s="11">
        <v>-43.69</v>
      </c>
      <c r="AJ30" s="11">
        <v>-8.64</v>
      </c>
      <c r="AK30" s="11">
        <v>44.61</v>
      </c>
      <c r="AL30" s="11">
        <v>28.34</v>
      </c>
      <c r="AM30" s="11">
        <v>8.07</v>
      </c>
      <c r="AN30" s="11">
        <v>-13.35</v>
      </c>
      <c r="AO30" s="11">
        <v>1.57</v>
      </c>
      <c r="AP30" s="11">
        <v>1.05</v>
      </c>
      <c r="AQ30" s="11">
        <v>3.85</v>
      </c>
      <c r="AR30" s="11">
        <v>3.38</v>
      </c>
      <c r="AS30" s="11">
        <v>-2.11</v>
      </c>
      <c r="AT30" s="11">
        <v>-10.94</v>
      </c>
      <c r="AU30" s="11">
        <v>-6.94</v>
      </c>
      <c r="AV30" s="11">
        <v>7.17</v>
      </c>
      <c r="AW30" s="11">
        <v>-9.77</v>
      </c>
      <c r="AX30" s="11">
        <v>-4.1399999999999997</v>
      </c>
      <c r="AY30" s="11">
        <v>-4.04</v>
      </c>
      <c r="AZ30" s="11">
        <v>22.98</v>
      </c>
      <c r="BA30" s="11">
        <v>-5.05</v>
      </c>
      <c r="BB30" s="11">
        <v>-5.16</v>
      </c>
      <c r="BC30" s="11">
        <v>12.8</v>
      </c>
      <c r="BD30" s="11">
        <v>0.64</v>
      </c>
      <c r="BE30" s="11">
        <v>-5.88</v>
      </c>
      <c r="BF30" s="11">
        <v>14.59</v>
      </c>
      <c r="BG30" s="11">
        <v>-11.38</v>
      </c>
      <c r="BH30" s="11">
        <v>-8.3000000000000007</v>
      </c>
      <c r="BI30" s="11">
        <v>1.01</v>
      </c>
      <c r="BJ30" s="11">
        <v>-9.18</v>
      </c>
      <c r="BK30" s="11">
        <v>-2.2599999999999998</v>
      </c>
      <c r="BL30" s="11">
        <v>-13.44</v>
      </c>
      <c r="BM30" s="11">
        <v>9.66</v>
      </c>
      <c r="BN30" s="11">
        <v>7.74</v>
      </c>
      <c r="BO30" s="11">
        <v>8.51</v>
      </c>
      <c r="BP30" s="11">
        <v>7.4</v>
      </c>
      <c r="BQ30" s="11">
        <v>11.4</v>
      </c>
    </row>
    <row r="31" spans="1:69" x14ac:dyDescent="0.4">
      <c r="A31" s="6" t="s">
        <v>20</v>
      </c>
      <c r="B31" s="4" t="s">
        <v>103</v>
      </c>
      <c r="C31" s="6"/>
      <c r="D31" s="11">
        <v>70.760000000000005</v>
      </c>
      <c r="E31" s="11">
        <v>2.86</v>
      </c>
      <c r="F31" s="11">
        <v>-20.8</v>
      </c>
      <c r="G31" s="11">
        <v>27.76</v>
      </c>
      <c r="H31" s="11">
        <v>32.11</v>
      </c>
      <c r="I31" s="11">
        <v>-26.32</v>
      </c>
      <c r="J31" s="11">
        <v>-6.55</v>
      </c>
      <c r="K31" s="11">
        <v>-5.73</v>
      </c>
      <c r="L31" s="11">
        <v>-22.48</v>
      </c>
      <c r="M31" s="11">
        <v>4.55</v>
      </c>
      <c r="N31" s="11">
        <v>18.239999999999998</v>
      </c>
      <c r="O31" s="11">
        <v>-18.54</v>
      </c>
      <c r="P31" s="11">
        <v>11.4</v>
      </c>
      <c r="Q31" s="11">
        <v>-24.98</v>
      </c>
      <c r="R31" s="11">
        <v>-1.74</v>
      </c>
      <c r="S31" s="11">
        <v>2.48</v>
      </c>
      <c r="T31" s="11">
        <v>65.39</v>
      </c>
      <c r="U31" s="11">
        <v>-11.01</v>
      </c>
      <c r="V31" s="11">
        <v>25.89</v>
      </c>
      <c r="W31" s="11">
        <v>67.48</v>
      </c>
      <c r="X31" s="11">
        <v>11.27</v>
      </c>
      <c r="Y31" s="11">
        <v>-14.11</v>
      </c>
      <c r="Z31" s="11">
        <v>8.41</v>
      </c>
      <c r="AA31" s="11">
        <v>8.8000000000000007</v>
      </c>
      <c r="AB31" s="11">
        <v>0.31</v>
      </c>
      <c r="AC31" s="11">
        <v>30.53</v>
      </c>
      <c r="AD31" s="11">
        <v>24.16</v>
      </c>
      <c r="AE31" s="11">
        <v>-0.5</v>
      </c>
      <c r="AF31" s="11">
        <v>-11.05</v>
      </c>
      <c r="AG31" s="11">
        <v>-8.35</v>
      </c>
      <c r="AH31" s="11">
        <v>-22.29</v>
      </c>
      <c r="AI31" s="11">
        <v>-24.98</v>
      </c>
      <c r="AJ31" s="11">
        <v>8.16</v>
      </c>
      <c r="AK31" s="11">
        <v>42.05</v>
      </c>
      <c r="AL31" s="11">
        <v>6.97</v>
      </c>
      <c r="AM31" s="11">
        <v>-19.739999999999998</v>
      </c>
      <c r="AN31" s="11">
        <v>-4.16</v>
      </c>
      <c r="AO31" s="11">
        <v>-7.92</v>
      </c>
      <c r="AP31" s="11">
        <v>9.27</v>
      </c>
      <c r="AQ31" s="11">
        <v>2.89</v>
      </c>
      <c r="AR31" s="11">
        <v>3.59</v>
      </c>
      <c r="AS31" s="11">
        <v>-9.89</v>
      </c>
      <c r="AT31" s="11">
        <v>-11.08</v>
      </c>
      <c r="AU31" s="11">
        <v>-17.489999999999998</v>
      </c>
      <c r="AV31" s="11">
        <v>26.68</v>
      </c>
      <c r="AW31" s="11">
        <v>-19.190000000000001</v>
      </c>
      <c r="AX31" s="11">
        <v>-1.1399999999999999</v>
      </c>
      <c r="AY31" s="11">
        <v>-0.16</v>
      </c>
      <c r="AZ31" s="11">
        <v>18.350000000000001</v>
      </c>
      <c r="BA31" s="11">
        <v>-4.0599999999999996</v>
      </c>
      <c r="BB31" s="11">
        <v>-17.25</v>
      </c>
      <c r="BC31" s="11">
        <v>2.27</v>
      </c>
      <c r="BD31" s="11">
        <v>-4.84</v>
      </c>
      <c r="BE31" s="11">
        <v>1.1499999999999999</v>
      </c>
      <c r="BF31" s="11">
        <v>26.57</v>
      </c>
      <c r="BG31" s="11">
        <v>-0.57999999999999996</v>
      </c>
      <c r="BH31" s="11">
        <v>2.0499999999999998</v>
      </c>
      <c r="BI31" s="11">
        <v>21.69</v>
      </c>
      <c r="BJ31" s="11">
        <v>-16.579999999999998</v>
      </c>
      <c r="BK31" s="11">
        <v>-12.26</v>
      </c>
      <c r="BL31" s="11">
        <v>-13.18</v>
      </c>
      <c r="BM31" s="11">
        <v>0.98</v>
      </c>
      <c r="BN31" s="11">
        <v>0.94</v>
      </c>
      <c r="BO31" s="11">
        <v>-7.17</v>
      </c>
      <c r="BP31" s="11">
        <v>13.59</v>
      </c>
      <c r="BQ31" s="11">
        <v>17.02</v>
      </c>
    </row>
    <row r="32" spans="1:69" x14ac:dyDescent="0.4">
      <c r="A32" s="6" t="s">
        <v>21</v>
      </c>
      <c r="B32" s="4" t="s">
        <v>104</v>
      </c>
      <c r="C32" s="6"/>
      <c r="D32" s="11">
        <v>16.649999999999999</v>
      </c>
      <c r="E32" s="11">
        <v>-3.18</v>
      </c>
      <c r="F32" s="11">
        <v>-8.24</v>
      </c>
      <c r="G32" s="11">
        <v>6.85</v>
      </c>
      <c r="H32" s="11">
        <v>23.7</v>
      </c>
      <c r="I32" s="11">
        <v>-16.149999999999999</v>
      </c>
      <c r="J32" s="11">
        <v>-21</v>
      </c>
      <c r="K32" s="11">
        <v>-19.54</v>
      </c>
      <c r="L32" s="11">
        <v>-25.02</v>
      </c>
      <c r="M32" s="11">
        <v>-21.75</v>
      </c>
      <c r="N32" s="11">
        <v>25.23</v>
      </c>
      <c r="O32" s="11">
        <v>-48.28</v>
      </c>
      <c r="P32" s="11">
        <v>-42.32</v>
      </c>
      <c r="Q32" s="11">
        <v>-2.12</v>
      </c>
      <c r="R32" s="11">
        <v>-9.99</v>
      </c>
      <c r="S32" s="11">
        <v>13.79</v>
      </c>
      <c r="T32" s="11">
        <v>72.09</v>
      </c>
      <c r="U32" s="11">
        <v>6.83</v>
      </c>
      <c r="V32" s="11">
        <v>-4.79</v>
      </c>
      <c r="W32" s="11">
        <v>59.96</v>
      </c>
      <c r="X32" s="11">
        <v>-6.09</v>
      </c>
      <c r="Y32" s="11">
        <v>-3.73</v>
      </c>
      <c r="Z32" s="11">
        <v>18.079999999999998</v>
      </c>
      <c r="AA32" s="11">
        <v>6.02</v>
      </c>
      <c r="AB32" s="11">
        <v>3.45</v>
      </c>
      <c r="AC32" s="11">
        <v>-13.23</v>
      </c>
      <c r="AD32" s="11">
        <v>-0.34</v>
      </c>
      <c r="AE32" s="11">
        <v>-5.21</v>
      </c>
      <c r="AF32" s="11">
        <v>-7.07</v>
      </c>
      <c r="AG32" s="11">
        <v>-0.37</v>
      </c>
      <c r="AH32" s="11">
        <v>-23.9</v>
      </c>
      <c r="AI32" s="11">
        <v>-20.51</v>
      </c>
      <c r="AJ32" s="11">
        <v>-14.6</v>
      </c>
      <c r="AK32" s="11">
        <v>59.44</v>
      </c>
      <c r="AL32" s="11">
        <v>6.44</v>
      </c>
      <c r="AM32" s="11">
        <v>-5.44</v>
      </c>
      <c r="AN32" s="11">
        <v>-2.29</v>
      </c>
      <c r="AO32" s="11">
        <v>-7.16</v>
      </c>
      <c r="AP32" s="11">
        <v>5.77</v>
      </c>
      <c r="AQ32" s="11">
        <v>12.78</v>
      </c>
      <c r="AR32" s="11">
        <v>-13.61</v>
      </c>
      <c r="AS32" s="11">
        <v>-0.59</v>
      </c>
      <c r="AT32" s="11">
        <v>-3.64</v>
      </c>
      <c r="AU32" s="11">
        <v>-16.8</v>
      </c>
      <c r="AV32" s="11">
        <v>4.84</v>
      </c>
      <c r="AW32" s="11">
        <v>-19.54</v>
      </c>
      <c r="AX32" s="11">
        <v>9.0299999999999994</v>
      </c>
      <c r="AY32" s="11">
        <v>0.01</v>
      </c>
      <c r="AZ32" s="11">
        <v>6.06</v>
      </c>
      <c r="BA32" s="11">
        <v>5.0999999999999996</v>
      </c>
      <c r="BB32" s="11">
        <v>-8.93</v>
      </c>
      <c r="BC32" s="11">
        <v>2.7</v>
      </c>
      <c r="BD32" s="11">
        <v>-7.59</v>
      </c>
      <c r="BE32" s="11">
        <v>8.17</v>
      </c>
      <c r="BF32" s="11">
        <v>21.47</v>
      </c>
      <c r="BG32" s="11">
        <v>-1.83</v>
      </c>
      <c r="BH32" s="11">
        <v>-11.29</v>
      </c>
      <c r="BI32" s="11">
        <v>12.92</v>
      </c>
      <c r="BJ32" s="11">
        <v>-8.67</v>
      </c>
      <c r="BK32" s="11">
        <v>-9.8000000000000007</v>
      </c>
      <c r="BL32" s="11">
        <v>-0.28999999999999998</v>
      </c>
      <c r="BM32" s="11">
        <v>11.51</v>
      </c>
      <c r="BN32" s="11">
        <v>10.11</v>
      </c>
      <c r="BO32" s="11">
        <v>-5.45</v>
      </c>
      <c r="BP32" s="11">
        <v>2.29</v>
      </c>
      <c r="BQ32" s="11">
        <v>1.61</v>
      </c>
    </row>
    <row r="33" spans="1:69" x14ac:dyDescent="0.4">
      <c r="A33" s="6" t="s">
        <v>22</v>
      </c>
      <c r="B33" s="4" t="s">
        <v>105</v>
      </c>
      <c r="C33" s="6"/>
      <c r="D33" s="11">
        <v>18.77</v>
      </c>
      <c r="E33" s="11">
        <v>15.15</v>
      </c>
      <c r="F33" s="11">
        <v>-3.1</v>
      </c>
      <c r="G33" s="11">
        <v>36.01</v>
      </c>
      <c r="H33" s="11">
        <v>38.380000000000003</v>
      </c>
      <c r="I33" s="11">
        <v>8.82</v>
      </c>
      <c r="J33" s="11">
        <v>-0.93</v>
      </c>
      <c r="K33" s="11">
        <v>-8.48</v>
      </c>
      <c r="L33" s="11">
        <v>-22.74</v>
      </c>
      <c r="M33" s="11">
        <v>17.29</v>
      </c>
      <c r="N33" s="11">
        <v>4.13</v>
      </c>
      <c r="O33" s="11">
        <v>3.85</v>
      </c>
      <c r="P33" s="11">
        <v>16.21</v>
      </c>
      <c r="Q33" s="11">
        <v>-1.66</v>
      </c>
      <c r="R33" s="11">
        <v>-8.2799999999999994</v>
      </c>
      <c r="S33" s="11">
        <v>16.88</v>
      </c>
      <c r="T33" s="11">
        <v>20.02</v>
      </c>
      <c r="U33" s="11">
        <v>-6.48</v>
      </c>
      <c r="V33" s="11">
        <v>36.33</v>
      </c>
      <c r="W33" s="11">
        <v>24.57</v>
      </c>
      <c r="X33" s="11">
        <v>7.23</v>
      </c>
      <c r="Y33" s="11">
        <v>8.51</v>
      </c>
      <c r="Z33" s="11">
        <v>-2.73</v>
      </c>
      <c r="AA33" s="11">
        <v>8.7100000000000009</v>
      </c>
      <c r="AB33" s="11">
        <v>14.61</v>
      </c>
      <c r="AC33" s="11">
        <v>5.32</v>
      </c>
      <c r="AD33" s="11">
        <v>18.61</v>
      </c>
      <c r="AE33" s="11">
        <v>19.14</v>
      </c>
      <c r="AF33" s="11">
        <v>-17.260000000000002</v>
      </c>
      <c r="AG33" s="11">
        <v>15.82</v>
      </c>
      <c r="AH33" s="11">
        <v>-13.08</v>
      </c>
      <c r="AI33" s="11">
        <v>-17.47</v>
      </c>
      <c r="AJ33" s="11">
        <v>-13.33</v>
      </c>
      <c r="AK33" s="11">
        <v>25.04</v>
      </c>
      <c r="AL33" s="11">
        <v>25.58</v>
      </c>
      <c r="AM33" s="11">
        <v>-9.85</v>
      </c>
      <c r="AN33" s="11">
        <v>-7.84</v>
      </c>
      <c r="AO33" s="11">
        <v>-2.41</v>
      </c>
      <c r="AP33" s="11">
        <v>3.45</v>
      </c>
      <c r="AQ33" s="11">
        <v>-4.1500000000000004</v>
      </c>
      <c r="AR33" s="11">
        <v>12.13</v>
      </c>
      <c r="AS33" s="11">
        <v>-7.58</v>
      </c>
      <c r="AT33" s="11">
        <v>3.7</v>
      </c>
      <c r="AU33" s="11">
        <v>3.28</v>
      </c>
      <c r="AV33" s="11">
        <v>1.67</v>
      </c>
      <c r="AW33" s="11">
        <v>-1.63</v>
      </c>
      <c r="AX33" s="11">
        <v>4.74</v>
      </c>
      <c r="AY33" s="11">
        <v>-1.48</v>
      </c>
      <c r="AZ33" s="11">
        <v>5.66</v>
      </c>
      <c r="BA33" s="11">
        <v>1.61</v>
      </c>
      <c r="BB33" s="11">
        <v>0.72</v>
      </c>
      <c r="BC33" s="11">
        <v>6.11</v>
      </c>
      <c r="BD33" s="11">
        <v>-4.8499999999999996</v>
      </c>
      <c r="BE33" s="11">
        <v>2.38</v>
      </c>
      <c r="BF33" s="11">
        <v>5.25</v>
      </c>
      <c r="BG33" s="11">
        <v>5.04</v>
      </c>
      <c r="BH33" s="11">
        <v>-14.26</v>
      </c>
      <c r="BI33" s="11">
        <v>12.51</v>
      </c>
      <c r="BJ33" s="11">
        <v>-7.3</v>
      </c>
      <c r="BK33" s="11">
        <v>7.18</v>
      </c>
      <c r="BL33" s="11">
        <v>-1.0900000000000001</v>
      </c>
      <c r="BM33" s="11">
        <v>-3.76</v>
      </c>
      <c r="BN33" s="11">
        <v>-3.3</v>
      </c>
      <c r="BO33" s="11">
        <v>8.43</v>
      </c>
      <c r="BP33" s="11">
        <v>-10.57</v>
      </c>
      <c r="BQ33" s="11">
        <v>13.29</v>
      </c>
    </row>
    <row r="34" spans="1:69" x14ac:dyDescent="0.4">
      <c r="A34" s="6" t="s">
        <v>23</v>
      </c>
      <c r="B34" s="4" t="s">
        <v>106</v>
      </c>
      <c r="C34" s="6"/>
      <c r="D34" s="11">
        <v>39.86</v>
      </c>
      <c r="E34" s="11">
        <v>16.34</v>
      </c>
      <c r="F34" s="11">
        <v>-29.64</v>
      </c>
      <c r="G34" s="11">
        <v>-0.9</v>
      </c>
      <c r="H34" s="11">
        <v>-14.31</v>
      </c>
      <c r="I34" s="11">
        <v>-7.25</v>
      </c>
      <c r="J34" s="11">
        <v>-14.51</v>
      </c>
      <c r="K34" s="11">
        <v>-14.22</v>
      </c>
      <c r="L34" s="11">
        <v>-18.850000000000001</v>
      </c>
      <c r="M34" s="11">
        <v>4.6900000000000004</v>
      </c>
      <c r="N34" s="11">
        <v>18.489999999999998</v>
      </c>
      <c r="O34" s="11">
        <v>-0.59</v>
      </c>
      <c r="P34" s="11">
        <v>-16.18</v>
      </c>
      <c r="Q34" s="11">
        <v>-5.77</v>
      </c>
      <c r="R34" s="11">
        <v>-2.1800000000000002</v>
      </c>
      <c r="S34" s="11">
        <v>21.91</v>
      </c>
      <c r="T34" s="11">
        <v>25.89</v>
      </c>
      <c r="U34" s="11">
        <v>-8.69</v>
      </c>
      <c r="V34" s="11">
        <v>17.420000000000002</v>
      </c>
      <c r="W34" s="11">
        <v>77.63</v>
      </c>
      <c r="X34" s="11">
        <v>24.75</v>
      </c>
      <c r="Y34" s="11">
        <v>-33.159999999999997</v>
      </c>
      <c r="Z34" s="11">
        <v>-11.09</v>
      </c>
      <c r="AA34" s="11">
        <v>21.48</v>
      </c>
      <c r="AB34" s="11">
        <v>-11.02</v>
      </c>
      <c r="AC34" s="11">
        <v>8.31</v>
      </c>
      <c r="AD34" s="11">
        <v>37.76</v>
      </c>
      <c r="AE34" s="11">
        <v>-27.45</v>
      </c>
      <c r="AF34" s="11">
        <v>14.03</v>
      </c>
      <c r="AG34" s="11">
        <v>0.11</v>
      </c>
      <c r="AH34" s="11">
        <v>-22.49</v>
      </c>
      <c r="AI34" s="11">
        <v>-40.86</v>
      </c>
      <c r="AJ34" s="11">
        <v>35.93</v>
      </c>
      <c r="AK34" s="11">
        <v>28.17</v>
      </c>
      <c r="AL34" s="11">
        <v>-1.29</v>
      </c>
      <c r="AM34" s="11">
        <v>-21.34</v>
      </c>
      <c r="AN34" s="11">
        <v>18.03</v>
      </c>
      <c r="AO34" s="11">
        <v>16.64</v>
      </c>
      <c r="AP34" s="11">
        <v>-17.829999999999998</v>
      </c>
      <c r="AQ34" s="11">
        <v>-3.25</v>
      </c>
      <c r="AR34" s="11">
        <v>14.52</v>
      </c>
      <c r="AS34" s="11">
        <v>-18.239999999999998</v>
      </c>
      <c r="AT34" s="11">
        <v>20.6</v>
      </c>
      <c r="AU34" s="11">
        <v>-1.95</v>
      </c>
      <c r="AV34" s="11">
        <v>32.35</v>
      </c>
      <c r="AW34" s="11">
        <v>20.2</v>
      </c>
      <c r="AX34" s="11">
        <v>-12.79</v>
      </c>
      <c r="AY34" s="11">
        <v>3.08</v>
      </c>
      <c r="AZ34" s="11">
        <v>12.53</v>
      </c>
      <c r="BA34" s="11">
        <v>17.72</v>
      </c>
      <c r="BB34" s="11">
        <v>7.6</v>
      </c>
      <c r="BC34" s="11">
        <v>6.04</v>
      </c>
      <c r="BD34" s="11">
        <v>14.47</v>
      </c>
      <c r="BE34" s="11">
        <v>32.4</v>
      </c>
      <c r="BF34" s="11">
        <v>11.79</v>
      </c>
      <c r="BG34" s="11">
        <v>-16.059999999999999</v>
      </c>
      <c r="BH34" s="11">
        <v>10.82</v>
      </c>
      <c r="BI34" s="11">
        <v>-7.06</v>
      </c>
      <c r="BJ34" s="11">
        <v>3.38</v>
      </c>
      <c r="BK34" s="11">
        <v>-10.85</v>
      </c>
      <c r="BL34" s="11">
        <v>6.48</v>
      </c>
      <c r="BM34" s="11">
        <v>-2.36</v>
      </c>
      <c r="BN34" s="11">
        <v>-18.68</v>
      </c>
      <c r="BO34" s="11">
        <v>-0.92</v>
      </c>
      <c r="BP34" s="11">
        <v>7.27</v>
      </c>
      <c r="BQ34" s="11">
        <v>9.4600000000000009</v>
      </c>
    </row>
    <row r="35" spans="1:69" x14ac:dyDescent="0.4">
      <c r="A35" s="6" t="s">
        <v>24</v>
      </c>
      <c r="B35" s="4" t="s">
        <v>107</v>
      </c>
      <c r="C35" s="6"/>
      <c r="D35" s="11">
        <v>-10.91</v>
      </c>
      <c r="E35" s="11">
        <v>6.7</v>
      </c>
      <c r="F35" s="11">
        <v>-29.89</v>
      </c>
      <c r="G35" s="11">
        <v>-2.09</v>
      </c>
      <c r="H35" s="11">
        <v>-1.93</v>
      </c>
      <c r="I35" s="11">
        <v>11.77</v>
      </c>
      <c r="J35" s="11">
        <v>12.07</v>
      </c>
      <c r="K35" s="11">
        <v>-20.97</v>
      </c>
      <c r="L35" s="11">
        <v>-22.1</v>
      </c>
      <c r="M35" s="11">
        <v>20.010000000000002</v>
      </c>
      <c r="N35" s="11">
        <v>17.97</v>
      </c>
      <c r="O35" s="11">
        <v>19.38</v>
      </c>
      <c r="P35" s="11">
        <v>6.55</v>
      </c>
      <c r="Q35" s="11">
        <v>-21.99</v>
      </c>
      <c r="R35" s="11">
        <v>2.72</v>
      </c>
      <c r="S35" s="11">
        <v>-1.43</v>
      </c>
      <c r="T35" s="11">
        <v>21.29</v>
      </c>
      <c r="U35" s="11">
        <v>-8.11</v>
      </c>
      <c r="V35" s="11">
        <v>-1.1599999999999999</v>
      </c>
      <c r="W35" s="11">
        <v>19.53</v>
      </c>
      <c r="X35" s="11">
        <v>-4.5199999999999996</v>
      </c>
      <c r="Y35" s="11">
        <v>4.5199999999999996</v>
      </c>
      <c r="Z35" s="11">
        <v>6.51</v>
      </c>
      <c r="AA35" s="11">
        <v>8.15</v>
      </c>
      <c r="AB35" s="11">
        <v>2.95</v>
      </c>
      <c r="AC35" s="11">
        <v>13.85</v>
      </c>
      <c r="AD35" s="11">
        <v>14.61</v>
      </c>
      <c r="AE35" s="11">
        <v>-0.37</v>
      </c>
      <c r="AF35" s="11">
        <v>-2.79</v>
      </c>
      <c r="AG35" s="11">
        <v>-8.39</v>
      </c>
      <c r="AH35" s="11">
        <v>-10.84</v>
      </c>
      <c r="AI35" s="11">
        <v>-24.53</v>
      </c>
      <c r="AJ35" s="11">
        <v>11.44</v>
      </c>
      <c r="AK35" s="11">
        <v>5.96</v>
      </c>
      <c r="AL35" s="11">
        <v>1.76</v>
      </c>
      <c r="AM35" s="11">
        <v>-4.46</v>
      </c>
      <c r="AN35" s="11">
        <v>5.95</v>
      </c>
      <c r="AO35" s="11">
        <v>9.7899999999999991</v>
      </c>
      <c r="AP35" s="11">
        <v>0.77</v>
      </c>
      <c r="AQ35" s="11">
        <v>23</v>
      </c>
      <c r="AR35" s="11">
        <v>0.62</v>
      </c>
      <c r="AS35" s="11">
        <v>-4.3</v>
      </c>
      <c r="AT35" s="11">
        <v>-7.23</v>
      </c>
      <c r="AU35" s="11">
        <v>-4.42</v>
      </c>
      <c r="AV35" s="11">
        <v>0.91</v>
      </c>
      <c r="AW35" s="11">
        <v>-5.79</v>
      </c>
      <c r="AX35" s="11">
        <v>9.8800000000000008</v>
      </c>
      <c r="AY35" s="11">
        <v>6.3</v>
      </c>
      <c r="AZ35" s="11">
        <v>12.34</v>
      </c>
      <c r="BA35" s="11">
        <v>17.13</v>
      </c>
      <c r="BB35" s="11">
        <v>-1.29</v>
      </c>
      <c r="BC35" s="11">
        <v>14.92</v>
      </c>
      <c r="BD35" s="11">
        <v>3.44</v>
      </c>
      <c r="BE35" s="11">
        <v>2.94</v>
      </c>
      <c r="BF35" s="11">
        <v>11.16</v>
      </c>
      <c r="BG35" s="11">
        <v>11.93</v>
      </c>
      <c r="BH35" s="11">
        <v>19.63</v>
      </c>
      <c r="BI35" s="11">
        <v>22.07</v>
      </c>
      <c r="BJ35" s="11">
        <v>33.53</v>
      </c>
      <c r="BK35" s="11">
        <v>-4.0999999999999996</v>
      </c>
      <c r="BL35" s="11">
        <v>-17.510000000000002</v>
      </c>
      <c r="BM35" s="11">
        <v>-2.37</v>
      </c>
      <c r="BN35" s="11">
        <v>-3.42</v>
      </c>
      <c r="BO35" s="11">
        <v>-12.04</v>
      </c>
      <c r="BP35" s="11">
        <v>4.84</v>
      </c>
      <c r="BQ35" s="11">
        <v>9.2200000000000006</v>
      </c>
    </row>
    <row r="36" spans="1:69" x14ac:dyDescent="0.4">
      <c r="A36" s="6" t="s">
        <v>25</v>
      </c>
      <c r="B36" s="4" t="s">
        <v>108</v>
      </c>
      <c r="C36" s="6"/>
      <c r="D36" s="11">
        <v>30.18</v>
      </c>
      <c r="E36" s="11">
        <v>9.74</v>
      </c>
      <c r="F36" s="11">
        <v>-30.76</v>
      </c>
      <c r="G36" s="11">
        <v>-4.6500000000000004</v>
      </c>
      <c r="H36" s="11">
        <v>-0.31</v>
      </c>
      <c r="I36" s="11">
        <v>-24.38</v>
      </c>
      <c r="J36" s="11">
        <v>-24.08</v>
      </c>
      <c r="K36" s="11">
        <v>-17</v>
      </c>
      <c r="L36" s="11">
        <v>-8.86</v>
      </c>
      <c r="M36" s="11">
        <v>60.93</v>
      </c>
      <c r="N36" s="11">
        <v>5.23</v>
      </c>
      <c r="O36" s="11">
        <v>-13.34</v>
      </c>
      <c r="P36" s="11">
        <v>-5.6</v>
      </c>
      <c r="Q36" s="11">
        <v>3.97</v>
      </c>
      <c r="R36" s="11">
        <v>-14.9</v>
      </c>
      <c r="S36" s="11">
        <v>-4.01</v>
      </c>
      <c r="T36" s="11">
        <v>12.68</v>
      </c>
      <c r="U36" s="11">
        <v>0.87</v>
      </c>
      <c r="V36" s="11">
        <v>7.07</v>
      </c>
      <c r="W36" s="11">
        <v>67.92</v>
      </c>
      <c r="X36" s="11">
        <v>-3.32</v>
      </c>
      <c r="Y36" s="11">
        <v>-2.66</v>
      </c>
      <c r="Z36" s="11">
        <v>-7.12</v>
      </c>
      <c r="AA36" s="11">
        <v>12.72</v>
      </c>
      <c r="AB36" s="11">
        <v>10.06</v>
      </c>
      <c r="AC36" s="11">
        <v>25.79</v>
      </c>
      <c r="AD36" s="11">
        <v>-0.99</v>
      </c>
      <c r="AE36" s="11">
        <v>15.79</v>
      </c>
      <c r="AF36" s="11">
        <v>-17.07</v>
      </c>
      <c r="AG36" s="11">
        <v>-3.39</v>
      </c>
      <c r="AH36" s="11">
        <v>-25.92</v>
      </c>
      <c r="AI36" s="11">
        <v>-27.25</v>
      </c>
      <c r="AJ36" s="11">
        <v>18.27</v>
      </c>
      <c r="AK36" s="11">
        <v>64.430000000000007</v>
      </c>
      <c r="AL36" s="11">
        <v>-14.13</v>
      </c>
      <c r="AM36" s="11">
        <v>4.68</v>
      </c>
      <c r="AN36" s="11">
        <v>3.21</v>
      </c>
      <c r="AO36" s="11">
        <v>1.83</v>
      </c>
      <c r="AP36" s="11">
        <v>6.78</v>
      </c>
      <c r="AQ36" s="11">
        <v>4.78</v>
      </c>
      <c r="AR36" s="11">
        <v>-2.2200000000000002</v>
      </c>
      <c r="AS36" s="11">
        <v>7.27</v>
      </c>
      <c r="AT36" s="11">
        <v>14.27</v>
      </c>
      <c r="AU36" s="11">
        <v>11.34</v>
      </c>
      <c r="AV36" s="11">
        <v>-5.47</v>
      </c>
      <c r="AW36" s="11">
        <v>-6.45</v>
      </c>
      <c r="AX36" s="11">
        <v>10.02</v>
      </c>
      <c r="AY36" s="11">
        <v>-11.41</v>
      </c>
      <c r="AZ36" s="11">
        <v>1.93</v>
      </c>
      <c r="BA36" s="11">
        <v>10.61</v>
      </c>
      <c r="BB36" s="11">
        <v>-10.79</v>
      </c>
      <c r="BC36" s="11">
        <v>23.93</v>
      </c>
      <c r="BD36" s="11">
        <v>9.6</v>
      </c>
      <c r="BE36" s="11">
        <v>-4.41</v>
      </c>
      <c r="BF36" s="11">
        <v>5.64</v>
      </c>
      <c r="BG36" s="11">
        <v>2.48</v>
      </c>
      <c r="BH36" s="11">
        <v>-6.16</v>
      </c>
      <c r="BI36" s="11">
        <v>2.02</v>
      </c>
      <c r="BJ36" s="11">
        <v>-7.64</v>
      </c>
      <c r="BK36" s="11">
        <v>5.25</v>
      </c>
      <c r="BL36" s="11">
        <v>-12.03</v>
      </c>
      <c r="BM36" s="11">
        <v>11.78</v>
      </c>
      <c r="BN36" s="11">
        <v>2.48</v>
      </c>
      <c r="BO36" s="11">
        <v>-6.69</v>
      </c>
      <c r="BP36" s="11">
        <v>0.47</v>
      </c>
      <c r="BQ36" s="11">
        <v>11.56</v>
      </c>
    </row>
    <row r="37" spans="1:69" x14ac:dyDescent="0.4">
      <c r="A37" s="6" t="s">
        <v>26</v>
      </c>
      <c r="B37" s="4" t="s">
        <v>109</v>
      </c>
      <c r="C37" s="6"/>
      <c r="D37" s="11">
        <v>11.12</v>
      </c>
      <c r="E37" s="11">
        <v>2.23</v>
      </c>
      <c r="F37" s="11">
        <v>-32.159999999999997</v>
      </c>
      <c r="G37" s="11">
        <v>5.9</v>
      </c>
      <c r="H37" s="11">
        <v>25.01</v>
      </c>
      <c r="I37" s="11">
        <v>-6.15</v>
      </c>
      <c r="J37" s="11">
        <v>-19.39</v>
      </c>
      <c r="K37" s="11">
        <v>-8.2200000000000006</v>
      </c>
      <c r="L37" s="11">
        <v>-17.66</v>
      </c>
      <c r="M37" s="11">
        <v>-0.02</v>
      </c>
      <c r="N37" s="11">
        <v>16.760000000000002</v>
      </c>
      <c r="O37" s="11">
        <v>-8.84</v>
      </c>
      <c r="P37" s="11">
        <v>-0.01</v>
      </c>
      <c r="Q37" s="11">
        <v>-10.92</v>
      </c>
      <c r="R37" s="11">
        <v>-15.24</v>
      </c>
      <c r="S37" s="11">
        <v>-9.16</v>
      </c>
      <c r="T37" s="11">
        <v>25.89</v>
      </c>
      <c r="U37" s="11">
        <v>-14.07</v>
      </c>
      <c r="V37" s="11">
        <v>1.89</v>
      </c>
      <c r="W37" s="11">
        <v>32.6</v>
      </c>
      <c r="X37" s="11">
        <v>8.67</v>
      </c>
      <c r="Y37" s="11">
        <v>-16.48</v>
      </c>
      <c r="Z37" s="11">
        <v>-2.64</v>
      </c>
      <c r="AA37" s="11">
        <v>7.49</v>
      </c>
      <c r="AB37" s="11">
        <v>-10.08</v>
      </c>
      <c r="AC37" s="11">
        <v>22.28</v>
      </c>
      <c r="AD37" s="11">
        <v>12.12</v>
      </c>
      <c r="AE37" s="11">
        <v>-17.64</v>
      </c>
      <c r="AF37" s="11">
        <v>-10.32</v>
      </c>
      <c r="AG37" s="11">
        <v>4.62</v>
      </c>
      <c r="AH37" s="11">
        <v>-31.48</v>
      </c>
      <c r="AI37" s="11">
        <v>-27.27</v>
      </c>
      <c r="AJ37" s="11">
        <v>10.58</v>
      </c>
      <c r="AK37" s="11">
        <v>69.42</v>
      </c>
      <c r="AL37" s="11">
        <v>10.01</v>
      </c>
      <c r="AM37" s="11">
        <v>-2.98</v>
      </c>
      <c r="AN37" s="11">
        <v>6.91</v>
      </c>
      <c r="AO37" s="11">
        <v>11.56</v>
      </c>
      <c r="AP37" s="11">
        <v>-8.64</v>
      </c>
      <c r="AQ37" s="11">
        <v>2.4300000000000002</v>
      </c>
      <c r="AR37" s="11">
        <v>-2.61</v>
      </c>
      <c r="AS37" s="11">
        <v>-14.43</v>
      </c>
      <c r="AT37" s="11">
        <v>-20.420000000000002</v>
      </c>
      <c r="AU37" s="11">
        <v>11.98</v>
      </c>
      <c r="AV37" s="11">
        <v>15.55</v>
      </c>
      <c r="AW37" s="11">
        <v>-2.88</v>
      </c>
      <c r="AX37" s="11">
        <v>2.35</v>
      </c>
      <c r="AY37" s="11">
        <v>7.64</v>
      </c>
      <c r="AZ37" s="11">
        <v>3.85</v>
      </c>
      <c r="BA37" s="11">
        <v>9.94</v>
      </c>
      <c r="BB37" s="11">
        <v>-15.53</v>
      </c>
      <c r="BC37" s="11">
        <v>-5.38</v>
      </c>
      <c r="BD37" s="11">
        <v>-8.98</v>
      </c>
      <c r="BE37" s="11">
        <v>-2.99</v>
      </c>
      <c r="BF37" s="11">
        <v>-8.2899999999999991</v>
      </c>
      <c r="BG37" s="11">
        <v>-1.91</v>
      </c>
      <c r="BH37" s="11">
        <v>16.96</v>
      </c>
      <c r="BI37" s="11">
        <v>-6.77</v>
      </c>
      <c r="BJ37" s="11">
        <v>-2.2200000000000002</v>
      </c>
      <c r="BK37" s="11">
        <v>10.85</v>
      </c>
      <c r="BL37" s="11">
        <v>-8.6999999999999993</v>
      </c>
      <c r="BM37" s="11">
        <v>1.92</v>
      </c>
      <c r="BN37" s="11">
        <v>0.75</v>
      </c>
      <c r="BO37" s="11">
        <v>-12.81</v>
      </c>
      <c r="BP37" s="11">
        <v>11.11</v>
      </c>
      <c r="BQ37" s="11">
        <v>11.84</v>
      </c>
    </row>
    <row r="38" spans="1:69" x14ac:dyDescent="0.4">
      <c r="A38" s="6" t="s">
        <v>27</v>
      </c>
      <c r="B38" s="4" t="s">
        <v>110</v>
      </c>
      <c r="C38" s="6"/>
      <c r="D38" s="11">
        <v>1.34</v>
      </c>
      <c r="E38" s="11">
        <v>12.27</v>
      </c>
      <c r="F38" s="11">
        <v>-19.54</v>
      </c>
      <c r="G38" s="11">
        <v>15</v>
      </c>
      <c r="H38" s="11">
        <v>52.49</v>
      </c>
      <c r="I38" s="11">
        <v>-3.07</v>
      </c>
      <c r="J38" s="11">
        <v>-6.41</v>
      </c>
      <c r="K38" s="11">
        <v>14.33</v>
      </c>
      <c r="L38" s="11">
        <v>-28.4</v>
      </c>
      <c r="M38" s="11">
        <v>14.9</v>
      </c>
      <c r="N38" s="11">
        <v>36.119999999999997</v>
      </c>
      <c r="O38" s="11">
        <v>4.37</v>
      </c>
      <c r="P38" s="11">
        <v>19.989999999999998</v>
      </c>
      <c r="Q38" s="11">
        <v>-5.89</v>
      </c>
      <c r="R38" s="11">
        <v>-10.98</v>
      </c>
      <c r="S38" s="11">
        <v>-4.67</v>
      </c>
      <c r="T38" s="11">
        <v>23.57</v>
      </c>
      <c r="U38" s="11">
        <v>-6.65</v>
      </c>
      <c r="V38" s="11">
        <v>12.75</v>
      </c>
      <c r="W38" s="11">
        <v>10.42</v>
      </c>
      <c r="X38" s="11">
        <v>16.71</v>
      </c>
      <c r="Y38" s="11">
        <v>-10.32</v>
      </c>
      <c r="Z38" s="11">
        <v>7.14</v>
      </c>
      <c r="AA38" s="11">
        <v>-1.92</v>
      </c>
      <c r="AB38" s="11">
        <v>-9.9700000000000006</v>
      </c>
      <c r="AC38" s="11">
        <v>-4.96</v>
      </c>
      <c r="AD38" s="11">
        <v>11.8</v>
      </c>
      <c r="AE38" s="11">
        <v>-5.93</v>
      </c>
      <c r="AF38" s="11">
        <v>-1.24</v>
      </c>
      <c r="AG38" s="11">
        <v>30.48</v>
      </c>
      <c r="AH38" s="11">
        <v>-30.05</v>
      </c>
      <c r="AI38" s="11">
        <v>-14.14</v>
      </c>
      <c r="AJ38" s="11">
        <v>0.12</v>
      </c>
      <c r="AK38" s="11">
        <v>20.100000000000001</v>
      </c>
      <c r="AL38" s="11">
        <v>40.26</v>
      </c>
      <c r="AM38" s="11">
        <v>-6.78</v>
      </c>
      <c r="AN38" s="11">
        <v>1.66</v>
      </c>
      <c r="AO38" s="11">
        <v>6.58</v>
      </c>
      <c r="AP38" s="11">
        <v>-4.46</v>
      </c>
      <c r="AQ38" s="11">
        <v>6.3</v>
      </c>
      <c r="AR38" s="11">
        <v>11.28</v>
      </c>
      <c r="AS38" s="11">
        <v>-1.76</v>
      </c>
      <c r="AT38" s="11">
        <v>-19.53</v>
      </c>
      <c r="AU38" s="11">
        <v>31.98</v>
      </c>
      <c r="AV38" s="11">
        <v>20.5</v>
      </c>
      <c r="AW38" s="11">
        <v>-2.91</v>
      </c>
      <c r="AX38" s="11">
        <v>1.05</v>
      </c>
      <c r="AY38" s="11">
        <v>14.38</v>
      </c>
      <c r="AZ38" s="11">
        <v>8.85</v>
      </c>
      <c r="BA38" s="11">
        <v>1.76</v>
      </c>
      <c r="BB38" s="11">
        <v>-11.64</v>
      </c>
      <c r="BC38" s="11">
        <v>12.27</v>
      </c>
      <c r="BD38" s="11">
        <v>-7.37</v>
      </c>
      <c r="BE38" s="11">
        <v>7.99</v>
      </c>
      <c r="BF38" s="11">
        <v>-12.15</v>
      </c>
      <c r="BG38" s="11">
        <v>3.83</v>
      </c>
      <c r="BH38" s="11">
        <v>6.18</v>
      </c>
      <c r="BI38" s="11">
        <v>-0.59</v>
      </c>
      <c r="BJ38" s="11">
        <v>-18.72</v>
      </c>
      <c r="BK38" s="11">
        <v>12.75</v>
      </c>
      <c r="BL38" s="11">
        <v>-9.74</v>
      </c>
      <c r="BM38" s="11">
        <v>7.84</v>
      </c>
      <c r="BN38" s="11">
        <v>23.92</v>
      </c>
      <c r="BO38" s="11">
        <v>6.48</v>
      </c>
      <c r="BP38" s="11">
        <v>13.47</v>
      </c>
      <c r="BQ38" s="11">
        <v>16.96</v>
      </c>
    </row>
    <row r="39" spans="1:69" x14ac:dyDescent="0.4">
      <c r="A39" s="6" t="s">
        <v>28</v>
      </c>
      <c r="B39" s="4" t="s">
        <v>111</v>
      </c>
      <c r="C39" s="6"/>
      <c r="D39" s="11">
        <v>10.98</v>
      </c>
      <c r="E39" s="11">
        <v>16.66</v>
      </c>
      <c r="F39" s="11">
        <v>-23.7</v>
      </c>
      <c r="G39" s="11">
        <v>37.520000000000003</v>
      </c>
      <c r="H39" s="11">
        <v>75.430000000000007</v>
      </c>
      <c r="I39" s="11">
        <v>-26.97</v>
      </c>
      <c r="J39" s="11">
        <v>-15.57</v>
      </c>
      <c r="K39" s="11">
        <v>1.76</v>
      </c>
      <c r="L39" s="11">
        <v>-15.27</v>
      </c>
      <c r="M39" s="11">
        <v>4.34</v>
      </c>
      <c r="N39" s="11">
        <v>39.29</v>
      </c>
      <c r="O39" s="11">
        <v>-4.83</v>
      </c>
      <c r="P39" s="11">
        <v>5.28</v>
      </c>
      <c r="Q39" s="11">
        <v>-0.94</v>
      </c>
      <c r="R39" s="11">
        <v>-10.67</v>
      </c>
      <c r="S39" s="11">
        <v>9.44</v>
      </c>
      <c r="T39" s="11">
        <v>35.29</v>
      </c>
      <c r="U39" s="11">
        <v>-7.02</v>
      </c>
      <c r="V39" s="11">
        <v>-10.9</v>
      </c>
      <c r="W39" s="11">
        <v>25.4</v>
      </c>
      <c r="X39" s="11">
        <v>8.27</v>
      </c>
      <c r="Y39" s="11">
        <v>-14.64</v>
      </c>
      <c r="Z39" s="11">
        <v>-5.65</v>
      </c>
      <c r="AA39" s="11">
        <v>-3.75</v>
      </c>
      <c r="AB39" s="11">
        <v>0.6</v>
      </c>
      <c r="AC39" s="11">
        <v>23.3</v>
      </c>
      <c r="AD39" s="11">
        <v>9.2899999999999991</v>
      </c>
      <c r="AE39" s="11">
        <v>31.99</v>
      </c>
      <c r="AF39" s="11">
        <v>-3.01</v>
      </c>
      <c r="AG39" s="11">
        <v>26.95</v>
      </c>
      <c r="AH39" s="11">
        <v>-25.26</v>
      </c>
      <c r="AI39" s="11">
        <v>-28.87</v>
      </c>
      <c r="AJ39" s="11">
        <v>-2.4300000000000002</v>
      </c>
      <c r="AK39" s="11">
        <v>62.37</v>
      </c>
      <c r="AL39" s="11">
        <v>16.809999999999999</v>
      </c>
      <c r="AM39" s="11">
        <v>-23.68</v>
      </c>
      <c r="AN39" s="11">
        <v>-2.0499999999999998</v>
      </c>
      <c r="AO39" s="11">
        <v>0.26</v>
      </c>
      <c r="AP39" s="11">
        <v>4.93</v>
      </c>
      <c r="AQ39" s="11">
        <v>0.08</v>
      </c>
      <c r="AR39" s="11">
        <v>0.28000000000000003</v>
      </c>
      <c r="AS39" s="11">
        <v>-2.1800000000000002</v>
      </c>
      <c r="AT39" s="11">
        <v>-29.65</v>
      </c>
      <c r="AU39" s="11">
        <v>8.2899999999999991</v>
      </c>
      <c r="AV39" s="11">
        <v>17.420000000000002</v>
      </c>
      <c r="AW39" s="11">
        <v>-21.63</v>
      </c>
      <c r="AX39" s="11">
        <v>8.92</v>
      </c>
      <c r="AY39" s="11">
        <v>6.76</v>
      </c>
      <c r="AZ39" s="11">
        <v>6.51</v>
      </c>
      <c r="BA39" s="11">
        <v>3.8</v>
      </c>
      <c r="BB39" s="11">
        <v>-10.59</v>
      </c>
      <c r="BC39" s="11">
        <v>-4.47</v>
      </c>
      <c r="BD39" s="11">
        <v>-9.51</v>
      </c>
      <c r="BE39" s="11">
        <v>15.3</v>
      </c>
      <c r="BF39" s="11">
        <v>-0.75</v>
      </c>
      <c r="BG39" s="11">
        <v>-11.74</v>
      </c>
      <c r="BH39" s="11">
        <v>1.26</v>
      </c>
      <c r="BI39" s="11">
        <v>-7.64</v>
      </c>
      <c r="BJ39" s="11">
        <v>-22.28</v>
      </c>
      <c r="BK39" s="11">
        <v>27.43</v>
      </c>
      <c r="BL39" s="11">
        <v>-2.88</v>
      </c>
      <c r="BM39" s="11">
        <v>0.26</v>
      </c>
      <c r="BN39" s="11">
        <v>1.4</v>
      </c>
      <c r="BO39" s="11">
        <v>-15.44</v>
      </c>
      <c r="BP39" s="11">
        <v>26.06</v>
      </c>
      <c r="BQ39" s="11">
        <v>29.2</v>
      </c>
    </row>
    <row r="40" spans="1:69" x14ac:dyDescent="0.4">
      <c r="A40" s="6" t="s">
        <v>29</v>
      </c>
      <c r="B40" s="4" t="s">
        <v>112</v>
      </c>
      <c r="C40" s="6"/>
      <c r="D40" s="11">
        <v>31.6</v>
      </c>
      <c r="E40" s="11">
        <v>-0.74</v>
      </c>
      <c r="F40" s="11">
        <v>-18.670000000000002</v>
      </c>
      <c r="G40" s="11">
        <v>7.49</v>
      </c>
      <c r="H40" s="11">
        <v>28.46</v>
      </c>
      <c r="I40" s="11">
        <v>21.1</v>
      </c>
      <c r="J40" s="11">
        <v>-4.92</v>
      </c>
      <c r="K40" s="11">
        <v>-3.56</v>
      </c>
      <c r="L40" s="11">
        <v>-18.39</v>
      </c>
      <c r="M40" s="11">
        <v>16.86</v>
      </c>
      <c r="N40" s="11">
        <v>47.64</v>
      </c>
      <c r="O40" s="11">
        <v>0.04</v>
      </c>
      <c r="P40" s="11">
        <v>25.05</v>
      </c>
      <c r="Q40" s="11">
        <v>-19.47</v>
      </c>
      <c r="R40" s="11">
        <v>-10.56</v>
      </c>
      <c r="S40" s="11">
        <v>-2.99</v>
      </c>
      <c r="T40" s="11">
        <v>22.21</v>
      </c>
      <c r="U40" s="11">
        <v>-8.5</v>
      </c>
      <c r="V40" s="11">
        <v>-4.01</v>
      </c>
      <c r="W40" s="11">
        <v>10.62</v>
      </c>
      <c r="X40" s="11">
        <v>-6.74</v>
      </c>
      <c r="Y40" s="11">
        <v>-13.18</v>
      </c>
      <c r="Z40" s="11">
        <v>0.98</v>
      </c>
      <c r="AA40" s="11">
        <v>-12.56</v>
      </c>
      <c r="AB40" s="11">
        <v>-1.82</v>
      </c>
      <c r="AC40" s="11">
        <v>20.05</v>
      </c>
      <c r="AD40" s="11">
        <v>4.9000000000000004</v>
      </c>
      <c r="AE40" s="11">
        <v>9.24</v>
      </c>
      <c r="AF40" s="11">
        <v>-8.69</v>
      </c>
      <c r="AG40" s="11">
        <v>7.03</v>
      </c>
      <c r="AH40" s="11">
        <v>-27.71</v>
      </c>
      <c r="AI40" s="11">
        <v>-28.14</v>
      </c>
      <c r="AJ40" s="11">
        <v>26.93</v>
      </c>
      <c r="AK40" s="11">
        <v>40.57</v>
      </c>
      <c r="AL40" s="11">
        <v>22.85</v>
      </c>
      <c r="AM40" s="11">
        <v>-14.75</v>
      </c>
      <c r="AN40" s="11">
        <v>4.3</v>
      </c>
      <c r="AO40" s="11">
        <v>30.2</v>
      </c>
      <c r="AP40" s="11">
        <v>-15.22</v>
      </c>
      <c r="AQ40" s="11">
        <v>5.75</v>
      </c>
      <c r="AR40" s="11">
        <v>-3.05</v>
      </c>
      <c r="AS40" s="11">
        <v>-3.57</v>
      </c>
      <c r="AT40" s="11">
        <v>-27.5</v>
      </c>
      <c r="AU40" s="11">
        <v>4.04</v>
      </c>
      <c r="AV40" s="11">
        <v>11.46</v>
      </c>
      <c r="AW40" s="11">
        <v>-16.72</v>
      </c>
      <c r="AX40" s="11">
        <v>5.91</v>
      </c>
      <c r="AY40" s="11">
        <v>12.84</v>
      </c>
      <c r="AZ40" s="11">
        <v>-4.7699999999999996</v>
      </c>
      <c r="BA40" s="11">
        <v>7.79</v>
      </c>
      <c r="BB40" s="11">
        <v>-3.94</v>
      </c>
      <c r="BC40" s="11">
        <v>-7.52</v>
      </c>
      <c r="BD40" s="11">
        <v>-4.5599999999999996</v>
      </c>
      <c r="BE40" s="11">
        <v>3.12</v>
      </c>
      <c r="BF40" s="11">
        <v>5.28</v>
      </c>
      <c r="BG40" s="11">
        <v>-6.94</v>
      </c>
      <c r="BH40" s="11">
        <v>5.91</v>
      </c>
      <c r="BI40" s="11">
        <v>-4.42</v>
      </c>
      <c r="BJ40" s="11">
        <v>-18.21</v>
      </c>
      <c r="BK40" s="11">
        <v>11.15</v>
      </c>
      <c r="BL40" s="11">
        <v>-2.12</v>
      </c>
      <c r="BM40" s="11">
        <v>4.71</v>
      </c>
      <c r="BN40" s="11">
        <v>8.93</v>
      </c>
      <c r="BO40" s="11">
        <v>-7.05</v>
      </c>
      <c r="BP40" s="11">
        <v>3.12</v>
      </c>
      <c r="BQ40" s="11">
        <v>12.28</v>
      </c>
    </row>
    <row r="41" spans="1:69" x14ac:dyDescent="0.4">
      <c r="A41" s="6" t="s">
        <v>30</v>
      </c>
      <c r="B41" s="4" t="s">
        <v>113</v>
      </c>
      <c r="C41" s="6"/>
      <c r="D41" s="11">
        <v>-10.63</v>
      </c>
      <c r="E41" s="11">
        <v>0.65</v>
      </c>
      <c r="F41" s="11">
        <v>-6.24</v>
      </c>
      <c r="G41" s="11">
        <v>13.07</v>
      </c>
      <c r="H41" s="11">
        <v>0.9</v>
      </c>
      <c r="I41" s="11">
        <v>-1.19</v>
      </c>
      <c r="J41" s="11">
        <v>-9.36</v>
      </c>
      <c r="K41" s="11">
        <v>2.25</v>
      </c>
      <c r="L41" s="11">
        <v>-26.8</v>
      </c>
      <c r="M41" s="11">
        <v>8.06</v>
      </c>
      <c r="N41" s="11">
        <v>1.79</v>
      </c>
      <c r="O41" s="11">
        <v>-0.33</v>
      </c>
      <c r="P41" s="11">
        <v>8.9499999999999993</v>
      </c>
      <c r="Q41" s="11">
        <v>-14.1</v>
      </c>
      <c r="R41" s="11">
        <v>-8.0500000000000007</v>
      </c>
      <c r="S41" s="11">
        <v>14.8</v>
      </c>
      <c r="T41" s="11">
        <v>0.34</v>
      </c>
      <c r="U41" s="11">
        <v>-1.2</v>
      </c>
      <c r="V41" s="11">
        <v>1.74</v>
      </c>
      <c r="W41" s="11">
        <v>4.33</v>
      </c>
      <c r="X41" s="11">
        <v>1.97</v>
      </c>
      <c r="Y41" s="11">
        <v>14.47</v>
      </c>
      <c r="Z41" s="11">
        <v>-9.2899999999999991</v>
      </c>
      <c r="AA41" s="11">
        <v>13.94</v>
      </c>
      <c r="AB41" s="11">
        <v>-10.130000000000001</v>
      </c>
      <c r="AC41" s="11">
        <v>4.1500000000000004</v>
      </c>
      <c r="AD41" s="11">
        <v>1.48</v>
      </c>
      <c r="AE41" s="11">
        <v>16.32</v>
      </c>
      <c r="AF41" s="11">
        <v>-16.38</v>
      </c>
      <c r="AG41" s="11">
        <v>4.05</v>
      </c>
      <c r="AH41" s="11">
        <v>-2.41</v>
      </c>
      <c r="AI41" s="11">
        <v>-4.8899999999999997</v>
      </c>
      <c r="AJ41" s="11">
        <v>-5.61</v>
      </c>
      <c r="AK41" s="11">
        <v>-6.04</v>
      </c>
      <c r="AL41" s="11">
        <v>3</v>
      </c>
      <c r="AM41" s="11">
        <v>-2.16</v>
      </c>
      <c r="AN41" s="11">
        <v>3.86</v>
      </c>
      <c r="AO41" s="11">
        <v>-1.07</v>
      </c>
      <c r="AP41" s="11">
        <v>-2.79</v>
      </c>
      <c r="AQ41" s="11">
        <v>4.32</v>
      </c>
      <c r="AR41" s="11">
        <v>-10.84</v>
      </c>
      <c r="AS41" s="11">
        <v>-2.87</v>
      </c>
      <c r="AT41" s="11">
        <v>-3.82</v>
      </c>
      <c r="AU41" s="11">
        <v>1.41</v>
      </c>
      <c r="AV41" s="11">
        <v>-7.73</v>
      </c>
      <c r="AW41" s="11">
        <v>-15.56</v>
      </c>
      <c r="AX41" s="11">
        <v>22.93</v>
      </c>
      <c r="AY41" s="11">
        <v>6.36</v>
      </c>
      <c r="AZ41" s="11">
        <v>6.86</v>
      </c>
      <c r="BA41" s="11">
        <v>15.64</v>
      </c>
      <c r="BB41" s="11">
        <v>3.26</v>
      </c>
      <c r="BC41" s="11">
        <v>-2.76</v>
      </c>
      <c r="BD41" s="11">
        <v>-5.61</v>
      </c>
      <c r="BE41" s="11">
        <v>-0.99</v>
      </c>
      <c r="BF41" s="11">
        <v>19.87</v>
      </c>
      <c r="BG41" s="11">
        <v>-1.58</v>
      </c>
      <c r="BH41" s="11">
        <v>0.17</v>
      </c>
      <c r="BI41" s="11">
        <v>-11.58</v>
      </c>
      <c r="BJ41" s="11">
        <v>1.5</v>
      </c>
      <c r="BK41" s="11">
        <v>-1.19</v>
      </c>
      <c r="BL41" s="11">
        <v>-2.42</v>
      </c>
      <c r="BM41" s="11">
        <v>1.97</v>
      </c>
      <c r="BN41" s="11">
        <v>-1.38</v>
      </c>
      <c r="BO41" s="11">
        <v>-1.1499999999999999</v>
      </c>
      <c r="BP41" s="11">
        <v>4.24</v>
      </c>
      <c r="BQ41" s="11">
        <v>11.11</v>
      </c>
    </row>
    <row r="42" spans="1:69" x14ac:dyDescent="0.4">
      <c r="A42" s="6" t="s">
        <v>31</v>
      </c>
      <c r="B42" s="4" t="s">
        <v>114</v>
      </c>
      <c r="C42" s="6"/>
      <c r="D42" s="11">
        <v>4.72</v>
      </c>
      <c r="E42" s="11">
        <v>-4.1100000000000003</v>
      </c>
      <c r="F42" s="11">
        <v>-6.69</v>
      </c>
      <c r="G42" s="11">
        <v>-0.44</v>
      </c>
      <c r="H42" s="11">
        <v>-6.56</v>
      </c>
      <c r="I42" s="11">
        <v>12.97</v>
      </c>
      <c r="J42" s="11">
        <v>-12.65</v>
      </c>
      <c r="K42" s="11">
        <v>-3.27</v>
      </c>
      <c r="L42" s="11">
        <v>-7.9</v>
      </c>
      <c r="M42" s="11">
        <v>11.71</v>
      </c>
      <c r="N42" s="11">
        <v>-3.3</v>
      </c>
      <c r="O42" s="11">
        <v>25.98</v>
      </c>
      <c r="P42" s="11">
        <v>-14.5</v>
      </c>
      <c r="Q42" s="11">
        <v>-6.15</v>
      </c>
      <c r="R42" s="11">
        <v>8.64</v>
      </c>
      <c r="S42" s="11">
        <v>26.54</v>
      </c>
      <c r="T42" s="11">
        <v>9.77</v>
      </c>
      <c r="U42" s="11">
        <v>6.37</v>
      </c>
      <c r="V42" s="11">
        <v>9.01</v>
      </c>
      <c r="W42" s="11">
        <v>9.09</v>
      </c>
      <c r="X42" s="11">
        <v>13.99</v>
      </c>
      <c r="Y42" s="11">
        <v>-5.15</v>
      </c>
      <c r="Z42" s="11">
        <v>-4.79</v>
      </c>
      <c r="AA42" s="11">
        <v>7.97</v>
      </c>
      <c r="AB42" s="11">
        <v>1.43</v>
      </c>
      <c r="AC42" s="11">
        <v>9.82</v>
      </c>
      <c r="AD42" s="11">
        <v>6.2</v>
      </c>
      <c r="AE42" s="11">
        <v>-1.1499999999999999</v>
      </c>
      <c r="AF42" s="11">
        <v>-10.220000000000001</v>
      </c>
      <c r="AG42" s="11">
        <v>1.67</v>
      </c>
      <c r="AH42" s="11">
        <v>-3.91</v>
      </c>
      <c r="AI42" s="11">
        <v>-17.63</v>
      </c>
      <c r="AJ42" s="11">
        <v>-13.39</v>
      </c>
      <c r="AK42" s="11">
        <v>17.239999999999998</v>
      </c>
      <c r="AL42" s="11">
        <v>9.56</v>
      </c>
      <c r="AM42" s="11">
        <v>-1.61</v>
      </c>
      <c r="AN42" s="11">
        <v>10.34</v>
      </c>
      <c r="AO42" s="11">
        <v>-10.84</v>
      </c>
      <c r="AP42" s="11">
        <v>-8.0399999999999991</v>
      </c>
      <c r="AQ42" s="11">
        <v>-5.84</v>
      </c>
      <c r="AR42" s="11">
        <v>-4.68</v>
      </c>
      <c r="AS42" s="11">
        <v>4.5599999999999996</v>
      </c>
      <c r="AT42" s="11">
        <v>-17.78</v>
      </c>
      <c r="AU42" s="11">
        <v>9.73</v>
      </c>
      <c r="AV42" s="11">
        <v>0.12</v>
      </c>
      <c r="AW42" s="11">
        <v>-9.56</v>
      </c>
      <c r="AX42" s="11">
        <v>13.79</v>
      </c>
      <c r="AY42" s="11">
        <v>12.35</v>
      </c>
      <c r="AZ42" s="11">
        <v>12.82</v>
      </c>
      <c r="BA42" s="11">
        <v>-13.38</v>
      </c>
      <c r="BB42" s="11">
        <v>4.78</v>
      </c>
      <c r="BC42" s="11">
        <v>6.62</v>
      </c>
      <c r="BD42" s="11">
        <v>11.34</v>
      </c>
      <c r="BE42" s="11">
        <v>1.19</v>
      </c>
      <c r="BF42" s="11">
        <v>7.45</v>
      </c>
      <c r="BG42" s="11">
        <v>6.74</v>
      </c>
      <c r="BH42" s="11">
        <v>-3.77</v>
      </c>
      <c r="BI42" s="11">
        <v>7.17</v>
      </c>
      <c r="BJ42" s="11">
        <v>-0.28999999999999998</v>
      </c>
      <c r="BK42" s="11">
        <v>-3.66</v>
      </c>
      <c r="BL42" s="11">
        <v>8.11</v>
      </c>
      <c r="BM42" s="11">
        <v>6.43</v>
      </c>
      <c r="BN42" s="11">
        <v>-5.94</v>
      </c>
      <c r="BO42" s="11">
        <v>-16.02</v>
      </c>
      <c r="BP42" s="11">
        <v>-4.95</v>
      </c>
      <c r="BQ42" s="11">
        <v>-1.42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중분류_Rawdata</vt:lpstr>
      <vt:lpstr>중분류_수익률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이상훈</dc:creator>
  <cp:lastModifiedBy>이상훈</cp:lastModifiedBy>
  <dcterms:created xsi:type="dcterms:W3CDTF">2017-07-17T00:43:16Z</dcterms:created>
  <dcterms:modified xsi:type="dcterms:W3CDTF">2017-07-17T01:08:44Z</dcterms:modified>
</cp:coreProperties>
</file>
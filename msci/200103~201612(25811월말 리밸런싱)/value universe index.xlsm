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D27" i="2" l="1"/>
  <c r="CD28" i="2" s="1"/>
  <c r="CD29" i="2" s="1"/>
  <c r="CD30" i="2" s="1"/>
  <c r="CD31" i="2" s="1"/>
  <c r="CD32" i="2" s="1"/>
  <c r="CD33" i="2" s="1"/>
  <c r="CD34" i="2" s="1"/>
  <c r="BX13" i="2" l="1"/>
  <c r="BX14" i="2" s="1"/>
  <c r="BX15" i="2" s="1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47" i="2" s="1"/>
  <c r="BX48" i="2" s="1"/>
  <c r="BX49" i="2" s="1"/>
  <c r="BW13" i="2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W30" i="2" s="1"/>
  <c r="BW31" i="2" s="1"/>
  <c r="BW32" i="2" s="1"/>
  <c r="BW33" i="2" s="1"/>
  <c r="BW34" i="2" s="1"/>
  <c r="BW35" i="2" s="1"/>
  <c r="BW36" i="2" s="1"/>
  <c r="BW37" i="2" s="1"/>
  <c r="BW38" i="2" s="1"/>
  <c r="BW39" i="2" s="1"/>
  <c r="BW40" i="2" s="1"/>
  <c r="BW41" i="2" s="1"/>
  <c r="BW42" i="2" s="1"/>
  <c r="BW43" i="2" s="1"/>
  <c r="BW44" i="2" s="1"/>
  <c r="BW45" i="2" s="1"/>
  <c r="BW46" i="2" s="1"/>
  <c r="BW47" i="2" s="1"/>
  <c r="BW48" i="2" s="1"/>
  <c r="BW49" i="2" s="1"/>
  <c r="BV13" i="2"/>
  <c r="BV14" i="2" s="1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V30" i="2" s="1"/>
  <c r="BV31" i="2" s="1"/>
  <c r="BV32" i="2" s="1"/>
  <c r="BV33" i="2" s="1"/>
  <c r="BV34" i="2" s="1"/>
  <c r="BV35" i="2" s="1"/>
  <c r="BV36" i="2" s="1"/>
  <c r="BV37" i="2" s="1"/>
  <c r="BV38" i="2" s="1"/>
  <c r="BV39" i="2" s="1"/>
  <c r="BV40" i="2" s="1"/>
  <c r="BV41" i="2" s="1"/>
  <c r="BV42" i="2" s="1"/>
  <c r="BV43" i="2" s="1"/>
  <c r="BV44" i="2" s="1"/>
  <c r="BV45" i="2" s="1"/>
  <c r="BV46" i="2" s="1"/>
  <c r="BV47" i="2" s="1"/>
  <c r="BV48" i="2" s="1"/>
  <c r="BV49" i="2" s="1"/>
  <c r="BU13" i="2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U30" i="2" s="1"/>
  <c r="BU31" i="2" s="1"/>
  <c r="BU32" i="2" s="1"/>
  <c r="BU33" i="2" s="1"/>
  <c r="BU34" i="2" s="1"/>
  <c r="BU35" i="2" s="1"/>
  <c r="BU36" i="2" s="1"/>
  <c r="BU37" i="2" s="1"/>
  <c r="BU38" i="2" s="1"/>
  <c r="BU39" i="2" s="1"/>
  <c r="BU40" i="2" s="1"/>
  <c r="BU41" i="2" s="1"/>
  <c r="BU42" i="2" s="1"/>
  <c r="BU43" i="2" s="1"/>
  <c r="BU44" i="2" s="1"/>
  <c r="BU45" i="2" s="1"/>
  <c r="BU46" i="2" s="1"/>
  <c r="BU47" i="2" s="1"/>
  <c r="BU48" i="2" s="1"/>
  <c r="BU49" i="2" s="1"/>
  <c r="BM12" i="2" l="1"/>
  <c r="BM13" i="2"/>
  <c r="BM14" i="2"/>
  <c r="BM21" i="2" s="1"/>
  <c r="BM15" i="2"/>
  <c r="BM16" i="2"/>
  <c r="BM17" i="2"/>
  <c r="BM18" i="2"/>
  <c r="BM19" i="2"/>
  <c r="BM20" i="2"/>
  <c r="BK13" i="2"/>
  <c r="BK14" i="2" s="1"/>
  <c r="BK15" i="2" s="1"/>
  <c r="BK16" i="2" s="1"/>
  <c r="BK17" i="2" s="1"/>
  <c r="BK18" i="2" s="1"/>
  <c r="BK19" i="2" s="1"/>
  <c r="BK20" i="2" s="1"/>
  <c r="BI13" i="2" l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H13" i="2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H32" i="2" s="1"/>
  <c r="BH33" i="2" s="1"/>
  <c r="BH34" i="2" s="1"/>
  <c r="BH35" i="2" s="1"/>
  <c r="BH36" i="2" s="1"/>
  <c r="BH37" i="2" s="1"/>
  <c r="BH38" i="2" s="1"/>
  <c r="BH39" i="2" s="1"/>
  <c r="BH40" i="2" s="1"/>
  <c r="BH41" i="2" s="1"/>
  <c r="BH42" i="2" s="1"/>
  <c r="BH43" i="2" s="1"/>
  <c r="BH44" i="2" s="1"/>
  <c r="BH45" i="2" s="1"/>
  <c r="BH46" i="2" s="1"/>
  <c r="BH47" i="2" s="1"/>
  <c r="BH48" i="2" s="1"/>
  <c r="BH49" i="2" s="1"/>
  <c r="BG13" i="2"/>
  <c r="BG14" i="2" s="1"/>
  <c r="BG15" i="2" s="1"/>
  <c r="BG16" i="2" s="1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G30" i="2" s="1"/>
  <c r="BG31" i="2" s="1"/>
  <c r="BG32" i="2" s="1"/>
  <c r="BG33" i="2" s="1"/>
  <c r="BG34" i="2" s="1"/>
  <c r="BG35" i="2" s="1"/>
  <c r="BG36" i="2" s="1"/>
  <c r="BG37" i="2" s="1"/>
  <c r="BG38" i="2" s="1"/>
  <c r="BG39" i="2" s="1"/>
  <c r="BG40" i="2" s="1"/>
  <c r="BG41" i="2" s="1"/>
  <c r="BG42" i="2" s="1"/>
  <c r="BG43" i="2" s="1"/>
  <c r="BG44" i="2" s="1"/>
  <c r="BG45" i="2" s="1"/>
  <c r="BG46" i="2" s="1"/>
  <c r="BG47" i="2" s="1"/>
  <c r="BG48" i="2" s="1"/>
  <c r="BG49" i="2" s="1"/>
  <c r="BF13" i="2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49" i="2" s="1"/>
  <c r="AZ13" i="2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49" i="2" s="1"/>
  <c r="BA13" i="2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AY13" i="2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49" i="2" s="1"/>
  <c r="AX13" i="2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X24" i="2" s="1"/>
  <c r="AX25" i="2" s="1"/>
  <c r="AX26" i="2" s="1"/>
  <c r="AX27" i="2" s="1"/>
  <c r="AX28" i="2" s="1"/>
  <c r="AX29" i="2" s="1"/>
  <c r="AX30" i="2" s="1"/>
  <c r="AX31" i="2" s="1"/>
  <c r="AX32" i="2" s="1"/>
  <c r="AX33" i="2" s="1"/>
  <c r="AX34" i="2" s="1"/>
  <c r="AX35" i="2" s="1"/>
  <c r="AX36" i="2" s="1"/>
  <c r="AX37" i="2" s="1"/>
  <c r="AX38" i="2" s="1"/>
  <c r="AX39" i="2" s="1"/>
  <c r="AX40" i="2" s="1"/>
  <c r="AX41" i="2" s="1"/>
  <c r="AX42" i="2" s="1"/>
  <c r="AX43" i="2" s="1"/>
  <c r="AX44" i="2" s="1"/>
  <c r="AX45" i="2" s="1"/>
  <c r="AX46" i="2" s="1"/>
  <c r="AX47" i="2" s="1"/>
  <c r="AX48" i="2" s="1"/>
  <c r="AX49" i="2" s="1"/>
  <c r="AS14" i="2"/>
  <c r="AS15" i="2" s="1"/>
  <c r="AS16" i="2" s="1"/>
  <c r="AS17" i="2" s="1"/>
  <c r="AS18" i="2" s="1"/>
  <c r="AS19" i="2" s="1"/>
  <c r="AS20" i="2" s="1"/>
  <c r="AS21" i="2" s="1"/>
  <c r="AS22" i="2" s="1"/>
  <c r="AS23" i="2" s="1"/>
  <c r="AS24" i="2" s="1"/>
  <c r="AS25" i="2" s="1"/>
  <c r="AS26" i="2" s="1"/>
  <c r="AS27" i="2" s="1"/>
  <c r="AS28" i="2" s="1"/>
  <c r="AS29" i="2" s="1"/>
  <c r="AS30" i="2" s="1"/>
  <c r="AS31" i="2" s="1"/>
  <c r="AS32" i="2" s="1"/>
  <c r="AS33" i="2" s="1"/>
  <c r="AS34" i="2" s="1"/>
  <c r="AS35" i="2" s="1"/>
  <c r="AS36" i="2" s="1"/>
  <c r="AS37" i="2" s="1"/>
  <c r="AS38" i="2" s="1"/>
  <c r="AS39" i="2" s="1"/>
  <c r="AS40" i="2" s="1"/>
  <c r="AS41" i="2" s="1"/>
  <c r="AS42" i="2" s="1"/>
  <c r="AS43" i="2" s="1"/>
  <c r="AS44" i="2" s="1"/>
  <c r="AS45" i="2" s="1"/>
  <c r="AS46" i="2" s="1"/>
  <c r="AS47" i="2" s="1"/>
  <c r="AS48" i="2" s="1"/>
  <c r="AS49" i="2" s="1"/>
  <c r="AR14" i="2"/>
  <c r="AR15" i="2" s="1"/>
  <c r="AR16" i="2" s="1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Q14" i="2"/>
  <c r="AQ15" i="2" s="1"/>
  <c r="AQ16" i="2" s="1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Q35" i="2" s="1"/>
  <c r="AQ36" i="2" s="1"/>
  <c r="AQ37" i="2" s="1"/>
  <c r="AQ38" i="2" s="1"/>
  <c r="AQ39" i="2" s="1"/>
  <c r="AQ40" i="2" s="1"/>
  <c r="AQ41" i="2" s="1"/>
  <c r="AQ42" i="2" s="1"/>
  <c r="AQ43" i="2" s="1"/>
  <c r="AQ44" i="2" s="1"/>
  <c r="AQ45" i="2" s="1"/>
  <c r="AQ46" i="2" s="1"/>
  <c r="AQ47" i="2" s="1"/>
  <c r="AQ48" i="2" s="1"/>
  <c r="AQ49" i="2" s="1"/>
  <c r="AP14" i="2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AS13" i="2"/>
  <c r="AR13" i="2"/>
  <c r="AQ13" i="2"/>
  <c r="AP13" i="2"/>
  <c r="BN1024" i="3" l="1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BO1024" i="3" s="1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998" i="3" l="1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BO1001" i="3" s="1"/>
  <c r="BQ1001" i="3" s="1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BO1001" i="4" s="1"/>
  <c r="BQ1001" i="4" s="1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6"/>
  <c r="B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BO1001" i="6" s="1"/>
  <c r="BQ1001" i="6" s="1"/>
  <c r="AC1001" i="6"/>
  <c r="AB1001" i="6"/>
  <c r="AA1001" i="6"/>
  <c r="Z1001" i="6"/>
  <c r="Y1001" i="6"/>
  <c r="X1001" i="6"/>
  <c r="W1001" i="6"/>
  <c r="V1001" i="6"/>
  <c r="U1001" i="6"/>
  <c r="T1001" i="6"/>
  <c r="S1001" i="6"/>
  <c r="R1001" i="6"/>
  <c r="Q1001" i="6"/>
  <c r="P1001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O1001" i="5"/>
  <c r="BQ1001" i="5" s="1"/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A36" i="2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<sst xmlns="http://schemas.openxmlformats.org/spreadsheetml/2006/main" count="30973" uniqueCount="697">
  <si>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</si>
  <si>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</si>
  <si>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</si>
  <si>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</si>
  <si>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</si>
  <si>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</si>
  <si>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</si>
  <si>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</si>
  <si>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</si>
  <si>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</si>
  <si>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</si>
  <si>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</si>
  <si>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</si>
  <si>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</si>
  <si>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</si>
  <si>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</si>
  <si>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</si>
  <si>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</si>
  <si>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</si>
  <si>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</si>
  <si>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</si>
  <si>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</si>
  <si>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</si>
  <si>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</si>
  <si>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</si>
  <si>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</si>
  <si>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</si>
  <si>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</si>
  <si>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</si>
  <si>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</si>
  <si>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</si>
  <si>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</si>
  <si>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</si>
  <si>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</si>
  <si>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</si>
  <si>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</si>
  <si>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</si>
  <si>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</si>
  <si>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</si>
  <si>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</si>
  <si>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</si>
  <si>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</si>
  <si>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</si>
  <si>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</si>
  <si>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</si>
  <si>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</si>
  <si>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</si>
  <si>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</si>
  <si>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</si>
  <si>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</si>
  <si>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</si>
  <si>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</si>
  <si>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</si>
  <si>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</si>
  <si>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</si>
  <si>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</si>
  <si>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</si>
  <si>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</si>
  <si>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</si>
  <si>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</si>
  <si>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</si>
  <si>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</si>
  <si>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</si>
  <si>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</si>
  <si>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</si>
  <si>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</si>
  <si>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</si>
  <si>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</si>
  <si>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</si>
  <si>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</si>
  <si>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</si>
  <si>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</si>
  <si>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</si>
  <si>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</si>
  <si>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</si>
  <si>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</si>
  <si>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</si>
  <si>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</si>
  <si>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</si>
  <si>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</si>
  <si>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</si>
  <si>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</si>
  <si>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</si>
  <si>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</si>
  <si>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</si>
  <si>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</si>
  <si>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</si>
  <si>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</si>
  <si>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</si>
  <si>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</si>
  <si>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</si>
  <si>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</si>
  <si>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</si>
  <si>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</si>
  <si>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</si>
  <si>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</si>
  <si>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</si>
  <si>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</si>
  <si>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</si>
  <si>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</si>
  <si>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</si>
  <si>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</si>
  <si>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</si>
  <si>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</si>
  <si>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</si>
  <si>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</si>
  <si>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</si>
  <si>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</si>
  <si>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</si>
  <si>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</si>
  <si>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</si>
  <si>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</si>
  <si>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</si>
  <si>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</si>
  <si>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</si>
  <si>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</si>
  <si>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</si>
  <si>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</si>
  <si>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</si>
  <si>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</si>
  <si>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</si>
  <si>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</si>
  <si>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</si>
  <si>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</si>
  <si>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</si>
  <si>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</si>
  <si>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</si>
  <si>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</si>
  <si>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</si>
  <si>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</si>
  <si>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</si>
  <si>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</si>
  <si>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</si>
  <si>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</si>
  <si>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</si>
  <si>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</si>
  <si>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</si>
  <si>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</si>
  <si>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</si>
  <si>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</si>
  <si>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</si>
  <si>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</si>
  <si>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</si>
  <si>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</si>
  <si>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</si>
  <si>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</si>
  <si>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</si>
  <si>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</si>
  <si>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</si>
  <si>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</si>
  <si>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</si>
  <si>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</si>
  <si>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</si>
  <si>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</si>
  <si>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</si>
  <si>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</si>
  <si>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</si>
  <si>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</si>
  <si>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</si>
  <si>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</si>
  <si>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</si>
  <si>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</si>
  <si>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</si>
  <si>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</si>
  <si>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</si>
  <si>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</si>
  <si>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</si>
  <si>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</si>
  <si>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</si>
  <si>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</si>
  <si>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</si>
  <si>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</si>
  <si>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</si>
  <si>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</si>
  <si>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</si>
  <si>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</si>
  <si>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</si>
  <si>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</si>
  <si>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</si>
  <si>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</si>
  <si>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</si>
  <si>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</si>
  <si>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</si>
  <si>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</si>
  <si>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</si>
  <si>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</si>
  <si>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</si>
  <si>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</si>
  <si>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</si>
  <si>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</si>
  <si>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</si>
  <si>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</si>
  <si>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</si>
  <si>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</si>
  <si>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</si>
  <si>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</si>
  <si>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</si>
  <si>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</si>
  <si>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</si>
  <si>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</si>
  <si>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</si>
  <si>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</si>
  <si>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</si>
  <si>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</si>
  <si>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</si>
  <si>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</si>
  <si>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</si>
  <si>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</si>
  <si>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</si>
  <si>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</si>
  <si>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</si>
  <si>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</si>
  <si>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</si>
  <si>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</si>
  <si>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</si>
  <si>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</si>
  <si>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</si>
  <si>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</si>
  <si>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</si>
  <si>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</si>
  <si>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</si>
  <si>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</si>
  <si>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</si>
  <si>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</si>
  <si>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</si>
  <si>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</si>
  <si>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</si>
  <si>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</si>
  <si>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</si>
  <si>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</si>
  <si>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</si>
  <si>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</si>
  <si>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</si>
  <si>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</si>
  <si>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</si>
  <si>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</si>
  <si>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</si>
  <si>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</si>
  <si>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</si>
  <si>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</si>
  <si>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</si>
  <si>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</si>
  <si>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</si>
  <si>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</si>
  <si>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</si>
  <si>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</si>
  <si>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</si>
  <si>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</si>
  <si>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</si>
  <si>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</si>
  <si>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</si>
  <si>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</si>
  <si>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</si>
  <si>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</si>
  <si>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</si>
  <si>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</si>
  <si>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</si>
  <si>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</si>
  <si>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</si>
  <si>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</si>
  <si>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</si>
  <si>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</si>
  <si>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</si>
  <si>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</si>
  <si>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</si>
  <si>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</si>
  <si>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</si>
  <si>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</si>
  <si>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</si>
  <si>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</si>
  <si>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</si>
  <si>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</si>
  <si>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</si>
  <si>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</si>
  <si>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</si>
  <si>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</si>
  <si>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</si>
  <si>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</si>
  <si>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</si>
  <si>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</si>
  <si>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</si>
  <si>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</si>
  <si>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</si>
  <si>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</si>
  <si>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</si>
  <si>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</si>
  <si>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</si>
  <si>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</si>
  <si>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</si>
  <si>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</si>
  <si>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</si>
  <si>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</si>
  <si>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</si>
  <si>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</si>
  <si>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</si>
  <si>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</si>
  <si>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</si>
  <si>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</si>
  <si>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</si>
  <si>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</si>
  <si>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</si>
  <si>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</si>
  <si>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</si>
  <si>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</si>
  <si>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</si>
  <si>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</si>
  <si>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</si>
  <si>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</si>
  <si>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</si>
  <si>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</si>
  <si>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</si>
  <si>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</si>
  <si>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</si>
  <si>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</si>
  <si>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</si>
  <si>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</si>
  <si>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</si>
  <si>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</si>
  <si>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</si>
  <si>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</si>
  <si>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</si>
  <si>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</si>
  <si>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</si>
  <si>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</si>
  <si>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</si>
  <si>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</si>
  <si>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</si>
  <si>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</si>
  <si>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</si>
  <si>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</si>
  <si>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</si>
  <si>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</si>
  <si>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</si>
  <si>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</si>
  <si>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</si>
  <si>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</si>
  <si>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</si>
  <si>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</si>
  <si>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</si>
  <si>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</si>
  <si>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</si>
  <si>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</si>
  <si>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</si>
  <si>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</si>
  <si>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</si>
  <si>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</si>
  <si>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</si>
  <si>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</si>
  <si>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</si>
  <si>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</si>
  <si>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</si>
  <si>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</si>
  <si>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</si>
  <si>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</si>
  <si>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</si>
  <si>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</si>
  <si>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</si>
  <si>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</si>
  <si>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</si>
  <si>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</si>
  <si>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</si>
  <si>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</si>
  <si>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</si>
  <si>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</si>
  <si>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</si>
  <si>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</si>
  <si>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</si>
  <si>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</si>
  <si>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</si>
  <si>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</si>
  <si>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</si>
  <si>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</si>
  <si>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</si>
  <si>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</si>
  <si>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</si>
  <si>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</si>
  <si>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</si>
  <si>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</si>
  <si>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</si>
  <si>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</si>
  <si>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</si>
  <si>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</si>
  <si>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</si>
  <si>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</si>
  <si>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</si>
  <si>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</si>
  <si>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</si>
  <si>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</si>
  <si>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</si>
  <si>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</si>
  <si>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</si>
  <si>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</si>
  <si>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</si>
  <si>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</si>
  <si>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</si>
  <si>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</si>
  <si>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</si>
  <si>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</si>
  <si>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</si>
  <si>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</si>
  <si>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</si>
  <si>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</si>
  <si>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</si>
  <si>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</si>
  <si>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</si>
  <si>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</si>
  <si>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</si>
  <si>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</si>
  <si>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</si>
  <si>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</si>
  <si>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</si>
  <si>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</si>
  <si>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</si>
  <si>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</si>
  <si>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</si>
  <si>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</si>
  <si>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</si>
  <si>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</si>
  <si>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</si>
  <si>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</si>
  <si>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</si>
  <si>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</si>
  <si>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</si>
  <si>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</si>
  <si>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</si>
  <si>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</si>
  <si>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</si>
  <si>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</si>
  <si>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</si>
  <si>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</si>
  <si>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</si>
  <si>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</si>
  <si>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</si>
  <si>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</si>
  <si>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</si>
  <si>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</si>
  <si>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</si>
  <si>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</si>
  <si>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</si>
  <si>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</si>
  <si>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</si>
  <si>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</si>
  <si>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</si>
  <si>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</si>
  <si>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</si>
  <si>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</si>
  <si>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</si>
  <si>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</si>
  <si>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</si>
  <si>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</si>
  <si>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</si>
  <si>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</si>
  <si>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</si>
  <si>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</si>
  <si>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</si>
  <si>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</si>
  <si>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</si>
  <si>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</si>
  <si>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</si>
  <si>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</si>
  <si>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</si>
  <si>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</si>
  <si>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</si>
  <si>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</si>
  <si>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</si>
  <si>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</si>
  <si>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</si>
  <si>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</si>
  <si>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</si>
  <si>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</si>
  <si>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</si>
  <si>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</si>
  <si>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</si>
  <si>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</si>
  <si>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</si>
  <si>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</si>
  <si>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</si>
  <si>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</si>
  <si>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</si>
  <si>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</si>
  <si>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</si>
  <si>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</si>
  <si>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</si>
  <si>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</si>
  <si>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</si>
  <si>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</si>
  <si>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</si>
  <si>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</si>
  <si>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</si>
  <si>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</si>
  <si>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</si>
  <si>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</si>
  <si>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</si>
  <si>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</si>
  <si>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</si>
  <si>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</si>
  <si>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</si>
  <si>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</si>
  <si>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</si>
  <si>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</si>
  <si>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</si>
  <si>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</si>
  <si>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</si>
  <si>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</si>
  <si>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</si>
  <si>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</si>
  <si>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</si>
  <si>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</si>
  <si>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</si>
  <si>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</si>
  <si>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</si>
  <si>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</si>
  <si>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</si>
  <si>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</si>
  <si>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</si>
  <si>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</si>
  <si>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</si>
  <si>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</si>
  <si>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</si>
  <si>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</si>
  <si>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</si>
  <si>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</si>
  <si>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</si>
  <si>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</si>
  <si>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</si>
  <si>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</si>
  <si>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</si>
  <si>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</si>
  <si>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</si>
  <si>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</si>
  <si>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</si>
  <si>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</si>
  <si>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</si>
  <si>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</si>
  <si>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</si>
  <si>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</si>
  <si>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</si>
  <si>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</si>
  <si>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</si>
  <si>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</si>
  <si>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</si>
  <si>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</si>
  <si>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</si>
  <si>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</si>
  <si>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</si>
  <si>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</si>
  <si>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</si>
  <si>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</si>
  <si>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</si>
  <si>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</si>
  <si>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</si>
  <si>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</si>
  <si>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</si>
  <si>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</si>
  <si>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</si>
  <si>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</si>
  <si>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</si>
  <si>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</si>
  <si>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</si>
  <si>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</si>
  <si>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</si>
  <si>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</si>
  <si>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</si>
  <si>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</si>
  <si>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</si>
  <si>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</si>
  <si>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</si>
  <si>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</si>
  <si>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</si>
  <si>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</si>
  <si>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</si>
  <si>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</si>
  <si>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</si>
  <si>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</si>
  <si>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</si>
  <si>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</si>
  <si>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</si>
  <si>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</si>
  <si>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</si>
  <si>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</si>
  <si>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</si>
  <si>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</si>
  <si>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</si>
  <si>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</si>
  <si>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</si>
  <si>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</si>
  <si>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</si>
  <si>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</si>
  <si>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</si>
  <si>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</si>
  <si>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</si>
  <si>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</si>
  <si>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</si>
  <si>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</si>
  <si>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</si>
  <si>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</si>
  <si>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</si>
  <si>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</si>
  <si>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</si>
  <si>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</si>
  <si>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</si>
  <si>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</si>
  <si>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</si>
  <si>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</si>
  <si>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</si>
  <si>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</si>
  <si>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</si>
  <si>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</si>
  <si>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</si>
  <si>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</si>
  <si>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</si>
  <si>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</si>
  <si>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</si>
  <si>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</si>
  <si>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</si>
  <si>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</si>
  <si>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</si>
  <si>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</si>
  <si>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</si>
  <si>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</si>
  <si>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</si>
  <si>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</si>
  <si>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</si>
  <si>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</si>
  <si>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</si>
  <si>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</si>
  <si>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</si>
  <si>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</si>
  <si>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</si>
  <si>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</si>
  <si>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</si>
  <si>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</si>
  <si>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</si>
  <si>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</si>
  <si>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</si>
  <si>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</si>
  <si>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</si>
  <si>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</si>
  <si>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</si>
  <si>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</si>
  <si>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</si>
  <si>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</si>
  <si>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</si>
  <si>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</si>
  <si>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</si>
  <si>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</si>
  <si>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</si>
  <si>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</si>
  <si>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</si>
  <si>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</si>
  <si>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</si>
  <si>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</si>
  <si>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</si>
  <si>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</si>
  <si>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</si>
  <si>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</si>
  <si>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</si>
  <si>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</si>
  <si>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</si>
  <si>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</si>
  <si>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</si>
  <si>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</si>
  <si>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(단위 : %)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</si>
  <si>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</si>
  <si>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</si>
  <si>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</si>
  <si>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</si>
  <si>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</si>
  <si>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</si>
  <si>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</si>
  <si>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</si>
  <si>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</si>
  <si>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</si>
  <si>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</si>
  <si>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</si>
  <si>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</si>
  <si>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</si>
  <si>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승률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</si>
  <si>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</si>
  <si>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</si>
  <si>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</si>
  <si>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</si>
  <si>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</si>
  <si>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</si>
  <si>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</si>
  <si>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</si>
  <si>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</si>
  <si>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</si>
  <si>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</si>
  <si>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</si>
  <si>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</si>
  <si>
    <t>거래비용 고려 2%</t>
    <phoneticPr fontId="1" type="noConversion"/>
  </si>
  <si>
    <t>거래비용 고려 1.5%</t>
    <phoneticPr fontId="1" type="noConversion"/>
  </si>
  <si>
    <t>거래비용 고려 1%</t>
    <phoneticPr fontId="1" type="noConversion"/>
  </si>
  <si>
    <t>MSCI korea value index</t>
    <phoneticPr fontId="1" type="noConversion"/>
  </si>
  <si>
    <t>거래비용 고려 2%</t>
    <phoneticPr fontId="1" type="noConversion"/>
  </si>
  <si>
    <t>배당고려수익률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</si>
</sst>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105.87745571901499</c:v>
                </c:pt>
                <c:pt idx="2">
                  <c:v>87.67977446861218</c:v>
                </c:pt>
                <c:pt idx="3">
                  <c:v>56.537803043706603</c:v>
                </c:pt>
                <c:pt idx="4">
                  <c:v>59.834621282865434</c:v>
                </c:pt>
                <c:pt idx="5">
                  <c:v>85.663149468510497</c:v>
                </c:pt>
                <c:pt idx="6">
                  <c:v>92.36540499810107</c:v>
                </c:pt>
                <c:pt idx="7">
                  <c:v>86.725228036367696</c:v>
                </c:pt>
                <c:pt idx="8">
                  <c:v>88.303616281493277</c:v>
                </c:pt>
                <c:pt idx="9">
                  <c:v>89.029911139075736</c:v>
                </c:pt>
                <c:pt idx="10">
                  <c:v>94.50629686168827</c:v>
                </c:pt>
                <c:pt idx="11">
                  <c:v>106.24228689097532</c:v>
                </c:pt>
                <c:pt idx="12">
                  <c:v>103.06852692540116</c:v>
                </c:pt>
                <c:pt idx="13">
                  <c:v>107.61550923523772</c:v>
                </c:pt>
                <c:pt idx="14">
                  <c:v>106.28581202736633</c:v>
                </c:pt>
                <c:pt idx="15">
                  <c:v>95.872540721491177</c:v>
                </c:pt>
                <c:pt idx="16">
                  <c:v>112.44998177292794</c:v>
                </c:pt>
                <c:pt idx="17">
                  <c:v>93.950043507069751</c:v>
                </c:pt>
                <c:pt idx="18">
                  <c:v>100.16785800632755</c:v>
                </c:pt>
                <c:pt idx="19">
                  <c:v>107.67565452572923</c:v>
                </c:pt>
                <c:pt idx="20">
                  <c:v>116.19068898450372</c:v>
                </c:pt>
                <c:pt idx="21">
                  <c:v>128.12998791542421</c:v>
                </c:pt>
                <c:pt idx="22">
                  <c:v>123.97323970884885</c:v>
                </c:pt>
                <c:pt idx="23">
                  <c:v>127.54583226690255</c:v>
                </c:pt>
                <c:pt idx="24">
                  <c:v>132.71126129507221</c:v>
                </c:pt>
                <c:pt idx="25">
                  <c:v>142.70844074790915</c:v>
                </c:pt>
                <c:pt idx="26">
                  <c:v>156.74352712902618</c:v>
                </c:pt>
                <c:pt idx="27">
                  <c:v>148.10873776851898</c:v>
                </c:pt>
                <c:pt idx="28">
                  <c:v>162.30325969239664</c:v>
                </c:pt>
                <c:pt idx="29">
                  <c:v>186.95557238231495</c:v>
                </c:pt>
                <c:pt idx="30">
                  <c:v>173.41940391507748</c:v>
                </c:pt>
                <c:pt idx="31">
                  <c:v>172.34858556780864</c:v>
                </c:pt>
                <c:pt idx="32">
                  <c:v>166.42680916968973</c:v>
                </c:pt>
                <c:pt idx="33">
                  <c:v>173.98598700703334</c:v>
                </c:pt>
                <c:pt idx="34">
                  <c:v>175.37053788721846</c:v>
                </c:pt>
                <c:pt idx="35">
                  <c:v>173.55873917195285</c:v>
                </c:pt>
                <c:pt idx="36">
                  <c:v>180.68948086872513</c:v>
                </c:pt>
                <c:pt idx="37">
                  <c:v>194.53534949160385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103.92075945932</c:v>
                </c:pt>
                <c:pt idx="2">
                  <c:v>111.21557579315589</c:v>
                </c:pt>
                <c:pt idx="3">
                  <c:v>121.92087362004359</c:v>
                </c:pt>
                <c:pt idx="4">
                  <c:v>114.44914172005416</c:v>
                </c:pt>
                <c:pt idx="5">
                  <c:v>125.99567145707188</c:v>
                </c:pt>
                <c:pt idx="6">
                  <c:v>144.91795450678271</c:v>
                </c:pt>
                <c:pt idx="7">
                  <c:v>131.92879480724625</c:v>
                </c:pt>
                <c:pt idx="8">
                  <c:v>131.68610352107683</c:v>
                </c:pt>
                <c:pt idx="9">
                  <c:v>128.12199901948281</c:v>
                </c:pt>
                <c:pt idx="10">
                  <c:v>135.72294329359258</c:v>
                </c:pt>
                <c:pt idx="11">
                  <c:v>137.31883282600521</c:v>
                </c:pt>
                <c:pt idx="12">
                  <c:v>135.44742324998739</c:v>
                </c:pt>
                <c:pt idx="13">
                  <c:v>142.14248922392875</c:v>
                </c:pt>
                <c:pt idx="14">
                  <c:v>153.40038778046099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104.04986108629599</c:v>
                </c:pt>
                <c:pt idx="2">
                  <c:v>111.88796859255839</c:v>
                </c:pt>
                <c:pt idx="3">
                  <c:v>122.89192390153876</c:v>
                </c:pt>
                <c:pt idx="4">
                  <c:v>116.12197367498959</c:v>
                </c:pt>
                <c:pt idx="5">
                  <c:v>127.25093153397646</c:v>
                </c:pt>
                <c:pt idx="6">
                  <c:v>146.57913085791114</c:v>
                </c:pt>
                <c:pt idx="7">
                  <c:v>135.9663431041634</c:v>
                </c:pt>
                <c:pt idx="8">
                  <c:v>135.12678737095212</c:v>
                </c:pt>
                <c:pt idx="9">
                  <c:v>130.48392582630598</c:v>
                </c:pt>
                <c:pt idx="10">
                  <c:v>136.41056231688552</c:v>
                </c:pt>
                <c:pt idx="11">
                  <c:v>137.49609436099638</c:v>
                </c:pt>
                <c:pt idx="12">
                  <c:v>136.07558638902736</c:v>
                </c:pt>
                <c:pt idx="13">
                  <c:v>141.66631528234822</c:v>
                </c:pt>
                <c:pt idx="14">
                  <c:v>152.52191783461731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-1.6481606955466299E-2</c:v>
                </c:pt>
                <c:pt idx="1">
                  <c:v>7.6148523257639766E-3</c:v>
                </c:pt>
                <c:pt idx="2">
                  <c:v>-8.2069993574551914E-2</c:v>
                </c:pt>
                <c:pt idx="3">
                  <c:v>-8.3340143302079728E-3</c:v>
                </c:pt>
                <c:pt idx="4">
                  <c:v>0.12282333500149156</c:v>
                </c:pt>
                <c:pt idx="5">
                  <c:v>5.3583026463157601E-2</c:v>
                </c:pt>
                <c:pt idx="6">
                  <c:v>1.097812720433089E-2</c:v>
                </c:pt>
                <c:pt idx="7">
                  <c:v>1.0983664238904844E-2</c:v>
                </c:pt>
                <c:pt idx="8">
                  <c:v>1.4506096740143914E-2</c:v>
                </c:pt>
                <c:pt idx="9">
                  <c:v>2.5798941661628549E-2</c:v>
                </c:pt>
                <c:pt idx="10">
                  <c:v>6.2535449310585078E-2</c:v>
                </c:pt>
                <c:pt idx="11">
                  <c:v>8.4430705081129931E-3</c:v>
                </c:pt>
                <c:pt idx="12">
                  <c:v>-4.1664521831524692E-2</c:v>
                </c:pt>
                <c:pt idx="13">
                  <c:v>6.8538612587143555E-2</c:v>
                </c:pt>
                <c:pt idx="14">
                  <c:v>-2.0094634337319395E-2</c:v>
                </c:pt>
                <c:pt idx="15">
                  <c:v>5.2915858513957748E-2</c:v>
                </c:pt>
                <c:pt idx="16">
                  <c:v>-2.8415334080726717E-2</c:v>
                </c:pt>
                <c:pt idx="17">
                  <c:v>1.3704409972917331E-2</c:v>
                </c:pt>
                <c:pt idx="18">
                  <c:v>6.5761249357047857E-2</c:v>
                </c:pt>
                <c:pt idx="19">
                  <c:v>9.9556569729881472E-2</c:v>
                </c:pt>
                <c:pt idx="20">
                  <c:v>0.21355810369029549</c:v>
                </c:pt>
                <c:pt idx="21">
                  <c:v>0.21944058995658333</c:v>
                </c:pt>
                <c:pt idx="22">
                  <c:v>0.18008380106205613</c:v>
                </c:pt>
                <c:pt idx="23">
                  <c:v>0.25484012598982397</c:v>
                </c:pt>
                <c:pt idx="24">
                  <c:v>0.31513733010652156</c:v>
                </c:pt>
                <c:pt idx="25">
                  <c:v>0.38414690067945279</c:v>
                </c:pt>
                <c:pt idx="26">
                  <c:v>0.36880916432582767</c:v>
                </c:pt>
                <c:pt idx="27">
                  <c:v>0.47143031440568317</c:v>
                </c:pt>
                <c:pt idx="28">
                  <c:v>0.57173381390403477</c:v>
                </c:pt>
                <c:pt idx="29">
                  <c:v>0.57779044036209148</c:v>
                </c:pt>
                <c:pt idx="30">
                  <c:v>0.53547034544793859</c:v>
                </c:pt>
                <c:pt idx="31">
                  <c:v>0.54782092670690274</c:v>
                </c:pt>
                <c:pt idx="32">
                  <c:v>0.56560891260643142</c:v>
                </c:pt>
                <c:pt idx="33">
                  <c:v>0.53507806296243188</c:v>
                </c:pt>
                <c:pt idx="34">
                  <c:v>0.54014067452129311</c:v>
                </c:pt>
                <c:pt idx="35">
                  <c:v>0.52786889955872351</c:v>
                </c:pt>
                <c:pt idx="36">
                  <c:v>0.48284385322136125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2-46E9-B120-9152CBB50139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2-46E9-B120-9152CBB50139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2-46E9-B120-9152CBB50139}"/>
            </c:ext>
          </c:extLst>
        </c:ser>
        <c:ser>
          <c:idx val="3"/>
          <c:order val="3"/>
          <c:tx>
            <c:strRef>
              <c:f>Results!$AP$11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Results!$AP$12:$AP$49</c:f>
              <c:numCache>
                <c:formatCode>General</c:formatCode>
                <c:ptCount val="38"/>
                <c:pt idx="0">
                  <c:v>100</c:v>
                </c:pt>
                <c:pt idx="1">
                  <c:v>104.17776217098699</c:v>
                </c:pt>
                <c:pt idx="2">
                  <c:v>86.5138455586182</c:v>
                </c:pt>
                <c:pt idx="3">
                  <c:v>55.307843813948267</c:v>
                </c:pt>
                <c:pt idx="4">
                  <c:v>57.721444973592149</c:v>
                </c:pt>
                <c:pt idx="5">
                  <c:v>82.262523581592447</c:v>
                </c:pt>
                <c:pt idx="6">
                  <c:v>89.094876925933349</c:v>
                </c:pt>
                <c:pt idx="7">
                  <c:v>83.224062914755436</c:v>
                </c:pt>
                <c:pt idx="8">
                  <c:v>83.974997558940032</c:v>
                </c:pt>
                <c:pt idx="9">
                  <c:v>85.193750140796894</c:v>
                </c:pt>
                <c:pt idx="10">
                  <c:v>90.82656656927918</c:v>
                </c:pt>
                <c:pt idx="11">
                  <c:v>100.19711541996799</c:v>
                </c:pt>
                <c:pt idx="12">
                  <c:v>96.662516271896479</c:v>
                </c:pt>
                <c:pt idx="13">
                  <c:v>101.29986239432907</c:v>
                </c:pt>
                <c:pt idx="14">
                  <c:v>98.60961966326694</c:v>
                </c:pt>
                <c:pt idx="15">
                  <c:v>88.430535964802615</c:v>
                </c:pt>
                <c:pt idx="16">
                  <c:v>102.20311972608319</c:v>
                </c:pt>
                <c:pt idx="17">
                  <c:v>85.480127029566674</c:v>
                </c:pt>
                <c:pt idx="18">
                  <c:v>90.628782975729976</c:v>
                </c:pt>
                <c:pt idx="19">
                  <c:v>94.831387138064159</c:v>
                </c:pt>
                <c:pt idx="20">
                  <c:v>102.97694670853662</c:v>
                </c:pt>
                <c:pt idx="21">
                  <c:v>111.89897201101098</c:v>
                </c:pt>
                <c:pt idx="22">
                  <c:v>108.22565649463887</c:v>
                </c:pt>
                <c:pt idx="23">
                  <c:v>111.77990496077878</c:v>
                </c:pt>
                <c:pt idx="24">
                  <c:v>116.0558940845812</c:v>
                </c:pt>
                <c:pt idx="25">
                  <c:v>124.68521297167362</c:v>
                </c:pt>
                <c:pt idx="26">
                  <c:v>137.79919264683693</c:v>
                </c:pt>
                <c:pt idx="27">
                  <c:v>129.26897496999496</c:v>
                </c:pt>
                <c:pt idx="28">
                  <c:v>137.15875301021859</c:v>
                </c:pt>
                <c:pt idx="29">
                  <c:v>157.30539736264697</c:v>
                </c:pt>
                <c:pt idx="30">
                  <c:v>144.26987302133412</c:v>
                </c:pt>
                <c:pt idx="31">
                  <c:v>142.19257466140439</c:v>
                </c:pt>
                <c:pt idx="32">
                  <c:v>137.9677371277694</c:v>
                </c:pt>
                <c:pt idx="33">
                  <c:v>144.68823566660683</c:v>
                </c:pt>
                <c:pt idx="34">
                  <c:v>145.8563634700854</c:v>
                </c:pt>
                <c:pt idx="35">
                  <c:v>141.80496104771427</c:v>
                </c:pt>
                <c:pt idx="36">
                  <c:v>148.84164538085122</c:v>
                </c:pt>
                <c:pt idx="37">
                  <c:v>160.33426120695015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2-46E9-B120-9152CBB50139}"/>
            </c:ext>
          </c:extLst>
        </c:ser>
        <c:ser>
          <c:idx val="4"/>
          <c:order val="4"/>
          <c:tx>
            <c:strRef>
              <c:f>Results!$AQ$11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Results!$AQ$12:$AQ$49</c:f>
              <c:numCache>
                <c:formatCode>General</c:formatCode>
                <c:ptCount val="38"/>
                <c:pt idx="0">
                  <c:v>100</c:v>
                </c:pt>
                <c:pt idx="1">
                  <c:v>104.17776217098699</c:v>
                </c:pt>
                <c:pt idx="2">
                  <c:v>86.5138455586182</c:v>
                </c:pt>
                <c:pt idx="3">
                  <c:v>55.307843813948267</c:v>
                </c:pt>
                <c:pt idx="4">
                  <c:v>57.665890332139206</c:v>
                </c:pt>
                <c:pt idx="5">
                  <c:v>82.250586201236587</c:v>
                </c:pt>
                <c:pt idx="6">
                  <c:v>89.349659454244716</c:v>
                </c:pt>
                <c:pt idx="7">
                  <c:v>83.435251916202432</c:v>
                </c:pt>
                <c:pt idx="8">
                  <c:v>84.18809212870589</c:v>
                </c:pt>
                <c:pt idx="9">
                  <c:v>85.409937411540795</c:v>
                </c:pt>
                <c:pt idx="10">
                  <c:v>91.128952082455498</c:v>
                </c:pt>
                <c:pt idx="11">
                  <c:v>100.52158505803698</c:v>
                </c:pt>
                <c:pt idx="12">
                  <c:v>96.975539771007405</c:v>
                </c:pt>
                <c:pt idx="13">
                  <c:v>101.58570751332545</c:v>
                </c:pt>
                <c:pt idx="14">
                  <c:v>98.868815107402256</c:v>
                </c:pt>
                <c:pt idx="15">
                  <c:v>88.539871389969647</c:v>
                </c:pt>
                <c:pt idx="16">
                  <c:v>102.34353506402692</c:v>
                </c:pt>
                <c:pt idx="17">
                  <c:v>85.462941112267771</c:v>
                </c:pt>
                <c:pt idx="18">
                  <c:v>90.610561912855545</c:v>
                </c:pt>
                <c:pt idx="19">
                  <c:v>94.812321134849981</c:v>
                </c:pt>
                <c:pt idx="20">
                  <c:v>102.95624302744343</c:v>
                </c:pt>
                <c:pt idx="21">
                  <c:v>111.87647454235203</c:v>
                </c:pt>
                <c:pt idx="22">
                  <c:v>108.2038975519844</c:v>
                </c:pt>
                <c:pt idx="23">
                  <c:v>111.75743143074217</c:v>
                </c:pt>
                <c:pt idx="24">
                  <c:v>116.15073621097635</c:v>
                </c:pt>
                <c:pt idx="25">
                  <c:v>124.75611105804684</c:v>
                </c:pt>
                <c:pt idx="26">
                  <c:v>137.8159963168836</c:v>
                </c:pt>
                <c:pt idx="27">
                  <c:v>129.28473843827766</c:v>
                </c:pt>
                <c:pt idx="28">
                  <c:v>137.17547858302731</c:v>
                </c:pt>
                <c:pt idx="29">
                  <c:v>157.32457968108491</c:v>
                </c:pt>
                <c:pt idx="30">
                  <c:v>144.28746574664231</c:v>
                </c:pt>
                <c:pt idx="31">
                  <c:v>142.20991407437046</c:v>
                </c:pt>
                <c:pt idx="32">
                  <c:v>137.98456135066394</c:v>
                </c:pt>
                <c:pt idx="33">
                  <c:v>144.70587940838118</c:v>
                </c:pt>
                <c:pt idx="34">
                  <c:v>145.87414965706427</c:v>
                </c:pt>
                <c:pt idx="35">
                  <c:v>141.82225319384844</c:v>
                </c:pt>
                <c:pt idx="36">
                  <c:v>148.75938865081778</c:v>
                </c:pt>
                <c:pt idx="37">
                  <c:v>160.24565312951682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2-46E9-B120-9152CBB50139}"/>
            </c:ext>
          </c:extLst>
        </c:ser>
        <c:ser>
          <c:idx val="5"/>
          <c:order val="5"/>
          <c:tx>
            <c:strRef>
              <c:f>Results!$AR$11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Results!$AR$12:$AR$49</c:f>
              <c:numCache>
                <c:formatCode>General</c:formatCode>
                <c:ptCount val="38"/>
                <c:pt idx="0">
                  <c:v>100</c:v>
                </c:pt>
                <c:pt idx="1">
                  <c:v>104.89842526331901</c:v>
                </c:pt>
                <c:pt idx="2">
                  <c:v>85.983615258458983</c:v>
                </c:pt>
                <c:pt idx="3">
                  <c:v>55.212648284207553</c:v>
                </c:pt>
                <c:pt idx="4">
                  <c:v>58.026582755921744</c:v>
                </c:pt>
                <c:pt idx="5">
                  <c:v>83.734395030239625</c:v>
                </c:pt>
                <c:pt idx="6">
                  <c:v>90.204232518802868</c:v>
                </c:pt>
                <c:pt idx="7">
                  <c:v>83.552642916519559</c:v>
                </c:pt>
                <c:pt idx="8">
                  <c:v>83.668654481523546</c:v>
                </c:pt>
                <c:pt idx="9">
                  <c:v>84.090284084757997</c:v>
                </c:pt>
                <c:pt idx="10">
                  <c:v>88.550937108666901</c:v>
                </c:pt>
                <c:pt idx="11">
                  <c:v>99.358342220914125</c:v>
                </c:pt>
                <c:pt idx="12">
                  <c:v>95.634971726744666</c:v>
                </c:pt>
                <c:pt idx="13">
                  <c:v>98.065221390953667</c:v>
                </c:pt>
                <c:pt idx="14">
                  <c:v>97.089305864439666</c:v>
                </c:pt>
                <c:pt idx="15">
                  <c:v>87.784626380054377</c:v>
                </c:pt>
                <c:pt idx="16">
                  <c:v>103.62591557660342</c:v>
                </c:pt>
                <c:pt idx="17">
                  <c:v>86.320895369878727</c:v>
                </c:pt>
                <c:pt idx="18">
                  <c:v>91.078893301468597</c:v>
                </c:pt>
                <c:pt idx="19">
                  <c:v>95.784693673205396</c:v>
                </c:pt>
                <c:pt idx="20">
                  <c:v>105.12901139877809</c:v>
                </c:pt>
                <c:pt idx="21">
                  <c:v>113.58122789685261</c:v>
                </c:pt>
                <c:pt idx="22">
                  <c:v>110.00263887818787</c:v>
                </c:pt>
                <c:pt idx="23">
                  <c:v>112.79425597320214</c:v>
                </c:pt>
                <c:pt idx="24">
                  <c:v>117.51784979866483</c:v>
                </c:pt>
                <c:pt idx="25">
                  <c:v>126.11356391227723</c:v>
                </c:pt>
                <c:pt idx="26">
                  <c:v>138.96157473812073</c:v>
                </c:pt>
                <c:pt idx="27">
                  <c:v>129.85605559500004</c:v>
                </c:pt>
                <c:pt idx="28">
                  <c:v>142.43601741951156</c:v>
                </c:pt>
                <c:pt idx="29">
                  <c:v>162.45916654598977</c:v>
                </c:pt>
                <c:pt idx="30">
                  <c:v>148.22386875290815</c:v>
                </c:pt>
                <c:pt idx="31">
                  <c:v>146.19413327904198</c:v>
                </c:pt>
                <c:pt idx="32">
                  <c:v>141.77464414442815</c:v>
                </c:pt>
                <c:pt idx="33">
                  <c:v>150.47970478751174</c:v>
                </c:pt>
                <c:pt idx="34">
                  <c:v>152.36914633773031</c:v>
                </c:pt>
                <c:pt idx="35">
                  <c:v>147.97233680777086</c:v>
                </c:pt>
                <c:pt idx="36">
                  <c:v>155.26109145108131</c:v>
                </c:pt>
                <c:pt idx="37">
                  <c:v>165.97924851385721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2-46E9-B120-9152CBB50139}"/>
            </c:ext>
          </c:extLst>
        </c:ser>
        <c:ser>
          <c:idx val="6"/>
          <c:order val="6"/>
          <c:tx>
            <c:strRef>
              <c:f>Results!$AS$11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Results!$AS$12:$AS$49</c:f>
              <c:numCache>
                <c:formatCode>General</c:formatCode>
                <c:ptCount val="38"/>
                <c:pt idx="0">
                  <c:v>100</c:v>
                </c:pt>
                <c:pt idx="1">
                  <c:v>104.906783472274</c:v>
                </c:pt>
                <c:pt idx="2">
                  <c:v>86.148572310996201</c:v>
                </c:pt>
                <c:pt idx="3">
                  <c:v>55.334044591079603</c:v>
                </c:pt>
                <c:pt idx="4">
                  <c:v>58.220909623011032</c:v>
                </c:pt>
                <c:pt idx="5">
                  <c:v>84.179573259013608</c:v>
                </c:pt>
                <c:pt idx="6">
                  <c:v>90.856698696447054</c:v>
                </c:pt>
                <c:pt idx="7">
                  <c:v>84.146509805854834</c:v>
                </c:pt>
                <c:pt idx="8">
                  <c:v>84.270546542798598</c:v>
                </c:pt>
                <c:pt idx="9">
                  <c:v>84.702462384001322</c:v>
                </c:pt>
                <c:pt idx="10">
                  <c:v>89.198262865050737</c:v>
                </c:pt>
                <c:pt idx="11">
                  <c:v>99.979215144253288</c:v>
                </c:pt>
                <c:pt idx="12">
                  <c:v>96.24113339363798</c:v>
                </c:pt>
                <c:pt idx="13">
                  <c:v>99.0195294685128</c:v>
                </c:pt>
                <c:pt idx="14">
                  <c:v>97.932166197425062</c:v>
                </c:pt>
                <c:pt idx="15">
                  <c:v>88.483303786154622</c:v>
                </c:pt>
                <c:pt idx="16">
                  <c:v>104.3655847426466</c:v>
                </c:pt>
                <c:pt idx="17">
                  <c:v>86.83295130285741</c:v>
                </c:pt>
                <c:pt idx="18">
                  <c:v>91.634769070069581</c:v>
                </c:pt>
                <c:pt idx="19">
                  <c:v>96.377085834884994</c:v>
                </c:pt>
                <c:pt idx="20">
                  <c:v>105.78720208655774</c:v>
                </c:pt>
                <c:pt idx="21">
                  <c:v>114.30128331542745</c:v>
                </c:pt>
                <c:pt idx="22">
                  <c:v>110.70921994630041</c:v>
                </c:pt>
                <c:pt idx="23">
                  <c:v>113.52813193013233</c:v>
                </c:pt>
                <c:pt idx="24">
                  <c:v>118.29901625275915</c:v>
                </c:pt>
                <c:pt idx="25">
                  <c:v>126.92395864980581</c:v>
                </c:pt>
                <c:pt idx="26">
                  <c:v>139.94038560295155</c:v>
                </c:pt>
                <c:pt idx="27">
                  <c:v>130.7682926686096</c:v>
                </c:pt>
                <c:pt idx="28">
                  <c:v>143.44736326919954</c:v>
                </c:pt>
                <c:pt idx="29">
                  <c:v>163.62424523028969</c:v>
                </c:pt>
                <c:pt idx="30">
                  <c:v>149.29988357178348</c:v>
                </c:pt>
                <c:pt idx="31">
                  <c:v>147.26744658216836</c:v>
                </c:pt>
                <c:pt idx="32">
                  <c:v>142.84526369248266</c:v>
                </c:pt>
                <c:pt idx="33">
                  <c:v>151.64249814591602</c:v>
                </c:pt>
                <c:pt idx="34">
                  <c:v>153.55959168854994</c:v>
                </c:pt>
                <c:pt idx="35">
                  <c:v>149.12636757171973</c:v>
                </c:pt>
                <c:pt idx="36">
                  <c:v>156.54150468743575</c:v>
                </c:pt>
                <c:pt idx="37">
                  <c:v>167.37749181536913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2-46E9-B120-9152CBB50139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2-46E9-B120-9152CBB5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D6-4DE7-988D-B4C8BAA43C61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DE7-988D-B4C8BAA43C61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D6-4DE7-988D-B4C8BAA43C61}"/>
            </c:ext>
          </c:extLst>
        </c:ser>
        <c:ser>
          <c:idx val="3"/>
          <c:order val="3"/>
          <c:tx>
            <c:strRef>
              <c:f>Results!$BF$11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Results!$BF$12:$BF$49</c:f>
              <c:numCache>
                <c:formatCode>General</c:formatCode>
                <c:ptCount val="38"/>
                <c:pt idx="0">
                  <c:v>100</c:v>
                </c:pt>
                <c:pt idx="1">
                  <c:v>104.30276217098699</c:v>
                </c:pt>
                <c:pt idx="2">
                  <c:v>86.742814430853599</c:v>
                </c:pt>
                <c:pt idx="3">
                  <c:v>55.610359468715941</c:v>
                </c:pt>
                <c:pt idx="4">
                  <c:v>58.212334862571424</c:v>
                </c:pt>
                <c:pt idx="5">
                  <c:v>83.029066348920139</c:v>
                </c:pt>
                <c:pt idx="6">
                  <c:v>90.111900669675379</c:v>
                </c:pt>
                <c:pt idx="7">
                  <c:v>84.286710815244177</c:v>
                </c:pt>
                <c:pt idx="8">
                  <c:v>85.144163498982522</c:v>
                </c:pt>
                <c:pt idx="9">
                  <c:v>86.477800300532962</c:v>
                </c:pt>
                <c:pt idx="10">
                  <c:v>92.299288556960704</c:v>
                </c:pt>
                <c:pt idx="11">
                  <c:v>101.90946200487622</c:v>
                </c:pt>
                <c:pt idx="12">
                  <c:v>98.436748692001231</c:v>
                </c:pt>
                <c:pt idx="13">
                  <c:v>103.29702436371352</c:v>
                </c:pt>
                <c:pt idx="14">
                  <c:v>100.70352324819243</c:v>
                </c:pt>
                <c:pt idx="15">
                  <c:v>90.434173511586508</c:v>
                </c:pt>
                <c:pt idx="16">
                  <c:v>104.64994267303263</c:v>
                </c:pt>
                <c:pt idx="17">
                  <c:v>87.704493301241797</c:v>
                </c:pt>
                <c:pt idx="18">
                  <c:v>93.140610580638736</c:v>
                </c:pt>
                <c:pt idx="19">
                  <c:v>97.566803979107789</c:v>
                </c:pt>
                <c:pt idx="20">
                  <c:v>106.10342957238079</c:v>
                </c:pt>
                <c:pt idx="21">
                  <c:v>115.45018643930067</c:v>
                </c:pt>
                <c:pt idx="22">
                  <c:v>111.86233278047335</c:v>
                </c:pt>
                <c:pt idx="23">
                  <c:v>115.69262092372365</c:v>
                </c:pt>
                <c:pt idx="24">
                  <c:v>120.23397832712877</c:v>
                </c:pt>
                <c:pt idx="25">
                  <c:v>129.31222712690899</c:v>
                </c:pt>
                <c:pt idx="26">
                  <c:v>143.08096679321818</c:v>
                </c:pt>
                <c:pt idx="27">
                  <c:v>134.4312575402881</c:v>
                </c:pt>
                <c:pt idx="28">
                  <c:v>142.88480717984436</c:v>
                </c:pt>
                <c:pt idx="29">
                  <c:v>164.05827662638583</c:v>
                </c:pt>
                <c:pt idx="30">
                  <c:v>150.76666504483572</c:v>
                </c:pt>
                <c:pt idx="31">
                  <c:v>148.77674133539281</c:v>
                </c:pt>
                <c:pt idx="32">
                  <c:v>144.54968426095235</c:v>
                </c:pt>
                <c:pt idx="33">
                  <c:v>151.74979839393407</c:v>
                </c:pt>
                <c:pt idx="34">
                  <c:v>153.13427439417916</c:v>
                </c:pt>
                <c:pt idx="35">
                  <c:v>149.04916362610157</c:v>
                </c:pt>
                <c:pt idx="36">
                  <c:v>156.60182337105147</c:v>
                </c:pt>
                <c:pt idx="37">
                  <c:v>168.84240307181625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6-4DE7-988D-B4C8BAA43C61}"/>
            </c:ext>
          </c:extLst>
        </c:ser>
        <c:ser>
          <c:idx val="4"/>
          <c:order val="4"/>
          <c:tx>
            <c:strRef>
              <c:f>Results!$BG$11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Results!$BG$12:$BG$49</c:f>
              <c:numCache>
                <c:formatCode>General</c:formatCode>
                <c:ptCount val="38"/>
                <c:pt idx="0">
                  <c:v>100</c:v>
                </c:pt>
                <c:pt idx="1">
                  <c:v>104.30276217098699</c:v>
                </c:pt>
                <c:pt idx="2">
                  <c:v>86.742814430853599</c:v>
                </c:pt>
                <c:pt idx="3">
                  <c:v>55.610359468715941</c:v>
                </c:pt>
                <c:pt idx="4">
                  <c:v>58.15647635556207</c:v>
                </c:pt>
                <c:pt idx="5">
                  <c:v>83.014295861165394</c:v>
                </c:pt>
                <c:pt idx="6">
                  <c:v>90.357765864619296</c:v>
                </c:pt>
                <c:pt idx="7">
                  <c:v>84.503128646157663</c:v>
                </c:pt>
                <c:pt idx="8">
                  <c:v>85.362782958695263</c:v>
                </c:pt>
                <c:pt idx="9">
                  <c:v>86.699844057872525</c:v>
                </c:pt>
                <c:pt idx="10">
                  <c:v>92.604935173857825</c:v>
                </c:pt>
                <c:pt idx="11">
                  <c:v>102.24230220646638</c:v>
                </c:pt>
                <c:pt idx="12">
                  <c:v>98.758246879058262</c:v>
                </c:pt>
                <c:pt idx="13">
                  <c:v>103.59142515446243</c:v>
                </c:pt>
                <c:pt idx="14">
                  <c:v>100.96591816783587</c:v>
                </c:pt>
                <c:pt idx="15">
                  <c:v>90.544094975701924</c:v>
                </c:pt>
                <c:pt idx="16">
                  <c:v>104.78698557914737</c:v>
                </c:pt>
                <c:pt idx="17">
                  <c:v>87.691984249198129</c:v>
                </c:pt>
                <c:pt idx="18">
                  <c:v>93.127326190053054</c:v>
                </c:pt>
                <c:pt idx="19">
                  <c:v>97.552888292661507</c:v>
                </c:pt>
                <c:pt idx="20">
                  <c:v>106.08829633037031</c:v>
                </c:pt>
                <c:pt idx="21">
                  <c:v>115.43372009491782</c:v>
                </c:pt>
                <c:pt idx="22">
                  <c:v>111.84637816184656</c:v>
                </c:pt>
                <c:pt idx="23">
                  <c:v>115.67612000157325</c:v>
                </c:pt>
                <c:pt idx="24">
                  <c:v>120.33914876252017</c:v>
                </c:pt>
                <c:pt idx="25">
                  <c:v>129.39924166486668</c:v>
                </c:pt>
                <c:pt idx="26">
                  <c:v>143.11340431571065</c:v>
                </c:pt>
                <c:pt idx="27">
                  <c:v>134.46173410916995</c:v>
                </c:pt>
                <c:pt idx="28">
                  <c:v>142.9172002314892</c:v>
                </c:pt>
                <c:pt idx="29">
                  <c:v>164.09546986149888</c:v>
                </c:pt>
                <c:pt idx="30">
                  <c:v>150.80084497245372</c:v>
                </c:pt>
                <c:pt idx="31">
                  <c:v>148.81047013246192</c:v>
                </c:pt>
                <c:pt idx="32">
                  <c:v>144.5824547526507</c:v>
                </c:pt>
                <c:pt idx="33">
                  <c:v>151.78420120521602</c:v>
                </c:pt>
                <c:pt idx="34">
                  <c:v>153.16899107649792</c:v>
                </c:pt>
                <c:pt idx="35">
                  <c:v>149.08295418333611</c:v>
                </c:pt>
                <c:pt idx="36">
                  <c:v>156.53177880855091</c:v>
                </c:pt>
                <c:pt idx="37">
                  <c:v>168.76688356635884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6-4DE7-988D-B4C8BAA43C61}"/>
            </c:ext>
          </c:extLst>
        </c:ser>
        <c:ser>
          <c:idx val="5"/>
          <c:order val="5"/>
          <c:tx>
            <c:strRef>
              <c:f>Results!$BH$11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Results!$BH$12:$BH$49</c:f>
              <c:numCache>
                <c:formatCode>General</c:formatCode>
                <c:ptCount val="38"/>
                <c:pt idx="0">
                  <c:v>100</c:v>
                </c:pt>
                <c:pt idx="1">
                  <c:v>105.06678347227401</c:v>
                </c:pt>
                <c:pt idx="2">
                  <c:v>86.303705497992965</c:v>
                </c:pt>
                <c:pt idx="3">
                  <c:v>55.597665148029421</c:v>
                </c:pt>
                <c:pt idx="4">
                  <c:v>58.623905408042468</c:v>
                </c:pt>
                <c:pt idx="5">
                  <c:v>84.686344646616604</c:v>
                </c:pt>
                <c:pt idx="6">
                  <c:v>91.435194836894468</c:v>
                </c:pt>
                <c:pt idx="7">
                  <c:v>84.837721152587378</c:v>
                </c:pt>
                <c:pt idx="8">
                  <c:v>85.081549583946838</c:v>
                </c:pt>
                <c:pt idx="9">
                  <c:v>85.632482189556569</c:v>
                </c:pt>
                <c:pt idx="10">
                  <c:v>90.302155880488584</c:v>
                </c:pt>
                <c:pt idx="11">
                  <c:v>101.43062184034441</c:v>
                </c:pt>
                <c:pt idx="12">
                  <c:v>97.780276912352008</c:v>
                </c:pt>
                <c:pt idx="13">
                  <c:v>100.42482323935582</c:v>
                </c:pt>
                <c:pt idx="14">
                  <c:v>99.599470378743916</c:v>
                </c:pt>
                <c:pt idx="15">
                  <c:v>90.216929935143725</c:v>
                </c:pt>
                <c:pt idx="16">
                  <c:v>106.65796317299151</c:v>
                </c:pt>
                <c:pt idx="17">
                  <c:v>89.026120245427165</c:v>
                </c:pt>
                <c:pt idx="18">
                  <c:v>94.118368761197942</c:v>
                </c:pt>
                <c:pt idx="19">
                  <c:v>99.125689338752281</c:v>
                </c:pt>
                <c:pt idx="20">
                  <c:v>108.96773256254477</c:v>
                </c:pt>
                <c:pt idx="21">
                  <c:v>117.90124432050067</c:v>
                </c:pt>
                <c:pt idx="22">
                  <c:v>114.42005995713266</c:v>
                </c:pt>
                <c:pt idx="23">
                  <c:v>117.5050885730482</c:v>
                </c:pt>
                <c:pt idx="24">
                  <c:v>122.57144079285789</c:v>
                </c:pt>
                <c:pt idx="25">
                  <c:v>131.7067478070289</c:v>
                </c:pt>
                <c:pt idx="26">
                  <c:v>145.34631185702901</c:v>
                </c:pt>
                <c:pt idx="27">
                  <c:v>136.08152242286198</c:v>
                </c:pt>
                <c:pt idx="28">
                  <c:v>149.51389738168174</c:v>
                </c:pt>
                <c:pt idx="29">
                  <c:v>170.82815649805744</c:v>
                </c:pt>
                <c:pt idx="30">
                  <c:v>156.21479015111655</c:v>
                </c:pt>
                <c:pt idx="31">
                  <c:v>154.38502782091743</c:v>
                </c:pt>
                <c:pt idx="32">
                  <c:v>149.9243484432935</c:v>
                </c:pt>
                <c:pt idx="33">
                  <c:v>159.35995159779054</c:v>
                </c:pt>
                <c:pt idx="34">
                  <c:v>161.58974660162627</c:v>
                </c:pt>
                <c:pt idx="35">
                  <c:v>157.14284022983557</c:v>
                </c:pt>
                <c:pt idx="36">
                  <c:v>165.09334335591603</c:v>
                </c:pt>
                <c:pt idx="37">
                  <c:v>176.69464682837403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D6-4DE7-988D-B4C8BAA43C61}"/>
            </c:ext>
          </c:extLst>
        </c:ser>
        <c:ser>
          <c:idx val="6"/>
          <c:order val="6"/>
          <c:tx>
            <c:strRef>
              <c:f>Results!$BI$11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Results!$BI$12:$BI$49</c:f>
              <c:numCache>
                <c:formatCode>General</c:formatCode>
                <c:ptCount val="38"/>
                <c:pt idx="0">
                  <c:v>100</c:v>
                </c:pt>
                <c:pt idx="1">
                  <c:v>105.06678347227401</c:v>
                </c:pt>
                <c:pt idx="2">
                  <c:v>86.453323164210261</c:v>
                </c:pt>
                <c:pt idx="3">
                  <c:v>55.698372932979225</c:v>
                </c:pt>
                <c:pt idx="4">
                  <c:v>58.793620021396229</c:v>
                </c:pt>
                <c:pt idx="5">
                  <c:v>85.092885906239559</c:v>
                </c:pt>
                <c:pt idx="6">
                  <c:v>92.046678247324067</c:v>
                </c:pt>
                <c:pt idx="7">
                  <c:v>85.395878529060695</c:v>
                </c:pt>
                <c:pt idx="8">
                  <c:v>85.641311136436528</c:v>
                </c:pt>
                <c:pt idx="9">
                  <c:v>86.195868392656664</c:v>
                </c:pt>
                <c:pt idx="10">
                  <c:v>90.88729965102921</c:v>
                </c:pt>
                <c:pt idx="11">
                  <c:v>101.96782910625272</c:v>
                </c:pt>
                <c:pt idx="12">
                  <c:v>98.298150846936807</c:v>
                </c:pt>
                <c:pt idx="13">
                  <c:v>101.2833784156677</c:v>
                </c:pt>
                <c:pt idx="14">
                  <c:v>100.34333688087939</c:v>
                </c:pt>
                <c:pt idx="15">
                  <c:v>90.832419358516873</c:v>
                </c:pt>
                <c:pt idx="16">
                  <c:v>107.28622751926765</c:v>
                </c:pt>
                <c:pt idx="17">
                  <c:v>89.445334642120841</c:v>
                </c:pt>
                <c:pt idx="18">
                  <c:v>94.566034273566785</c:v>
                </c:pt>
                <c:pt idx="19">
                  <c:v>99.597171718768223</c:v>
                </c:pt>
                <c:pt idx="20">
                  <c:v>109.48602773139808</c:v>
                </c:pt>
                <c:pt idx="21">
                  <c:v>118.46203093040866</c:v>
                </c:pt>
                <c:pt idx="22">
                  <c:v>114.96428862832805</c:v>
                </c:pt>
                <c:pt idx="23">
                  <c:v>118.06399090395735</c:v>
                </c:pt>
                <c:pt idx="24">
                  <c:v>123.16126287891112</c:v>
                </c:pt>
                <c:pt idx="25">
                  <c:v>132.30696956415647</c:v>
                </c:pt>
                <c:pt idx="26">
                  <c:v>146.0871313418404</c:v>
                </c:pt>
                <c:pt idx="27">
                  <c:v>136.76781559928781</c:v>
                </c:pt>
                <c:pt idx="28">
                  <c:v>150.26793338691564</c:v>
                </c:pt>
                <c:pt idx="29">
                  <c:v>171.689685646605</c:v>
                </c:pt>
                <c:pt idx="30">
                  <c:v>157.00262043570407</c:v>
                </c:pt>
                <c:pt idx="31">
                  <c:v>155.16363015611594</c:v>
                </c:pt>
                <c:pt idx="32">
                  <c:v>150.69053509181242</c:v>
                </c:pt>
                <c:pt idx="33">
                  <c:v>160.1818933138419</c:v>
                </c:pt>
                <c:pt idx="34">
                  <c:v>162.42318908379559</c:v>
                </c:pt>
                <c:pt idx="35">
                  <c:v>157.9533465990248</c:v>
                </c:pt>
                <c:pt idx="36">
                  <c:v>166.01273444545183</c:v>
                </c:pt>
                <c:pt idx="37">
                  <c:v>177.68694524817144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D6-4DE7-988D-B4C8BAA43C61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D6-4DE7-988D-B4C8BAA4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3A8-BF64-E935D124ED28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0-43A8-BF64-E935D124ED28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0-43A8-BF64-E935D124ED28}"/>
            </c:ext>
          </c:extLst>
        </c:ser>
        <c:ser>
          <c:idx val="3"/>
          <c:order val="3"/>
          <c:tx>
            <c:strRef>
              <c:f>Results!$AX$11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Results!$AX$12:$AX$49</c:f>
              <c:numCache>
                <c:formatCode>General</c:formatCode>
                <c:ptCount val="38"/>
                <c:pt idx="0">
                  <c:v>100</c:v>
                </c:pt>
                <c:pt idx="1">
                  <c:v>104.24026217098701</c:v>
                </c:pt>
                <c:pt idx="2">
                  <c:v>86.628292494735916</c:v>
                </c:pt>
                <c:pt idx="3">
                  <c:v>55.458974598037983</c:v>
                </c:pt>
                <c:pt idx="4">
                  <c:v>57.966518899523123</c:v>
                </c:pt>
                <c:pt idx="5">
                  <c:v>82.645124858796123</c:v>
                </c:pt>
                <c:pt idx="6">
                  <c:v>89.602231101154402</c:v>
                </c:pt>
                <c:pt idx="7">
                  <c:v>83.753986910083071</c:v>
                </c:pt>
                <c:pt idx="8">
                  <c:v>84.55786162593985</c:v>
                </c:pt>
                <c:pt idx="9">
                  <c:v>85.833694247147108</c:v>
                </c:pt>
                <c:pt idx="10">
                  <c:v>91.560322536747876</c:v>
                </c:pt>
                <c:pt idx="11">
                  <c:v>101.05006391742334</c:v>
                </c:pt>
                <c:pt idx="12">
                  <c:v>97.546005807436984</c:v>
                </c:pt>
                <c:pt idx="13">
                  <c:v>102.29401919620983</c:v>
                </c:pt>
                <c:pt idx="14">
                  <c:v>99.651537588167955</c:v>
                </c:pt>
                <c:pt idx="15">
                  <c:v>89.427183005970647</c:v>
                </c:pt>
                <c:pt idx="16">
                  <c:v>103.41982392954039</c:v>
                </c:pt>
                <c:pt idx="17">
                  <c:v>86.585654771985929</c:v>
                </c:pt>
                <c:pt idx="18">
                  <c:v>91.876661532078046</c:v>
                </c:pt>
                <c:pt idx="19">
                  <c:v>96.189960934337662</c:v>
                </c:pt>
                <c:pt idx="20">
                  <c:v>104.52916742153214</c:v>
                </c:pt>
                <c:pt idx="21">
                  <c:v>113.66146232009747</c:v>
                </c:pt>
                <c:pt idx="22">
                  <c:v>110.02974318846914</c:v>
                </c:pt>
                <c:pt idx="23">
                  <c:v>113.72026064733552</c:v>
                </c:pt>
                <c:pt idx="24">
                  <c:v>118.1273355846462</c:v>
                </c:pt>
                <c:pt idx="25">
                  <c:v>126.97859941691161</c:v>
                </c:pt>
                <c:pt idx="26">
                  <c:v>140.41632600785042</c:v>
                </c:pt>
                <c:pt idx="27">
                  <c:v>131.8259011103446</c:v>
                </c:pt>
                <c:pt idx="28">
                  <c:v>139.99367705299335</c:v>
                </c:pt>
                <c:pt idx="29">
                  <c:v>160.64772678598672</c:v>
                </c:pt>
                <c:pt idx="30">
                  <c:v>147.48383069784873</c:v>
                </c:pt>
                <c:pt idx="31">
                  <c:v>145.44874582974956</c:v>
                </c:pt>
                <c:pt idx="32">
                  <c:v>141.22170235395697</c:v>
                </c:pt>
                <c:pt idx="33">
                  <c:v>148.17837559939952</c:v>
                </c:pt>
                <c:pt idx="34">
                  <c:v>149.45247438926015</c:v>
                </c:pt>
                <c:pt idx="35">
                  <c:v>145.38338288227615</c:v>
                </c:pt>
                <c:pt idx="36">
                  <c:v>152.6739629126551</c:v>
                </c:pt>
                <c:pt idx="37">
                  <c:v>164.53500633039701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0-43A8-BF64-E935D124ED28}"/>
            </c:ext>
          </c:extLst>
        </c:ser>
        <c:ser>
          <c:idx val="4"/>
          <c:order val="4"/>
          <c:tx>
            <c:strRef>
              <c:f>Results!$AY$11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Results!$AY$12:$AY$49</c:f>
              <c:numCache>
                <c:formatCode>General</c:formatCode>
                <c:ptCount val="38"/>
                <c:pt idx="0">
                  <c:v>100</c:v>
                </c:pt>
                <c:pt idx="1">
                  <c:v>104.24026217098701</c:v>
                </c:pt>
                <c:pt idx="2">
                  <c:v>86.628292494735916</c:v>
                </c:pt>
                <c:pt idx="3">
                  <c:v>55.458974598037983</c:v>
                </c:pt>
                <c:pt idx="4">
                  <c:v>57.910812452902164</c:v>
                </c:pt>
                <c:pt idx="5">
                  <c:v>82.631776903188282</c:v>
                </c:pt>
                <c:pt idx="6">
                  <c:v>89.852580002447539</c:v>
                </c:pt>
                <c:pt idx="7">
                  <c:v>83.96777896914007</c:v>
                </c:pt>
                <c:pt idx="8">
                  <c:v>84.773705671261226</c:v>
                </c:pt>
                <c:pt idx="9">
                  <c:v>86.052795007678853</c:v>
                </c:pt>
                <c:pt idx="10">
                  <c:v>91.864335518895587</c:v>
                </c:pt>
                <c:pt idx="11">
                  <c:v>101.37869640614623</c:v>
                </c:pt>
                <c:pt idx="12">
                  <c:v>97.863242486076516</c:v>
                </c:pt>
                <c:pt idx="13">
                  <c:v>102.584115432839</c:v>
                </c:pt>
                <c:pt idx="14">
                  <c:v>99.912329658347886</c:v>
                </c:pt>
                <c:pt idx="15">
                  <c:v>89.536813930013011</c:v>
                </c:pt>
                <c:pt idx="16">
                  <c:v>103.55858006813517</c:v>
                </c:pt>
                <c:pt idx="17">
                  <c:v>86.570778706672556</c:v>
                </c:pt>
                <c:pt idx="18">
                  <c:v>91.860876432094386</c:v>
                </c:pt>
                <c:pt idx="19">
                  <c:v>96.173434777145459</c:v>
                </c:pt>
                <c:pt idx="20">
                  <c:v>104.51120852607986</c:v>
                </c:pt>
                <c:pt idx="21">
                  <c:v>113.64193442784392</c:v>
                </c:pt>
                <c:pt idx="22">
                  <c:v>110.01083925281839</c:v>
                </c:pt>
                <c:pt idx="23">
                  <c:v>113.70072265308808</c:v>
                </c:pt>
                <c:pt idx="24">
                  <c:v>118.22727066183643</c:v>
                </c:pt>
                <c:pt idx="25">
                  <c:v>127.05742813965699</c:v>
                </c:pt>
                <c:pt idx="26">
                  <c:v>140.44081026440264</c:v>
                </c:pt>
                <c:pt idx="27">
                  <c:v>131.84888746296312</c:v>
                </c:pt>
                <c:pt idx="28">
                  <c:v>140.01808761266332</c:v>
                </c:pt>
                <c:pt idx="29">
                  <c:v>160.67573877197856</c:v>
                </c:pt>
                <c:pt idx="30">
                  <c:v>147.5095473082371</c:v>
                </c:pt>
                <c:pt idx="31">
                  <c:v>145.47410758439261</c:v>
                </c:pt>
                <c:pt idx="32">
                  <c:v>141.24632704318989</c:v>
                </c:pt>
                <c:pt idx="33">
                  <c:v>148.20421331689869</c:v>
                </c:pt>
                <c:pt idx="34">
                  <c:v>149.4785342701112</c:v>
                </c:pt>
                <c:pt idx="35">
                  <c:v>145.40873323964641</c:v>
                </c:pt>
                <c:pt idx="36">
                  <c:v>152.59763842268418</c:v>
                </c:pt>
                <c:pt idx="37">
                  <c:v>164.45275228916464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0-43A8-BF64-E935D124ED28}"/>
            </c:ext>
          </c:extLst>
        </c:ser>
        <c:ser>
          <c:idx val="5"/>
          <c:order val="5"/>
          <c:tx>
            <c:strRef>
              <c:f>Results!$AZ$11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Results!$AZ$12:$AZ$49</c:f>
              <c:numCache>
                <c:formatCode>General</c:formatCode>
                <c:ptCount val="38"/>
                <c:pt idx="0">
                  <c:v>100</c:v>
                </c:pt>
                <c:pt idx="1">
                  <c:v>104.986783472274</c:v>
                </c:pt>
                <c:pt idx="2">
                  <c:v>86.151377993340148</c:v>
                </c:pt>
                <c:pt idx="3">
                  <c:v>55.413382947637977</c:v>
                </c:pt>
                <c:pt idx="4">
                  <c:v>58.335389779766402</c:v>
                </c:pt>
                <c:pt idx="5">
                  <c:v>84.227270420585711</c:v>
                </c:pt>
                <c:pt idx="6">
                  <c:v>90.840568883886903</c:v>
                </c:pt>
                <c:pt idx="7">
                  <c:v>84.217869795254998</c:v>
                </c:pt>
                <c:pt idx="8">
                  <c:v>84.40096422973474</c:v>
                </c:pt>
                <c:pt idx="9">
                  <c:v>84.890519157767756</c:v>
                </c:pt>
                <c:pt idx="10">
                  <c:v>89.46030907633471</c:v>
                </c:pt>
                <c:pt idx="11">
                  <c:v>100.43582613153593</c:v>
                </c:pt>
                <c:pt idx="12">
                  <c:v>96.750977418826821</c:v>
                </c:pt>
                <c:pt idx="13">
                  <c:v>99.292703504681626</c:v>
                </c:pt>
                <c:pt idx="14">
                  <c:v>98.394738618806372</c:v>
                </c:pt>
                <c:pt idx="15">
                  <c:v>89.044511517527297</c:v>
                </c:pt>
                <c:pt idx="16">
                  <c:v>105.19619668866915</c:v>
                </c:pt>
                <c:pt idx="17">
                  <c:v>87.716584558541925</c:v>
                </c:pt>
                <c:pt idx="18">
                  <c:v>92.646211718665541</c:v>
                </c:pt>
                <c:pt idx="19">
                  <c:v>97.508041544373285</c:v>
                </c:pt>
                <c:pt idx="20">
                  <c:v>107.10902677466549</c:v>
                </c:pt>
                <c:pt idx="21">
                  <c:v>115.80982431298295</c:v>
                </c:pt>
                <c:pt idx="22">
                  <c:v>112.28037245526508</c:v>
                </c:pt>
                <c:pt idx="23">
                  <c:v>115.22349988366405</c:v>
                </c:pt>
                <c:pt idx="24">
                  <c:v>120.12522555833601</c:v>
                </c:pt>
                <c:pt idx="25">
                  <c:v>129.00013360627474</c:v>
                </c:pt>
                <c:pt idx="26">
                  <c:v>142.25620031052767</c:v>
                </c:pt>
                <c:pt idx="27">
                  <c:v>133.06746565008933</c:v>
                </c:pt>
                <c:pt idx="28">
                  <c:v>146.08589417361867</c:v>
                </c:pt>
                <c:pt idx="29">
                  <c:v>166.77268568937529</c:v>
                </c:pt>
                <c:pt idx="30">
                  <c:v>152.33946886120768</c:v>
                </c:pt>
                <c:pt idx="31">
                  <c:v>150.41037613263086</c:v>
                </c:pt>
                <c:pt idx="32">
                  <c:v>145.97053072478826</c:v>
                </c:pt>
                <c:pt idx="33">
                  <c:v>155.0514687124562</c:v>
                </c:pt>
                <c:pt idx="34">
                  <c:v>157.11631885612482</c:v>
                </c:pt>
                <c:pt idx="35">
                  <c:v>152.68646649766904</c:v>
                </c:pt>
                <c:pt idx="36">
                  <c:v>160.3084399682152</c:v>
                </c:pt>
                <c:pt idx="37">
                  <c:v>171.48132529712586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0-43A8-BF64-E935D124ED28}"/>
            </c:ext>
          </c:extLst>
        </c:ser>
        <c:ser>
          <c:idx val="6"/>
          <c:order val="6"/>
          <c:tx>
            <c:strRef>
              <c:f>Results!$BA$11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Results!$BA$12:$BA$49</c:f>
              <c:numCache>
                <c:formatCode>General</c:formatCode>
                <c:ptCount val="38"/>
                <c:pt idx="0">
                  <c:v>100</c:v>
                </c:pt>
                <c:pt idx="1">
                  <c:v>104.986783472274</c:v>
                </c:pt>
                <c:pt idx="2">
                  <c:v>86.300881737603234</c:v>
                </c:pt>
                <c:pt idx="3">
                  <c:v>55.51601773921287</c:v>
                </c:pt>
                <c:pt idx="4">
                  <c:v>58.506753829593812</c:v>
                </c:pt>
                <c:pt idx="5">
                  <c:v>84.635282778327323</c:v>
                </c:pt>
                <c:pt idx="6">
                  <c:v>91.450117443296804</c:v>
                </c:pt>
                <c:pt idx="7">
                  <c:v>84.769261917978739</c:v>
                </c:pt>
                <c:pt idx="8">
                  <c:v>84.953555110265242</c:v>
                </c:pt>
                <c:pt idx="9">
                  <c:v>85.446315257471028</c:v>
                </c:pt>
                <c:pt idx="10">
                  <c:v>90.039273900808936</c:v>
                </c:pt>
                <c:pt idx="11">
                  <c:v>100.96914563760473</c:v>
                </c:pt>
                <c:pt idx="12">
                  <c:v>97.264730184907563</c:v>
                </c:pt>
                <c:pt idx="13">
                  <c:v>100.14562513800047</c:v>
                </c:pt>
                <c:pt idx="14">
                  <c:v>99.131019652629334</c:v>
                </c:pt>
                <c:pt idx="15">
                  <c:v>89.650748733809394</c:v>
                </c:pt>
                <c:pt idx="16">
                  <c:v>105.8165416975981</c:v>
                </c:pt>
                <c:pt idx="17">
                  <c:v>88.130102460568338</c:v>
                </c:pt>
                <c:pt idx="18">
                  <c:v>93.089578872837961</c:v>
                </c:pt>
                <c:pt idx="19">
                  <c:v>97.97467544214922</c:v>
                </c:pt>
                <c:pt idx="20">
                  <c:v>107.62160708967576</c:v>
                </c:pt>
                <c:pt idx="21">
                  <c:v>116.36404311241726</c:v>
                </c:pt>
                <c:pt idx="22">
                  <c:v>112.81770073109442</c:v>
                </c:pt>
                <c:pt idx="23">
                  <c:v>115.7749127724321</c:v>
                </c:pt>
                <c:pt idx="24">
                  <c:v>120.70678595473403</c:v>
                </c:pt>
                <c:pt idx="25">
                  <c:v>129.58875105932816</c:v>
                </c:pt>
                <c:pt idx="26">
                  <c:v>142.98213134797928</c:v>
                </c:pt>
                <c:pt idx="27">
                  <c:v>133.73578306668736</c:v>
                </c:pt>
                <c:pt idx="28">
                  <c:v>146.81959528469457</c:v>
                </c:pt>
                <c:pt idx="29">
                  <c:v>167.61028404532598</c:v>
                </c:pt>
                <c:pt idx="30">
                  <c:v>153.10457789652185</c:v>
                </c:pt>
                <c:pt idx="31">
                  <c:v>151.16579650165502</c:v>
                </c:pt>
                <c:pt idx="32">
                  <c:v>146.71725248542543</c:v>
                </c:pt>
                <c:pt idx="33">
                  <c:v>155.85564839697449</c:v>
                </c:pt>
                <c:pt idx="34">
                  <c:v>157.9312079557225</c:v>
                </c:pt>
                <c:pt idx="35">
                  <c:v>153.4783800182434</c:v>
                </c:pt>
                <c:pt idx="36">
                  <c:v>161.20967689457984</c:v>
                </c:pt>
                <c:pt idx="37">
                  <c:v>172.45746571715961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0-43A8-BF64-E935D124ED28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0-43A8-BF64-E935D124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E-4B0C-B97D-E67D21298616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E-4B0C-B97D-E67D21298616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E-4B0C-B97D-E67D21298616}"/>
            </c:ext>
          </c:extLst>
        </c:ser>
        <c:ser>
          <c:idx val="3"/>
          <c:order val="3"/>
          <c:tx>
            <c:strRef>
              <c:f>Results!$BU$11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Results!$BU$12:$BU$49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61.660498629711469</c:v>
                </c:pt>
                <c:pt idx="5">
                  <c:v>88.2133283243748</c:v>
                </c:pt>
                <c:pt idx="6">
                  <c:v>95.589021132231551</c:v>
                </c:pt>
                <c:pt idx="7">
                  <c:v>88.55242651962449</c:v>
                </c:pt>
                <c:pt idx="8">
                  <c:v>88.605823632815813</c:v>
                </c:pt>
                <c:pt idx="9">
                  <c:v>90.371161759964224</c:v>
                </c:pt>
                <c:pt idx="10">
                  <c:v>96.425261443005979</c:v>
                </c:pt>
                <c:pt idx="11">
                  <c:v>105.73015453436389</c:v>
                </c:pt>
                <c:pt idx="12">
                  <c:v>104.6433014108279</c:v>
                </c:pt>
                <c:pt idx="13">
                  <c:v>110.13419704410651</c:v>
                </c:pt>
                <c:pt idx="14">
                  <c:v>107.3810073192993</c:v>
                </c:pt>
                <c:pt idx="15">
                  <c:v>97.636288286080102</c:v>
                </c:pt>
                <c:pt idx="16">
                  <c:v>114.64521315953326</c:v>
                </c:pt>
                <c:pt idx="17">
                  <c:v>96.195072392736549</c:v>
                </c:pt>
                <c:pt idx="18">
                  <c:v>102.11722582952298</c:v>
                </c:pt>
                <c:pt idx="19">
                  <c:v>107.19888533847652</c:v>
                </c:pt>
                <c:pt idx="20">
                  <c:v>119.43595969651962</c:v>
                </c:pt>
                <c:pt idx="21">
                  <c:v>129.93258901444824</c:v>
                </c:pt>
                <c:pt idx="22">
                  <c:v>124.76250633126871</c:v>
                </c:pt>
                <c:pt idx="23">
                  <c:v>129.33474028204262</c:v>
                </c:pt>
                <c:pt idx="24">
                  <c:v>136.71089452243663</c:v>
                </c:pt>
                <c:pt idx="25">
                  <c:v>146.87076971521191</c:v>
                </c:pt>
                <c:pt idx="26">
                  <c:v>161.19022915013591</c:v>
                </c:pt>
                <c:pt idx="27">
                  <c:v>150.52201502406314</c:v>
                </c:pt>
                <c:pt idx="28">
                  <c:v>160.90088426500833</c:v>
                </c:pt>
                <c:pt idx="29">
                  <c:v>184.68090865318672</c:v>
                </c:pt>
                <c:pt idx="30">
                  <c:v>170.09370240230612</c:v>
                </c:pt>
                <c:pt idx="31">
                  <c:v>167.55964642391658</c:v>
                </c:pt>
                <c:pt idx="32">
                  <c:v>163.66941411289233</c:v>
                </c:pt>
                <c:pt idx="33">
                  <c:v>171.80550252315126</c:v>
                </c:pt>
                <c:pt idx="34">
                  <c:v>173.34221684046787</c:v>
                </c:pt>
                <c:pt idx="35">
                  <c:v>168.37379555027795</c:v>
                </c:pt>
                <c:pt idx="36">
                  <c:v>179.48048878685256</c:v>
                </c:pt>
                <c:pt idx="37">
                  <c:v>193.48247963906829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E-4B0C-B97D-E67D21298616}"/>
            </c:ext>
          </c:extLst>
        </c:ser>
        <c:ser>
          <c:idx val="4"/>
          <c:order val="4"/>
          <c:tx>
            <c:strRef>
              <c:f>Results!$BV$11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Results!$BV$12:$BV$49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61.608373469783835</c:v>
                </c:pt>
                <c:pt idx="5">
                  <c:v>88.209051687019141</c:v>
                </c:pt>
                <c:pt idx="6">
                  <c:v>95.954556202077882</c:v>
                </c:pt>
                <c:pt idx="7">
                  <c:v>88.869463681228765</c:v>
                </c:pt>
                <c:pt idx="8">
                  <c:v>88.923051967828542</c:v>
                </c:pt>
                <c:pt idx="9">
                  <c:v>90.69471039370957</c:v>
                </c:pt>
                <c:pt idx="10">
                  <c:v>96.844582663441415</c:v>
                </c:pt>
                <c:pt idx="11">
                  <c:v>106.18267627988976</c:v>
                </c:pt>
                <c:pt idx="12">
                  <c:v>105.09117145907064</c:v>
                </c:pt>
                <c:pt idx="13">
                  <c:v>110.54025379039386</c:v>
                </c:pt>
                <c:pt idx="14">
                  <c:v>107.59805912538172</c:v>
                </c:pt>
                <c:pt idx="15">
                  <c:v>97.797758905094042</c:v>
                </c:pt>
                <c:pt idx="16">
                  <c:v>114.80742971818033</c:v>
                </c:pt>
                <c:pt idx="17">
                  <c:v>96.18595163646566</c:v>
                </c:pt>
                <c:pt idx="18">
                  <c:v>102.10754356301302</c:v>
                </c:pt>
                <c:pt idx="19">
                  <c:v>107.18872125333822</c:v>
                </c:pt>
                <c:pt idx="20">
                  <c:v>119.42463535057053</c:v>
                </c:pt>
                <c:pt idx="21">
                  <c:v>129.92026942835543</c:v>
                </c:pt>
                <c:pt idx="22">
                  <c:v>124.75067694766632</c:v>
                </c:pt>
                <c:pt idx="23">
                  <c:v>129.32247738110468</c:v>
                </c:pt>
                <c:pt idx="24">
                  <c:v>136.84348469815629</c:v>
                </c:pt>
                <c:pt idx="25">
                  <c:v>147.15388863099514</c:v>
                </c:pt>
                <c:pt idx="26">
                  <c:v>161.42914021319933</c:v>
                </c:pt>
                <c:pt idx="27">
                  <c:v>150.74511399732879</c:v>
                </c:pt>
                <c:pt idx="28">
                  <c:v>161.13936647022808</c:v>
                </c:pt>
                <c:pt idx="29">
                  <c:v>184.95463685896252</c:v>
                </c:pt>
                <c:pt idx="30">
                  <c:v>170.34580991202051</c:v>
                </c:pt>
                <c:pt idx="31">
                  <c:v>167.80799803595124</c:v>
                </c:pt>
                <c:pt idx="32">
                  <c:v>163.91199974555039</c:v>
                </c:pt>
                <c:pt idx="33">
                  <c:v>172.06014720890158</c:v>
                </c:pt>
                <c:pt idx="34">
                  <c:v>173.59913919560987</c:v>
                </c:pt>
                <c:pt idx="35">
                  <c:v>168.62335386841571</c:v>
                </c:pt>
                <c:pt idx="36">
                  <c:v>179.7622753782538</c:v>
                </c:pt>
                <c:pt idx="37">
                  <c:v>193.77276735895774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E-4B0C-B97D-E67D21298616}"/>
            </c:ext>
          </c:extLst>
        </c:ser>
        <c:ser>
          <c:idx val="5"/>
          <c:order val="5"/>
          <c:tx>
            <c:strRef>
              <c:f>Results!$BW$11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Results!$BW$12:$BW$49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86.916465825724998</c:v>
                </c:pt>
                <c:pt idx="3">
                  <c:v>56.232172062337646</c:v>
                </c:pt>
                <c:pt idx="4">
                  <c:v>61.542035489753466</c:v>
                </c:pt>
                <c:pt idx="5">
                  <c:v>89.083388754163437</c:v>
                </c:pt>
                <c:pt idx="6">
                  <c:v>95.922142342043045</c:v>
                </c:pt>
                <c:pt idx="7">
                  <c:v>88.027126533367593</c:v>
                </c:pt>
                <c:pt idx="8">
                  <c:v>87.313578645688025</c:v>
                </c:pt>
                <c:pt idx="9">
                  <c:v>88.176062175550143</c:v>
                </c:pt>
                <c:pt idx="10">
                  <c:v>92.895553639403204</c:v>
                </c:pt>
                <c:pt idx="11">
                  <c:v>103.69884204989761</c:v>
                </c:pt>
                <c:pt idx="12">
                  <c:v>102.26302788287472</c:v>
                </c:pt>
                <c:pt idx="13">
                  <c:v>105.15768515012635</c:v>
                </c:pt>
                <c:pt idx="14">
                  <c:v>104.36705709432502</c:v>
                </c:pt>
                <c:pt idx="15">
                  <c:v>95.626837897960669</c:v>
                </c:pt>
                <c:pt idx="16">
                  <c:v>114.40531912307796</c:v>
                </c:pt>
                <c:pt idx="17">
                  <c:v>95.494234277352305</c:v>
                </c:pt>
                <c:pt idx="18">
                  <c:v>100.80127860019807</c:v>
                </c:pt>
                <c:pt idx="19">
                  <c:v>106.1548849072929</c:v>
                </c:pt>
                <c:pt idx="20">
                  <c:v>119.23237056623351</c:v>
                </c:pt>
                <c:pt idx="21">
                  <c:v>129.09640496699271</c:v>
                </c:pt>
                <c:pt idx="22">
                  <c:v>124.17918745000232</c:v>
                </c:pt>
                <c:pt idx="23">
                  <c:v>127.68818083936952</c:v>
                </c:pt>
                <c:pt idx="24">
                  <c:v>135.25511012409012</c:v>
                </c:pt>
                <c:pt idx="25">
                  <c:v>145.32323001150715</c:v>
                </c:pt>
                <c:pt idx="26">
                  <c:v>158.99945386465862</c:v>
                </c:pt>
                <c:pt idx="27">
                  <c:v>148.25721226238147</c:v>
                </c:pt>
                <c:pt idx="28">
                  <c:v>163.92051260929594</c:v>
                </c:pt>
                <c:pt idx="29">
                  <c:v>186.98863654751898</c:v>
                </c:pt>
                <c:pt idx="30">
                  <c:v>170.62395204278977</c:v>
                </c:pt>
                <c:pt idx="31">
                  <c:v>167.94950690649506</c:v>
                </c:pt>
                <c:pt idx="32">
                  <c:v>164.06357519044585</c:v>
                </c:pt>
                <c:pt idx="33">
                  <c:v>174.19409079951626</c:v>
                </c:pt>
                <c:pt idx="34">
                  <c:v>176.46087850308862</c:v>
                </c:pt>
                <c:pt idx="35">
                  <c:v>171.13758318128595</c:v>
                </c:pt>
                <c:pt idx="36">
                  <c:v>182.14421127479707</c:v>
                </c:pt>
                <c:pt idx="37">
                  <c:v>194.7755480382817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E-4B0C-B97D-E67D21298616}"/>
            </c:ext>
          </c:extLst>
        </c:ser>
        <c:ser>
          <c:idx val="6"/>
          <c:order val="6"/>
          <c:tx>
            <c:strRef>
              <c:f>Results!$BX$11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Results!$BX$12:$BX$49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87.061537166899996</c:v>
                </c:pt>
                <c:pt idx="3">
                  <c:v>56.334734731511645</c:v>
                </c:pt>
                <c:pt idx="4">
                  <c:v>61.716589111983943</c:v>
                </c:pt>
                <c:pt idx="5">
                  <c:v>89.505470825080508</c:v>
                </c:pt>
                <c:pt idx="6">
                  <c:v>96.522162704940982</c:v>
                </c:pt>
                <c:pt idx="7">
                  <c:v>88.558456887725669</c:v>
                </c:pt>
                <c:pt idx="8">
                  <c:v>87.840602036193687</c:v>
                </c:pt>
                <c:pt idx="9">
                  <c:v>88.708291503107219</c:v>
                </c:pt>
                <c:pt idx="10">
                  <c:v>93.451479495632611</c:v>
                </c:pt>
                <c:pt idx="11">
                  <c:v>104.1892413926398</c:v>
                </c:pt>
                <c:pt idx="12">
                  <c:v>102.74663715631731</c:v>
                </c:pt>
                <c:pt idx="13">
                  <c:v>106.00165062142943</c:v>
                </c:pt>
                <c:pt idx="14">
                  <c:v>105.07281115785905</c:v>
                </c:pt>
                <c:pt idx="15">
                  <c:v>96.190743748657226</c:v>
                </c:pt>
                <c:pt idx="16">
                  <c:v>114.92254442329575</c:v>
                </c:pt>
                <c:pt idx="17">
                  <c:v>95.813338659134558</c:v>
                </c:pt>
                <c:pt idx="18">
                  <c:v>101.14769838231159</c:v>
                </c:pt>
                <c:pt idx="19">
                  <c:v>106.51970321724434</c:v>
                </c:pt>
                <c:pt idx="20">
                  <c:v>119.64213175583366</c:v>
                </c:pt>
                <c:pt idx="21">
                  <c:v>129.54006549492789</c:v>
                </c:pt>
                <c:pt idx="22">
                  <c:v>124.6059491702587</c:v>
                </c:pt>
                <c:pt idx="23">
                  <c:v>128.12700177893603</c:v>
                </c:pt>
                <c:pt idx="24">
                  <c:v>135.71007025221928</c:v>
                </c:pt>
                <c:pt idx="25">
                  <c:v>145.70450623097776</c:v>
                </c:pt>
                <c:pt idx="26">
                  <c:v>159.50906111707096</c:v>
                </c:pt>
                <c:pt idx="27">
                  <c:v>148.71643877829825</c:v>
                </c:pt>
                <c:pt idx="28">
                  <c:v>164.42825617700606</c:v>
                </c:pt>
                <c:pt idx="29">
                  <c:v>187.56783359815401</c:v>
                </c:pt>
                <c:pt idx="30">
                  <c:v>171.15245950514438</c:v>
                </c:pt>
                <c:pt idx="31">
                  <c:v>168.46973027863098</c:v>
                </c:pt>
                <c:pt idx="32">
                  <c:v>164.56434922617672</c:v>
                </c:pt>
                <c:pt idx="33">
                  <c:v>174.74224281494105</c:v>
                </c:pt>
                <c:pt idx="34">
                  <c:v>177.01616362069012</c:v>
                </c:pt>
                <c:pt idx="35">
                  <c:v>171.67611701274475</c:v>
                </c:pt>
                <c:pt idx="36">
                  <c:v>182.73712339381737</c:v>
                </c:pt>
                <c:pt idx="37">
                  <c:v>195.42785113927118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E-4B0C-B97D-E67D21298616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E-4B0C-B97D-E67D21298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0.04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5.5E-2</c:v>
                </c:pt>
                <c:pt idx="15">
                  <c:v>6.5000000000000002E-2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0.19500000000000001</c:v>
                </c:pt>
                <c:pt idx="4">
                  <c:v>0.17499999999999999</c:v>
                </c:pt>
                <c:pt idx="5">
                  <c:v>0.14499999999999999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0.16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0.16</c:v>
                </c:pt>
                <c:pt idx="13">
                  <c:v>0.15</c:v>
                </c:pt>
                <c:pt idx="14">
                  <c:v>0.14499999999999999</c:v>
                </c:pt>
                <c:pt idx="15">
                  <c:v>0.155</c:v>
                </c:pt>
                <c:pt idx="16">
                  <c:v>0.14499999999999999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0.17499999999999999</c:v>
                </c:pt>
                <c:pt idx="24">
                  <c:v>0.185</c:v>
                </c:pt>
                <c:pt idx="25">
                  <c:v>0.17499999999999999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0.21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0.21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0.21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0.185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0.09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0.19</c:v>
                </c:pt>
                <c:pt idx="16">
                  <c:v>0.155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0.155</c:v>
                </c:pt>
                <c:pt idx="24">
                  <c:v>0.17</c:v>
                </c:pt>
                <c:pt idx="25">
                  <c:v>0.17499999999999999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0.62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0.47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</c:v>
                </c:pt>
                <c:pt idx="24">
                  <c:v>0.42499999999999999</c:v>
                </c:pt>
                <c:pt idx="25">
                  <c:v>0.38500000000000001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0.3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0.28499999999999998</c:v>
                </c:pt>
                <c:pt idx="13">
                  <c:v>0.37</c:v>
                </c:pt>
                <c:pt idx="14">
                  <c:v>0.34</c:v>
                </c:pt>
                <c:pt idx="15">
                  <c:v>0.29499999999999998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3.5000000000000003E-2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5.5E-2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</c:v>
                </c:pt>
                <c:pt idx="4">
                  <c:v>0.17</c:v>
                </c:pt>
                <c:pt idx="5">
                  <c:v>0.13500000000000001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0.155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0.16500000000000001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0.155</c:v>
                </c:pt>
                <c:pt idx="13">
                  <c:v>0.15</c:v>
                </c:pt>
                <c:pt idx="14">
                  <c:v>0.15</c:v>
                </c:pt>
                <c:pt idx="15">
                  <c:v>0.16</c:v>
                </c:pt>
                <c:pt idx="16">
                  <c:v>0.15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0.18</c:v>
                </c:pt>
                <c:pt idx="24">
                  <c:v>0.19</c:v>
                </c:pt>
                <c:pt idx="25">
                  <c:v>0.18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0.20499999999999999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0.20499999999999999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0.215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</c:v>
                </c:pt>
                <c:pt idx="14">
                  <c:v>0.19</c:v>
                </c:pt>
                <c:pt idx="15">
                  <c:v>0.185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0.315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0.18</c:v>
                </c:pt>
                <c:pt idx="15">
                  <c:v>0.19500000000000001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0.17</c:v>
                </c:pt>
                <c:pt idx="25">
                  <c:v>0.17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0.61499999999999999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0.46500000000000002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0.39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0.29499999999999998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0.28999999999999998</c:v>
                </c:pt>
                <c:pt idx="13">
                  <c:v>0.37</c:v>
                </c:pt>
                <c:pt idx="14">
                  <c:v>0.33500000000000002</c:v>
                </c:pt>
                <c:pt idx="15">
                  <c:v>0.28999999999999998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0.53500000000000003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0.09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0.1</c:v>
                </c:pt>
                <c:pt idx="14">
                  <c:v>0.09</c:v>
                </c:pt>
                <c:pt idx="15">
                  <c:v>0.09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0.11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8.5000000000000006E-2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0.05</c:v>
                </c:pt>
                <c:pt idx="13">
                  <c:v>6.5000000000000002E-2</c:v>
                </c:pt>
                <c:pt idx="14">
                  <c:v>4.4999999999999998E-2</c:v>
                </c:pt>
                <c:pt idx="15">
                  <c:v>5.5E-2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0.18</c:v>
                </c:pt>
                <c:pt idx="4">
                  <c:v>0.16500000000000001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0.12</c:v>
                </c:pt>
                <c:pt idx="15">
                  <c:v>0.105</c:v>
                </c:pt>
                <c:pt idx="16">
                  <c:v>9.5000000000000001E-2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</c:v>
                </c:pt>
                <c:pt idx="4">
                  <c:v>0.15</c:v>
                </c:pt>
                <c:pt idx="5">
                  <c:v>0.14499999999999999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0.14499999999999999</c:v>
                </c:pt>
                <c:pt idx="16">
                  <c:v>0.13500000000000001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0.155</c:v>
                </c:pt>
                <c:pt idx="24">
                  <c:v>0.16</c:v>
                </c:pt>
                <c:pt idx="25">
                  <c:v>0.16500000000000001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0.23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0.19500000000000001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</c:v>
                </c:pt>
                <c:pt idx="5">
                  <c:v>0.16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0.1</c:v>
                </c:pt>
                <c:pt idx="11">
                  <c:v>0.105</c:v>
                </c:pt>
                <c:pt idx="12">
                  <c:v>0.13</c:v>
                </c:pt>
                <c:pt idx="13">
                  <c:v>0.11</c:v>
                </c:pt>
                <c:pt idx="14">
                  <c:v>0.15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0.53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0.55000000000000004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0.41499999999999998</c:v>
                </c:pt>
                <c:pt idx="14">
                  <c:v>0.41499999999999998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0.36499999999999999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0.32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0.18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0.23499999999999999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0.27</c:v>
                </c:pt>
                <c:pt idx="16">
                  <c:v>0.33500000000000002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</c:v>
                </c:pt>
                <c:pt idx="2">
                  <c:v>0.11</c:v>
                </c:pt>
                <c:pt idx="3">
                  <c:v>0.105</c:v>
                </c:pt>
                <c:pt idx="4">
                  <c:v>0.1</c:v>
                </c:pt>
                <c:pt idx="5">
                  <c:v>0.11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0.12</c:v>
                </c:pt>
                <c:pt idx="12">
                  <c:v>0.115</c:v>
                </c:pt>
                <c:pt idx="13">
                  <c:v>0.14000000000000001</c:v>
                </c:pt>
                <c:pt idx="14">
                  <c:v>0.125</c:v>
                </c:pt>
                <c:pt idx="15">
                  <c:v>0.14000000000000001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0.125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0.13500000000000001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0.15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9.5000000000000001E-2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6.5000000000000002E-2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9.5000000000000001E-2</c:v>
                </c:pt>
                <c:pt idx="14">
                  <c:v>0.09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0.105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0.08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0.115</c:v>
                </c:pt>
                <c:pt idx="15">
                  <c:v>0.1</c:v>
                </c:pt>
                <c:pt idx="16">
                  <c:v>0.09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0.155</c:v>
                </c:pt>
                <c:pt idx="4">
                  <c:v>0.155</c:v>
                </c:pt>
                <c:pt idx="5">
                  <c:v>0.15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0.14499999999999999</c:v>
                </c:pt>
                <c:pt idx="12">
                  <c:v>0.13500000000000001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0.16</c:v>
                </c:pt>
                <c:pt idx="24">
                  <c:v>0.16</c:v>
                </c:pt>
                <c:pt idx="25">
                  <c:v>0.17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0.22500000000000001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0.24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0.20499999999999999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0.26500000000000001</c:v>
                </c:pt>
                <c:pt idx="5">
                  <c:v>0.16500000000000001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9.5000000000000001E-2</c:v>
                </c:pt>
                <c:pt idx="11">
                  <c:v>0.105</c:v>
                </c:pt>
                <c:pt idx="12">
                  <c:v>0.125</c:v>
                </c:pt>
                <c:pt idx="13">
                  <c:v>0.11</c:v>
                </c:pt>
                <c:pt idx="14">
                  <c:v>0.14499999999999999</c:v>
                </c:pt>
                <c:pt idx="15">
                  <c:v>0.16500000000000001</c:v>
                </c:pt>
                <c:pt idx="16">
                  <c:v>0.13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00C-84DB-25045E1C4D4D}"/>
            </c:ext>
          </c:extLst>
        </c:ser>
        <c:ser>
          <c:idx val="1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0.52500000000000002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0.56000000000000005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0.42</c:v>
                </c:pt>
                <c:pt idx="14">
                  <c:v>0.42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0.37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0.315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4-400C-84DB-25045E1C4D4D}"/>
            </c:ext>
          </c:extLst>
        </c:ser>
        <c:ser>
          <c:idx val="2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0.245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0.26500000000000001</c:v>
                </c:pt>
                <c:pt idx="16">
                  <c:v>0.33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0.47499999999999998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4-400C-84DB-25045E1C4D4D}"/>
            </c:ext>
          </c:extLst>
        </c:ser>
        <c:ser>
          <c:idx val="3"/>
          <c:order val="3"/>
          <c:tx>
            <c:strRef>
              <c:f>'KOSPI+KOSDAQ_FWD'!$AM$1010:$AM$1011</c:f>
              <c:strCache>
                <c:ptCount val="1"/>
                <c:pt idx="0">
                  <c:v>6% 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'KOSPI+KOSDAQ_FWD'!$AD$1017:$BN$1017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0.11</c:v>
                </c:pt>
                <c:pt idx="3">
                  <c:v>0.105</c:v>
                </c:pt>
                <c:pt idx="4">
                  <c:v>9.5000000000000001E-2</c:v>
                </c:pt>
                <c:pt idx="5">
                  <c:v>0.1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0.11</c:v>
                </c:pt>
                <c:pt idx="10">
                  <c:v>0.115</c:v>
                </c:pt>
                <c:pt idx="11">
                  <c:v>0.12</c:v>
                </c:pt>
                <c:pt idx="12">
                  <c:v>0.115</c:v>
                </c:pt>
                <c:pt idx="13">
                  <c:v>0.13500000000000001</c:v>
                </c:pt>
                <c:pt idx="14">
                  <c:v>0.125</c:v>
                </c:pt>
                <c:pt idx="15">
                  <c:v>0.13500000000000001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0.14000000000000001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0.14499999999999999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0-4024-AE6F-D37AC801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380360</xdr:colOff>
      <xdr:row>21</xdr:row>
      <xdr:rowOff>139595</xdr:rowOff>
    </xdr:from>
    <xdr:to>
      <xdr:col>49</xdr:col>
      <xdr:colOff>386</xdr:colOff>
      <xdr:row>45</xdr:row>
      <xdr:rowOff>121665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336396</xdr:colOff>
      <xdr:row>22</xdr:row>
      <xdr:rowOff>11749</xdr:rowOff>
    </xdr:from>
    <xdr:to>
      <xdr:col>69</xdr:col>
      <xdr:colOff>631336</xdr:colOff>
      <xdr:row>45</xdr:row>
      <xdr:rowOff>211533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57268</xdr:colOff>
      <xdr:row>21</xdr:row>
      <xdr:rowOff>213928</xdr:rowOff>
    </xdr:from>
    <xdr:to>
      <xdr:col>59</xdr:col>
      <xdr:colOff>352207</xdr:colOff>
      <xdr:row>45</xdr:row>
      <xdr:rowOff>195998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70</xdr:col>
      <xdr:colOff>10886</xdr:colOff>
      <xdr:row>22</xdr:row>
      <xdr:rowOff>21772</xdr:rowOff>
    </xdr:from>
    <xdr:to>
      <xdr:col>79</xdr:col>
      <xdr:colOff>360254</xdr:colOff>
      <xdr:row>46</xdr:row>
      <xdr:rowOff>3842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988</xdr:row>
      <xdr:rowOff>22860</xdr:rowOff>
    </xdr:from>
    <xdr:to>
      <xdr:col>10</xdr:col>
      <xdr:colOff>304800</xdr:colOff>
      <xdr:row>1005</xdr:row>
      <xdr:rowOff>152400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327660</xdr:colOff>
      <xdr:row>988</xdr:row>
      <xdr:rowOff>0</xdr:rowOff>
    </xdr:from>
    <xdr:to>
      <xdr:col>18</xdr:col>
      <xdr:colOff>640080</xdr:colOff>
      <xdr:row>1005</xdr:row>
      <xdr:rowOff>137160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002"/>
  <sheetViews>
    <sheetView showGridLines="0" tabSelected="1" topLeftCell="AO16" zoomScale="70" zoomScaleNormal="70" workbookViewId="0">
      <selection activeCell="BF20" sqref="BF20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03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 s="4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103" x14ac:dyDescent="0.4">
      <c r="J2">
        <v>0</v>
      </c>
      <c r="K2">
        <v>1.1086842105263099</v>
      </c>
      <c r="L2">
        <v>0.91297355371900801</v>
      </c>
      <c r="M2">
        <v>1.1757310344827501</v>
      </c>
      <c r="N2">
        <v>1.40672582781456</v>
      </c>
      <c r="O2">
        <v>0.91271021505376304</v>
      </c>
      <c r="P2">
        <v>0.94619826589595302</v>
      </c>
      <c r="Q2">
        <v>0.96816941176470495</v>
      </c>
      <c r="R2">
        <v>0.85870303030302997</v>
      </c>
      <c r="S2">
        <v>1.1874141975308601</v>
      </c>
      <c r="T2">
        <v>1.1557053254437799</v>
      </c>
      <c r="U2">
        <v>1.04256850828729</v>
      </c>
      <c r="V2">
        <v>1.12389414893617</v>
      </c>
      <c r="W2">
        <v>0.91626528497409299</v>
      </c>
      <c r="X2">
        <v>1.04376055555555</v>
      </c>
      <c r="Y2">
        <v>1.18028526315789</v>
      </c>
      <c r="Z2">
        <v>1.323116</v>
      </c>
      <c r="AA2">
        <v>0.93947149999999902</v>
      </c>
      <c r="AB2">
        <v>1.174167</v>
      </c>
      <c r="AC2">
        <v>1.33215649999999</v>
      </c>
      <c r="AD2">
        <v>0.98353499999999905</v>
      </c>
      <c r="AE2">
        <v>0.9741805</v>
      </c>
      <c r="AF2">
        <v>0.98352550000000005</v>
      </c>
      <c r="AG2">
        <v>1.1832625000000001</v>
      </c>
      <c r="AH2">
        <v>0.99426199999999898</v>
      </c>
      <c r="AI2">
        <v>1.4247995</v>
      </c>
      <c r="AJ2">
        <v>1.12536549999999</v>
      </c>
      <c r="AK2">
        <v>0.91914499999999999</v>
      </c>
      <c r="AL2">
        <v>0.99656149999999899</v>
      </c>
      <c r="AM2" s="41">
        <v>1.04654899999999</v>
      </c>
      <c r="AN2">
        <v>0.83754699999999904</v>
      </c>
      <c r="AO2">
        <v>0.64568250000000005</v>
      </c>
      <c r="AP2">
        <v>1.0885589999999901</v>
      </c>
      <c r="AQ2">
        <v>1.4317705000000001</v>
      </c>
      <c r="AR2">
        <v>1.08780849999999</v>
      </c>
      <c r="AS2">
        <v>0.92616199999999904</v>
      </c>
      <c r="AT2">
        <v>1.0006029999999999</v>
      </c>
      <c r="AU2">
        <v>1.0199235</v>
      </c>
      <c r="AV2">
        <v>1.0678084999999999</v>
      </c>
      <c r="AW2">
        <v>1.0964235</v>
      </c>
      <c r="AX2">
        <v>0.9897205</v>
      </c>
      <c r="AY2">
        <v>1.0518509999999901</v>
      </c>
      <c r="AZ2">
        <v>0.97338349999999896</v>
      </c>
      <c r="BA2">
        <v>0.90891749999999905</v>
      </c>
      <c r="BB2">
        <v>1.1739269999999999</v>
      </c>
      <c r="BC2">
        <v>0.83780249999999901</v>
      </c>
      <c r="BD2">
        <v>1.061564</v>
      </c>
      <c r="BE2">
        <v>1.04976299999999</v>
      </c>
      <c r="BF2">
        <v>1.1141529999999999</v>
      </c>
      <c r="BG2">
        <v>1.087885</v>
      </c>
      <c r="BH2">
        <v>0.96020949999999905</v>
      </c>
      <c r="BI2">
        <v>1.03664749999999</v>
      </c>
      <c r="BJ2">
        <v>1.05815699999999</v>
      </c>
      <c r="BK2">
        <v>1.0753444999999899</v>
      </c>
      <c r="BL2">
        <v>1.0970089999999999</v>
      </c>
      <c r="BM2">
        <v>0.93381599999999898</v>
      </c>
      <c r="BN2">
        <v>1.06895249999999</v>
      </c>
      <c r="BO2">
        <v>1.1477930000000001</v>
      </c>
      <c r="BP2">
        <v>0.921014</v>
      </c>
      <c r="BQ2">
        <v>0.98510200000000003</v>
      </c>
      <c r="BR2">
        <v>0.97678299999999896</v>
      </c>
      <c r="BS2">
        <v>1.0497105</v>
      </c>
      <c r="BT2">
        <v>1.0089444999999899</v>
      </c>
      <c r="BU2">
        <v>0.97133749999999996</v>
      </c>
      <c r="BV2">
        <v>1.06605799999999</v>
      </c>
      <c r="BW2">
        <v>1.07793899999999</v>
      </c>
    </row>
    <row r="3" spans="1:103" ht="18" thickBot="1" x14ac:dyDescent="0.45">
      <c r="A3" s="2" t="s">
        <v>18</v>
      </c>
      <c r="J3">
        <v>1</v>
      </c>
      <c r="K3">
        <v>-1.4999999999999999E-2</v>
      </c>
      <c r="L3">
        <v>-1.11570247933884E-3</v>
      </c>
      <c r="M3">
        <v>-6.4655172413793103E-4</v>
      </c>
      <c r="N3">
        <v>-3.6754966887417198E-3</v>
      </c>
      <c r="O3">
        <v>-2.98387096774193E-3</v>
      </c>
      <c r="P3">
        <v>-1.7341040462427699E-4</v>
      </c>
      <c r="Q3">
        <v>-6.1764705882352898E-4</v>
      </c>
      <c r="R3">
        <v>-6.3636363636363597E-4</v>
      </c>
      <c r="S3">
        <v>-1.6666666666666601E-3</v>
      </c>
      <c r="T3">
        <v>-1.33136094674556E-3</v>
      </c>
      <c r="U3">
        <v>-1.32596685082872E-3</v>
      </c>
      <c r="V3">
        <v>-8.7765957446808501E-4</v>
      </c>
      <c r="W3">
        <v>-7.7720207253885996E-4</v>
      </c>
      <c r="X3">
        <v>-3.33333333333333E-4</v>
      </c>
      <c r="Y3">
        <v>-1.3421052631578899E-3</v>
      </c>
      <c r="Z3">
        <v>-1.8E-3</v>
      </c>
      <c r="AA3">
        <v>-2.4750000000000002E-3</v>
      </c>
      <c r="AB3">
        <v>-9.7499999999999996E-4</v>
      </c>
      <c r="AC3">
        <v>-1.65E-3</v>
      </c>
      <c r="AD3">
        <v>-3.225E-3</v>
      </c>
      <c r="AE3">
        <v>-2.0999999999999999E-3</v>
      </c>
      <c r="AF3">
        <v>-1.65E-3</v>
      </c>
      <c r="AG3">
        <v>-1.725E-3</v>
      </c>
      <c r="AH3">
        <v>-1.8749999999999999E-3</v>
      </c>
      <c r="AI3">
        <v>-1.5E-3</v>
      </c>
      <c r="AJ3">
        <v>-3.5999999999999999E-3</v>
      </c>
      <c r="AK3">
        <v>-2.5500000000000002E-3</v>
      </c>
      <c r="AL3">
        <v>-3.0749999999999901E-3</v>
      </c>
      <c r="AM3" s="41">
        <v>-1.8749999999999999E-3</v>
      </c>
      <c r="AN3">
        <v>-1.8E-3</v>
      </c>
      <c r="AO3">
        <v>-2.6999999999999902E-3</v>
      </c>
      <c r="AP3">
        <v>-4.725E-3</v>
      </c>
      <c r="AQ3">
        <v>-1.65E-3</v>
      </c>
      <c r="AR3">
        <v>-3.3E-3</v>
      </c>
      <c r="AS3">
        <v>-2.0999999999999999E-3</v>
      </c>
      <c r="AT3">
        <v>-1.57499999999999E-3</v>
      </c>
      <c r="AU3">
        <v>-1.725E-3</v>
      </c>
      <c r="AV3">
        <v>-1.725E-3</v>
      </c>
      <c r="AW3">
        <v>-1.5E-3</v>
      </c>
      <c r="AX3">
        <v>-1.8E-3</v>
      </c>
      <c r="AY3">
        <v>-2.0999999999999999E-3</v>
      </c>
      <c r="AZ3">
        <v>-2.2499999999999998E-3</v>
      </c>
      <c r="BA3">
        <v>-1.9499999999999999E-3</v>
      </c>
      <c r="BB3">
        <v>-2.1749999999999999E-3</v>
      </c>
      <c r="BC3">
        <v>-2.6999999999999902E-3</v>
      </c>
      <c r="BD3">
        <v>-2.6249999999999902E-3</v>
      </c>
      <c r="BE3">
        <v>-1.725E-3</v>
      </c>
      <c r="BF3">
        <v>-2.4750000000000002E-3</v>
      </c>
      <c r="BG3">
        <v>-2.1749999999999999E-3</v>
      </c>
      <c r="BH3">
        <v>-2.6249999999999902E-3</v>
      </c>
      <c r="BI3">
        <v>-2.0999999999999999E-3</v>
      </c>
      <c r="BJ3">
        <v>-1.5E-3</v>
      </c>
      <c r="BK3">
        <v>-1.725E-3</v>
      </c>
      <c r="BL3">
        <v>-1.9499999999999999E-3</v>
      </c>
      <c r="BM3">
        <v>-2.1749999999999999E-3</v>
      </c>
      <c r="BN3">
        <v>-2.6999999999999902E-3</v>
      </c>
      <c r="BO3">
        <v>-1.9499999999999999E-3</v>
      </c>
      <c r="BP3">
        <v>-2.6999999999999902E-3</v>
      </c>
      <c r="BQ3">
        <v>-1.9499999999999999E-3</v>
      </c>
      <c r="BR3">
        <v>-2.0249999999999999E-3</v>
      </c>
      <c r="BS3">
        <v>-1.65E-3</v>
      </c>
      <c r="BT3">
        <v>-1.57499999999999E-3</v>
      </c>
      <c r="BU3">
        <v>-1.65E-3</v>
      </c>
      <c r="BV3">
        <v>-1.5E-3</v>
      </c>
      <c r="BW3">
        <v>-1.5E-3</v>
      </c>
      <c r="CB3" s="21"/>
      <c r="CC3" s="21" t="s">
        <v>660</v>
      </c>
      <c r="CE3" s="21"/>
      <c r="CF3" s="21"/>
      <c r="CG3" s="11" t="s">
        <v>662</v>
      </c>
    </row>
    <row r="4" spans="1:103" x14ac:dyDescent="0.4">
      <c r="A4" s="4" t="s">
        <v>9</v>
      </c>
      <c r="B4" s="4" t="s">
        <v>1</v>
      </c>
      <c r="C4" s="4" t="s">
        <v>2</v>
      </c>
      <c r="J4">
        <v>2</v>
      </c>
      <c r="K4">
        <v>-1.4999999999999999E-2</v>
      </c>
      <c r="L4">
        <v>-1.11570247933884E-3</v>
      </c>
      <c r="M4">
        <v>-6.4655172413793103E-4</v>
      </c>
      <c r="N4">
        <v>-3.6754966887417198E-3</v>
      </c>
      <c r="O4">
        <v>-2.98387096774193E-3</v>
      </c>
      <c r="P4">
        <v>-1.7341040462427699E-4</v>
      </c>
      <c r="Q4">
        <v>-6.1764705882352898E-4</v>
      </c>
      <c r="R4">
        <v>-6.3636363636363597E-4</v>
      </c>
      <c r="S4">
        <v>-1.6666666666666601E-3</v>
      </c>
      <c r="T4">
        <v>-1.33136094674556E-3</v>
      </c>
      <c r="U4">
        <v>-1.32596685082872E-3</v>
      </c>
      <c r="V4">
        <v>-8.7765957446808501E-4</v>
      </c>
      <c r="W4">
        <v>-7.7720207253885996E-4</v>
      </c>
      <c r="X4">
        <v>-3.33333333333333E-4</v>
      </c>
      <c r="Y4">
        <v>-1.3421052631578899E-3</v>
      </c>
      <c r="Z4">
        <v>-1.8E-3</v>
      </c>
      <c r="AA4">
        <v>-2.4750000000000002E-3</v>
      </c>
      <c r="AB4">
        <v>-9.7499999999999996E-4</v>
      </c>
      <c r="AC4">
        <v>-1.65E-3</v>
      </c>
      <c r="AD4">
        <v>-3.225E-3</v>
      </c>
      <c r="AE4">
        <v>-2.0999999999999999E-3</v>
      </c>
      <c r="AF4">
        <v>-1.65E-3</v>
      </c>
      <c r="AG4">
        <v>-1.725E-3</v>
      </c>
      <c r="AH4">
        <v>-1.8749999999999999E-3</v>
      </c>
      <c r="AI4">
        <v>-1.5E-3</v>
      </c>
      <c r="AJ4">
        <v>-3.5999999999999999E-3</v>
      </c>
      <c r="AK4">
        <v>-2.5500000000000002E-3</v>
      </c>
      <c r="AL4">
        <v>-3.0749999999999901E-3</v>
      </c>
      <c r="AM4" s="41">
        <v>-1.8749999999999999E-3</v>
      </c>
      <c r="AN4">
        <v>-1.8E-3</v>
      </c>
      <c r="AO4">
        <v>-2.6999999999999902E-3</v>
      </c>
      <c r="AP4">
        <v>-4.725E-3</v>
      </c>
      <c r="AQ4">
        <v>-1.65E-3</v>
      </c>
      <c r="AR4">
        <v>-3.3E-3</v>
      </c>
      <c r="AS4">
        <v>-2.0999999999999999E-3</v>
      </c>
      <c r="AT4">
        <v>-1.57499999999999E-3</v>
      </c>
      <c r="AU4">
        <v>-1.725E-3</v>
      </c>
      <c r="AV4">
        <v>-1.725E-3</v>
      </c>
      <c r="AW4">
        <v>-1.5E-3</v>
      </c>
      <c r="AX4">
        <v>-1.8E-3</v>
      </c>
      <c r="AY4">
        <v>-2.0999999999999999E-3</v>
      </c>
      <c r="AZ4">
        <v>-2.2499999999999998E-3</v>
      </c>
      <c r="BA4">
        <v>-1.9499999999999999E-3</v>
      </c>
      <c r="BB4">
        <v>-2.1749999999999999E-3</v>
      </c>
      <c r="BC4">
        <v>-2.6999999999999902E-3</v>
      </c>
      <c r="BD4">
        <v>-2.6249999999999902E-3</v>
      </c>
      <c r="BE4">
        <v>-1.725E-3</v>
      </c>
      <c r="BF4">
        <v>-2.4750000000000002E-3</v>
      </c>
      <c r="BG4">
        <v>-2.1749999999999999E-3</v>
      </c>
      <c r="BH4">
        <v>-2.6249999999999902E-3</v>
      </c>
      <c r="BI4">
        <v>-2.0999999999999999E-3</v>
      </c>
      <c r="BJ4">
        <v>-1.5E-3</v>
      </c>
      <c r="BK4">
        <v>-1.725E-3</v>
      </c>
      <c r="BL4">
        <v>-1.9499999999999999E-3</v>
      </c>
      <c r="BM4">
        <v>-2.1749999999999999E-3</v>
      </c>
      <c r="BN4">
        <v>-2.6999999999999902E-3</v>
      </c>
      <c r="BO4">
        <v>-1.9499999999999999E-3</v>
      </c>
      <c r="BP4">
        <v>-2.6999999999999902E-3</v>
      </c>
      <c r="BQ4">
        <v>-1.9499999999999999E-3</v>
      </c>
      <c r="BR4">
        <v>-2.0249999999999999E-3</v>
      </c>
      <c r="BS4">
        <v>-1.65E-3</v>
      </c>
      <c r="BT4">
        <v>-1.57499999999999E-3</v>
      </c>
      <c r="BU4">
        <v>-1.65E-3</v>
      </c>
      <c r="BV4">
        <v>-1.5E-3</v>
      </c>
      <c r="BW4">
        <v>-1.5E-3</v>
      </c>
      <c r="BZ4" s="22" t="s">
        <v>661</v>
      </c>
      <c r="CA4" s="23" t="s">
        <v>14</v>
      </c>
      <c r="CB4" s="23" t="s">
        <v>15</v>
      </c>
      <c r="CC4" s="23" t="s">
        <v>16</v>
      </c>
      <c r="CD4" s="24" t="s">
        <v>25</v>
      </c>
      <c r="CE4" s="24" t="s">
        <v>26</v>
      </c>
      <c r="CF4" s="24" t="s">
        <v>27</v>
      </c>
      <c r="CG4" s="25" t="s">
        <v>28</v>
      </c>
      <c r="CI4" s="22"/>
      <c r="CJ4" s="24" t="s">
        <v>25</v>
      </c>
      <c r="CK4" s="24" t="s">
        <v>26</v>
      </c>
      <c r="CL4" s="24" t="s">
        <v>27</v>
      </c>
      <c r="CM4" s="25" t="s">
        <v>28</v>
      </c>
      <c r="CO4" s="22">
        <v>20170531</v>
      </c>
      <c r="CP4" s="23" t="s">
        <v>665</v>
      </c>
      <c r="CQ4" s="23" t="s">
        <v>666</v>
      </c>
      <c r="CR4" s="23" t="s">
        <v>667</v>
      </c>
      <c r="CS4" s="23" t="s">
        <v>668</v>
      </c>
      <c r="CT4" s="23" t="s">
        <v>669</v>
      </c>
      <c r="CU4" s="23" t="s">
        <v>670</v>
      </c>
      <c r="CV4" s="23" t="s">
        <v>671</v>
      </c>
      <c r="CW4" s="23" t="s">
        <v>672</v>
      </c>
      <c r="CX4" s="23" t="s">
        <v>673</v>
      </c>
      <c r="CY4" s="40" t="s">
        <v>674</v>
      </c>
    </row>
    <row r="5" spans="1:103" ht="18" thickBot="1" x14ac:dyDescent="0.45">
      <c r="A5" s="5"/>
      <c r="B5" s="5"/>
      <c r="C5" s="5"/>
      <c r="J5">
        <v>3</v>
      </c>
      <c r="K5">
        <v>-1.4999999999999999E-2</v>
      </c>
      <c r="L5">
        <v>-1.11570247933884E-3</v>
      </c>
      <c r="M5">
        <v>-6.4655172413793103E-4</v>
      </c>
      <c r="N5">
        <v>-3.6754966887417198E-3</v>
      </c>
      <c r="O5">
        <v>-2.98387096774193E-3</v>
      </c>
      <c r="P5">
        <v>-1.7341040462427699E-4</v>
      </c>
      <c r="Q5">
        <v>-6.1764705882352898E-4</v>
      </c>
      <c r="R5">
        <v>-6.3636363636363597E-4</v>
      </c>
      <c r="S5">
        <v>-1.6666666666666601E-3</v>
      </c>
      <c r="T5">
        <v>-1.33136094674556E-3</v>
      </c>
      <c r="U5">
        <v>-1.32596685082872E-3</v>
      </c>
      <c r="V5">
        <v>-8.7765957446808501E-4</v>
      </c>
      <c r="W5">
        <v>-7.7720207253885996E-4</v>
      </c>
      <c r="X5">
        <v>-3.33333333333333E-4</v>
      </c>
      <c r="Y5">
        <v>-1.3421052631578899E-3</v>
      </c>
      <c r="Z5">
        <v>-1.8E-3</v>
      </c>
      <c r="AA5">
        <v>-2.4750000000000002E-3</v>
      </c>
      <c r="AB5">
        <v>-9.7499999999999996E-4</v>
      </c>
      <c r="AC5">
        <v>-1.65E-3</v>
      </c>
      <c r="AD5">
        <v>-3.225E-3</v>
      </c>
      <c r="AE5">
        <v>-2.0999999999999999E-3</v>
      </c>
      <c r="AF5">
        <v>-1.65E-3</v>
      </c>
      <c r="AG5">
        <v>-1.725E-3</v>
      </c>
      <c r="AH5">
        <v>-1.8749999999999999E-3</v>
      </c>
      <c r="AI5">
        <v>-1.5E-3</v>
      </c>
      <c r="AJ5">
        <v>-3.5999999999999999E-3</v>
      </c>
      <c r="AK5">
        <v>-2.5500000000000002E-3</v>
      </c>
      <c r="AL5">
        <v>-3.0749999999999901E-3</v>
      </c>
      <c r="AM5" s="41">
        <v>-1.8749999999999999E-3</v>
      </c>
      <c r="AN5">
        <v>-1.8E-3</v>
      </c>
      <c r="AO5">
        <v>-2.6999999999999902E-3</v>
      </c>
      <c r="AP5">
        <v>-4.725E-3</v>
      </c>
      <c r="AQ5">
        <v>-1.65E-3</v>
      </c>
      <c r="AR5">
        <v>-3.3E-3</v>
      </c>
      <c r="AS5">
        <v>-2.0999999999999999E-3</v>
      </c>
      <c r="AT5">
        <v>-1.57499999999999E-3</v>
      </c>
      <c r="AU5">
        <v>-1.725E-3</v>
      </c>
      <c r="AV5">
        <v>-1.725E-3</v>
      </c>
      <c r="AW5">
        <v>-1.5E-3</v>
      </c>
      <c r="AX5">
        <v>-1.8E-3</v>
      </c>
      <c r="AY5">
        <v>-2.0999999999999999E-3</v>
      </c>
      <c r="AZ5">
        <v>-2.2499999999999998E-3</v>
      </c>
      <c r="BA5">
        <v>-1.9499999999999999E-3</v>
      </c>
      <c r="BB5">
        <v>-2.1749999999999999E-3</v>
      </c>
      <c r="BC5">
        <v>-2.6999999999999902E-3</v>
      </c>
      <c r="BD5">
        <v>-2.6249999999999902E-3</v>
      </c>
      <c r="BE5">
        <v>-1.725E-3</v>
      </c>
      <c r="BF5">
        <v>-2.4750000000000002E-3</v>
      </c>
      <c r="BG5">
        <v>-2.1749999999999999E-3</v>
      </c>
      <c r="BH5">
        <v>-2.6249999999999902E-3</v>
      </c>
      <c r="BI5">
        <v>-2.0999999999999999E-3</v>
      </c>
      <c r="BJ5">
        <v>-1.5E-3</v>
      </c>
      <c r="BK5">
        <v>-1.725E-3</v>
      </c>
      <c r="BL5">
        <v>-1.9499999999999999E-3</v>
      </c>
      <c r="BM5">
        <v>-2.1749999999999999E-3</v>
      </c>
      <c r="BN5">
        <v>-2.6999999999999902E-3</v>
      </c>
      <c r="BO5">
        <v>-1.9499999999999999E-3</v>
      </c>
      <c r="BP5">
        <v>-2.6999999999999902E-3</v>
      </c>
      <c r="BQ5">
        <v>-1.9499999999999999E-3</v>
      </c>
      <c r="BR5">
        <v>-2.0249999999999999E-3</v>
      </c>
      <c r="BS5">
        <v>-1.65E-3</v>
      </c>
      <c r="BT5">
        <v>-1.57499999999999E-3</v>
      </c>
      <c r="BU5">
        <v>-1.65E-3</v>
      </c>
      <c r="BV5">
        <v>-1.5E-3</v>
      </c>
      <c r="BW5">
        <v>-1.5E-3</v>
      </c>
      <c r="BZ5" s="26">
        <v>71.029383701544106</v>
      </c>
      <c r="CA5" s="32">
        <v>27.98275397976002</v>
      </c>
      <c r="CB5" s="32">
        <v>47.00514327700219</v>
      </c>
      <c r="CC5" s="32">
        <v>41.384914904439285</v>
      </c>
      <c r="CD5" s="32">
        <v>94.188331326603361</v>
      </c>
      <c r="CE5" s="32">
        <v>82.873368430785661</v>
      </c>
      <c r="CF5" s="32">
        <v>105.93084153060562</v>
      </c>
      <c r="CG5" s="33">
        <v>94.535349491603853</v>
      </c>
      <c r="CI5" s="30" t="s">
        <v>676</v>
      </c>
      <c r="CJ5" s="36">
        <v>0.14027777777777783</v>
      </c>
      <c r="CK5" s="36">
        <v>0.14013888888888892</v>
      </c>
      <c r="CL5" s="36">
        <v>0.16194444444444445</v>
      </c>
      <c r="CM5" s="37">
        <v>0.16236111111111109</v>
      </c>
      <c r="CO5" s="31" t="s">
        <v>690</v>
      </c>
      <c r="CP5" s="34">
        <v>6.5000000000000002E-2</v>
      </c>
      <c r="CQ5" s="34">
        <v>0</v>
      </c>
      <c r="CR5" s="34">
        <v>0.20499999999999999</v>
      </c>
      <c r="CS5" s="34">
        <v>0.16</v>
      </c>
      <c r="CT5" s="34">
        <v>0.24</v>
      </c>
      <c r="CU5" s="34">
        <v>0.21</v>
      </c>
      <c r="CV5" s="34">
        <v>5.0000000000000001E-3</v>
      </c>
      <c r="CW5" s="34">
        <v>5.5E-2</v>
      </c>
      <c r="CX5" s="34">
        <v>5.0000000000000001E-3</v>
      </c>
      <c r="CY5" s="35">
        <v>5.5E-2</v>
      </c>
    </row>
    <row r="6" spans="1:103" ht="18" thickBot="1" x14ac:dyDescent="0.45">
      <c r="A6" s="5"/>
      <c r="B6" s="5"/>
      <c r="C6" s="5"/>
      <c r="J6">
        <v>4</v>
      </c>
      <c r="K6">
        <v>-1.4999999999999999E-2</v>
      </c>
      <c r="L6">
        <v>-1.11570247933884E-3</v>
      </c>
      <c r="M6">
        <v>-6.4655172413793103E-4</v>
      </c>
      <c r="N6">
        <v>-3.6754966887417198E-3</v>
      </c>
      <c r="O6">
        <v>-2.98387096774193E-3</v>
      </c>
      <c r="P6">
        <v>-1.7341040462427699E-4</v>
      </c>
      <c r="Q6">
        <v>-6.1764705882352898E-4</v>
      </c>
      <c r="R6">
        <v>-6.3636363636363597E-4</v>
      </c>
      <c r="S6">
        <v>-1.6666666666666601E-3</v>
      </c>
      <c r="T6">
        <v>-1.33136094674556E-3</v>
      </c>
      <c r="U6">
        <v>-1.32596685082872E-3</v>
      </c>
      <c r="V6">
        <v>-8.7765957446808501E-4</v>
      </c>
      <c r="W6">
        <v>-7.7720207253885996E-4</v>
      </c>
      <c r="X6">
        <v>-3.33333333333333E-4</v>
      </c>
      <c r="Y6">
        <v>-1.3421052631578899E-3</v>
      </c>
      <c r="Z6">
        <v>-1.8E-3</v>
      </c>
      <c r="AA6">
        <v>-2.4750000000000002E-3</v>
      </c>
      <c r="AB6">
        <v>-9.7499999999999996E-4</v>
      </c>
      <c r="AC6">
        <v>-1.65E-3</v>
      </c>
      <c r="AD6">
        <v>-3.225E-3</v>
      </c>
      <c r="AE6">
        <v>-2.0999999999999999E-3</v>
      </c>
      <c r="AF6">
        <v>-1.65E-3</v>
      </c>
      <c r="AG6">
        <v>-1.725E-3</v>
      </c>
      <c r="AH6">
        <v>-1.8749999999999999E-3</v>
      </c>
      <c r="AI6">
        <v>-1.5E-3</v>
      </c>
      <c r="AJ6">
        <v>-3.5999999999999999E-3</v>
      </c>
      <c r="AK6">
        <v>-2.5500000000000002E-3</v>
      </c>
      <c r="AL6">
        <v>-3.0749999999999901E-3</v>
      </c>
      <c r="AM6" s="41">
        <v>-1.8749999999999999E-3</v>
      </c>
      <c r="AN6">
        <v>-1.8E-3</v>
      </c>
      <c r="AO6">
        <v>-2.6999999999999902E-3</v>
      </c>
      <c r="AP6">
        <v>-4.725E-3</v>
      </c>
      <c r="AQ6">
        <v>-1.65E-3</v>
      </c>
      <c r="AR6">
        <v>-3.3E-3</v>
      </c>
      <c r="AS6">
        <v>-2.0999999999999999E-3</v>
      </c>
      <c r="AT6">
        <v>-1.57499999999999E-3</v>
      </c>
      <c r="AU6">
        <v>-1.725E-3</v>
      </c>
      <c r="AV6">
        <v>-1.725E-3</v>
      </c>
      <c r="AW6">
        <v>-1.5E-3</v>
      </c>
      <c r="AX6">
        <v>-1.8E-3</v>
      </c>
      <c r="AY6">
        <v>-2.0999999999999999E-3</v>
      </c>
      <c r="AZ6">
        <v>-2.2499999999999998E-3</v>
      </c>
      <c r="BA6">
        <v>-1.9499999999999999E-3</v>
      </c>
      <c r="BB6">
        <v>-2.1749999999999999E-3</v>
      </c>
      <c r="BC6">
        <v>-2.6999999999999902E-3</v>
      </c>
      <c r="BD6">
        <v>-2.6249999999999902E-3</v>
      </c>
      <c r="BE6">
        <v>-1.725E-3</v>
      </c>
      <c r="BF6">
        <v>-2.4750000000000002E-3</v>
      </c>
      <c r="BG6">
        <v>-2.1749999999999999E-3</v>
      </c>
      <c r="BH6">
        <v>-2.6249999999999902E-3</v>
      </c>
      <c r="BI6">
        <v>-2.0999999999999999E-3</v>
      </c>
      <c r="BJ6">
        <v>-1.5E-3</v>
      </c>
      <c r="BK6">
        <v>-1.725E-3</v>
      </c>
      <c r="BL6">
        <v>-1.9499999999999999E-3</v>
      </c>
      <c r="BM6">
        <v>-2.1749999999999999E-3</v>
      </c>
      <c r="BN6">
        <v>-2.6999999999999902E-3</v>
      </c>
      <c r="BO6">
        <v>-1.9499999999999999E-3</v>
      </c>
      <c r="BP6">
        <v>-2.6999999999999902E-3</v>
      </c>
      <c r="BQ6">
        <v>-1.9499999999999999E-3</v>
      </c>
      <c r="BR6">
        <v>-2.0249999999999999E-3</v>
      </c>
      <c r="BS6">
        <v>-1.65E-3</v>
      </c>
      <c r="BT6">
        <v>-1.57499999999999E-3</v>
      </c>
      <c r="BU6">
        <v>-1.65E-3</v>
      </c>
      <c r="BV6">
        <v>-1.5E-3</v>
      </c>
      <c r="BW6">
        <v>-1.5E-3</v>
      </c>
      <c r="CG6" s="20"/>
      <c r="CI6" s="31" t="s">
        <v>677</v>
      </c>
      <c r="CJ6" s="38">
        <v>0.54054054054054057</v>
      </c>
      <c r="CK6" s="38">
        <v>0.54054054054054057</v>
      </c>
      <c r="CL6" s="38">
        <v>0.51351351351351349</v>
      </c>
      <c r="CM6" s="39">
        <v>0.51351351351351349</v>
      </c>
    </row>
    <row r="7" spans="1:103" x14ac:dyDescent="0.4">
      <c r="A7" s="6"/>
      <c r="B7" s="6"/>
      <c r="C7" s="6"/>
    </row>
    <row r="9" spans="1:103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</row>
    <row r="10" spans="1:103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Q10" t="s">
        <v>696</v>
      </c>
      <c r="BZ10">
        <v>1</v>
      </c>
      <c r="CA10" s="16">
        <v>0.105</v>
      </c>
      <c r="CB10" s="22">
        <v>20170531</v>
      </c>
      <c r="CC10" s="23" t="s">
        <v>686</v>
      </c>
      <c r="CD10" s="23" t="s">
        <v>687</v>
      </c>
      <c r="CE10" s="23" t="s">
        <v>688</v>
      </c>
      <c r="CF10" s="40" t="s">
        <v>547</v>
      </c>
    </row>
    <row r="11" spans="1:103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659</v>
      </c>
      <c r="AL11" t="s">
        <v>691</v>
      </c>
      <c r="AP11" s="14" t="s">
        <v>25</v>
      </c>
      <c r="AQ11" s="14" t="s">
        <v>26</v>
      </c>
      <c r="AR11" s="14" t="s">
        <v>27</v>
      </c>
      <c r="AS11" s="14" t="s">
        <v>28</v>
      </c>
      <c r="AT11" t="s">
        <v>692</v>
      </c>
      <c r="AX11" s="14" t="s">
        <v>25</v>
      </c>
      <c r="AY11" s="14" t="s">
        <v>26</v>
      </c>
      <c r="AZ11" s="14" t="s">
        <v>27</v>
      </c>
      <c r="BA11" s="14" t="s">
        <v>28</v>
      </c>
      <c r="BB11" t="s">
        <v>693</v>
      </c>
      <c r="BF11" s="14" t="s">
        <v>25</v>
      </c>
      <c r="BG11" s="14" t="s">
        <v>26</v>
      </c>
      <c r="BH11" s="14" t="s">
        <v>27</v>
      </c>
      <c r="BI11" s="14" t="s">
        <v>28</v>
      </c>
      <c r="BM11" s="14" t="s">
        <v>694</v>
      </c>
      <c r="BQ11" t="s">
        <v>695</v>
      </c>
      <c r="BU11" s="14" t="s">
        <v>25</v>
      </c>
      <c r="BV11" s="14" t="s">
        <v>26</v>
      </c>
      <c r="BW11" s="14" t="s">
        <v>27</v>
      </c>
      <c r="BX11" s="14" t="s">
        <v>28</v>
      </c>
      <c r="BZ11">
        <v>2</v>
      </c>
      <c r="CA11" s="16">
        <v>0.22</v>
      </c>
      <c r="CB11" s="31" t="s">
        <v>689</v>
      </c>
      <c r="CC11" s="34">
        <v>0.105</v>
      </c>
      <c r="CD11" s="34">
        <v>0.22</v>
      </c>
      <c r="CE11" s="34">
        <v>0.51500000000000001</v>
      </c>
      <c r="CF11" s="35">
        <v>0.16</v>
      </c>
    </row>
    <row r="12" spans="1:103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678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AL12" s="14" t="s">
        <v>25</v>
      </c>
      <c r="AM12" s="14" t="s">
        <v>26</v>
      </c>
      <c r="AN12" s="14" t="s">
        <v>27</v>
      </c>
      <c r="AO12" s="14" t="s">
        <v>28</v>
      </c>
      <c r="AP12">
        <v>100</v>
      </c>
      <c r="AQ12">
        <v>100</v>
      </c>
      <c r="AR12">
        <v>100</v>
      </c>
      <c r="AS12">
        <v>100</v>
      </c>
      <c r="AT12" s="14" t="s">
        <v>25</v>
      </c>
      <c r="AU12" s="14" t="s">
        <v>26</v>
      </c>
      <c r="AV12" s="14" t="s">
        <v>27</v>
      </c>
      <c r="AW12" s="14" t="s">
        <v>28</v>
      </c>
      <c r="AX12">
        <v>100</v>
      </c>
      <c r="AY12">
        <v>100</v>
      </c>
      <c r="AZ12">
        <v>100</v>
      </c>
      <c r="BA12">
        <v>100</v>
      </c>
      <c r="BB12" s="14" t="s">
        <v>25</v>
      </c>
      <c r="BC12" s="14" t="s">
        <v>26</v>
      </c>
      <c r="BD12" s="14" t="s">
        <v>27</v>
      </c>
      <c r="BE12" s="14" t="s">
        <v>28</v>
      </c>
      <c r="BF12">
        <v>100</v>
      </c>
      <c r="BG12">
        <v>100</v>
      </c>
      <c r="BH12">
        <v>100</v>
      </c>
      <c r="BI12">
        <v>100</v>
      </c>
      <c r="BK12">
        <v>2016</v>
      </c>
      <c r="BL12">
        <v>11.79</v>
      </c>
      <c r="BM12">
        <f t="shared" ref="BM12:BM20" si="0">1+BL12/100</f>
        <v>1.1178999999999999</v>
      </c>
      <c r="BQ12" s="14" t="s">
        <v>25</v>
      </c>
      <c r="BR12" s="14" t="s">
        <v>26</v>
      </c>
      <c r="BS12" s="14" t="s">
        <v>27</v>
      </c>
      <c r="BT12" s="14" t="s">
        <v>28</v>
      </c>
      <c r="BU12">
        <v>100</v>
      </c>
      <c r="BV12">
        <v>100</v>
      </c>
      <c r="BW12">
        <v>100</v>
      </c>
      <c r="BX12">
        <v>100</v>
      </c>
      <c r="BZ12">
        <v>3</v>
      </c>
      <c r="CA12" s="16">
        <v>0.51500000000000001</v>
      </c>
    </row>
    <row r="13" spans="1:103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1.07056083266498</v>
      </c>
      <c r="O13">
        <v>1.0587745571901499</v>
      </c>
      <c r="P13">
        <f>P12*I13</f>
        <v>108.75759707969908</v>
      </c>
      <c r="Q13">
        <f t="shared" ref="Q13:V13" si="1">Q12*J13</f>
        <v>111.90938035758022</v>
      </c>
      <c r="R13">
        <f t="shared" si="1"/>
        <v>108.70424396204463</v>
      </c>
      <c r="S13">
        <f t="shared" si="1"/>
        <v>107.874110751079</v>
      </c>
      <c r="T13">
        <f t="shared" si="1"/>
        <v>104.79991792031301</v>
      </c>
      <c r="U13">
        <f t="shared" si="1"/>
        <v>107.05608326649801</v>
      </c>
      <c r="V13">
        <f t="shared" si="1"/>
        <v>105.87745571901499</v>
      </c>
      <c r="AD13" s="16">
        <f>N13-K13</f>
        <v>-1.6481606955466299E-2</v>
      </c>
      <c r="AE13" s="16">
        <f>AD13</f>
        <v>-1.6481606955466299E-2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AL13">
        <v>1.04177762170987</v>
      </c>
      <c r="AM13">
        <v>1.04177762170987</v>
      </c>
      <c r="AN13">
        <v>1.0489842526331901</v>
      </c>
      <c r="AO13">
        <v>1.04906783472274</v>
      </c>
      <c r="AP13">
        <f>AP12*AL13</f>
        <v>104.17776217098699</v>
      </c>
      <c r="AQ13">
        <f>AQ12*AM13</f>
        <v>104.17776217098699</v>
      </c>
      <c r="AR13">
        <f>AR12*AN13</f>
        <v>104.89842526331901</v>
      </c>
      <c r="AS13">
        <f>AS12*AO13</f>
        <v>104.906783472274</v>
      </c>
      <c r="AT13">
        <v>1.0424026217098701</v>
      </c>
      <c r="AU13">
        <v>1.0424026217098701</v>
      </c>
      <c r="AV13">
        <v>1.0498678347227399</v>
      </c>
      <c r="AW13">
        <v>1.0498678347227399</v>
      </c>
      <c r="AX13">
        <f>AX12*AT13</f>
        <v>104.24026217098701</v>
      </c>
      <c r="AY13">
        <f>AY12*AU13</f>
        <v>104.24026217098701</v>
      </c>
      <c r="AZ13">
        <f>AZ12*AV13</f>
        <v>104.986783472274</v>
      </c>
      <c r="BA13">
        <f>BA12*AW13</f>
        <v>104.986783472274</v>
      </c>
      <c r="BB13">
        <v>1.04302762170987</v>
      </c>
      <c r="BC13">
        <v>1.04302762170987</v>
      </c>
      <c r="BD13">
        <v>1.0506678347227401</v>
      </c>
      <c r="BE13">
        <v>1.0506678347227401</v>
      </c>
      <c r="BF13">
        <f>BF12*BB13</f>
        <v>104.30276217098699</v>
      </c>
      <c r="BG13">
        <f>BG12*BC13</f>
        <v>104.30276217098699</v>
      </c>
      <c r="BH13">
        <f>BH12*BD13</f>
        <v>105.06678347227401</v>
      </c>
      <c r="BI13">
        <f>BI12*BE13</f>
        <v>105.06678347227401</v>
      </c>
      <c r="BK13">
        <f t="shared" ref="BK13:BK20" si="2">BK12-1</f>
        <v>2015</v>
      </c>
      <c r="BL13">
        <v>-8.41</v>
      </c>
      <c r="BM13">
        <f t="shared" si="0"/>
        <v>0.91589999999999994</v>
      </c>
      <c r="BQ13">
        <v>1.04654899999999</v>
      </c>
      <c r="BR13">
        <v>1.04654899999999</v>
      </c>
      <c r="BS13">
        <v>1.0523855</v>
      </c>
      <c r="BT13">
        <v>1.0523855</v>
      </c>
      <c r="BU13">
        <f>BU12*BQ13</f>
        <v>104.654899999999</v>
      </c>
      <c r="BV13">
        <f>BV12*BR13</f>
        <v>104.654899999999</v>
      </c>
      <c r="BW13">
        <f>BW12*BS13</f>
        <v>105.23855</v>
      </c>
      <c r="BX13">
        <f>BX12*BT13</f>
        <v>105.23855</v>
      </c>
      <c r="BZ13" t="s">
        <v>547</v>
      </c>
      <c r="CA13" s="16">
        <v>0.16</v>
      </c>
    </row>
    <row r="14" spans="1:103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3">F14/F13</f>
        <v>0.83418872446852865</v>
      </c>
      <c r="J14">
        <f t="shared" ref="J14:J49" si="4">G14/G13</f>
        <v>0.82213750147726328</v>
      </c>
      <c r="K14">
        <f t="shared" ref="K14:K49" si="5">H14/H13</f>
        <v>0.79770990313610968</v>
      </c>
      <c r="L14">
        <v>0.83033976407590904</v>
      </c>
      <c r="M14">
        <v>0.83493123659813095</v>
      </c>
      <c r="N14">
        <v>0.82180636241733995</v>
      </c>
      <c r="O14">
        <v>0.82812506093178995</v>
      </c>
      <c r="P14">
        <f t="shared" ref="P14:P49" si="6">P13*I14</f>
        <v>90.72436118417636</v>
      </c>
      <c r="Q14">
        <f t="shared" ref="Q14:Q49" si="7">Q13*J14</f>
        <v>92.004898359049719</v>
      </c>
      <c r="R14">
        <f t="shared" ref="R14:R49" si="8">R13*K14</f>
        <v>86.714451921446653</v>
      </c>
      <c r="S14">
        <f t="shared" ref="S14:S49" si="9">S13*L14</f>
        <v>89.572163670949422</v>
      </c>
      <c r="T14">
        <f t="shared" ref="T14:T49" si="10">T13*M14</f>
        <v>87.50072506458956</v>
      </c>
      <c r="U14">
        <f t="shared" ref="U14:U49" si="11">U13*N14</f>
        <v>87.979370363888577</v>
      </c>
      <c r="V14">
        <f t="shared" ref="V14:V49" si="12">V13*O14</f>
        <v>87.67977446861218</v>
      </c>
      <c r="AD14" s="16">
        <f t="shared" ref="AD14:AD49" si="13">N14-K14</f>
        <v>2.4096459281230276E-2</v>
      </c>
      <c r="AE14" s="16">
        <f>AE13+AD14</f>
        <v>7.6148523257639766E-3</v>
      </c>
      <c r="AF14" s="19">
        <v>20060420</v>
      </c>
      <c r="AG14" s="17">
        <v>1007.86</v>
      </c>
      <c r="AH14">
        <f t="shared" ref="AH14:AH48" si="14">VLOOKUP(B14,$AF$12:$AG$4002,2,FALSE)</f>
        <v>1378.6006919204519</v>
      </c>
      <c r="AI14">
        <f t="shared" ref="AI14:AI49" si="15">AH14/AH13</f>
        <v>0.85205195890384944</v>
      </c>
      <c r="AJ14">
        <f t="shared" ref="AJ14:AJ49" si="16">AJ13*AI14</f>
        <v>88.942498400445643</v>
      </c>
      <c r="AL14">
        <v>0.83044446104172398</v>
      </c>
      <c r="AM14">
        <v>0.83044446104172398</v>
      </c>
      <c r="AN14">
        <v>0.81968451902514705</v>
      </c>
      <c r="AO14">
        <v>0.82119162803008405</v>
      </c>
      <c r="AP14">
        <f t="shared" ref="AP14:AP49" si="17">AP13*AL14</f>
        <v>86.5138455586182</v>
      </c>
      <c r="AQ14">
        <f t="shared" ref="AQ14:AQ49" si="18">AQ13*AM14</f>
        <v>86.5138455586182</v>
      </c>
      <c r="AR14">
        <f t="shared" ref="AR14:AR49" si="19">AR13*AN14</f>
        <v>85.983615258458983</v>
      </c>
      <c r="AS14">
        <f t="shared" ref="AS14:AS49" si="20">AS13*AO14</f>
        <v>86.148572310996201</v>
      </c>
      <c r="AT14">
        <v>0.83104446104172403</v>
      </c>
      <c r="AU14">
        <v>0.83104446104172403</v>
      </c>
      <c r="AV14">
        <v>0.82059260360226105</v>
      </c>
      <c r="AW14">
        <v>0.82201662803008402</v>
      </c>
      <c r="AX14">
        <f t="shared" ref="AX14:AX49" si="21">AX13*AT14</f>
        <v>86.628292494735916</v>
      </c>
      <c r="AY14">
        <f t="shared" ref="AY14:AZ49" si="22">AY13*AU14</f>
        <v>86.628292494735916</v>
      </c>
      <c r="AZ14">
        <f t="shared" si="22"/>
        <v>86.151377993340148</v>
      </c>
      <c r="BA14">
        <f t="shared" ref="BA14:BA49" si="23">BA13*AW14</f>
        <v>86.300881737603234</v>
      </c>
      <c r="BB14">
        <v>0.83164446104172396</v>
      </c>
      <c r="BC14">
        <v>0.83164446104172396</v>
      </c>
      <c r="BD14">
        <v>0.82141760360226102</v>
      </c>
      <c r="BE14">
        <v>0.82284162803008398</v>
      </c>
      <c r="BF14">
        <f t="shared" ref="BF14:BF49" si="24">BF13*BB14</f>
        <v>86.742814430853599</v>
      </c>
      <c r="BG14">
        <f t="shared" ref="BG14:BG49" si="25">BG13*BC14</f>
        <v>86.742814430853599</v>
      </c>
      <c r="BH14">
        <f t="shared" ref="BH14:BH49" si="26">BH13*BD14</f>
        <v>86.303705497992965</v>
      </c>
      <c r="BI14">
        <f t="shared" ref="BI14:BI49" si="27">BI13*BE14</f>
        <v>86.453323164210261</v>
      </c>
      <c r="BK14">
        <f t="shared" si="2"/>
        <v>2014</v>
      </c>
      <c r="BL14">
        <v>-19.760000000000002</v>
      </c>
      <c r="BM14">
        <f t="shared" si="0"/>
        <v>0.8024</v>
      </c>
      <c r="BQ14">
        <v>0.83754699999999904</v>
      </c>
      <c r="BR14">
        <v>0.83754699999999904</v>
      </c>
      <c r="BS14">
        <v>0.82589950000000001</v>
      </c>
      <c r="BT14">
        <v>0.82727799999999996</v>
      </c>
      <c r="BU14">
        <f t="shared" ref="BU14:BU49" si="28">BU13*BQ14</f>
        <v>87.65339753029906</v>
      </c>
      <c r="BV14">
        <f t="shared" ref="BV14:BV49" si="29">BV13*BR14</f>
        <v>87.65339753029906</v>
      </c>
      <c r="BW14">
        <f t="shared" ref="BW14:BW49" si="30">BW13*BS14</f>
        <v>86.916465825724998</v>
      </c>
      <c r="BX14">
        <f t="shared" ref="BX14:BX49" si="31">BX13*BT14</f>
        <v>87.061537166899996</v>
      </c>
      <c r="CA14" s="16"/>
    </row>
    <row r="15" spans="1:103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3"/>
        <v>0.73111697559299793</v>
      </c>
      <c r="J15">
        <f t="shared" si="4"/>
        <v>0.75724599101305445</v>
      </c>
      <c r="K15">
        <f t="shared" si="5"/>
        <v>0.73385742892009787</v>
      </c>
      <c r="L15">
        <v>0.63668638500911501</v>
      </c>
      <c r="M15">
        <v>0.64499550243326598</v>
      </c>
      <c r="N15">
        <v>0.64417258301978197</v>
      </c>
      <c r="O15">
        <v>0.64482149260028199</v>
      </c>
      <c r="P15">
        <f t="shared" si="6"/>
        <v>66.330120561581793</v>
      </c>
      <c r="Q15">
        <f t="shared" si="7"/>
        <v>69.670340435953946</v>
      </c>
      <c r="R15">
        <f t="shared" si="8"/>
        <v>63.63604473728828</v>
      </c>
      <c r="S15">
        <f t="shared" si="9"/>
        <v>57.029377085101565</v>
      </c>
      <c r="T15">
        <f t="shared" si="10"/>
        <v>56.437574126310011</v>
      </c>
      <c r="U15">
        <f t="shared" si="11"/>
        <v>56.673898259760158</v>
      </c>
      <c r="V15">
        <f t="shared" si="12"/>
        <v>56.537803043706603</v>
      </c>
      <c r="AD15" s="16">
        <f t="shared" si="13"/>
        <v>-8.968484590031589E-2</v>
      </c>
      <c r="AE15" s="16">
        <f t="shared" ref="AE15:AE49" si="32">AE14+AD15</f>
        <v>-8.2069993574551914E-2</v>
      </c>
      <c r="AF15" s="19">
        <v>20060421</v>
      </c>
      <c r="AG15" s="17">
        <v>1017.49</v>
      </c>
      <c r="AH15">
        <f t="shared" si="14"/>
        <v>952.19053953223204</v>
      </c>
      <c r="AI15">
        <f t="shared" si="15"/>
        <v>0.69069350183321643</v>
      </c>
      <c r="AJ15">
        <f t="shared" si="16"/>
        <v>61.432005681999051</v>
      </c>
      <c r="AL15">
        <v>0.63929471007590299</v>
      </c>
      <c r="AM15">
        <v>0.63929471007590299</v>
      </c>
      <c r="AN15">
        <v>0.64212987693345203</v>
      </c>
      <c r="AO15">
        <v>0.64230947892350199</v>
      </c>
      <c r="AP15">
        <f t="shared" si="17"/>
        <v>55.307843813948267</v>
      </c>
      <c r="AQ15">
        <f t="shared" si="18"/>
        <v>55.307843813948267</v>
      </c>
      <c r="AR15">
        <f t="shared" si="19"/>
        <v>55.212648284207553</v>
      </c>
      <c r="AS15">
        <f t="shared" si="20"/>
        <v>55.334044591079603</v>
      </c>
      <c r="AT15">
        <v>0.64019471007590301</v>
      </c>
      <c r="AU15">
        <v>0.64019471007590301</v>
      </c>
      <c r="AV15">
        <v>0.643209478923502</v>
      </c>
      <c r="AW15">
        <v>0.64328447892350205</v>
      </c>
      <c r="AX15">
        <f t="shared" si="21"/>
        <v>55.458974598037983</v>
      </c>
      <c r="AY15">
        <f t="shared" si="22"/>
        <v>55.458974598037983</v>
      </c>
      <c r="AZ15">
        <f t="shared" si="22"/>
        <v>55.413382947637977</v>
      </c>
      <c r="BA15">
        <f t="shared" si="23"/>
        <v>55.51601773921287</v>
      </c>
      <c r="BB15">
        <v>0.64109471007590302</v>
      </c>
      <c r="BC15">
        <v>0.64109471007590302</v>
      </c>
      <c r="BD15">
        <v>0.644209478923502</v>
      </c>
      <c r="BE15">
        <v>0.64425947892350199</v>
      </c>
      <c r="BF15">
        <f t="shared" si="24"/>
        <v>55.610359468715941</v>
      </c>
      <c r="BG15">
        <f t="shared" si="25"/>
        <v>55.610359468715941</v>
      </c>
      <c r="BH15">
        <f t="shared" si="26"/>
        <v>55.597665148029421</v>
      </c>
      <c r="BI15">
        <f t="shared" si="27"/>
        <v>55.698372932979225</v>
      </c>
      <c r="BK15">
        <f t="shared" si="2"/>
        <v>2013</v>
      </c>
      <c r="BL15">
        <v>5.78</v>
      </c>
      <c r="BM15">
        <f t="shared" si="0"/>
        <v>1.0578000000000001</v>
      </c>
      <c r="BQ15">
        <v>0.64568250000000005</v>
      </c>
      <c r="BR15">
        <v>0.64568250000000005</v>
      </c>
      <c r="BS15">
        <v>0.64696799999999999</v>
      </c>
      <c r="BT15">
        <v>0.64706799999999998</v>
      </c>
      <c r="BU15">
        <f t="shared" si="28"/>
        <v>56.596264850857324</v>
      </c>
      <c r="BV15">
        <f t="shared" si="29"/>
        <v>56.596264850857324</v>
      </c>
      <c r="BW15">
        <f t="shared" si="30"/>
        <v>56.232172062337646</v>
      </c>
      <c r="BX15">
        <f t="shared" si="31"/>
        <v>56.334734731511645</v>
      </c>
      <c r="CA15" s="16"/>
    </row>
    <row r="16" spans="1:103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3"/>
        <v>0.9973373202335184</v>
      </c>
      <c r="J16">
        <f t="shared" si="4"/>
        <v>0.97083637999887507</v>
      </c>
      <c r="K16">
        <f t="shared" si="5"/>
        <v>0.98788185033763609</v>
      </c>
      <c r="L16">
        <v>1.0501906088791999</v>
      </c>
      <c r="M16">
        <v>1.0482703111121601</v>
      </c>
      <c r="N16">
        <v>1.06161782958198</v>
      </c>
      <c r="O16">
        <v>1.0583117500446599</v>
      </c>
      <c r="P16">
        <f t="shared" si="6"/>
        <v>66.153504691654177</v>
      </c>
      <c r="Q16">
        <f t="shared" si="7"/>
        <v>67.638501102130775</v>
      </c>
      <c r="R16">
        <f t="shared" si="8"/>
        <v>62.864893623240938</v>
      </c>
      <c r="S16">
        <f t="shared" si="9"/>
        <v>59.891716245004304</v>
      </c>
      <c r="T16">
        <f t="shared" si="10"/>
        <v>59.161833387802588</v>
      </c>
      <c r="U16">
        <f t="shared" si="11"/>
        <v>60.166020864476536</v>
      </c>
      <c r="V16">
        <f t="shared" si="12"/>
        <v>59.834621282865434</v>
      </c>
      <c r="AD16" s="16">
        <f t="shared" si="13"/>
        <v>7.3735979244343941E-2</v>
      </c>
      <c r="AE16" s="16">
        <f t="shared" si="32"/>
        <v>-8.3340143302079728E-3</v>
      </c>
      <c r="AF16" s="19">
        <v>20060422</v>
      </c>
      <c r="AG16" s="18">
        <v>1017.5</v>
      </c>
      <c r="AH16">
        <f t="shared" si="14"/>
        <v>1039.746347799588</v>
      </c>
      <c r="AI16">
        <f t="shared" si="15"/>
        <v>1.0919519829616959</v>
      </c>
      <c r="AJ16">
        <f t="shared" si="16"/>
        <v>67.080800421773034</v>
      </c>
      <c r="AL16">
        <v>1.0436394007288201</v>
      </c>
      <c r="AM16">
        <v>1.04263493847497</v>
      </c>
      <c r="AN16">
        <v>1.05096539577724</v>
      </c>
      <c r="AO16">
        <v>1.05217158899671</v>
      </c>
      <c r="AP16">
        <f t="shared" si="17"/>
        <v>57.721444973592149</v>
      </c>
      <c r="AQ16">
        <f t="shared" si="18"/>
        <v>57.665890332139206</v>
      </c>
      <c r="AR16">
        <f t="shared" si="19"/>
        <v>58.026582755921744</v>
      </c>
      <c r="AS16">
        <f t="shared" si="20"/>
        <v>58.220909623011032</v>
      </c>
      <c r="AT16">
        <v>1.04521440072882</v>
      </c>
      <c r="AU16">
        <v>1.0442099384749699</v>
      </c>
      <c r="AV16">
        <v>1.05273106741903</v>
      </c>
      <c r="AW16">
        <v>1.0538715889967101</v>
      </c>
      <c r="AX16">
        <f t="shared" si="21"/>
        <v>57.966518899523123</v>
      </c>
      <c r="AY16">
        <f t="shared" si="22"/>
        <v>57.910812452902164</v>
      </c>
      <c r="AZ16">
        <f t="shared" si="22"/>
        <v>58.335389779766402</v>
      </c>
      <c r="BA16">
        <f t="shared" si="23"/>
        <v>58.506753829593812</v>
      </c>
      <c r="BB16">
        <v>1.0467894007288201</v>
      </c>
      <c r="BC16">
        <v>1.04578493847497</v>
      </c>
      <c r="BD16">
        <v>1.05443106741903</v>
      </c>
      <c r="BE16">
        <v>1.0555715889967101</v>
      </c>
      <c r="BF16">
        <f t="shared" si="24"/>
        <v>58.212334862571424</v>
      </c>
      <c r="BG16">
        <f t="shared" si="25"/>
        <v>58.15647635556207</v>
      </c>
      <c r="BH16">
        <f t="shared" si="26"/>
        <v>58.623905408042468</v>
      </c>
      <c r="BI16">
        <f t="shared" si="27"/>
        <v>58.793620021396229</v>
      </c>
      <c r="BK16">
        <f t="shared" si="2"/>
        <v>2012</v>
      </c>
      <c r="BL16">
        <v>11.55</v>
      </c>
      <c r="BM16">
        <f t="shared" si="0"/>
        <v>1.1154999999999999</v>
      </c>
      <c r="BQ16">
        <v>1.08947999999999</v>
      </c>
      <c r="BR16">
        <v>1.0885589999999901</v>
      </c>
      <c r="BS16">
        <v>1.0944274999999899</v>
      </c>
      <c r="BT16">
        <v>1.0955334999999899</v>
      </c>
      <c r="BU16">
        <f t="shared" si="28"/>
        <v>61.660498629711469</v>
      </c>
      <c r="BV16">
        <f t="shared" si="29"/>
        <v>61.608373469783835</v>
      </c>
      <c r="BW16">
        <f t="shared" si="30"/>
        <v>61.542035489753466</v>
      </c>
      <c r="BX16">
        <f t="shared" si="31"/>
        <v>61.716589111983943</v>
      </c>
      <c r="BZ16" t="s">
        <v>665</v>
      </c>
      <c r="CA16" s="16">
        <v>6.5000000000000002E-2</v>
      </c>
      <c r="CD16">
        <v>0</v>
      </c>
      <c r="CE16">
        <v>1</v>
      </c>
      <c r="CF16">
        <v>2</v>
      </c>
      <c r="CG16">
        <v>3</v>
      </c>
      <c r="CH16">
        <v>4</v>
      </c>
      <c r="CI16">
        <v>5</v>
      </c>
      <c r="CJ16">
        <v>6</v>
      </c>
      <c r="CK16">
        <v>7</v>
      </c>
      <c r="CL16">
        <v>8</v>
      </c>
      <c r="CM16">
        <v>9</v>
      </c>
      <c r="CN16">
        <v>10</v>
      </c>
      <c r="CO16">
        <v>11</v>
      </c>
      <c r="CP16">
        <v>12</v>
      </c>
      <c r="CQ16">
        <v>13</v>
      </c>
      <c r="CR16">
        <v>14</v>
      </c>
      <c r="CS16">
        <v>15</v>
      </c>
    </row>
    <row r="17" spans="1:97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3"/>
        <v>1.3401481946804106</v>
      </c>
      <c r="J17">
        <f t="shared" si="4"/>
        <v>1.3391341502273979</v>
      </c>
      <c r="K17">
        <f t="shared" si="5"/>
        <v>1.3090508342168405</v>
      </c>
      <c r="L17">
        <v>1.4118285286719101</v>
      </c>
      <c r="M17">
        <v>1.4192071076861399</v>
      </c>
      <c r="N17">
        <v>1.4402081835485401</v>
      </c>
      <c r="O17">
        <v>1.4316652739146101</v>
      </c>
      <c r="P17">
        <f t="shared" si="6"/>
        <v>88.655499884302415</v>
      </c>
      <c r="Q17">
        <f t="shared" si="7"/>
        <v>90.577026696056805</v>
      </c>
      <c r="R17">
        <f t="shared" si="8"/>
        <v>82.293341440456487</v>
      </c>
      <c r="S17">
        <f t="shared" si="9"/>
        <v>84.556833625819962</v>
      </c>
      <c r="T17">
        <f t="shared" si="10"/>
        <v>83.962894447712614</v>
      </c>
      <c r="U17">
        <f t="shared" si="11"/>
        <v>86.651595620571314</v>
      </c>
      <c r="V17">
        <f t="shared" si="12"/>
        <v>85.663149468510497</v>
      </c>
      <c r="AD17" s="16">
        <f t="shared" si="13"/>
        <v>0.13115734933169954</v>
      </c>
      <c r="AE17" s="16">
        <f t="shared" si="32"/>
        <v>0.12282333500149156</v>
      </c>
      <c r="AF17" s="19">
        <v>20060423</v>
      </c>
      <c r="AG17" s="17">
        <v>1017.5</v>
      </c>
      <c r="AH17">
        <f t="shared" si="14"/>
        <v>1350.777640723368</v>
      </c>
      <c r="AI17">
        <f t="shared" si="15"/>
        <v>1.2991415104097404</v>
      </c>
      <c r="AJ17">
        <f t="shared" si="16"/>
        <v>87.147452379436572</v>
      </c>
      <c r="AL17">
        <v>1.42516396842158</v>
      </c>
      <c r="AM17">
        <v>1.4263299452674101</v>
      </c>
      <c r="AN17">
        <v>1.4430350893219599</v>
      </c>
      <c r="AO17">
        <v>1.4458649616450301</v>
      </c>
      <c r="AP17">
        <f t="shared" si="17"/>
        <v>82.262523581592447</v>
      </c>
      <c r="AQ17">
        <f t="shared" si="18"/>
        <v>82.250586201236587</v>
      </c>
      <c r="AR17">
        <f t="shared" si="19"/>
        <v>83.734395030239625</v>
      </c>
      <c r="AS17">
        <f t="shared" si="20"/>
        <v>84.179573259013608</v>
      </c>
      <c r="AT17">
        <v>1.42573896842158</v>
      </c>
      <c r="AU17">
        <v>1.4268799452674099</v>
      </c>
      <c r="AV17">
        <v>1.4438451639488299</v>
      </c>
      <c r="AW17">
        <v>1.44658996164503</v>
      </c>
      <c r="AX17">
        <f t="shared" si="21"/>
        <v>82.645124858796123</v>
      </c>
      <c r="AY17">
        <f t="shared" si="22"/>
        <v>82.631776903188282</v>
      </c>
      <c r="AZ17">
        <f t="shared" si="22"/>
        <v>84.227270420585711</v>
      </c>
      <c r="BA17">
        <f t="shared" si="23"/>
        <v>84.635282778327323</v>
      </c>
      <c r="BB17">
        <v>1.42631396842158</v>
      </c>
      <c r="BC17">
        <v>1.42742994526741</v>
      </c>
      <c r="BD17">
        <v>1.44457016394883</v>
      </c>
      <c r="BE17">
        <v>1.44731496164503</v>
      </c>
      <c r="BF17">
        <f t="shared" si="24"/>
        <v>83.029066348920139</v>
      </c>
      <c r="BG17">
        <f t="shared" si="25"/>
        <v>83.014295861165394</v>
      </c>
      <c r="BH17">
        <f t="shared" si="26"/>
        <v>84.686344646616604</v>
      </c>
      <c r="BI17">
        <f t="shared" si="27"/>
        <v>85.092885906239559</v>
      </c>
      <c r="BK17">
        <f t="shared" si="2"/>
        <v>2011</v>
      </c>
      <c r="BL17">
        <v>-13.39</v>
      </c>
      <c r="BM17">
        <f t="shared" si="0"/>
        <v>0.86609999999999998</v>
      </c>
      <c r="BQ17">
        <v>1.4306295</v>
      </c>
      <c r="BR17">
        <v>1.4317705000000001</v>
      </c>
      <c r="BS17">
        <v>1.4475210000000001</v>
      </c>
      <c r="BT17">
        <v>1.4502660000000001</v>
      </c>
      <c r="BU17">
        <f t="shared" si="28"/>
        <v>88.2133283243748</v>
      </c>
      <c r="BV17">
        <f t="shared" si="29"/>
        <v>88.209051687019141</v>
      </c>
      <c r="BW17">
        <f t="shared" si="30"/>
        <v>89.083388754163437</v>
      </c>
      <c r="BX17">
        <f t="shared" si="31"/>
        <v>89.505470825080508</v>
      </c>
      <c r="BZ17" t="s">
        <v>666</v>
      </c>
      <c r="CA17" s="16">
        <v>0</v>
      </c>
      <c r="CC17">
        <v>0</v>
      </c>
      <c r="CD17">
        <v>2.8002649006622499E-2</v>
      </c>
      <c r="CE17">
        <v>4.3814545454545398E-2</v>
      </c>
      <c r="CF17">
        <v>3.2977659574468E-2</v>
      </c>
      <c r="CG17">
        <v>3.2600499999999998E-2</v>
      </c>
      <c r="CH17">
        <v>2.41695E-2</v>
      </c>
      <c r="CI17">
        <v>2.2915000000000001E-2</v>
      </c>
      <c r="CJ17">
        <v>1.9571999999999999E-2</v>
      </c>
      <c r="CK17">
        <v>1.9782000000000001E-2</v>
      </c>
      <c r="CL17">
        <v>1.9178000000000001E-2</v>
      </c>
      <c r="CM17">
        <v>2.02639999999999E-2</v>
      </c>
      <c r="CN17">
        <v>2.01765E-2</v>
      </c>
      <c r="CO17">
        <v>1.8035999999999899E-2</v>
      </c>
      <c r="CP17">
        <v>1.4048E-2</v>
      </c>
      <c r="CQ17">
        <v>1.4863499999999899E-2</v>
      </c>
      <c r="CR17">
        <v>1.8225499999999902E-2</v>
      </c>
      <c r="CS17">
        <v>1.79119999999999E-2</v>
      </c>
    </row>
    <row r="18" spans="1:97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3"/>
        <v>1.1035762986321218</v>
      </c>
      <c r="J18">
        <f t="shared" si="4"/>
        <v>1.1445815058973678</v>
      </c>
      <c r="K18">
        <f t="shared" si="5"/>
        <v>1.1529586450407439</v>
      </c>
      <c r="L18">
        <v>1.08491767061598</v>
      </c>
      <c r="M18">
        <v>1.0799785017049</v>
      </c>
      <c r="N18">
        <v>1.0837183365024099</v>
      </c>
      <c r="O18">
        <v>1.07823965813975</v>
      </c>
      <c r="P18">
        <f t="shared" si="6"/>
        <v>97.838108415698969</v>
      </c>
      <c r="Q18">
        <f t="shared" si="7"/>
        <v>103.67278961547879</v>
      </c>
      <c r="R18">
        <f t="shared" si="8"/>
        <v>94.880819443064013</v>
      </c>
      <c r="S18">
        <f t="shared" si="9"/>
        <v>91.737202971987557</v>
      </c>
      <c r="T18">
        <f t="shared" si="10"/>
        <v>90.678120944447329</v>
      </c>
      <c r="U18">
        <f t="shared" si="11"/>
        <v>93.905923061205044</v>
      </c>
      <c r="V18">
        <f t="shared" si="12"/>
        <v>92.36540499810107</v>
      </c>
      <c r="AD18" s="16">
        <f t="shared" si="13"/>
        <v>-6.9240308538333961E-2</v>
      </c>
      <c r="AE18" s="16">
        <f t="shared" si="32"/>
        <v>5.3583026463157601E-2</v>
      </c>
      <c r="AF18" s="19">
        <v>20060424</v>
      </c>
      <c r="AG18" s="17">
        <v>1015.32</v>
      </c>
      <c r="AH18">
        <f t="shared" si="14"/>
        <v>1439.593244793132</v>
      </c>
      <c r="AI18">
        <f t="shared" si="15"/>
        <v>1.0657514615227133</v>
      </c>
      <c r="AJ18">
        <f t="shared" si="16"/>
        <v>92.877524741365576</v>
      </c>
      <c r="AL18">
        <v>1.0830554795412299</v>
      </c>
      <c r="AM18">
        <v>1.08631030586991</v>
      </c>
      <c r="AN18">
        <v>1.07726618776223</v>
      </c>
      <c r="AO18">
        <v>1.07932002003489</v>
      </c>
      <c r="AP18">
        <f t="shared" si="17"/>
        <v>89.094876925933349</v>
      </c>
      <c r="AQ18">
        <f t="shared" si="18"/>
        <v>89.349659454244716</v>
      </c>
      <c r="AR18">
        <f t="shared" si="19"/>
        <v>90.204232518802868</v>
      </c>
      <c r="AS18">
        <f t="shared" si="20"/>
        <v>90.856698696447054</v>
      </c>
      <c r="AT18">
        <v>1.08418047954123</v>
      </c>
      <c r="AU18">
        <v>1.0873853058699099</v>
      </c>
      <c r="AV18">
        <v>1.0785173071652201</v>
      </c>
      <c r="AW18">
        <v>1.0805200200348899</v>
      </c>
      <c r="AX18">
        <f t="shared" si="21"/>
        <v>89.602231101154402</v>
      </c>
      <c r="AY18">
        <f t="shared" si="22"/>
        <v>89.852580002447539</v>
      </c>
      <c r="AZ18">
        <f t="shared" si="22"/>
        <v>90.840568883886903</v>
      </c>
      <c r="BA18">
        <f t="shared" si="23"/>
        <v>91.450117443296804</v>
      </c>
      <c r="BB18">
        <v>1.08530547954123</v>
      </c>
      <c r="BC18">
        <v>1.08846030586991</v>
      </c>
      <c r="BD18">
        <v>1.07969230716522</v>
      </c>
      <c r="BE18">
        <v>1.08172002003489</v>
      </c>
      <c r="BF18">
        <f t="shared" si="24"/>
        <v>90.111900669675379</v>
      </c>
      <c r="BG18">
        <f t="shared" si="25"/>
        <v>90.357765864619296</v>
      </c>
      <c r="BH18">
        <f t="shared" si="26"/>
        <v>91.435194836894468</v>
      </c>
      <c r="BI18">
        <f t="shared" si="27"/>
        <v>92.046678247324067</v>
      </c>
      <c r="BK18">
        <f t="shared" si="2"/>
        <v>2010</v>
      </c>
      <c r="BL18">
        <v>25.44</v>
      </c>
      <c r="BM18">
        <f t="shared" si="0"/>
        <v>1.2544</v>
      </c>
      <c r="BQ18">
        <v>1.08361199999999</v>
      </c>
      <c r="BR18">
        <v>1.08780849999999</v>
      </c>
      <c r="BS18">
        <v>1.0767679999999999</v>
      </c>
      <c r="BT18">
        <v>1.0783939999999901</v>
      </c>
      <c r="BU18">
        <f t="shared" si="28"/>
        <v>95.589021132231551</v>
      </c>
      <c r="BV18">
        <f t="shared" si="29"/>
        <v>95.954556202077882</v>
      </c>
      <c r="BW18">
        <f t="shared" si="30"/>
        <v>95.922142342043045</v>
      </c>
      <c r="BX18">
        <f t="shared" si="31"/>
        <v>96.522162704940982</v>
      </c>
      <c r="BZ18" t="s">
        <v>667</v>
      </c>
      <c r="CA18" s="16">
        <v>0.20499999999999999</v>
      </c>
    </row>
    <row r="19" spans="1:97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3"/>
        <v>0.99963317099540994</v>
      </c>
      <c r="J19">
        <f t="shared" si="4"/>
        <v>0.983770222255821</v>
      </c>
      <c r="K19">
        <f t="shared" si="5"/>
        <v>0.98166827903652176</v>
      </c>
      <c r="L19">
        <v>0.946722782422314</v>
      </c>
      <c r="M19">
        <v>0.95240177770590495</v>
      </c>
      <c r="N19">
        <v>0.93906337977769505</v>
      </c>
      <c r="O19">
        <v>0.93893626123493601</v>
      </c>
      <c r="P19">
        <f t="shared" si="6"/>
        <v>97.80221855977787</v>
      </c>
      <c r="Q19">
        <f t="shared" si="7"/>
        <v>101.99020328190055</v>
      </c>
      <c r="R19">
        <f t="shared" si="8"/>
        <v>93.141490736247604</v>
      </c>
      <c r="S19">
        <f t="shared" si="9"/>
        <v>86.849700049280628</v>
      </c>
      <c r="T19">
        <f t="shared" si="10"/>
        <v>86.36200358652269</v>
      </c>
      <c r="U19">
        <f t="shared" si="11"/>
        <v>88.183613490999406</v>
      </c>
      <c r="V19">
        <f t="shared" si="12"/>
        <v>86.725228036367696</v>
      </c>
      <c r="AD19" s="16">
        <f t="shared" si="13"/>
        <v>-4.2604899258826712E-2</v>
      </c>
      <c r="AE19" s="16">
        <f t="shared" si="32"/>
        <v>1.097812720433089E-2</v>
      </c>
      <c r="AF19" s="19">
        <v>20060425</v>
      </c>
      <c r="AG19" s="17">
        <v>1018.48</v>
      </c>
      <c r="AH19">
        <f t="shared" si="14"/>
        <v>1367.923154326872</v>
      </c>
      <c r="AI19">
        <f t="shared" si="15"/>
        <v>0.95021504114062516</v>
      </c>
      <c r="AJ19">
        <f t="shared" si="16"/>
        <v>88.253620993156119</v>
      </c>
      <c r="AL19">
        <v>0.93410604275194797</v>
      </c>
      <c r="AM19">
        <v>0.93380604275194801</v>
      </c>
      <c r="AN19">
        <v>0.92626078160027803</v>
      </c>
      <c r="AO19">
        <v>0.92614535871470505</v>
      </c>
      <c r="AP19">
        <f t="shared" si="17"/>
        <v>83.224062914755436</v>
      </c>
      <c r="AQ19">
        <f t="shared" si="18"/>
        <v>83.435251916202432</v>
      </c>
      <c r="AR19">
        <f t="shared" si="19"/>
        <v>83.552642916519559</v>
      </c>
      <c r="AS19">
        <f t="shared" si="20"/>
        <v>84.146509805854834</v>
      </c>
      <c r="AT19">
        <v>0.93473104275194796</v>
      </c>
      <c r="AU19">
        <v>0.93450604275194804</v>
      </c>
      <c r="AV19">
        <v>0.92709535871470505</v>
      </c>
      <c r="AW19">
        <v>0.92694535871470596</v>
      </c>
      <c r="AX19">
        <f t="shared" si="21"/>
        <v>83.753986910083071</v>
      </c>
      <c r="AY19">
        <f t="shared" si="22"/>
        <v>83.96777896914007</v>
      </c>
      <c r="AZ19">
        <f t="shared" si="22"/>
        <v>84.217869795254998</v>
      </c>
      <c r="BA19">
        <f t="shared" si="23"/>
        <v>84.769261917978739</v>
      </c>
      <c r="BB19">
        <v>0.93535604275194795</v>
      </c>
      <c r="BC19">
        <v>0.93520604275194796</v>
      </c>
      <c r="BD19">
        <v>0.92784535871470597</v>
      </c>
      <c r="BE19">
        <v>0.92774535871470498</v>
      </c>
      <c r="BF19">
        <f t="shared" si="24"/>
        <v>84.286710815244177</v>
      </c>
      <c r="BG19">
        <f t="shared" si="25"/>
        <v>84.503128646157663</v>
      </c>
      <c r="BH19">
        <f t="shared" si="26"/>
        <v>84.837721152587378</v>
      </c>
      <c r="BI19">
        <f t="shared" si="27"/>
        <v>85.395878529060695</v>
      </c>
      <c r="BK19">
        <f t="shared" si="2"/>
        <v>2009</v>
      </c>
      <c r="BL19">
        <v>74.989999999999995</v>
      </c>
      <c r="BM19">
        <f t="shared" si="0"/>
        <v>1.7498999999999998</v>
      </c>
      <c r="BQ19">
        <v>0.92638699999999896</v>
      </c>
      <c r="BR19">
        <v>0.92616199999999904</v>
      </c>
      <c r="BS19">
        <v>0.91769349999999905</v>
      </c>
      <c r="BT19">
        <v>0.91749349999999896</v>
      </c>
      <c r="BU19">
        <f t="shared" si="28"/>
        <v>88.55242651962449</v>
      </c>
      <c r="BV19">
        <f t="shared" si="29"/>
        <v>88.869463681228765</v>
      </c>
      <c r="BW19">
        <f t="shared" si="30"/>
        <v>88.027126533367593</v>
      </c>
      <c r="BX19">
        <f t="shared" si="31"/>
        <v>88.558456887725669</v>
      </c>
      <c r="BZ19" t="s">
        <v>668</v>
      </c>
      <c r="CA19" s="16">
        <v>0.16</v>
      </c>
    </row>
    <row r="20" spans="1:97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3"/>
        <v>1.0532918085029332</v>
      </c>
      <c r="J20">
        <f t="shared" si="4"/>
        <v>1.0533732283767105</v>
      </c>
      <c r="K20">
        <f t="shared" si="5"/>
        <v>1.017795269659536</v>
      </c>
      <c r="L20">
        <v>1.0196380685728199</v>
      </c>
      <c r="M20">
        <v>1.01801231124374</v>
      </c>
      <c r="N20">
        <v>1.01780080669411</v>
      </c>
      <c r="O20">
        <v>1.01819987425647</v>
      </c>
      <c r="P20">
        <f t="shared" si="6"/>
        <v>103.01427566242758</v>
      </c>
      <c r="Q20">
        <f t="shared" si="7"/>
        <v>107.43374969385256</v>
      </c>
      <c r="R20">
        <f t="shared" si="8"/>
        <v>94.798968680390303</v>
      </c>
      <c r="S20">
        <f t="shared" si="9"/>
        <v>88.555260414377244</v>
      </c>
      <c r="T20">
        <f t="shared" si="10"/>
        <v>87.917582874756135</v>
      </c>
      <c r="U20">
        <f t="shared" si="11"/>
        <v>89.75335294834079</v>
      </c>
      <c r="V20">
        <f t="shared" si="12"/>
        <v>88.303616281493277</v>
      </c>
      <c r="AD20" s="16">
        <f t="shared" si="13"/>
        <v>5.5370345739547133E-6</v>
      </c>
      <c r="AE20" s="16">
        <f t="shared" si="32"/>
        <v>1.0983664238904844E-2</v>
      </c>
      <c r="AF20" s="19">
        <v>20060426</v>
      </c>
      <c r="AG20" s="17">
        <v>1024.3699999999999</v>
      </c>
      <c r="AH20">
        <f t="shared" si="14"/>
        <v>1485.1148906777039</v>
      </c>
      <c r="AI20">
        <f t="shared" si="15"/>
        <v>1.0856712864170353</v>
      </c>
      <c r="AJ20">
        <f t="shared" si="16"/>
        <v>95.814422234601267</v>
      </c>
      <c r="AL20">
        <v>1.0090230471558901</v>
      </c>
      <c r="AM20">
        <v>1.0090230471558901</v>
      </c>
      <c r="AN20">
        <v>1.0013884846840799</v>
      </c>
      <c r="AO20">
        <v>1.00147405682339</v>
      </c>
      <c r="AP20">
        <f t="shared" si="17"/>
        <v>83.974997558940032</v>
      </c>
      <c r="AQ20">
        <f t="shared" si="18"/>
        <v>84.18809212870589</v>
      </c>
      <c r="AR20">
        <f t="shared" si="19"/>
        <v>83.668654481523546</v>
      </c>
      <c r="AS20">
        <f t="shared" si="20"/>
        <v>84.270546542798598</v>
      </c>
      <c r="AT20">
        <v>1.0095980471558901</v>
      </c>
      <c r="AU20">
        <v>1.0095980471558901</v>
      </c>
      <c r="AV20">
        <v>1.0021740568233899</v>
      </c>
      <c r="AW20">
        <v>1.0021740568233899</v>
      </c>
      <c r="AX20">
        <f t="shared" si="21"/>
        <v>84.55786162593985</v>
      </c>
      <c r="AY20">
        <f t="shared" si="22"/>
        <v>84.773705671261226</v>
      </c>
      <c r="AZ20">
        <f t="shared" si="22"/>
        <v>84.40096422973474</v>
      </c>
      <c r="BA20">
        <f t="shared" si="23"/>
        <v>84.953555110265242</v>
      </c>
      <c r="BB20">
        <v>1.0101730471558901</v>
      </c>
      <c r="BC20">
        <v>1.0101730471558901</v>
      </c>
      <c r="BD20">
        <v>1.00287405682339</v>
      </c>
      <c r="BE20">
        <v>1.00287405682339</v>
      </c>
      <c r="BF20">
        <f t="shared" si="24"/>
        <v>85.144163498982522</v>
      </c>
      <c r="BG20">
        <f t="shared" si="25"/>
        <v>85.362782958695263</v>
      </c>
      <c r="BH20">
        <f t="shared" si="26"/>
        <v>85.081549583946838</v>
      </c>
      <c r="BI20">
        <f t="shared" si="27"/>
        <v>85.641311136436528</v>
      </c>
      <c r="BK20">
        <f t="shared" si="2"/>
        <v>2008</v>
      </c>
      <c r="BL20">
        <v>-49.65</v>
      </c>
      <c r="BM20">
        <f t="shared" si="0"/>
        <v>0.50350000000000006</v>
      </c>
      <c r="BQ20">
        <v>1.0006029999999999</v>
      </c>
      <c r="BR20">
        <v>1.0006029999999999</v>
      </c>
      <c r="BS20">
        <v>0.99189399999999905</v>
      </c>
      <c r="BT20">
        <v>0.99189399999999905</v>
      </c>
      <c r="BU20">
        <f t="shared" si="28"/>
        <v>88.605823632815813</v>
      </c>
      <c r="BV20">
        <f t="shared" si="29"/>
        <v>88.923051967828542</v>
      </c>
      <c r="BW20">
        <f t="shared" si="30"/>
        <v>87.313578645688025</v>
      </c>
      <c r="BX20">
        <f t="shared" si="31"/>
        <v>87.840602036193687</v>
      </c>
      <c r="BZ20" t="s">
        <v>669</v>
      </c>
      <c r="CA20" s="16">
        <v>0.24</v>
      </c>
    </row>
    <row r="21" spans="1:97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3"/>
        <v>1.0036581676155898</v>
      </c>
      <c r="J21">
        <f t="shared" si="4"/>
        <v>1.010787594722012</v>
      </c>
      <c r="K21">
        <f t="shared" si="5"/>
        <v>1.031045902791911</v>
      </c>
      <c r="L21">
        <v>1.0304866486350901</v>
      </c>
      <c r="M21">
        <v>1.01255954974412</v>
      </c>
      <c r="N21">
        <v>1.0345683352931501</v>
      </c>
      <c r="O21">
        <v>1.0082249729758199</v>
      </c>
      <c r="P21">
        <f t="shared" si="6"/>
        <v>103.39111914959931</v>
      </c>
      <c r="Q21">
        <f t="shared" si="7"/>
        <v>108.59270144501592</v>
      </c>
      <c r="R21">
        <f t="shared" si="8"/>
        <v>97.742088246815115</v>
      </c>
      <c r="S21">
        <f t="shared" si="9"/>
        <v>91.255013523419265</v>
      </c>
      <c r="T21">
        <f t="shared" si="10"/>
        <v>89.021788130254421</v>
      </c>
      <c r="U21">
        <f t="shared" si="11"/>
        <v>92.855976946743468</v>
      </c>
      <c r="V21">
        <f t="shared" si="12"/>
        <v>89.029911139075736</v>
      </c>
      <c r="AD21" s="16">
        <f t="shared" si="13"/>
        <v>3.52243250123907E-3</v>
      </c>
      <c r="AE21" s="16">
        <f t="shared" si="32"/>
        <v>1.4506096740143914E-2</v>
      </c>
      <c r="AF21" s="19">
        <v>20060427</v>
      </c>
      <c r="AG21" s="18">
        <v>1024.49</v>
      </c>
      <c r="AH21">
        <f t="shared" si="14"/>
        <v>1548.487889326145</v>
      </c>
      <c r="AI21">
        <f t="shared" si="15"/>
        <v>1.0426721185318679</v>
      </c>
      <c r="AJ21">
        <f t="shared" si="16"/>
        <v>99.903026617258618</v>
      </c>
      <c r="AL21">
        <v>1.0145132791578999</v>
      </c>
      <c r="AM21">
        <v>1.0145132791578999</v>
      </c>
      <c r="AN21">
        <v>1.00503927792131</v>
      </c>
      <c r="AO21">
        <v>1.0051253475730499</v>
      </c>
      <c r="AP21">
        <f t="shared" si="17"/>
        <v>85.193750140796894</v>
      </c>
      <c r="AQ21">
        <f t="shared" si="18"/>
        <v>85.409937411540795</v>
      </c>
      <c r="AR21">
        <f t="shared" si="19"/>
        <v>84.090284084757997</v>
      </c>
      <c r="AS21">
        <f t="shared" si="20"/>
        <v>84.702462384001322</v>
      </c>
      <c r="AT21">
        <v>1.0150882791578999</v>
      </c>
      <c r="AU21">
        <v>1.0150882791578999</v>
      </c>
      <c r="AV21">
        <v>1.0058003475730499</v>
      </c>
      <c r="AW21">
        <v>1.0058003475730499</v>
      </c>
      <c r="AX21">
        <f t="shared" si="21"/>
        <v>85.833694247147108</v>
      </c>
      <c r="AY21">
        <f t="shared" si="22"/>
        <v>86.052795007678853</v>
      </c>
      <c r="AZ21">
        <f t="shared" si="22"/>
        <v>84.890519157767756</v>
      </c>
      <c r="BA21">
        <f t="shared" si="23"/>
        <v>85.446315257471028</v>
      </c>
      <c r="BB21">
        <v>1.0156632791578999</v>
      </c>
      <c r="BC21">
        <v>1.0156632791578999</v>
      </c>
      <c r="BD21">
        <v>1.0064753475730499</v>
      </c>
      <c r="BE21">
        <v>1.0064753475730499</v>
      </c>
      <c r="BF21">
        <f t="shared" si="24"/>
        <v>86.477800300532962</v>
      </c>
      <c r="BG21">
        <f t="shared" si="25"/>
        <v>86.699844057872525</v>
      </c>
      <c r="BH21">
        <f t="shared" si="26"/>
        <v>85.632482189556569</v>
      </c>
      <c r="BI21">
        <f t="shared" si="27"/>
        <v>86.195868392656664</v>
      </c>
      <c r="BM21">
        <f>PRODUCT(BM12:BM20)</f>
        <v>0.9279655687889603</v>
      </c>
      <c r="BQ21">
        <v>1.0199235</v>
      </c>
      <c r="BR21">
        <v>1.0199235</v>
      </c>
      <c r="BS21">
        <v>1.0098780000000001</v>
      </c>
      <c r="BT21">
        <v>1.0098780000000001</v>
      </c>
      <c r="BU21">
        <f t="shared" si="28"/>
        <v>90.371161759964224</v>
      </c>
      <c r="BV21">
        <f t="shared" si="29"/>
        <v>90.69471039370957</v>
      </c>
      <c r="BW21">
        <f t="shared" si="30"/>
        <v>88.176062175550143</v>
      </c>
      <c r="BX21">
        <f t="shared" si="31"/>
        <v>88.708291503107219</v>
      </c>
      <c r="BZ21" t="s">
        <v>670</v>
      </c>
      <c r="CA21" s="16">
        <v>0.21</v>
      </c>
    </row>
    <row r="22" spans="1:97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3"/>
        <v>1.0518863615602447</v>
      </c>
      <c r="J22">
        <f t="shared" si="4"/>
        <v>1.0367266297385562</v>
      </c>
      <c r="K22">
        <f t="shared" si="5"/>
        <v>1.0562683558538353</v>
      </c>
      <c r="L22">
        <v>1.0733896198817301</v>
      </c>
      <c r="M22">
        <v>1.06848415044393</v>
      </c>
      <c r="N22">
        <v>1.0675612007753199</v>
      </c>
      <c r="O22">
        <v>1.0615117509671299</v>
      </c>
      <c r="P22">
        <f t="shared" si="6"/>
        <v>108.75570813991376</v>
      </c>
      <c r="Q22">
        <f t="shared" si="7"/>
        <v>112.58094538329659</v>
      </c>
      <c r="R22">
        <f t="shared" si="8"/>
        <v>103.24187485018388</v>
      </c>
      <c r="S22">
        <f t="shared" si="9"/>
        <v>97.952184278205138</v>
      </c>
      <c r="T22">
        <f t="shared" si="10"/>
        <v>95.118369661354421</v>
      </c>
      <c r="U22">
        <f t="shared" si="11"/>
        <v>99.129438248430887</v>
      </c>
      <c r="V22">
        <f t="shared" si="12"/>
        <v>94.50629686168827</v>
      </c>
      <c r="AD22" s="16">
        <f t="shared" si="13"/>
        <v>1.1292844921484635E-2</v>
      </c>
      <c r="AE22" s="16">
        <f t="shared" si="32"/>
        <v>2.5798941661628549E-2</v>
      </c>
      <c r="AF22" s="19">
        <v>20060428</v>
      </c>
      <c r="AG22" s="17">
        <v>1014.51</v>
      </c>
      <c r="AH22">
        <f t="shared" si="14"/>
        <v>1511.6862187517249</v>
      </c>
      <c r="AI22">
        <f t="shared" si="15"/>
        <v>0.97623380148589023</v>
      </c>
      <c r="AJ22">
        <f t="shared" si="16"/>
        <v>97.528711454512461</v>
      </c>
      <c r="AL22">
        <v>1.06611771895442</v>
      </c>
      <c r="AM22">
        <v>1.06695959327728</v>
      </c>
      <c r="AN22">
        <v>1.05304599779224</v>
      </c>
      <c r="AO22">
        <v>1.05307756533296</v>
      </c>
      <c r="AP22">
        <f t="shared" si="17"/>
        <v>90.82656656927918</v>
      </c>
      <c r="AQ22">
        <f t="shared" si="18"/>
        <v>91.128952082455498</v>
      </c>
      <c r="AR22">
        <f t="shared" si="19"/>
        <v>88.550937108666901</v>
      </c>
      <c r="AS22">
        <f t="shared" si="20"/>
        <v>89.198262865050737</v>
      </c>
      <c r="AT22">
        <v>1.0667177189544199</v>
      </c>
      <c r="AU22">
        <v>1.06753459327728</v>
      </c>
      <c r="AV22">
        <v>1.0538315699315499</v>
      </c>
      <c r="AW22">
        <v>1.05375256533296</v>
      </c>
      <c r="AX22">
        <f t="shared" si="21"/>
        <v>91.560322536747876</v>
      </c>
      <c r="AY22">
        <f t="shared" si="22"/>
        <v>91.864335518895587</v>
      </c>
      <c r="AZ22">
        <f t="shared" si="22"/>
        <v>89.46030907633471</v>
      </c>
      <c r="BA22">
        <f t="shared" si="23"/>
        <v>90.039273900808936</v>
      </c>
      <c r="BB22">
        <v>1.0673177189544201</v>
      </c>
      <c r="BC22">
        <v>1.0681095932772799</v>
      </c>
      <c r="BD22">
        <v>1.0545315699315501</v>
      </c>
      <c r="BE22">
        <v>1.05442756533296</v>
      </c>
      <c r="BF22">
        <f t="shared" si="24"/>
        <v>92.299288556960704</v>
      </c>
      <c r="BG22">
        <f t="shared" si="25"/>
        <v>92.604935173857825</v>
      </c>
      <c r="BH22">
        <f t="shared" si="26"/>
        <v>90.302155880488584</v>
      </c>
      <c r="BI22">
        <f t="shared" si="27"/>
        <v>90.88729965102921</v>
      </c>
      <c r="BQ22">
        <v>1.0669914999999901</v>
      </c>
      <c r="BR22">
        <v>1.0678084999999999</v>
      </c>
      <c r="BS22">
        <v>1.0535235000000001</v>
      </c>
      <c r="BT22">
        <v>1.0534695000000001</v>
      </c>
      <c r="BU22">
        <f t="shared" si="28"/>
        <v>96.425261443005979</v>
      </c>
      <c r="BV22">
        <f t="shared" si="29"/>
        <v>96.844582663441415</v>
      </c>
      <c r="BW22">
        <f t="shared" si="30"/>
        <v>92.895553639403204</v>
      </c>
      <c r="BX22">
        <f t="shared" si="31"/>
        <v>93.451479495632611</v>
      </c>
      <c r="BZ22" t="s">
        <v>671</v>
      </c>
      <c r="CA22" s="16">
        <v>5.0000000000000001E-3</v>
      </c>
    </row>
    <row r="23" spans="1:97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3"/>
        <v>1.0720060790273556</v>
      </c>
      <c r="J23">
        <f t="shared" si="4"/>
        <v>1.0784914329472575</v>
      </c>
      <c r="K23">
        <f t="shared" si="5"/>
        <v>1.0930244410718735</v>
      </c>
      <c r="L23">
        <v>1.1089634021430199</v>
      </c>
      <c r="M23">
        <v>1.10790034594176</v>
      </c>
      <c r="N23">
        <v>1.12976094872083</v>
      </c>
      <c r="O23">
        <v>1.1241820959979301</v>
      </c>
      <c r="P23">
        <f t="shared" si="6"/>
        <v>116.58678025491241</v>
      </c>
      <c r="Q23">
        <f t="shared" si="7"/>
        <v>121.41758510898848</v>
      </c>
      <c r="R23">
        <f t="shared" si="8"/>
        <v>112.84589255333454</v>
      </c>
      <c r="S23">
        <f t="shared" si="9"/>
        <v>108.62538752449839</v>
      </c>
      <c r="T23">
        <f t="shared" si="10"/>
        <v>105.38167465323077</v>
      </c>
      <c r="U23">
        <f t="shared" si="11"/>
        <v>111.99256820171021</v>
      </c>
      <c r="V23">
        <f t="shared" si="12"/>
        <v>106.24228689097532</v>
      </c>
      <c r="AD23" s="16">
        <f t="shared" si="13"/>
        <v>3.6736507648956529E-2</v>
      </c>
      <c r="AE23" s="16">
        <f t="shared" si="32"/>
        <v>6.2535449310585078E-2</v>
      </c>
      <c r="AF23" s="19">
        <v>20060429</v>
      </c>
      <c r="AG23" s="17">
        <v>1014.45</v>
      </c>
      <c r="AH23">
        <f t="shared" si="14"/>
        <v>1652.6814515742819</v>
      </c>
      <c r="AI23">
        <f t="shared" si="15"/>
        <v>1.0932701714638795</v>
      </c>
      <c r="AJ23">
        <f t="shared" si="16"/>
        <v>106.62523109452607</v>
      </c>
      <c r="AL23">
        <v>1.10316969147503</v>
      </c>
      <c r="AM23">
        <v>1.10306969147503</v>
      </c>
      <c r="AN23">
        <v>1.1220473262635799</v>
      </c>
      <c r="AO23">
        <v>1.1208650475123401</v>
      </c>
      <c r="AP23">
        <f t="shared" si="17"/>
        <v>100.19711541996799</v>
      </c>
      <c r="AQ23">
        <f t="shared" si="18"/>
        <v>100.52158505803698</v>
      </c>
      <c r="AR23">
        <f t="shared" si="19"/>
        <v>99.358342220914125</v>
      </c>
      <c r="AS23">
        <f t="shared" si="20"/>
        <v>99.979215144253288</v>
      </c>
      <c r="AT23">
        <v>1.10364469147503</v>
      </c>
      <c r="AU23">
        <v>1.1035696914750299</v>
      </c>
      <c r="AV23">
        <v>1.12268588347751</v>
      </c>
      <c r="AW23">
        <v>1.1213900475123399</v>
      </c>
      <c r="AX23">
        <f t="shared" si="21"/>
        <v>101.05006391742334</v>
      </c>
      <c r="AY23">
        <f t="shared" si="22"/>
        <v>101.37869640614623</v>
      </c>
      <c r="AZ23">
        <f t="shared" si="22"/>
        <v>100.43582613153593</v>
      </c>
      <c r="BA23">
        <f t="shared" si="23"/>
        <v>100.96914563760473</v>
      </c>
      <c r="BB23">
        <v>1.10411969147503</v>
      </c>
      <c r="BC23">
        <v>1.1040696914750301</v>
      </c>
      <c r="BD23">
        <v>1.12323588347751</v>
      </c>
      <c r="BE23">
        <v>1.1219150475123401</v>
      </c>
      <c r="BF23">
        <f t="shared" si="24"/>
        <v>101.90946200487622</v>
      </c>
      <c r="BG23">
        <f t="shared" si="25"/>
        <v>102.24230220646638</v>
      </c>
      <c r="BH23">
        <f t="shared" si="26"/>
        <v>101.43062184034441</v>
      </c>
      <c r="BI23">
        <f t="shared" si="27"/>
        <v>101.96782910625272</v>
      </c>
      <c r="BQ23">
        <v>1.0964985</v>
      </c>
      <c r="BR23">
        <v>1.0964235</v>
      </c>
      <c r="BS23">
        <v>1.116295</v>
      </c>
      <c r="BT23">
        <v>1.1149020000000001</v>
      </c>
      <c r="BU23">
        <f t="shared" si="28"/>
        <v>105.73015453436389</v>
      </c>
      <c r="BV23">
        <f t="shared" si="29"/>
        <v>106.18267627988976</v>
      </c>
      <c r="BW23">
        <f t="shared" si="30"/>
        <v>103.69884204989761</v>
      </c>
      <c r="BX23">
        <f t="shared" si="31"/>
        <v>104.1892413926398</v>
      </c>
      <c r="BZ23" t="s">
        <v>672</v>
      </c>
      <c r="CA23" s="16">
        <v>5.5E-2</v>
      </c>
    </row>
    <row r="24" spans="1:97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3"/>
        <v>1.0019766448074594</v>
      </c>
      <c r="J24">
        <f t="shared" si="4"/>
        <v>1.0140353566731486</v>
      </c>
      <c r="K24">
        <f t="shared" si="5"/>
        <v>1.0238841540812891</v>
      </c>
      <c r="L24">
        <v>0.973067349783591</v>
      </c>
      <c r="M24">
        <v>0.97301508336232101</v>
      </c>
      <c r="N24">
        <v>0.96979177527881699</v>
      </c>
      <c r="O24">
        <v>0.97012714938232603</v>
      </c>
      <c r="P24">
        <f t="shared" si="6"/>
        <v>116.8172309087217</v>
      </c>
      <c r="Q24">
        <f t="shared" si="7"/>
        <v>123.12172422238551</v>
      </c>
      <c r="R24">
        <f t="shared" si="8"/>
        <v>115.54112123851897</v>
      </c>
      <c r="S24">
        <f t="shared" si="9"/>
        <v>105.6998179576792</v>
      </c>
      <c r="T24">
        <f t="shared" si="10"/>
        <v>102.53795894757434</v>
      </c>
      <c r="U24">
        <f t="shared" si="11"/>
        <v>108.60947153437054</v>
      </c>
      <c r="V24">
        <f t="shared" si="12"/>
        <v>103.06852692540116</v>
      </c>
      <c r="AD24" s="16">
        <f t="shared" si="13"/>
        <v>-5.4092378802472085E-2</v>
      </c>
      <c r="AE24" s="16">
        <f t="shared" si="32"/>
        <v>8.4430705081129931E-3</v>
      </c>
      <c r="AF24" s="19">
        <v>20060430</v>
      </c>
      <c r="AG24" s="17">
        <v>1014.38</v>
      </c>
      <c r="AH24">
        <f t="shared" si="14"/>
        <v>1684.843994470539</v>
      </c>
      <c r="AI24">
        <f t="shared" si="15"/>
        <v>1.0194608240236618</v>
      </c>
      <c r="AJ24">
        <f t="shared" si="16"/>
        <v>108.70024595333891</v>
      </c>
      <c r="AL24">
        <v>0.96472354385396697</v>
      </c>
      <c r="AM24">
        <v>0.96472354385396697</v>
      </c>
      <c r="AN24">
        <v>0.96252583919032297</v>
      </c>
      <c r="AO24">
        <v>0.96261141132962602</v>
      </c>
      <c r="AP24">
        <f t="shared" si="17"/>
        <v>96.662516271896479</v>
      </c>
      <c r="AQ24">
        <f t="shared" si="18"/>
        <v>96.975539771007405</v>
      </c>
      <c r="AR24">
        <f t="shared" si="19"/>
        <v>95.634971726744666</v>
      </c>
      <c r="AS24">
        <f t="shared" si="20"/>
        <v>96.24113339363798</v>
      </c>
      <c r="AT24">
        <v>0.96532354385396701</v>
      </c>
      <c r="AU24">
        <v>0.96532354385396701</v>
      </c>
      <c r="AV24">
        <v>0.96331141132962606</v>
      </c>
      <c r="AW24">
        <v>0.96331141132962606</v>
      </c>
      <c r="AX24">
        <f t="shared" si="21"/>
        <v>97.546005807436984</v>
      </c>
      <c r="AY24">
        <f t="shared" si="22"/>
        <v>97.863242486076516</v>
      </c>
      <c r="AZ24">
        <f t="shared" si="22"/>
        <v>96.750977418826821</v>
      </c>
      <c r="BA24">
        <f t="shared" si="23"/>
        <v>97.264730184907563</v>
      </c>
      <c r="BB24">
        <v>0.96592354385396695</v>
      </c>
      <c r="BC24">
        <v>0.96592354385396695</v>
      </c>
      <c r="BD24">
        <v>0.96401141132962598</v>
      </c>
      <c r="BE24">
        <v>0.96401141132962598</v>
      </c>
      <c r="BF24">
        <f t="shared" si="24"/>
        <v>98.436748692001231</v>
      </c>
      <c r="BG24">
        <f t="shared" si="25"/>
        <v>98.758246879058262</v>
      </c>
      <c r="BH24">
        <f t="shared" si="26"/>
        <v>97.780276912352008</v>
      </c>
      <c r="BI24">
        <f t="shared" si="27"/>
        <v>98.298150846936807</v>
      </c>
      <c r="BQ24">
        <v>0.9897205</v>
      </c>
      <c r="BR24">
        <v>0.9897205</v>
      </c>
      <c r="BS24">
        <v>0.98615399999999998</v>
      </c>
      <c r="BT24">
        <v>0.98615399999999998</v>
      </c>
      <c r="BU24">
        <f t="shared" si="28"/>
        <v>104.6433014108279</v>
      </c>
      <c r="BV24">
        <f t="shared" si="29"/>
        <v>105.09117145907064</v>
      </c>
      <c r="BW24">
        <f t="shared" si="30"/>
        <v>102.26302788287472</v>
      </c>
      <c r="BX24">
        <f t="shared" si="31"/>
        <v>102.74663715631731</v>
      </c>
      <c r="BZ24" t="s">
        <v>673</v>
      </c>
      <c r="CA24" s="16">
        <v>5.0000000000000001E-3</v>
      </c>
    </row>
    <row r="25" spans="1:97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3"/>
        <v>1.0450820831867924</v>
      </c>
      <c r="J25">
        <f t="shared" si="4"/>
        <v>1.0630666831110032</v>
      </c>
      <c r="K25">
        <f t="shared" si="5"/>
        <v>1.0959595192915876</v>
      </c>
      <c r="L25">
        <v>1.0615283659136401</v>
      </c>
      <c r="M25">
        <v>1.0622508753259301</v>
      </c>
      <c r="N25">
        <v>1.04585192695195</v>
      </c>
      <c r="O25">
        <v>1.04411610843267</v>
      </c>
      <c r="P25">
        <f t="shared" si="6"/>
        <v>122.08359503019943</v>
      </c>
      <c r="Q25">
        <f t="shared" si="7"/>
        <v>130.88660298799903</v>
      </c>
      <c r="R25">
        <f t="shared" si="8"/>
        <v>126.62839169097829</v>
      </c>
      <c r="S25">
        <f t="shared" si="9"/>
        <v>112.20335503398444</v>
      </c>
      <c r="T25">
        <f t="shared" si="10"/>
        <v>108.92103664619513</v>
      </c>
      <c r="U25">
        <f t="shared" si="11"/>
        <v>113.58942508945438</v>
      </c>
      <c r="V25">
        <f t="shared" si="12"/>
        <v>107.61550923523772</v>
      </c>
      <c r="AD25" s="16">
        <f t="shared" si="13"/>
        <v>-5.0107592339637685E-2</v>
      </c>
      <c r="AE25" s="16">
        <f t="shared" si="32"/>
        <v>-4.1664521831524692E-2</v>
      </c>
      <c r="AF25" s="19">
        <v>20060501</v>
      </c>
      <c r="AG25" s="17">
        <v>1014.32</v>
      </c>
      <c r="AH25">
        <f t="shared" si="14"/>
        <v>1777.465882276942</v>
      </c>
      <c r="AI25">
        <f t="shared" si="15"/>
        <v>1.0549735691318467</v>
      </c>
      <c r="AJ25">
        <f t="shared" si="16"/>
        <v>114.67588643890352</v>
      </c>
      <c r="AL25">
        <v>1.0479746058895101</v>
      </c>
      <c r="AM25">
        <v>1.0475394904035</v>
      </c>
      <c r="AN25">
        <v>1.0254117256515001</v>
      </c>
      <c r="AO25">
        <v>1.02886911216549</v>
      </c>
      <c r="AP25">
        <f t="shared" si="17"/>
        <v>101.29986239432907</v>
      </c>
      <c r="AQ25">
        <f t="shared" si="18"/>
        <v>101.58570751332545</v>
      </c>
      <c r="AR25">
        <f t="shared" si="19"/>
        <v>98.065221390953667</v>
      </c>
      <c r="AS25">
        <f t="shared" si="20"/>
        <v>99.0195294685128</v>
      </c>
      <c r="AT25">
        <v>1.04867460588951</v>
      </c>
      <c r="AU25">
        <v>1.0482394904035</v>
      </c>
      <c r="AV25">
        <v>1.0262708052534899</v>
      </c>
      <c r="AW25">
        <v>1.0296191121654901</v>
      </c>
      <c r="AX25">
        <f t="shared" si="21"/>
        <v>102.29401919620983</v>
      </c>
      <c r="AY25">
        <f t="shared" si="22"/>
        <v>102.584115432839</v>
      </c>
      <c r="AZ25">
        <f t="shared" si="22"/>
        <v>99.292703504681626</v>
      </c>
      <c r="BA25">
        <f t="shared" si="23"/>
        <v>100.14562513800047</v>
      </c>
      <c r="BB25">
        <v>1.0493746058895099</v>
      </c>
      <c r="BC25">
        <v>1.0489394904035001</v>
      </c>
      <c r="BD25">
        <v>1.0270458052534901</v>
      </c>
      <c r="BE25">
        <v>1.0303691121654901</v>
      </c>
      <c r="BF25">
        <f t="shared" si="24"/>
        <v>103.29702436371352</v>
      </c>
      <c r="BG25">
        <f t="shared" si="25"/>
        <v>103.59142515446243</v>
      </c>
      <c r="BH25">
        <f t="shared" si="26"/>
        <v>100.42482323935582</v>
      </c>
      <c r="BI25">
        <f t="shared" si="27"/>
        <v>101.2833784156677</v>
      </c>
      <c r="BQ25">
        <v>1.0524724999999899</v>
      </c>
      <c r="BR25">
        <v>1.0518509999999901</v>
      </c>
      <c r="BS25">
        <v>1.02830599999999</v>
      </c>
      <c r="BT25">
        <v>1.0316799999999999</v>
      </c>
      <c r="BU25">
        <f t="shared" si="28"/>
        <v>110.13419704410651</v>
      </c>
      <c r="BV25">
        <f t="shared" si="29"/>
        <v>110.54025379039386</v>
      </c>
      <c r="BW25">
        <f t="shared" si="30"/>
        <v>105.15768515012635</v>
      </c>
      <c r="BX25">
        <f t="shared" si="31"/>
        <v>106.00165062142943</v>
      </c>
      <c r="BZ25" t="s">
        <v>674</v>
      </c>
      <c r="CA25" s="16">
        <v>5.5E-2</v>
      </c>
      <c r="CE25" s="14" t="s">
        <v>25</v>
      </c>
      <c r="CF25" s="14" t="s">
        <v>26</v>
      </c>
      <c r="CG25" s="14" t="s">
        <v>27</v>
      </c>
      <c r="CH25" s="14" t="s">
        <v>28</v>
      </c>
    </row>
    <row r="26" spans="1:97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3"/>
        <v>0.90503359468983413</v>
      </c>
      <c r="J26">
        <f t="shared" si="4"/>
        <v>0.88140191987425387</v>
      </c>
      <c r="K26">
        <f t="shared" si="5"/>
        <v>0.8719510224434297</v>
      </c>
      <c r="L26">
        <v>0.98253037094314</v>
      </c>
      <c r="M26">
        <v>0.98945970976002695</v>
      </c>
      <c r="N26">
        <v>0.98215415686209795</v>
      </c>
      <c r="O26">
        <v>0.98764400022523902</v>
      </c>
      <c r="P26">
        <f t="shared" si="6"/>
        <v>110.48975486283936</v>
      </c>
      <c r="Q26">
        <f t="shared" si="7"/>
        <v>115.3637031594416</v>
      </c>
      <c r="R26">
        <f t="shared" si="8"/>
        <v>110.41375560531561</v>
      </c>
      <c r="S26">
        <f t="shared" si="9"/>
        <v>110.24320404260557</v>
      </c>
      <c r="T26">
        <f t="shared" si="10"/>
        <v>107.7729773067055</v>
      </c>
      <c r="U26">
        <f t="shared" si="11"/>
        <v>111.5623260271835</v>
      </c>
      <c r="V26">
        <f t="shared" si="12"/>
        <v>106.28581202736633</v>
      </c>
      <c r="AD26" s="16">
        <f t="shared" si="13"/>
        <v>0.11020313441866825</v>
      </c>
      <c r="AE26" s="16">
        <f t="shared" si="32"/>
        <v>6.8538612587143555E-2</v>
      </c>
      <c r="AF26" s="19">
        <v>20060502</v>
      </c>
      <c r="AG26" s="18">
        <v>1024.47</v>
      </c>
      <c r="AH26">
        <f t="shared" si="14"/>
        <v>1689.998316892488</v>
      </c>
      <c r="AI26">
        <f t="shared" si="15"/>
        <v>0.95079086115992972</v>
      </c>
      <c r="AJ26">
        <f t="shared" si="16"/>
        <v>109.03278482152338</v>
      </c>
      <c r="AL26">
        <v>0.97344278000507201</v>
      </c>
      <c r="AM26">
        <v>0.97325517070827305</v>
      </c>
      <c r="AN26">
        <v>0.99004830139909294</v>
      </c>
      <c r="AO26">
        <v>0.98901869886754501</v>
      </c>
      <c r="AP26">
        <f t="shared" si="17"/>
        <v>98.60961966326694</v>
      </c>
      <c r="AQ26">
        <f t="shared" si="18"/>
        <v>98.868815107402256</v>
      </c>
      <c r="AR26">
        <f t="shared" si="19"/>
        <v>97.089305864439666</v>
      </c>
      <c r="AS26">
        <f t="shared" si="20"/>
        <v>97.932166197425062</v>
      </c>
      <c r="AT26">
        <v>0.97416778000507198</v>
      </c>
      <c r="AU26">
        <v>0.97395517070827298</v>
      </c>
      <c r="AV26">
        <v>0.99095638597620705</v>
      </c>
      <c r="AW26">
        <v>0.98986869886754403</v>
      </c>
      <c r="AX26">
        <f t="shared" si="21"/>
        <v>99.651537588167955</v>
      </c>
      <c r="AY26">
        <f t="shared" si="22"/>
        <v>99.912329658347886</v>
      </c>
      <c r="AZ26">
        <f t="shared" si="22"/>
        <v>98.394738618806372</v>
      </c>
      <c r="BA26">
        <f t="shared" si="23"/>
        <v>99.131019652629334</v>
      </c>
      <c r="BB26">
        <v>0.97489278000507296</v>
      </c>
      <c r="BC26">
        <v>0.97465517070827301</v>
      </c>
      <c r="BD26">
        <v>0.99178138597620702</v>
      </c>
      <c r="BE26">
        <v>0.99071869886754405</v>
      </c>
      <c r="BF26">
        <f t="shared" si="24"/>
        <v>100.70352324819243</v>
      </c>
      <c r="BG26">
        <f t="shared" si="25"/>
        <v>100.96591816783587</v>
      </c>
      <c r="BH26">
        <f t="shared" si="26"/>
        <v>99.599470378743916</v>
      </c>
      <c r="BI26">
        <f t="shared" si="27"/>
        <v>100.34333688087939</v>
      </c>
      <c r="BQ26">
        <v>0.97500149999999897</v>
      </c>
      <c r="BR26">
        <v>0.97338349999999896</v>
      </c>
      <c r="BS26">
        <v>0.99248149999999902</v>
      </c>
      <c r="BT26">
        <v>0.99123749999999899</v>
      </c>
      <c r="BU26">
        <f t="shared" si="28"/>
        <v>107.3810073192993</v>
      </c>
      <c r="BV26">
        <f t="shared" si="29"/>
        <v>107.59805912538172</v>
      </c>
      <c r="BW26">
        <f t="shared" si="30"/>
        <v>104.36705709432502</v>
      </c>
      <c r="BX26">
        <f t="shared" si="31"/>
        <v>105.07281115785905</v>
      </c>
      <c r="CD26">
        <v>2008</v>
      </c>
      <c r="CE26" s="42">
        <v>1.9689000000000002E-2</v>
      </c>
      <c r="CF26" s="42">
        <v>1.9782000000000001E-2</v>
      </c>
      <c r="CG26" s="42">
        <v>2.0029000000000002E-2</v>
      </c>
      <c r="CH26" s="42">
        <v>2.0108000000000001E-2</v>
      </c>
    </row>
    <row r="27" spans="1:97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3"/>
        <v>0.94379241960576488</v>
      </c>
      <c r="J27">
        <f t="shared" si="4"/>
        <v>1.0113113814406725</v>
      </c>
      <c r="K27">
        <f t="shared" si="5"/>
        <v>0.9920203330597549</v>
      </c>
      <c r="L27">
        <v>0.89609683760181302</v>
      </c>
      <c r="M27">
        <v>0.89755836033376901</v>
      </c>
      <c r="N27">
        <v>0.90338708613529195</v>
      </c>
      <c r="O27">
        <v>0.90202576329572604</v>
      </c>
      <c r="P27">
        <f t="shared" si="6"/>
        <v>104.27939308364699</v>
      </c>
      <c r="Q27">
        <f t="shared" si="7"/>
        <v>116.66862601028656</v>
      </c>
      <c r="R27">
        <f t="shared" si="8"/>
        <v>109.53269060996358</v>
      </c>
      <c r="S27">
        <f t="shared" si="9"/>
        <v>98.788586509670253</v>
      </c>
      <c r="T27">
        <f t="shared" si="10"/>
        <v>96.732536799695083</v>
      </c>
      <c r="U27">
        <f t="shared" si="11"/>
        <v>100.78396463217274</v>
      </c>
      <c r="V27">
        <f t="shared" si="12"/>
        <v>95.872540721491177</v>
      </c>
      <c r="AD27" s="16">
        <f t="shared" si="13"/>
        <v>-8.863324692446295E-2</v>
      </c>
      <c r="AE27" s="16">
        <f t="shared" si="32"/>
        <v>-2.0094634337319395E-2</v>
      </c>
      <c r="AF27" s="19">
        <v>20060503</v>
      </c>
      <c r="AG27" s="17">
        <v>1033.47</v>
      </c>
      <c r="AH27">
        <f t="shared" si="14"/>
        <v>1702.942511195072</v>
      </c>
      <c r="AI27">
        <f t="shared" si="15"/>
        <v>1.007659294197633</v>
      </c>
      <c r="AJ27">
        <f t="shared" si="16"/>
        <v>109.86789899765864</v>
      </c>
      <c r="AL27">
        <v>0.89677392800799804</v>
      </c>
      <c r="AM27">
        <v>0.895528800398668</v>
      </c>
      <c r="AN27">
        <v>0.90416370370000498</v>
      </c>
      <c r="AO27">
        <v>0.90351625233917399</v>
      </c>
      <c r="AP27">
        <f t="shared" si="17"/>
        <v>88.430535964802615</v>
      </c>
      <c r="AQ27">
        <f t="shared" si="18"/>
        <v>88.539871389969647</v>
      </c>
      <c r="AR27">
        <f t="shared" si="19"/>
        <v>87.784626380054377</v>
      </c>
      <c r="AS27">
        <f t="shared" si="20"/>
        <v>88.483303786154622</v>
      </c>
      <c r="AT27">
        <v>0.89739892800799803</v>
      </c>
      <c r="AU27">
        <v>0.89615380039866799</v>
      </c>
      <c r="AV27">
        <v>0.90497228578955802</v>
      </c>
      <c r="AW27">
        <v>0.904366252339174</v>
      </c>
      <c r="AX27">
        <f t="shared" si="21"/>
        <v>89.427183005970647</v>
      </c>
      <c r="AY27">
        <f t="shared" si="22"/>
        <v>89.536813930013011</v>
      </c>
      <c r="AZ27">
        <f t="shared" si="22"/>
        <v>89.044511517527297</v>
      </c>
      <c r="BA27">
        <f t="shared" si="23"/>
        <v>89.650748733809394</v>
      </c>
      <c r="BB27">
        <v>0.89802392800799802</v>
      </c>
      <c r="BC27">
        <v>0.89677880039866797</v>
      </c>
      <c r="BD27">
        <v>0.90579728578955798</v>
      </c>
      <c r="BE27">
        <v>0.90521625233917402</v>
      </c>
      <c r="BF27">
        <f t="shared" si="24"/>
        <v>90.434173511586508</v>
      </c>
      <c r="BG27">
        <f t="shared" si="25"/>
        <v>90.544094975701924</v>
      </c>
      <c r="BH27">
        <f t="shared" si="26"/>
        <v>90.216929935143725</v>
      </c>
      <c r="BI27">
        <f t="shared" si="27"/>
        <v>90.832419358516873</v>
      </c>
      <c r="BQ27">
        <v>0.90925099999999903</v>
      </c>
      <c r="BR27">
        <v>0.90891749999999905</v>
      </c>
      <c r="BS27">
        <v>0.91625499999999904</v>
      </c>
      <c r="BT27">
        <v>0.91546749999999899</v>
      </c>
      <c r="BU27">
        <f t="shared" si="28"/>
        <v>97.636288286080102</v>
      </c>
      <c r="BV27">
        <f t="shared" si="29"/>
        <v>97.797758905094042</v>
      </c>
      <c r="BW27">
        <f t="shared" si="30"/>
        <v>95.626837897960669</v>
      </c>
      <c r="BX27">
        <f t="shared" si="31"/>
        <v>96.190743748657226</v>
      </c>
      <c r="CD27">
        <f t="shared" ref="CD27:CD34" si="33">CD26+1</f>
        <v>2009</v>
      </c>
      <c r="CE27" s="42">
        <v>1.9178000000000001E-2</v>
      </c>
      <c r="CF27" s="42">
        <v>1.9178000000000001E-2</v>
      </c>
      <c r="CG27" s="42">
        <v>1.89585E-2</v>
      </c>
      <c r="CH27" s="42">
        <v>1.89585E-2</v>
      </c>
    </row>
    <row r="28" spans="1:97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3"/>
        <v>1.0956611916439105</v>
      </c>
      <c r="J28">
        <f t="shared" si="4"/>
        <v>1.1141746333639826</v>
      </c>
      <c r="K28">
        <f t="shared" si="5"/>
        <v>1.1031929884493028</v>
      </c>
      <c r="L28">
        <v>1.1557655997393199</v>
      </c>
      <c r="M28">
        <v>1.1462400220679001</v>
      </c>
      <c r="N28">
        <v>1.1762034813005799</v>
      </c>
      <c r="O28">
        <v>1.1729112520298599</v>
      </c>
      <c r="P28">
        <f t="shared" si="6"/>
        <v>114.25488408993243</v>
      </c>
      <c r="Q28">
        <f t="shared" si="7"/>
        <v>129.98922361009062</v>
      </c>
      <c r="R28">
        <f t="shared" si="8"/>
        <v>120.83569628689861</v>
      </c>
      <c r="S28">
        <f t="shared" si="9"/>
        <v>114.17644993474873</v>
      </c>
      <c r="T28">
        <f t="shared" si="10"/>
        <v>110.87870511596645</v>
      </c>
      <c r="U28">
        <f t="shared" si="11"/>
        <v>118.5424500596361</v>
      </c>
      <c r="V28">
        <f t="shared" si="12"/>
        <v>112.44998177292794</v>
      </c>
      <c r="AD28" s="16">
        <f t="shared" si="13"/>
        <v>7.3010492851277142E-2</v>
      </c>
      <c r="AE28" s="16">
        <f t="shared" si="32"/>
        <v>5.2915858513957748E-2</v>
      </c>
      <c r="AF28" s="19">
        <v>20060504</v>
      </c>
      <c r="AG28" s="17">
        <v>1039.0899999999999</v>
      </c>
      <c r="AH28">
        <f t="shared" si="14"/>
        <v>1847.465068942374</v>
      </c>
      <c r="AI28">
        <f t="shared" si="15"/>
        <v>1.0848663749934111</v>
      </c>
      <c r="AJ28">
        <f t="shared" si="16"/>
        <v>119.19198931373215</v>
      </c>
      <c r="AL28">
        <v>1.1557446600432499</v>
      </c>
      <c r="AM28">
        <v>1.15590336260214</v>
      </c>
      <c r="AN28">
        <v>1.18045630368085</v>
      </c>
      <c r="AO28">
        <v>1.1794946648339</v>
      </c>
      <c r="AP28">
        <f t="shared" si="17"/>
        <v>102.20311972608319</v>
      </c>
      <c r="AQ28">
        <f t="shared" si="18"/>
        <v>102.34353506402692</v>
      </c>
      <c r="AR28">
        <f t="shared" si="19"/>
        <v>103.62591557660342</v>
      </c>
      <c r="AS28">
        <f t="shared" si="20"/>
        <v>104.3655847426466</v>
      </c>
      <c r="AT28">
        <v>1.15646966004325</v>
      </c>
      <c r="AU28">
        <v>1.1566033626021399</v>
      </c>
      <c r="AV28">
        <v>1.1813888907455301</v>
      </c>
      <c r="AW28">
        <v>1.1803196648339001</v>
      </c>
      <c r="AX28">
        <f t="shared" si="21"/>
        <v>103.41982392954039</v>
      </c>
      <c r="AY28">
        <f t="shared" si="22"/>
        <v>103.55858006813517</v>
      </c>
      <c r="AZ28">
        <f t="shared" si="22"/>
        <v>105.19619668866915</v>
      </c>
      <c r="BA28">
        <f t="shared" si="23"/>
        <v>105.8165416975981</v>
      </c>
      <c r="BB28">
        <v>1.1571946600432499</v>
      </c>
      <c r="BC28">
        <v>1.1573033626021401</v>
      </c>
      <c r="BD28">
        <v>1.1822388907455299</v>
      </c>
      <c r="BE28">
        <v>1.1811446648338999</v>
      </c>
      <c r="BF28">
        <f t="shared" si="24"/>
        <v>104.64994267303263</v>
      </c>
      <c r="BG28">
        <f t="shared" si="25"/>
        <v>104.78698557914737</v>
      </c>
      <c r="BH28">
        <f t="shared" si="26"/>
        <v>106.65796317299151</v>
      </c>
      <c r="BI28">
        <f t="shared" si="27"/>
        <v>107.28622751926765</v>
      </c>
      <c r="BQ28">
        <v>1.174207</v>
      </c>
      <c r="BR28">
        <v>1.1739269999999999</v>
      </c>
      <c r="BS28">
        <v>1.1963725000000001</v>
      </c>
      <c r="BT28">
        <v>1.194736</v>
      </c>
      <c r="BU28">
        <f t="shared" si="28"/>
        <v>114.64521315953326</v>
      </c>
      <c r="BV28">
        <f t="shared" si="29"/>
        <v>114.80742971818033</v>
      </c>
      <c r="BW28">
        <f t="shared" si="30"/>
        <v>114.40531912307796</v>
      </c>
      <c r="BX28">
        <f t="shared" si="31"/>
        <v>114.92254442329575</v>
      </c>
      <c r="CD28">
        <f t="shared" si="33"/>
        <v>2010</v>
      </c>
      <c r="CE28" s="42">
        <v>2.02639999999999E-2</v>
      </c>
      <c r="CF28" s="42">
        <v>2.02639999999999E-2</v>
      </c>
      <c r="CG28" s="42">
        <v>2.03225E-2</v>
      </c>
      <c r="CH28" s="42">
        <v>2.03225E-2</v>
      </c>
    </row>
    <row r="29" spans="1:97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3"/>
        <v>0.8685486370869413</v>
      </c>
      <c r="J29">
        <f t="shared" si="4"/>
        <v>0.87198019391573367</v>
      </c>
      <c r="K29">
        <f t="shared" si="5"/>
        <v>0.91691060136151847</v>
      </c>
      <c r="L29">
        <v>0.84384191913066497</v>
      </c>
      <c r="M29">
        <v>0.84488041679013304</v>
      </c>
      <c r="N29">
        <v>0.83557940876683401</v>
      </c>
      <c r="O29">
        <v>0.83548295896378699</v>
      </c>
      <c r="P29">
        <f t="shared" si="6"/>
        <v>99.23592385683726</v>
      </c>
      <c r="Q29">
        <f t="shared" si="7"/>
        <v>113.34802841048248</v>
      </c>
      <c r="R29">
        <f t="shared" si="8"/>
        <v>110.79553094835801</v>
      </c>
      <c r="S29">
        <f t="shared" si="9"/>
        <v>96.346874632464662</v>
      </c>
      <c r="T29">
        <f t="shared" si="10"/>
        <v>93.679246591527999</v>
      </c>
      <c r="U29">
        <f t="shared" si="11"/>
        <v>99.051630334602677</v>
      </c>
      <c r="V29">
        <f t="shared" si="12"/>
        <v>93.950043507069751</v>
      </c>
      <c r="AD29" s="16">
        <f t="shared" si="13"/>
        <v>-8.1331192594684465E-2</v>
      </c>
      <c r="AE29" s="16">
        <f t="shared" si="32"/>
        <v>-2.8415334080726717E-2</v>
      </c>
      <c r="AF29" s="19">
        <v>20060505</v>
      </c>
      <c r="AG29" s="17">
        <v>1039.01</v>
      </c>
      <c r="AH29">
        <f t="shared" si="14"/>
        <v>1676.174420064485</v>
      </c>
      <c r="AI29">
        <f t="shared" si="15"/>
        <v>0.90728341674359858</v>
      </c>
      <c r="AJ29">
        <f t="shared" si="16"/>
        <v>108.1409153130294</v>
      </c>
      <c r="AL29">
        <v>0.83637492924544599</v>
      </c>
      <c r="AM29">
        <v>0.83505949895908405</v>
      </c>
      <c r="AN29">
        <v>0.83300489930115695</v>
      </c>
      <c r="AO29">
        <v>0.83200751969125997</v>
      </c>
      <c r="AP29">
        <f t="shared" si="17"/>
        <v>85.480127029566674</v>
      </c>
      <c r="AQ29">
        <f t="shared" si="18"/>
        <v>85.462941112267771</v>
      </c>
      <c r="AR29">
        <f t="shared" si="19"/>
        <v>86.320895369878727</v>
      </c>
      <c r="AS29">
        <f t="shared" si="20"/>
        <v>86.83295130285741</v>
      </c>
      <c r="AT29">
        <v>0.837224929245446</v>
      </c>
      <c r="AU29">
        <v>0.83595949895908495</v>
      </c>
      <c r="AV29">
        <v>0.83383798387827102</v>
      </c>
      <c r="AW29">
        <v>0.83285751969125998</v>
      </c>
      <c r="AX29">
        <f t="shared" si="21"/>
        <v>86.585654771985929</v>
      </c>
      <c r="AY29">
        <f t="shared" si="22"/>
        <v>86.570778706672556</v>
      </c>
      <c r="AZ29">
        <f t="shared" si="22"/>
        <v>87.716584558541925</v>
      </c>
      <c r="BA29">
        <f t="shared" si="23"/>
        <v>88.130102460568338</v>
      </c>
      <c r="BB29">
        <v>0.83807492924544602</v>
      </c>
      <c r="BC29">
        <v>0.83685949895908496</v>
      </c>
      <c r="BD29">
        <v>0.83468798387827103</v>
      </c>
      <c r="BE29">
        <v>0.83370751969126</v>
      </c>
      <c r="BF29">
        <f t="shared" si="24"/>
        <v>87.704493301241797</v>
      </c>
      <c r="BG29">
        <f t="shared" si="25"/>
        <v>87.691984249198129</v>
      </c>
      <c r="BH29">
        <f t="shared" si="26"/>
        <v>89.026120245427165</v>
      </c>
      <c r="BI29">
        <f t="shared" si="27"/>
        <v>89.445334642120841</v>
      </c>
      <c r="BQ29">
        <v>0.83906749999999897</v>
      </c>
      <c r="BR29">
        <v>0.83780249999999901</v>
      </c>
      <c r="BS29">
        <v>0.83470100000000003</v>
      </c>
      <c r="BT29">
        <v>0.83372100000000005</v>
      </c>
      <c r="BU29">
        <f t="shared" si="28"/>
        <v>96.195072392736549</v>
      </c>
      <c r="BV29">
        <f t="shared" si="29"/>
        <v>96.18595163646566</v>
      </c>
      <c r="BW29">
        <f t="shared" si="30"/>
        <v>95.494234277352305</v>
      </c>
      <c r="BX29">
        <f t="shared" si="31"/>
        <v>95.813338659134558</v>
      </c>
      <c r="CD29">
        <f t="shared" si="33"/>
        <v>2011</v>
      </c>
      <c r="CE29" s="42">
        <v>2.0022000000000002E-2</v>
      </c>
      <c r="CF29" s="42">
        <v>2.01765E-2</v>
      </c>
      <c r="CG29" s="42">
        <v>1.9761999999999998E-2</v>
      </c>
      <c r="CH29" s="42">
        <v>1.9678500000000002E-2</v>
      </c>
    </row>
    <row r="30" spans="1:97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3"/>
        <v>1.0519080046254656</v>
      </c>
      <c r="J30">
        <f t="shared" si="4"/>
        <v>1.0404062229904927</v>
      </c>
      <c r="K30">
        <f t="shared" si="5"/>
        <v>1.027597779513266</v>
      </c>
      <c r="L30">
        <v>1.0709291260301199</v>
      </c>
      <c r="M30">
        <v>1.0673711403055</v>
      </c>
      <c r="N30">
        <v>1.0697175235669101</v>
      </c>
      <c r="O30">
        <v>1.06618213538975</v>
      </c>
      <c r="P30">
        <f t="shared" si="6"/>
        <v>104.38706265141032</v>
      </c>
      <c r="Q30">
        <f t="shared" si="7"/>
        <v>117.92799412196914</v>
      </c>
      <c r="R30">
        <f t="shared" si="8"/>
        <v>113.85324158252604</v>
      </c>
      <c r="S30">
        <f t="shared" si="9"/>
        <v>103.1806742458789</v>
      </c>
      <c r="T30">
        <f t="shared" si="10"/>
        <v>99.990524257359354</v>
      </c>
      <c r="U30">
        <f t="shared" si="11"/>
        <v>105.95726470679621</v>
      </c>
      <c r="V30">
        <f t="shared" si="12"/>
        <v>100.16785800632755</v>
      </c>
      <c r="AD30" s="16">
        <f t="shared" si="13"/>
        <v>4.2119744053644048E-2</v>
      </c>
      <c r="AE30" s="16">
        <f t="shared" si="32"/>
        <v>1.3704409972917331E-2</v>
      </c>
      <c r="AF30" s="19">
        <v>20060506</v>
      </c>
      <c r="AG30" s="17">
        <v>1038.94</v>
      </c>
      <c r="AH30">
        <f t="shared" si="14"/>
        <v>1814.144091653058</v>
      </c>
      <c r="AI30">
        <f t="shared" si="15"/>
        <v>1.0823122402639129</v>
      </c>
      <c r="AJ30">
        <f t="shared" si="16"/>
        <v>117.04223631663493</v>
      </c>
      <c r="AL30">
        <v>1.06023219811527</v>
      </c>
      <c r="AM30">
        <v>1.06023219811527</v>
      </c>
      <c r="AN30">
        <v>1.0551198862245601</v>
      </c>
      <c r="AO30">
        <v>1.0552994882146101</v>
      </c>
      <c r="AP30">
        <f t="shared" si="17"/>
        <v>90.628782975729976</v>
      </c>
      <c r="AQ30">
        <f t="shared" si="18"/>
        <v>90.610561912855545</v>
      </c>
      <c r="AR30">
        <f t="shared" si="19"/>
        <v>91.078893301468597</v>
      </c>
      <c r="AS30">
        <f t="shared" si="20"/>
        <v>91.634769070069581</v>
      </c>
      <c r="AT30">
        <v>1.06110719811527</v>
      </c>
      <c r="AU30">
        <v>1.06110719811527</v>
      </c>
      <c r="AV30">
        <v>1.05619948821461</v>
      </c>
      <c r="AW30">
        <v>1.05627448821461</v>
      </c>
      <c r="AX30">
        <f t="shared" si="21"/>
        <v>91.876661532078046</v>
      </c>
      <c r="AY30">
        <f t="shared" si="22"/>
        <v>91.860876432094386</v>
      </c>
      <c r="AZ30">
        <f t="shared" si="22"/>
        <v>92.646211718665541</v>
      </c>
      <c r="BA30">
        <f t="shared" si="23"/>
        <v>93.089578872837961</v>
      </c>
      <c r="BB30">
        <v>1.0619821981152699</v>
      </c>
      <c r="BC30">
        <v>1.0619821981152699</v>
      </c>
      <c r="BD30">
        <v>1.0571994882146101</v>
      </c>
      <c r="BE30">
        <v>1.05724948821461</v>
      </c>
      <c r="BF30">
        <f t="shared" si="24"/>
        <v>93.140610580638736</v>
      </c>
      <c r="BG30">
        <f t="shared" si="25"/>
        <v>93.127326190053054</v>
      </c>
      <c r="BH30">
        <f t="shared" si="26"/>
        <v>94.118368761197942</v>
      </c>
      <c r="BI30">
        <f t="shared" si="27"/>
        <v>94.566034273566785</v>
      </c>
      <c r="BQ30">
        <v>1.061564</v>
      </c>
      <c r="BR30">
        <v>1.061564</v>
      </c>
      <c r="BS30">
        <v>1.0555744999999901</v>
      </c>
      <c r="BT30">
        <v>1.0556744999999901</v>
      </c>
      <c r="BU30">
        <f t="shared" si="28"/>
        <v>102.11722582952298</v>
      </c>
      <c r="BV30">
        <f t="shared" si="29"/>
        <v>102.10754356301302</v>
      </c>
      <c r="BW30">
        <f t="shared" si="30"/>
        <v>100.80127860019807</v>
      </c>
      <c r="BX30">
        <f t="shared" si="31"/>
        <v>101.14769838231159</v>
      </c>
      <c r="CD30">
        <f t="shared" si="33"/>
        <v>2012</v>
      </c>
      <c r="CE30" s="42">
        <v>1.8035999999999899E-2</v>
      </c>
      <c r="CF30" s="42">
        <v>1.8035999999999899E-2</v>
      </c>
      <c r="CG30" s="42">
        <v>1.7784499999999901E-2</v>
      </c>
      <c r="CH30" s="42">
        <v>1.7784499999999901E-2</v>
      </c>
    </row>
    <row r="31" spans="1:97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3"/>
        <v>1.0028545707060428</v>
      </c>
      <c r="J31">
        <f t="shared" si="4"/>
        <v>0.99885358255451706</v>
      </c>
      <c r="K31">
        <f t="shared" si="5"/>
        <v>1.0151023426347194</v>
      </c>
      <c r="L31">
        <v>1.05395823632243</v>
      </c>
      <c r="M31">
        <v>1.05545104496016</v>
      </c>
      <c r="N31">
        <v>1.06715918201885</v>
      </c>
      <c r="O31">
        <v>1.0749521520059599</v>
      </c>
      <c r="P31">
        <f t="shared" si="6"/>
        <v>104.68504290254489</v>
      </c>
      <c r="Q31">
        <f t="shared" si="7"/>
        <v>117.7927994121969</v>
      </c>
      <c r="R31">
        <f t="shared" si="8"/>
        <v>115.57269224697883</v>
      </c>
      <c r="S31">
        <f t="shared" si="9"/>
        <v>108.74812145074571</v>
      </c>
      <c r="T31">
        <f t="shared" si="10"/>
        <v>105.53510331354416</v>
      </c>
      <c r="U31">
        <f t="shared" si="11"/>
        <v>113.07326793345941</v>
      </c>
      <c r="V31">
        <f t="shared" si="12"/>
        <v>107.67565452572923</v>
      </c>
      <c r="AD31" s="16">
        <f t="shared" si="13"/>
        <v>5.2056839384130527E-2</v>
      </c>
      <c r="AE31" s="16">
        <f t="shared" si="32"/>
        <v>6.5761249357047857E-2</v>
      </c>
      <c r="AF31" s="19">
        <v>20060507</v>
      </c>
      <c r="AG31" s="18">
        <v>1038.8699999999999</v>
      </c>
      <c r="AH31">
        <f t="shared" si="14"/>
        <v>2052.1305544478701</v>
      </c>
      <c r="AI31">
        <f t="shared" si="15"/>
        <v>1.1311838810873933</v>
      </c>
      <c r="AJ31">
        <f t="shared" si="16"/>
        <v>132.39629112779895</v>
      </c>
      <c r="AL31">
        <v>1.0463716274713699</v>
      </c>
      <c r="AM31">
        <v>1.0463716274713699</v>
      </c>
      <c r="AN31">
        <v>1.0516672985491899</v>
      </c>
      <c r="AO31">
        <v>1.0517523731760501</v>
      </c>
      <c r="AP31">
        <f t="shared" si="17"/>
        <v>94.831387138064159</v>
      </c>
      <c r="AQ31">
        <f t="shared" si="18"/>
        <v>94.812321134849981</v>
      </c>
      <c r="AR31">
        <f t="shared" si="19"/>
        <v>95.784693673205396</v>
      </c>
      <c r="AS31">
        <f t="shared" si="20"/>
        <v>96.377085834884994</v>
      </c>
      <c r="AT31">
        <v>1.0469466274713699</v>
      </c>
      <c r="AU31">
        <v>1.0469466274713699</v>
      </c>
      <c r="AV31">
        <v>1.0524773731760499</v>
      </c>
      <c r="AW31">
        <v>1.0524773731760499</v>
      </c>
      <c r="AX31">
        <f t="shared" si="21"/>
        <v>96.189960934337662</v>
      </c>
      <c r="AY31">
        <f t="shared" si="22"/>
        <v>96.173434777145459</v>
      </c>
      <c r="AZ31">
        <f t="shared" si="22"/>
        <v>97.508041544373285</v>
      </c>
      <c r="BA31">
        <f t="shared" si="23"/>
        <v>97.97467544214922</v>
      </c>
      <c r="BB31">
        <v>1.0475216274713699</v>
      </c>
      <c r="BC31">
        <v>1.0475216274713699</v>
      </c>
      <c r="BD31">
        <v>1.05320237317605</v>
      </c>
      <c r="BE31">
        <v>1.05320237317605</v>
      </c>
      <c r="BF31">
        <f t="shared" si="24"/>
        <v>97.566803979107789</v>
      </c>
      <c r="BG31">
        <f t="shared" si="25"/>
        <v>97.552888292661507</v>
      </c>
      <c r="BH31">
        <f t="shared" si="26"/>
        <v>99.125689338752281</v>
      </c>
      <c r="BI31">
        <f t="shared" si="27"/>
        <v>99.597171718768223</v>
      </c>
      <c r="BQ31">
        <v>1.04976299999999</v>
      </c>
      <c r="BR31">
        <v>1.04976299999999</v>
      </c>
      <c r="BS31">
        <v>1.0531104999999901</v>
      </c>
      <c r="BT31">
        <v>1.0531104999999901</v>
      </c>
      <c r="BU31">
        <f t="shared" si="28"/>
        <v>107.19888533847652</v>
      </c>
      <c r="BV31">
        <f t="shared" si="29"/>
        <v>107.18872125333822</v>
      </c>
      <c r="BW31">
        <f t="shared" si="30"/>
        <v>106.1548849072929</v>
      </c>
      <c r="BX31">
        <f t="shared" si="31"/>
        <v>106.51970321724434</v>
      </c>
      <c r="CD31">
        <f t="shared" si="33"/>
        <v>2013</v>
      </c>
      <c r="CE31" s="42">
        <v>1.4121999999999999E-2</v>
      </c>
      <c r="CF31" s="42">
        <v>1.4048E-2</v>
      </c>
      <c r="CG31" s="42">
        <v>1.4196500000000001E-2</v>
      </c>
      <c r="CH31" s="42">
        <v>1.41225E-2</v>
      </c>
    </row>
    <row r="32" spans="1:97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3"/>
        <v>1.0639841212558641</v>
      </c>
      <c r="J32">
        <f t="shared" si="4"/>
        <v>1.0522759217212672</v>
      </c>
      <c r="K32">
        <f t="shared" si="5"/>
        <v>1.0512244598566365</v>
      </c>
      <c r="L32">
        <v>1.0900256776971999</v>
      </c>
      <c r="M32">
        <v>1.0818924483179999</v>
      </c>
      <c r="N32">
        <v>1.0850197802294701</v>
      </c>
      <c r="O32">
        <v>1.0790804058380701</v>
      </c>
      <c r="P32">
        <f t="shared" si="6"/>
        <v>111.38322338129666</v>
      </c>
      <c r="Q32">
        <f t="shared" si="7"/>
        <v>123.95052657359783</v>
      </c>
      <c r="R32">
        <f t="shared" si="8"/>
        <v>121.4928409815076</v>
      </c>
      <c r="S32">
        <f t="shared" si="9"/>
        <v>118.5382447826465</v>
      </c>
      <c r="T32">
        <f t="shared" si="10"/>
        <v>114.17763130738335</v>
      </c>
      <c r="U32">
        <f t="shared" si="11"/>
        <v>122.68673232299011</v>
      </c>
      <c r="V32">
        <f t="shared" si="12"/>
        <v>116.19068898450372</v>
      </c>
      <c r="AD32" s="16">
        <f t="shared" si="13"/>
        <v>3.3795320372833615E-2</v>
      </c>
      <c r="AE32" s="16">
        <f t="shared" si="32"/>
        <v>9.9556569729881472E-2</v>
      </c>
      <c r="AF32" s="19">
        <v>20060508</v>
      </c>
      <c r="AG32" s="17">
        <v>1044.3699999999999</v>
      </c>
      <c r="AH32">
        <f t="shared" si="14"/>
        <v>2230.7819795588521</v>
      </c>
      <c r="AI32">
        <f t="shared" si="15"/>
        <v>1.0870565592056343</v>
      </c>
      <c r="AJ32">
        <f t="shared" si="16"/>
        <v>143.92225668497255</v>
      </c>
      <c r="AL32">
        <v>1.0858951852999199</v>
      </c>
      <c r="AM32">
        <v>1.0858951852999199</v>
      </c>
      <c r="AN32">
        <v>1.09755543779733</v>
      </c>
      <c r="AO32">
        <v>1.09763852237444</v>
      </c>
      <c r="AP32">
        <f t="shared" si="17"/>
        <v>102.97694670853662</v>
      </c>
      <c r="AQ32">
        <f t="shared" si="18"/>
        <v>102.95624302744343</v>
      </c>
      <c r="AR32">
        <f t="shared" si="19"/>
        <v>105.12901139877809</v>
      </c>
      <c r="AS32">
        <f t="shared" si="20"/>
        <v>105.78720208655774</v>
      </c>
      <c r="AT32">
        <v>1.08669518529992</v>
      </c>
      <c r="AU32">
        <v>1.08669518529992</v>
      </c>
      <c r="AV32">
        <v>1.0984635223744399</v>
      </c>
      <c r="AW32">
        <v>1.0984635223744399</v>
      </c>
      <c r="AX32">
        <f t="shared" si="21"/>
        <v>104.52916742153214</v>
      </c>
      <c r="AY32">
        <f t="shared" si="22"/>
        <v>104.51120852607986</v>
      </c>
      <c r="AZ32">
        <f t="shared" si="22"/>
        <v>107.10902677466549</v>
      </c>
      <c r="BA32">
        <f t="shared" si="23"/>
        <v>107.62160708967576</v>
      </c>
      <c r="BB32">
        <v>1.08749518529992</v>
      </c>
      <c r="BC32">
        <v>1.08749518529992</v>
      </c>
      <c r="BD32">
        <v>1.09928852237444</v>
      </c>
      <c r="BE32">
        <v>1.09928852237444</v>
      </c>
      <c r="BF32">
        <f t="shared" si="24"/>
        <v>106.10342957238079</v>
      </c>
      <c r="BG32">
        <f t="shared" si="25"/>
        <v>106.08829633037031</v>
      </c>
      <c r="BH32">
        <f t="shared" si="26"/>
        <v>108.96773256254477</v>
      </c>
      <c r="BI32">
        <f t="shared" si="27"/>
        <v>109.48602773139808</v>
      </c>
      <c r="BQ32">
        <v>1.1141529999999999</v>
      </c>
      <c r="BR32">
        <v>1.1141529999999999</v>
      </c>
      <c r="BS32">
        <v>1.12319249999999</v>
      </c>
      <c r="BT32">
        <v>1.12319249999999</v>
      </c>
      <c r="BU32">
        <f t="shared" si="28"/>
        <v>119.43595969651962</v>
      </c>
      <c r="BV32">
        <f t="shared" si="29"/>
        <v>119.42463535057053</v>
      </c>
      <c r="BW32">
        <f t="shared" si="30"/>
        <v>119.23237056623351</v>
      </c>
      <c r="BX32">
        <f t="shared" si="31"/>
        <v>119.64213175583366</v>
      </c>
      <c r="CD32">
        <f t="shared" si="33"/>
        <v>2014</v>
      </c>
      <c r="CE32" s="42">
        <v>1.4863499999999899E-2</v>
      </c>
      <c r="CF32" s="42">
        <v>1.4863499999999899E-2</v>
      </c>
      <c r="CG32" s="42">
        <v>1.4364999999999999E-2</v>
      </c>
      <c r="CH32" s="42">
        <v>1.4364999999999999E-2</v>
      </c>
    </row>
    <row r="33" spans="1:86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3"/>
        <v>0.97253502018112148</v>
      </c>
      <c r="J33">
        <f t="shared" si="4"/>
        <v>0.97832796538165157</v>
      </c>
      <c r="K33">
        <f t="shared" si="5"/>
        <v>0.9859868626837659</v>
      </c>
      <c r="L33">
        <v>1.10106236590951</v>
      </c>
      <c r="M33">
        <v>1.09831149366809</v>
      </c>
      <c r="N33">
        <v>1.0999883966441799</v>
      </c>
      <c r="O33">
        <v>1.10275607310077</v>
      </c>
      <c r="P33">
        <f t="shared" si="6"/>
        <v>108.32408539896771</v>
      </c>
      <c r="Q33">
        <f t="shared" si="7"/>
        <v>121.2642664707323</v>
      </c>
      <c r="R33">
        <f t="shared" si="8"/>
        <v>119.79034511789433</v>
      </c>
      <c r="S33">
        <f t="shared" si="9"/>
        <v>130.51800025114139</v>
      </c>
      <c r="T33">
        <f t="shared" si="10"/>
        <v>125.40260478469668</v>
      </c>
      <c r="U33">
        <f t="shared" si="11"/>
        <v>134.95398197747957</v>
      </c>
      <c r="V33">
        <f t="shared" si="12"/>
        <v>128.12998791542421</v>
      </c>
      <c r="AD33" s="16">
        <f t="shared" si="13"/>
        <v>0.11400153396041401</v>
      </c>
      <c r="AE33" s="16">
        <f t="shared" si="32"/>
        <v>0.21355810369029549</v>
      </c>
      <c r="AF33" s="19">
        <v>20060509</v>
      </c>
      <c r="AG33" s="17">
        <v>1044.3699999999999</v>
      </c>
      <c r="AH33">
        <f t="shared" si="14"/>
        <v>2424.185226802218</v>
      </c>
      <c r="AI33">
        <f t="shared" si="15"/>
        <v>1.0866975119108737</v>
      </c>
      <c r="AJ33">
        <f t="shared" si="16"/>
        <v>156.39995824815779</v>
      </c>
      <c r="AL33">
        <v>1.0866409967245101</v>
      </c>
      <c r="AM33">
        <v>1.0866409967245101</v>
      </c>
      <c r="AN33">
        <v>1.0803985159340399</v>
      </c>
      <c r="AO33">
        <v>1.0804830930484699</v>
      </c>
      <c r="AP33">
        <f t="shared" si="17"/>
        <v>111.89897201101098</v>
      </c>
      <c r="AQ33">
        <f t="shared" si="18"/>
        <v>111.87647454235203</v>
      </c>
      <c r="AR33">
        <f t="shared" si="19"/>
        <v>113.58122789685261</v>
      </c>
      <c r="AS33">
        <f t="shared" si="20"/>
        <v>114.30128331542745</v>
      </c>
      <c r="AT33">
        <v>1.08736599672451</v>
      </c>
      <c r="AU33">
        <v>1.08736599672451</v>
      </c>
      <c r="AV33">
        <v>1.0812330930484699</v>
      </c>
      <c r="AW33">
        <v>1.0812330930484699</v>
      </c>
      <c r="AX33">
        <f t="shared" si="21"/>
        <v>113.66146232009747</v>
      </c>
      <c r="AY33">
        <f t="shared" si="22"/>
        <v>113.64193442784392</v>
      </c>
      <c r="AZ33">
        <f t="shared" si="22"/>
        <v>115.80982431298295</v>
      </c>
      <c r="BA33">
        <f t="shared" si="23"/>
        <v>116.36404311241726</v>
      </c>
      <c r="BB33">
        <v>1.08809099672451</v>
      </c>
      <c r="BC33">
        <v>1.08809099672451</v>
      </c>
      <c r="BD33">
        <v>1.08198309304847</v>
      </c>
      <c r="BE33">
        <v>1.08198309304847</v>
      </c>
      <c r="BF33">
        <f t="shared" si="24"/>
        <v>115.45018643930067</v>
      </c>
      <c r="BG33">
        <f t="shared" si="25"/>
        <v>115.43372009491782</v>
      </c>
      <c r="BH33">
        <f t="shared" si="26"/>
        <v>117.90124432050067</v>
      </c>
      <c r="BI33">
        <f t="shared" si="27"/>
        <v>118.46203093040866</v>
      </c>
      <c r="BQ33">
        <v>1.087885</v>
      </c>
      <c r="BR33">
        <v>1.087885</v>
      </c>
      <c r="BS33">
        <v>1.0827294999999999</v>
      </c>
      <c r="BT33">
        <v>1.0827294999999999</v>
      </c>
      <c r="BU33">
        <f t="shared" si="28"/>
        <v>129.93258901444824</v>
      </c>
      <c r="BV33">
        <f t="shared" si="29"/>
        <v>129.92026942835543</v>
      </c>
      <c r="BW33">
        <f t="shared" si="30"/>
        <v>129.09640496699271</v>
      </c>
      <c r="BX33">
        <f t="shared" si="31"/>
        <v>129.54006549492789</v>
      </c>
      <c r="CD33">
        <f t="shared" si="33"/>
        <v>2015</v>
      </c>
      <c r="CE33" s="42">
        <v>1.8225499999999902E-2</v>
      </c>
      <c r="CF33" s="42">
        <v>1.8225499999999902E-2</v>
      </c>
      <c r="CG33" s="42">
        <v>1.8652499999999999E-2</v>
      </c>
      <c r="CH33" s="42">
        <v>1.8598E-2</v>
      </c>
    </row>
    <row r="34" spans="1:86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3"/>
        <v>0.99315128211835069</v>
      </c>
      <c r="J34">
        <f t="shared" si="4"/>
        <v>0.997964138131612</v>
      </c>
      <c r="K34">
        <f t="shared" si="5"/>
        <v>0.96169220031919112</v>
      </c>
      <c r="L34">
        <v>0.96909098916464398</v>
      </c>
      <c r="M34">
        <v>0.96877457117483701</v>
      </c>
      <c r="N34">
        <v>0.96757468658547896</v>
      </c>
      <c r="O34">
        <v>0.96755835012394498</v>
      </c>
      <c r="P34">
        <f t="shared" si="6"/>
        <v>107.58220429828249</v>
      </c>
      <c r="Q34">
        <f t="shared" si="7"/>
        <v>121.01738917462649</v>
      </c>
      <c r="R34">
        <f t="shared" si="8"/>
        <v>115.20144057342307</v>
      </c>
      <c r="S34">
        <f t="shared" si="9"/>
        <v>126.48381796716986</v>
      </c>
      <c r="T34">
        <f t="shared" si="10"/>
        <v>121.48685467450208</v>
      </c>
      <c r="U34">
        <f t="shared" si="11"/>
        <v>130.57805681532219</v>
      </c>
      <c r="V34">
        <f t="shared" si="12"/>
        <v>123.97323970884885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3"/>
        <v>5.8824862662878452E-3</v>
      </c>
      <c r="AE34" s="16">
        <f t="shared" si="32"/>
        <v>0.21944058995658333</v>
      </c>
      <c r="AF34" s="19">
        <v>20060510</v>
      </c>
      <c r="AG34" s="17">
        <v>1046.3800000000001</v>
      </c>
      <c r="AH34">
        <f t="shared" si="14"/>
        <v>2358.1008377379399</v>
      </c>
      <c r="AI34">
        <f t="shared" si="15"/>
        <v>0.97273954632936566</v>
      </c>
      <c r="AJ34">
        <f t="shared" si="16"/>
        <v>152.13642443224472</v>
      </c>
      <c r="AL34">
        <v>0.96717292884504202</v>
      </c>
      <c r="AM34">
        <v>0.96717292884504202</v>
      </c>
      <c r="AN34">
        <v>0.96849312967531398</v>
      </c>
      <c r="AO34">
        <v>0.968573726690239</v>
      </c>
      <c r="AP34">
        <f t="shared" si="17"/>
        <v>108.22565649463887</v>
      </c>
      <c r="AQ34">
        <f t="shared" si="18"/>
        <v>108.2038975519844</v>
      </c>
      <c r="AR34">
        <f t="shared" si="19"/>
        <v>110.00263887818787</v>
      </c>
      <c r="AS34">
        <f t="shared" si="20"/>
        <v>110.70921994630041</v>
      </c>
      <c r="AT34">
        <v>0.96804792884504198</v>
      </c>
      <c r="AU34">
        <v>0.96804792884504198</v>
      </c>
      <c r="AV34">
        <v>0.96952372669023901</v>
      </c>
      <c r="AW34">
        <v>0.96952372669023901</v>
      </c>
      <c r="AX34">
        <f t="shared" si="21"/>
        <v>110.02974318846914</v>
      </c>
      <c r="AY34">
        <f t="shared" si="22"/>
        <v>110.01083925281839</v>
      </c>
      <c r="AZ34">
        <f t="shared" si="22"/>
        <v>112.28037245526508</v>
      </c>
      <c r="BA34">
        <f t="shared" si="23"/>
        <v>112.81770073109442</v>
      </c>
      <c r="BB34">
        <v>0.96892292884504205</v>
      </c>
      <c r="BC34">
        <v>0.96892292884504205</v>
      </c>
      <c r="BD34">
        <v>0.97047372669023901</v>
      </c>
      <c r="BE34">
        <v>0.97047372669023901</v>
      </c>
      <c r="BF34">
        <f t="shared" si="24"/>
        <v>111.86233278047335</v>
      </c>
      <c r="BG34">
        <f t="shared" si="25"/>
        <v>111.84637816184656</v>
      </c>
      <c r="BH34">
        <f t="shared" si="26"/>
        <v>114.42005995713266</v>
      </c>
      <c r="BI34">
        <f t="shared" si="27"/>
        <v>114.96428862832805</v>
      </c>
      <c r="BQ34">
        <v>0.96020949999999905</v>
      </c>
      <c r="BR34">
        <v>0.96020949999999905</v>
      </c>
      <c r="BS34">
        <v>0.961910499999999</v>
      </c>
      <c r="BT34">
        <v>0.961910499999999</v>
      </c>
      <c r="BU34">
        <f t="shared" si="28"/>
        <v>124.76250633126871</v>
      </c>
      <c r="BV34">
        <f t="shared" si="29"/>
        <v>124.75067694766632</v>
      </c>
      <c r="BW34">
        <f t="shared" si="30"/>
        <v>124.17918745000232</v>
      </c>
      <c r="BX34">
        <f t="shared" si="31"/>
        <v>124.6059491702587</v>
      </c>
      <c r="CD34">
        <f t="shared" si="33"/>
        <v>2016</v>
      </c>
      <c r="CE34" s="42">
        <v>1.79709999999999E-2</v>
      </c>
      <c r="CF34" s="42">
        <v>1.79119999999999E-2</v>
      </c>
      <c r="CG34" s="42">
        <v>1.7225499999999901E-2</v>
      </c>
      <c r="CH34" s="42">
        <v>1.7178999999999899E-2</v>
      </c>
    </row>
    <row r="35" spans="1:86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3"/>
        <v>1.035844874130325</v>
      </c>
      <c r="J35">
        <f t="shared" si="4"/>
        <v>1.0382502823235125</v>
      </c>
      <c r="K35">
        <f t="shared" si="5"/>
        <v>1.0674316396337873</v>
      </c>
      <c r="L35">
        <v>1.0389155364210001</v>
      </c>
      <c r="M35">
        <v>1.042524644849</v>
      </c>
      <c r="N35">
        <v>1.0280748507392601</v>
      </c>
      <c r="O35">
        <v>1.02881744936604</v>
      </c>
      <c r="P35">
        <f t="shared" si="6"/>
        <v>111.43847487001733</v>
      </c>
      <c r="Q35">
        <f t="shared" si="7"/>
        <v>125.64633847661032</v>
      </c>
      <c r="R35">
        <f t="shared" si="8"/>
        <v>122.96966259946329</v>
      </c>
      <c r="S35">
        <f t="shared" si="9"/>
        <v>131.4060035919384</v>
      </c>
      <c r="T35">
        <f t="shared" si="10"/>
        <v>126.65304002335736</v>
      </c>
      <c r="U35">
        <f t="shared" si="11"/>
        <v>134.24401627023497</v>
      </c>
      <c r="V35">
        <f t="shared" si="12"/>
        <v>127.54583226690255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3"/>
        <v>-3.9356788894527206E-2</v>
      </c>
      <c r="AE35" s="16">
        <f t="shared" si="32"/>
        <v>0.18008380106205613</v>
      </c>
      <c r="AF35" s="19">
        <v>20060511</v>
      </c>
      <c r="AG35" s="17">
        <v>1058.74</v>
      </c>
      <c r="AH35">
        <f t="shared" si="14"/>
        <v>2514.6653632871321</v>
      </c>
      <c r="AI35">
        <f t="shared" si="15"/>
        <v>1.0663943301506056</v>
      </c>
      <c r="AJ35">
        <f t="shared" si="16"/>
        <v>162.23742042393184</v>
      </c>
      <c r="AK35">
        <v>100</v>
      </c>
      <c r="AL35">
        <v>1.03284108945383</v>
      </c>
      <c r="AM35">
        <v>1.03284108945383</v>
      </c>
      <c r="AN35">
        <v>1.0253777284207299</v>
      </c>
      <c r="AO35">
        <v>1.0254623055351599</v>
      </c>
      <c r="AP35">
        <f t="shared" si="17"/>
        <v>111.77990496077878</v>
      </c>
      <c r="AQ35">
        <f t="shared" si="18"/>
        <v>111.75743143074217</v>
      </c>
      <c r="AR35">
        <f t="shared" si="19"/>
        <v>112.79425597320214</v>
      </c>
      <c r="AS35">
        <f t="shared" si="20"/>
        <v>113.52813193013233</v>
      </c>
      <c r="AT35">
        <v>1.0335410894538299</v>
      </c>
      <c r="AU35">
        <v>1.0335410894538299</v>
      </c>
      <c r="AV35">
        <v>1.02621230553516</v>
      </c>
      <c r="AW35">
        <v>1.02621230553516</v>
      </c>
      <c r="AX35">
        <f t="shared" si="21"/>
        <v>113.72026064733552</v>
      </c>
      <c r="AY35">
        <f t="shared" si="22"/>
        <v>113.70072265308808</v>
      </c>
      <c r="AZ35">
        <f t="shared" si="22"/>
        <v>115.22349988366405</v>
      </c>
      <c r="BA35">
        <f t="shared" si="23"/>
        <v>115.7749127724321</v>
      </c>
      <c r="BB35">
        <v>1.0342410894538301</v>
      </c>
      <c r="BC35">
        <v>1.0342410894538301</v>
      </c>
      <c r="BD35">
        <v>1.02696230553516</v>
      </c>
      <c r="BE35">
        <v>1.02696230553516</v>
      </c>
      <c r="BF35">
        <f t="shared" si="24"/>
        <v>115.69262092372365</v>
      </c>
      <c r="BG35">
        <f t="shared" si="25"/>
        <v>115.67612000157325</v>
      </c>
      <c r="BH35">
        <f t="shared" si="26"/>
        <v>117.5050885730482</v>
      </c>
      <c r="BI35">
        <f t="shared" si="27"/>
        <v>118.06399090395735</v>
      </c>
      <c r="BQ35">
        <v>1.03664749999999</v>
      </c>
      <c r="BR35">
        <v>1.03664749999999</v>
      </c>
      <c r="BS35">
        <v>1.0282574999999901</v>
      </c>
      <c r="BT35">
        <v>1.0282574999999901</v>
      </c>
      <c r="BU35">
        <f t="shared" si="28"/>
        <v>129.33474028204262</v>
      </c>
      <c r="BV35">
        <f t="shared" si="29"/>
        <v>129.32247738110468</v>
      </c>
      <c r="BW35">
        <f t="shared" si="30"/>
        <v>127.68818083936952</v>
      </c>
      <c r="BX35">
        <f t="shared" si="31"/>
        <v>128.12700177893603</v>
      </c>
    </row>
    <row r="36" spans="1:86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3"/>
        <v>0.95954759069586104</v>
      </c>
      <c r="J36">
        <f t="shared" si="4"/>
        <v>0.96156830028030404</v>
      </c>
      <c r="K36">
        <f t="shared" si="5"/>
        <v>0.96445126966543215</v>
      </c>
      <c r="L36">
        <v>1.0410798471377301</v>
      </c>
      <c r="M36">
        <v>1.04040941298047</v>
      </c>
      <c r="N36">
        <v>1.0392075945932</v>
      </c>
      <c r="O36">
        <v>1.0404986108629599</v>
      </c>
      <c r="P36">
        <f t="shared" si="6"/>
        <v>106.93052007234638</v>
      </c>
      <c r="Q36">
        <f t="shared" si="7"/>
        <v>120.81753612539795</v>
      </c>
      <c r="R36">
        <f t="shared" si="8"/>
        <v>118.59824722438218</v>
      </c>
      <c r="S36">
        <f t="shared" si="9"/>
        <v>136.80414213247525</v>
      </c>
      <c r="T36">
        <f t="shared" si="10"/>
        <v>131.77101502289321</v>
      </c>
      <c r="U36">
        <f t="shared" si="11"/>
        <v>139.50740123672128</v>
      </c>
      <c r="V36">
        <f t="shared" si="12"/>
        <v>132.71126129507221</v>
      </c>
      <c r="W36">
        <f>W35*I36</f>
        <v>95.954759069586103</v>
      </c>
      <c r="X36">
        <f t="shared" ref="X36:AC36" si="34">X35*J36</f>
        <v>96.156830028030399</v>
      </c>
      <c r="Y36">
        <f t="shared" si="34"/>
        <v>96.445126966543214</v>
      </c>
      <c r="Z36">
        <f t="shared" si="34"/>
        <v>104.10798471377301</v>
      </c>
      <c r="AA36">
        <f t="shared" si="34"/>
        <v>104.040941298047</v>
      </c>
      <c r="AB36">
        <f t="shared" si="34"/>
        <v>103.92075945932</v>
      </c>
      <c r="AC36">
        <f t="shared" si="34"/>
        <v>104.04986108629599</v>
      </c>
      <c r="AD36" s="16">
        <f t="shared" si="13"/>
        <v>7.4756324927767848E-2</v>
      </c>
      <c r="AE36" s="16">
        <f t="shared" si="32"/>
        <v>0.25484012598982397</v>
      </c>
      <c r="AF36" s="19">
        <v>20060512</v>
      </c>
      <c r="AG36" s="18">
        <v>1051.81</v>
      </c>
      <c r="AH36">
        <f t="shared" si="14"/>
        <v>2578.1035913562118</v>
      </c>
      <c r="AI36">
        <f t="shared" si="15"/>
        <v>1.0252273041953202</v>
      </c>
      <c r="AJ36">
        <f t="shared" si="16"/>
        <v>166.33023318083042</v>
      </c>
      <c r="AK36">
        <f>AK35*AI36</f>
        <v>102.52273041953201</v>
      </c>
      <c r="AL36">
        <v>1.03825364787439</v>
      </c>
      <c r="AM36">
        <v>1.0393110751024801</v>
      </c>
      <c r="AN36">
        <v>1.04187796430507</v>
      </c>
      <c r="AO36">
        <v>1.0420238071526</v>
      </c>
      <c r="AP36">
        <f t="shared" si="17"/>
        <v>116.0558940845812</v>
      </c>
      <c r="AQ36">
        <f t="shared" si="18"/>
        <v>116.15073621097635</v>
      </c>
      <c r="AR36">
        <f t="shared" si="19"/>
        <v>117.51784979866483</v>
      </c>
      <c r="AS36">
        <f t="shared" si="20"/>
        <v>118.29901625275915</v>
      </c>
      <c r="AT36">
        <v>1.03875364787439</v>
      </c>
      <c r="AU36">
        <v>1.0398110751024801</v>
      </c>
      <c r="AV36">
        <v>1.04254102400657</v>
      </c>
      <c r="AW36">
        <v>1.0425988071526</v>
      </c>
      <c r="AX36">
        <f t="shared" si="21"/>
        <v>118.1273355846462</v>
      </c>
      <c r="AY36">
        <f t="shared" si="22"/>
        <v>118.22727066183643</v>
      </c>
      <c r="AZ36">
        <f t="shared" si="22"/>
        <v>120.12522555833601</v>
      </c>
      <c r="BA36">
        <f t="shared" si="23"/>
        <v>120.70678595473403</v>
      </c>
      <c r="BB36">
        <v>1.0392536478743899</v>
      </c>
      <c r="BC36">
        <v>1.04031107510248</v>
      </c>
      <c r="BD36">
        <v>1.04311602400657</v>
      </c>
      <c r="BE36">
        <v>1.0431738071526</v>
      </c>
      <c r="BF36">
        <f t="shared" si="24"/>
        <v>120.23397832712877</v>
      </c>
      <c r="BG36">
        <f t="shared" si="25"/>
        <v>120.33914876252017</v>
      </c>
      <c r="BH36">
        <f t="shared" si="26"/>
        <v>122.57144079285789</v>
      </c>
      <c r="BI36">
        <f t="shared" si="27"/>
        <v>123.16126287891112</v>
      </c>
      <c r="BQ36">
        <v>1.0570314999999899</v>
      </c>
      <c r="BR36">
        <v>1.05815699999999</v>
      </c>
      <c r="BS36">
        <v>1.05926099999999</v>
      </c>
      <c r="BT36">
        <v>1.0591839999999899</v>
      </c>
      <c r="BU36">
        <f t="shared" si="28"/>
        <v>136.71089452243663</v>
      </c>
      <c r="BV36">
        <f t="shared" si="29"/>
        <v>136.84348469815629</v>
      </c>
      <c r="BW36">
        <f t="shared" si="30"/>
        <v>135.25511012409012</v>
      </c>
      <c r="BX36">
        <f t="shared" si="31"/>
        <v>135.71007025221928</v>
      </c>
    </row>
    <row r="37" spans="1:86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3"/>
        <v>1.0015721951111798</v>
      </c>
      <c r="J37">
        <f t="shared" si="4"/>
        <v>0.99225214778896342</v>
      </c>
      <c r="K37">
        <f t="shared" si="5"/>
        <v>1.0098987449101324</v>
      </c>
      <c r="L37">
        <v>1.0737002465499501</v>
      </c>
      <c r="M37">
        <v>1.0759679211223101</v>
      </c>
      <c r="N37">
        <v>1.07019594902683</v>
      </c>
      <c r="O37">
        <v>1.0753303024572201</v>
      </c>
      <c r="P37">
        <f t="shared" si="6"/>
        <v>107.09863571324004</v>
      </c>
      <c r="Q37">
        <f t="shared" si="7"/>
        <v>119.88145971099679</v>
      </c>
      <c r="R37">
        <f t="shared" si="8"/>
        <v>119.77222102044516</v>
      </c>
      <c r="S37">
        <f t="shared" si="9"/>
        <v>146.8866411366931</v>
      </c>
      <c r="T37">
        <f t="shared" si="10"/>
        <v>141.7813850983591</v>
      </c>
      <c r="U37">
        <f t="shared" si="11"/>
        <v>149.30025566279969</v>
      </c>
      <c r="V37">
        <f t="shared" si="12"/>
        <v>142.70844074790915</v>
      </c>
      <c r="W37">
        <f t="shared" ref="W37:W49" si="35">W36*I37</f>
        <v>96.105618672689744</v>
      </c>
      <c r="X37">
        <f t="shared" ref="X37:X49" si="36">X36*J37</f>
        <v>95.411821119891457</v>
      </c>
      <c r="Y37">
        <f t="shared" ref="Y37:Y49" si="37">Y36*K37</f>
        <v>97.39981267621036</v>
      </c>
      <c r="Z37">
        <f t="shared" ref="Z37:Z49" si="38">Z36*L37</f>
        <v>111.78076885499651</v>
      </c>
      <c r="AA37">
        <f t="shared" ref="AA37:AA49" si="39">AA36*M37</f>
        <v>111.94471532006793</v>
      </c>
      <c r="AB37">
        <f t="shared" ref="AB37:AB49" si="40">AB36*N37</f>
        <v>111.21557579315589</v>
      </c>
      <c r="AC37">
        <f t="shared" ref="AC37:AC49" si="41">AC36*O37</f>
        <v>111.88796859255839</v>
      </c>
      <c r="AD37" s="16">
        <f t="shared" si="13"/>
        <v>6.0297204116697589E-2</v>
      </c>
      <c r="AE37" s="16">
        <f t="shared" si="32"/>
        <v>0.31513733010652156</v>
      </c>
      <c r="AF37" s="19">
        <v>20060513</v>
      </c>
      <c r="AG37" s="17">
        <v>1051.74</v>
      </c>
      <c r="AH37">
        <f t="shared" si="14"/>
        <v>2636.5932291057979</v>
      </c>
      <c r="AI37">
        <f t="shared" si="15"/>
        <v>1.0226870781863415</v>
      </c>
      <c r="AJ37">
        <f t="shared" si="16"/>
        <v>170.10378018575634</v>
      </c>
      <c r="AK37">
        <f t="shared" ref="AK37:AK49" si="42">AK36*AI37</f>
        <v>104.84867162043714</v>
      </c>
      <c r="AL37">
        <v>1.07435485250584</v>
      </c>
      <c r="AM37">
        <v>1.07408799227445</v>
      </c>
      <c r="AN37">
        <v>1.0731439022100799</v>
      </c>
      <c r="AO37">
        <v>1.0729079807275701</v>
      </c>
      <c r="AP37">
        <f t="shared" si="17"/>
        <v>124.68521297167362</v>
      </c>
      <c r="AQ37">
        <f t="shared" si="18"/>
        <v>124.75611105804684</v>
      </c>
      <c r="AR37">
        <f t="shared" si="19"/>
        <v>126.11356391227723</v>
      </c>
      <c r="AS37">
        <f t="shared" si="20"/>
        <v>126.92395864980581</v>
      </c>
      <c r="AT37">
        <v>1.0749298525058399</v>
      </c>
      <c r="AU37">
        <v>1.0746879922744501</v>
      </c>
      <c r="AV37">
        <v>1.0738804693742601</v>
      </c>
      <c r="AW37">
        <v>1.0735829807275701</v>
      </c>
      <c r="AX37">
        <f t="shared" si="21"/>
        <v>126.97859941691161</v>
      </c>
      <c r="AY37">
        <f t="shared" si="22"/>
        <v>127.05742813965699</v>
      </c>
      <c r="AZ37">
        <f t="shared" si="22"/>
        <v>129.00013360627474</v>
      </c>
      <c r="BA37">
        <f t="shared" si="23"/>
        <v>129.58875105932816</v>
      </c>
      <c r="BB37">
        <v>1.0755048525058399</v>
      </c>
      <c r="BC37">
        <v>1.07528799227445</v>
      </c>
      <c r="BD37">
        <v>1.0745304693742601</v>
      </c>
      <c r="BE37">
        <v>1.0742579807275701</v>
      </c>
      <c r="BF37">
        <f t="shared" si="24"/>
        <v>129.31222712690899</v>
      </c>
      <c r="BG37">
        <f t="shared" si="25"/>
        <v>129.39924166486668</v>
      </c>
      <c r="BH37">
        <f t="shared" si="26"/>
        <v>131.7067478070289</v>
      </c>
      <c r="BI37">
        <f t="shared" si="27"/>
        <v>132.30696956415647</v>
      </c>
      <c r="BQ37">
        <v>1.0743164999999899</v>
      </c>
      <c r="BR37">
        <v>1.0753444999999899</v>
      </c>
      <c r="BS37">
        <v>1.074438</v>
      </c>
      <c r="BT37">
        <v>1.07364549999999</v>
      </c>
      <c r="BU37">
        <f t="shared" si="28"/>
        <v>146.87076971521191</v>
      </c>
      <c r="BV37">
        <f t="shared" si="29"/>
        <v>147.15388863099514</v>
      </c>
      <c r="BW37">
        <f t="shared" si="30"/>
        <v>145.32323001150715</v>
      </c>
      <c r="BX37">
        <f t="shared" si="31"/>
        <v>145.70450623097776</v>
      </c>
    </row>
    <row r="38" spans="1:86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3"/>
        <v>1.082741378626136</v>
      </c>
      <c r="J38">
        <f t="shared" si="4"/>
        <v>1.0579272528172985</v>
      </c>
      <c r="K38">
        <f t="shared" si="5"/>
        <v>1.0272476105866388</v>
      </c>
      <c r="L38">
        <v>1.10084328637249</v>
      </c>
      <c r="M38">
        <v>1.10543433299642</v>
      </c>
      <c r="N38">
        <v>1.09625718115957</v>
      </c>
      <c r="O38">
        <v>1.0983479765286599</v>
      </c>
      <c r="P38">
        <f t="shared" si="6"/>
        <v>115.96012448113184</v>
      </c>
      <c r="Q38">
        <f t="shared" si="7"/>
        <v>126.82586333578249</v>
      </c>
      <c r="R38">
        <f t="shared" si="8"/>
        <v>123.03572785790709</v>
      </c>
      <c r="S38">
        <f t="shared" si="9"/>
        <v>161.69917275313381</v>
      </c>
      <c r="T38">
        <f t="shared" si="10"/>
        <v>156.73001086751316</v>
      </c>
      <c r="U38">
        <f t="shared" si="11"/>
        <v>163.67147741930393</v>
      </c>
      <c r="V38">
        <f t="shared" si="12"/>
        <v>156.74352712902618</v>
      </c>
      <c r="W38">
        <f t="shared" si="35"/>
        <v>104.05753005538581</v>
      </c>
      <c r="X38">
        <f t="shared" si="36"/>
        <v>100.93876580366226</v>
      </c>
      <c r="Y38">
        <f t="shared" si="37"/>
        <v>100.05372484322331</v>
      </c>
      <c r="Z38">
        <f t="shared" si="38"/>
        <v>123.05310893957802</v>
      </c>
      <c r="AA38">
        <f t="shared" si="39"/>
        <v>123.74753171231342</v>
      </c>
      <c r="AB38">
        <f t="shared" si="40"/>
        <v>121.92087362004359</v>
      </c>
      <c r="AC38">
        <f t="shared" si="41"/>
        <v>122.89192390153876</v>
      </c>
      <c r="AD38" s="16">
        <f t="shared" si="13"/>
        <v>6.9009570572931223E-2</v>
      </c>
      <c r="AE38" s="16">
        <f t="shared" si="32"/>
        <v>0.38414690067945279</v>
      </c>
      <c r="AF38" s="19">
        <v>20060514</v>
      </c>
      <c r="AG38" s="17">
        <v>1051.67</v>
      </c>
      <c r="AH38">
        <f t="shared" si="14"/>
        <v>2752.8648635892209</v>
      </c>
      <c r="AI38">
        <f t="shared" si="15"/>
        <v>1.0440991933074395</v>
      </c>
      <c r="AJ38">
        <f t="shared" si="16"/>
        <v>177.60521967049419</v>
      </c>
      <c r="AK38">
        <f t="shared" si="42"/>
        <v>109.47241345825505</v>
      </c>
      <c r="AL38">
        <v>1.10517670349685</v>
      </c>
      <c r="AM38">
        <v>1.10468333092525</v>
      </c>
      <c r="AN38">
        <v>1.10187651849075</v>
      </c>
      <c r="AO38">
        <v>1.10255295447457</v>
      </c>
      <c r="AP38">
        <f t="shared" si="17"/>
        <v>137.79919264683693</v>
      </c>
      <c r="AQ38">
        <f t="shared" si="18"/>
        <v>137.8159963168836</v>
      </c>
      <c r="AR38">
        <f t="shared" si="19"/>
        <v>138.96157473812073</v>
      </c>
      <c r="AS38">
        <f t="shared" si="20"/>
        <v>139.94038560295155</v>
      </c>
      <c r="AT38">
        <v>1.1058267034968501</v>
      </c>
      <c r="AU38">
        <v>1.10533333092525</v>
      </c>
      <c r="AV38">
        <v>1.1027601005803001</v>
      </c>
      <c r="AW38">
        <v>1.1033529544745699</v>
      </c>
      <c r="AX38">
        <f t="shared" si="21"/>
        <v>140.41632600785042</v>
      </c>
      <c r="AY38">
        <f t="shared" si="22"/>
        <v>140.44081026440264</v>
      </c>
      <c r="AZ38">
        <f t="shared" si="22"/>
        <v>142.25620031052767</v>
      </c>
      <c r="BA38">
        <f t="shared" si="23"/>
        <v>142.98213134797928</v>
      </c>
      <c r="BB38">
        <v>1.1064767034968499</v>
      </c>
      <c r="BC38">
        <v>1.10598333092525</v>
      </c>
      <c r="BD38">
        <v>1.1035601005803</v>
      </c>
      <c r="BE38">
        <v>1.1041529544745701</v>
      </c>
      <c r="BF38">
        <f t="shared" si="24"/>
        <v>143.08096679321818</v>
      </c>
      <c r="BG38">
        <f t="shared" si="25"/>
        <v>143.11340431571065</v>
      </c>
      <c r="BH38">
        <f t="shared" si="26"/>
        <v>145.34631185702901</v>
      </c>
      <c r="BI38">
        <f t="shared" si="27"/>
        <v>146.0871313418404</v>
      </c>
      <c r="BQ38">
        <v>1.0974969999999999</v>
      </c>
      <c r="BR38">
        <v>1.0970089999999999</v>
      </c>
      <c r="BS38">
        <v>1.09410899999999</v>
      </c>
      <c r="BT38">
        <v>1.0947434999999901</v>
      </c>
      <c r="BU38">
        <f t="shared" si="28"/>
        <v>161.19022915013591</v>
      </c>
      <c r="BV38">
        <f t="shared" si="29"/>
        <v>161.42914021319933</v>
      </c>
      <c r="BW38">
        <f t="shared" si="30"/>
        <v>158.99945386465862</v>
      </c>
      <c r="BX38">
        <f t="shared" si="31"/>
        <v>159.50906111707096</v>
      </c>
    </row>
    <row r="39" spans="1:86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3"/>
        <v>0.9488792780465557</v>
      </c>
      <c r="J39">
        <f t="shared" si="4"/>
        <v>0.93639611455496963</v>
      </c>
      <c r="K39">
        <f t="shared" si="5"/>
        <v>0.95405428522552316</v>
      </c>
      <c r="L39">
        <v>0.940114461488468</v>
      </c>
      <c r="M39">
        <v>0.93835531344340295</v>
      </c>
      <c r="N39">
        <v>0.93871654887189804</v>
      </c>
      <c r="O39">
        <v>0.94491134965082602</v>
      </c>
      <c r="P39">
        <f t="shared" si="6"/>
        <v>110.03215919984511</v>
      </c>
      <c r="Q39">
        <f t="shared" si="7"/>
        <v>118.7592456527063</v>
      </c>
      <c r="R39">
        <f t="shared" si="8"/>
        <v>117.38276339867754</v>
      </c>
      <c r="S39">
        <f t="shared" si="9"/>
        <v>152.01573071594314</v>
      </c>
      <c r="T39">
        <f t="shared" si="10"/>
        <v>147.06843847357325</v>
      </c>
      <c r="U39">
        <f t="shared" si="11"/>
        <v>153.64112443181378</v>
      </c>
      <c r="V39">
        <f t="shared" si="12"/>
        <v>148.10873776851898</v>
      </c>
      <c r="W39">
        <f t="shared" si="35"/>
        <v>98.738033994262253</v>
      </c>
      <c r="X39">
        <f t="shared" si="36"/>
        <v>94.518668106523378</v>
      </c>
      <c r="Y39">
        <f t="shared" si="37"/>
        <v>95.456684939452586</v>
      </c>
      <c r="Z39">
        <f t="shared" si="38"/>
        <v>115.68400724521318</v>
      </c>
      <c r="AA39">
        <f t="shared" si="39"/>
        <v>116.1191539077553</v>
      </c>
      <c r="AB39">
        <f t="shared" si="40"/>
        <v>114.44914172005416</v>
      </c>
      <c r="AC39">
        <f t="shared" si="41"/>
        <v>116.12197367498959</v>
      </c>
      <c r="AD39" s="16">
        <f t="shared" si="13"/>
        <v>-1.533773635362512E-2</v>
      </c>
      <c r="AE39" s="16">
        <f t="shared" si="32"/>
        <v>0.36880916432582767</v>
      </c>
      <c r="AF39" s="19">
        <v>20060515</v>
      </c>
      <c r="AG39" s="17">
        <v>1041.29</v>
      </c>
      <c r="AH39">
        <f t="shared" si="14"/>
        <v>2604.1905197669221</v>
      </c>
      <c r="AI39">
        <f t="shared" si="15"/>
        <v>0.94599286518247205</v>
      </c>
      <c r="AJ39">
        <f t="shared" si="16"/>
        <v>168.01327062745315</v>
      </c>
      <c r="AK39">
        <f t="shared" si="42"/>
        <v>103.56012206581491</v>
      </c>
      <c r="AL39">
        <v>0.93809675141781201</v>
      </c>
      <c r="AM39">
        <v>0.93809675141781201</v>
      </c>
      <c r="AN39">
        <v>0.93447455413282099</v>
      </c>
      <c r="AO39">
        <v>0.93445714119749801</v>
      </c>
      <c r="AP39">
        <f t="shared" si="17"/>
        <v>129.26897496999496</v>
      </c>
      <c r="AQ39">
        <f t="shared" si="18"/>
        <v>129.28473843827766</v>
      </c>
      <c r="AR39">
        <f t="shared" si="19"/>
        <v>129.85605559500004</v>
      </c>
      <c r="AS39">
        <f t="shared" si="20"/>
        <v>130.7682926686096</v>
      </c>
      <c r="AT39">
        <v>0.93882175141781199</v>
      </c>
      <c r="AU39">
        <v>0.93882175141781199</v>
      </c>
      <c r="AV39">
        <v>0.93540714119749802</v>
      </c>
      <c r="AW39">
        <v>0.93533214119749797</v>
      </c>
      <c r="AX39">
        <f t="shared" si="21"/>
        <v>131.8259011103446</v>
      </c>
      <c r="AY39">
        <f t="shared" si="22"/>
        <v>131.84888746296312</v>
      </c>
      <c r="AZ39">
        <f t="shared" si="22"/>
        <v>133.06746565008933</v>
      </c>
      <c r="BA39">
        <f t="shared" si="23"/>
        <v>133.73578306668736</v>
      </c>
      <c r="BB39">
        <v>0.93954675141781296</v>
      </c>
      <c r="BC39">
        <v>0.93954675141781296</v>
      </c>
      <c r="BD39">
        <v>0.93625714119749803</v>
      </c>
      <c r="BE39">
        <v>0.93620714119749804</v>
      </c>
      <c r="BF39">
        <f t="shared" si="24"/>
        <v>134.4312575402881</v>
      </c>
      <c r="BG39">
        <f t="shared" si="25"/>
        <v>134.46173410916995</v>
      </c>
      <c r="BH39">
        <f t="shared" si="26"/>
        <v>136.08152242286198</v>
      </c>
      <c r="BI39">
        <f t="shared" si="27"/>
        <v>136.76781559928781</v>
      </c>
      <c r="BQ39">
        <v>0.93381599999999898</v>
      </c>
      <c r="BR39">
        <v>0.93381599999999898</v>
      </c>
      <c r="BS39">
        <v>0.93243849999999995</v>
      </c>
      <c r="BT39">
        <v>0.93233849999999996</v>
      </c>
      <c r="BU39">
        <f t="shared" si="28"/>
        <v>150.52201502406314</v>
      </c>
      <c r="BV39">
        <f t="shared" si="29"/>
        <v>150.74511399732879</v>
      </c>
      <c r="BW39">
        <f t="shared" si="30"/>
        <v>148.25721226238147</v>
      </c>
      <c r="BX39">
        <f t="shared" si="31"/>
        <v>148.71643877829825</v>
      </c>
    </row>
    <row r="40" spans="1:86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3"/>
        <v>0.98378132470397361</v>
      </c>
      <c r="J40">
        <f t="shared" si="4"/>
        <v>0.98096078730609171</v>
      </c>
      <c r="K40">
        <f t="shared" si="5"/>
        <v>0.99826671647366449</v>
      </c>
      <c r="L40">
        <v>1.0653195897966501</v>
      </c>
      <c r="M40">
        <v>1.06093449349196</v>
      </c>
      <c r="N40">
        <v>1.10088786655352</v>
      </c>
      <c r="O40">
        <v>1.0958385179547101</v>
      </c>
      <c r="P40">
        <f t="shared" si="6"/>
        <v>108.24758333766214</v>
      </c>
      <c r="Q40">
        <f t="shared" si="7"/>
        <v>116.49816311535632</v>
      </c>
      <c r="R40">
        <f t="shared" si="8"/>
        <v>117.17930578860287</v>
      </c>
      <c r="S40">
        <f t="shared" si="9"/>
        <v>161.94533588894657</v>
      </c>
      <c r="T40">
        <f t="shared" si="10"/>
        <v>156.02997928061393</v>
      </c>
      <c r="U40">
        <f t="shared" si="11"/>
        <v>169.14164969062338</v>
      </c>
      <c r="V40">
        <f t="shared" si="12"/>
        <v>162.30325969239664</v>
      </c>
      <c r="W40">
        <f t="shared" si="35"/>
        <v>97.1366338815413</v>
      </c>
      <c r="X40">
        <f t="shared" si="36"/>
        <v>92.719107080898354</v>
      </c>
      <c r="Y40">
        <f t="shared" si="37"/>
        <v>95.291231439968428</v>
      </c>
      <c r="Z40">
        <f t="shared" si="38"/>
        <v>123.2404391445032</v>
      </c>
      <c r="AA40">
        <f t="shared" si="39"/>
        <v>123.19481573583933</v>
      </c>
      <c r="AB40">
        <f t="shared" si="40"/>
        <v>125.99567145707188</v>
      </c>
      <c r="AC40">
        <f t="shared" si="41"/>
        <v>127.25093153397646</v>
      </c>
      <c r="AD40" s="16">
        <f t="shared" si="13"/>
        <v>0.10262115007985551</v>
      </c>
      <c r="AE40" s="16">
        <f t="shared" si="32"/>
        <v>0.47143031440568317</v>
      </c>
      <c r="AF40" s="19">
        <v>20060516</v>
      </c>
      <c r="AG40" s="17">
        <v>1031.6300000000001</v>
      </c>
      <c r="AH40">
        <f t="shared" si="14"/>
        <v>2610.4662471024099</v>
      </c>
      <c r="AI40">
        <f t="shared" si="15"/>
        <v>1.002409857223522</v>
      </c>
      <c r="AJ40">
        <f t="shared" si="16"/>
        <v>168.41815862132228</v>
      </c>
      <c r="AK40">
        <f t="shared" si="42"/>
        <v>103.80968717404404</v>
      </c>
      <c r="AL40">
        <v>1.0610338098685701</v>
      </c>
      <c r="AM40">
        <v>1.0610338098685701</v>
      </c>
      <c r="AN40">
        <v>1.0968762047089</v>
      </c>
      <c r="AO40">
        <v>1.09695829426114</v>
      </c>
      <c r="AP40">
        <f t="shared" si="17"/>
        <v>137.15875301021859</v>
      </c>
      <c r="AQ40">
        <f t="shared" si="18"/>
        <v>137.17547858302731</v>
      </c>
      <c r="AR40">
        <f t="shared" si="19"/>
        <v>142.43601741951156</v>
      </c>
      <c r="AS40">
        <f t="shared" si="20"/>
        <v>143.44736326919954</v>
      </c>
      <c r="AT40">
        <v>1.0619588098685699</v>
      </c>
      <c r="AU40">
        <v>1.0619588098685699</v>
      </c>
      <c r="AV40">
        <v>1.09783329426114</v>
      </c>
      <c r="AW40">
        <v>1.09783329426114</v>
      </c>
      <c r="AX40">
        <f t="shared" si="21"/>
        <v>139.99367705299335</v>
      </c>
      <c r="AY40">
        <f t="shared" si="22"/>
        <v>140.01808761266332</v>
      </c>
      <c r="AZ40">
        <f t="shared" si="22"/>
        <v>146.08589417361867</v>
      </c>
      <c r="BA40">
        <f t="shared" si="23"/>
        <v>146.81959528469457</v>
      </c>
      <c r="BB40">
        <v>1.06288380986857</v>
      </c>
      <c r="BC40">
        <v>1.06288380986857</v>
      </c>
      <c r="BD40">
        <v>1.0987082942611399</v>
      </c>
      <c r="BE40">
        <v>1.0987082942611399</v>
      </c>
      <c r="BF40">
        <f t="shared" si="24"/>
        <v>142.88480717984436</v>
      </c>
      <c r="BG40">
        <f t="shared" si="25"/>
        <v>142.9172002314892</v>
      </c>
      <c r="BH40">
        <f t="shared" si="26"/>
        <v>149.51389738168174</v>
      </c>
      <c r="BI40">
        <f t="shared" si="27"/>
        <v>150.26793338691564</v>
      </c>
      <c r="BQ40">
        <v>1.06895249999999</v>
      </c>
      <c r="BR40">
        <v>1.06895249999999</v>
      </c>
      <c r="BS40">
        <v>1.1056495</v>
      </c>
      <c r="BT40">
        <v>1.1056495</v>
      </c>
      <c r="BU40">
        <f t="shared" si="28"/>
        <v>160.90088426500833</v>
      </c>
      <c r="BV40">
        <f t="shared" si="29"/>
        <v>161.13936647022808</v>
      </c>
      <c r="BW40">
        <f t="shared" si="30"/>
        <v>163.92051260929594</v>
      </c>
      <c r="BX40">
        <f t="shared" si="31"/>
        <v>164.42825617700606</v>
      </c>
    </row>
    <row r="41" spans="1:86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3"/>
        <v>1.0317418769413327</v>
      </c>
      <c r="J41">
        <f t="shared" si="4"/>
        <v>1.0153175994718939</v>
      </c>
      <c r="K41">
        <f t="shared" si="5"/>
        <v>1.0498785093824683</v>
      </c>
      <c r="L41">
        <v>1.1416449270586</v>
      </c>
      <c r="M41">
        <v>1.1474924200422301</v>
      </c>
      <c r="N41">
        <v>1.1501820088808199</v>
      </c>
      <c r="O41">
        <v>1.15189043483563</v>
      </c>
      <c r="P41">
        <f t="shared" si="6"/>
        <v>111.68356480716287</v>
      </c>
      <c r="Q41">
        <f t="shared" si="7"/>
        <v>118.28263531716871</v>
      </c>
      <c r="R41">
        <f t="shared" si="8"/>
        <v>123.02403489181083</v>
      </c>
      <c r="S41">
        <f t="shared" si="9"/>
        <v>184.88407117841689</v>
      </c>
      <c r="T41">
        <f t="shared" si="10"/>
        <v>179.0432185238507</v>
      </c>
      <c r="U41">
        <f t="shared" si="11"/>
        <v>194.54368242657711</v>
      </c>
      <c r="V41">
        <f t="shared" si="12"/>
        <v>186.95557238231495</v>
      </c>
      <c r="W41">
        <f t="shared" si="35"/>
        <v>100.21993296070447</v>
      </c>
      <c r="X41">
        <f t="shared" si="36"/>
        <v>94.139341226555203</v>
      </c>
      <c r="Y41">
        <f t="shared" si="37"/>
        <v>100.04421602141385</v>
      </c>
      <c r="Z41">
        <f t="shared" si="38"/>
        <v>140.69682215779619</v>
      </c>
      <c r="AA41">
        <f t="shared" si="39"/>
        <v>141.36511724537488</v>
      </c>
      <c r="AB41">
        <f t="shared" si="40"/>
        <v>144.91795450678271</v>
      </c>
      <c r="AC41">
        <f t="shared" si="41"/>
        <v>146.57913085791114</v>
      </c>
      <c r="AD41" s="16">
        <f t="shared" si="13"/>
        <v>0.1003034994983516</v>
      </c>
      <c r="AE41" s="16">
        <f t="shared" si="32"/>
        <v>0.57173381390403477</v>
      </c>
      <c r="AF41" s="19">
        <v>20060517</v>
      </c>
      <c r="AG41" s="18">
        <v>1040.3699999999999</v>
      </c>
      <c r="AH41">
        <f t="shared" si="14"/>
        <v>2773.4650698593132</v>
      </c>
      <c r="AI41">
        <f t="shared" si="15"/>
        <v>1.0624405019363228</v>
      </c>
      <c r="AJ41">
        <f t="shared" si="16"/>
        <v>178.93427298082887</v>
      </c>
      <c r="AK41">
        <f t="shared" si="42"/>
        <v>110.291616147044</v>
      </c>
      <c r="AL41">
        <v>1.14688558994793</v>
      </c>
      <c r="AM41">
        <v>1.14688558994793</v>
      </c>
      <c r="AN41">
        <v>1.14057644610706</v>
      </c>
      <c r="AO41">
        <v>1.14065704312198</v>
      </c>
      <c r="AP41">
        <f t="shared" si="17"/>
        <v>157.30539736264697</v>
      </c>
      <c r="AQ41">
        <f t="shared" si="18"/>
        <v>157.32457968108491</v>
      </c>
      <c r="AR41">
        <f t="shared" si="19"/>
        <v>162.45916654598977</v>
      </c>
      <c r="AS41">
        <f t="shared" si="20"/>
        <v>163.62424523028969</v>
      </c>
      <c r="AT41">
        <v>1.14753558994793</v>
      </c>
      <c r="AU41">
        <v>1.14753558994793</v>
      </c>
      <c r="AV41">
        <v>1.14160704312198</v>
      </c>
      <c r="AW41">
        <v>1.14160704312198</v>
      </c>
      <c r="AX41">
        <f t="shared" si="21"/>
        <v>160.64772678598672</v>
      </c>
      <c r="AY41">
        <f t="shared" si="22"/>
        <v>160.67573877197856</v>
      </c>
      <c r="AZ41">
        <f t="shared" si="22"/>
        <v>166.77268568937529</v>
      </c>
      <c r="BA41">
        <f t="shared" si="23"/>
        <v>167.61028404532598</v>
      </c>
      <c r="BB41">
        <v>1.1481855899479301</v>
      </c>
      <c r="BC41">
        <v>1.1481855899479301</v>
      </c>
      <c r="BD41">
        <v>1.14255704312198</v>
      </c>
      <c r="BE41">
        <v>1.14255704312198</v>
      </c>
      <c r="BF41">
        <f t="shared" si="24"/>
        <v>164.05827662638583</v>
      </c>
      <c r="BG41">
        <f t="shared" si="25"/>
        <v>164.09546986149888</v>
      </c>
      <c r="BH41">
        <f t="shared" si="26"/>
        <v>170.82815649805744</v>
      </c>
      <c r="BI41">
        <f t="shared" si="27"/>
        <v>171.689685646605</v>
      </c>
      <c r="BQ41">
        <v>1.1477930000000001</v>
      </c>
      <c r="BR41">
        <v>1.1477930000000001</v>
      </c>
      <c r="BS41">
        <v>1.1407274999999899</v>
      </c>
      <c r="BT41">
        <v>1.1407274999999899</v>
      </c>
      <c r="BU41">
        <f t="shared" si="28"/>
        <v>184.68090865318672</v>
      </c>
      <c r="BV41">
        <f t="shared" si="29"/>
        <v>184.95463685896252</v>
      </c>
      <c r="BW41">
        <f t="shared" si="30"/>
        <v>186.98863654751898</v>
      </c>
      <c r="BX41">
        <f t="shared" si="31"/>
        <v>187.56783359815401</v>
      </c>
    </row>
    <row r="42" spans="1:86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3"/>
        <v>0.92468498942917554</v>
      </c>
      <c r="J42">
        <f t="shared" si="4"/>
        <v>0.90187763485923966</v>
      </c>
      <c r="K42">
        <f t="shared" si="5"/>
        <v>0.90431224575143532</v>
      </c>
      <c r="L42">
        <v>0.91390779928010701</v>
      </c>
      <c r="M42">
        <v>0.92995305563243003</v>
      </c>
      <c r="N42">
        <v>0.91036887220949203</v>
      </c>
      <c r="O42">
        <v>0.927596870771219</v>
      </c>
      <c r="P42">
        <f t="shared" si="6"/>
        <v>103.27211594312404</v>
      </c>
      <c r="Q42">
        <f t="shared" si="7"/>
        <v>106.67646338476609</v>
      </c>
      <c r="R42">
        <f t="shared" si="8"/>
        <v>111.25214127441639</v>
      </c>
      <c r="S42">
        <f t="shared" si="9"/>
        <v>168.96699461261363</v>
      </c>
      <c r="T42">
        <f t="shared" si="10"/>
        <v>166.50178815651986</v>
      </c>
      <c r="U42">
        <f t="shared" si="11"/>
        <v>177.10651276616457</v>
      </c>
      <c r="V42">
        <f t="shared" si="12"/>
        <v>173.41940391507748</v>
      </c>
      <c r="W42">
        <f t="shared" si="35"/>
        <v>92.67186765036169</v>
      </c>
      <c r="X42">
        <f t="shared" si="36"/>
        <v>84.902166412612516</v>
      </c>
      <c r="Y42">
        <f t="shared" si="37"/>
        <v>90.471209664766477</v>
      </c>
      <c r="Z42">
        <f t="shared" si="38"/>
        <v>128.58392310393612</v>
      </c>
      <c r="AA42">
        <f t="shared" si="39"/>
        <v>131.46292274217311</v>
      </c>
      <c r="AB42">
        <f t="shared" si="40"/>
        <v>131.92879480724625</v>
      </c>
      <c r="AC42">
        <f t="shared" si="41"/>
        <v>135.9663431041634</v>
      </c>
      <c r="AD42" s="16">
        <f t="shared" si="13"/>
        <v>6.0566264580567131E-3</v>
      </c>
      <c r="AE42" s="16">
        <f t="shared" si="32"/>
        <v>0.57779044036209148</v>
      </c>
      <c r="AF42" s="19">
        <v>20060518</v>
      </c>
      <c r="AG42" s="17">
        <v>1031.99</v>
      </c>
      <c r="AH42">
        <f t="shared" si="14"/>
        <v>2585.17452764578</v>
      </c>
      <c r="AI42">
        <f t="shared" si="15"/>
        <v>0.93211000049728965</v>
      </c>
      <c r="AJ42">
        <f t="shared" si="16"/>
        <v>166.78642527714254</v>
      </c>
      <c r="AK42">
        <f t="shared" si="42"/>
        <v>102.80391838166805</v>
      </c>
      <c r="AL42">
        <v>0.91713237714748497</v>
      </c>
      <c r="AM42">
        <v>0.91713237714748497</v>
      </c>
      <c r="AN42">
        <v>0.91237614906111297</v>
      </c>
      <c r="AO42">
        <v>0.91245575105116195</v>
      </c>
      <c r="AP42">
        <f t="shared" si="17"/>
        <v>144.26987302133412</v>
      </c>
      <c r="AQ42">
        <f t="shared" si="18"/>
        <v>144.28746574664231</v>
      </c>
      <c r="AR42">
        <f t="shared" si="19"/>
        <v>148.22386875290815</v>
      </c>
      <c r="AS42">
        <f t="shared" si="20"/>
        <v>149.29988357178348</v>
      </c>
      <c r="AT42">
        <v>0.91805737714748503</v>
      </c>
      <c r="AU42">
        <v>0.91805737714748503</v>
      </c>
      <c r="AV42">
        <v>0.91345575105116195</v>
      </c>
      <c r="AW42">
        <v>0.91345575105116195</v>
      </c>
      <c r="AX42">
        <f t="shared" si="21"/>
        <v>147.48383069784873</v>
      </c>
      <c r="AY42">
        <f t="shared" si="22"/>
        <v>147.5095473082371</v>
      </c>
      <c r="AZ42">
        <f t="shared" si="22"/>
        <v>152.33946886120768</v>
      </c>
      <c r="BA42">
        <f t="shared" si="23"/>
        <v>153.10457789652185</v>
      </c>
      <c r="BB42">
        <v>0.91898237714748499</v>
      </c>
      <c r="BC42">
        <v>0.91898237714748499</v>
      </c>
      <c r="BD42">
        <v>0.91445575105116195</v>
      </c>
      <c r="BE42">
        <v>0.91445575105116195</v>
      </c>
      <c r="BF42">
        <f t="shared" si="24"/>
        <v>150.76666504483572</v>
      </c>
      <c r="BG42">
        <f t="shared" si="25"/>
        <v>150.80084497245372</v>
      </c>
      <c r="BH42">
        <f t="shared" si="26"/>
        <v>156.21479015111655</v>
      </c>
      <c r="BI42">
        <f t="shared" si="27"/>
        <v>157.00262043570407</v>
      </c>
      <c r="BQ42">
        <v>0.921014</v>
      </c>
      <c r="BR42">
        <v>0.921014</v>
      </c>
      <c r="BS42">
        <v>0.91248300000000004</v>
      </c>
      <c r="BT42">
        <v>0.91248300000000004</v>
      </c>
      <c r="BU42">
        <f t="shared" si="28"/>
        <v>170.09370240230612</v>
      </c>
      <c r="BV42">
        <f t="shared" si="29"/>
        <v>170.34580991202051</v>
      </c>
      <c r="BW42">
        <f t="shared" si="30"/>
        <v>170.62395204278977</v>
      </c>
      <c r="BX42">
        <f t="shared" si="31"/>
        <v>171.15245950514438</v>
      </c>
    </row>
    <row r="43" spans="1:86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3"/>
        <v>1.0221731416447175</v>
      </c>
      <c r="J43">
        <f t="shared" si="4"/>
        <v>1.0527734410873357</v>
      </c>
      <c r="K43">
        <f t="shared" si="5"/>
        <v>1.0404805322430619</v>
      </c>
      <c r="L43">
        <v>0.99137195686575297</v>
      </c>
      <c r="M43">
        <v>0.98946177175304195</v>
      </c>
      <c r="N43">
        <v>0.99816043732890902</v>
      </c>
      <c r="O43">
        <v>0.99382526797408899</v>
      </c>
      <c r="P43">
        <f t="shared" si="6"/>
        <v>105.56198319788061</v>
      </c>
      <c r="Q43">
        <f t="shared" si="7"/>
        <v>112.30614744060738</v>
      </c>
      <c r="R43">
        <f t="shared" si="8"/>
        <v>115.75568716638509</v>
      </c>
      <c r="S43">
        <f t="shared" si="9"/>
        <v>167.50914009483191</v>
      </c>
      <c r="T43">
        <f t="shared" si="10"/>
        <v>164.7471543093998</v>
      </c>
      <c r="U43">
        <f t="shared" si="11"/>
        <v>176.78071423647285</v>
      </c>
      <c r="V43">
        <f t="shared" si="12"/>
        <v>172.34858556780864</v>
      </c>
      <c r="W43">
        <f t="shared" si="35"/>
        <v>94.726694098253674</v>
      </c>
      <c r="X43">
        <f t="shared" si="36"/>
        <v>89.382745889975695</v>
      </c>
      <c r="Y43">
        <f t="shared" si="37"/>
        <v>94.133532384669877</v>
      </c>
      <c r="Z43">
        <f t="shared" si="38"/>
        <v>127.47449546902465</v>
      </c>
      <c r="AA43">
        <f t="shared" si="39"/>
        <v>130.07753645630387</v>
      </c>
      <c r="AB43">
        <f t="shared" si="40"/>
        <v>131.68610352107683</v>
      </c>
      <c r="AC43">
        <f t="shared" si="41"/>
        <v>135.12678737095212</v>
      </c>
      <c r="AD43" s="16">
        <f t="shared" si="13"/>
        <v>-4.2320094914152895E-2</v>
      </c>
      <c r="AE43" s="16">
        <f t="shared" si="32"/>
        <v>0.53547034544793859</v>
      </c>
      <c r="AF43" s="19">
        <v>20060519</v>
      </c>
      <c r="AG43" s="17">
        <v>1034.31</v>
      </c>
      <c r="AH43">
        <f t="shared" si="14"/>
        <v>2558.7211684335361</v>
      </c>
      <c r="AI43">
        <f t="shared" si="15"/>
        <v>0.98976728304826134</v>
      </c>
      <c r="AJ43">
        <f t="shared" si="16"/>
        <v>165.07974699588922</v>
      </c>
      <c r="AK43">
        <f t="shared" si="42"/>
        <v>101.75195498333881</v>
      </c>
      <c r="AL43">
        <v>0.98560130180732497</v>
      </c>
      <c r="AM43">
        <v>0.98560130180732497</v>
      </c>
      <c r="AN43">
        <v>0.98630628460217995</v>
      </c>
      <c r="AO43">
        <v>0.98638688161710497</v>
      </c>
      <c r="AP43">
        <f t="shared" si="17"/>
        <v>142.19257466140439</v>
      </c>
      <c r="AQ43">
        <f t="shared" si="18"/>
        <v>142.20991407437046</v>
      </c>
      <c r="AR43">
        <f t="shared" si="19"/>
        <v>146.19413327904198</v>
      </c>
      <c r="AS43">
        <f t="shared" si="20"/>
        <v>147.26744658216836</v>
      </c>
      <c r="AT43">
        <v>0.98620130180732501</v>
      </c>
      <c r="AU43">
        <v>0.98620130180732501</v>
      </c>
      <c r="AV43">
        <v>0.98733688161710498</v>
      </c>
      <c r="AW43">
        <v>0.98733688161710498</v>
      </c>
      <c r="AX43">
        <f t="shared" si="21"/>
        <v>145.44874582974956</v>
      </c>
      <c r="AY43">
        <f t="shared" si="22"/>
        <v>145.47410758439261</v>
      </c>
      <c r="AZ43">
        <f t="shared" si="22"/>
        <v>150.41037613263086</v>
      </c>
      <c r="BA43">
        <f t="shared" si="23"/>
        <v>151.16579650165502</v>
      </c>
      <c r="BB43">
        <v>0.98680130180732495</v>
      </c>
      <c r="BC43">
        <v>0.98680130180732495</v>
      </c>
      <c r="BD43">
        <v>0.98828688161710498</v>
      </c>
      <c r="BE43">
        <v>0.98828688161710498</v>
      </c>
      <c r="BF43">
        <f t="shared" si="24"/>
        <v>148.77674133539281</v>
      </c>
      <c r="BG43">
        <f t="shared" si="25"/>
        <v>148.81047013246192</v>
      </c>
      <c r="BH43">
        <f t="shared" si="26"/>
        <v>154.38502782091743</v>
      </c>
      <c r="BI43">
        <f t="shared" si="27"/>
        <v>155.16363015611594</v>
      </c>
      <c r="BQ43">
        <v>0.98510200000000003</v>
      </c>
      <c r="BR43">
        <v>0.98510200000000003</v>
      </c>
      <c r="BS43">
        <v>0.98432549999999996</v>
      </c>
      <c r="BT43">
        <v>0.98432549999999996</v>
      </c>
      <c r="BU43">
        <f t="shared" si="28"/>
        <v>167.55964642391658</v>
      </c>
      <c r="BV43">
        <f t="shared" si="29"/>
        <v>167.80799803595124</v>
      </c>
      <c r="BW43">
        <f t="shared" si="30"/>
        <v>167.94950690649506</v>
      </c>
      <c r="BX43">
        <f t="shared" si="31"/>
        <v>168.46973027863098</v>
      </c>
    </row>
    <row r="44" spans="1:86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3"/>
        <v>1.0177420292837429</v>
      </c>
      <c r="J44">
        <f t="shared" si="4"/>
        <v>0.9829591796679068</v>
      </c>
      <c r="K44">
        <f t="shared" si="5"/>
        <v>0.96058426603095082</v>
      </c>
      <c r="L44">
        <v>0.97499004462252303</v>
      </c>
      <c r="M44">
        <v>0.96846194410766895</v>
      </c>
      <c r="N44">
        <v>0.97293484728991497</v>
      </c>
      <c r="O44">
        <v>0.96564070207707597</v>
      </c>
      <c r="P44">
        <f t="shared" si="6"/>
        <v>107.43486699502738</v>
      </c>
      <c r="Q44">
        <f t="shared" si="7"/>
        <v>110.39235855988241</v>
      </c>
      <c r="R44">
        <f t="shared" si="8"/>
        <v>111.19309179563037</v>
      </c>
      <c r="S44">
        <f t="shared" si="9"/>
        <v>163.31974397574064</v>
      </c>
      <c r="T44">
        <f t="shared" si="10"/>
        <v>159.55134934868747</v>
      </c>
      <c r="U44">
        <f t="shared" si="11"/>
        <v>171.99611720946481</v>
      </c>
      <c r="V44">
        <f t="shared" si="12"/>
        <v>166.42680916968973</v>
      </c>
      <c r="W44">
        <f t="shared" si="35"/>
        <v>96.407337878897053</v>
      </c>
      <c r="X44">
        <f t="shared" si="36"/>
        <v>87.859590576475483</v>
      </c>
      <c r="Y44">
        <f t="shared" si="37"/>
        <v>90.423190114628852</v>
      </c>
      <c r="Z44">
        <f t="shared" si="38"/>
        <v>124.28636402557795</v>
      </c>
      <c r="AA44">
        <f t="shared" si="39"/>
        <v>125.97514384120824</v>
      </c>
      <c r="AB44">
        <f t="shared" si="40"/>
        <v>128.12199901948281</v>
      </c>
      <c r="AC44">
        <f t="shared" si="41"/>
        <v>130.48392582630598</v>
      </c>
      <c r="AD44" s="16">
        <f t="shared" si="13"/>
        <v>1.2350581258964155E-2</v>
      </c>
      <c r="AE44" s="16">
        <f t="shared" si="32"/>
        <v>0.54782092670690274</v>
      </c>
      <c r="AF44" s="19">
        <v>20060520</v>
      </c>
      <c r="AG44" s="17">
        <v>1034.25</v>
      </c>
      <c r="AH44">
        <f t="shared" si="14"/>
        <v>2494.3669587962422</v>
      </c>
      <c r="AI44">
        <f t="shared" si="15"/>
        <v>0.97484907287624001</v>
      </c>
      <c r="AJ44">
        <f t="shared" si="16"/>
        <v>160.92783830958689</v>
      </c>
      <c r="AK44">
        <f t="shared" si="42"/>
        <v>99.19279897885275</v>
      </c>
      <c r="AL44">
        <v>0.97028791732834596</v>
      </c>
      <c r="AM44">
        <v>0.97028791732834596</v>
      </c>
      <c r="AN44">
        <v>0.96976972306967801</v>
      </c>
      <c r="AO44">
        <v>0.96997175552155501</v>
      </c>
      <c r="AP44">
        <f t="shared" si="17"/>
        <v>137.9677371277694</v>
      </c>
      <c r="AQ44">
        <f t="shared" si="18"/>
        <v>137.98456135066394</v>
      </c>
      <c r="AR44">
        <f t="shared" si="19"/>
        <v>141.77464414442815</v>
      </c>
      <c r="AS44">
        <f t="shared" si="20"/>
        <v>142.84526369248266</v>
      </c>
      <c r="AT44">
        <v>0.970937917328346</v>
      </c>
      <c r="AU44">
        <v>0.970937917328346</v>
      </c>
      <c r="AV44">
        <v>0.97048178774629501</v>
      </c>
      <c r="AW44">
        <v>0.97057175552155495</v>
      </c>
      <c r="AX44">
        <f t="shared" si="21"/>
        <v>141.22170235395697</v>
      </c>
      <c r="AY44">
        <f t="shared" si="22"/>
        <v>141.24632704318989</v>
      </c>
      <c r="AZ44">
        <f t="shared" si="22"/>
        <v>145.97053072478826</v>
      </c>
      <c r="BA44">
        <f t="shared" si="23"/>
        <v>146.71725248542543</v>
      </c>
      <c r="BB44">
        <v>0.97158791732834604</v>
      </c>
      <c r="BC44">
        <v>0.97158791732834604</v>
      </c>
      <c r="BD44">
        <v>0.971106787746295</v>
      </c>
      <c r="BE44">
        <v>0.97117175552155499</v>
      </c>
      <c r="BF44">
        <f t="shared" si="24"/>
        <v>144.54968426095235</v>
      </c>
      <c r="BG44">
        <f t="shared" si="25"/>
        <v>144.5824547526507</v>
      </c>
      <c r="BH44">
        <f t="shared" si="26"/>
        <v>149.9243484432935</v>
      </c>
      <c r="BI44">
        <f t="shared" si="27"/>
        <v>150.69053509181242</v>
      </c>
      <c r="BQ44">
        <v>0.97678299999999896</v>
      </c>
      <c r="BR44">
        <v>0.97678299999999896</v>
      </c>
      <c r="BS44">
        <v>0.97686249999999897</v>
      </c>
      <c r="BT44">
        <v>0.97681849999999903</v>
      </c>
      <c r="BU44">
        <f t="shared" si="28"/>
        <v>163.66941411289233</v>
      </c>
      <c r="BV44">
        <f t="shared" si="29"/>
        <v>163.91199974555039</v>
      </c>
      <c r="BW44">
        <f t="shared" si="30"/>
        <v>164.06357519044585</v>
      </c>
      <c r="BX44">
        <f t="shared" si="31"/>
        <v>164.56434922617672</v>
      </c>
    </row>
    <row r="45" spans="1:86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3"/>
        <v>1.0218678435009647</v>
      </c>
      <c r="J45">
        <f t="shared" si="4"/>
        <v>1.0362832015477046</v>
      </c>
      <c r="K45">
        <f t="shared" si="5"/>
        <v>1.0415378467621512</v>
      </c>
      <c r="L45">
        <v>1.0502116213627599</v>
      </c>
      <c r="M45">
        <v>1.03412162928414</v>
      </c>
      <c r="N45">
        <v>1.0593258326616799</v>
      </c>
      <c r="O45">
        <v>1.0454204336131701</v>
      </c>
      <c r="P45">
        <f t="shared" si="6"/>
        <v>109.7842358530216</v>
      </c>
      <c r="Q45">
        <f t="shared" si="7"/>
        <v>114.3977467548371</v>
      </c>
      <c r="R45">
        <f t="shared" si="8"/>
        <v>115.81181340364708</v>
      </c>
      <c r="S45">
        <f t="shared" si="9"/>
        <v>171.52029312131341</v>
      </c>
      <c r="T45">
        <f t="shared" si="10"/>
        <v>164.99550134294768</v>
      </c>
      <c r="U45">
        <f t="shared" si="11"/>
        <v>182.19993007749221</v>
      </c>
      <c r="V45">
        <f t="shared" si="12"/>
        <v>173.98598700703334</v>
      </c>
      <c r="W45">
        <f t="shared" si="35"/>
        <v>98.515558455977398</v>
      </c>
      <c r="X45">
        <f t="shared" si="36"/>
        <v>91.047417809260551</v>
      </c>
      <c r="Y45">
        <f t="shared" si="37"/>
        <v>94.179174729355168</v>
      </c>
      <c r="Z45">
        <f t="shared" si="38"/>
        <v>130.52698387658441</v>
      </c>
      <c r="AA45">
        <f t="shared" si="39"/>
        <v>130.27362099837416</v>
      </c>
      <c r="AB45">
        <f t="shared" si="40"/>
        <v>135.72294329359258</v>
      </c>
      <c r="AC45">
        <f t="shared" si="41"/>
        <v>136.41056231688552</v>
      </c>
      <c r="AD45" s="16">
        <f t="shared" si="13"/>
        <v>1.778798589952868E-2</v>
      </c>
      <c r="AE45" s="16">
        <f t="shared" si="32"/>
        <v>0.56560891260643142</v>
      </c>
      <c r="AF45" s="19">
        <v>20060521</v>
      </c>
      <c r="AG45" s="17">
        <v>1034.19</v>
      </c>
      <c r="AH45">
        <f t="shared" si="14"/>
        <v>2510.6141210235742</v>
      </c>
      <c r="AI45">
        <f t="shared" si="15"/>
        <v>1.0065135413095645</v>
      </c>
      <c r="AJ45">
        <f t="shared" si="16"/>
        <v>161.97604843227529</v>
      </c>
      <c r="AK45">
        <f t="shared" si="42"/>
        <v>99.838895372612839</v>
      </c>
      <c r="AL45">
        <v>1.0487106527855401</v>
      </c>
      <c r="AM45">
        <v>1.0487106527855401</v>
      </c>
      <c r="AN45">
        <v>1.0614006876590401</v>
      </c>
      <c r="AO45">
        <v>1.06158576228591</v>
      </c>
      <c r="AP45">
        <f t="shared" si="17"/>
        <v>144.68823566660683</v>
      </c>
      <c r="AQ45">
        <f t="shared" si="18"/>
        <v>144.70587940838118</v>
      </c>
      <c r="AR45">
        <f t="shared" si="19"/>
        <v>150.47970478751174</v>
      </c>
      <c r="AS45">
        <f t="shared" si="20"/>
        <v>151.64249814591602</v>
      </c>
      <c r="AT45">
        <v>1.0492606527855499</v>
      </c>
      <c r="AU45">
        <v>1.0492606527855499</v>
      </c>
      <c r="AV45">
        <v>1.06221076228591</v>
      </c>
      <c r="AW45">
        <v>1.0622857622859101</v>
      </c>
      <c r="AX45">
        <f t="shared" si="21"/>
        <v>148.17837559939952</v>
      </c>
      <c r="AY45">
        <f t="shared" si="22"/>
        <v>148.20421331689869</v>
      </c>
      <c r="AZ45">
        <f t="shared" si="22"/>
        <v>155.0514687124562</v>
      </c>
      <c r="BA45">
        <f t="shared" si="23"/>
        <v>155.85564839697449</v>
      </c>
      <c r="BB45">
        <v>1.04981065278554</v>
      </c>
      <c r="BC45">
        <v>1.04981065278554</v>
      </c>
      <c r="BD45">
        <v>1.0629357622859099</v>
      </c>
      <c r="BE45">
        <v>1.06298576228591</v>
      </c>
      <c r="BF45">
        <f t="shared" si="24"/>
        <v>151.74979839393407</v>
      </c>
      <c r="BG45">
        <f t="shared" si="25"/>
        <v>151.78420120521602</v>
      </c>
      <c r="BH45">
        <f t="shared" si="26"/>
        <v>159.35995159779054</v>
      </c>
      <c r="BI45">
        <f t="shared" si="27"/>
        <v>160.1818933138419</v>
      </c>
      <c r="BQ45">
        <v>1.0497105</v>
      </c>
      <c r="BR45">
        <v>1.0497105</v>
      </c>
      <c r="BS45">
        <v>1.0617474999999901</v>
      </c>
      <c r="BT45">
        <v>1.0618474999999901</v>
      </c>
      <c r="BU45">
        <f t="shared" si="28"/>
        <v>171.80550252315126</v>
      </c>
      <c r="BV45">
        <f t="shared" si="29"/>
        <v>172.06014720890158</v>
      </c>
      <c r="BW45">
        <f t="shared" si="30"/>
        <v>174.19409079951626</v>
      </c>
      <c r="BX45">
        <f t="shared" si="31"/>
        <v>174.74224281494105</v>
      </c>
    </row>
    <row r="46" spans="1:86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3"/>
        <v>1.008998700952348</v>
      </c>
      <c r="J46">
        <f t="shared" si="4"/>
        <v>1.0659707205953508</v>
      </c>
      <c r="K46">
        <f t="shared" si="5"/>
        <v>1.0422892855700496</v>
      </c>
      <c r="L46">
        <v>1.0080126927158299</v>
      </c>
      <c r="M46">
        <v>1.00049011354024</v>
      </c>
      <c r="N46">
        <v>1.0117584359260501</v>
      </c>
      <c r="O46">
        <v>1.0079578298459699</v>
      </c>
      <c r="P46">
        <f t="shared" si="6"/>
        <v>110.77215136074499</v>
      </c>
      <c r="Q46">
        <f t="shared" si="7"/>
        <v>121.94464854273816</v>
      </c>
      <c r="R46">
        <f t="shared" si="8"/>
        <v>120.70941225305921</v>
      </c>
      <c r="S46">
        <f t="shared" si="9"/>
        <v>172.89463252462357</v>
      </c>
      <c r="T46">
        <f t="shared" si="10"/>
        <v>165.07636787223453</v>
      </c>
      <c r="U46">
        <f t="shared" si="11"/>
        <v>184.34231628103922</v>
      </c>
      <c r="V46">
        <f t="shared" si="12"/>
        <v>175.37053788721846</v>
      </c>
      <c r="W46">
        <f t="shared" si="35"/>
        <v>99.402070505676292</v>
      </c>
      <c r="X46">
        <f t="shared" si="36"/>
        <v>97.053881570483441</v>
      </c>
      <c r="Y46">
        <f t="shared" si="37"/>
        <v>98.161944744236465</v>
      </c>
      <c r="Z46">
        <f t="shared" si="38"/>
        <v>131.57285648951157</v>
      </c>
      <c r="AA46">
        <f t="shared" si="39"/>
        <v>130.33746986396156</v>
      </c>
      <c r="AB46">
        <f t="shared" si="40"/>
        <v>137.31883282600521</v>
      </c>
      <c r="AC46">
        <f t="shared" si="41"/>
        <v>137.49609436099638</v>
      </c>
      <c r="AD46" s="16">
        <f t="shared" si="13"/>
        <v>-3.0530849643999547E-2</v>
      </c>
      <c r="AE46" s="16">
        <f t="shared" si="32"/>
        <v>0.53507806296243188</v>
      </c>
      <c r="AF46" s="19">
        <v>20060522</v>
      </c>
      <c r="AG46" s="18">
        <v>1023.21</v>
      </c>
      <c r="AH46">
        <f t="shared" si="14"/>
        <v>2439.1155734968411</v>
      </c>
      <c r="AI46">
        <f t="shared" si="15"/>
        <v>0.97152149072690497</v>
      </c>
      <c r="AJ46">
        <f t="shared" si="16"/>
        <v>157.36321203497744</v>
      </c>
      <c r="AK46">
        <f t="shared" si="42"/>
        <v>96.99563246492832</v>
      </c>
      <c r="AL46">
        <v>1.0080734124519299</v>
      </c>
      <c r="AM46">
        <v>1.0080734124519299</v>
      </c>
      <c r="AN46">
        <v>1.01255612212216</v>
      </c>
      <c r="AO46">
        <v>1.0126421917738999</v>
      </c>
      <c r="AP46">
        <f t="shared" si="17"/>
        <v>145.8563634700854</v>
      </c>
      <c r="AQ46">
        <f t="shared" si="18"/>
        <v>145.87414965706427</v>
      </c>
      <c r="AR46">
        <f t="shared" si="19"/>
        <v>152.36914633773031</v>
      </c>
      <c r="AS46">
        <f t="shared" si="20"/>
        <v>153.55959168854994</v>
      </c>
      <c r="AT46">
        <v>1.00859841245193</v>
      </c>
      <c r="AU46">
        <v>1.00859841245193</v>
      </c>
      <c r="AV46">
        <v>1.0133171917738999</v>
      </c>
      <c r="AW46">
        <v>1.0133171917738999</v>
      </c>
      <c r="AX46">
        <f t="shared" si="21"/>
        <v>149.45247438926015</v>
      </c>
      <c r="AY46">
        <f t="shared" si="22"/>
        <v>149.4785342701112</v>
      </c>
      <c r="AZ46">
        <f t="shared" si="22"/>
        <v>157.11631885612482</v>
      </c>
      <c r="BA46">
        <f t="shared" si="23"/>
        <v>157.9312079557225</v>
      </c>
      <c r="BB46">
        <v>1.0091234124519299</v>
      </c>
      <c r="BC46">
        <v>1.0091234124519299</v>
      </c>
      <c r="BD46">
        <v>1.0139921917739001</v>
      </c>
      <c r="BE46">
        <v>1.0139921917739001</v>
      </c>
      <c r="BF46">
        <f t="shared" si="24"/>
        <v>153.13427439417916</v>
      </c>
      <c r="BG46">
        <f t="shared" si="25"/>
        <v>153.16899107649792</v>
      </c>
      <c r="BH46">
        <f t="shared" si="26"/>
        <v>161.58974660162627</v>
      </c>
      <c r="BI46">
        <f t="shared" si="27"/>
        <v>162.42318908379559</v>
      </c>
      <c r="BQ46">
        <v>1.0089444999999899</v>
      </c>
      <c r="BR46">
        <v>1.0089444999999899</v>
      </c>
      <c r="BS46">
        <v>1.0130129999999899</v>
      </c>
      <c r="BT46">
        <v>1.0130129999999899</v>
      </c>
      <c r="BU46">
        <f t="shared" si="28"/>
        <v>173.34221684046787</v>
      </c>
      <c r="BV46">
        <f t="shared" si="29"/>
        <v>173.59913919560987</v>
      </c>
      <c r="BW46">
        <f t="shared" si="30"/>
        <v>176.46087850308862</v>
      </c>
      <c r="BX46">
        <f t="shared" si="31"/>
        <v>177.01616362069012</v>
      </c>
    </row>
    <row r="47" spans="1:86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3"/>
        <v>0.98842989299569428</v>
      </c>
      <c r="J47">
        <f t="shared" si="4"/>
        <v>1.009122313717614</v>
      </c>
      <c r="K47">
        <f t="shared" si="5"/>
        <v>0.98130918073281181</v>
      </c>
      <c r="L47">
        <v>0.97874372814884902</v>
      </c>
      <c r="M47">
        <v>0.98208085276893398</v>
      </c>
      <c r="N47">
        <v>0.98637179229167304</v>
      </c>
      <c r="O47">
        <v>0.98966873947532297</v>
      </c>
      <c r="P47">
        <f t="shared" si="6"/>
        <v>109.49050571640402</v>
      </c>
      <c r="Q47">
        <f t="shared" si="7"/>
        <v>123.05706588292919</v>
      </c>
      <c r="R47">
        <f t="shared" si="8"/>
        <v>118.45325444478877</v>
      </c>
      <c r="S47">
        <f t="shared" si="9"/>
        <v>169.21953721407533</v>
      </c>
      <c r="T47">
        <f t="shared" si="10"/>
        <v>162.11834013196233</v>
      </c>
      <c r="U47">
        <f t="shared" si="11"/>
        <v>181.83006090532712</v>
      </c>
      <c r="V47">
        <f t="shared" si="12"/>
        <v>173.55873917195285</v>
      </c>
      <c r="W47">
        <f t="shared" si="35"/>
        <v>98.251977913476082</v>
      </c>
      <c r="X47">
        <f t="shared" si="36"/>
        <v>97.939237525681548</v>
      </c>
      <c r="Y47">
        <f t="shared" si="37"/>
        <v>96.327217576106221</v>
      </c>
      <c r="Z47">
        <f t="shared" si="38"/>
        <v>128.77610808373802</v>
      </c>
      <c r="AA47">
        <f t="shared" si="39"/>
        <v>128.0019335517446</v>
      </c>
      <c r="AB47">
        <f t="shared" si="40"/>
        <v>135.44742324998739</v>
      </c>
      <c r="AC47">
        <f t="shared" si="41"/>
        <v>136.07558638902736</v>
      </c>
      <c r="AD47" s="16">
        <f t="shared" si="13"/>
        <v>5.0626115588612297E-3</v>
      </c>
      <c r="AE47" s="16">
        <f t="shared" si="32"/>
        <v>0.54014067452129311</v>
      </c>
      <c r="AF47" s="19">
        <v>20060523</v>
      </c>
      <c r="AG47" s="17">
        <v>1021.44</v>
      </c>
      <c r="AH47">
        <f t="shared" si="14"/>
        <v>2374.32001480074</v>
      </c>
      <c r="AI47">
        <f t="shared" si="15"/>
        <v>0.97343481407762611</v>
      </c>
      <c r="AJ47">
        <f t="shared" si="16"/>
        <v>153.18282904992631</v>
      </c>
      <c r="AK47">
        <f t="shared" si="42"/>
        <v>94.418925454839254</v>
      </c>
      <c r="AL47">
        <v>0.97222334133401</v>
      </c>
      <c r="AM47">
        <v>0.97222334133401</v>
      </c>
      <c r="AN47">
        <v>0.97114370175564402</v>
      </c>
      <c r="AO47">
        <v>0.97113026891982301</v>
      </c>
      <c r="AP47">
        <f t="shared" si="17"/>
        <v>141.80496104771427</v>
      </c>
      <c r="AQ47">
        <f t="shared" si="18"/>
        <v>141.82225319384844</v>
      </c>
      <c r="AR47">
        <f t="shared" si="19"/>
        <v>147.97233680777086</v>
      </c>
      <c r="AS47">
        <f t="shared" si="20"/>
        <v>149.12636757171973</v>
      </c>
      <c r="AT47">
        <v>0.97277334133401006</v>
      </c>
      <c r="AU47">
        <v>0.97277334133401006</v>
      </c>
      <c r="AV47">
        <v>0.971805268919823</v>
      </c>
      <c r="AW47">
        <v>0.971805268919823</v>
      </c>
      <c r="AX47">
        <f t="shared" si="21"/>
        <v>145.38338288227615</v>
      </c>
      <c r="AY47">
        <f t="shared" si="22"/>
        <v>145.40873323964641</v>
      </c>
      <c r="AZ47">
        <f t="shared" si="22"/>
        <v>152.68646649766904</v>
      </c>
      <c r="BA47">
        <f t="shared" si="23"/>
        <v>153.4783800182434</v>
      </c>
      <c r="BB47">
        <v>0.97332334133400999</v>
      </c>
      <c r="BC47">
        <v>0.97332334133400999</v>
      </c>
      <c r="BD47">
        <v>0.97248026891982298</v>
      </c>
      <c r="BE47">
        <v>0.97248026891982298</v>
      </c>
      <c r="BF47">
        <f t="shared" si="24"/>
        <v>149.04916362610157</v>
      </c>
      <c r="BG47">
        <f t="shared" si="25"/>
        <v>149.08295418333611</v>
      </c>
      <c r="BH47">
        <f t="shared" si="26"/>
        <v>157.14284022983557</v>
      </c>
      <c r="BI47">
        <f t="shared" si="27"/>
        <v>157.9533465990248</v>
      </c>
      <c r="BQ47">
        <v>0.97133749999999996</v>
      </c>
      <c r="BR47">
        <v>0.97133749999999996</v>
      </c>
      <c r="BS47">
        <v>0.96983299999999995</v>
      </c>
      <c r="BT47">
        <v>0.96983299999999995</v>
      </c>
      <c r="BU47">
        <f t="shared" si="28"/>
        <v>168.37379555027795</v>
      </c>
      <c r="BV47">
        <f t="shared" si="29"/>
        <v>168.62335386841571</v>
      </c>
      <c r="BW47">
        <f t="shared" si="30"/>
        <v>171.13758318128595</v>
      </c>
      <c r="BX47">
        <f t="shared" si="31"/>
        <v>171.67611701274475</v>
      </c>
    </row>
    <row r="48" spans="1:86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3"/>
        <v>1.0665499275412327</v>
      </c>
      <c r="J48">
        <f t="shared" si="4"/>
        <v>1.0709654049621646</v>
      </c>
      <c r="K48">
        <f t="shared" si="5"/>
        <v>1.0617010355073395</v>
      </c>
      <c r="L48">
        <v>1.05602778627563</v>
      </c>
      <c r="M48">
        <v>1.0459825663009701</v>
      </c>
      <c r="N48">
        <v>1.0494292605447699</v>
      </c>
      <c r="O48">
        <v>1.04108546611247</v>
      </c>
      <c r="P48">
        <f t="shared" si="6"/>
        <v>116.77709093828362</v>
      </c>
      <c r="Q48">
        <f t="shared" si="7"/>
        <v>131.78986039676704</v>
      </c>
      <c r="R48">
        <f t="shared" si="8"/>
        <v>125.76194290324661</v>
      </c>
      <c r="S48">
        <f t="shared" si="9"/>
        <v>178.70053327876656</v>
      </c>
      <c r="T48">
        <f t="shared" si="10"/>
        <v>169.57295745568351</v>
      </c>
      <c r="U48">
        <f t="shared" si="11"/>
        <v>190.8177863606879</v>
      </c>
      <c r="V48">
        <f t="shared" si="12"/>
        <v>180.68948086872513</v>
      </c>
      <c r="W48">
        <f t="shared" si="35"/>
        <v>104.79063992440071</v>
      </c>
      <c r="X48">
        <f t="shared" si="36"/>
        <v>104.88953517837717</v>
      </c>
      <c r="Y48">
        <f t="shared" si="37"/>
        <v>102.27070664809277</v>
      </c>
      <c r="Z48">
        <f t="shared" si="38"/>
        <v>135.99114834486113</v>
      </c>
      <c r="AA48">
        <f t="shared" si="39"/>
        <v>133.88779094794006</v>
      </c>
      <c r="AB48">
        <f t="shared" si="40"/>
        <v>142.14248922392875</v>
      </c>
      <c r="AC48">
        <f t="shared" si="41"/>
        <v>141.66631528234822</v>
      </c>
      <c r="AD48" s="16">
        <f t="shared" si="13"/>
        <v>-1.2271774962569593E-2</v>
      </c>
      <c r="AE48" s="16">
        <f t="shared" si="32"/>
        <v>0.52786889955872351</v>
      </c>
      <c r="AF48" s="19">
        <v>20060524</v>
      </c>
      <c r="AG48" s="17">
        <v>1020.58</v>
      </c>
      <c r="AH48">
        <f t="shared" si="14"/>
        <v>2495.5806687079612</v>
      </c>
      <c r="AI48">
        <f t="shared" si="15"/>
        <v>1.0510717397618357</v>
      </c>
      <c r="AJ48">
        <f t="shared" si="16"/>
        <v>161.00614263114591</v>
      </c>
      <c r="AK48">
        <f t="shared" si="42"/>
        <v>99.241064244260969</v>
      </c>
      <c r="AL48">
        <v>1.0496222718947701</v>
      </c>
      <c r="AM48">
        <v>1.0489142944830201</v>
      </c>
      <c r="AN48">
        <v>1.0492575490835101</v>
      </c>
      <c r="AO48">
        <v>1.04972384988959</v>
      </c>
      <c r="AP48">
        <f t="shared" si="17"/>
        <v>148.84164538085122</v>
      </c>
      <c r="AQ48">
        <f t="shared" si="18"/>
        <v>148.75938865081778</v>
      </c>
      <c r="AR48">
        <f t="shared" si="19"/>
        <v>155.26109145108131</v>
      </c>
      <c r="AS48">
        <f t="shared" si="20"/>
        <v>156.54150468743575</v>
      </c>
      <c r="AT48">
        <v>1.05014727189477</v>
      </c>
      <c r="AU48">
        <v>1.04943929448302</v>
      </c>
      <c r="AV48">
        <v>1.04991911624769</v>
      </c>
      <c r="AW48">
        <v>1.05037384988959</v>
      </c>
      <c r="AX48">
        <f t="shared" si="21"/>
        <v>152.6739629126551</v>
      </c>
      <c r="AY48">
        <f t="shared" si="22"/>
        <v>152.59763842268418</v>
      </c>
      <c r="AZ48">
        <f t="shared" si="22"/>
        <v>160.3084399682152</v>
      </c>
      <c r="BA48">
        <f t="shared" si="23"/>
        <v>161.20967689457984</v>
      </c>
      <c r="BB48">
        <v>1.0506722718947701</v>
      </c>
      <c r="BC48">
        <v>1.0499642944830201</v>
      </c>
      <c r="BD48">
        <v>1.0505941162476899</v>
      </c>
      <c r="BE48">
        <v>1.0510238498895901</v>
      </c>
      <c r="BF48">
        <f t="shared" si="24"/>
        <v>156.60182337105147</v>
      </c>
      <c r="BG48">
        <f t="shared" si="25"/>
        <v>156.53177880855091</v>
      </c>
      <c r="BH48">
        <f t="shared" si="26"/>
        <v>165.09334335591603</v>
      </c>
      <c r="BI48">
        <f t="shared" si="27"/>
        <v>166.01273444545183</v>
      </c>
      <c r="BQ48">
        <v>1.06596449999999</v>
      </c>
      <c r="BR48">
        <v>1.06605799999999</v>
      </c>
      <c r="BS48">
        <v>1.0643144999999901</v>
      </c>
      <c r="BT48">
        <v>1.0644294999999999</v>
      </c>
      <c r="BU48">
        <f t="shared" si="28"/>
        <v>179.48048878685256</v>
      </c>
      <c r="BV48">
        <f t="shared" si="29"/>
        <v>179.7622753782538</v>
      </c>
      <c r="BW48">
        <f t="shared" si="30"/>
        <v>182.14421127479707</v>
      </c>
      <c r="BX48">
        <f t="shared" si="31"/>
        <v>182.73712339381737</v>
      </c>
    </row>
    <row r="49" spans="1:76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3"/>
        <v>1.0959577169754859</v>
      </c>
      <c r="J49">
        <f t="shared" si="4"/>
        <v>1.1154510888351195</v>
      </c>
      <c r="K49">
        <f t="shared" si="5"/>
        <v>1.1242265477181124</v>
      </c>
      <c r="L49">
        <v>1.0866690085567701</v>
      </c>
      <c r="M49">
        <v>1.0784347408611901</v>
      </c>
      <c r="N49">
        <v>1.0792015013807501</v>
      </c>
      <c r="O49">
        <v>1.07662797278685</v>
      </c>
      <c r="P49">
        <f t="shared" si="6"/>
        <v>127.98275397976002</v>
      </c>
      <c r="Q49">
        <f t="shared" si="7"/>
        <v>147.00514327700219</v>
      </c>
      <c r="R49">
        <f t="shared" si="8"/>
        <v>141.38491490443928</v>
      </c>
      <c r="S49">
        <f t="shared" si="9"/>
        <v>194.18833132660336</v>
      </c>
      <c r="T49">
        <f t="shared" si="10"/>
        <v>182.87336843078566</v>
      </c>
      <c r="U49">
        <f t="shared" si="11"/>
        <v>205.93084153060562</v>
      </c>
      <c r="V49">
        <f t="shared" si="12"/>
        <v>194.53534949160385</v>
      </c>
      <c r="W49">
        <f t="shared" si="35"/>
        <v>114.8461104919464</v>
      </c>
      <c r="X49">
        <f t="shared" si="36"/>
        <v>116.99914622213038</v>
      </c>
      <c r="Y49">
        <f t="shared" si="37"/>
        <v>114.97544346767714</v>
      </c>
      <c r="Z49">
        <f t="shared" si="38"/>
        <v>147.77736634440689</v>
      </c>
      <c r="AA49">
        <f t="shared" si="39"/>
        <v>144.38924513541892</v>
      </c>
      <c r="AB49">
        <f t="shared" si="40"/>
        <v>153.40038778046099</v>
      </c>
      <c r="AC49">
        <f t="shared" si="41"/>
        <v>152.52191783461731</v>
      </c>
      <c r="AD49" s="16">
        <f t="shared" si="13"/>
        <v>-4.5025046337362262E-2</v>
      </c>
      <c r="AE49" s="16">
        <f t="shared" si="32"/>
        <v>0.48284385322136125</v>
      </c>
      <c r="AF49" s="19">
        <v>20060525</v>
      </c>
      <c r="AG49" s="17">
        <v>1004.19</v>
      </c>
      <c r="AH49">
        <v>2650.94</v>
      </c>
      <c r="AI49">
        <f t="shared" si="15"/>
        <v>1.0622537805489867</v>
      </c>
      <c r="AJ49">
        <f t="shared" si="16"/>
        <v>171.02938370154411</v>
      </c>
      <c r="AK49">
        <f t="shared" si="42"/>
        <v>105.41919567917108</v>
      </c>
      <c r="AL49">
        <v>1.07721371123446</v>
      </c>
      <c r="AM49">
        <v>1.07721371123446</v>
      </c>
      <c r="AN49">
        <v>1.0690331168137699</v>
      </c>
      <c r="AO49">
        <v>1.0692211765152599</v>
      </c>
      <c r="AP49">
        <f t="shared" si="17"/>
        <v>160.33426120695015</v>
      </c>
      <c r="AQ49">
        <f t="shared" si="18"/>
        <v>160.24565312951682</v>
      </c>
      <c r="AR49">
        <f t="shared" si="19"/>
        <v>165.97924851385721</v>
      </c>
      <c r="AS49">
        <f t="shared" si="20"/>
        <v>167.37749181536913</v>
      </c>
      <c r="AT49">
        <v>1.07768871123446</v>
      </c>
      <c r="AU49">
        <v>1.07768871123446</v>
      </c>
      <c r="AV49">
        <v>1.0696961765152599</v>
      </c>
      <c r="AW49">
        <v>1.06977117651526</v>
      </c>
      <c r="AX49">
        <f t="shared" si="21"/>
        <v>164.53500633039701</v>
      </c>
      <c r="AY49">
        <f t="shared" si="22"/>
        <v>164.45275228916464</v>
      </c>
      <c r="AZ49">
        <f t="shared" si="22"/>
        <v>171.48132529712586</v>
      </c>
      <c r="BA49">
        <f t="shared" si="23"/>
        <v>172.45746571715961</v>
      </c>
      <c r="BB49">
        <v>1.07816371123446</v>
      </c>
      <c r="BC49">
        <v>1.07816371123446</v>
      </c>
      <c r="BD49">
        <v>1.0702711765152599</v>
      </c>
      <c r="BE49">
        <v>1.07032117651526</v>
      </c>
      <c r="BF49">
        <f t="shared" si="24"/>
        <v>168.84240307181625</v>
      </c>
      <c r="BG49">
        <f t="shared" si="25"/>
        <v>168.76688356635884</v>
      </c>
      <c r="BH49">
        <f t="shared" si="26"/>
        <v>176.69464682837403</v>
      </c>
      <c r="BI49">
        <f t="shared" si="27"/>
        <v>177.68694524817144</v>
      </c>
      <c r="BQ49">
        <v>1.07801399999999</v>
      </c>
      <c r="BR49">
        <v>1.07793899999999</v>
      </c>
      <c r="BS49">
        <v>1.069348</v>
      </c>
      <c r="BT49">
        <v>1.069448</v>
      </c>
      <c r="BU49">
        <f t="shared" si="28"/>
        <v>193.48247963906829</v>
      </c>
      <c r="BV49">
        <f t="shared" si="29"/>
        <v>193.77276735895774</v>
      </c>
      <c r="BW49">
        <f t="shared" si="30"/>
        <v>194.7755480382817</v>
      </c>
      <c r="BX49">
        <f t="shared" si="31"/>
        <v>195.42785113927118</v>
      </c>
    </row>
    <row r="50" spans="1:76" x14ac:dyDescent="0.4">
      <c r="AD50" s="15"/>
      <c r="AF50" s="19">
        <v>20060526</v>
      </c>
      <c r="AG50" s="17">
        <v>1011.71</v>
      </c>
    </row>
    <row r="51" spans="1:76" x14ac:dyDescent="0.4">
      <c r="AF51" s="19">
        <v>20060527</v>
      </c>
      <c r="AG51" s="18">
        <v>1011.64</v>
      </c>
    </row>
    <row r="52" spans="1:76" x14ac:dyDescent="0.4">
      <c r="AF52" s="19">
        <v>20060528</v>
      </c>
      <c r="AG52" s="17">
        <v>1011.57</v>
      </c>
    </row>
    <row r="53" spans="1:76" x14ac:dyDescent="0.4">
      <c r="AF53" s="19">
        <v>20060529</v>
      </c>
      <c r="AG53" s="17">
        <v>1014.57</v>
      </c>
    </row>
    <row r="54" spans="1:76" x14ac:dyDescent="0.4">
      <c r="AF54" s="19">
        <v>20060530</v>
      </c>
      <c r="AG54" s="17">
        <v>1013.32</v>
      </c>
    </row>
    <row r="55" spans="1:76" x14ac:dyDescent="0.4">
      <c r="AF55" s="19">
        <v>20060531</v>
      </c>
      <c r="AG55" s="17">
        <v>1013.24</v>
      </c>
    </row>
    <row r="56" spans="1:76" x14ac:dyDescent="0.4">
      <c r="AF56" s="19">
        <v>20060601</v>
      </c>
      <c r="AG56" s="18">
        <v>1003.27</v>
      </c>
    </row>
    <row r="57" spans="1:76" x14ac:dyDescent="0.4">
      <c r="AF57" s="19">
        <v>20060602</v>
      </c>
      <c r="AG57" s="17">
        <v>1006.07</v>
      </c>
    </row>
    <row r="58" spans="1:76" x14ac:dyDescent="0.4">
      <c r="AF58" s="19">
        <v>20060603</v>
      </c>
      <c r="AG58" s="17">
        <v>1006</v>
      </c>
    </row>
    <row r="59" spans="1:76" x14ac:dyDescent="0.4">
      <c r="AF59" s="19">
        <v>20060604</v>
      </c>
      <c r="AG59" s="17">
        <v>1005.92</v>
      </c>
    </row>
    <row r="60" spans="1:76" x14ac:dyDescent="0.4">
      <c r="AF60" s="19">
        <v>20060605</v>
      </c>
      <c r="AG60" s="17">
        <v>998.36</v>
      </c>
    </row>
    <row r="61" spans="1:76" x14ac:dyDescent="0.4">
      <c r="AF61" s="19">
        <v>20060606</v>
      </c>
      <c r="AG61" s="18">
        <v>998.28</v>
      </c>
    </row>
    <row r="62" spans="1:76" x14ac:dyDescent="0.4">
      <c r="AF62" s="19">
        <v>20060607</v>
      </c>
      <c r="AG62" s="17">
        <v>978.81</v>
      </c>
    </row>
    <row r="63" spans="1:76" x14ac:dyDescent="0.4">
      <c r="AF63" s="19">
        <v>20060608</v>
      </c>
      <c r="AG63" s="17">
        <v>959.28</v>
      </c>
    </row>
    <row r="64" spans="1:76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24"/>
  <sheetViews>
    <sheetView topLeftCell="A2" workbookViewId="0">
      <selection activeCell="A2" sqref="A2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664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  <c r="CO999" s="27"/>
      <c r="CP999" s="27"/>
      <c r="CQ999" s="27"/>
      <c r="CR999" s="27"/>
      <c r="CS999" s="27"/>
      <c r="CT999" s="27"/>
      <c r="CU999" s="27"/>
      <c r="CV999" s="27"/>
      <c r="CW999" s="27"/>
      <c r="CX999" s="27"/>
      <c r="CY999" s="27"/>
      <c r="CZ999" s="27"/>
      <c r="DA999" s="27"/>
      <c r="DB999" s="27"/>
      <c r="DC999" s="27"/>
      <c r="DD999" s="27"/>
      <c r="DE999" s="27"/>
      <c r="DF999" s="27"/>
      <c r="DG999" s="27"/>
      <c r="DH999" s="27"/>
      <c r="DI999" s="27"/>
      <c r="DJ999" s="27"/>
      <c r="DK999" s="27"/>
      <c r="DL999" s="27"/>
      <c r="DM999" s="27"/>
      <c r="DN999" s="27"/>
      <c r="DO999" s="27"/>
      <c r="DP999" s="27"/>
      <c r="DQ999" s="27"/>
      <c r="DR999" s="27"/>
      <c r="DS999" s="27"/>
      <c r="DT999" s="27"/>
      <c r="DU999" s="27"/>
      <c r="DV999" s="27"/>
      <c r="DW999" s="27"/>
      <c r="DX999" s="27"/>
      <c r="DY999" s="27"/>
      <c r="DZ999" s="27"/>
      <c r="EA999" s="27"/>
      <c r="EB999" s="27"/>
      <c r="EC999" s="27"/>
      <c r="ED999" s="27"/>
      <c r="EE999" s="27"/>
      <c r="EF999" s="27"/>
      <c r="EG999" s="27"/>
      <c r="EH999" s="27"/>
      <c r="EI999" s="27"/>
      <c r="EJ999" s="27"/>
      <c r="EK999" s="27"/>
      <c r="EL999" s="27"/>
      <c r="EM999" s="27"/>
      <c r="EN999" s="27"/>
      <c r="EO999" s="27"/>
      <c r="EP999" s="27"/>
      <c r="EQ999" s="27"/>
      <c r="ER999" s="27"/>
      <c r="ES999" s="27"/>
      <c r="ET999" s="27"/>
      <c r="EU999" s="27"/>
      <c r="EV999" s="27"/>
      <c r="EW999" s="27"/>
      <c r="EX999" s="27"/>
      <c r="EY999" s="27"/>
      <c r="EZ999" s="27"/>
      <c r="FA999" s="27"/>
      <c r="FB999" s="27"/>
      <c r="FC999" s="27"/>
      <c r="FD999" s="27"/>
      <c r="FE999" s="27"/>
      <c r="FF999" s="27"/>
      <c r="FG999" s="27"/>
      <c r="FH999" s="27"/>
      <c r="FI999" s="27"/>
      <c r="FJ999" s="27"/>
      <c r="FK999" s="27"/>
      <c r="FL999" s="27"/>
      <c r="FM999" s="27"/>
      <c r="FN999" s="27"/>
      <c r="FO999" s="27"/>
      <c r="FP999" s="27"/>
      <c r="FQ999" s="27"/>
      <c r="FR999" s="27"/>
      <c r="FS999" s="27"/>
      <c r="FT999" s="27"/>
      <c r="FU999" s="27"/>
      <c r="FV999" s="27"/>
      <c r="FW999" s="27"/>
      <c r="FX999" s="27"/>
      <c r="FY999" s="27"/>
      <c r="FZ999" s="27"/>
      <c r="GA999" s="27"/>
      <c r="GB999" s="27"/>
      <c r="GC999" s="27"/>
      <c r="GD999" s="27"/>
      <c r="GE999" s="27"/>
      <c r="GF999" s="27"/>
      <c r="GG999" s="27"/>
      <c r="GH999" s="27"/>
      <c r="GI999" s="27"/>
      <c r="GJ999" s="27"/>
      <c r="GK999" s="27"/>
      <c r="GL999" s="27"/>
      <c r="GM999" s="27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195" x14ac:dyDescent="0.4">
      <c r="A1003" t="s">
        <v>665</v>
      </c>
      <c r="B1003" s="15">
        <v>0.16666666666666599</v>
      </c>
      <c r="C1003" s="15">
        <v>0.15702479338842901</v>
      </c>
      <c r="D1003" s="15">
        <v>0.15517241379310301</v>
      </c>
      <c r="E1003" s="15">
        <v>0.119205298013245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0.118012422360248</v>
      </c>
      <c r="K1003" s="15">
        <v>0.125</v>
      </c>
      <c r="L1003" s="15">
        <v>0.13259668508287201</v>
      </c>
      <c r="M1003" s="15">
        <v>0.12765957446808501</v>
      </c>
      <c r="N1003" s="15">
        <v>0.124352331606217</v>
      </c>
      <c r="O1003" s="15">
        <v>0.117977528089887</v>
      </c>
      <c r="P1003" s="15">
        <v>0.11578947368421</v>
      </c>
      <c r="Q1003" s="15">
        <v>0.105</v>
      </c>
      <c r="R1003" s="15">
        <v>0.08</v>
      </c>
      <c r="S1003" s="15">
        <v>0.09</v>
      </c>
      <c r="T1003" s="15">
        <v>0.09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0.04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195" x14ac:dyDescent="0.4">
      <c r="A1004" t="s">
        <v>666</v>
      </c>
      <c r="B1004" s="15">
        <v>3.5087719298245598E-2</v>
      </c>
      <c r="C1004" s="15">
        <v>4.9586776859504099E-2</v>
      </c>
      <c r="D1004" s="15">
        <v>5.1724137931034399E-2</v>
      </c>
      <c r="E1004" s="15">
        <v>3.9735099337748297E-2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2.4844720496894401E-2</v>
      </c>
      <c r="K1004" s="15">
        <v>2.9761904761904701E-2</v>
      </c>
      <c r="L1004" s="15">
        <v>3.3149171270718203E-2</v>
      </c>
      <c r="M1004" s="15">
        <v>4.2553191489361701E-2</v>
      </c>
      <c r="N1004" s="15">
        <v>4.6632124352331598E-2</v>
      </c>
      <c r="O1004" s="15">
        <v>5.0561797752808897E-2</v>
      </c>
      <c r="P1004" s="15">
        <v>4.2105263157894701E-2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0.04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0.06</v>
      </c>
      <c r="AQ1004" s="15">
        <v>6.5000000000000002E-2</v>
      </c>
      <c r="AR1004" s="15">
        <v>5.5E-2</v>
      </c>
      <c r="AS1004" s="15">
        <v>6.5000000000000002E-2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195" x14ac:dyDescent="0.4">
      <c r="A1005" t="s">
        <v>667</v>
      </c>
      <c r="B1005" s="15">
        <v>0.122807017543859</v>
      </c>
      <c r="C1005" s="15">
        <v>0.14049586776859499</v>
      </c>
      <c r="D1005" s="15">
        <v>0.13793103448275801</v>
      </c>
      <c r="E1005" s="15">
        <v>0.119205298013245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0.14906832298136599</v>
      </c>
      <c r="K1005" s="15">
        <v>0.14285714285714199</v>
      </c>
      <c r="L1005" s="15">
        <v>0.138121546961325</v>
      </c>
      <c r="M1005" s="15">
        <v>0.14361702127659501</v>
      </c>
      <c r="N1005" s="15">
        <v>0.15025906735751199</v>
      </c>
      <c r="O1005" s="15">
        <v>0.15730337078651599</v>
      </c>
      <c r="P1005" s="15">
        <v>0.13157894736842099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0.155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0.19500000000000001</v>
      </c>
      <c r="AH1005" s="15">
        <v>0.17499999999999999</v>
      </c>
      <c r="AI1005" s="15">
        <v>0.14499999999999999</v>
      </c>
      <c r="AJ1005" s="15">
        <v>0.16</v>
      </c>
      <c r="AK1005" s="15">
        <v>0.14499999999999999</v>
      </c>
      <c r="AL1005" s="15">
        <v>0.17499999999999999</v>
      </c>
      <c r="AM1005" s="15">
        <v>0.15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0.16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195" x14ac:dyDescent="0.4">
      <c r="A1006" t="s">
        <v>668</v>
      </c>
      <c r="B1006" s="15">
        <v>3.5087719298245598E-2</v>
      </c>
      <c r="C1006" s="15">
        <v>3.3057851239669402E-2</v>
      </c>
      <c r="D1006" s="15">
        <v>4.3103448275862002E-2</v>
      </c>
      <c r="E1006" s="15">
        <v>0.185430463576158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0.21118012422360199</v>
      </c>
      <c r="K1006" s="15">
        <v>0.19047619047618999</v>
      </c>
      <c r="L1006" s="15">
        <v>0.187845303867403</v>
      </c>
      <c r="M1006" s="15">
        <v>0.175531914893617</v>
      </c>
      <c r="N1006" s="15">
        <v>0.170984455958549</v>
      </c>
      <c r="O1006" s="15">
        <v>0.14606741573033699</v>
      </c>
      <c r="P1006" s="15">
        <v>0.14736842105263101</v>
      </c>
      <c r="Q1006" s="15">
        <v>0.14000000000000001</v>
      </c>
      <c r="R1006" s="15">
        <v>0.16</v>
      </c>
      <c r="S1006" s="15">
        <v>0.16</v>
      </c>
      <c r="T1006" s="15">
        <v>0.13</v>
      </c>
      <c r="U1006" s="15">
        <v>0.115</v>
      </c>
      <c r="V1006" s="15">
        <v>0.14000000000000001</v>
      </c>
      <c r="W1006" s="15">
        <v>0.155</v>
      </c>
      <c r="X1006" s="15">
        <v>0.13500000000000001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</v>
      </c>
      <c r="AH1006" s="15">
        <v>0.14499999999999999</v>
      </c>
      <c r="AI1006" s="15">
        <v>0.14499999999999999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0.16</v>
      </c>
      <c r="AQ1006" s="15">
        <v>0.15</v>
      </c>
      <c r="AR1006" s="15">
        <v>0.14499999999999999</v>
      </c>
      <c r="AS1006" s="15">
        <v>0.155</v>
      </c>
      <c r="AT1006" s="15">
        <v>0.14499999999999999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0.17499999999999999</v>
      </c>
      <c r="BB1006" s="15">
        <v>0.185</v>
      </c>
      <c r="BC1006" s="15">
        <v>0.17499999999999999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195" x14ac:dyDescent="0.4">
      <c r="A1007" t="s">
        <v>669</v>
      </c>
      <c r="B1007" s="15">
        <v>0.24561403508771901</v>
      </c>
      <c r="C1007" s="15">
        <v>0.23966942148760301</v>
      </c>
      <c r="D1007" s="15">
        <v>0.232758620689655</v>
      </c>
      <c r="E1007" s="15">
        <v>0.205298013245033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0.18633540372670801</v>
      </c>
      <c r="K1007" s="15">
        <v>0.19642857142857101</v>
      </c>
      <c r="L1007" s="15">
        <v>0.193370165745856</v>
      </c>
      <c r="M1007" s="15">
        <v>0.20212765957446799</v>
      </c>
      <c r="N1007" s="15">
        <v>0.19689119170984401</v>
      </c>
      <c r="O1007" s="15">
        <v>0.21910112359550499</v>
      </c>
      <c r="P1007" s="15">
        <v>0.231578947368421</v>
      </c>
      <c r="Q1007" s="15">
        <v>0.23499999999999999</v>
      </c>
      <c r="R1007" s="15">
        <v>0.245</v>
      </c>
      <c r="S1007" s="15">
        <v>0.23</v>
      </c>
      <c r="T1007" s="15">
        <v>0.245</v>
      </c>
      <c r="U1007" s="15">
        <v>0.215</v>
      </c>
      <c r="V1007" s="15">
        <v>0.22500000000000001</v>
      </c>
      <c r="W1007" s="15">
        <v>0.22500000000000001</v>
      </c>
      <c r="X1007" s="15">
        <v>0.215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0.21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0.21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195" x14ac:dyDescent="0.4">
      <c r="A1008" t="s">
        <v>670</v>
      </c>
      <c r="B1008" s="15">
        <v>0.19298245614035001</v>
      </c>
      <c r="C1008" s="15">
        <v>0.19008264462809901</v>
      </c>
      <c r="D1008" s="15">
        <v>0.18103448275862</v>
      </c>
      <c r="E1008" s="15">
        <v>0.158940397350993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0.14285714285714199</v>
      </c>
      <c r="K1008" s="15">
        <v>0.148809523809523</v>
      </c>
      <c r="L1008" s="15">
        <v>0.16022099447513799</v>
      </c>
      <c r="M1008" s="15">
        <v>0.159574468085106</v>
      </c>
      <c r="N1008" s="15">
        <v>0.16062176165803099</v>
      </c>
      <c r="O1008" s="15">
        <v>0.14606741573033699</v>
      </c>
      <c r="P1008" s="15">
        <v>0.163157894736842</v>
      </c>
      <c r="Q1008" s="15">
        <v>0.17499999999999999</v>
      </c>
      <c r="R1008" s="15">
        <v>0.215</v>
      </c>
      <c r="S1008" s="15">
        <v>0.215</v>
      </c>
      <c r="T1008" s="15">
        <v>0.215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0.20499999999999999</v>
      </c>
      <c r="AJ1008" s="15">
        <v>0.21</v>
      </c>
      <c r="AK1008" s="15">
        <v>0.20499999999999999</v>
      </c>
      <c r="AL1008" s="15">
        <v>0.2</v>
      </c>
      <c r="AM1008" s="15">
        <v>0.21</v>
      </c>
      <c r="AN1008" s="15">
        <v>0.18</v>
      </c>
      <c r="AO1008" s="15">
        <v>0.17</v>
      </c>
      <c r="AP1008" s="15">
        <v>0.185</v>
      </c>
      <c r="AQ1008" s="15">
        <v>0.185</v>
      </c>
      <c r="AR1008" s="15">
        <v>0.19500000000000001</v>
      </c>
      <c r="AS1008" s="15">
        <v>0.19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0.23499999999999999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8" x14ac:dyDescent="0.4">
      <c r="A1009" t="s">
        <v>671</v>
      </c>
      <c r="B1009" s="15">
        <v>3.5087719298245598E-2</v>
      </c>
      <c r="C1009" s="15">
        <v>3.3057851239669402E-2</v>
      </c>
      <c r="D1009" s="15">
        <v>2.5862068965517199E-2</v>
      </c>
      <c r="E1009" s="15">
        <v>2.64900662251655E-2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1.2422360248447201E-2</v>
      </c>
      <c r="K1009" s="15">
        <v>1.7857142857142801E-2</v>
      </c>
      <c r="L1009" s="15">
        <v>1.1049723756906001E-2</v>
      </c>
      <c r="M1009" s="15">
        <v>1.0638297872340399E-2</v>
      </c>
      <c r="N1009" s="15">
        <v>1.03626943005181E-2</v>
      </c>
      <c r="O1009" s="15">
        <v>1.12359550561797E-2</v>
      </c>
      <c r="P1009" s="15">
        <v>1.5789473684210499E-2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8" x14ac:dyDescent="0.4">
      <c r="A1010" t="s">
        <v>672</v>
      </c>
      <c r="B1010" s="15">
        <v>5.2631578947368397E-2</v>
      </c>
      <c r="C1010" s="15">
        <v>4.9586776859504099E-2</v>
      </c>
      <c r="D1010" s="15">
        <v>5.1724137931034399E-2</v>
      </c>
      <c r="E1010" s="15">
        <v>5.2980132450331098E-2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4.3478260869565202E-2</v>
      </c>
      <c r="K1010" s="15">
        <v>4.1666666666666602E-2</v>
      </c>
      <c r="L1010" s="15">
        <v>3.86740331491712E-2</v>
      </c>
      <c r="M1010" s="15">
        <v>3.7234042553191397E-2</v>
      </c>
      <c r="N1010" s="15">
        <v>3.6269430051813399E-2</v>
      </c>
      <c r="O1010" s="15">
        <v>3.9325842696629199E-2</v>
      </c>
      <c r="P1010" s="15">
        <v>4.2105263157894701E-2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8" x14ac:dyDescent="0.4">
      <c r="A1011" t="s">
        <v>673</v>
      </c>
      <c r="B1011" s="15">
        <v>2.6315789473684199E-2</v>
      </c>
      <c r="C1011" s="15">
        <v>2.4793388429752001E-2</v>
      </c>
      <c r="D1011" s="15">
        <v>2.5862068965517199E-2</v>
      </c>
      <c r="E1011" s="15">
        <v>1.98675496688741E-2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1.8633540372670801E-2</v>
      </c>
      <c r="K1011" s="15">
        <v>1.7857142857142801E-2</v>
      </c>
      <c r="L1011" s="15">
        <v>1.6574585635359101E-2</v>
      </c>
      <c r="M1011" s="15">
        <v>1.5957446808510599E-2</v>
      </c>
      <c r="N1011" s="15">
        <v>1.55440414507772E-2</v>
      </c>
      <c r="O1011" s="15">
        <v>1.68539325842696E-2</v>
      </c>
      <c r="P1011" s="15">
        <v>2.1052631578947299E-2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8.7719298245614002E-2</v>
      </c>
      <c r="C1012" s="15">
        <v>8.2644628099173501E-2</v>
      </c>
      <c r="D1012" s="15">
        <v>9.4827586206896505E-2</v>
      </c>
      <c r="E1012" s="15">
        <v>7.2847682119205295E-2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9.3167701863354005E-2</v>
      </c>
      <c r="K1012" s="15">
        <v>8.9285714285714204E-2</v>
      </c>
      <c r="L1012" s="15">
        <v>8.8397790055248601E-2</v>
      </c>
      <c r="M1012" s="15">
        <v>8.5106382978723402E-2</v>
      </c>
      <c r="N1012" s="15">
        <v>8.8082901554404097E-2</v>
      </c>
      <c r="O1012" s="15">
        <v>9.5505617977528004E-2</v>
      </c>
      <c r="P1012" s="15">
        <v>8.9473684210526302E-2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0.09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8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8" x14ac:dyDescent="0.4">
      <c r="A1014" t="s">
        <v>679</v>
      </c>
      <c r="B1014" s="15">
        <v>0.58771929824561397</v>
      </c>
      <c r="C1014" s="15">
        <v>0.56198347107437996</v>
      </c>
      <c r="D1014" s="15">
        <v>0.58620689655172398</v>
      </c>
      <c r="E1014" s="15">
        <v>0.53642384105960195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0.60248447204968902</v>
      </c>
      <c r="K1014" s="15">
        <v>0.55952380952380898</v>
      </c>
      <c r="L1014" s="15">
        <v>0.54143646408839696</v>
      </c>
      <c r="M1014" s="15">
        <v>0.52659574468085102</v>
      </c>
      <c r="N1014" s="15">
        <v>0.51295336787564705</v>
      </c>
      <c r="O1014" s="15">
        <v>0.53932584269662898</v>
      </c>
      <c r="P1014" s="15">
        <v>0.51578947368421002</v>
      </c>
      <c r="Q1014" s="15">
        <v>0.44500000000000001</v>
      </c>
      <c r="R1014" s="15">
        <v>0.35</v>
      </c>
      <c r="S1014" s="15">
        <v>0.35</v>
      </c>
      <c r="T1014" s="15">
        <v>0.28999999999999998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0.15</v>
      </c>
      <c r="AQ1014" s="15">
        <v>0.15</v>
      </c>
      <c r="AR1014" s="15">
        <v>0.17499999999999999</v>
      </c>
      <c r="AS1014" s="15">
        <v>0.19</v>
      </c>
      <c r="AT1014" s="15">
        <v>0.155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0.155</v>
      </c>
      <c r="BB1014" s="15">
        <v>0.17</v>
      </c>
      <c r="BC1014" s="15">
        <v>0.17499999999999999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8" x14ac:dyDescent="0.4">
      <c r="A1015" t="s">
        <v>680</v>
      </c>
      <c r="B1015" s="15">
        <v>0.40350877192982398</v>
      </c>
      <c r="C1015" s="15">
        <v>0.43801652892561899</v>
      </c>
      <c r="D1015" s="15">
        <v>0.39655172413793099</v>
      </c>
      <c r="E1015" s="15">
        <v>0.45033112582781398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0.39130434782608697</v>
      </c>
      <c r="K1015" s="15">
        <v>0.43452380952380898</v>
      </c>
      <c r="L1015" s="15">
        <v>0.45303867403314901</v>
      </c>
      <c r="M1015" s="15">
        <v>0.45744680851063801</v>
      </c>
      <c r="N1015" s="15">
        <v>0.48704663212435201</v>
      </c>
      <c r="O1015" s="15">
        <v>0.449438202247191</v>
      </c>
      <c r="P1015" s="15">
        <v>0.47894736842105201</v>
      </c>
      <c r="Q1015" s="15">
        <v>0.53500000000000003</v>
      </c>
      <c r="R1015" s="15">
        <v>0.64500000000000002</v>
      </c>
      <c r="S1015" s="15">
        <v>0.64</v>
      </c>
      <c r="T1015" s="15">
        <v>0.7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0.62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0.47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</v>
      </c>
      <c r="BB1015" s="15">
        <v>0.42499999999999999</v>
      </c>
      <c r="BC1015" s="15">
        <v>0.38500000000000001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0.3</v>
      </c>
      <c r="BN1015" s="15">
        <v>0.32</v>
      </c>
    </row>
    <row r="1016" spans="1:68" x14ac:dyDescent="0.4">
      <c r="A1016" t="s">
        <v>681</v>
      </c>
      <c r="B1016" s="15">
        <v>8.7719298245613996E-3</v>
      </c>
      <c r="C1016" s="15">
        <v>0</v>
      </c>
      <c r="D1016" s="15">
        <v>1.72413793103448E-2</v>
      </c>
      <c r="E1016" s="15">
        <v>1.32450331125827E-2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6.2111801242236003E-3</v>
      </c>
      <c r="K1016" s="15">
        <v>5.9523809523809503E-3</v>
      </c>
      <c r="L1016" s="15">
        <v>5.5248618784530298E-3</v>
      </c>
      <c r="M1016" s="15">
        <v>1.5957446808510599E-2</v>
      </c>
      <c r="N1016" s="15">
        <v>0</v>
      </c>
      <c r="O1016" s="15">
        <v>1.12359550561797E-2</v>
      </c>
      <c r="P1016" s="15">
        <v>5.2631578947368403E-3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0.28499999999999998</v>
      </c>
      <c r="AQ1016" s="15">
        <v>0.37</v>
      </c>
      <c r="AR1016" s="15">
        <v>0.34</v>
      </c>
      <c r="AS1016" s="15">
        <v>0.29499999999999998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</v>
      </c>
      <c r="BN1016" s="15">
        <v>0.54</v>
      </c>
    </row>
    <row r="1022" spans="1:68" x14ac:dyDescent="0.4">
      <c r="A1022" t="s">
        <v>682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683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984" workbookViewId="0">
      <selection activeCell="A1014" sqref="A1014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0.158730158730158</v>
      </c>
      <c r="C1003" s="15">
        <v>0.137681159420289</v>
      </c>
      <c r="D1003" s="15">
        <v>0.13636363636363599</v>
      </c>
      <c r="E1003" s="15">
        <v>0.11764705882352899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0.11656441717791401</v>
      </c>
      <c r="K1003" s="15">
        <v>0.123529411764705</v>
      </c>
      <c r="L1003" s="15">
        <v>0.13114754098360601</v>
      </c>
      <c r="M1003" s="15">
        <v>0.12765957446808501</v>
      </c>
      <c r="N1003" s="15">
        <v>0.124352331606217</v>
      </c>
      <c r="O1003" s="15">
        <v>0.117318435754189</v>
      </c>
      <c r="P1003" s="15">
        <v>0.115183246073298</v>
      </c>
      <c r="Q1003" s="15">
        <v>0.105</v>
      </c>
      <c r="R1003" s="15">
        <v>0.08</v>
      </c>
      <c r="S1003" s="15">
        <v>0.09</v>
      </c>
      <c r="T1003" s="15">
        <v>8.5000000000000006E-2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3.5000000000000003E-2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69" x14ac:dyDescent="0.4">
      <c r="A1004" t="s">
        <v>666</v>
      </c>
      <c r="B1004" s="15">
        <v>3.1746031746031703E-2</v>
      </c>
      <c r="C1004" s="15">
        <v>4.3478260869565202E-2</v>
      </c>
      <c r="D1004" s="15">
        <v>4.54545454545454E-2</v>
      </c>
      <c r="E1004" s="15">
        <v>3.9215686274509803E-2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3.0674846625766802E-2</v>
      </c>
      <c r="K1004" s="15">
        <v>3.5294117647058802E-2</v>
      </c>
      <c r="L1004" s="15">
        <v>3.8251366120218497E-2</v>
      </c>
      <c r="M1004" s="15">
        <v>4.2553191489361701E-2</v>
      </c>
      <c r="N1004" s="15">
        <v>4.6632124352331598E-2</v>
      </c>
      <c r="O1004" s="15">
        <v>5.0279329608938501E-2</v>
      </c>
      <c r="P1004" s="15">
        <v>4.1884816753926697E-2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3.5000000000000003E-2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6.5000000000000002E-2</v>
      </c>
      <c r="AQ1004" s="15">
        <v>7.0000000000000007E-2</v>
      </c>
      <c r="AR1004" s="15">
        <v>5.5E-2</v>
      </c>
      <c r="AS1004" s="15">
        <v>7.0000000000000007E-2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0.11111111111111099</v>
      </c>
      <c r="C1005" s="15">
        <v>0.123188405797101</v>
      </c>
      <c r="D1005" s="15">
        <v>0.12121212121212099</v>
      </c>
      <c r="E1005" s="15">
        <v>0.11764705882352899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0.14723926380368099</v>
      </c>
      <c r="K1005" s="15">
        <v>0.14117647058823499</v>
      </c>
      <c r="L1005" s="15">
        <v>0.14207650273224001</v>
      </c>
      <c r="M1005" s="15">
        <v>0.14361702127659501</v>
      </c>
      <c r="N1005" s="15">
        <v>0.15025906735751199</v>
      </c>
      <c r="O1005" s="15">
        <v>0.15642458100558601</v>
      </c>
      <c r="P1005" s="15">
        <v>0.13612565445026101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0.16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</v>
      </c>
      <c r="AH1005" s="15">
        <v>0.17</v>
      </c>
      <c r="AI1005" s="15">
        <v>0.13500000000000001</v>
      </c>
      <c r="AJ1005" s="15">
        <v>0.16</v>
      </c>
      <c r="AK1005" s="15">
        <v>0.14499999999999999</v>
      </c>
      <c r="AL1005" s="15">
        <v>0.17499999999999999</v>
      </c>
      <c r="AM1005" s="15">
        <v>0.155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0.155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69" x14ac:dyDescent="0.4">
      <c r="A1006" t="s">
        <v>668</v>
      </c>
      <c r="B1006" s="15">
        <v>0.119047619047619</v>
      </c>
      <c r="C1006" s="15">
        <v>0.15217391304347799</v>
      </c>
      <c r="D1006" s="15">
        <v>0.15909090909090901</v>
      </c>
      <c r="E1006" s="15">
        <v>0.19607843137254899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0.214723926380368</v>
      </c>
      <c r="K1006" s="15">
        <v>0.19411764705882301</v>
      </c>
      <c r="L1006" s="15">
        <v>0.185792349726775</v>
      </c>
      <c r="M1006" s="15">
        <v>0.175531914893617</v>
      </c>
      <c r="N1006" s="15">
        <v>0.170984455958549</v>
      </c>
      <c r="O1006" s="15">
        <v>0.15083798882681501</v>
      </c>
      <c r="P1006" s="15">
        <v>0.146596858638743</v>
      </c>
      <c r="Q1006" s="15">
        <v>0.14000000000000001</v>
      </c>
      <c r="R1006" s="15">
        <v>0.16</v>
      </c>
      <c r="S1006" s="15">
        <v>0.155</v>
      </c>
      <c r="T1006" s="15">
        <v>0.13</v>
      </c>
      <c r="U1006" s="15">
        <v>0.115</v>
      </c>
      <c r="V1006" s="15">
        <v>0.14499999999999999</v>
      </c>
      <c r="W1006" s="15">
        <v>0.155</v>
      </c>
      <c r="X1006" s="15">
        <v>0.14000000000000001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0.16500000000000001</v>
      </c>
      <c r="AH1006" s="15">
        <v>0.15</v>
      </c>
      <c r="AI1006" s="15">
        <v>0.15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0.155</v>
      </c>
      <c r="AQ1006" s="15">
        <v>0.15</v>
      </c>
      <c r="AR1006" s="15">
        <v>0.15</v>
      </c>
      <c r="AS1006" s="15">
        <v>0.16</v>
      </c>
      <c r="AT1006" s="15">
        <v>0.15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0.18</v>
      </c>
      <c r="BB1006" s="15">
        <v>0.19</v>
      </c>
      <c r="BC1006" s="15">
        <v>0.18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69" x14ac:dyDescent="0.4">
      <c r="A1007" t="s">
        <v>669</v>
      </c>
      <c r="B1007" s="15">
        <v>0.22222222222222199</v>
      </c>
      <c r="C1007" s="15">
        <v>0.21014492753623101</v>
      </c>
      <c r="D1007" s="15">
        <v>0.204545454545454</v>
      </c>
      <c r="E1007" s="15">
        <v>0.20261437908496699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0.184049079754601</v>
      </c>
      <c r="K1007" s="15">
        <v>0.19411764705882301</v>
      </c>
      <c r="L1007" s="15">
        <v>0.191256830601092</v>
      </c>
      <c r="M1007" s="15">
        <v>0.20212765957446799</v>
      </c>
      <c r="N1007" s="15">
        <v>0.19689119170984401</v>
      </c>
      <c r="O1007" s="15">
        <v>0.217877094972067</v>
      </c>
      <c r="P1007" s="15">
        <v>0.23036649214659599</v>
      </c>
      <c r="Q1007" s="15">
        <v>0.23499999999999999</v>
      </c>
      <c r="R1007" s="15">
        <v>0.24</v>
      </c>
      <c r="S1007" s="15">
        <v>0.23</v>
      </c>
      <c r="T1007" s="15">
        <v>0.245</v>
      </c>
      <c r="U1007" s="15">
        <v>0.215</v>
      </c>
      <c r="V1007" s="15">
        <v>0.22</v>
      </c>
      <c r="W1007" s="15">
        <v>0.22500000000000001</v>
      </c>
      <c r="X1007" s="15">
        <v>0.21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0.20499999999999999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0.20499999999999999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69" x14ac:dyDescent="0.4">
      <c r="A1008" t="s">
        <v>670</v>
      </c>
      <c r="B1008" s="15">
        <v>0.17460317460317401</v>
      </c>
      <c r="C1008" s="15">
        <v>0.16666666666666599</v>
      </c>
      <c r="D1008" s="15">
        <v>0.15909090909090901</v>
      </c>
      <c r="E1008" s="15">
        <v>0.15686274509803899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0.14110429447852699</v>
      </c>
      <c r="K1008" s="15">
        <v>0.14705882352941099</v>
      </c>
      <c r="L1008" s="15">
        <v>0.15846994535519099</v>
      </c>
      <c r="M1008" s="15">
        <v>0.159574468085106</v>
      </c>
      <c r="N1008" s="15">
        <v>0.16062176165803099</v>
      </c>
      <c r="O1008" s="15">
        <v>0.14525139664804401</v>
      </c>
      <c r="P1008" s="15">
        <v>0.162303664921465</v>
      </c>
      <c r="Q1008" s="15">
        <v>0.17499999999999999</v>
      </c>
      <c r="R1008" s="15">
        <v>0.215</v>
      </c>
      <c r="S1008" s="15">
        <v>0.215</v>
      </c>
      <c r="T1008" s="15">
        <v>0.22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0.215</v>
      </c>
      <c r="AJ1008" s="15">
        <v>0.21</v>
      </c>
      <c r="AK1008" s="15">
        <v>0.20499999999999999</v>
      </c>
      <c r="AL1008" s="15">
        <v>0.2</v>
      </c>
      <c r="AM1008" s="15">
        <v>0.20499999999999999</v>
      </c>
      <c r="AN1008" s="15">
        <v>0.18</v>
      </c>
      <c r="AO1008" s="15">
        <v>0.17</v>
      </c>
      <c r="AP1008" s="15">
        <v>0.185</v>
      </c>
      <c r="AQ1008" s="15">
        <v>0.18</v>
      </c>
      <c r="AR1008" s="15">
        <v>0.19</v>
      </c>
      <c r="AS1008" s="15">
        <v>0.185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6" x14ac:dyDescent="0.4">
      <c r="A1009" t="s">
        <v>671</v>
      </c>
      <c r="B1009" s="15">
        <v>3.1746031746031703E-2</v>
      </c>
      <c r="C1009" s="15">
        <v>2.8985507246376802E-2</v>
      </c>
      <c r="D1009" s="15">
        <v>2.27272727272727E-2</v>
      </c>
      <c r="E1009" s="15">
        <v>2.61437908496732E-2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1.22699386503067E-2</v>
      </c>
      <c r="K1009" s="15">
        <v>1.7647058823529401E-2</v>
      </c>
      <c r="L1009" s="15">
        <v>1.09289617486338E-2</v>
      </c>
      <c r="M1009" s="15">
        <v>1.0638297872340399E-2</v>
      </c>
      <c r="N1009" s="15">
        <v>1.03626943005181E-2</v>
      </c>
      <c r="O1009" s="15">
        <v>1.11731843575419E-2</v>
      </c>
      <c r="P1009" s="15">
        <v>1.5706806282722498E-2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6" x14ac:dyDescent="0.4">
      <c r="A1010" t="s">
        <v>672</v>
      </c>
      <c r="B1010" s="15">
        <v>4.7619047619047603E-2</v>
      </c>
      <c r="C1010" s="15">
        <v>4.3478260869565202E-2</v>
      </c>
      <c r="D1010" s="15">
        <v>4.54545454545454E-2</v>
      </c>
      <c r="E1010" s="15">
        <v>5.22875816993464E-2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4.2944785276073601E-2</v>
      </c>
      <c r="K1010" s="15">
        <v>4.1176470588235203E-2</v>
      </c>
      <c r="L1010" s="15">
        <v>3.8251366120218497E-2</v>
      </c>
      <c r="M1010" s="15">
        <v>3.7234042553191397E-2</v>
      </c>
      <c r="N1010" s="15">
        <v>3.6269430051813399E-2</v>
      </c>
      <c r="O1010" s="15">
        <v>3.91061452513966E-2</v>
      </c>
      <c r="P1010" s="15">
        <v>4.1884816753926697E-2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6" x14ac:dyDescent="0.4">
      <c r="A1011" t="s">
        <v>673</v>
      </c>
      <c r="B1011" s="15">
        <v>2.3809523809523801E-2</v>
      </c>
      <c r="C1011" s="15">
        <v>2.1739130434782601E-2</v>
      </c>
      <c r="D1011" s="15">
        <v>2.27272727272727E-2</v>
      </c>
      <c r="E1011" s="15">
        <v>1.9607843137254902E-2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1.84049079754601E-2</v>
      </c>
      <c r="K1011" s="15">
        <v>1.7647058823529401E-2</v>
      </c>
      <c r="L1011" s="15">
        <v>1.63934426229508E-2</v>
      </c>
      <c r="M1011" s="15">
        <v>1.5957446808510599E-2</v>
      </c>
      <c r="N1011" s="15">
        <v>1.55440414507772E-2</v>
      </c>
      <c r="O1011" s="15">
        <v>1.67597765363128E-2</v>
      </c>
      <c r="P1011" s="15">
        <v>2.09424083769633E-2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7.9365079365079305E-2</v>
      </c>
      <c r="C1012" s="15">
        <v>7.2463768115942004E-2</v>
      </c>
      <c r="D1012" s="15">
        <v>8.3333333333333301E-2</v>
      </c>
      <c r="E1012" s="15">
        <v>7.1895424836601302E-2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9.2024539877300596E-2</v>
      </c>
      <c r="K1012" s="15">
        <v>8.8235294117646995E-2</v>
      </c>
      <c r="L1012" s="15">
        <v>8.7431693989070997E-2</v>
      </c>
      <c r="M1012" s="15">
        <v>8.5106382978723402E-2</v>
      </c>
      <c r="N1012" s="15">
        <v>8.8082901554404097E-2</v>
      </c>
      <c r="O1012" s="15">
        <v>9.4972067039106101E-2</v>
      </c>
      <c r="P1012" s="15">
        <v>8.9005235602094196E-2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8.5000000000000006E-2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679</v>
      </c>
      <c r="B1014" s="15">
        <v>0.60317460317460303</v>
      </c>
      <c r="C1014" s="15">
        <v>0.57971014492753603</v>
      </c>
      <c r="D1014" s="15">
        <v>0.60606060606060597</v>
      </c>
      <c r="E1014" s="15">
        <v>0.53594771241829997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0.60122699386502998</v>
      </c>
      <c r="K1014" s="15">
        <v>0.55882352941176405</v>
      </c>
      <c r="L1014" s="15">
        <v>0.54098360655737698</v>
      </c>
      <c r="M1014" s="15">
        <v>0.52659574468085102</v>
      </c>
      <c r="N1014" s="15">
        <v>0.51295336787564705</v>
      </c>
      <c r="O1014" s="15">
        <v>0.53631284916201105</v>
      </c>
      <c r="P1014" s="15">
        <v>0.51832460732984298</v>
      </c>
      <c r="Q1014" s="15">
        <v>0.45</v>
      </c>
      <c r="R1014" s="15">
        <v>0.35499999999999998</v>
      </c>
      <c r="S1014" s="15">
        <v>0.35</v>
      </c>
      <c r="T1014" s="15">
        <v>0.28499999999999998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0.315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0.14499999999999999</v>
      </c>
      <c r="AQ1014" s="15">
        <v>0.15</v>
      </c>
      <c r="AR1014" s="15">
        <v>0.18</v>
      </c>
      <c r="AS1014" s="15">
        <v>0.19500000000000001</v>
      </c>
      <c r="AT1014" s="15">
        <v>0.16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</v>
      </c>
      <c r="BB1014" s="15">
        <v>0.17</v>
      </c>
      <c r="BC1014" s="15">
        <v>0.17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6" x14ac:dyDescent="0.4">
      <c r="A1015" t="s">
        <v>680</v>
      </c>
      <c r="B1015" s="15">
        <v>0.38888888888888801</v>
      </c>
      <c r="C1015" s="15">
        <v>0.42028985507246303</v>
      </c>
      <c r="D1015" s="15">
        <v>0.37878787878787801</v>
      </c>
      <c r="E1015" s="15">
        <v>0.45098039215686198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0.39263803680981502</v>
      </c>
      <c r="K1015" s="15">
        <v>0.435294117647058</v>
      </c>
      <c r="L1015" s="15">
        <v>0.45355191256830601</v>
      </c>
      <c r="M1015" s="15">
        <v>0.45744680851063801</v>
      </c>
      <c r="N1015" s="15">
        <v>0.48704663212435201</v>
      </c>
      <c r="O1015" s="15">
        <v>0.45251396648044601</v>
      </c>
      <c r="P1015" s="15">
        <v>0.47643979057591601</v>
      </c>
      <c r="Q1015" s="15">
        <v>0.53</v>
      </c>
      <c r="R1015" s="15">
        <v>0.64</v>
      </c>
      <c r="S1015" s="15">
        <v>0.64</v>
      </c>
      <c r="T1015" s="15">
        <v>0.70499999999999996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0.61499999999999999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0.46500000000000002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0.42499999999999999</v>
      </c>
      <c r="BB1015" s="15">
        <v>0.42499999999999999</v>
      </c>
      <c r="BC1015" s="15">
        <v>0.39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0.29499999999999998</v>
      </c>
      <c r="BN1015" s="15">
        <v>0.32</v>
      </c>
    </row>
    <row r="1016" spans="1:66" x14ac:dyDescent="0.4">
      <c r="A1016" t="s">
        <v>681</v>
      </c>
      <c r="B1016" s="15">
        <v>7.9365079365079309E-3</v>
      </c>
      <c r="C1016" s="15">
        <v>0</v>
      </c>
      <c r="D1016" s="15">
        <v>1.51515151515151E-2</v>
      </c>
      <c r="E1016" s="15">
        <v>1.30718954248366E-2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6.13496932515337E-3</v>
      </c>
      <c r="K1016" s="15">
        <v>5.8823529411764696E-3</v>
      </c>
      <c r="L1016" s="15">
        <v>5.4644808743169399E-3</v>
      </c>
      <c r="M1016" s="15">
        <v>1.5957446808510599E-2</v>
      </c>
      <c r="N1016" s="15">
        <v>0</v>
      </c>
      <c r="O1016" s="15">
        <v>1.11731843575419E-2</v>
      </c>
      <c r="P1016" s="15">
        <v>5.2356020942408302E-3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0.28999999999999998</v>
      </c>
      <c r="AQ1016" s="15">
        <v>0.37</v>
      </c>
      <c r="AR1016" s="15">
        <v>0.33500000000000002</v>
      </c>
      <c r="AS1016" s="15">
        <v>0.28999999999999998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0.53500000000000003</v>
      </c>
      <c r="BN1016" s="15">
        <v>0.54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24"/>
  <sheetViews>
    <sheetView topLeftCell="A985" workbookViewId="0">
      <selection activeCell="A1008" sqref="A1008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675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0.27891156462584998</v>
      </c>
      <c r="C1003" s="15">
        <v>0.27044025157232698</v>
      </c>
      <c r="D1003" s="15">
        <v>0.27631578947368401</v>
      </c>
      <c r="E1003" s="15">
        <v>0.227513227513227</v>
      </c>
      <c r="F1003" s="15">
        <v>0.19500000000000001</v>
      </c>
      <c r="G1003" s="15">
        <v>0.19</v>
      </c>
      <c r="H1003" s="15">
        <v>0.215</v>
      </c>
      <c r="I1003" s="15">
        <v>0.1875</v>
      </c>
      <c r="J1003" s="15">
        <v>0.18817204301075199</v>
      </c>
      <c r="K1003" s="15">
        <v>0.215</v>
      </c>
      <c r="L1003" s="15">
        <v>0.17499999999999999</v>
      </c>
      <c r="M1003" s="15">
        <v>0.17</v>
      </c>
      <c r="N1003" s="15">
        <v>0.16500000000000001</v>
      </c>
      <c r="O1003" s="15">
        <v>0.18</v>
      </c>
      <c r="P1003" s="15">
        <v>0.18</v>
      </c>
      <c r="Q1003" s="15">
        <v>0.16</v>
      </c>
      <c r="R1003" s="15">
        <v>0.115</v>
      </c>
      <c r="S1003" s="15">
        <v>0.12</v>
      </c>
      <c r="T1003" s="15">
        <v>0.115</v>
      </c>
      <c r="U1003" s="15">
        <v>0.105</v>
      </c>
      <c r="V1003" s="15">
        <v>0.12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0.09</v>
      </c>
      <c r="AF1003" s="15">
        <v>0.105</v>
      </c>
      <c r="AG1003" s="15">
        <v>0.09</v>
      </c>
      <c r="AH1003" s="15">
        <v>7.0000000000000007E-2</v>
      </c>
      <c r="AI1003" s="15">
        <v>7.4999999999999997E-2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7.0000000000000007E-2</v>
      </c>
      <c r="AO1003" s="15">
        <v>0.08</v>
      </c>
      <c r="AP1003" s="15">
        <v>7.0000000000000007E-2</v>
      </c>
      <c r="AQ1003" s="15">
        <v>0.1</v>
      </c>
      <c r="AR1003" s="15">
        <v>0.09</v>
      </c>
      <c r="AS1003" s="15">
        <v>0.09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0.11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8.5000000000000006E-2</v>
      </c>
      <c r="BN1003" s="15">
        <v>6.5000000000000002E-2</v>
      </c>
    </row>
    <row r="1004" spans="1:69" x14ac:dyDescent="0.4">
      <c r="A1004" t="s">
        <v>666</v>
      </c>
      <c r="B1004" s="15">
        <v>2.7210884353741398E-2</v>
      </c>
      <c r="C1004" s="15">
        <v>3.7735849056603703E-2</v>
      </c>
      <c r="D1004" s="15">
        <v>3.94736842105263E-2</v>
      </c>
      <c r="E1004" s="15">
        <v>3.1746031746031703E-2</v>
      </c>
      <c r="F1004" s="15">
        <v>0.03</v>
      </c>
      <c r="G1004" s="15">
        <v>3.5000000000000003E-2</v>
      </c>
      <c r="H1004" s="15">
        <v>0.03</v>
      </c>
      <c r="I1004" s="15">
        <v>2.6041666666666598E-2</v>
      </c>
      <c r="J1004" s="15">
        <v>2.1505376344085999E-2</v>
      </c>
      <c r="K1004" s="15">
        <v>2.5000000000000001E-2</v>
      </c>
      <c r="L1004" s="15">
        <v>2.5000000000000001E-2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4.4999999999999998E-2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0.05</v>
      </c>
      <c r="AQ1004" s="15">
        <v>6.5000000000000002E-2</v>
      </c>
      <c r="AR1004" s="15">
        <v>4.4999999999999998E-2</v>
      </c>
      <c r="AS1004" s="15">
        <v>5.5E-2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0.115646258503401</v>
      </c>
      <c r="C1005" s="15">
        <v>0.13207547169811301</v>
      </c>
      <c r="D1005" s="15">
        <v>0.13815789473684201</v>
      </c>
      <c r="E1005" s="15">
        <v>0.12698412698412601</v>
      </c>
      <c r="F1005" s="15">
        <v>0.115</v>
      </c>
      <c r="G1005" s="15">
        <v>0.14499999999999999</v>
      </c>
      <c r="H1005" s="15">
        <v>0.13500000000000001</v>
      </c>
      <c r="I1005" s="15">
        <v>0.15104166666666599</v>
      </c>
      <c r="J1005" s="15">
        <v>0.15053763440860199</v>
      </c>
      <c r="K1005" s="15">
        <v>0.14000000000000001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0.115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0.18</v>
      </c>
      <c r="AH1005" s="15">
        <v>0.16500000000000001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0.12</v>
      </c>
      <c r="AS1005" s="15">
        <v>0.105</v>
      </c>
      <c r="AT1005" s="15">
        <v>9.5000000000000001E-2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2.7210884353741398E-2</v>
      </c>
      <c r="C1006" s="15">
        <v>2.51572327044025E-2</v>
      </c>
      <c r="D1006" s="15">
        <v>3.2894736842105199E-2</v>
      </c>
      <c r="E1006" s="15">
        <v>0.148148148148148</v>
      </c>
      <c r="F1006" s="15">
        <v>0.16500000000000001</v>
      </c>
      <c r="G1006" s="15">
        <v>0.17499999999999999</v>
      </c>
      <c r="H1006" s="15">
        <v>0.17499999999999999</v>
      </c>
      <c r="I1006" s="15">
        <v>0.16666666666666599</v>
      </c>
      <c r="J1006" s="15">
        <v>0.18817204301075199</v>
      </c>
      <c r="K1006" s="15">
        <v>0.17</v>
      </c>
      <c r="L1006" s="15">
        <v>0.18</v>
      </c>
      <c r="M1006" s="15">
        <v>0.17499999999999999</v>
      </c>
      <c r="N1006" s="15">
        <v>0.16500000000000001</v>
      </c>
      <c r="O1006" s="15">
        <v>0.13500000000000001</v>
      </c>
      <c r="P1006" s="15">
        <v>0.14499999999999999</v>
      </c>
      <c r="Q1006" s="15">
        <v>0.13500000000000001</v>
      </c>
      <c r="R1006" s="15">
        <v>0.16500000000000001</v>
      </c>
      <c r="S1006" s="15">
        <v>0.155</v>
      </c>
      <c r="T1006" s="15">
        <v>0.13</v>
      </c>
      <c r="U1006" s="15">
        <v>0.105</v>
      </c>
      <c r="V1006" s="15">
        <v>0.125</v>
      </c>
      <c r="W1006" s="15">
        <v>0.14499999999999999</v>
      </c>
      <c r="X1006" s="15">
        <v>0.12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</v>
      </c>
      <c r="AH1006" s="15">
        <v>0.15</v>
      </c>
      <c r="AI1006" s="15">
        <v>0.14499999999999999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0.14499999999999999</v>
      </c>
      <c r="AO1006" s="15">
        <v>0.14499999999999999</v>
      </c>
      <c r="AP1006" s="15">
        <v>0.14000000000000001</v>
      </c>
      <c r="AQ1006" s="15">
        <v>0.14000000000000001</v>
      </c>
      <c r="AR1006" s="15">
        <v>0.13500000000000001</v>
      </c>
      <c r="AS1006" s="15">
        <v>0.14499999999999999</v>
      </c>
      <c r="AT1006" s="15">
        <v>0.13500000000000001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0.155</v>
      </c>
      <c r="BB1006" s="15">
        <v>0.16</v>
      </c>
      <c r="BC1006" s="15">
        <v>0.16500000000000001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0.20408163265306101</v>
      </c>
      <c r="C1007" s="15">
        <v>0.19496855345911901</v>
      </c>
      <c r="D1007" s="15">
        <v>0.18421052631578899</v>
      </c>
      <c r="E1007" s="15">
        <v>0.169312169312169</v>
      </c>
      <c r="F1007" s="15">
        <v>0.17</v>
      </c>
      <c r="G1007" s="15">
        <v>0.155</v>
      </c>
      <c r="H1007" s="15">
        <v>0.15</v>
      </c>
      <c r="I1007" s="15">
        <v>0.15625</v>
      </c>
      <c r="J1007" s="15">
        <v>0.16666666666666599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0.23499999999999999</v>
      </c>
      <c r="U1007" s="15">
        <v>0.22500000000000001</v>
      </c>
      <c r="V1007" s="15">
        <v>0.215</v>
      </c>
      <c r="W1007" s="15">
        <v>0.215</v>
      </c>
      <c r="X1007" s="15">
        <v>0.22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0.23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0.23499999999999999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0.23499999999999999</v>
      </c>
      <c r="BN1007" s="15">
        <v>0.22</v>
      </c>
    </row>
    <row r="1008" spans="1:69" x14ac:dyDescent="0.4">
      <c r="A1008" t="s">
        <v>670</v>
      </c>
      <c r="B1008" s="15">
        <v>0.156462585034013</v>
      </c>
      <c r="C1008" s="15">
        <v>0.15723270440251499</v>
      </c>
      <c r="D1008" s="15">
        <v>0.13815789473684201</v>
      </c>
      <c r="E1008" s="15">
        <v>0.12698412698412601</v>
      </c>
      <c r="F1008" s="15">
        <v>0.16</v>
      </c>
      <c r="G1008" s="15">
        <v>0.14000000000000001</v>
      </c>
      <c r="H1008" s="15">
        <v>0.13500000000000001</v>
      </c>
      <c r="I1008" s="15">
        <v>0.13541666666666599</v>
      </c>
      <c r="J1008" s="15">
        <v>0.123655913978494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0.19500000000000001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8" x14ac:dyDescent="0.4">
      <c r="A1009" t="s">
        <v>671</v>
      </c>
      <c r="B1009" s="15">
        <v>3.4013605442176797E-2</v>
      </c>
      <c r="C1009" s="15">
        <v>3.1446540880503103E-2</v>
      </c>
      <c r="D1009" s="15">
        <v>2.6315789473684199E-2</v>
      </c>
      <c r="E1009" s="15">
        <v>2.6455026455026402E-2</v>
      </c>
      <c r="F1009" s="15">
        <v>0.02</v>
      </c>
      <c r="G1009" s="15">
        <v>0.02</v>
      </c>
      <c r="H1009" s="15">
        <v>1.4999999999999999E-2</v>
      </c>
      <c r="I1009" s="15">
        <v>2.0833333333333301E-2</v>
      </c>
      <c r="J1009" s="15">
        <v>1.0752688172042999E-2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8" x14ac:dyDescent="0.4">
      <c r="A1010" t="s">
        <v>672</v>
      </c>
      <c r="B1010" s="15">
        <v>4.08163265306122E-2</v>
      </c>
      <c r="C1010" s="15">
        <v>3.7735849056603703E-2</v>
      </c>
      <c r="D1010" s="15">
        <v>3.94736842105263E-2</v>
      </c>
      <c r="E1010" s="15">
        <v>4.2328042328042298E-2</v>
      </c>
      <c r="F1010" s="15">
        <v>0.04</v>
      </c>
      <c r="G1010" s="15">
        <v>0.04</v>
      </c>
      <c r="H1010" s="15">
        <v>0.04</v>
      </c>
      <c r="I1010" s="15">
        <v>4.1666666666666602E-2</v>
      </c>
      <c r="J1010" s="15">
        <v>3.7634408602150497E-2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8" x14ac:dyDescent="0.4">
      <c r="A1011" t="s">
        <v>673</v>
      </c>
      <c r="B1011" s="15">
        <v>4.7619047619047603E-2</v>
      </c>
      <c r="C1011" s="15">
        <v>4.40251572327044E-2</v>
      </c>
      <c r="D1011" s="15">
        <v>4.6052631578947303E-2</v>
      </c>
      <c r="E1011" s="15">
        <v>3.7037037037037E-2</v>
      </c>
      <c r="F1011" s="15">
        <v>0.02</v>
      </c>
      <c r="G1011" s="15">
        <v>0.02</v>
      </c>
      <c r="H1011" s="15">
        <v>2.5000000000000001E-2</v>
      </c>
      <c r="I1011" s="15">
        <v>2.6041666666666598E-2</v>
      </c>
      <c r="J1011" s="15">
        <v>2.68817204301075E-2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6.8027210884353706E-2</v>
      </c>
      <c r="C1012" s="15">
        <v>6.9182389937106903E-2</v>
      </c>
      <c r="D1012" s="15">
        <v>7.8947368421052599E-2</v>
      </c>
      <c r="E1012" s="15">
        <v>6.3492063492063405E-2</v>
      </c>
      <c r="F1012" s="15">
        <v>8.5000000000000006E-2</v>
      </c>
      <c r="G1012" s="15">
        <v>0.08</v>
      </c>
      <c r="H1012" s="15">
        <v>0.08</v>
      </c>
      <c r="I1012" s="15">
        <v>8.8541666666666602E-2</v>
      </c>
      <c r="J1012" s="15">
        <v>8.6021505376343996E-2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8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8" x14ac:dyDescent="0.4">
      <c r="A1014" t="s">
        <v>679</v>
      </c>
      <c r="B1014" s="15">
        <v>0.45578231292517002</v>
      </c>
      <c r="C1014" s="15">
        <v>0.42767295597484201</v>
      </c>
      <c r="D1014" s="15">
        <v>0.44736842105263103</v>
      </c>
      <c r="E1014" s="15">
        <v>0.42857142857142799</v>
      </c>
      <c r="F1014" s="15">
        <v>0.38</v>
      </c>
      <c r="G1014" s="15">
        <v>0.41</v>
      </c>
      <c r="H1014" s="15">
        <v>0.41499999999999998</v>
      </c>
      <c r="I1014" s="15">
        <v>0.4375</v>
      </c>
      <c r="J1014" s="15">
        <v>0.521505376344086</v>
      </c>
      <c r="K1014" s="15">
        <v>0.47</v>
      </c>
      <c r="L1014" s="15">
        <v>0.47499999999999998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0.375</v>
      </c>
      <c r="R1014" s="15">
        <v>0.30499999999999999</v>
      </c>
      <c r="S1014" s="15">
        <v>0.30499999999999999</v>
      </c>
      <c r="T1014" s="15">
        <v>0.26500000000000001</v>
      </c>
      <c r="U1014" s="15">
        <v>0.18</v>
      </c>
      <c r="V1014" s="15">
        <v>0.16</v>
      </c>
      <c r="W1014" s="15">
        <v>0.2</v>
      </c>
      <c r="X1014" s="15">
        <v>0.16500000000000001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</v>
      </c>
      <c r="AI1014" s="15">
        <v>0.16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0.1</v>
      </c>
      <c r="AO1014" s="15">
        <v>0.105</v>
      </c>
      <c r="AP1014" s="15">
        <v>0.13</v>
      </c>
      <c r="AQ1014" s="15">
        <v>0.11</v>
      </c>
      <c r="AR1014" s="15">
        <v>0.15</v>
      </c>
      <c r="AS1014" s="15">
        <v>0.155</v>
      </c>
      <c r="AT1014" s="15">
        <v>0.125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8" x14ac:dyDescent="0.4">
      <c r="A1015" t="s">
        <v>680</v>
      </c>
      <c r="B1015" s="15">
        <v>0.312925170068027</v>
      </c>
      <c r="C1015" s="15">
        <v>0.33333333333333298</v>
      </c>
      <c r="D1015" s="15">
        <v>0.30263157894736797</v>
      </c>
      <c r="E1015" s="15">
        <v>0.35978835978835899</v>
      </c>
      <c r="F1015" s="15">
        <v>0.48</v>
      </c>
      <c r="G1015" s="15">
        <v>0.45</v>
      </c>
      <c r="H1015" s="15">
        <v>0.42499999999999999</v>
      </c>
      <c r="I1015" s="15">
        <v>0.41666666666666602</v>
      </c>
      <c r="J1015" s="15">
        <v>0.33870967741935398</v>
      </c>
      <c r="K1015" s="15">
        <v>0.36499999999999999</v>
      </c>
      <c r="L1015" s="15">
        <v>0.4</v>
      </c>
      <c r="M1015" s="15">
        <v>0.41</v>
      </c>
      <c r="N1015" s="15">
        <v>0.45</v>
      </c>
      <c r="O1015" s="15">
        <v>0.39</v>
      </c>
      <c r="P1015" s="15">
        <v>0.43</v>
      </c>
      <c r="Q1015" s="15">
        <v>0.51500000000000001</v>
      </c>
      <c r="R1015" s="15">
        <v>0.61499999999999999</v>
      </c>
      <c r="S1015" s="15">
        <v>0.61499999999999999</v>
      </c>
      <c r="T1015" s="15">
        <v>0.65500000000000003</v>
      </c>
      <c r="U1015" s="15">
        <v>0.625</v>
      </c>
      <c r="V1015" s="15">
        <v>0.67</v>
      </c>
      <c r="W1015" s="15">
        <v>0.62</v>
      </c>
      <c r="X1015" s="15">
        <v>0.64500000000000002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0.53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0.55000000000000004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0.41499999999999998</v>
      </c>
      <c r="AR1015" s="15">
        <v>0.41499999999999998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0.36499999999999999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0.32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8" x14ac:dyDescent="0.4">
      <c r="A1016" t="s">
        <v>681</v>
      </c>
      <c r="B1016" s="15">
        <v>6.8027210884353704E-3</v>
      </c>
      <c r="C1016" s="15">
        <v>0</v>
      </c>
      <c r="D1016" s="15">
        <v>1.3157894736842099E-2</v>
      </c>
      <c r="E1016" s="15">
        <v>1.05820105820105E-2</v>
      </c>
      <c r="F1016" s="15">
        <v>0</v>
      </c>
      <c r="G1016" s="15">
        <v>0</v>
      </c>
      <c r="H1016" s="15">
        <v>0</v>
      </c>
      <c r="I1016" s="15">
        <v>5.2083333333333296E-3</v>
      </c>
      <c r="J1016" s="15">
        <v>5.3763440860214997E-3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0.18</v>
      </c>
      <c r="AJ1016" s="15">
        <v>0.23</v>
      </c>
      <c r="AK1016" s="15">
        <v>0.18</v>
      </c>
      <c r="AL1016" s="15">
        <v>0.2</v>
      </c>
      <c r="AM1016" s="15">
        <v>0.23499999999999999</v>
      </c>
      <c r="AN1016" s="15">
        <v>0.245</v>
      </c>
      <c r="AO1016" s="15">
        <v>0.28999999999999998</v>
      </c>
      <c r="AP1016" s="15">
        <v>0.24</v>
      </c>
      <c r="AQ1016" s="15">
        <v>0.33500000000000002</v>
      </c>
      <c r="AR1016" s="15">
        <v>0.31</v>
      </c>
      <c r="AS1016" s="15">
        <v>0.27</v>
      </c>
      <c r="AT1016" s="15">
        <v>0.33500000000000002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</v>
      </c>
      <c r="BN1016" s="15">
        <v>0.47499999999999998</v>
      </c>
    </row>
    <row r="1017" spans="1:68" x14ac:dyDescent="0.4">
      <c r="A1017" t="s">
        <v>547</v>
      </c>
      <c r="B1017" s="15">
        <v>0.22448979591836701</v>
      </c>
      <c r="C1017" s="15">
        <v>0.23899371069182301</v>
      </c>
      <c r="D1017" s="15">
        <v>0.23684210526315699</v>
      </c>
      <c r="E1017" s="15">
        <v>0.20105820105820099</v>
      </c>
      <c r="F1017" s="15">
        <v>0.14000000000000001</v>
      </c>
      <c r="G1017" s="15">
        <v>0.14000000000000001</v>
      </c>
      <c r="H1017" s="15">
        <v>0.16</v>
      </c>
      <c r="I1017" s="15">
        <v>0.140625</v>
      </c>
      <c r="J1017" s="15">
        <v>0.13440860215053699</v>
      </c>
      <c r="K1017" s="15">
        <v>0.16</v>
      </c>
      <c r="L1017" s="15">
        <v>0.12</v>
      </c>
      <c r="M1017" s="15">
        <v>0.12</v>
      </c>
      <c r="N1017" s="15">
        <v>0.12</v>
      </c>
      <c r="O1017" s="15">
        <v>0.14000000000000001</v>
      </c>
      <c r="P1017" s="15">
        <v>0.12</v>
      </c>
      <c r="Q1017" s="15">
        <v>9.5000000000000001E-2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</v>
      </c>
      <c r="AF1017" s="15">
        <v>0.11</v>
      </c>
      <c r="AG1017" s="15">
        <v>0.105</v>
      </c>
      <c r="AH1017" s="15">
        <v>0.1</v>
      </c>
      <c r="AI1017" s="15">
        <v>0.11</v>
      </c>
      <c r="AJ1017" s="15">
        <v>0.1</v>
      </c>
      <c r="AK1017" s="15">
        <v>0.13</v>
      </c>
      <c r="AL1017" s="15">
        <v>0.11</v>
      </c>
      <c r="AM1017" s="15">
        <v>0.105</v>
      </c>
      <c r="AN1017" s="15">
        <v>0.11</v>
      </c>
      <c r="AO1017" s="15">
        <v>0.12</v>
      </c>
      <c r="AP1017" s="15">
        <v>0.115</v>
      </c>
      <c r="AQ1017" s="15">
        <v>0.14000000000000001</v>
      </c>
      <c r="AR1017" s="15">
        <v>0.125</v>
      </c>
      <c r="AS1017" s="15">
        <v>0.14000000000000001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0.125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0.13500000000000001</v>
      </c>
      <c r="BJ1017" s="15">
        <v>0.14000000000000001</v>
      </c>
      <c r="BK1017" s="15">
        <v>0.13</v>
      </c>
      <c r="BL1017" s="15">
        <v>0.12</v>
      </c>
      <c r="BM1017" s="15">
        <v>0.15</v>
      </c>
      <c r="BN1017" s="15">
        <v>0.155</v>
      </c>
    </row>
    <row r="1022" spans="1:68" x14ac:dyDescent="0.4">
      <c r="A1022" t="s">
        <v>684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685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17"/>
  <sheetViews>
    <sheetView workbookViewId="0"/>
  </sheetViews>
  <sheetFormatPr defaultRowHeight="17.399999999999999" x14ac:dyDescent="0.4"/>
  <cols>
    <col min="2" max="2" width="9.3984375" bestFit="1" customWidth="1"/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0.15979381443298901</v>
      </c>
      <c r="C998">
        <v>5.29411764705882E-2</v>
      </c>
      <c r="D998">
        <v>0.17085427135678299</v>
      </c>
      <c r="E998">
        <v>0.20499999999999999</v>
      </c>
      <c r="F998">
        <v>0.13</v>
      </c>
      <c r="G998">
        <v>0.11</v>
      </c>
      <c r="H998">
        <v>0.10101010101010099</v>
      </c>
      <c r="I998">
        <v>0.115183246073298</v>
      </c>
      <c r="J998">
        <v>0.12</v>
      </c>
      <c r="K998">
        <v>0.1</v>
      </c>
      <c r="L998">
        <v>0.08</v>
      </c>
      <c r="M998">
        <v>6.5000000000000002E-2</v>
      </c>
      <c r="N998">
        <v>0.12</v>
      </c>
      <c r="O998">
        <v>0.1</v>
      </c>
      <c r="P998">
        <v>0.14000000000000001</v>
      </c>
      <c r="Q998">
        <v>0.19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0.2</v>
      </c>
      <c r="AF998">
        <v>0.34</v>
      </c>
      <c r="AG998">
        <v>0.14499999999999999</v>
      </c>
      <c r="AH998">
        <v>0.23499999999999999</v>
      </c>
      <c r="AI998">
        <v>0.15</v>
      </c>
      <c r="AJ998">
        <v>0.14000000000000001</v>
      </c>
      <c r="AK998">
        <v>0.13500000000000001</v>
      </c>
      <c r="AL998">
        <v>0.14000000000000001</v>
      </c>
      <c r="AM998">
        <v>0.11</v>
      </c>
      <c r="AN998">
        <v>0.14000000000000001</v>
      </c>
      <c r="AO998">
        <v>0.155</v>
      </c>
      <c r="AP998">
        <v>0.16500000000000001</v>
      </c>
      <c r="AQ998">
        <v>0.16500000000000001</v>
      </c>
      <c r="AR998">
        <v>0.17</v>
      </c>
      <c r="AS998">
        <v>0.17</v>
      </c>
      <c r="AT998">
        <v>0.2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</v>
      </c>
      <c r="BB998">
        <v>0.16</v>
      </c>
      <c r="BC998">
        <v>0.17</v>
      </c>
      <c r="BD998">
        <v>0.17499999999999999</v>
      </c>
      <c r="BE998">
        <v>0.19</v>
      </c>
      <c r="BF998">
        <v>0.2</v>
      </c>
      <c r="BG998">
        <v>0.19</v>
      </c>
      <c r="BH998">
        <v>0.125</v>
      </c>
      <c r="BI998">
        <v>0.14499999999999999</v>
      </c>
      <c r="BJ998">
        <v>0.13500000000000001</v>
      </c>
      <c r="BK998">
        <v>0.13500000000000001</v>
      </c>
      <c r="BL998">
        <v>0.13500000000000001</v>
      </c>
      <c r="BM998">
        <v>0.115</v>
      </c>
      <c r="BQ998">
        <f>AVERAGE(AD998:BM998)</f>
        <v>0.16236111111111109</v>
      </c>
    </row>
    <row r="999" spans="1:69" x14ac:dyDescent="0.4">
      <c r="A999">
        <v>997</v>
      </c>
      <c r="B999" s="28">
        <v>20010531</v>
      </c>
      <c r="C999" s="28">
        <v>20010831</v>
      </c>
      <c r="D999" s="28">
        <v>20011130</v>
      </c>
      <c r="E999" s="28">
        <v>20020228</v>
      </c>
      <c r="F999" s="28">
        <v>20020531</v>
      </c>
      <c r="G999" s="28">
        <v>20020830</v>
      </c>
      <c r="H999" s="28">
        <v>20021129</v>
      </c>
      <c r="I999" s="28">
        <v>20030228</v>
      </c>
      <c r="J999" s="28">
        <v>20030530</v>
      </c>
      <c r="K999" s="28">
        <v>20030829</v>
      </c>
      <c r="L999" s="28">
        <v>20031128</v>
      </c>
      <c r="M999" s="28">
        <v>20040227</v>
      </c>
      <c r="N999" s="28">
        <v>20040531</v>
      </c>
      <c r="O999" s="28">
        <v>20040831</v>
      </c>
      <c r="P999" s="28">
        <v>20041130</v>
      </c>
      <c r="Q999" s="28">
        <v>20050228</v>
      </c>
      <c r="R999" s="28">
        <v>20050531</v>
      </c>
      <c r="S999" s="28">
        <v>20050831</v>
      </c>
      <c r="T999" s="28">
        <v>20051130</v>
      </c>
      <c r="U999" s="28">
        <v>20060228</v>
      </c>
      <c r="V999" s="28">
        <v>20060530</v>
      </c>
      <c r="W999" s="28">
        <v>20060831</v>
      </c>
      <c r="X999" s="28">
        <v>20061130</v>
      </c>
      <c r="Y999" s="28">
        <v>20070228</v>
      </c>
      <c r="Z999" s="28">
        <v>20070531</v>
      </c>
      <c r="AA999" s="28">
        <v>20070831</v>
      </c>
      <c r="AB999" s="28">
        <v>20071130</v>
      </c>
      <c r="AC999" s="28">
        <v>20080229</v>
      </c>
      <c r="AD999" s="28">
        <v>20080530</v>
      </c>
      <c r="AE999" s="28">
        <v>20080829</v>
      </c>
      <c r="AF999" s="28">
        <v>20081128</v>
      </c>
      <c r="AG999" s="28">
        <v>20090227</v>
      </c>
      <c r="AH999" s="28">
        <v>20090529</v>
      </c>
      <c r="AI999" s="28">
        <v>20090831</v>
      </c>
      <c r="AJ999" s="28">
        <v>20091130</v>
      </c>
      <c r="AK999" s="28">
        <v>20100226</v>
      </c>
      <c r="AL999" s="28">
        <v>20100531</v>
      </c>
      <c r="AM999" s="28">
        <v>20100831</v>
      </c>
      <c r="AN999" s="28">
        <v>20101130</v>
      </c>
      <c r="AO999" s="28">
        <v>20110228</v>
      </c>
      <c r="AP999" s="28">
        <v>20110531</v>
      </c>
      <c r="AQ999" s="28">
        <v>20110831</v>
      </c>
      <c r="AR999" s="28">
        <v>20111130</v>
      </c>
      <c r="AS999" s="28">
        <v>20120229</v>
      </c>
      <c r="AT999" s="28">
        <v>20120531</v>
      </c>
      <c r="AU999" s="28">
        <v>20120831</v>
      </c>
      <c r="AV999" s="28">
        <v>20121130</v>
      </c>
      <c r="AW999" s="28">
        <v>20130228</v>
      </c>
      <c r="AX999" s="28">
        <v>20130531</v>
      </c>
      <c r="AY999" s="28">
        <v>20130830</v>
      </c>
      <c r="AZ999" s="28">
        <v>20131129</v>
      </c>
      <c r="BA999" s="28">
        <v>20140228</v>
      </c>
      <c r="BB999" s="28">
        <v>20140530</v>
      </c>
      <c r="BC999" s="28">
        <v>20140829</v>
      </c>
      <c r="BD999" s="28">
        <v>20141128</v>
      </c>
      <c r="BE999" s="28">
        <v>20150227</v>
      </c>
      <c r="BF999" s="28">
        <v>20150529</v>
      </c>
      <c r="BG999" s="28">
        <v>20150831</v>
      </c>
      <c r="BH999" s="28">
        <v>20151130</v>
      </c>
      <c r="BI999" s="28">
        <v>20160229</v>
      </c>
      <c r="BJ999" s="28">
        <v>20160531</v>
      </c>
      <c r="BK999" s="28">
        <v>20160831</v>
      </c>
      <c r="BL999" s="28">
        <v>20161130</v>
      </c>
      <c r="BM999" s="28">
        <v>20170228</v>
      </c>
      <c r="BN999" s="28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1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663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1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  <c r="BO1002" s="29"/>
    </row>
    <row r="1003" spans="1:69" x14ac:dyDescent="0.4">
      <c r="A1003" t="s">
        <v>665</v>
      </c>
      <c r="B1003" s="15">
        <v>0.286549707602339</v>
      </c>
      <c r="C1003" s="15">
        <v>0.27835051546391698</v>
      </c>
      <c r="D1003" s="15">
        <v>0.252941176470588</v>
      </c>
      <c r="E1003" s="15">
        <v>0.24623115577889401</v>
      </c>
      <c r="F1003" s="15">
        <v>0.19500000000000001</v>
      </c>
      <c r="G1003" s="15">
        <v>0.20499999999999999</v>
      </c>
      <c r="H1003" s="15">
        <v>0.215</v>
      </c>
      <c r="I1003" s="15">
        <v>0.20202020202020199</v>
      </c>
      <c r="J1003" s="15">
        <v>0.193717277486911</v>
      </c>
      <c r="K1003" s="15">
        <v>0.2</v>
      </c>
      <c r="L1003" s="15">
        <v>0.17</v>
      </c>
      <c r="M1003" s="15">
        <v>0.17</v>
      </c>
      <c r="N1003" s="15">
        <v>0.16500000000000001</v>
      </c>
      <c r="O1003" s="15">
        <v>0.17499999999999999</v>
      </c>
      <c r="P1003" s="15">
        <v>0.17499999999999999</v>
      </c>
      <c r="Q1003" s="15">
        <v>0.16</v>
      </c>
      <c r="R1003" s="15">
        <v>0.115</v>
      </c>
      <c r="S1003" s="15">
        <v>0.115</v>
      </c>
      <c r="T1003" s="15">
        <v>0.115</v>
      </c>
      <c r="U1003" s="15">
        <v>0.105</v>
      </c>
      <c r="V1003" s="15">
        <v>0.115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9.5000000000000001E-2</v>
      </c>
      <c r="AF1003" s="15">
        <v>0.105</v>
      </c>
      <c r="AG1003" s="15">
        <v>0.09</v>
      </c>
      <c r="AH1003" s="15">
        <v>7.0000000000000007E-2</v>
      </c>
      <c r="AI1003" s="15">
        <v>6.5000000000000002E-2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7.4999999999999997E-2</v>
      </c>
      <c r="AO1003" s="15">
        <v>0.08</v>
      </c>
      <c r="AP1003" s="15">
        <v>7.0000000000000007E-2</v>
      </c>
      <c r="AQ1003" s="15">
        <v>9.5000000000000001E-2</v>
      </c>
      <c r="AR1003" s="15">
        <v>0.09</v>
      </c>
      <c r="AS1003" s="15">
        <v>8.5000000000000006E-2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0.105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0.08</v>
      </c>
      <c r="BN1003" s="15">
        <v>6.5000000000000002E-2</v>
      </c>
    </row>
    <row r="1004" spans="1:69" x14ac:dyDescent="0.4">
      <c r="A1004" t="s">
        <v>666</v>
      </c>
      <c r="B1004" s="15">
        <v>2.9239766081871298E-2</v>
      </c>
      <c r="C1004" s="15">
        <v>4.1237113402061799E-2</v>
      </c>
      <c r="D1004" s="15">
        <v>3.5294117647058802E-2</v>
      </c>
      <c r="E1004" s="15">
        <v>3.0150753768844199E-2</v>
      </c>
      <c r="F1004" s="15">
        <v>0.03</v>
      </c>
      <c r="G1004" s="15">
        <v>3.5000000000000003E-2</v>
      </c>
      <c r="H1004" s="15">
        <v>0.03</v>
      </c>
      <c r="I1004" s="15">
        <v>2.52525252525252E-2</v>
      </c>
      <c r="J1004" s="15">
        <v>2.6178010471204102E-2</v>
      </c>
      <c r="K1004" s="15">
        <v>0.03</v>
      </c>
      <c r="L1004" s="15">
        <v>0.03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0.04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5.5E-2</v>
      </c>
      <c r="AQ1004" s="15">
        <v>7.0000000000000007E-2</v>
      </c>
      <c r="AR1004" s="15">
        <v>0.05</v>
      </c>
      <c r="AS1004" s="15">
        <v>0.06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0.105263157894736</v>
      </c>
      <c r="C1005" s="15">
        <v>0.118556701030927</v>
      </c>
      <c r="D1005" s="15">
        <v>0.123529411764705</v>
      </c>
      <c r="E1005" s="15">
        <v>0.120603015075376</v>
      </c>
      <c r="F1005" s="15">
        <v>0.12</v>
      </c>
      <c r="G1005" s="15">
        <v>0.13500000000000001</v>
      </c>
      <c r="H1005" s="15">
        <v>0.14000000000000001</v>
      </c>
      <c r="I1005" s="15">
        <v>0.15656565656565599</v>
      </c>
      <c r="J1005" s="15">
        <v>0.15183246073298401</v>
      </c>
      <c r="K1005" s="15">
        <v>0.14499999999999999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0.12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0.17499999999999999</v>
      </c>
      <c r="AH1005" s="15">
        <v>0.16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0.115</v>
      </c>
      <c r="AS1005" s="15">
        <v>0.1</v>
      </c>
      <c r="AT1005" s="15">
        <v>0.09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0.105263157894736</v>
      </c>
      <c r="C1006" s="15">
        <v>0.118556701030927</v>
      </c>
      <c r="D1006" s="15">
        <v>0.129411764705882</v>
      </c>
      <c r="E1006" s="15">
        <v>0.16080402010050199</v>
      </c>
      <c r="F1006" s="15">
        <v>0.16500000000000001</v>
      </c>
      <c r="G1006" s="15">
        <v>0.17499999999999999</v>
      </c>
      <c r="H1006" s="15">
        <v>0.17499999999999999</v>
      </c>
      <c r="I1006" s="15">
        <v>0.16161616161616099</v>
      </c>
      <c r="J1006" s="15">
        <v>0.18848167539267</v>
      </c>
      <c r="K1006" s="15">
        <v>0.17499999999999999</v>
      </c>
      <c r="L1006" s="15">
        <v>0.18</v>
      </c>
      <c r="M1006" s="15">
        <v>0.17499999999999999</v>
      </c>
      <c r="N1006" s="15">
        <v>0.16500000000000001</v>
      </c>
      <c r="O1006" s="15">
        <v>0.14000000000000001</v>
      </c>
      <c r="P1006" s="15">
        <v>0.14499999999999999</v>
      </c>
      <c r="Q1006" s="15">
        <v>0.13500000000000001</v>
      </c>
      <c r="R1006" s="15">
        <v>0.16</v>
      </c>
      <c r="S1006" s="15">
        <v>0.155</v>
      </c>
      <c r="T1006" s="15">
        <v>0.13</v>
      </c>
      <c r="U1006" s="15">
        <v>0.105</v>
      </c>
      <c r="V1006" s="15">
        <v>0.13</v>
      </c>
      <c r="W1006" s="15">
        <v>0.14499999999999999</v>
      </c>
      <c r="X1006" s="15">
        <v>0.125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0.155</v>
      </c>
      <c r="AH1006" s="15">
        <v>0.155</v>
      </c>
      <c r="AI1006" s="15">
        <v>0.15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0.14000000000000001</v>
      </c>
      <c r="AO1006" s="15">
        <v>0.14499999999999999</v>
      </c>
      <c r="AP1006" s="15">
        <v>0.13500000000000001</v>
      </c>
      <c r="AQ1006" s="15">
        <v>0.14000000000000001</v>
      </c>
      <c r="AR1006" s="15">
        <v>0.13500000000000001</v>
      </c>
      <c r="AS1006" s="15">
        <v>0.155</v>
      </c>
      <c r="AT1006" s="15">
        <v>0.14000000000000001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0.16</v>
      </c>
      <c r="BB1006" s="15">
        <v>0.16</v>
      </c>
      <c r="BC1006" s="15">
        <v>0.17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0.175438596491228</v>
      </c>
      <c r="C1007" s="15">
        <v>0.15979381443298901</v>
      </c>
      <c r="D1007" s="15">
        <v>0.16470588235294101</v>
      </c>
      <c r="E1007" s="15">
        <v>0.16080402010050199</v>
      </c>
      <c r="F1007" s="15">
        <v>0.16500000000000001</v>
      </c>
      <c r="G1007" s="15">
        <v>0.15</v>
      </c>
      <c r="H1007" s="15">
        <v>0.15</v>
      </c>
      <c r="I1007" s="15">
        <v>0.15151515151515099</v>
      </c>
      <c r="J1007" s="15">
        <v>0.162303664921465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</v>
      </c>
      <c r="U1007" s="15">
        <v>0.22500000000000001</v>
      </c>
      <c r="V1007" s="15">
        <v>0.215</v>
      </c>
      <c r="W1007" s="15">
        <v>0.215</v>
      </c>
      <c r="X1007" s="15">
        <v>0.215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0.22500000000000001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0.24</v>
      </c>
      <c r="BN1007" s="15">
        <v>0.22</v>
      </c>
    </row>
    <row r="1008" spans="1:69" x14ac:dyDescent="0.4">
      <c r="A1008" t="s">
        <v>670</v>
      </c>
      <c r="B1008" s="15">
        <v>0.13450292397660801</v>
      </c>
      <c r="C1008" s="15">
        <v>0.12886597938144301</v>
      </c>
      <c r="D1008" s="15">
        <v>0.123529411764705</v>
      </c>
      <c r="E1008" s="15">
        <v>0.120603015075376</v>
      </c>
      <c r="F1008" s="15">
        <v>0.16</v>
      </c>
      <c r="G1008" s="15">
        <v>0.14000000000000001</v>
      </c>
      <c r="H1008" s="15">
        <v>0.13500000000000001</v>
      </c>
      <c r="I1008" s="15">
        <v>0.13131313131313099</v>
      </c>
      <c r="J1008" s="15">
        <v>0.12041884816753901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0.215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0.20499999999999999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6" x14ac:dyDescent="0.4">
      <c r="A1009" t="s">
        <v>671</v>
      </c>
      <c r="B1009" s="15">
        <v>2.9239766081871298E-2</v>
      </c>
      <c r="C1009" s="15">
        <v>2.5773195876288599E-2</v>
      </c>
      <c r="D1009" s="15">
        <v>2.3529411764705799E-2</v>
      </c>
      <c r="E1009" s="15">
        <v>2.5125628140703501E-2</v>
      </c>
      <c r="F1009" s="15">
        <v>0.02</v>
      </c>
      <c r="G1009" s="15">
        <v>0.02</v>
      </c>
      <c r="H1009" s="15">
        <v>1.4999999999999999E-2</v>
      </c>
      <c r="I1009" s="15">
        <v>2.02020202020202E-2</v>
      </c>
      <c r="J1009" s="15">
        <v>1.04712041884816E-2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6" x14ac:dyDescent="0.4">
      <c r="A1010" t="s">
        <v>672</v>
      </c>
      <c r="B1010" s="15">
        <v>3.5087719298245598E-2</v>
      </c>
      <c r="C1010" s="15">
        <v>3.0927835051546299E-2</v>
      </c>
      <c r="D1010" s="15">
        <v>3.5294117647058802E-2</v>
      </c>
      <c r="E1010" s="15">
        <v>4.0201005025125601E-2</v>
      </c>
      <c r="F1010" s="15">
        <v>0.04</v>
      </c>
      <c r="G1010" s="15">
        <v>0.04</v>
      </c>
      <c r="H1010" s="15">
        <v>0.04</v>
      </c>
      <c r="I1010" s="15">
        <v>4.0404040404040401E-2</v>
      </c>
      <c r="J1010" s="15">
        <v>3.6649214659685798E-2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6" x14ac:dyDescent="0.4">
      <c r="A1011" t="s">
        <v>673</v>
      </c>
      <c r="B1011" s="15">
        <v>4.0935672514619798E-2</v>
      </c>
      <c r="C1011" s="15">
        <v>3.60824742268041E-2</v>
      </c>
      <c r="D1011" s="15">
        <v>4.1176470588235203E-2</v>
      </c>
      <c r="E1011" s="15">
        <v>3.5175879396984903E-2</v>
      </c>
      <c r="F1011" s="15">
        <v>0.02</v>
      </c>
      <c r="G1011" s="15">
        <v>0.02</v>
      </c>
      <c r="H1011" s="15">
        <v>2.5000000000000001E-2</v>
      </c>
      <c r="I1011" s="15">
        <v>2.52525252525252E-2</v>
      </c>
      <c r="J1011" s="15">
        <v>2.6178010471204102E-2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5.8479532163742597E-2</v>
      </c>
      <c r="C1012" s="15">
        <v>6.1855670103092703E-2</v>
      </c>
      <c r="D1012" s="15">
        <v>7.0588235294117604E-2</v>
      </c>
      <c r="E1012" s="15">
        <v>6.0301507537688398E-2</v>
      </c>
      <c r="F1012" s="15">
        <v>8.5000000000000006E-2</v>
      </c>
      <c r="G1012" s="15">
        <v>0.08</v>
      </c>
      <c r="H1012" s="15">
        <v>7.4999999999999997E-2</v>
      </c>
      <c r="I1012" s="15">
        <v>8.5858585858585801E-2</v>
      </c>
      <c r="J1012" s="15">
        <v>8.3769633507853394E-2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6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6" x14ac:dyDescent="0.4">
      <c r="A1014" t="s">
        <v>679</v>
      </c>
      <c r="B1014" s="15">
        <v>0.44444444444444398</v>
      </c>
      <c r="C1014" s="15">
        <v>0.41237113402061798</v>
      </c>
      <c r="D1014" s="15">
        <v>0.47058823529411697</v>
      </c>
      <c r="E1014" s="15">
        <v>0.41206030150753697</v>
      </c>
      <c r="F1014" s="15">
        <v>0.375</v>
      </c>
      <c r="G1014" s="15">
        <v>0.4</v>
      </c>
      <c r="H1014" s="15">
        <v>0.41499999999999998</v>
      </c>
      <c r="I1014" s="15">
        <v>0.42424242424242398</v>
      </c>
      <c r="J1014" s="15">
        <v>0.51308900523560197</v>
      </c>
      <c r="K1014" s="15">
        <v>0.47499999999999998</v>
      </c>
      <c r="L1014" s="15">
        <v>0.47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0.38</v>
      </c>
      <c r="R1014" s="15">
        <v>0.30499999999999999</v>
      </c>
      <c r="S1014" s="15">
        <v>0.31</v>
      </c>
      <c r="T1014" s="15">
        <v>0.26500000000000001</v>
      </c>
      <c r="U1014" s="15">
        <v>0.18</v>
      </c>
      <c r="V1014" s="15">
        <v>0.16500000000000001</v>
      </c>
      <c r="W1014" s="15">
        <v>0.2</v>
      </c>
      <c r="X1014" s="15">
        <v>0.17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0.26500000000000001</v>
      </c>
      <c r="AI1014" s="15">
        <v>0.16500000000000001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9.5000000000000001E-2</v>
      </c>
      <c r="AO1014" s="15">
        <v>0.105</v>
      </c>
      <c r="AP1014" s="15">
        <v>0.125</v>
      </c>
      <c r="AQ1014" s="15">
        <v>0.11</v>
      </c>
      <c r="AR1014" s="15">
        <v>0.14499999999999999</v>
      </c>
      <c r="AS1014" s="15">
        <v>0.16500000000000001</v>
      </c>
      <c r="AT1014" s="15">
        <v>0.13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6" x14ac:dyDescent="0.4">
      <c r="A1015" t="s">
        <v>680</v>
      </c>
      <c r="B1015" s="15">
        <v>0.286549707602339</v>
      </c>
      <c r="C1015" s="15">
        <v>0.298969072164948</v>
      </c>
      <c r="D1015" s="15">
        <v>0.29411764705882298</v>
      </c>
      <c r="E1015" s="15">
        <v>0.34673366834170799</v>
      </c>
      <c r="F1015" s="15">
        <v>0.48</v>
      </c>
      <c r="G1015" s="15">
        <v>0.44500000000000001</v>
      </c>
      <c r="H1015" s="15">
        <v>0.42499999999999999</v>
      </c>
      <c r="I1015" s="15">
        <v>0.40404040404040398</v>
      </c>
      <c r="J1015" s="15">
        <v>0.33507853403141302</v>
      </c>
      <c r="K1015" s="15">
        <v>0.37</v>
      </c>
      <c r="L1015" s="15">
        <v>0.40500000000000003</v>
      </c>
      <c r="M1015" s="15">
        <v>0.41</v>
      </c>
      <c r="N1015" s="15">
        <v>0.45</v>
      </c>
      <c r="O1015" s="15">
        <v>0.39500000000000002</v>
      </c>
      <c r="P1015" s="15">
        <v>0.43</v>
      </c>
      <c r="Q1015" s="15">
        <v>0.51500000000000001</v>
      </c>
      <c r="R1015" s="15">
        <v>0.61499999999999999</v>
      </c>
      <c r="S1015" s="15">
        <v>0.61</v>
      </c>
      <c r="T1015" s="15">
        <v>0.65500000000000003</v>
      </c>
      <c r="U1015" s="15">
        <v>0.625</v>
      </c>
      <c r="V1015" s="15">
        <v>0.66500000000000004</v>
      </c>
      <c r="W1015" s="15">
        <v>0.62</v>
      </c>
      <c r="X1015" s="15">
        <v>0.64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0.52500000000000002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0.56000000000000005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0.42</v>
      </c>
      <c r="AR1015" s="15">
        <v>0.42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0.37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0.315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6" x14ac:dyDescent="0.4">
      <c r="A1016" t="s">
        <v>681</v>
      </c>
      <c r="B1016" s="15">
        <v>5.84795321637426E-3</v>
      </c>
      <c r="C1016" s="15">
        <v>0</v>
      </c>
      <c r="D1016" s="15">
        <v>1.1764705882352899E-2</v>
      </c>
      <c r="E1016" s="15">
        <v>1.00502512562814E-2</v>
      </c>
      <c r="F1016" s="15">
        <v>0</v>
      </c>
      <c r="G1016" s="15">
        <v>0</v>
      </c>
      <c r="H1016" s="15">
        <v>0</v>
      </c>
      <c r="I1016" s="15">
        <v>5.0505050505050501E-3</v>
      </c>
      <c r="J1016" s="15">
        <v>5.2356020942408302E-3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0.17499999999999999</v>
      </c>
      <c r="AJ1016" s="15">
        <v>0.23</v>
      </c>
      <c r="AK1016" s="15">
        <v>0.18</v>
      </c>
      <c r="AL1016" s="15">
        <v>0.2</v>
      </c>
      <c r="AM1016" s="15">
        <v>0.23</v>
      </c>
      <c r="AN1016" s="15">
        <v>0.245</v>
      </c>
      <c r="AO1016" s="15">
        <v>0.28999999999999998</v>
      </c>
      <c r="AP1016" s="15">
        <v>0.245</v>
      </c>
      <c r="AQ1016" s="15">
        <v>0.33500000000000002</v>
      </c>
      <c r="AR1016" s="15">
        <v>0.31</v>
      </c>
      <c r="AS1016" s="15">
        <v>0.26500000000000001</v>
      </c>
      <c r="AT1016" s="15">
        <v>0.33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0.47499999999999998</v>
      </c>
      <c r="BN1016" s="15">
        <v>0.47499999999999998</v>
      </c>
    </row>
    <row r="1017" spans="1:66" x14ac:dyDescent="0.4">
      <c r="A1017" t="s">
        <v>547</v>
      </c>
      <c r="B1017" s="15">
        <v>0.26315789473684198</v>
      </c>
      <c r="C1017" s="15">
        <v>0.28865979381443202</v>
      </c>
      <c r="D1017" s="15">
        <v>0.223529411764705</v>
      </c>
      <c r="E1017" s="15">
        <v>0.231155778894472</v>
      </c>
      <c r="F1017" s="15">
        <v>0.14499999999999999</v>
      </c>
      <c r="G1017" s="15">
        <v>0.155</v>
      </c>
      <c r="H1017" s="15">
        <v>0.16</v>
      </c>
      <c r="I1017" s="15">
        <v>0.16666666666666599</v>
      </c>
      <c r="J1017" s="15">
        <v>0.146596858638743</v>
      </c>
      <c r="K1017" s="15">
        <v>0.15</v>
      </c>
      <c r="L1017" s="15">
        <v>0.12</v>
      </c>
      <c r="M1017" s="15">
        <v>0.12</v>
      </c>
      <c r="N1017" s="15">
        <v>0.12</v>
      </c>
      <c r="O1017" s="15">
        <v>0.13500000000000001</v>
      </c>
      <c r="P1017" s="15">
        <v>0.12</v>
      </c>
      <c r="Q1017" s="15">
        <v>0.09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0.125</v>
      </c>
      <c r="AF1017" s="15">
        <v>0.11</v>
      </c>
      <c r="AG1017" s="15">
        <v>0.105</v>
      </c>
      <c r="AH1017" s="15">
        <v>9.5000000000000001E-2</v>
      </c>
      <c r="AI1017" s="15">
        <v>0.1</v>
      </c>
      <c r="AJ1017" s="15">
        <v>0.1</v>
      </c>
      <c r="AK1017" s="15">
        <v>0.13</v>
      </c>
      <c r="AL1017" s="15">
        <v>0.11</v>
      </c>
      <c r="AM1017" s="15">
        <v>0.11</v>
      </c>
      <c r="AN1017" s="15">
        <v>0.115</v>
      </c>
      <c r="AO1017" s="15">
        <v>0.12</v>
      </c>
      <c r="AP1017" s="15">
        <v>0.115</v>
      </c>
      <c r="AQ1017" s="15">
        <v>0.13500000000000001</v>
      </c>
      <c r="AR1017" s="15">
        <v>0.125</v>
      </c>
      <c r="AS1017" s="15">
        <v>0.13500000000000001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0.14000000000000001</v>
      </c>
      <c r="BJ1017" s="15">
        <v>0.14000000000000001</v>
      </c>
      <c r="BK1017" s="15">
        <v>0.13</v>
      </c>
      <c r="BL1017" s="15">
        <v>0.12</v>
      </c>
      <c r="BM1017" s="15">
        <v>0.14499999999999999</v>
      </c>
      <c r="BN1017" s="15">
        <v>0.155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2017-06-23T01:25:39Z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
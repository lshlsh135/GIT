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 activeTab="4"/>
  </bookViews>
  <sheets>
    <sheet name="Results" sheetId="2" r:id="rId1"/>
    <sheet name="KOSPI_TRD" sheetId="3" r:id="rId2"/>
    <sheet name="KOSPI_FWD" sheetId="4" r:id="rId3"/>
    <sheet name="KOSPI+KOSDAQ_TRD" sheetId="5" r:id="rId4"/>
    <sheet name="KOSPI+KOSDAQ_FWD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N1024" i="3" l="1"/>
  <c r="BM1024" i="3"/>
  <c r="BL1024" i="3"/>
  <c r="BK1024" i="3"/>
  <c r="BJ1024" i="3"/>
  <c r="BI1024" i="3"/>
  <c r="BH1024" i="3"/>
  <c r="BG1024" i="3"/>
  <c r="BF1024" i="3"/>
  <c r="BE1024" i="3"/>
  <c r="BD1024" i="3"/>
  <c r="BC1024" i="3"/>
  <c r="BB1024" i="3"/>
  <c r="BA1024" i="3"/>
  <c r="AZ1024" i="3"/>
  <c r="AY1024" i="3"/>
  <c r="AX1024" i="3"/>
  <c r="AW1024" i="3"/>
  <c r="AV1024" i="3"/>
  <c r="AU1024" i="3"/>
  <c r="AT1024" i="3"/>
  <c r="AS1024" i="3"/>
  <c r="AR1024" i="3"/>
  <c r="AQ1024" i="3"/>
  <c r="AP1024" i="3"/>
  <c r="AO1024" i="3"/>
  <c r="AN1024" i="3"/>
  <c r="AM1024" i="3"/>
  <c r="AL1024" i="3"/>
  <c r="AK1024" i="3"/>
  <c r="AJ1024" i="3"/>
  <c r="AI1024" i="3"/>
  <c r="AH1024" i="3"/>
  <c r="AG1024" i="3"/>
  <c r="AF1024" i="3"/>
  <c r="AE1024" i="3"/>
  <c r="AD1024" i="3"/>
  <c r="BO1024" i="3" s="1"/>
  <c r="AC1024" i="3"/>
  <c r="AB1024" i="3"/>
  <c r="AA1024" i="3"/>
  <c r="Z1024" i="3"/>
  <c r="Y1024" i="3"/>
  <c r="X1024" i="3"/>
  <c r="W1024" i="3"/>
  <c r="V1024" i="3"/>
  <c r="U1024" i="3"/>
  <c r="T1024" i="3"/>
  <c r="S1024" i="3"/>
  <c r="R1024" i="3"/>
  <c r="Q1024" i="3"/>
  <c r="P1024" i="3"/>
  <c r="O1024" i="3"/>
  <c r="N1024" i="3"/>
  <c r="M1024" i="3"/>
  <c r="L1024" i="3"/>
  <c r="K1024" i="3"/>
  <c r="J1024" i="3"/>
  <c r="I1024" i="3"/>
  <c r="H1024" i="3"/>
  <c r="G1024" i="3"/>
  <c r="F1024" i="3"/>
  <c r="E1024" i="3"/>
  <c r="D1024" i="3"/>
  <c r="C1024" i="3"/>
  <c r="B1024" i="3"/>
  <c r="BO1024" i="5"/>
  <c r="BN1024" i="5"/>
  <c r="BM1024" i="5"/>
  <c r="BL1024" i="5"/>
  <c r="BK1024" i="5"/>
  <c r="BJ1024" i="5"/>
  <c r="BI1024" i="5"/>
  <c r="BH1024" i="5"/>
  <c r="BG1024" i="5"/>
  <c r="BF1024" i="5"/>
  <c r="BE1024" i="5"/>
  <c r="BD1024" i="5"/>
  <c r="BC1024" i="5"/>
  <c r="BB1024" i="5"/>
  <c r="BA1024" i="5"/>
  <c r="AZ1024" i="5"/>
  <c r="AY1024" i="5"/>
  <c r="AX1024" i="5"/>
  <c r="AW1024" i="5"/>
  <c r="AV1024" i="5"/>
  <c r="AU1024" i="5"/>
  <c r="AT1024" i="5"/>
  <c r="AS1024" i="5"/>
  <c r="AR1024" i="5"/>
  <c r="AQ1024" i="5"/>
  <c r="AP1024" i="5"/>
  <c r="AO1024" i="5"/>
  <c r="AN1024" i="5"/>
  <c r="AM1024" i="5"/>
  <c r="AL1024" i="5"/>
  <c r="AK1024" i="5"/>
  <c r="AJ1024" i="5"/>
  <c r="AI1024" i="5"/>
  <c r="AH1024" i="5"/>
  <c r="AG1024" i="5"/>
  <c r="AF1024" i="5"/>
  <c r="AE1024" i="5"/>
  <c r="AD1024" i="5"/>
  <c r="AC1024" i="5"/>
  <c r="AB1024" i="5"/>
  <c r="AA1024" i="5"/>
  <c r="Z1024" i="5"/>
  <c r="Y1024" i="5"/>
  <c r="X1024" i="5"/>
  <c r="W1024" i="5"/>
  <c r="V1024" i="5"/>
  <c r="U1024" i="5"/>
  <c r="T1024" i="5"/>
  <c r="S1024" i="5"/>
  <c r="R1024" i="5"/>
  <c r="Q1024" i="5"/>
  <c r="P1024" i="5"/>
  <c r="O1024" i="5"/>
  <c r="N1024" i="5"/>
  <c r="M1024" i="5"/>
  <c r="L1024" i="5"/>
  <c r="K1024" i="5"/>
  <c r="J1024" i="5"/>
  <c r="I1024" i="5"/>
  <c r="H1024" i="5"/>
  <c r="G1024" i="5"/>
  <c r="F1024" i="5"/>
  <c r="E1024" i="5"/>
  <c r="D1024" i="5"/>
  <c r="C1024" i="5"/>
  <c r="B1024" i="5"/>
  <c r="BQ998" i="3" l="1"/>
  <c r="BN1001" i="3"/>
  <c r="BM1001" i="3"/>
  <c r="BL1001" i="3"/>
  <c r="BK1001" i="3"/>
  <c r="BJ1001" i="3"/>
  <c r="BI1001" i="3"/>
  <c r="BH1001" i="3"/>
  <c r="BG1001" i="3"/>
  <c r="BF1001" i="3"/>
  <c r="BE1001" i="3"/>
  <c r="BD1001" i="3"/>
  <c r="BC1001" i="3"/>
  <c r="BB1001" i="3"/>
  <c r="BA1001" i="3"/>
  <c r="AZ1001" i="3"/>
  <c r="AY1001" i="3"/>
  <c r="AX1001" i="3"/>
  <c r="AW1001" i="3"/>
  <c r="AV1001" i="3"/>
  <c r="AU1001" i="3"/>
  <c r="AT1001" i="3"/>
  <c r="AS1001" i="3"/>
  <c r="AR1001" i="3"/>
  <c r="AQ1001" i="3"/>
  <c r="AP1001" i="3"/>
  <c r="AO1001" i="3"/>
  <c r="AN1001" i="3"/>
  <c r="AM1001" i="3"/>
  <c r="AL1001" i="3"/>
  <c r="AK1001" i="3"/>
  <c r="AJ1001" i="3"/>
  <c r="AI1001" i="3"/>
  <c r="AH1001" i="3"/>
  <c r="AG1001" i="3"/>
  <c r="AF1001" i="3"/>
  <c r="AE1001" i="3"/>
  <c r="BO1001" i="3" s="1"/>
  <c r="BQ1001" i="3" s="1"/>
  <c r="AD1001" i="3"/>
  <c r="AC1001" i="3"/>
  <c r="AB1001" i="3"/>
  <c r="AA1001" i="3"/>
  <c r="Z1001" i="3"/>
  <c r="Y1001" i="3"/>
  <c r="X1001" i="3"/>
  <c r="W1001" i="3"/>
  <c r="V1001" i="3"/>
  <c r="U1001" i="3"/>
  <c r="T1001" i="3"/>
  <c r="S1001" i="3"/>
  <c r="R1001" i="3"/>
  <c r="Q1001" i="3"/>
  <c r="P1001" i="3"/>
  <c r="O1001" i="3"/>
  <c r="N1001" i="3"/>
  <c r="M1001" i="3"/>
  <c r="L1001" i="3"/>
  <c r="K1001" i="3"/>
  <c r="J1001" i="3"/>
  <c r="I1001" i="3"/>
  <c r="H1001" i="3"/>
  <c r="G1001" i="3"/>
  <c r="F1001" i="3"/>
  <c r="E1001" i="3"/>
  <c r="D1001" i="3"/>
  <c r="C1001" i="3"/>
  <c r="B1001" i="3"/>
  <c r="BQ998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U1001" i="4"/>
  <c r="AT1001" i="4"/>
  <c r="AS1001" i="4"/>
  <c r="AR1001" i="4"/>
  <c r="AQ1001" i="4"/>
  <c r="AP1001" i="4"/>
  <c r="AO1001" i="4"/>
  <c r="AN1001" i="4"/>
  <c r="AM1001" i="4"/>
  <c r="AL1001" i="4"/>
  <c r="AK1001" i="4"/>
  <c r="AJ1001" i="4"/>
  <c r="AI1001" i="4"/>
  <c r="AH1001" i="4"/>
  <c r="AG1001" i="4"/>
  <c r="AF1001" i="4"/>
  <c r="BO1001" i="4" s="1"/>
  <c r="BQ1001" i="4" s="1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L1001" i="4"/>
  <c r="K1001" i="4"/>
  <c r="J1001" i="4"/>
  <c r="I1001" i="4"/>
  <c r="H1001" i="4"/>
  <c r="G1001" i="4"/>
  <c r="F1001" i="4"/>
  <c r="E1001" i="4"/>
  <c r="D1001" i="4"/>
  <c r="C1001" i="4"/>
  <c r="B1001" i="4"/>
  <c r="BQ998" i="5"/>
  <c r="BN1001" i="5"/>
  <c r="BM1001" i="5"/>
  <c r="BL1001" i="5"/>
  <c r="BK1001" i="5"/>
  <c r="BJ1001" i="5"/>
  <c r="BI1001" i="5"/>
  <c r="BH1001" i="5"/>
  <c r="BG1001" i="5"/>
  <c r="BF1001" i="5"/>
  <c r="BE1001" i="5"/>
  <c r="BD1001" i="5"/>
  <c r="BC1001" i="5"/>
  <c r="BB1001" i="5"/>
  <c r="BA1001" i="5"/>
  <c r="AZ1001" i="5"/>
  <c r="AY1001" i="5"/>
  <c r="AX1001" i="5"/>
  <c r="AW1001" i="5"/>
  <c r="AV1001" i="5"/>
  <c r="AU1001" i="5"/>
  <c r="AT1001" i="5"/>
  <c r="AS1001" i="5"/>
  <c r="AR1001" i="5"/>
  <c r="AQ1001" i="5"/>
  <c r="AP1001" i="5"/>
  <c r="AO1001" i="5"/>
  <c r="AN1001" i="5"/>
  <c r="AM1001" i="5"/>
  <c r="AL1001" i="5"/>
  <c r="AK1001" i="5"/>
  <c r="AJ1001" i="5"/>
  <c r="AI1001" i="5"/>
  <c r="AH1001" i="5"/>
  <c r="AG1001" i="5"/>
  <c r="AF1001" i="5"/>
  <c r="AE1001" i="5"/>
  <c r="AD1001" i="5"/>
  <c r="AC1001" i="5"/>
  <c r="AB1001" i="5"/>
  <c r="AA1001" i="5"/>
  <c r="Z1001" i="5"/>
  <c r="Y1001" i="5"/>
  <c r="X1001" i="5"/>
  <c r="W1001" i="5"/>
  <c r="V1001" i="5"/>
  <c r="U1001" i="5"/>
  <c r="T1001" i="5"/>
  <c r="S1001" i="5"/>
  <c r="R1001" i="5"/>
  <c r="Q1001" i="5"/>
  <c r="P1001" i="5"/>
  <c r="O1001" i="5"/>
  <c r="N1001" i="5"/>
  <c r="M1001" i="5"/>
  <c r="L1001" i="5"/>
  <c r="K1001" i="5"/>
  <c r="J1001" i="5"/>
  <c r="I1001" i="5"/>
  <c r="H1001" i="5"/>
  <c r="G1001" i="5"/>
  <c r="F1001" i="5"/>
  <c r="E1001" i="5"/>
  <c r="D1001" i="5"/>
  <c r="C1001" i="5"/>
  <c r="B1001" i="5"/>
  <c r="BQ998" i="6"/>
  <c r="B1001" i="6"/>
  <c r="BN1001" i="6"/>
  <c r="BM1001" i="6"/>
  <c r="BL1001" i="6"/>
  <c r="BK1001" i="6"/>
  <c r="BJ1001" i="6"/>
  <c r="BI1001" i="6"/>
  <c r="BH1001" i="6"/>
  <c r="BG1001" i="6"/>
  <c r="BF1001" i="6"/>
  <c r="BE1001" i="6"/>
  <c r="BD1001" i="6"/>
  <c r="BC1001" i="6"/>
  <c r="BB1001" i="6"/>
  <c r="BA1001" i="6"/>
  <c r="AZ1001" i="6"/>
  <c r="AY1001" i="6"/>
  <c r="AX1001" i="6"/>
  <c r="AW1001" i="6"/>
  <c r="AV1001" i="6"/>
  <c r="AU1001" i="6"/>
  <c r="AT1001" i="6"/>
  <c r="AS1001" i="6"/>
  <c r="AR1001" i="6"/>
  <c r="AQ1001" i="6"/>
  <c r="AP1001" i="6"/>
  <c r="AO1001" i="6"/>
  <c r="AN1001" i="6"/>
  <c r="AM1001" i="6"/>
  <c r="AL1001" i="6"/>
  <c r="AK1001" i="6"/>
  <c r="AJ1001" i="6"/>
  <c r="AI1001" i="6"/>
  <c r="AH1001" i="6"/>
  <c r="AG1001" i="6"/>
  <c r="AF1001" i="6"/>
  <c r="AE1001" i="6"/>
  <c r="AD1001" i="6"/>
  <c r="BO1001" i="6" s="1"/>
  <c r="BQ1001" i="6" s="1"/>
  <c r="AC1001" i="6"/>
  <c r="AB1001" i="6"/>
  <c r="AA1001" i="6"/>
  <c r="Z1001" i="6"/>
  <c r="Y1001" i="6"/>
  <c r="X1001" i="6"/>
  <c r="W1001" i="6"/>
  <c r="V1001" i="6"/>
  <c r="U1001" i="6"/>
  <c r="T1001" i="6"/>
  <c r="S1001" i="6"/>
  <c r="R1001" i="6"/>
  <c r="Q1001" i="6"/>
  <c r="P1001" i="6"/>
  <c r="O1001" i="6"/>
  <c r="N1001" i="6"/>
  <c r="M1001" i="6"/>
  <c r="L1001" i="6"/>
  <c r="K1001" i="6"/>
  <c r="J1001" i="6"/>
  <c r="I1001" i="6"/>
  <c r="H1001" i="6"/>
  <c r="G1001" i="6"/>
  <c r="F1001" i="6"/>
  <c r="E1001" i="6"/>
  <c r="D1001" i="6"/>
  <c r="C1001" i="6"/>
  <c r="BO1001" i="5"/>
  <c r="BQ1001" i="5" s="1"/>
  <c r="AK38" i="2" l="1"/>
  <c r="AK39" i="2" s="1"/>
  <c r="AK40" i="2" s="1"/>
  <c r="AK41" i="2" s="1"/>
  <c r="AK42" i="2" s="1"/>
  <c r="AK43" i="2" s="1"/>
  <c r="AK44" i="2" s="1"/>
  <c r="AK45" i="2" s="1"/>
  <c r="AK46" i="2" s="1"/>
  <c r="AK47" i="2" s="1"/>
  <c r="AK48" i="2" s="1"/>
  <c r="AK49" i="2" s="1"/>
  <c r="AK37" i="2"/>
  <c r="AK36" i="2"/>
  <c r="AJ49" i="2"/>
  <c r="AI49" i="2"/>
  <c r="AJ14" i="2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AJ31" i="2" s="1"/>
  <c r="AJ32" i="2" s="1"/>
  <c r="AJ33" i="2" s="1"/>
  <c r="AJ34" i="2" s="1"/>
  <c r="AJ35" i="2" s="1"/>
  <c r="AJ36" i="2" s="1"/>
  <c r="AJ37" i="2" s="1"/>
  <c r="AJ38" i="2" s="1"/>
  <c r="AJ39" i="2" s="1"/>
  <c r="AJ40" i="2" s="1"/>
  <c r="AJ41" i="2" s="1"/>
  <c r="AJ42" i="2" s="1"/>
  <c r="AJ43" i="2" s="1"/>
  <c r="AJ44" i="2" s="1"/>
  <c r="AJ45" i="2" s="1"/>
  <c r="AJ46" i="2" s="1"/>
  <c r="AJ47" i="2" s="1"/>
  <c r="AJ48" i="2" s="1"/>
  <c r="AJ13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6" i="2"/>
  <c r="AI25" i="2"/>
  <c r="AI24" i="2"/>
  <c r="AI23" i="2"/>
  <c r="AI22" i="2"/>
  <c r="AI21" i="2"/>
  <c r="AI20" i="2"/>
  <c r="AI19" i="2"/>
  <c r="AI18" i="2"/>
  <c r="AI17" i="2"/>
  <c r="AI16" i="2"/>
  <c r="AI15" i="2"/>
  <c r="AI14" i="2"/>
  <c r="AI13" i="2"/>
  <c r="AH48" i="2"/>
  <c r="AH47" i="2"/>
  <c r="AH46" i="2"/>
  <c r="AH45" i="2"/>
  <c r="AH44" i="2"/>
  <c r="AH43" i="2"/>
  <c r="AH42" i="2"/>
  <c r="AH41" i="2"/>
  <c r="AH40" i="2"/>
  <c r="AH39" i="2"/>
  <c r="AH38" i="2"/>
  <c r="AH37" i="2"/>
  <c r="AH36" i="2"/>
  <c r="AH35" i="2"/>
  <c r="AH34" i="2"/>
  <c r="AH33" i="2"/>
  <c r="AH32" i="2"/>
  <c r="AH31" i="2"/>
  <c r="AH30" i="2"/>
  <c r="AH29" i="2"/>
  <c r="AH28" i="2"/>
  <c r="AH27" i="2"/>
  <c r="AH26" i="2"/>
  <c r="AH25" i="2"/>
  <c r="AH24" i="2"/>
  <c r="AH23" i="2"/>
  <c r="AH22" i="2"/>
  <c r="AH21" i="2"/>
  <c r="AH20" i="2"/>
  <c r="AH19" i="2"/>
  <c r="AH18" i="2"/>
  <c r="AH17" i="2"/>
  <c r="AH16" i="2"/>
  <c r="AH15" i="2"/>
  <c r="AH14" i="2"/>
  <c r="AH13" i="2"/>
  <c r="AH12" i="2"/>
  <c r="AD49" i="2" l="1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E13" i="2" s="1"/>
  <c r="AB37" i="2"/>
  <c r="AB38" i="2" s="1"/>
  <c r="AB39" i="2" s="1"/>
  <c r="AB40" i="2" s="1"/>
  <c r="AB41" i="2" s="1"/>
  <c r="AB42" i="2" s="1"/>
  <c r="AB43" i="2" s="1"/>
  <c r="AB44" i="2" s="1"/>
  <c r="AB45" i="2" s="1"/>
  <c r="AB46" i="2" s="1"/>
  <c r="AB47" i="2" s="1"/>
  <c r="AB48" i="2" s="1"/>
  <c r="AB49" i="2" s="1"/>
  <c r="AA37" i="2"/>
  <c r="AA38" i="2" s="1"/>
  <c r="AA39" i="2" s="1"/>
  <c r="AA40" i="2" s="1"/>
  <c r="AA41" i="2" s="1"/>
  <c r="AA42" i="2" s="1"/>
  <c r="AA43" i="2" s="1"/>
  <c r="AA44" i="2" s="1"/>
  <c r="AA45" i="2" s="1"/>
  <c r="AA46" i="2" s="1"/>
  <c r="AA47" i="2" s="1"/>
  <c r="AA48" i="2" s="1"/>
  <c r="AA49" i="2" s="1"/>
  <c r="Y37" i="2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X37" i="2"/>
  <c r="X38" i="2" s="1"/>
  <c r="X39" i="2" s="1"/>
  <c r="X40" i="2" s="1"/>
  <c r="X41" i="2" s="1"/>
  <c r="X42" i="2" s="1"/>
  <c r="X43" i="2" s="1"/>
  <c r="X44" i="2" s="1"/>
  <c r="X45" i="2" s="1"/>
  <c r="X46" i="2" s="1"/>
  <c r="X47" i="2" s="1"/>
  <c r="X48" i="2" s="1"/>
  <c r="X49" i="2" s="1"/>
  <c r="W37" i="2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AC36" i="2"/>
  <c r="AC37" i="2" s="1"/>
  <c r="AC38" i="2" s="1"/>
  <c r="AC39" i="2" s="1"/>
  <c r="AC40" i="2" s="1"/>
  <c r="AC41" i="2" s="1"/>
  <c r="AC42" i="2" s="1"/>
  <c r="AC43" i="2" s="1"/>
  <c r="AC44" i="2" s="1"/>
  <c r="AC45" i="2" s="1"/>
  <c r="AC46" i="2" s="1"/>
  <c r="AC47" i="2" s="1"/>
  <c r="AC48" i="2" s="1"/>
  <c r="AC49" i="2" s="1"/>
  <c r="AB36" i="2"/>
  <c r="AA36" i="2"/>
  <c r="Z36" i="2"/>
  <c r="Z37" i="2" s="1"/>
  <c r="Z38" i="2" s="1"/>
  <c r="Z39" i="2" s="1"/>
  <c r="Z40" i="2" s="1"/>
  <c r="Z41" i="2" s="1"/>
  <c r="Z42" i="2" s="1"/>
  <c r="Z43" i="2" s="1"/>
  <c r="Z44" i="2" s="1"/>
  <c r="Z45" i="2" s="1"/>
  <c r="Z46" i="2" s="1"/>
  <c r="Z47" i="2" s="1"/>
  <c r="Z48" i="2" s="1"/>
  <c r="Z49" i="2" s="1"/>
  <c r="Y36" i="2"/>
  <c r="X36" i="2"/>
  <c r="W36" i="2"/>
  <c r="AE14" i="2" l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AE28" i="2" s="1"/>
  <c r="AE29" i="2" s="1"/>
  <c r="AE30" i="2" s="1"/>
  <c r="AE31" i="2" s="1"/>
  <c r="AE32" i="2" s="1"/>
  <c r="AE33" i="2" s="1"/>
  <c r="AE34" i="2" s="1"/>
  <c r="AE35" i="2" s="1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Q16" i="2"/>
  <c r="Q17" i="2" s="1"/>
  <c r="Q18" i="2" s="1"/>
  <c r="Q19" i="2" s="1"/>
  <c r="Q20" i="2" s="1"/>
  <c r="Q21" i="2" s="1"/>
  <c r="Q22" i="2" s="1"/>
  <c r="Q23" i="2" s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15" i="2"/>
  <c r="P15" i="2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R14" i="2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Q14" i="2"/>
  <c r="P14" i="2"/>
  <c r="V13" i="2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V44" i="2" s="1"/>
  <c r="V45" i="2" s="1"/>
  <c r="V46" i="2" s="1"/>
  <c r="V47" i="2" s="1"/>
  <c r="V48" i="2" s="1"/>
  <c r="V49" i="2" s="1"/>
  <c r="U13" i="2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T13" i="2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S13" i="2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R13" i="2"/>
  <c r="Q13" i="2"/>
  <c r="P13" i="2"/>
  <c r="K49" i="2"/>
  <c r="J49" i="2"/>
  <c r="I49" i="2"/>
  <c r="K48" i="2"/>
  <c r="J48" i="2"/>
  <c r="I48" i="2"/>
  <c r="K47" i="2"/>
  <c r="J47" i="2"/>
  <c r="I47" i="2"/>
  <c r="K46" i="2"/>
  <c r="J46" i="2"/>
  <c r="I46" i="2"/>
  <c r="K45" i="2"/>
  <c r="J45" i="2"/>
  <c r="I45" i="2"/>
  <c r="K44" i="2"/>
  <c r="J44" i="2"/>
  <c r="I44" i="2"/>
  <c r="K43" i="2"/>
  <c r="J43" i="2"/>
  <c r="I43" i="2"/>
  <c r="K42" i="2"/>
  <c r="J42" i="2"/>
  <c r="I42" i="2"/>
  <c r="K41" i="2"/>
  <c r="J41" i="2"/>
  <c r="I41" i="2"/>
  <c r="K40" i="2"/>
  <c r="J40" i="2"/>
  <c r="I40" i="2"/>
  <c r="K39" i="2"/>
  <c r="J39" i="2"/>
  <c r="I39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<sst xmlns="http://schemas.openxmlformats.org/spreadsheetml/2006/main" count="30931" uniqueCount="691">
  <si>
    <t xml:space="preserve">     Refresh     </t>
  </si>
  <si>
    <t>All Listed</t>
  </si>
  <si>
    <t>Korean</t>
  </si>
  <si>
    <t>WMS30</t>
  </si>
  <si>
    <t>WMS10</t>
  </si>
  <si>
    <t>W100</t>
  </si>
  <si>
    <t>R100200</t>
  </si>
  <si>
    <t>I100100</t>
  </si>
  <si>
    <t>P</t>
  </si>
  <si>
    <t>Account Type</t>
  </si>
  <si>
    <t>Txt</t>
  </si>
  <si>
    <t>Name</t>
    <phoneticPr fontId="1" type="noConversion"/>
  </si>
  <si>
    <t>종가지수</t>
    <phoneticPr fontId="1" type="noConversion"/>
  </si>
  <si>
    <t>종가지수</t>
    <phoneticPr fontId="1" type="noConversion"/>
  </si>
  <si>
    <t>WMI500순수가치</t>
    <phoneticPr fontId="1" type="noConversion"/>
  </si>
  <si>
    <t>WMI500가치</t>
    <phoneticPr fontId="1" type="noConversion"/>
  </si>
  <si>
    <t>KSE</t>
    <phoneticPr fontId="1" type="noConversion"/>
  </si>
  <si>
    <t>Last Update : 2017-06-15 14:44:47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</si>
  <si>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</si>
  <si>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</si>
  <si>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</si>
  <si>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</si>
  <si>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</si>
  <si>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</si>
  <si>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</si>
  <si>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KOSPI_fwd</t>
    <phoneticPr fontId="1" type="noConversion"/>
  </si>
  <si>
    <t>KOSPI_trd</t>
    <phoneticPr fontId="1" type="noConversion"/>
  </si>
  <si>
    <t>KOSPI+KOSDAQ_fwd</t>
    <phoneticPr fontId="1" type="noConversion"/>
  </si>
  <si>
    <t>KOSPI+KOSDAQ_trd</t>
    <phoneticPr fontId="1" type="noConversion"/>
  </si>
  <si>
    <t>경방</t>
  </si>
  <si>
    <t>메리츠화재</t>
  </si>
  <si>
    <t>동화약품</t>
  </si>
  <si>
    <t>삼양홀딩스</t>
  </si>
  <si>
    <t>우리은행</t>
  </si>
  <si>
    <t>대림산업</t>
  </si>
  <si>
    <t>성창기업지주</t>
  </si>
  <si>
    <t>하이트진로홀딩스</t>
  </si>
  <si>
    <t>일동홀딩스</t>
  </si>
  <si>
    <t>한국타이어월드와이드</t>
  </si>
  <si>
    <t>두산</t>
  </si>
  <si>
    <t>노루홀딩스</t>
  </si>
  <si>
    <t>CJ대한통운</t>
  </si>
  <si>
    <t>기아차</t>
  </si>
  <si>
    <t>삼환기업</t>
  </si>
  <si>
    <t>한화손해보험</t>
  </si>
  <si>
    <t>대원강업</t>
  </si>
  <si>
    <t>롯데손해보험</t>
  </si>
  <si>
    <t>조선내화</t>
  </si>
  <si>
    <t>동아쏘시오홀딩스</t>
  </si>
  <si>
    <t>그린손해보험</t>
  </si>
  <si>
    <t>가온전선</t>
  </si>
  <si>
    <t>대동공업</t>
  </si>
  <si>
    <t>SK하이닉스</t>
  </si>
  <si>
    <t>영풍</t>
  </si>
  <si>
    <t>삼화페인트</t>
  </si>
  <si>
    <t>LS네트웍스</t>
  </si>
  <si>
    <t>유수홀딩스</t>
  </si>
  <si>
    <t>C&amp;상선</t>
  </si>
  <si>
    <t>흥국화재</t>
  </si>
  <si>
    <t>현대건설</t>
  </si>
  <si>
    <t>경남기업</t>
  </si>
  <si>
    <t>제일화재</t>
  </si>
  <si>
    <t>화천기공</t>
  </si>
  <si>
    <t>삼성물산</t>
  </si>
  <si>
    <t>강남제비스코</t>
  </si>
  <si>
    <t>한화</t>
  </si>
  <si>
    <t>유니온</t>
  </si>
  <si>
    <t>CS홀딩스</t>
  </si>
  <si>
    <t>CJ</t>
  </si>
  <si>
    <t>동부하이텍</t>
  </si>
  <si>
    <t>한국주철관</t>
  </si>
  <si>
    <t>LG상사</t>
  </si>
  <si>
    <t>대한제분</t>
  </si>
  <si>
    <t>동국제강</t>
  </si>
  <si>
    <t>유진투자증권</t>
  </si>
  <si>
    <t>JW중외제약</t>
  </si>
  <si>
    <t>만호제강</t>
  </si>
  <si>
    <t>남광토건</t>
  </si>
  <si>
    <t>금호전기</t>
  </si>
  <si>
    <t>제일모직</t>
  </si>
  <si>
    <t>부국증권</t>
  </si>
  <si>
    <t>대한전선</t>
  </si>
  <si>
    <t>풍림산업</t>
  </si>
  <si>
    <t>GS글로벌</t>
  </si>
  <si>
    <t>대상</t>
  </si>
  <si>
    <t>세아베스틸</t>
  </si>
  <si>
    <t>백광산업</t>
  </si>
  <si>
    <t>KG케미칼</t>
  </si>
  <si>
    <t>SK네트웍스</t>
  </si>
  <si>
    <t>BYC</t>
  </si>
  <si>
    <t>골든브릿지증권</t>
  </si>
  <si>
    <t>동일방직</t>
  </si>
  <si>
    <t>HMC투자증권</t>
  </si>
  <si>
    <t>현대해상</t>
  </si>
  <si>
    <t>FnC코오롱</t>
  </si>
  <si>
    <t>삼부토건</t>
  </si>
  <si>
    <t>SK증권</t>
  </si>
  <si>
    <t>한국유리</t>
  </si>
  <si>
    <t>신영증권</t>
  </si>
  <si>
    <t>SG충방</t>
  </si>
  <si>
    <t>종근당홀딩스</t>
  </si>
  <si>
    <t>동양</t>
  </si>
  <si>
    <t>고려제강</t>
  </si>
  <si>
    <t>한양증권</t>
  </si>
  <si>
    <t>한진</t>
  </si>
  <si>
    <t>대한제당</t>
  </si>
  <si>
    <t>KCC</t>
  </si>
  <si>
    <t>삼호</t>
  </si>
  <si>
    <t>KISCO홀딩스</t>
  </si>
  <si>
    <t>아모레G</t>
  </si>
  <si>
    <t>알루코</t>
  </si>
  <si>
    <t>두산건설</t>
  </si>
  <si>
    <t>아세아</t>
  </si>
  <si>
    <t>코오롱</t>
  </si>
  <si>
    <t>태광산업</t>
  </si>
  <si>
    <t>경농</t>
  </si>
  <si>
    <t>한일시멘트</t>
  </si>
  <si>
    <t>대웅</t>
  </si>
  <si>
    <t>삼양통상</t>
  </si>
  <si>
    <t>쌍용양회</t>
  </si>
  <si>
    <t>롯데푸드</t>
  </si>
  <si>
    <t>도화엔지니어링</t>
  </si>
  <si>
    <t>한진중공업홀딩스</t>
  </si>
  <si>
    <t>대한항공</t>
  </si>
  <si>
    <t>한국제지</t>
  </si>
  <si>
    <t>LG</t>
  </si>
  <si>
    <t>KB손해보험</t>
  </si>
  <si>
    <t>넥센타이어</t>
  </si>
  <si>
    <t>한독</t>
  </si>
  <si>
    <t>삼익악기</t>
  </si>
  <si>
    <t>아세아제지</t>
  </si>
  <si>
    <t>SK</t>
  </si>
  <si>
    <t>범양건영</t>
  </si>
  <si>
    <t>제일약품</t>
  </si>
  <si>
    <t>유니온스틸</t>
  </si>
  <si>
    <t>화성산업</t>
  </si>
  <si>
    <t>TCC동양</t>
  </si>
  <si>
    <t>남양유업</t>
  </si>
  <si>
    <t>벽산건설</t>
  </si>
  <si>
    <t>동양물산</t>
  </si>
  <si>
    <t>삼영무역</t>
  </si>
  <si>
    <t>수출포장</t>
  </si>
  <si>
    <t>롯데정밀화학</t>
  </si>
  <si>
    <t>세아제강</t>
  </si>
  <si>
    <t>선창산업</t>
  </si>
  <si>
    <t>현대제철</t>
  </si>
  <si>
    <t>코오롱글로벌</t>
  </si>
  <si>
    <t>금호산업</t>
  </si>
  <si>
    <t>미원상사</t>
  </si>
  <si>
    <t>유성기업</t>
  </si>
  <si>
    <t>대덕GDS</t>
  </si>
  <si>
    <t>한국쉘석유</t>
  </si>
  <si>
    <t>일성신약</t>
  </si>
  <si>
    <t>한솔홀딩스</t>
  </si>
  <si>
    <t>일신방직</t>
  </si>
  <si>
    <t>신세계</t>
  </si>
  <si>
    <t>진흥기업</t>
  </si>
  <si>
    <t>농심</t>
  </si>
  <si>
    <t>삼천리</t>
  </si>
  <si>
    <t>현대증권</t>
  </si>
  <si>
    <t>흥아해운</t>
  </si>
  <si>
    <t>성보화학</t>
  </si>
  <si>
    <t>효성</t>
  </si>
  <si>
    <t>유안타증권</t>
  </si>
  <si>
    <t>롯데제과</t>
  </si>
  <si>
    <t>대우송도개발</t>
  </si>
  <si>
    <t>유화증권</t>
  </si>
  <si>
    <t>녹십자홀딩스</t>
  </si>
  <si>
    <t>대구은행</t>
  </si>
  <si>
    <t>한화투자증권</t>
  </si>
  <si>
    <t>부산은행</t>
  </si>
  <si>
    <t>대신증권</t>
  </si>
  <si>
    <t>롯데칠성</t>
  </si>
  <si>
    <t>삼양식품</t>
  </si>
  <si>
    <t>현대차</t>
  </si>
  <si>
    <t>S&amp;T중공업</t>
  </si>
  <si>
    <t>현대그린푸드</t>
  </si>
  <si>
    <t>쌍용차</t>
  </si>
  <si>
    <t>POSCO</t>
  </si>
  <si>
    <t>방림</t>
  </si>
  <si>
    <t>삼진제약</t>
  </si>
  <si>
    <t>코리안리</t>
  </si>
  <si>
    <t>미창석유</t>
  </si>
  <si>
    <t>대성합동지주</t>
  </si>
  <si>
    <t>대한화섬</t>
  </si>
  <si>
    <t>삼영전자</t>
  </si>
  <si>
    <t>삼양제넥스</t>
  </si>
  <si>
    <t>보령제약</t>
  </si>
  <si>
    <t>삼영화학</t>
  </si>
  <si>
    <t>풍산홀딩스</t>
  </si>
  <si>
    <t>사조대림</t>
  </si>
  <si>
    <t>삼성전자</t>
  </si>
  <si>
    <t>SK케미칼</t>
  </si>
  <si>
    <t>롯데미도파</t>
  </si>
  <si>
    <t>LS</t>
  </si>
  <si>
    <t>GS건설</t>
  </si>
  <si>
    <t>동부건설</t>
  </si>
  <si>
    <t>삼성SDI</t>
  </si>
  <si>
    <t>세방</t>
  </si>
  <si>
    <t>NPC</t>
  </si>
  <si>
    <t>동방</t>
  </si>
  <si>
    <t>AK홀딩스</t>
  </si>
  <si>
    <t>고려개발</t>
  </si>
  <si>
    <t>SG세계물산</t>
  </si>
  <si>
    <t>국도화학</t>
  </si>
  <si>
    <t>현대약품</t>
  </si>
  <si>
    <t>세방전지</t>
  </si>
  <si>
    <t>송원산업</t>
  </si>
  <si>
    <t>대덕전자</t>
  </si>
  <si>
    <t>성신양회</t>
  </si>
  <si>
    <t>현대비앤지스틸</t>
  </si>
  <si>
    <t>호텔신라</t>
  </si>
  <si>
    <t>외환은행</t>
  </si>
  <si>
    <t>삼성전기</t>
  </si>
  <si>
    <t>동일산업</t>
  </si>
  <si>
    <t>삼익THK</t>
  </si>
  <si>
    <t>깨끗한나라</t>
  </si>
  <si>
    <t>DRB동일</t>
  </si>
  <si>
    <t>한솔로지스틱스</t>
  </si>
  <si>
    <t>신원</t>
  </si>
  <si>
    <t>율촌화학</t>
  </si>
  <si>
    <t>빙그레</t>
  </si>
  <si>
    <t>한신공영</t>
  </si>
  <si>
    <t>조광페인트</t>
  </si>
  <si>
    <t>태영건설</t>
  </si>
  <si>
    <t>신라교역</t>
  </si>
  <si>
    <t>현대중공업</t>
  </si>
  <si>
    <t>전기초자</t>
  </si>
  <si>
    <t>휴스틸</t>
  </si>
  <si>
    <t>한화케미칼</t>
  </si>
  <si>
    <t>삼광글라스</t>
  </si>
  <si>
    <t>한국공항</t>
  </si>
  <si>
    <t>고려아연</t>
  </si>
  <si>
    <t>코스모신소재</t>
  </si>
  <si>
    <t>코스모화학</t>
  </si>
  <si>
    <t>삼성중공업</t>
  </si>
  <si>
    <t>한솔테크닉스</t>
  </si>
  <si>
    <t>신성통상</t>
  </si>
  <si>
    <t>넥센</t>
  </si>
  <si>
    <t>현대하이스코</t>
  </si>
  <si>
    <t>OCI</t>
  </si>
  <si>
    <t>신영와코루</t>
  </si>
  <si>
    <t>S-Oil</t>
  </si>
  <si>
    <t>동부화재</t>
  </si>
  <si>
    <t>SPC삼립</t>
  </si>
  <si>
    <t>롯데케미칼</t>
  </si>
  <si>
    <t>JS전선</t>
  </si>
  <si>
    <t>에스엘</t>
  </si>
  <si>
    <t>현대상선</t>
  </si>
  <si>
    <t>대한해운</t>
  </si>
  <si>
    <t>현대상사</t>
  </si>
  <si>
    <t>NH투자증권</t>
  </si>
  <si>
    <t>신한</t>
  </si>
  <si>
    <t>SKC</t>
  </si>
  <si>
    <t>이수화학</t>
  </si>
  <si>
    <t>대림B&amp;Co</t>
  </si>
  <si>
    <t>제주은행</t>
  </si>
  <si>
    <t>현대모비스</t>
  </si>
  <si>
    <t>현대미포조선</t>
  </si>
  <si>
    <t>크라운해태홀딩스</t>
  </si>
  <si>
    <t>한화테크윈</t>
  </si>
  <si>
    <t>전북은행</t>
  </si>
  <si>
    <t>대구백화점</t>
  </si>
  <si>
    <t>현대산업</t>
  </si>
  <si>
    <t>미래에셋대우</t>
  </si>
  <si>
    <t>카프로</t>
  </si>
  <si>
    <t>대한유화</t>
  </si>
  <si>
    <t>삼성공조</t>
  </si>
  <si>
    <t>동원시스템즈</t>
  </si>
  <si>
    <t>도레이케미칼</t>
  </si>
  <si>
    <t>현대시멘트</t>
  </si>
  <si>
    <t>동원산업</t>
  </si>
  <si>
    <t>동아타이어</t>
  </si>
  <si>
    <t>동양건설산업</t>
  </si>
  <si>
    <t>신송홀딩스</t>
  </si>
  <si>
    <t>부산가스</t>
  </si>
  <si>
    <t>샘표</t>
  </si>
  <si>
    <t>서연</t>
  </si>
  <si>
    <t>한국전력</t>
  </si>
  <si>
    <t>오뚜기</t>
  </si>
  <si>
    <t>우성사료</t>
  </si>
  <si>
    <t>메리츠종금증권</t>
  </si>
  <si>
    <t>LG데이콤</t>
  </si>
  <si>
    <t>성지건설</t>
  </si>
  <si>
    <t>코리아써키트</t>
  </si>
  <si>
    <t>KCTC</t>
  </si>
  <si>
    <t>경남에너지</t>
  </si>
  <si>
    <t>동방아그로</t>
  </si>
  <si>
    <t>SIMPAC</t>
  </si>
  <si>
    <t>서울가스</t>
  </si>
  <si>
    <t>티이씨앤코</t>
  </si>
  <si>
    <t>벽산</t>
  </si>
  <si>
    <t>F&amp;F</t>
  </si>
  <si>
    <t>사조산업</t>
  </si>
  <si>
    <t>무림페이퍼</t>
  </si>
  <si>
    <t>SK텔레콤</t>
  </si>
  <si>
    <t>한미사이언스</t>
  </si>
  <si>
    <t>진흥저축은행</t>
  </si>
  <si>
    <t>윌비스</t>
  </si>
  <si>
    <t>이건산업</t>
  </si>
  <si>
    <t>한온시스템</t>
  </si>
  <si>
    <t>서흥</t>
  </si>
  <si>
    <t>무림P&amp;P</t>
  </si>
  <si>
    <t>웅진</t>
  </si>
  <si>
    <t>한샘</t>
  </si>
  <si>
    <t>한일건설</t>
  </si>
  <si>
    <t>이수페타시스</t>
  </si>
  <si>
    <t>모토닉</t>
  </si>
  <si>
    <t>다우기술</t>
  </si>
  <si>
    <t>삼정펄프</t>
  </si>
  <si>
    <t>한국단자</t>
  </si>
  <si>
    <t>한솔아트원제지</t>
  </si>
  <si>
    <t>사조동아원</t>
  </si>
  <si>
    <t>광동제약</t>
  </si>
  <si>
    <t>한화화인케미칼</t>
  </si>
  <si>
    <t>영원무역홀딩스</t>
  </si>
  <si>
    <t>화신</t>
  </si>
  <si>
    <t>남해화학</t>
  </si>
  <si>
    <t>한국특수형강</t>
  </si>
  <si>
    <t>나라케이아이씨</t>
  </si>
  <si>
    <t>삼호개발</t>
  </si>
  <si>
    <t>참엔지니어링</t>
  </si>
  <si>
    <t>현대위아</t>
  </si>
  <si>
    <t>코원에너지서비스</t>
  </si>
  <si>
    <t>태평양물산</t>
  </si>
  <si>
    <t>한국프랜지</t>
  </si>
  <si>
    <t>남선알미늄</t>
  </si>
  <si>
    <t>화인자산관리</t>
  </si>
  <si>
    <t>경동인베스트</t>
  </si>
  <si>
    <t>신도리코</t>
  </si>
  <si>
    <t>솔로몬저축은행</t>
  </si>
  <si>
    <t>경동나비엔</t>
  </si>
  <si>
    <t>태림포장</t>
  </si>
  <si>
    <t>KT</t>
  </si>
  <si>
    <t>화승알앤에이</t>
  </si>
  <si>
    <t>자화전자</t>
  </si>
  <si>
    <t>다함이텍</t>
  </si>
  <si>
    <t>STX</t>
  </si>
  <si>
    <t>디와이</t>
  </si>
  <si>
    <t>아이에스동서</t>
  </si>
  <si>
    <t>동부</t>
  </si>
  <si>
    <t>대영포장</t>
  </si>
  <si>
    <t>계룡건설</t>
  </si>
  <si>
    <t>한국가스공사</t>
  </si>
  <si>
    <t>신성이엔지</t>
  </si>
  <si>
    <t>영흥철강</t>
  </si>
  <si>
    <t>극동유화</t>
  </si>
  <si>
    <t>경인양행</t>
  </si>
  <si>
    <t>지엠비코리아</t>
  </si>
  <si>
    <t>지투알</t>
  </si>
  <si>
    <t>KC그린홀딩스</t>
  </si>
  <si>
    <t>사조씨푸드</t>
  </si>
  <si>
    <t>유니드</t>
  </si>
  <si>
    <t>금강공업</t>
  </si>
  <si>
    <t>계양전기</t>
  </si>
  <si>
    <t>대창단조</t>
  </si>
  <si>
    <t>대창</t>
  </si>
  <si>
    <t>금호석유</t>
  </si>
  <si>
    <t>한라</t>
  </si>
  <si>
    <t>예스코</t>
  </si>
  <si>
    <t>우리종금</t>
  </si>
  <si>
    <t>삼성증권</t>
  </si>
  <si>
    <t>대현</t>
  </si>
  <si>
    <t>신대양제지</t>
  </si>
  <si>
    <t>동부증권</t>
  </si>
  <si>
    <t>동부제철</t>
  </si>
  <si>
    <t>대성홀딩스</t>
  </si>
  <si>
    <t>NH농협증권</t>
  </si>
  <si>
    <t>일진홀딩스</t>
  </si>
  <si>
    <t>환인제약</t>
  </si>
  <si>
    <t>성원건설</t>
  </si>
  <si>
    <t>한세예스24홀딩스</t>
  </si>
  <si>
    <t>태경산업</t>
  </si>
  <si>
    <t>광전자</t>
  </si>
  <si>
    <t>E1</t>
  </si>
  <si>
    <t>한국카본</t>
  </si>
  <si>
    <t>퍼시스</t>
  </si>
  <si>
    <t>풀무원</t>
  </si>
  <si>
    <t>메리츠종금</t>
  </si>
  <si>
    <t>한솔케미칼</t>
  </si>
  <si>
    <t>조일알미늄</t>
  </si>
  <si>
    <t>SK가스</t>
  </si>
  <si>
    <t>태림페이퍼</t>
  </si>
  <si>
    <t>세아특수강</t>
  </si>
  <si>
    <t>신풍제약</t>
  </si>
  <si>
    <t>일진머티리얼즈</t>
  </si>
  <si>
    <t>세원정공</t>
  </si>
  <si>
    <t>한섬</t>
  </si>
  <si>
    <t>청호컴넷</t>
  </si>
  <si>
    <t>대교</t>
  </si>
  <si>
    <t>KB캐피탈</t>
  </si>
  <si>
    <t>셀런</t>
  </si>
  <si>
    <t>아시아나항공</t>
  </si>
  <si>
    <t>삼원강재</t>
  </si>
  <si>
    <t>선진지주</t>
  </si>
  <si>
    <t>롯데쇼핑</t>
  </si>
  <si>
    <t>기업은행</t>
  </si>
  <si>
    <t>KPX케미칼</t>
  </si>
  <si>
    <t>현대엘리베이</t>
  </si>
  <si>
    <t>C&amp;우방</t>
  </si>
  <si>
    <t>중앙건설</t>
  </si>
  <si>
    <t>인지컨트롤스</t>
  </si>
  <si>
    <t>팬오션</t>
  </si>
  <si>
    <t>디씨엠</t>
  </si>
  <si>
    <t>삼성카드</t>
  </si>
  <si>
    <t>인디에프</t>
  </si>
  <si>
    <t>서원</t>
  </si>
  <si>
    <t>KTB투자증권</t>
  </si>
  <si>
    <t>교보증권</t>
  </si>
  <si>
    <t>케이씨텍</t>
  </si>
  <si>
    <t>한화갤러리아타임월드</t>
  </si>
  <si>
    <t>삼성생명</t>
  </si>
  <si>
    <t>동아지질</t>
  </si>
  <si>
    <t>한솔홈데코</t>
  </si>
  <si>
    <t>황금에스티</t>
  </si>
  <si>
    <t>현대DSF</t>
  </si>
  <si>
    <t>LG유플러스</t>
  </si>
  <si>
    <t>세종공업</t>
  </si>
  <si>
    <t>아주캐피탈</t>
  </si>
  <si>
    <t>두산중공업</t>
  </si>
  <si>
    <t>LG디스플레이</t>
  </si>
  <si>
    <t>인천도시가스</t>
  </si>
  <si>
    <t>신세계건설</t>
  </si>
  <si>
    <t>S&amp;T홀딩스</t>
  </si>
  <si>
    <t>미래에셋증권</t>
  </si>
  <si>
    <t>대우조선해양</t>
  </si>
  <si>
    <t>두산인프라코어</t>
  </si>
  <si>
    <t>CJ헬로비전</t>
  </si>
  <si>
    <t>NICE</t>
  </si>
  <si>
    <t>유나이티드제약</t>
  </si>
  <si>
    <t>KSS해운</t>
  </si>
  <si>
    <t>광주신세계</t>
  </si>
  <si>
    <t>대우건설</t>
  </si>
  <si>
    <t>신한지주</t>
  </si>
  <si>
    <t>상신브레이크</t>
  </si>
  <si>
    <t>신세계 I&amp;C</t>
  </si>
  <si>
    <t>포스코강판</t>
  </si>
  <si>
    <t>LG화학</t>
  </si>
  <si>
    <t>팜스코</t>
  </si>
  <si>
    <t>SBS</t>
  </si>
  <si>
    <t>세아홀딩스</t>
  </si>
  <si>
    <t>한라홀딩스</t>
  </si>
  <si>
    <t>포스코대우</t>
  </si>
  <si>
    <t>국민은행</t>
  </si>
  <si>
    <t>LG전자</t>
  </si>
  <si>
    <t>케이피케미칼</t>
  </si>
  <si>
    <t>세이브존I&amp;C</t>
  </si>
  <si>
    <t>KTcs</t>
  </si>
  <si>
    <t>S&amp;T모티브</t>
  </si>
  <si>
    <t>KTF</t>
  </si>
  <si>
    <t>한국저축은행</t>
  </si>
  <si>
    <t>한미반도체</t>
  </si>
  <si>
    <t>지역난방공사</t>
  </si>
  <si>
    <t>동원F&amp;B</t>
  </si>
  <si>
    <t>롯데하이마트</t>
  </si>
  <si>
    <t>우리금융</t>
  </si>
  <si>
    <t>농심홀딩스</t>
  </si>
  <si>
    <t>한국금융지주</t>
  </si>
  <si>
    <t>현대백화점</t>
  </si>
  <si>
    <t>금호타이어</t>
  </si>
  <si>
    <t>새론오토모티브</t>
  </si>
  <si>
    <t>SJM홀딩스</t>
  </si>
  <si>
    <t>케이티스</t>
  </si>
  <si>
    <t>GS</t>
  </si>
  <si>
    <t>유니퀘스트</t>
  </si>
  <si>
    <t>휴비스</t>
  </si>
  <si>
    <t>사조해표</t>
  </si>
  <si>
    <t>동양생명</t>
  </si>
  <si>
    <t>STX엔진</t>
  </si>
  <si>
    <t>STX조선해양</t>
  </si>
  <si>
    <t>대웅제약</t>
  </si>
  <si>
    <t>두산엔진</t>
  </si>
  <si>
    <t>대한제강</t>
  </si>
  <si>
    <t>세진중공업</t>
  </si>
  <si>
    <t>STX중공업</t>
  </si>
  <si>
    <t>엠케이트렌드</t>
  </si>
  <si>
    <t>KPX그린케미칼</t>
  </si>
  <si>
    <t>동양고속</t>
  </si>
  <si>
    <t>현대리바트</t>
  </si>
  <si>
    <t>TBH글로벌</t>
  </si>
  <si>
    <t>휠라코리아</t>
  </si>
  <si>
    <t>하나금융지주</t>
  </si>
  <si>
    <t>온미디어</t>
  </si>
  <si>
    <t>한화생명</t>
  </si>
  <si>
    <t>미래에셋생명</t>
  </si>
  <si>
    <t>대상홀딩스</t>
  </si>
  <si>
    <t>노루페인트</t>
  </si>
  <si>
    <t>LG파워콤</t>
  </si>
  <si>
    <t>KPX홀딩스</t>
  </si>
  <si>
    <t>엔케이</t>
  </si>
  <si>
    <t>기신정기</t>
  </si>
  <si>
    <t>SK이노베이션</t>
  </si>
  <si>
    <t>현대EP</t>
  </si>
  <si>
    <t>LF</t>
  </si>
  <si>
    <t>한진중공업</t>
  </si>
  <si>
    <t>디아이씨</t>
  </si>
  <si>
    <t>비상교육</t>
  </si>
  <si>
    <t>진양홀딩스</t>
  </si>
  <si>
    <t>S&amp;TC</t>
  </si>
  <si>
    <t>풍산</t>
  </si>
  <si>
    <t>SBS미디어홀딩스</t>
  </si>
  <si>
    <t>일진전기</t>
  </si>
  <si>
    <t>한국철강</t>
  </si>
  <si>
    <t>KB금융</t>
  </si>
  <si>
    <t>미원홀딩스</t>
  </si>
  <si>
    <t>동성코퍼레이션</t>
  </si>
  <si>
    <t>대성에너지</t>
  </si>
  <si>
    <t>JW홀딩스</t>
  </si>
  <si>
    <t>SJM</t>
  </si>
  <si>
    <t>넥솔론</t>
  </si>
  <si>
    <t>현대에이치씨엔</t>
  </si>
  <si>
    <t>인터지스</t>
  </si>
  <si>
    <t>KEC</t>
  </si>
  <si>
    <t>메리츠금융지주</t>
  </si>
  <si>
    <t>CJ제일제당</t>
  </si>
  <si>
    <t>코오롱인더</t>
  </si>
  <si>
    <t>화인베스틸</t>
  </si>
  <si>
    <t>BNK금융지주</t>
  </si>
  <si>
    <t>DGB금융지주</t>
  </si>
  <si>
    <t>이마트</t>
  </si>
  <si>
    <t>LG하우시스</t>
  </si>
  <si>
    <t>대성산업</t>
  </si>
  <si>
    <t>애경유화</t>
  </si>
  <si>
    <t>동일고무벨트</t>
  </si>
  <si>
    <t>이아이디</t>
  </si>
  <si>
    <t>웅진에너지</t>
  </si>
  <si>
    <t>한국타이어</t>
  </si>
  <si>
    <t>JB금융지주</t>
  </si>
  <si>
    <t>NHN엔터테인먼트</t>
  </si>
  <si>
    <t>선진</t>
  </si>
  <si>
    <t>코오롱머티리얼</t>
  </si>
  <si>
    <t>한진칼</t>
  </si>
  <si>
    <t>아세아시멘트</t>
  </si>
  <si>
    <t>삼양사</t>
  </si>
  <si>
    <t>광주은행</t>
  </si>
  <si>
    <t>한세실업</t>
  </si>
  <si>
    <t>영원무역</t>
  </si>
  <si>
    <t>서연이화</t>
  </si>
  <si>
    <t>한진해운</t>
  </si>
  <si>
    <t>한솔제지</t>
  </si>
  <si>
    <t>만도</t>
  </si>
  <si>
    <t>현대코퍼레이션홀딩스</t>
  </si>
  <si>
    <t>페이퍼코리아</t>
  </si>
  <si>
    <t>동성화학</t>
  </si>
  <si>
    <t>사조오양</t>
  </si>
  <si>
    <t>웅진씽크빅</t>
  </si>
  <si>
    <t>씨에스윈드</t>
  </si>
  <si>
    <t>KOSDAQ</t>
  </si>
  <si>
    <t>케이엠더블유</t>
  </si>
  <si>
    <t>하림홀딩스</t>
  </si>
  <si>
    <t>심텍홀딩스</t>
  </si>
  <si>
    <t>NICE평가정보</t>
  </si>
  <si>
    <t>대원산업</t>
  </si>
  <si>
    <t>삼륭물산</t>
  </si>
  <si>
    <t>포비스티앤씨</t>
  </si>
  <si>
    <t>삼목에스폼</t>
  </si>
  <si>
    <t>피에스텍</t>
  </si>
  <si>
    <t>삼보판지</t>
  </si>
  <si>
    <t>코엔텍</t>
  </si>
  <si>
    <t>에이스침대</t>
  </si>
  <si>
    <t>원익홀딩스</t>
  </si>
  <si>
    <t>태산엘시디</t>
  </si>
  <si>
    <t>일지테크</t>
  </si>
  <si>
    <t>인터파크홀딩스</t>
  </si>
  <si>
    <t>한국알콜</t>
  </si>
  <si>
    <t>조아제약</t>
  </si>
  <si>
    <t>서희건설</t>
  </si>
  <si>
    <t>엔알케이</t>
  </si>
  <si>
    <t>세원물산</t>
  </si>
  <si>
    <t>대명코퍼레이션</t>
  </si>
  <si>
    <t>JYP Ent.</t>
  </si>
  <si>
    <t>아이디스홀딩스</t>
  </si>
  <si>
    <t>아비코전자</t>
  </si>
  <si>
    <t>동성하이켐</t>
  </si>
  <si>
    <t>로엔</t>
  </si>
  <si>
    <t>삼지전자</t>
  </si>
  <si>
    <t>에스텍파마</t>
  </si>
  <si>
    <t>인프라웨어</t>
  </si>
  <si>
    <t>파워로직스</t>
  </si>
  <si>
    <t>비츠로테크</t>
  </si>
  <si>
    <t>DMS</t>
  </si>
  <si>
    <t>아트라스BX</t>
  </si>
  <si>
    <t>동원개발</t>
  </si>
  <si>
    <t>메가스터디</t>
  </si>
  <si>
    <t>코메론</t>
  </si>
  <si>
    <t>마크로젠</t>
  </si>
  <si>
    <t>오로라</t>
  </si>
  <si>
    <t>승일</t>
  </si>
  <si>
    <t>바이오톡스텍</t>
  </si>
  <si>
    <t>태양</t>
  </si>
  <si>
    <t>이지바이오</t>
  </si>
  <si>
    <t>인바디</t>
  </si>
  <si>
    <t>삼보모터스</t>
  </si>
  <si>
    <t>모베이스</t>
  </si>
  <si>
    <t>엔브이에이치코리아</t>
  </si>
  <si>
    <t>성우하이텍</t>
  </si>
  <si>
    <t>하이텍팜</t>
  </si>
  <si>
    <t>YTN</t>
  </si>
  <si>
    <t>바이넥스</t>
  </si>
  <si>
    <t>넥스트바이오홀딩스</t>
  </si>
  <si>
    <t>디에스케이</t>
  </si>
  <si>
    <t>휴온스글로벌</t>
  </si>
  <si>
    <t>HB테크놀러지</t>
  </si>
  <si>
    <t>코스온</t>
  </si>
  <si>
    <t>씨큐브</t>
  </si>
  <si>
    <t>제주반도체</t>
  </si>
  <si>
    <t>KMH</t>
  </si>
  <si>
    <t>코렌텍</t>
  </si>
  <si>
    <t>미리넷</t>
  </si>
  <si>
    <t>레드로버</t>
  </si>
  <si>
    <t>오상자이엘</t>
  </si>
  <si>
    <t>컴투스</t>
  </si>
  <si>
    <t>이엔에프테크놀로지</t>
  </si>
  <si>
    <t>골프존뉴딘</t>
  </si>
  <si>
    <t>제닉</t>
  </si>
  <si>
    <t>한라IMS</t>
  </si>
  <si>
    <t>디에스</t>
  </si>
  <si>
    <t>삼영엠텍</t>
  </si>
  <si>
    <t>지앤디윈텍</t>
  </si>
  <si>
    <t>코나아이</t>
  </si>
  <si>
    <t>바이오빌</t>
  </si>
  <si>
    <t>MDS테크</t>
  </si>
  <si>
    <t>인베니아</t>
  </si>
  <si>
    <t>코리아에프티</t>
  </si>
  <si>
    <t>유아이디</t>
  </si>
  <si>
    <t>켐트로닉스</t>
  </si>
  <si>
    <t>위메이드</t>
  </si>
  <si>
    <t>티에스이</t>
  </si>
  <si>
    <t>인스프리트</t>
  </si>
  <si>
    <t>지스마트글로벌</t>
  </si>
  <si>
    <t>신진에스엠</t>
  </si>
  <si>
    <t>하이로닉</t>
  </si>
  <si>
    <t>토필드</t>
  </si>
  <si>
    <t>청담러닝</t>
  </si>
  <si>
    <t>동일금속</t>
  </si>
  <si>
    <t>데브시스터즈</t>
  </si>
  <si>
    <t>KH바텍</t>
  </si>
  <si>
    <t>한국전자금융</t>
  </si>
  <si>
    <t>메가스터디교육</t>
  </si>
  <si>
    <t>아진산업</t>
  </si>
  <si>
    <t>정산애강</t>
  </si>
  <si>
    <t>제이엠아이</t>
  </si>
  <si>
    <t>토비스</t>
  </si>
  <si>
    <t>삼화네트웍스</t>
  </si>
  <si>
    <t>동우팜투테이블</t>
  </si>
  <si>
    <t>제우스</t>
  </si>
  <si>
    <t>비에이치</t>
  </si>
  <si>
    <t>티케이케미칼</t>
  </si>
  <si>
    <t>포휴먼</t>
  </si>
  <si>
    <t>디스플레이텍</t>
  </si>
  <si>
    <t>삼기오토모티브</t>
  </si>
  <si>
    <t>다우데이타</t>
  </si>
  <si>
    <t>유진테크</t>
  </si>
  <si>
    <t>씨젠</t>
  </si>
  <si>
    <t>라이브플렉스</t>
  </si>
  <si>
    <t>테라세미콘</t>
  </si>
  <si>
    <t>엘아이에스</t>
  </si>
  <si>
    <t>심텍</t>
  </si>
  <si>
    <t>인크로스</t>
  </si>
  <si>
    <t>주식1호</t>
    <phoneticPr fontId="1" type="noConversion"/>
  </si>
  <si>
    <t>20080229~20170531 누적수익률</t>
    <phoneticPr fontId="1" type="noConversion"/>
  </si>
  <si>
    <t>주식1호</t>
    <phoneticPr fontId="1" type="noConversion"/>
  </si>
  <si>
    <t>(단위 : %)</t>
    <phoneticPr fontId="1" type="noConversion"/>
  </si>
  <si>
    <t>승률</t>
    <phoneticPr fontId="1" type="noConversion"/>
  </si>
  <si>
    <t>turnover</t>
    <phoneticPr fontId="1" type="noConversion"/>
  </si>
  <si>
    <t>IT</t>
  </si>
  <si>
    <t>건강관리</t>
  </si>
  <si>
    <t>경기관련소비재</t>
  </si>
  <si>
    <t>금융</t>
  </si>
  <si>
    <t>산업재</t>
  </si>
  <si>
    <t>소재</t>
  </si>
  <si>
    <t>에너지</t>
  </si>
  <si>
    <t>유틸리티</t>
  </si>
  <si>
    <t>전기통신서비스</t>
  </si>
  <si>
    <t>필수소비재</t>
  </si>
  <si>
    <t>승률</t>
    <phoneticPr fontId="1" type="noConversion"/>
  </si>
  <si>
    <t>분기별 평균 Turnover</t>
    <phoneticPr fontId="1" type="noConversion"/>
  </si>
  <si>
    <t>승률</t>
    <phoneticPr fontId="1" type="noConversion"/>
  </si>
  <si>
    <t>KOSPI+KOSDAQ_fwd-KSE</t>
    <phoneticPr fontId="1" type="noConversion"/>
  </si>
  <si>
    <t>대형주</t>
    <phoneticPr fontId="1" type="noConversion"/>
  </si>
  <si>
    <t>중형주</t>
    <phoneticPr fontId="1" type="noConversion"/>
  </si>
  <si>
    <t>소형주</t>
    <phoneticPr fontId="1" type="noConversion"/>
  </si>
  <si>
    <t>KOSPI_fwd</t>
    <phoneticPr fontId="1" type="noConversion"/>
  </si>
  <si>
    <t>KOSPI_trd</t>
    <phoneticPr fontId="1" type="noConversion"/>
  </si>
  <si>
    <t>KOSPI+KOSDAQ_TRD</t>
    <phoneticPr fontId="1" type="noConversion"/>
  </si>
  <si>
    <t>KOSPI+KOSDAQ_FWD</t>
    <phoneticPr fontId="1" type="noConversion"/>
  </si>
  <si>
    <t>대형주</t>
    <phoneticPr fontId="1" type="noConversion"/>
  </si>
  <si>
    <t>중형주</t>
    <phoneticPr fontId="1" type="noConversion"/>
  </si>
  <si>
    <t>소형주</t>
    <phoneticPr fontId="1" type="noConversion"/>
  </si>
  <si>
    <t>비중</t>
    <phoneticPr fontId="1" type="noConversion"/>
  </si>
  <si>
    <t>비중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</si>
</sst>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%"/>
    <numFmt numFmtId="177" formatCode="0.0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  <font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/>
      <right/>
      <top/>
      <bottom style="thin">
        <color rgb="FFA6A6A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4" fontId="0" fillId="0" borderId="0" xfId="0" applyNumberFormat="1" applyBorder="1" applyAlignment="1">
      <alignment horizontal="right" vertical="center"/>
    </xf>
    <xf numFmtId="3" fontId="0" fillId="0" borderId="0" xfId="0" applyNumberFormat="1" applyBorder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9" fontId="0" fillId="0" borderId="0" xfId="0" applyNumberFormat="1">
      <alignment vertical="center"/>
    </xf>
    <xf numFmtId="176" fontId="0" fillId="0" borderId="0" xfId="0" applyNumberFormat="1">
      <alignment vertical="center"/>
    </xf>
    <xf numFmtId="4" fontId="6" fillId="3" borderId="0" xfId="0" applyNumberFormat="1" applyFont="1" applyFill="1" applyAlignment="1">
      <alignment horizontal="right" vertical="center"/>
    </xf>
    <xf numFmtId="4" fontId="6" fillId="3" borderId="3" xfId="0" applyNumberFormat="1" applyFont="1" applyFill="1" applyBorder="1" applyAlignment="1">
      <alignment horizontal="right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77" fontId="0" fillId="0" borderId="7" xfId="0" applyNumberForma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4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10" fontId="0" fillId="0" borderId="8" xfId="0" applyNumberFormat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9A-4CB5-9E72-F816B80A01AA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A-4CB5-9E72-F816B80A01AA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9A-4CB5-9E72-F816B80A01AA}"/>
            </c:ext>
          </c:extLst>
        </c:ser>
        <c:ser>
          <c:idx val="3"/>
          <c:order val="3"/>
          <c:tx>
            <c:strRef>
              <c:f>Results!$S$11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Results!$S$12:$S$50</c:f>
              <c:numCache>
                <c:formatCode>General</c:formatCode>
                <c:ptCount val="39"/>
                <c:pt idx="0">
                  <c:v>100</c:v>
                </c:pt>
                <c:pt idx="1">
                  <c:v>107.874110751079</c:v>
                </c:pt>
                <c:pt idx="2">
                  <c:v>89.572163670949422</c:v>
                </c:pt>
                <c:pt idx="3">
                  <c:v>57.029377085101565</c:v>
                </c:pt>
                <c:pt idx="4">
                  <c:v>59.891716245004304</c:v>
                </c:pt>
                <c:pt idx="5">
                  <c:v>84.556833625819962</c:v>
                </c:pt>
                <c:pt idx="6">
                  <c:v>91.737202971987557</c:v>
                </c:pt>
                <c:pt idx="7">
                  <c:v>86.849700049280628</c:v>
                </c:pt>
                <c:pt idx="8">
                  <c:v>88.555260414377244</c:v>
                </c:pt>
                <c:pt idx="9">
                  <c:v>91.255013523419265</c:v>
                </c:pt>
                <c:pt idx="10">
                  <c:v>97.952184278205138</c:v>
                </c:pt>
                <c:pt idx="11">
                  <c:v>108.62538752449839</c:v>
                </c:pt>
                <c:pt idx="12">
                  <c:v>105.6998179576792</c:v>
                </c:pt>
                <c:pt idx="13">
                  <c:v>112.20335503398444</c:v>
                </c:pt>
                <c:pt idx="14">
                  <c:v>110.24320404260557</c:v>
                </c:pt>
                <c:pt idx="15">
                  <c:v>98.788586509670253</c:v>
                </c:pt>
                <c:pt idx="16">
                  <c:v>114.17644993474873</c:v>
                </c:pt>
                <c:pt idx="17">
                  <c:v>96.346874632464662</c:v>
                </c:pt>
                <c:pt idx="18">
                  <c:v>103.1806742458789</c:v>
                </c:pt>
                <c:pt idx="19">
                  <c:v>108.74812145074571</c:v>
                </c:pt>
                <c:pt idx="20">
                  <c:v>118.5382447826465</c:v>
                </c:pt>
                <c:pt idx="21">
                  <c:v>130.51800025114139</c:v>
                </c:pt>
                <c:pt idx="22">
                  <c:v>126.48381796716986</c:v>
                </c:pt>
                <c:pt idx="23">
                  <c:v>131.4060035919384</c:v>
                </c:pt>
                <c:pt idx="24">
                  <c:v>136.80414213247525</c:v>
                </c:pt>
                <c:pt idx="25">
                  <c:v>146.8866411366931</c:v>
                </c:pt>
                <c:pt idx="26">
                  <c:v>161.69917275313381</c:v>
                </c:pt>
                <c:pt idx="27">
                  <c:v>152.01573071594314</c:v>
                </c:pt>
                <c:pt idx="28">
                  <c:v>161.94533588894657</c:v>
                </c:pt>
                <c:pt idx="29">
                  <c:v>184.88407117841689</c:v>
                </c:pt>
                <c:pt idx="30">
                  <c:v>168.96699461261363</c:v>
                </c:pt>
                <c:pt idx="31">
                  <c:v>167.50914009483191</c:v>
                </c:pt>
                <c:pt idx="32">
                  <c:v>163.31974397574064</c:v>
                </c:pt>
                <c:pt idx="33">
                  <c:v>171.52029312131341</c:v>
                </c:pt>
                <c:pt idx="34">
                  <c:v>172.89463252462357</c:v>
                </c:pt>
                <c:pt idx="35">
                  <c:v>169.21953721407533</c:v>
                </c:pt>
                <c:pt idx="36">
                  <c:v>178.70053327876656</c:v>
                </c:pt>
                <c:pt idx="37">
                  <c:v>194.18833132660336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9A-4CB5-9E72-F816B80A01AA}"/>
            </c:ext>
          </c:extLst>
        </c:ser>
        <c:ser>
          <c:idx val="4"/>
          <c:order val="4"/>
          <c:tx>
            <c:strRef>
              <c:f>Results!$T$11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Results!$T$12:$T$50</c:f>
              <c:numCache>
                <c:formatCode>General</c:formatCode>
                <c:ptCount val="39"/>
                <c:pt idx="0">
                  <c:v>100</c:v>
                </c:pt>
                <c:pt idx="1">
                  <c:v>104.79991792031301</c:v>
                </c:pt>
                <c:pt idx="2">
                  <c:v>87.50072506458956</c:v>
                </c:pt>
                <c:pt idx="3">
                  <c:v>56.437574126310011</c:v>
                </c:pt>
                <c:pt idx="4">
                  <c:v>59.161833387802588</c:v>
                </c:pt>
                <c:pt idx="5">
                  <c:v>83.962894447712614</c:v>
                </c:pt>
                <c:pt idx="6">
                  <c:v>90.678120944447329</c:v>
                </c:pt>
                <c:pt idx="7">
                  <c:v>86.36200358652269</c:v>
                </c:pt>
                <c:pt idx="8">
                  <c:v>87.917582874756135</c:v>
                </c:pt>
                <c:pt idx="9">
                  <c:v>89.021788130254421</c:v>
                </c:pt>
                <c:pt idx="10">
                  <c:v>95.118369661354421</c:v>
                </c:pt>
                <c:pt idx="11">
                  <c:v>105.38167465323077</c:v>
                </c:pt>
                <c:pt idx="12">
                  <c:v>102.53795894757434</c:v>
                </c:pt>
                <c:pt idx="13">
                  <c:v>108.92103664619513</c:v>
                </c:pt>
                <c:pt idx="14">
                  <c:v>107.7729773067055</c:v>
                </c:pt>
                <c:pt idx="15">
                  <c:v>96.732536799695083</c:v>
                </c:pt>
                <c:pt idx="16">
                  <c:v>110.87870511596645</c:v>
                </c:pt>
                <c:pt idx="17">
                  <c:v>93.679246591527999</c:v>
                </c:pt>
                <c:pt idx="18">
                  <c:v>99.990524257359354</c:v>
                </c:pt>
                <c:pt idx="19">
                  <c:v>105.53510331354416</c:v>
                </c:pt>
                <c:pt idx="20">
                  <c:v>114.17763130738335</c:v>
                </c:pt>
                <c:pt idx="21">
                  <c:v>125.40260478469668</c:v>
                </c:pt>
                <c:pt idx="22">
                  <c:v>121.48685467450208</c:v>
                </c:pt>
                <c:pt idx="23">
                  <c:v>126.65304002335736</c:v>
                </c:pt>
                <c:pt idx="24">
                  <c:v>131.77101502289321</c:v>
                </c:pt>
                <c:pt idx="25">
                  <c:v>141.7813850983591</c:v>
                </c:pt>
                <c:pt idx="26">
                  <c:v>156.73001086751316</c:v>
                </c:pt>
                <c:pt idx="27">
                  <c:v>147.06843847357325</c:v>
                </c:pt>
                <c:pt idx="28">
                  <c:v>156.02997928061393</c:v>
                </c:pt>
                <c:pt idx="29">
                  <c:v>179.0432185238507</c:v>
                </c:pt>
                <c:pt idx="30">
                  <c:v>166.50178815651986</c:v>
                </c:pt>
                <c:pt idx="31">
                  <c:v>164.7471543093998</c:v>
                </c:pt>
                <c:pt idx="32">
                  <c:v>159.55134934868747</c:v>
                </c:pt>
                <c:pt idx="33">
                  <c:v>164.99550134294768</c:v>
                </c:pt>
                <c:pt idx="34">
                  <c:v>165.07636787223453</c:v>
                </c:pt>
                <c:pt idx="35">
                  <c:v>162.11834013196233</c:v>
                </c:pt>
                <c:pt idx="36">
                  <c:v>169.57295745568351</c:v>
                </c:pt>
                <c:pt idx="37">
                  <c:v>182.87336843078566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9A-4CB5-9E72-F816B80A01AA}"/>
            </c:ext>
          </c:extLst>
        </c:ser>
        <c:ser>
          <c:idx val="5"/>
          <c:order val="5"/>
          <c:tx>
            <c:strRef>
              <c:f>Results!$U$11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Results!$U$12:$U$50</c:f>
              <c:numCache>
                <c:formatCode>General</c:formatCode>
                <c:ptCount val="39"/>
                <c:pt idx="0">
                  <c:v>100</c:v>
                </c:pt>
                <c:pt idx="1">
                  <c:v>107.05608326649801</c:v>
                </c:pt>
                <c:pt idx="2">
                  <c:v>87.979370363888577</c:v>
                </c:pt>
                <c:pt idx="3">
                  <c:v>56.673898259760158</c:v>
                </c:pt>
                <c:pt idx="4">
                  <c:v>60.166020864476536</c:v>
                </c:pt>
                <c:pt idx="5">
                  <c:v>86.651595620571314</c:v>
                </c:pt>
                <c:pt idx="6">
                  <c:v>93.905923061205044</c:v>
                </c:pt>
                <c:pt idx="7">
                  <c:v>88.183613490999406</c:v>
                </c:pt>
                <c:pt idx="8">
                  <c:v>89.75335294834079</c:v>
                </c:pt>
                <c:pt idx="9">
                  <c:v>92.855976946743468</c:v>
                </c:pt>
                <c:pt idx="10">
                  <c:v>99.129438248430887</c:v>
                </c:pt>
                <c:pt idx="11">
                  <c:v>111.99256820171021</c:v>
                </c:pt>
                <c:pt idx="12">
                  <c:v>108.60947153437054</c:v>
                </c:pt>
                <c:pt idx="13">
                  <c:v>113.58942508945438</c:v>
                </c:pt>
                <c:pt idx="14">
                  <c:v>111.5623260271835</c:v>
                </c:pt>
                <c:pt idx="15">
                  <c:v>100.78396463217274</c:v>
                </c:pt>
                <c:pt idx="16">
                  <c:v>118.5424500596361</c:v>
                </c:pt>
                <c:pt idx="17">
                  <c:v>99.051630334602677</c:v>
                </c:pt>
                <c:pt idx="18">
                  <c:v>105.95726470679621</c:v>
                </c:pt>
                <c:pt idx="19">
                  <c:v>113.07326793345941</c:v>
                </c:pt>
                <c:pt idx="20">
                  <c:v>122.68673232299011</c:v>
                </c:pt>
                <c:pt idx="21">
                  <c:v>134.95398197747957</c:v>
                </c:pt>
                <c:pt idx="22">
                  <c:v>130.57805681532219</c:v>
                </c:pt>
                <c:pt idx="23">
                  <c:v>134.24401627023497</c:v>
                </c:pt>
                <c:pt idx="24">
                  <c:v>139.50740123672128</c:v>
                </c:pt>
                <c:pt idx="25">
                  <c:v>149.30025566279969</c:v>
                </c:pt>
                <c:pt idx="26">
                  <c:v>163.67147741930393</c:v>
                </c:pt>
                <c:pt idx="27">
                  <c:v>153.64112443181378</c:v>
                </c:pt>
                <c:pt idx="28">
                  <c:v>169.14164969062338</c:v>
                </c:pt>
                <c:pt idx="29">
                  <c:v>194.54368242657711</c:v>
                </c:pt>
                <c:pt idx="30">
                  <c:v>177.10651276616457</c:v>
                </c:pt>
                <c:pt idx="31">
                  <c:v>176.78071423647285</c:v>
                </c:pt>
                <c:pt idx="32">
                  <c:v>171.99611720946481</c:v>
                </c:pt>
                <c:pt idx="33">
                  <c:v>182.19993007749221</c:v>
                </c:pt>
                <c:pt idx="34">
                  <c:v>184.34231628103922</c:v>
                </c:pt>
                <c:pt idx="35">
                  <c:v>181.83006090532712</c:v>
                </c:pt>
                <c:pt idx="36">
                  <c:v>190.8177863606879</c:v>
                </c:pt>
                <c:pt idx="37">
                  <c:v>205.93084153060562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9A-4CB5-9E72-F816B80A01AA}"/>
            </c:ext>
          </c:extLst>
        </c:ser>
        <c:ser>
          <c:idx val="6"/>
          <c:order val="6"/>
          <c:tx>
            <c:strRef>
              <c:f>Results!$V$11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Results!$V$12:$V$50</c:f>
              <c:numCache>
                <c:formatCode>General</c:formatCode>
                <c:ptCount val="39"/>
                <c:pt idx="0">
                  <c:v>100</c:v>
                </c:pt>
                <c:pt idx="1">
                  <c:v>105.87745571901499</c:v>
                </c:pt>
                <c:pt idx="2">
                  <c:v>87.67977446861218</c:v>
                </c:pt>
                <c:pt idx="3">
                  <c:v>56.537803043706603</c:v>
                </c:pt>
                <c:pt idx="4">
                  <c:v>59.834621282865434</c:v>
                </c:pt>
                <c:pt idx="5">
                  <c:v>85.663149468510497</c:v>
                </c:pt>
                <c:pt idx="6">
                  <c:v>92.36540499810107</c:v>
                </c:pt>
                <c:pt idx="7">
                  <c:v>86.725228036367696</c:v>
                </c:pt>
                <c:pt idx="8">
                  <c:v>88.303616281493277</c:v>
                </c:pt>
                <c:pt idx="9">
                  <c:v>89.029911139075736</c:v>
                </c:pt>
                <c:pt idx="10">
                  <c:v>94.50629686168827</c:v>
                </c:pt>
                <c:pt idx="11">
                  <c:v>106.24228689097532</c:v>
                </c:pt>
                <c:pt idx="12">
                  <c:v>103.06852692540116</c:v>
                </c:pt>
                <c:pt idx="13">
                  <c:v>107.61550923523772</c:v>
                </c:pt>
                <c:pt idx="14">
                  <c:v>106.28581202736633</c:v>
                </c:pt>
                <c:pt idx="15">
                  <c:v>95.872540721491177</c:v>
                </c:pt>
                <c:pt idx="16">
                  <c:v>112.44998177292794</c:v>
                </c:pt>
                <c:pt idx="17">
                  <c:v>93.950043507069751</c:v>
                </c:pt>
                <c:pt idx="18">
                  <c:v>100.16785800632755</c:v>
                </c:pt>
                <c:pt idx="19">
                  <c:v>107.67565452572923</c:v>
                </c:pt>
                <c:pt idx="20">
                  <c:v>116.19068898450372</c:v>
                </c:pt>
                <c:pt idx="21">
                  <c:v>128.12998791542421</c:v>
                </c:pt>
                <c:pt idx="22">
                  <c:v>123.97323970884885</c:v>
                </c:pt>
                <c:pt idx="23">
                  <c:v>127.54583226690255</c:v>
                </c:pt>
                <c:pt idx="24">
                  <c:v>132.71126129507221</c:v>
                </c:pt>
                <c:pt idx="25">
                  <c:v>142.70844074790915</c:v>
                </c:pt>
                <c:pt idx="26">
                  <c:v>156.74352712902618</c:v>
                </c:pt>
                <c:pt idx="27">
                  <c:v>148.10873776851898</c:v>
                </c:pt>
                <c:pt idx="28">
                  <c:v>162.30325969239664</c:v>
                </c:pt>
                <c:pt idx="29">
                  <c:v>186.95557238231495</c:v>
                </c:pt>
                <c:pt idx="30">
                  <c:v>173.41940391507748</c:v>
                </c:pt>
                <c:pt idx="31">
                  <c:v>172.34858556780864</c:v>
                </c:pt>
                <c:pt idx="32">
                  <c:v>166.42680916968973</c:v>
                </c:pt>
                <c:pt idx="33">
                  <c:v>173.98598700703334</c:v>
                </c:pt>
                <c:pt idx="34">
                  <c:v>175.37053788721846</c:v>
                </c:pt>
                <c:pt idx="35">
                  <c:v>173.55873917195285</c:v>
                </c:pt>
                <c:pt idx="36">
                  <c:v>180.68948086872513</c:v>
                </c:pt>
                <c:pt idx="37">
                  <c:v>194.53534949160385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9A-4CB5-9E72-F816B80A01AA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9A-4CB5-9E72-F816B80A0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20131129~20170531</a:t>
            </a:r>
            <a:endParaRPr lang="ko-KR" altLang="en-US"/>
          </a:p>
        </c:rich>
      </c:tx>
      <c:layout>
        <c:manualLayout>
          <c:xMode val="edge"/>
          <c:yMode val="edge"/>
          <c:x val="0.39838188976377953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Results!$W$34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Results!$W$35:$W$50</c:f>
              <c:numCache>
                <c:formatCode>General</c:formatCode>
                <c:ptCount val="16"/>
                <c:pt idx="0">
                  <c:v>100</c:v>
                </c:pt>
                <c:pt idx="1">
                  <c:v>95.954759069586103</c:v>
                </c:pt>
                <c:pt idx="2">
                  <c:v>96.105618672689744</c:v>
                </c:pt>
                <c:pt idx="3">
                  <c:v>104.05753005538581</c:v>
                </c:pt>
                <c:pt idx="4">
                  <c:v>98.738033994262253</c:v>
                </c:pt>
                <c:pt idx="5">
                  <c:v>97.1366338815413</c:v>
                </c:pt>
                <c:pt idx="6">
                  <c:v>100.21993296070447</c:v>
                </c:pt>
                <c:pt idx="7">
                  <c:v>92.67186765036169</c:v>
                </c:pt>
                <c:pt idx="8">
                  <c:v>94.726694098253674</c:v>
                </c:pt>
                <c:pt idx="9">
                  <c:v>96.407337878897053</c:v>
                </c:pt>
                <c:pt idx="10">
                  <c:v>98.515558455977398</c:v>
                </c:pt>
                <c:pt idx="11">
                  <c:v>99.402070505676292</c:v>
                </c:pt>
                <c:pt idx="12">
                  <c:v>98.251977913476082</c:v>
                </c:pt>
                <c:pt idx="13">
                  <c:v>104.79063992440071</c:v>
                </c:pt>
                <c:pt idx="14">
                  <c:v>114.8461104919464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FF-4C4F-97E8-45F5F94BB8AC}"/>
            </c:ext>
          </c:extLst>
        </c:ser>
        <c:ser>
          <c:idx val="1"/>
          <c:order val="1"/>
          <c:tx>
            <c:strRef>
              <c:f>Results!$X$34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Results!$X$35:$X$50</c:f>
              <c:numCache>
                <c:formatCode>General</c:formatCode>
                <c:ptCount val="16"/>
                <c:pt idx="0">
                  <c:v>100</c:v>
                </c:pt>
                <c:pt idx="1">
                  <c:v>96.156830028030399</c:v>
                </c:pt>
                <c:pt idx="2">
                  <c:v>95.411821119891457</c:v>
                </c:pt>
                <c:pt idx="3">
                  <c:v>100.93876580366226</c:v>
                </c:pt>
                <c:pt idx="4">
                  <c:v>94.518668106523378</c:v>
                </c:pt>
                <c:pt idx="5">
                  <c:v>92.719107080898354</c:v>
                </c:pt>
                <c:pt idx="6">
                  <c:v>94.139341226555203</c:v>
                </c:pt>
                <c:pt idx="7">
                  <c:v>84.902166412612516</c:v>
                </c:pt>
                <c:pt idx="8">
                  <c:v>89.382745889975695</c:v>
                </c:pt>
                <c:pt idx="9">
                  <c:v>87.859590576475483</c:v>
                </c:pt>
                <c:pt idx="10">
                  <c:v>91.047417809260551</c:v>
                </c:pt>
                <c:pt idx="11">
                  <c:v>97.053881570483441</c:v>
                </c:pt>
                <c:pt idx="12">
                  <c:v>97.939237525681548</c:v>
                </c:pt>
                <c:pt idx="13">
                  <c:v>104.88953517837717</c:v>
                </c:pt>
                <c:pt idx="14">
                  <c:v>116.99914622213038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FF-4C4F-97E8-45F5F94BB8AC}"/>
            </c:ext>
          </c:extLst>
        </c:ser>
        <c:ser>
          <c:idx val="2"/>
          <c:order val="2"/>
          <c:tx>
            <c:strRef>
              <c:f>Results!$Y$34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Results!$Y$35:$Y$50</c:f>
              <c:numCache>
                <c:formatCode>General</c:formatCode>
                <c:ptCount val="16"/>
                <c:pt idx="0">
                  <c:v>100</c:v>
                </c:pt>
                <c:pt idx="1">
                  <c:v>96.445126966543214</c:v>
                </c:pt>
                <c:pt idx="2">
                  <c:v>97.39981267621036</c:v>
                </c:pt>
                <c:pt idx="3">
                  <c:v>100.05372484322331</c:v>
                </c:pt>
                <c:pt idx="4">
                  <c:v>95.456684939452586</c:v>
                </c:pt>
                <c:pt idx="5">
                  <c:v>95.291231439968428</c:v>
                </c:pt>
                <c:pt idx="6">
                  <c:v>100.04421602141385</c:v>
                </c:pt>
                <c:pt idx="7">
                  <c:v>90.471209664766477</c:v>
                </c:pt>
                <c:pt idx="8">
                  <c:v>94.133532384669877</c:v>
                </c:pt>
                <c:pt idx="9">
                  <c:v>90.423190114628852</c:v>
                </c:pt>
                <c:pt idx="10">
                  <c:v>94.179174729355168</c:v>
                </c:pt>
                <c:pt idx="11">
                  <c:v>98.161944744236465</c:v>
                </c:pt>
                <c:pt idx="12">
                  <c:v>96.327217576106221</c:v>
                </c:pt>
                <c:pt idx="13">
                  <c:v>102.27070664809277</c:v>
                </c:pt>
                <c:pt idx="14">
                  <c:v>114.97544346767714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FF-4C4F-97E8-45F5F94BB8AC}"/>
            </c:ext>
          </c:extLst>
        </c:ser>
        <c:ser>
          <c:idx val="3"/>
          <c:order val="3"/>
          <c:tx>
            <c:strRef>
              <c:f>Results!$Z$34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Results!$Z$35:$Z$50</c:f>
              <c:numCache>
                <c:formatCode>General</c:formatCode>
                <c:ptCount val="16"/>
                <c:pt idx="0">
                  <c:v>100</c:v>
                </c:pt>
                <c:pt idx="1">
                  <c:v>104.10798471377301</c:v>
                </c:pt>
                <c:pt idx="2">
                  <c:v>111.78076885499651</c:v>
                </c:pt>
                <c:pt idx="3">
                  <c:v>123.05310893957802</c:v>
                </c:pt>
                <c:pt idx="4">
                  <c:v>115.68400724521318</c:v>
                </c:pt>
                <c:pt idx="5">
                  <c:v>123.2404391445032</c:v>
                </c:pt>
                <c:pt idx="6">
                  <c:v>140.69682215779619</c:v>
                </c:pt>
                <c:pt idx="7">
                  <c:v>128.58392310393612</c:v>
                </c:pt>
                <c:pt idx="8">
                  <c:v>127.47449546902465</c:v>
                </c:pt>
                <c:pt idx="9">
                  <c:v>124.28636402557795</c:v>
                </c:pt>
                <c:pt idx="10">
                  <c:v>130.52698387658441</c:v>
                </c:pt>
                <c:pt idx="11">
                  <c:v>131.57285648951157</c:v>
                </c:pt>
                <c:pt idx="12">
                  <c:v>128.77610808373802</c:v>
                </c:pt>
                <c:pt idx="13">
                  <c:v>135.99114834486113</c:v>
                </c:pt>
                <c:pt idx="14">
                  <c:v>147.77736634440689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FF-4C4F-97E8-45F5F94BB8AC}"/>
            </c:ext>
          </c:extLst>
        </c:ser>
        <c:ser>
          <c:idx val="4"/>
          <c:order val="4"/>
          <c:tx>
            <c:strRef>
              <c:f>Results!$AA$34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Results!$AA$35:$AA$50</c:f>
              <c:numCache>
                <c:formatCode>General</c:formatCode>
                <c:ptCount val="16"/>
                <c:pt idx="0">
                  <c:v>100</c:v>
                </c:pt>
                <c:pt idx="1">
                  <c:v>104.040941298047</c:v>
                </c:pt>
                <c:pt idx="2">
                  <c:v>111.94471532006793</c:v>
                </c:pt>
                <c:pt idx="3">
                  <c:v>123.74753171231342</c:v>
                </c:pt>
                <c:pt idx="4">
                  <c:v>116.1191539077553</c:v>
                </c:pt>
                <c:pt idx="5">
                  <c:v>123.19481573583933</c:v>
                </c:pt>
                <c:pt idx="6">
                  <c:v>141.36511724537488</c:v>
                </c:pt>
                <c:pt idx="7">
                  <c:v>131.46292274217311</c:v>
                </c:pt>
                <c:pt idx="8">
                  <c:v>130.07753645630387</c:v>
                </c:pt>
                <c:pt idx="9">
                  <c:v>125.97514384120824</c:v>
                </c:pt>
                <c:pt idx="10">
                  <c:v>130.27362099837416</c:v>
                </c:pt>
                <c:pt idx="11">
                  <c:v>130.33746986396156</c:v>
                </c:pt>
                <c:pt idx="12">
                  <c:v>128.0019335517446</c:v>
                </c:pt>
                <c:pt idx="13">
                  <c:v>133.88779094794006</c:v>
                </c:pt>
                <c:pt idx="14">
                  <c:v>144.38924513541892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FF-4C4F-97E8-45F5F94BB8AC}"/>
            </c:ext>
          </c:extLst>
        </c:ser>
        <c:ser>
          <c:idx val="5"/>
          <c:order val="5"/>
          <c:tx>
            <c:strRef>
              <c:f>Results!$AB$34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Results!$AB$35:$AB$50</c:f>
              <c:numCache>
                <c:formatCode>General</c:formatCode>
                <c:ptCount val="16"/>
                <c:pt idx="0">
                  <c:v>100</c:v>
                </c:pt>
                <c:pt idx="1">
                  <c:v>103.92075945932</c:v>
                </c:pt>
                <c:pt idx="2">
                  <c:v>111.21557579315589</c:v>
                </c:pt>
                <c:pt idx="3">
                  <c:v>121.92087362004359</c:v>
                </c:pt>
                <c:pt idx="4">
                  <c:v>114.44914172005416</c:v>
                </c:pt>
                <c:pt idx="5">
                  <c:v>125.99567145707188</c:v>
                </c:pt>
                <c:pt idx="6">
                  <c:v>144.91795450678271</c:v>
                </c:pt>
                <c:pt idx="7">
                  <c:v>131.92879480724625</c:v>
                </c:pt>
                <c:pt idx="8">
                  <c:v>131.68610352107683</c:v>
                </c:pt>
                <c:pt idx="9">
                  <c:v>128.12199901948281</c:v>
                </c:pt>
                <c:pt idx="10">
                  <c:v>135.72294329359258</c:v>
                </c:pt>
                <c:pt idx="11">
                  <c:v>137.31883282600521</c:v>
                </c:pt>
                <c:pt idx="12">
                  <c:v>135.44742324998739</c:v>
                </c:pt>
                <c:pt idx="13">
                  <c:v>142.14248922392875</c:v>
                </c:pt>
                <c:pt idx="14">
                  <c:v>153.40038778046099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FF-4C4F-97E8-45F5F94BB8AC}"/>
            </c:ext>
          </c:extLst>
        </c:ser>
        <c:ser>
          <c:idx val="6"/>
          <c:order val="6"/>
          <c:tx>
            <c:strRef>
              <c:f>Results!$AC$34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Results!$AC$35:$AC$50</c:f>
              <c:numCache>
                <c:formatCode>General</c:formatCode>
                <c:ptCount val="16"/>
                <c:pt idx="0">
                  <c:v>100</c:v>
                </c:pt>
                <c:pt idx="1">
                  <c:v>104.04986108629599</c:v>
                </c:pt>
                <c:pt idx="2">
                  <c:v>111.88796859255839</c:v>
                </c:pt>
                <c:pt idx="3">
                  <c:v>122.89192390153876</c:v>
                </c:pt>
                <c:pt idx="4">
                  <c:v>116.12197367498959</c:v>
                </c:pt>
                <c:pt idx="5">
                  <c:v>127.25093153397646</c:v>
                </c:pt>
                <c:pt idx="6">
                  <c:v>146.57913085791114</c:v>
                </c:pt>
                <c:pt idx="7">
                  <c:v>135.9663431041634</c:v>
                </c:pt>
                <c:pt idx="8">
                  <c:v>135.12678737095212</c:v>
                </c:pt>
                <c:pt idx="9">
                  <c:v>130.48392582630598</c:v>
                </c:pt>
                <c:pt idx="10">
                  <c:v>136.41056231688552</c:v>
                </c:pt>
                <c:pt idx="11">
                  <c:v>137.49609436099638</c:v>
                </c:pt>
                <c:pt idx="12">
                  <c:v>136.07558638902736</c:v>
                </c:pt>
                <c:pt idx="13">
                  <c:v>141.66631528234822</c:v>
                </c:pt>
                <c:pt idx="14">
                  <c:v>152.52191783461731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FF-4C4F-97E8-45F5F94BB8AC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Results!$AK$35:$AK$49</c:f>
              <c:numCache>
                <c:formatCode>General</c:formatCode>
                <c:ptCount val="15"/>
                <c:pt idx="0">
                  <c:v>100</c:v>
                </c:pt>
                <c:pt idx="1">
                  <c:v>102.52273041953201</c:v>
                </c:pt>
                <c:pt idx="2">
                  <c:v>104.84867162043714</c:v>
                </c:pt>
                <c:pt idx="3">
                  <c:v>109.47241345825505</c:v>
                </c:pt>
                <c:pt idx="4">
                  <c:v>103.56012206581491</c:v>
                </c:pt>
                <c:pt idx="5">
                  <c:v>103.80968717404404</c:v>
                </c:pt>
                <c:pt idx="6">
                  <c:v>110.291616147044</c:v>
                </c:pt>
                <c:pt idx="7">
                  <c:v>102.80391838166805</c:v>
                </c:pt>
                <c:pt idx="8">
                  <c:v>101.75195498333881</c:v>
                </c:pt>
                <c:pt idx="9">
                  <c:v>99.19279897885275</c:v>
                </c:pt>
                <c:pt idx="10">
                  <c:v>99.838895372612839</c:v>
                </c:pt>
                <c:pt idx="11">
                  <c:v>96.99563246492832</c:v>
                </c:pt>
                <c:pt idx="12">
                  <c:v>94.418925454839254</c:v>
                </c:pt>
                <c:pt idx="13">
                  <c:v>99.241064244260969</c:v>
                </c:pt>
                <c:pt idx="14">
                  <c:v>105.41919567917108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FF-4C4F-97E8-45F5F94BB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318991"/>
        <c:axId val="1477312335"/>
      </c:lineChart>
      <c:catAx>
        <c:axId val="1477318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7312335"/>
        <c:crosses val="autoZero"/>
        <c:auto val="1"/>
        <c:lblAlgn val="ctr"/>
        <c:lblOffset val="100"/>
        <c:noMultiLvlLbl val="0"/>
      </c:catAx>
      <c:valAx>
        <c:axId val="1477312335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7318991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2"/>
          <c:tx>
            <c:strRef>
              <c:f>Results!$AD$12</c:f>
              <c:strCache>
                <c:ptCount val="1"/>
                <c:pt idx="0">
                  <c:v>KOSPI+KOSDAQ_fwd-KSE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Results!$AE$13:$AE$49</c:f>
              <c:numCache>
                <c:formatCode>0.0%</c:formatCode>
                <c:ptCount val="37"/>
                <c:pt idx="0">
                  <c:v>-1.6481606955466299E-2</c:v>
                </c:pt>
                <c:pt idx="1">
                  <c:v>7.6148523257639766E-3</c:v>
                </c:pt>
                <c:pt idx="2">
                  <c:v>-8.2069993574551914E-2</c:v>
                </c:pt>
                <c:pt idx="3">
                  <c:v>-8.3340143302079728E-3</c:v>
                </c:pt>
                <c:pt idx="4">
                  <c:v>0.12282333500149156</c:v>
                </c:pt>
                <c:pt idx="5">
                  <c:v>5.3583026463157601E-2</c:v>
                </c:pt>
                <c:pt idx="6">
                  <c:v>1.097812720433089E-2</c:v>
                </c:pt>
                <c:pt idx="7">
                  <c:v>1.0983664238904844E-2</c:v>
                </c:pt>
                <c:pt idx="8">
                  <c:v>1.4506096740143914E-2</c:v>
                </c:pt>
                <c:pt idx="9">
                  <c:v>2.5798941661628549E-2</c:v>
                </c:pt>
                <c:pt idx="10">
                  <c:v>6.2535449310585078E-2</c:v>
                </c:pt>
                <c:pt idx="11">
                  <c:v>8.4430705081129931E-3</c:v>
                </c:pt>
                <c:pt idx="12">
                  <c:v>-4.1664521831524692E-2</c:v>
                </c:pt>
                <c:pt idx="13">
                  <c:v>6.8538612587143555E-2</c:v>
                </c:pt>
                <c:pt idx="14">
                  <c:v>-2.0094634337319395E-2</c:v>
                </c:pt>
                <c:pt idx="15">
                  <c:v>5.2915858513957748E-2</c:v>
                </c:pt>
                <c:pt idx="16">
                  <c:v>-2.8415334080726717E-2</c:v>
                </c:pt>
                <c:pt idx="17">
                  <c:v>1.3704409972917331E-2</c:v>
                </c:pt>
                <c:pt idx="18">
                  <c:v>6.5761249357047857E-2</c:v>
                </c:pt>
                <c:pt idx="19">
                  <c:v>9.9556569729881472E-2</c:v>
                </c:pt>
                <c:pt idx="20">
                  <c:v>0.21355810369029549</c:v>
                </c:pt>
                <c:pt idx="21">
                  <c:v>0.21944058995658333</c:v>
                </c:pt>
                <c:pt idx="22">
                  <c:v>0.18008380106205613</c:v>
                </c:pt>
                <c:pt idx="23">
                  <c:v>0.25484012598982397</c:v>
                </c:pt>
                <c:pt idx="24">
                  <c:v>0.31513733010652156</c:v>
                </c:pt>
                <c:pt idx="25">
                  <c:v>0.38414690067945279</c:v>
                </c:pt>
                <c:pt idx="26">
                  <c:v>0.36880916432582767</c:v>
                </c:pt>
                <c:pt idx="27">
                  <c:v>0.47143031440568317</c:v>
                </c:pt>
                <c:pt idx="28">
                  <c:v>0.57173381390403477</c:v>
                </c:pt>
                <c:pt idx="29">
                  <c:v>0.57779044036209148</c:v>
                </c:pt>
                <c:pt idx="30">
                  <c:v>0.53547034544793859</c:v>
                </c:pt>
                <c:pt idx="31">
                  <c:v>0.54782092670690274</c:v>
                </c:pt>
                <c:pt idx="32">
                  <c:v>0.56560891260643142</c:v>
                </c:pt>
                <c:pt idx="33">
                  <c:v>0.53507806296243188</c:v>
                </c:pt>
                <c:pt idx="34">
                  <c:v>0.54014067452129311</c:v>
                </c:pt>
                <c:pt idx="35">
                  <c:v>0.52786889955872351</c:v>
                </c:pt>
                <c:pt idx="36">
                  <c:v>0.48284385322136125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79-4A98-9B9D-4E1D2D46C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037967"/>
        <c:axId val="511035887"/>
      </c:areaChart>
      <c:lineChart>
        <c:grouping val="standard"/>
        <c:varyColors val="0"/>
        <c:ser>
          <c:idx val="2"/>
          <c:order val="0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79-4A98-9B9D-4E1D2D46CCAC}"/>
            </c:ext>
          </c:extLst>
        </c:ser>
        <c:ser>
          <c:idx val="5"/>
          <c:order val="1"/>
          <c:tx>
            <c:strRef>
              <c:f>Results!$U$11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Results!$U$12:$U$50</c:f>
              <c:numCache>
                <c:formatCode>General</c:formatCode>
                <c:ptCount val="39"/>
                <c:pt idx="0">
                  <c:v>100</c:v>
                </c:pt>
                <c:pt idx="1">
                  <c:v>107.05608326649801</c:v>
                </c:pt>
                <c:pt idx="2">
                  <c:v>87.979370363888577</c:v>
                </c:pt>
                <c:pt idx="3">
                  <c:v>56.673898259760158</c:v>
                </c:pt>
                <c:pt idx="4">
                  <c:v>60.166020864476536</c:v>
                </c:pt>
                <c:pt idx="5">
                  <c:v>86.651595620571314</c:v>
                </c:pt>
                <c:pt idx="6">
                  <c:v>93.905923061205044</c:v>
                </c:pt>
                <c:pt idx="7">
                  <c:v>88.183613490999406</c:v>
                </c:pt>
                <c:pt idx="8">
                  <c:v>89.75335294834079</c:v>
                </c:pt>
                <c:pt idx="9">
                  <c:v>92.855976946743468</c:v>
                </c:pt>
                <c:pt idx="10">
                  <c:v>99.129438248430887</c:v>
                </c:pt>
                <c:pt idx="11">
                  <c:v>111.99256820171021</c:v>
                </c:pt>
                <c:pt idx="12">
                  <c:v>108.60947153437054</c:v>
                </c:pt>
                <c:pt idx="13">
                  <c:v>113.58942508945438</c:v>
                </c:pt>
                <c:pt idx="14">
                  <c:v>111.5623260271835</c:v>
                </c:pt>
                <c:pt idx="15">
                  <c:v>100.78396463217274</c:v>
                </c:pt>
                <c:pt idx="16">
                  <c:v>118.5424500596361</c:v>
                </c:pt>
                <c:pt idx="17">
                  <c:v>99.051630334602677</c:v>
                </c:pt>
                <c:pt idx="18">
                  <c:v>105.95726470679621</c:v>
                </c:pt>
                <c:pt idx="19">
                  <c:v>113.07326793345941</c:v>
                </c:pt>
                <c:pt idx="20">
                  <c:v>122.68673232299011</c:v>
                </c:pt>
                <c:pt idx="21">
                  <c:v>134.95398197747957</c:v>
                </c:pt>
                <c:pt idx="22">
                  <c:v>130.57805681532219</c:v>
                </c:pt>
                <c:pt idx="23">
                  <c:v>134.24401627023497</c:v>
                </c:pt>
                <c:pt idx="24">
                  <c:v>139.50740123672128</c:v>
                </c:pt>
                <c:pt idx="25">
                  <c:v>149.30025566279969</c:v>
                </c:pt>
                <c:pt idx="26">
                  <c:v>163.67147741930393</c:v>
                </c:pt>
                <c:pt idx="27">
                  <c:v>153.64112443181378</c:v>
                </c:pt>
                <c:pt idx="28">
                  <c:v>169.14164969062338</c:v>
                </c:pt>
                <c:pt idx="29">
                  <c:v>194.54368242657711</c:v>
                </c:pt>
                <c:pt idx="30">
                  <c:v>177.10651276616457</c:v>
                </c:pt>
                <c:pt idx="31">
                  <c:v>176.78071423647285</c:v>
                </c:pt>
                <c:pt idx="32">
                  <c:v>171.99611720946481</c:v>
                </c:pt>
                <c:pt idx="33">
                  <c:v>182.19993007749221</c:v>
                </c:pt>
                <c:pt idx="34">
                  <c:v>184.34231628103922</c:v>
                </c:pt>
                <c:pt idx="35">
                  <c:v>181.83006090532712</c:v>
                </c:pt>
                <c:pt idx="36">
                  <c:v>190.8177863606879</c:v>
                </c:pt>
                <c:pt idx="37">
                  <c:v>205.93084153060562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79-4A98-9B9D-4E1D2D46C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valAx>
        <c:axId val="511035887"/>
        <c:scaling>
          <c:orientation val="minMax"/>
          <c:min val="-0.1500000000000000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1037967"/>
        <c:crosses val="max"/>
        <c:crossBetween val="between"/>
      </c:valAx>
      <c:catAx>
        <c:axId val="511037967"/>
        <c:scaling>
          <c:orientation val="minMax"/>
        </c:scaling>
        <c:delete val="1"/>
        <c:axPos val="b"/>
        <c:majorTickMark val="out"/>
        <c:minorTickMark val="none"/>
        <c:tickLblPos val="nextTo"/>
        <c:crossAx val="5110358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KOSPI_TRD!$A$1003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KOSPI_TRD!$AD$1003:$BN$1003</c:f>
              <c:numCache>
                <c:formatCode>0%</c:formatCode>
                <c:ptCount val="37"/>
                <c:pt idx="0">
                  <c:v>0.06</c:v>
                </c:pt>
                <c:pt idx="1">
                  <c:v>0.05</c:v>
                </c:pt>
                <c:pt idx="2">
                  <c:v>7.0000000000000007E-2</c:v>
                </c:pt>
                <c:pt idx="3">
                  <c:v>0.05</c:v>
                </c:pt>
                <c:pt idx="4">
                  <c:v>5.5E-2</c:v>
                </c:pt>
                <c:pt idx="5">
                  <c:v>5.5E-2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0.05</c:v>
                </c:pt>
                <c:pt idx="9">
                  <c:v>0.04</c:v>
                </c:pt>
                <c:pt idx="10">
                  <c:v>6.5000000000000002E-2</c:v>
                </c:pt>
                <c:pt idx="11">
                  <c:v>5.5E-2</c:v>
                </c:pt>
                <c:pt idx="12">
                  <c:v>4.4999999999999998E-2</c:v>
                </c:pt>
                <c:pt idx="13">
                  <c:v>0.05</c:v>
                </c:pt>
                <c:pt idx="14">
                  <c:v>7.4999999999999997E-2</c:v>
                </c:pt>
                <c:pt idx="15">
                  <c:v>6.5000000000000002E-2</c:v>
                </c:pt>
                <c:pt idx="16">
                  <c:v>0.04</c:v>
                </c:pt>
                <c:pt idx="17">
                  <c:v>5.5E-2</c:v>
                </c:pt>
                <c:pt idx="18">
                  <c:v>0.05</c:v>
                </c:pt>
                <c:pt idx="19">
                  <c:v>3.5000000000000003E-2</c:v>
                </c:pt>
                <c:pt idx="20">
                  <c:v>3.5000000000000003E-2</c:v>
                </c:pt>
                <c:pt idx="21">
                  <c:v>2.5000000000000001E-2</c:v>
                </c:pt>
                <c:pt idx="22">
                  <c:v>0.03</c:v>
                </c:pt>
                <c:pt idx="23">
                  <c:v>0.04</c:v>
                </c:pt>
                <c:pt idx="24">
                  <c:v>0.05</c:v>
                </c:pt>
                <c:pt idx="25">
                  <c:v>0.06</c:v>
                </c:pt>
                <c:pt idx="26">
                  <c:v>4.4999999999999998E-2</c:v>
                </c:pt>
                <c:pt idx="27">
                  <c:v>0.04</c:v>
                </c:pt>
                <c:pt idx="28">
                  <c:v>4.4999999999999998E-2</c:v>
                </c:pt>
                <c:pt idx="29">
                  <c:v>5.5E-2</c:v>
                </c:pt>
                <c:pt idx="30">
                  <c:v>6.5000000000000002E-2</c:v>
                </c:pt>
                <c:pt idx="31">
                  <c:v>6.5000000000000002E-2</c:v>
                </c:pt>
                <c:pt idx="32">
                  <c:v>0.04</c:v>
                </c:pt>
                <c:pt idx="33">
                  <c:v>0.05</c:v>
                </c:pt>
                <c:pt idx="34">
                  <c:v>0.04</c:v>
                </c:pt>
                <c:pt idx="35">
                  <c:v>4.4999999999999998E-2</c:v>
                </c:pt>
                <c:pt idx="36">
                  <c:v>3.5000000000000003E-2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A-478C-A238-41F40729A6AE}"/>
            </c:ext>
          </c:extLst>
        </c:ser>
        <c:ser>
          <c:idx val="1"/>
          <c:order val="1"/>
          <c:tx>
            <c:strRef>
              <c:f>KOSPI_TRD!$A$1004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KOSPI_TRD!$AD$1004:$BN$1004</c:f>
              <c:numCache>
                <c:formatCode>0%</c:formatCode>
                <c:ptCount val="37"/>
                <c:pt idx="0">
                  <c:v>3.5000000000000003E-2</c:v>
                </c:pt>
                <c:pt idx="1">
                  <c:v>0.05</c:v>
                </c:pt>
                <c:pt idx="2">
                  <c:v>3.5000000000000003E-2</c:v>
                </c:pt>
                <c:pt idx="3">
                  <c:v>4.4999999999999998E-2</c:v>
                </c:pt>
                <c:pt idx="4">
                  <c:v>0.04</c:v>
                </c:pt>
                <c:pt idx="5">
                  <c:v>0.04</c:v>
                </c:pt>
                <c:pt idx="6">
                  <c:v>4.4999999999999998E-2</c:v>
                </c:pt>
                <c:pt idx="7">
                  <c:v>4.4999999999999998E-2</c:v>
                </c:pt>
                <c:pt idx="8">
                  <c:v>0.05</c:v>
                </c:pt>
                <c:pt idx="9">
                  <c:v>0.05</c:v>
                </c:pt>
                <c:pt idx="10">
                  <c:v>4.4999999999999998E-2</c:v>
                </c:pt>
                <c:pt idx="11">
                  <c:v>0.05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5.5E-2</c:v>
                </c:pt>
                <c:pt idx="15">
                  <c:v>6.5000000000000002E-2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0.03</c:v>
                </c:pt>
                <c:pt idx="20">
                  <c:v>3.5000000000000003E-2</c:v>
                </c:pt>
                <c:pt idx="21">
                  <c:v>0.03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1.4999999999999999E-2</c:v>
                </c:pt>
                <c:pt idx="25">
                  <c:v>0.01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0.01</c:v>
                </c:pt>
                <c:pt idx="29">
                  <c:v>0</c:v>
                </c:pt>
                <c:pt idx="30">
                  <c:v>0.01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A-478C-A238-41F40729A6AE}"/>
            </c:ext>
          </c:extLst>
        </c:ser>
        <c:ser>
          <c:idx val="2"/>
          <c:order val="2"/>
          <c:tx>
            <c:strRef>
              <c:f>KOSPI_TRD!$A$1005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KOSPI_TRD!$AD$1005:$BN$1005</c:f>
              <c:numCache>
                <c:formatCode>0%</c:formatCode>
                <c:ptCount val="37"/>
                <c:pt idx="0">
                  <c:v>0.2</c:v>
                </c:pt>
                <c:pt idx="1">
                  <c:v>0.18</c:v>
                </c:pt>
                <c:pt idx="2">
                  <c:v>0.17</c:v>
                </c:pt>
                <c:pt idx="3">
                  <c:v>0.19500000000000001</c:v>
                </c:pt>
                <c:pt idx="4">
                  <c:v>0.17499999999999999</c:v>
                </c:pt>
                <c:pt idx="5">
                  <c:v>0.14499999999999999</c:v>
                </c:pt>
                <c:pt idx="6">
                  <c:v>0.16</c:v>
                </c:pt>
                <c:pt idx="7">
                  <c:v>0.14499999999999999</c:v>
                </c:pt>
                <c:pt idx="8">
                  <c:v>0.17499999999999999</c:v>
                </c:pt>
                <c:pt idx="9">
                  <c:v>0.15</c:v>
                </c:pt>
                <c:pt idx="10">
                  <c:v>0.15</c:v>
                </c:pt>
                <c:pt idx="11">
                  <c:v>0.155</c:v>
                </c:pt>
                <c:pt idx="12">
                  <c:v>0.13500000000000001</c:v>
                </c:pt>
                <c:pt idx="13">
                  <c:v>0.13</c:v>
                </c:pt>
                <c:pt idx="14">
                  <c:v>0.12</c:v>
                </c:pt>
                <c:pt idx="15">
                  <c:v>0.12</c:v>
                </c:pt>
                <c:pt idx="16">
                  <c:v>0.13</c:v>
                </c:pt>
                <c:pt idx="17">
                  <c:v>0.115</c:v>
                </c:pt>
                <c:pt idx="18">
                  <c:v>0.12</c:v>
                </c:pt>
                <c:pt idx="19">
                  <c:v>0.13</c:v>
                </c:pt>
                <c:pt idx="20">
                  <c:v>0.115</c:v>
                </c:pt>
                <c:pt idx="21">
                  <c:v>0.13500000000000001</c:v>
                </c:pt>
                <c:pt idx="22">
                  <c:v>0.125</c:v>
                </c:pt>
                <c:pt idx="23">
                  <c:v>0.13</c:v>
                </c:pt>
                <c:pt idx="24">
                  <c:v>0.16</c:v>
                </c:pt>
                <c:pt idx="25">
                  <c:v>0.16</c:v>
                </c:pt>
                <c:pt idx="26">
                  <c:v>0.14499999999999999</c:v>
                </c:pt>
                <c:pt idx="27">
                  <c:v>0.17499999999999999</c:v>
                </c:pt>
                <c:pt idx="28">
                  <c:v>0.16500000000000001</c:v>
                </c:pt>
                <c:pt idx="29">
                  <c:v>0.185</c:v>
                </c:pt>
                <c:pt idx="30">
                  <c:v>0.19</c:v>
                </c:pt>
                <c:pt idx="31">
                  <c:v>0.19500000000000001</c:v>
                </c:pt>
                <c:pt idx="32">
                  <c:v>0.185</c:v>
                </c:pt>
                <c:pt idx="33">
                  <c:v>0.19500000000000001</c:v>
                </c:pt>
                <c:pt idx="34">
                  <c:v>0.185</c:v>
                </c:pt>
                <c:pt idx="35">
                  <c:v>0.2</c:v>
                </c:pt>
                <c:pt idx="36">
                  <c:v>0.215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2A-478C-A238-41F40729A6AE}"/>
            </c:ext>
          </c:extLst>
        </c:ser>
        <c:ser>
          <c:idx val="3"/>
          <c:order val="3"/>
          <c:tx>
            <c:strRef>
              <c:f>KOSPI_TRD!$A$1006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KOSPI_TRD!$AD$1006:$BN$1006</c:f>
              <c:numCache>
                <c:formatCode>0%</c:formatCode>
                <c:ptCount val="37"/>
                <c:pt idx="0">
                  <c:v>0.14000000000000001</c:v>
                </c:pt>
                <c:pt idx="1">
                  <c:v>0.13500000000000001</c:v>
                </c:pt>
                <c:pt idx="2">
                  <c:v>0.155</c:v>
                </c:pt>
                <c:pt idx="3">
                  <c:v>0.16</c:v>
                </c:pt>
                <c:pt idx="4">
                  <c:v>0.14499999999999999</c:v>
                </c:pt>
                <c:pt idx="5">
                  <c:v>0.14499999999999999</c:v>
                </c:pt>
                <c:pt idx="6">
                  <c:v>0.15</c:v>
                </c:pt>
                <c:pt idx="7">
                  <c:v>0.13500000000000001</c:v>
                </c:pt>
                <c:pt idx="8">
                  <c:v>0.155</c:v>
                </c:pt>
                <c:pt idx="9">
                  <c:v>0.155</c:v>
                </c:pt>
                <c:pt idx="10">
                  <c:v>0.16500000000000001</c:v>
                </c:pt>
                <c:pt idx="11">
                  <c:v>0.16500000000000001</c:v>
                </c:pt>
                <c:pt idx="12">
                  <c:v>0.16</c:v>
                </c:pt>
                <c:pt idx="13">
                  <c:v>0.15</c:v>
                </c:pt>
                <c:pt idx="14">
                  <c:v>0.14499999999999999</c:v>
                </c:pt>
                <c:pt idx="15">
                  <c:v>0.155</c:v>
                </c:pt>
                <c:pt idx="16">
                  <c:v>0.14499999999999999</c:v>
                </c:pt>
                <c:pt idx="17">
                  <c:v>0.17</c:v>
                </c:pt>
                <c:pt idx="18">
                  <c:v>0.16</c:v>
                </c:pt>
                <c:pt idx="19">
                  <c:v>0.17</c:v>
                </c:pt>
                <c:pt idx="20">
                  <c:v>0.18</c:v>
                </c:pt>
                <c:pt idx="21">
                  <c:v>0.16</c:v>
                </c:pt>
                <c:pt idx="22">
                  <c:v>0.17499999999999999</c:v>
                </c:pt>
                <c:pt idx="23">
                  <c:v>0.17499999999999999</c:v>
                </c:pt>
                <c:pt idx="24">
                  <c:v>0.185</c:v>
                </c:pt>
                <c:pt idx="25">
                  <c:v>0.17499999999999999</c:v>
                </c:pt>
                <c:pt idx="26">
                  <c:v>0.15</c:v>
                </c:pt>
                <c:pt idx="27">
                  <c:v>0.14000000000000001</c:v>
                </c:pt>
                <c:pt idx="28">
                  <c:v>0.16500000000000001</c:v>
                </c:pt>
                <c:pt idx="29">
                  <c:v>0.16500000000000001</c:v>
                </c:pt>
                <c:pt idx="30">
                  <c:v>0.17</c:v>
                </c:pt>
                <c:pt idx="31">
                  <c:v>0.17499999999999999</c:v>
                </c:pt>
                <c:pt idx="32">
                  <c:v>0.17499999999999999</c:v>
                </c:pt>
                <c:pt idx="33">
                  <c:v>0.185</c:v>
                </c:pt>
                <c:pt idx="34">
                  <c:v>0.19</c:v>
                </c:pt>
                <c:pt idx="35">
                  <c:v>0.17</c:v>
                </c:pt>
                <c:pt idx="36">
                  <c:v>0.16500000000000001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2A-478C-A238-41F40729A6AE}"/>
            </c:ext>
          </c:extLst>
        </c:ser>
        <c:ser>
          <c:idx val="4"/>
          <c:order val="4"/>
          <c:tx>
            <c:strRef>
              <c:f>KOSPI_TRD!$A$1007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KOSPI_TRD!$AD$1007:$BN$1007</c:f>
              <c:numCache>
                <c:formatCode>0%</c:formatCode>
                <c:ptCount val="37"/>
                <c:pt idx="0">
                  <c:v>0.215</c:v>
                </c:pt>
                <c:pt idx="1">
                  <c:v>0.25</c:v>
                </c:pt>
                <c:pt idx="2">
                  <c:v>0.23</c:v>
                </c:pt>
                <c:pt idx="3">
                  <c:v>0.19</c:v>
                </c:pt>
                <c:pt idx="4">
                  <c:v>0.23</c:v>
                </c:pt>
                <c:pt idx="5">
                  <c:v>0.23</c:v>
                </c:pt>
                <c:pt idx="6">
                  <c:v>0.23499999999999999</c:v>
                </c:pt>
                <c:pt idx="7">
                  <c:v>0.25</c:v>
                </c:pt>
                <c:pt idx="8">
                  <c:v>0.21</c:v>
                </c:pt>
                <c:pt idx="9">
                  <c:v>0.23</c:v>
                </c:pt>
                <c:pt idx="10">
                  <c:v>0.22500000000000001</c:v>
                </c:pt>
                <c:pt idx="11">
                  <c:v>0.215</c:v>
                </c:pt>
                <c:pt idx="12">
                  <c:v>0.22</c:v>
                </c:pt>
                <c:pt idx="13">
                  <c:v>0.21</c:v>
                </c:pt>
                <c:pt idx="14">
                  <c:v>0.215</c:v>
                </c:pt>
                <c:pt idx="15">
                  <c:v>0.21</c:v>
                </c:pt>
                <c:pt idx="16">
                  <c:v>0.2</c:v>
                </c:pt>
                <c:pt idx="17">
                  <c:v>0.19</c:v>
                </c:pt>
                <c:pt idx="18">
                  <c:v>0.22</c:v>
                </c:pt>
                <c:pt idx="19">
                  <c:v>0.24</c:v>
                </c:pt>
                <c:pt idx="20">
                  <c:v>0.22500000000000001</c:v>
                </c:pt>
                <c:pt idx="21">
                  <c:v>0.23</c:v>
                </c:pt>
                <c:pt idx="22">
                  <c:v>0.23499999999999999</c:v>
                </c:pt>
                <c:pt idx="23">
                  <c:v>0.21</c:v>
                </c:pt>
                <c:pt idx="24">
                  <c:v>0.19500000000000001</c:v>
                </c:pt>
                <c:pt idx="25">
                  <c:v>0.21</c:v>
                </c:pt>
                <c:pt idx="26">
                  <c:v>0.245</c:v>
                </c:pt>
                <c:pt idx="27">
                  <c:v>0.25</c:v>
                </c:pt>
                <c:pt idx="28">
                  <c:v>0.23499999999999999</c:v>
                </c:pt>
                <c:pt idx="29">
                  <c:v>0.22500000000000001</c:v>
                </c:pt>
                <c:pt idx="30">
                  <c:v>0.2</c:v>
                </c:pt>
                <c:pt idx="31">
                  <c:v>0.21</c:v>
                </c:pt>
                <c:pt idx="32">
                  <c:v>0.255</c:v>
                </c:pt>
                <c:pt idx="33">
                  <c:v>0.22500000000000001</c:v>
                </c:pt>
                <c:pt idx="34">
                  <c:v>0.22500000000000001</c:v>
                </c:pt>
                <c:pt idx="35">
                  <c:v>0.23499999999999999</c:v>
                </c:pt>
                <c:pt idx="36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2A-478C-A238-41F40729A6AE}"/>
            </c:ext>
          </c:extLst>
        </c:ser>
        <c:ser>
          <c:idx val="5"/>
          <c:order val="5"/>
          <c:tx>
            <c:strRef>
              <c:f>KOSPI_TRD!$A$1008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KOSPI_TRD!$AD$1008:$BN$1008</c:f>
              <c:numCache>
                <c:formatCode>0%</c:formatCode>
                <c:ptCount val="37"/>
                <c:pt idx="0">
                  <c:v>0.19</c:v>
                </c:pt>
                <c:pt idx="1">
                  <c:v>0.19</c:v>
                </c:pt>
                <c:pt idx="2">
                  <c:v>0.19500000000000001</c:v>
                </c:pt>
                <c:pt idx="3">
                  <c:v>0.19500000000000001</c:v>
                </c:pt>
                <c:pt idx="4">
                  <c:v>0.2</c:v>
                </c:pt>
                <c:pt idx="5">
                  <c:v>0.20499999999999999</c:v>
                </c:pt>
                <c:pt idx="6">
                  <c:v>0.21</c:v>
                </c:pt>
                <c:pt idx="7">
                  <c:v>0.20499999999999999</c:v>
                </c:pt>
                <c:pt idx="8">
                  <c:v>0.2</c:v>
                </c:pt>
                <c:pt idx="9">
                  <c:v>0.21</c:v>
                </c:pt>
                <c:pt idx="10">
                  <c:v>0.18</c:v>
                </c:pt>
                <c:pt idx="11">
                  <c:v>0.17</c:v>
                </c:pt>
                <c:pt idx="12">
                  <c:v>0.185</c:v>
                </c:pt>
                <c:pt idx="13">
                  <c:v>0.185</c:v>
                </c:pt>
                <c:pt idx="14">
                  <c:v>0.19500000000000001</c:v>
                </c:pt>
                <c:pt idx="15">
                  <c:v>0.19</c:v>
                </c:pt>
                <c:pt idx="16">
                  <c:v>0.23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0.24</c:v>
                </c:pt>
                <c:pt idx="20">
                  <c:v>0.25</c:v>
                </c:pt>
                <c:pt idx="21">
                  <c:v>0.25</c:v>
                </c:pt>
                <c:pt idx="22">
                  <c:v>0.245</c:v>
                </c:pt>
                <c:pt idx="23">
                  <c:v>0.25</c:v>
                </c:pt>
                <c:pt idx="24">
                  <c:v>0.23499999999999999</c:v>
                </c:pt>
                <c:pt idx="25">
                  <c:v>0.24</c:v>
                </c:pt>
                <c:pt idx="26">
                  <c:v>0.25</c:v>
                </c:pt>
                <c:pt idx="27">
                  <c:v>0.23499999999999999</c:v>
                </c:pt>
                <c:pt idx="28">
                  <c:v>0.24</c:v>
                </c:pt>
                <c:pt idx="29">
                  <c:v>0.23</c:v>
                </c:pt>
                <c:pt idx="30">
                  <c:v>0.24</c:v>
                </c:pt>
                <c:pt idx="31">
                  <c:v>0.23</c:v>
                </c:pt>
                <c:pt idx="32">
                  <c:v>0.22500000000000001</c:v>
                </c:pt>
                <c:pt idx="33">
                  <c:v>0.22</c:v>
                </c:pt>
                <c:pt idx="34">
                  <c:v>0.22500000000000001</c:v>
                </c:pt>
                <c:pt idx="35">
                  <c:v>0.22500000000000001</c:v>
                </c:pt>
                <c:pt idx="36">
                  <c:v>0.21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F2A-478C-A238-41F40729A6AE}"/>
            </c:ext>
          </c:extLst>
        </c:ser>
        <c:ser>
          <c:idx val="6"/>
          <c:order val="6"/>
          <c:tx>
            <c:strRef>
              <c:f>KOSPI_TRD!$A$1009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KOSPI_TRD!$AD$1009:$BN$1009</c:f>
              <c:numCache>
                <c:formatCode>0%</c:formatCode>
                <c:ptCount val="37"/>
                <c:pt idx="0">
                  <c:v>5.0000000000000001E-3</c:v>
                </c:pt>
                <c:pt idx="1">
                  <c:v>5.0000000000000001E-3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0.02</c:v>
                </c:pt>
                <c:pt idx="8">
                  <c:v>1.4999999999999999E-2</c:v>
                </c:pt>
                <c:pt idx="9">
                  <c:v>0.02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0.02</c:v>
                </c:pt>
                <c:pt idx="14">
                  <c:v>1.4999999999999999E-2</c:v>
                </c:pt>
                <c:pt idx="15">
                  <c:v>2.5000000000000001E-2</c:v>
                </c:pt>
                <c:pt idx="16">
                  <c:v>1.4999999999999999E-2</c:v>
                </c:pt>
                <c:pt idx="17">
                  <c:v>2.5000000000000001E-2</c:v>
                </c:pt>
                <c:pt idx="18">
                  <c:v>5.0000000000000001E-3</c:v>
                </c:pt>
                <c:pt idx="19">
                  <c:v>5.0000000000000001E-3</c:v>
                </c:pt>
                <c:pt idx="20">
                  <c:v>0.01</c:v>
                </c:pt>
                <c:pt idx="21">
                  <c:v>0.02</c:v>
                </c:pt>
                <c:pt idx="22">
                  <c:v>2.5000000000000001E-2</c:v>
                </c:pt>
                <c:pt idx="23">
                  <c:v>0.03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5.0000000000000001E-3</c:v>
                </c:pt>
                <c:pt idx="36">
                  <c:v>1.4999999999999999E-2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F2A-478C-A238-41F40729A6AE}"/>
            </c:ext>
          </c:extLst>
        </c:ser>
        <c:ser>
          <c:idx val="7"/>
          <c:order val="7"/>
          <c:tx>
            <c:strRef>
              <c:f>KOSPI_TRD!$A$1010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KOSPI_TRD!$AD$1010:$BN$1010</c:f>
              <c:numCache>
                <c:formatCode>0%</c:formatCode>
                <c:ptCount val="37"/>
                <c:pt idx="0">
                  <c:v>5.5E-2</c:v>
                </c:pt>
                <c:pt idx="1">
                  <c:v>5.5E-2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0.06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0.06</c:v>
                </c:pt>
                <c:pt idx="18">
                  <c:v>0.06</c:v>
                </c:pt>
                <c:pt idx="19">
                  <c:v>6.5000000000000002E-2</c:v>
                </c:pt>
                <c:pt idx="20">
                  <c:v>6.5000000000000002E-2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6.5000000000000002E-2</c:v>
                </c:pt>
                <c:pt idx="24">
                  <c:v>6.5000000000000002E-2</c:v>
                </c:pt>
                <c:pt idx="25">
                  <c:v>5.5E-2</c:v>
                </c:pt>
                <c:pt idx="26">
                  <c:v>6.5000000000000002E-2</c:v>
                </c:pt>
                <c:pt idx="27">
                  <c:v>0.06</c:v>
                </c:pt>
                <c:pt idx="28">
                  <c:v>0.06</c:v>
                </c:pt>
                <c:pt idx="29">
                  <c:v>0.06</c:v>
                </c:pt>
                <c:pt idx="30">
                  <c:v>0.06</c:v>
                </c:pt>
                <c:pt idx="31">
                  <c:v>0.06</c:v>
                </c:pt>
                <c:pt idx="32">
                  <c:v>6.5000000000000002E-2</c:v>
                </c:pt>
                <c:pt idx="33">
                  <c:v>6.5000000000000002E-2</c:v>
                </c:pt>
                <c:pt idx="34">
                  <c:v>0.06</c:v>
                </c:pt>
                <c:pt idx="35">
                  <c:v>0.06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F2A-478C-A238-41F40729A6AE}"/>
            </c:ext>
          </c:extLst>
        </c:ser>
        <c:ser>
          <c:idx val="8"/>
          <c:order val="8"/>
          <c:tx>
            <c:strRef>
              <c:f>KOSPI_TRD!$A$1011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KOSPI_TRD!$AD$1011:$BN$1011</c:f>
              <c:numCache>
                <c:formatCode>0%</c:formatCode>
                <c:ptCount val="37"/>
                <c:pt idx="0">
                  <c:v>0.01</c:v>
                </c:pt>
                <c:pt idx="1">
                  <c:v>0.01</c:v>
                </c:pt>
                <c:pt idx="2">
                  <c:v>5.0000000000000001E-3</c:v>
                </c:pt>
                <c:pt idx="3">
                  <c:v>1.4999999999999999E-2</c:v>
                </c:pt>
                <c:pt idx="4">
                  <c:v>5.0000000000000001E-3</c:v>
                </c:pt>
                <c:pt idx="5">
                  <c:v>0.02</c:v>
                </c:pt>
                <c:pt idx="6">
                  <c:v>0.02</c:v>
                </c:pt>
                <c:pt idx="7">
                  <c:v>0.01</c:v>
                </c:pt>
                <c:pt idx="8">
                  <c:v>0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1.4999999999999999E-2</c:v>
                </c:pt>
                <c:pt idx="18">
                  <c:v>5.0000000000000001E-3</c:v>
                </c:pt>
                <c:pt idx="19">
                  <c:v>0.01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F2A-478C-A238-41F40729A6AE}"/>
            </c:ext>
          </c:extLst>
        </c:ser>
        <c:ser>
          <c:idx val="9"/>
          <c:order val="9"/>
          <c:tx>
            <c:strRef>
              <c:f>KOSPI_TRD!$A$1012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KOSPI_TRD!$AD$1012:$BN$1012</c:f>
              <c:numCache>
                <c:formatCode>0%</c:formatCode>
                <c:ptCount val="37"/>
                <c:pt idx="0">
                  <c:v>0.09</c:v>
                </c:pt>
                <c:pt idx="1">
                  <c:v>7.4999999999999997E-2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0.08</c:v>
                </c:pt>
                <c:pt idx="5">
                  <c:v>0.09</c:v>
                </c:pt>
                <c:pt idx="6">
                  <c:v>7.0000000000000007E-2</c:v>
                </c:pt>
                <c:pt idx="7">
                  <c:v>0.09</c:v>
                </c:pt>
                <c:pt idx="8">
                  <c:v>8.5000000000000006E-2</c:v>
                </c:pt>
                <c:pt idx="9">
                  <c:v>8.5000000000000006E-2</c:v>
                </c:pt>
                <c:pt idx="10">
                  <c:v>9.5000000000000001E-2</c:v>
                </c:pt>
                <c:pt idx="11">
                  <c:v>0.115</c:v>
                </c:pt>
                <c:pt idx="12">
                  <c:v>0.115</c:v>
                </c:pt>
                <c:pt idx="13">
                  <c:v>0.12</c:v>
                </c:pt>
                <c:pt idx="14">
                  <c:v>0.105</c:v>
                </c:pt>
                <c:pt idx="15">
                  <c:v>0.1</c:v>
                </c:pt>
                <c:pt idx="16">
                  <c:v>8.5000000000000006E-2</c:v>
                </c:pt>
                <c:pt idx="17">
                  <c:v>8.5000000000000006E-2</c:v>
                </c:pt>
                <c:pt idx="18">
                  <c:v>8.5000000000000006E-2</c:v>
                </c:pt>
                <c:pt idx="19">
                  <c:v>7.4999999999999997E-2</c:v>
                </c:pt>
                <c:pt idx="20">
                  <c:v>0.08</c:v>
                </c:pt>
                <c:pt idx="21">
                  <c:v>7.4999999999999997E-2</c:v>
                </c:pt>
                <c:pt idx="22">
                  <c:v>6.5000000000000002E-2</c:v>
                </c:pt>
                <c:pt idx="23">
                  <c:v>7.0000000000000007E-2</c:v>
                </c:pt>
                <c:pt idx="24">
                  <c:v>6.5000000000000002E-2</c:v>
                </c:pt>
                <c:pt idx="25">
                  <c:v>0.06</c:v>
                </c:pt>
                <c:pt idx="26">
                  <c:v>5.5E-2</c:v>
                </c:pt>
                <c:pt idx="27">
                  <c:v>0.06</c:v>
                </c:pt>
                <c:pt idx="28">
                  <c:v>5.5E-2</c:v>
                </c:pt>
                <c:pt idx="29">
                  <c:v>5.5E-2</c:v>
                </c:pt>
                <c:pt idx="30">
                  <c:v>4.4999999999999998E-2</c:v>
                </c:pt>
                <c:pt idx="31">
                  <c:v>4.4999999999999998E-2</c:v>
                </c:pt>
                <c:pt idx="32">
                  <c:v>0.04</c:v>
                </c:pt>
                <c:pt idx="33">
                  <c:v>4.4999999999999998E-2</c:v>
                </c:pt>
                <c:pt idx="34">
                  <c:v>0.06</c:v>
                </c:pt>
                <c:pt idx="35">
                  <c:v>5.5E-2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F2A-478C-A238-41F40729A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KOSPI_TRD!$A$1014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KOSPI_TRD!$AD$1014:$BN$1014</c:f>
              <c:numCache>
                <c:formatCode>0%</c:formatCode>
                <c:ptCount val="37"/>
                <c:pt idx="0">
                  <c:v>0.17</c:v>
                </c:pt>
                <c:pt idx="1">
                  <c:v>0.125</c:v>
                </c:pt>
                <c:pt idx="2">
                  <c:v>0.17</c:v>
                </c:pt>
                <c:pt idx="3">
                  <c:v>0.31</c:v>
                </c:pt>
                <c:pt idx="4">
                  <c:v>0.29499999999999998</c:v>
                </c:pt>
                <c:pt idx="5">
                  <c:v>0.19</c:v>
                </c:pt>
                <c:pt idx="6">
                  <c:v>0.16</c:v>
                </c:pt>
                <c:pt idx="7">
                  <c:v>0.155</c:v>
                </c:pt>
                <c:pt idx="8">
                  <c:v>0.14499999999999999</c:v>
                </c:pt>
                <c:pt idx="9">
                  <c:v>0.16</c:v>
                </c:pt>
                <c:pt idx="10">
                  <c:v>0.14499999999999999</c:v>
                </c:pt>
                <c:pt idx="11">
                  <c:v>0.13500000000000001</c:v>
                </c:pt>
                <c:pt idx="12">
                  <c:v>0.15</c:v>
                </c:pt>
                <c:pt idx="13">
                  <c:v>0.15</c:v>
                </c:pt>
                <c:pt idx="14">
                  <c:v>0.17499999999999999</c:v>
                </c:pt>
                <c:pt idx="15">
                  <c:v>0.19</c:v>
                </c:pt>
                <c:pt idx="16">
                  <c:v>0.155</c:v>
                </c:pt>
                <c:pt idx="17">
                  <c:v>0.17499999999999999</c:v>
                </c:pt>
                <c:pt idx="18">
                  <c:v>0.14499999999999999</c:v>
                </c:pt>
                <c:pt idx="19">
                  <c:v>0.16500000000000001</c:v>
                </c:pt>
                <c:pt idx="20">
                  <c:v>0.14499999999999999</c:v>
                </c:pt>
                <c:pt idx="21">
                  <c:v>0.16500000000000001</c:v>
                </c:pt>
                <c:pt idx="22">
                  <c:v>0.16</c:v>
                </c:pt>
                <c:pt idx="23">
                  <c:v>0.155</c:v>
                </c:pt>
                <c:pt idx="24">
                  <c:v>0.17</c:v>
                </c:pt>
                <c:pt idx="25">
                  <c:v>0.17499999999999999</c:v>
                </c:pt>
                <c:pt idx="26">
                  <c:v>0.14000000000000001</c:v>
                </c:pt>
                <c:pt idx="27">
                  <c:v>0.17499999999999999</c:v>
                </c:pt>
                <c:pt idx="28">
                  <c:v>0.19</c:v>
                </c:pt>
                <c:pt idx="29">
                  <c:v>0.19500000000000001</c:v>
                </c:pt>
                <c:pt idx="30">
                  <c:v>0.19500000000000001</c:v>
                </c:pt>
                <c:pt idx="31">
                  <c:v>0.19500000000000001</c:v>
                </c:pt>
                <c:pt idx="32">
                  <c:v>0.19500000000000001</c:v>
                </c:pt>
                <c:pt idx="33">
                  <c:v>0.17</c:v>
                </c:pt>
                <c:pt idx="34">
                  <c:v>0.17</c:v>
                </c:pt>
                <c:pt idx="35">
                  <c:v>0.17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0-49BB-AD5B-33054D42C711}"/>
            </c:ext>
          </c:extLst>
        </c:ser>
        <c:ser>
          <c:idx val="1"/>
          <c:order val="1"/>
          <c:tx>
            <c:strRef>
              <c:f>KOSPI_TRD!$A$1015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KOSPI_TRD!$AD$1015:$BN$1015</c:f>
              <c:numCache>
                <c:formatCode>0%</c:formatCode>
                <c:ptCount val="37"/>
                <c:pt idx="0">
                  <c:v>0.59499999999999997</c:v>
                </c:pt>
                <c:pt idx="1">
                  <c:v>0.58499999999999996</c:v>
                </c:pt>
                <c:pt idx="2">
                  <c:v>0.63500000000000001</c:v>
                </c:pt>
                <c:pt idx="3">
                  <c:v>0.62</c:v>
                </c:pt>
                <c:pt idx="4">
                  <c:v>0.63</c:v>
                </c:pt>
                <c:pt idx="5">
                  <c:v>0.62</c:v>
                </c:pt>
                <c:pt idx="6">
                  <c:v>0.6</c:v>
                </c:pt>
                <c:pt idx="7">
                  <c:v>0.63500000000000001</c:v>
                </c:pt>
                <c:pt idx="8">
                  <c:v>0.63</c:v>
                </c:pt>
                <c:pt idx="9">
                  <c:v>0.58499999999999996</c:v>
                </c:pt>
                <c:pt idx="10">
                  <c:v>0.59</c:v>
                </c:pt>
                <c:pt idx="11">
                  <c:v>0.55500000000000005</c:v>
                </c:pt>
                <c:pt idx="12">
                  <c:v>0.56499999999999995</c:v>
                </c:pt>
                <c:pt idx="13">
                  <c:v>0.48</c:v>
                </c:pt>
                <c:pt idx="14">
                  <c:v>0.48499999999999999</c:v>
                </c:pt>
                <c:pt idx="15">
                  <c:v>0.51500000000000001</c:v>
                </c:pt>
                <c:pt idx="16">
                  <c:v>0.47</c:v>
                </c:pt>
                <c:pt idx="17">
                  <c:v>0.46500000000000002</c:v>
                </c:pt>
                <c:pt idx="18">
                  <c:v>0.45500000000000002</c:v>
                </c:pt>
                <c:pt idx="19">
                  <c:v>0.46500000000000002</c:v>
                </c:pt>
                <c:pt idx="20">
                  <c:v>0.45</c:v>
                </c:pt>
                <c:pt idx="21">
                  <c:v>0.42</c:v>
                </c:pt>
                <c:pt idx="22">
                  <c:v>0.42499999999999999</c:v>
                </c:pt>
                <c:pt idx="23">
                  <c:v>0.42</c:v>
                </c:pt>
                <c:pt idx="24">
                  <c:v>0.42499999999999999</c:v>
                </c:pt>
                <c:pt idx="25">
                  <c:v>0.38500000000000001</c:v>
                </c:pt>
                <c:pt idx="26">
                  <c:v>0.375</c:v>
                </c:pt>
                <c:pt idx="27">
                  <c:v>0.38500000000000001</c:v>
                </c:pt>
                <c:pt idx="28">
                  <c:v>0.37</c:v>
                </c:pt>
                <c:pt idx="29">
                  <c:v>0.32500000000000001</c:v>
                </c:pt>
                <c:pt idx="30">
                  <c:v>0.36499999999999999</c:v>
                </c:pt>
                <c:pt idx="31">
                  <c:v>0.375</c:v>
                </c:pt>
                <c:pt idx="32">
                  <c:v>0.38</c:v>
                </c:pt>
                <c:pt idx="33">
                  <c:v>0.32</c:v>
                </c:pt>
                <c:pt idx="34">
                  <c:v>0.32</c:v>
                </c:pt>
                <c:pt idx="35">
                  <c:v>0.3</c:v>
                </c:pt>
                <c:pt idx="36">
                  <c:v>0.32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0-49BB-AD5B-33054D42C711}"/>
            </c:ext>
          </c:extLst>
        </c:ser>
        <c:ser>
          <c:idx val="2"/>
          <c:order val="2"/>
          <c:tx>
            <c:strRef>
              <c:f>KOSPI_TRD!$A$1016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KOSPI_TRD!$AD$1016:$BN$1016</c:f>
              <c:numCache>
                <c:formatCode>0%</c:formatCode>
                <c:ptCount val="37"/>
                <c:pt idx="0">
                  <c:v>0.23499999999999999</c:v>
                </c:pt>
                <c:pt idx="1">
                  <c:v>0.28999999999999998</c:v>
                </c:pt>
                <c:pt idx="2">
                  <c:v>0.19500000000000001</c:v>
                </c:pt>
                <c:pt idx="3">
                  <c:v>7.0000000000000007E-2</c:v>
                </c:pt>
                <c:pt idx="4">
                  <c:v>7.4999999999999997E-2</c:v>
                </c:pt>
                <c:pt idx="5">
                  <c:v>0.19</c:v>
                </c:pt>
                <c:pt idx="6">
                  <c:v>0.24</c:v>
                </c:pt>
                <c:pt idx="7">
                  <c:v>0.21</c:v>
                </c:pt>
                <c:pt idx="8">
                  <c:v>0.22500000000000001</c:v>
                </c:pt>
                <c:pt idx="9">
                  <c:v>0.255</c:v>
                </c:pt>
                <c:pt idx="10">
                  <c:v>0.26500000000000001</c:v>
                </c:pt>
                <c:pt idx="11">
                  <c:v>0.31</c:v>
                </c:pt>
                <c:pt idx="12">
                  <c:v>0.28499999999999998</c:v>
                </c:pt>
                <c:pt idx="13">
                  <c:v>0.37</c:v>
                </c:pt>
                <c:pt idx="14">
                  <c:v>0.34</c:v>
                </c:pt>
                <c:pt idx="15">
                  <c:v>0.29499999999999998</c:v>
                </c:pt>
                <c:pt idx="16">
                  <c:v>0.375</c:v>
                </c:pt>
                <c:pt idx="17">
                  <c:v>0.36</c:v>
                </c:pt>
                <c:pt idx="18">
                  <c:v>0.4</c:v>
                </c:pt>
                <c:pt idx="19">
                  <c:v>0.37</c:v>
                </c:pt>
                <c:pt idx="20">
                  <c:v>0.40500000000000003</c:v>
                </c:pt>
                <c:pt idx="21">
                  <c:v>0.41499999999999998</c:v>
                </c:pt>
                <c:pt idx="22">
                  <c:v>0.41499999999999998</c:v>
                </c:pt>
                <c:pt idx="23">
                  <c:v>0.42499999999999999</c:v>
                </c:pt>
                <c:pt idx="24">
                  <c:v>0.40500000000000003</c:v>
                </c:pt>
                <c:pt idx="25">
                  <c:v>0.44</c:v>
                </c:pt>
                <c:pt idx="26">
                  <c:v>0.48499999999999999</c:v>
                </c:pt>
                <c:pt idx="27">
                  <c:v>0.44</c:v>
                </c:pt>
                <c:pt idx="28">
                  <c:v>0.44</c:v>
                </c:pt>
                <c:pt idx="29">
                  <c:v>0.48</c:v>
                </c:pt>
                <c:pt idx="30">
                  <c:v>0.44</c:v>
                </c:pt>
                <c:pt idx="31">
                  <c:v>0.43</c:v>
                </c:pt>
                <c:pt idx="32">
                  <c:v>0.42499999999999999</c:v>
                </c:pt>
                <c:pt idx="33">
                  <c:v>0.51</c:v>
                </c:pt>
                <c:pt idx="34">
                  <c:v>0.51</c:v>
                </c:pt>
                <c:pt idx="35">
                  <c:v>0.53</c:v>
                </c:pt>
                <c:pt idx="36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0-49BB-AD5B-33054D42C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KOSPI_FWD!$A$1003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KOSPI_FWD!$AD$1003:$BN$1003</c:f>
              <c:numCache>
                <c:formatCode>0%</c:formatCode>
                <c:ptCount val="37"/>
                <c:pt idx="0">
                  <c:v>0.06</c:v>
                </c:pt>
                <c:pt idx="1">
                  <c:v>0.05</c:v>
                </c:pt>
                <c:pt idx="2">
                  <c:v>7.0000000000000007E-2</c:v>
                </c:pt>
                <c:pt idx="3">
                  <c:v>0.05</c:v>
                </c:pt>
                <c:pt idx="4">
                  <c:v>5.5E-2</c:v>
                </c:pt>
                <c:pt idx="5">
                  <c:v>5.5E-2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0.05</c:v>
                </c:pt>
                <c:pt idx="9">
                  <c:v>0.04</c:v>
                </c:pt>
                <c:pt idx="10">
                  <c:v>6.5000000000000002E-2</c:v>
                </c:pt>
                <c:pt idx="11">
                  <c:v>5.5E-2</c:v>
                </c:pt>
                <c:pt idx="12">
                  <c:v>4.4999999999999998E-2</c:v>
                </c:pt>
                <c:pt idx="13">
                  <c:v>0.05</c:v>
                </c:pt>
                <c:pt idx="14">
                  <c:v>7.4999999999999997E-2</c:v>
                </c:pt>
                <c:pt idx="15">
                  <c:v>6.5000000000000002E-2</c:v>
                </c:pt>
                <c:pt idx="16">
                  <c:v>3.5000000000000003E-2</c:v>
                </c:pt>
                <c:pt idx="17">
                  <c:v>5.5E-2</c:v>
                </c:pt>
                <c:pt idx="18">
                  <c:v>0.05</c:v>
                </c:pt>
                <c:pt idx="19">
                  <c:v>3.5000000000000003E-2</c:v>
                </c:pt>
                <c:pt idx="20">
                  <c:v>3.5000000000000003E-2</c:v>
                </c:pt>
                <c:pt idx="21">
                  <c:v>2.5000000000000001E-2</c:v>
                </c:pt>
                <c:pt idx="22">
                  <c:v>0.03</c:v>
                </c:pt>
                <c:pt idx="23">
                  <c:v>0.04</c:v>
                </c:pt>
                <c:pt idx="24">
                  <c:v>0.05</c:v>
                </c:pt>
                <c:pt idx="25">
                  <c:v>0.06</c:v>
                </c:pt>
                <c:pt idx="26">
                  <c:v>4.4999999999999998E-2</c:v>
                </c:pt>
                <c:pt idx="27">
                  <c:v>0.04</c:v>
                </c:pt>
                <c:pt idx="28">
                  <c:v>4.4999999999999998E-2</c:v>
                </c:pt>
                <c:pt idx="29">
                  <c:v>5.5E-2</c:v>
                </c:pt>
                <c:pt idx="30">
                  <c:v>6.5000000000000002E-2</c:v>
                </c:pt>
                <c:pt idx="31">
                  <c:v>6.5000000000000002E-2</c:v>
                </c:pt>
                <c:pt idx="32">
                  <c:v>0.04</c:v>
                </c:pt>
                <c:pt idx="33">
                  <c:v>0.05</c:v>
                </c:pt>
                <c:pt idx="34">
                  <c:v>0.04</c:v>
                </c:pt>
                <c:pt idx="35">
                  <c:v>4.4999999999999998E-2</c:v>
                </c:pt>
                <c:pt idx="36">
                  <c:v>3.5000000000000003E-2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51-4BDE-A4D7-8B7B452D7A01}"/>
            </c:ext>
          </c:extLst>
        </c:ser>
        <c:ser>
          <c:idx val="1"/>
          <c:order val="1"/>
          <c:tx>
            <c:strRef>
              <c:f>KOSPI_FWD!$A$1004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KOSPI_FWD!$AD$1004:$BN$1004</c:f>
              <c:numCache>
                <c:formatCode>0%</c:formatCode>
                <c:ptCount val="37"/>
                <c:pt idx="0">
                  <c:v>3.5000000000000003E-2</c:v>
                </c:pt>
                <c:pt idx="1">
                  <c:v>0.05</c:v>
                </c:pt>
                <c:pt idx="2">
                  <c:v>3.5000000000000003E-2</c:v>
                </c:pt>
                <c:pt idx="3">
                  <c:v>4.4999999999999998E-2</c:v>
                </c:pt>
                <c:pt idx="4">
                  <c:v>0.04</c:v>
                </c:pt>
                <c:pt idx="5">
                  <c:v>0.04</c:v>
                </c:pt>
                <c:pt idx="6">
                  <c:v>4.4999999999999998E-2</c:v>
                </c:pt>
                <c:pt idx="7">
                  <c:v>4.4999999999999998E-2</c:v>
                </c:pt>
                <c:pt idx="8">
                  <c:v>0.05</c:v>
                </c:pt>
                <c:pt idx="9">
                  <c:v>0.05</c:v>
                </c:pt>
                <c:pt idx="10">
                  <c:v>4.4999999999999998E-2</c:v>
                </c:pt>
                <c:pt idx="11">
                  <c:v>0.05</c:v>
                </c:pt>
                <c:pt idx="12">
                  <c:v>6.5000000000000002E-2</c:v>
                </c:pt>
                <c:pt idx="13">
                  <c:v>7.0000000000000007E-2</c:v>
                </c:pt>
                <c:pt idx="14">
                  <c:v>5.5E-2</c:v>
                </c:pt>
                <c:pt idx="15">
                  <c:v>7.0000000000000007E-2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0.03</c:v>
                </c:pt>
                <c:pt idx="20">
                  <c:v>3.5000000000000003E-2</c:v>
                </c:pt>
                <c:pt idx="21">
                  <c:v>0.03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1.4999999999999999E-2</c:v>
                </c:pt>
                <c:pt idx="25">
                  <c:v>0.01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0.01</c:v>
                </c:pt>
                <c:pt idx="29">
                  <c:v>0</c:v>
                </c:pt>
                <c:pt idx="30">
                  <c:v>0.01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51-4BDE-A4D7-8B7B452D7A01}"/>
            </c:ext>
          </c:extLst>
        </c:ser>
        <c:ser>
          <c:idx val="2"/>
          <c:order val="2"/>
          <c:tx>
            <c:strRef>
              <c:f>KOSPI_FWD!$A$1005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KOSPI_FWD!$AD$1005:$BN$1005</c:f>
              <c:numCache>
                <c:formatCode>0%</c:formatCode>
                <c:ptCount val="37"/>
                <c:pt idx="0">
                  <c:v>0.2</c:v>
                </c:pt>
                <c:pt idx="1">
                  <c:v>0.18</c:v>
                </c:pt>
                <c:pt idx="2">
                  <c:v>0.17</c:v>
                </c:pt>
                <c:pt idx="3">
                  <c:v>0.19</c:v>
                </c:pt>
                <c:pt idx="4">
                  <c:v>0.17</c:v>
                </c:pt>
                <c:pt idx="5">
                  <c:v>0.13500000000000001</c:v>
                </c:pt>
                <c:pt idx="6">
                  <c:v>0.16</c:v>
                </c:pt>
                <c:pt idx="7">
                  <c:v>0.14499999999999999</c:v>
                </c:pt>
                <c:pt idx="8">
                  <c:v>0.17499999999999999</c:v>
                </c:pt>
                <c:pt idx="9">
                  <c:v>0.155</c:v>
                </c:pt>
                <c:pt idx="10">
                  <c:v>0.15</c:v>
                </c:pt>
                <c:pt idx="11">
                  <c:v>0.155</c:v>
                </c:pt>
                <c:pt idx="12">
                  <c:v>0.13500000000000001</c:v>
                </c:pt>
                <c:pt idx="13">
                  <c:v>0.13</c:v>
                </c:pt>
                <c:pt idx="14">
                  <c:v>0.12</c:v>
                </c:pt>
                <c:pt idx="15">
                  <c:v>0.12</c:v>
                </c:pt>
                <c:pt idx="16">
                  <c:v>0.13</c:v>
                </c:pt>
                <c:pt idx="17">
                  <c:v>0.115</c:v>
                </c:pt>
                <c:pt idx="18">
                  <c:v>0.12</c:v>
                </c:pt>
                <c:pt idx="19">
                  <c:v>0.13</c:v>
                </c:pt>
                <c:pt idx="20">
                  <c:v>0.115</c:v>
                </c:pt>
                <c:pt idx="21">
                  <c:v>0.13500000000000001</c:v>
                </c:pt>
                <c:pt idx="22">
                  <c:v>0.125</c:v>
                </c:pt>
                <c:pt idx="23">
                  <c:v>0.13</c:v>
                </c:pt>
                <c:pt idx="24">
                  <c:v>0.16</c:v>
                </c:pt>
                <c:pt idx="25">
                  <c:v>0.155</c:v>
                </c:pt>
                <c:pt idx="26">
                  <c:v>0.14499999999999999</c:v>
                </c:pt>
                <c:pt idx="27">
                  <c:v>0.17499999999999999</c:v>
                </c:pt>
                <c:pt idx="28">
                  <c:v>0.16500000000000001</c:v>
                </c:pt>
                <c:pt idx="29">
                  <c:v>0.185</c:v>
                </c:pt>
                <c:pt idx="30">
                  <c:v>0.19</c:v>
                </c:pt>
                <c:pt idx="31">
                  <c:v>0.19500000000000001</c:v>
                </c:pt>
                <c:pt idx="32">
                  <c:v>0.185</c:v>
                </c:pt>
                <c:pt idx="33">
                  <c:v>0.19500000000000001</c:v>
                </c:pt>
                <c:pt idx="34">
                  <c:v>0.185</c:v>
                </c:pt>
                <c:pt idx="35">
                  <c:v>0.2</c:v>
                </c:pt>
                <c:pt idx="36">
                  <c:v>0.215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51-4BDE-A4D7-8B7B452D7A01}"/>
            </c:ext>
          </c:extLst>
        </c:ser>
        <c:ser>
          <c:idx val="3"/>
          <c:order val="3"/>
          <c:tx>
            <c:strRef>
              <c:f>KOSPI_FWD!$A$1006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KOSPI_FWD!$AD$1006:$BN$1006</c:f>
              <c:numCache>
                <c:formatCode>0%</c:formatCode>
                <c:ptCount val="37"/>
                <c:pt idx="0">
                  <c:v>0.14000000000000001</c:v>
                </c:pt>
                <c:pt idx="1">
                  <c:v>0.13500000000000001</c:v>
                </c:pt>
                <c:pt idx="2">
                  <c:v>0.155</c:v>
                </c:pt>
                <c:pt idx="3">
                  <c:v>0.16500000000000001</c:v>
                </c:pt>
                <c:pt idx="4">
                  <c:v>0.15</c:v>
                </c:pt>
                <c:pt idx="5">
                  <c:v>0.15</c:v>
                </c:pt>
                <c:pt idx="6">
                  <c:v>0.15</c:v>
                </c:pt>
                <c:pt idx="7">
                  <c:v>0.13500000000000001</c:v>
                </c:pt>
                <c:pt idx="8">
                  <c:v>0.155</c:v>
                </c:pt>
                <c:pt idx="9">
                  <c:v>0.155</c:v>
                </c:pt>
                <c:pt idx="10">
                  <c:v>0.16500000000000001</c:v>
                </c:pt>
                <c:pt idx="11">
                  <c:v>0.16500000000000001</c:v>
                </c:pt>
                <c:pt idx="12">
                  <c:v>0.155</c:v>
                </c:pt>
                <c:pt idx="13">
                  <c:v>0.15</c:v>
                </c:pt>
                <c:pt idx="14">
                  <c:v>0.15</c:v>
                </c:pt>
                <c:pt idx="15">
                  <c:v>0.16</c:v>
                </c:pt>
                <c:pt idx="16">
                  <c:v>0.15</c:v>
                </c:pt>
                <c:pt idx="17">
                  <c:v>0.17</c:v>
                </c:pt>
                <c:pt idx="18">
                  <c:v>0.16</c:v>
                </c:pt>
                <c:pt idx="19">
                  <c:v>0.17</c:v>
                </c:pt>
                <c:pt idx="20">
                  <c:v>0.18</c:v>
                </c:pt>
                <c:pt idx="21">
                  <c:v>0.16</c:v>
                </c:pt>
                <c:pt idx="22">
                  <c:v>0.17499999999999999</c:v>
                </c:pt>
                <c:pt idx="23">
                  <c:v>0.18</c:v>
                </c:pt>
                <c:pt idx="24">
                  <c:v>0.19</c:v>
                </c:pt>
                <c:pt idx="25">
                  <c:v>0.18</c:v>
                </c:pt>
                <c:pt idx="26">
                  <c:v>0.15</c:v>
                </c:pt>
                <c:pt idx="27">
                  <c:v>0.14000000000000001</c:v>
                </c:pt>
                <c:pt idx="28">
                  <c:v>0.16500000000000001</c:v>
                </c:pt>
                <c:pt idx="29">
                  <c:v>0.16500000000000001</c:v>
                </c:pt>
                <c:pt idx="30">
                  <c:v>0.17</c:v>
                </c:pt>
                <c:pt idx="31">
                  <c:v>0.17499999999999999</c:v>
                </c:pt>
                <c:pt idx="32">
                  <c:v>0.17499999999999999</c:v>
                </c:pt>
                <c:pt idx="33">
                  <c:v>0.185</c:v>
                </c:pt>
                <c:pt idx="34">
                  <c:v>0.19</c:v>
                </c:pt>
                <c:pt idx="35">
                  <c:v>0.17</c:v>
                </c:pt>
                <c:pt idx="36">
                  <c:v>0.16500000000000001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51-4BDE-A4D7-8B7B452D7A01}"/>
            </c:ext>
          </c:extLst>
        </c:ser>
        <c:ser>
          <c:idx val="4"/>
          <c:order val="4"/>
          <c:tx>
            <c:strRef>
              <c:f>KOSPI_FWD!$A$1007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KOSPI_FWD!$AD$1007:$BN$1007</c:f>
              <c:numCache>
                <c:formatCode>0%</c:formatCode>
                <c:ptCount val="37"/>
                <c:pt idx="0">
                  <c:v>0.215</c:v>
                </c:pt>
                <c:pt idx="1">
                  <c:v>0.25</c:v>
                </c:pt>
                <c:pt idx="2">
                  <c:v>0.23</c:v>
                </c:pt>
                <c:pt idx="3">
                  <c:v>0.19</c:v>
                </c:pt>
                <c:pt idx="4">
                  <c:v>0.23</c:v>
                </c:pt>
                <c:pt idx="5">
                  <c:v>0.23</c:v>
                </c:pt>
                <c:pt idx="6">
                  <c:v>0.23499999999999999</c:v>
                </c:pt>
                <c:pt idx="7">
                  <c:v>0.25</c:v>
                </c:pt>
                <c:pt idx="8">
                  <c:v>0.21</c:v>
                </c:pt>
                <c:pt idx="9">
                  <c:v>0.23</c:v>
                </c:pt>
                <c:pt idx="10">
                  <c:v>0.22500000000000001</c:v>
                </c:pt>
                <c:pt idx="11">
                  <c:v>0.215</c:v>
                </c:pt>
                <c:pt idx="12">
                  <c:v>0.22</c:v>
                </c:pt>
                <c:pt idx="13">
                  <c:v>0.21</c:v>
                </c:pt>
                <c:pt idx="14">
                  <c:v>0.215</c:v>
                </c:pt>
                <c:pt idx="15">
                  <c:v>0.20499999999999999</c:v>
                </c:pt>
                <c:pt idx="16">
                  <c:v>0.2</c:v>
                </c:pt>
                <c:pt idx="17">
                  <c:v>0.19</c:v>
                </c:pt>
                <c:pt idx="18">
                  <c:v>0.22</c:v>
                </c:pt>
                <c:pt idx="19">
                  <c:v>0.24</c:v>
                </c:pt>
                <c:pt idx="20">
                  <c:v>0.22500000000000001</c:v>
                </c:pt>
                <c:pt idx="21">
                  <c:v>0.23</c:v>
                </c:pt>
                <c:pt idx="22">
                  <c:v>0.23499999999999999</c:v>
                </c:pt>
                <c:pt idx="23">
                  <c:v>0.20499999999999999</c:v>
                </c:pt>
                <c:pt idx="24">
                  <c:v>0.19500000000000001</c:v>
                </c:pt>
                <c:pt idx="25">
                  <c:v>0.21</c:v>
                </c:pt>
                <c:pt idx="26">
                  <c:v>0.245</c:v>
                </c:pt>
                <c:pt idx="27">
                  <c:v>0.25</c:v>
                </c:pt>
                <c:pt idx="28">
                  <c:v>0.23499999999999999</c:v>
                </c:pt>
                <c:pt idx="29">
                  <c:v>0.22500000000000001</c:v>
                </c:pt>
                <c:pt idx="30">
                  <c:v>0.2</c:v>
                </c:pt>
                <c:pt idx="31">
                  <c:v>0.21</c:v>
                </c:pt>
                <c:pt idx="32">
                  <c:v>0.255</c:v>
                </c:pt>
                <c:pt idx="33">
                  <c:v>0.22500000000000001</c:v>
                </c:pt>
                <c:pt idx="34">
                  <c:v>0.22500000000000001</c:v>
                </c:pt>
                <c:pt idx="35">
                  <c:v>0.23499999999999999</c:v>
                </c:pt>
                <c:pt idx="36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51-4BDE-A4D7-8B7B452D7A01}"/>
            </c:ext>
          </c:extLst>
        </c:ser>
        <c:ser>
          <c:idx val="5"/>
          <c:order val="5"/>
          <c:tx>
            <c:strRef>
              <c:f>KOSPI_FWD!$A$1008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KOSPI_FWD!$AD$1008:$BN$1008</c:f>
              <c:numCache>
                <c:formatCode>0%</c:formatCode>
                <c:ptCount val="37"/>
                <c:pt idx="0">
                  <c:v>0.19</c:v>
                </c:pt>
                <c:pt idx="1">
                  <c:v>0.19</c:v>
                </c:pt>
                <c:pt idx="2">
                  <c:v>0.19500000000000001</c:v>
                </c:pt>
                <c:pt idx="3">
                  <c:v>0.19500000000000001</c:v>
                </c:pt>
                <c:pt idx="4">
                  <c:v>0.2</c:v>
                </c:pt>
                <c:pt idx="5">
                  <c:v>0.215</c:v>
                </c:pt>
                <c:pt idx="6">
                  <c:v>0.21</c:v>
                </c:pt>
                <c:pt idx="7">
                  <c:v>0.20499999999999999</c:v>
                </c:pt>
                <c:pt idx="8">
                  <c:v>0.2</c:v>
                </c:pt>
                <c:pt idx="9">
                  <c:v>0.20499999999999999</c:v>
                </c:pt>
                <c:pt idx="10">
                  <c:v>0.18</c:v>
                </c:pt>
                <c:pt idx="11">
                  <c:v>0.17</c:v>
                </c:pt>
                <c:pt idx="12">
                  <c:v>0.185</c:v>
                </c:pt>
                <c:pt idx="13">
                  <c:v>0.18</c:v>
                </c:pt>
                <c:pt idx="14">
                  <c:v>0.19</c:v>
                </c:pt>
                <c:pt idx="15">
                  <c:v>0.185</c:v>
                </c:pt>
                <c:pt idx="16">
                  <c:v>0.23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0.24</c:v>
                </c:pt>
                <c:pt idx="20">
                  <c:v>0.25</c:v>
                </c:pt>
                <c:pt idx="21">
                  <c:v>0.25</c:v>
                </c:pt>
                <c:pt idx="22">
                  <c:v>0.245</c:v>
                </c:pt>
                <c:pt idx="23">
                  <c:v>0.25</c:v>
                </c:pt>
                <c:pt idx="24">
                  <c:v>0.23</c:v>
                </c:pt>
                <c:pt idx="25">
                  <c:v>0.24</c:v>
                </c:pt>
                <c:pt idx="26">
                  <c:v>0.25</c:v>
                </c:pt>
                <c:pt idx="27">
                  <c:v>0.23499999999999999</c:v>
                </c:pt>
                <c:pt idx="28">
                  <c:v>0.24</c:v>
                </c:pt>
                <c:pt idx="29">
                  <c:v>0.23</c:v>
                </c:pt>
                <c:pt idx="30">
                  <c:v>0.24</c:v>
                </c:pt>
                <c:pt idx="31">
                  <c:v>0.23</c:v>
                </c:pt>
                <c:pt idx="32">
                  <c:v>0.22500000000000001</c:v>
                </c:pt>
                <c:pt idx="33">
                  <c:v>0.22</c:v>
                </c:pt>
                <c:pt idx="34">
                  <c:v>0.22500000000000001</c:v>
                </c:pt>
                <c:pt idx="35">
                  <c:v>0.22500000000000001</c:v>
                </c:pt>
                <c:pt idx="36">
                  <c:v>0.21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351-4BDE-A4D7-8B7B452D7A01}"/>
            </c:ext>
          </c:extLst>
        </c:ser>
        <c:ser>
          <c:idx val="6"/>
          <c:order val="6"/>
          <c:tx>
            <c:strRef>
              <c:f>KOSPI_FWD!$A$1009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KOSPI_FWD!$AD$1009:$BN$1009</c:f>
              <c:numCache>
                <c:formatCode>0%</c:formatCode>
                <c:ptCount val="37"/>
                <c:pt idx="0">
                  <c:v>5.0000000000000001E-3</c:v>
                </c:pt>
                <c:pt idx="1">
                  <c:v>5.0000000000000001E-3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0.02</c:v>
                </c:pt>
                <c:pt idx="8">
                  <c:v>1.4999999999999999E-2</c:v>
                </c:pt>
                <c:pt idx="9">
                  <c:v>0.02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0.02</c:v>
                </c:pt>
                <c:pt idx="14">
                  <c:v>1.4999999999999999E-2</c:v>
                </c:pt>
                <c:pt idx="15">
                  <c:v>2.5000000000000001E-2</c:v>
                </c:pt>
                <c:pt idx="16">
                  <c:v>1.4999999999999999E-2</c:v>
                </c:pt>
                <c:pt idx="17">
                  <c:v>2.5000000000000001E-2</c:v>
                </c:pt>
                <c:pt idx="18">
                  <c:v>5.0000000000000001E-3</c:v>
                </c:pt>
                <c:pt idx="19">
                  <c:v>5.0000000000000001E-3</c:v>
                </c:pt>
                <c:pt idx="20">
                  <c:v>0.01</c:v>
                </c:pt>
                <c:pt idx="21">
                  <c:v>0.02</c:v>
                </c:pt>
                <c:pt idx="22">
                  <c:v>2.5000000000000001E-2</c:v>
                </c:pt>
                <c:pt idx="23">
                  <c:v>0.03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5.0000000000000001E-3</c:v>
                </c:pt>
                <c:pt idx="36">
                  <c:v>1.4999999999999999E-2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351-4BDE-A4D7-8B7B452D7A01}"/>
            </c:ext>
          </c:extLst>
        </c:ser>
        <c:ser>
          <c:idx val="7"/>
          <c:order val="7"/>
          <c:tx>
            <c:strRef>
              <c:f>KOSPI_FWD!$A$1010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KOSPI_FWD!$AD$1010:$BN$1010</c:f>
              <c:numCache>
                <c:formatCode>0%</c:formatCode>
                <c:ptCount val="37"/>
                <c:pt idx="0">
                  <c:v>5.5E-2</c:v>
                </c:pt>
                <c:pt idx="1">
                  <c:v>5.5E-2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0.06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0.06</c:v>
                </c:pt>
                <c:pt idx="18">
                  <c:v>0.06</c:v>
                </c:pt>
                <c:pt idx="19">
                  <c:v>6.5000000000000002E-2</c:v>
                </c:pt>
                <c:pt idx="20">
                  <c:v>6.5000000000000002E-2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6.5000000000000002E-2</c:v>
                </c:pt>
                <c:pt idx="24">
                  <c:v>6.5000000000000002E-2</c:v>
                </c:pt>
                <c:pt idx="25">
                  <c:v>5.5E-2</c:v>
                </c:pt>
                <c:pt idx="26">
                  <c:v>6.5000000000000002E-2</c:v>
                </c:pt>
                <c:pt idx="27">
                  <c:v>0.06</c:v>
                </c:pt>
                <c:pt idx="28">
                  <c:v>0.06</c:v>
                </c:pt>
                <c:pt idx="29">
                  <c:v>0.06</c:v>
                </c:pt>
                <c:pt idx="30">
                  <c:v>0.06</c:v>
                </c:pt>
                <c:pt idx="31">
                  <c:v>0.06</c:v>
                </c:pt>
                <c:pt idx="32">
                  <c:v>6.5000000000000002E-2</c:v>
                </c:pt>
                <c:pt idx="33">
                  <c:v>6.5000000000000002E-2</c:v>
                </c:pt>
                <c:pt idx="34">
                  <c:v>0.06</c:v>
                </c:pt>
                <c:pt idx="35">
                  <c:v>0.06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351-4BDE-A4D7-8B7B452D7A01}"/>
            </c:ext>
          </c:extLst>
        </c:ser>
        <c:ser>
          <c:idx val="8"/>
          <c:order val="8"/>
          <c:tx>
            <c:strRef>
              <c:f>KOSPI_FWD!$A$1011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KOSPI_FWD!$AD$1011:$BN$1011</c:f>
              <c:numCache>
                <c:formatCode>0%</c:formatCode>
                <c:ptCount val="37"/>
                <c:pt idx="0">
                  <c:v>0.01</c:v>
                </c:pt>
                <c:pt idx="1">
                  <c:v>0.01</c:v>
                </c:pt>
                <c:pt idx="2">
                  <c:v>5.0000000000000001E-3</c:v>
                </c:pt>
                <c:pt idx="3">
                  <c:v>1.4999999999999999E-2</c:v>
                </c:pt>
                <c:pt idx="4">
                  <c:v>5.0000000000000001E-3</c:v>
                </c:pt>
                <c:pt idx="5">
                  <c:v>0.02</c:v>
                </c:pt>
                <c:pt idx="6">
                  <c:v>0.02</c:v>
                </c:pt>
                <c:pt idx="7">
                  <c:v>0.01</c:v>
                </c:pt>
                <c:pt idx="8">
                  <c:v>0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1.4999999999999999E-2</c:v>
                </c:pt>
                <c:pt idx="18">
                  <c:v>5.0000000000000001E-3</c:v>
                </c:pt>
                <c:pt idx="19">
                  <c:v>0.01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351-4BDE-A4D7-8B7B452D7A01}"/>
            </c:ext>
          </c:extLst>
        </c:ser>
        <c:ser>
          <c:idx val="9"/>
          <c:order val="9"/>
          <c:tx>
            <c:strRef>
              <c:f>KOSPI_FWD!$A$1012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KOSPI_FWD!$AD$1012:$BN$1012</c:f>
              <c:numCache>
                <c:formatCode>0%</c:formatCode>
                <c:ptCount val="37"/>
                <c:pt idx="0">
                  <c:v>0.09</c:v>
                </c:pt>
                <c:pt idx="1">
                  <c:v>7.4999999999999997E-2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0.08</c:v>
                </c:pt>
                <c:pt idx="5">
                  <c:v>8.5000000000000006E-2</c:v>
                </c:pt>
                <c:pt idx="6">
                  <c:v>7.0000000000000007E-2</c:v>
                </c:pt>
                <c:pt idx="7">
                  <c:v>0.09</c:v>
                </c:pt>
                <c:pt idx="8">
                  <c:v>8.5000000000000006E-2</c:v>
                </c:pt>
                <c:pt idx="9">
                  <c:v>8.5000000000000006E-2</c:v>
                </c:pt>
                <c:pt idx="10">
                  <c:v>9.5000000000000001E-2</c:v>
                </c:pt>
                <c:pt idx="11">
                  <c:v>0.115</c:v>
                </c:pt>
                <c:pt idx="12">
                  <c:v>0.115</c:v>
                </c:pt>
                <c:pt idx="13">
                  <c:v>0.12</c:v>
                </c:pt>
                <c:pt idx="14">
                  <c:v>0.105</c:v>
                </c:pt>
                <c:pt idx="15">
                  <c:v>0.1</c:v>
                </c:pt>
                <c:pt idx="16">
                  <c:v>8.5000000000000006E-2</c:v>
                </c:pt>
                <c:pt idx="17">
                  <c:v>8.5000000000000006E-2</c:v>
                </c:pt>
                <c:pt idx="18">
                  <c:v>8.5000000000000006E-2</c:v>
                </c:pt>
                <c:pt idx="19">
                  <c:v>7.4999999999999997E-2</c:v>
                </c:pt>
                <c:pt idx="20">
                  <c:v>0.08</c:v>
                </c:pt>
                <c:pt idx="21">
                  <c:v>7.4999999999999997E-2</c:v>
                </c:pt>
                <c:pt idx="22">
                  <c:v>6.5000000000000002E-2</c:v>
                </c:pt>
                <c:pt idx="23">
                  <c:v>7.0000000000000007E-2</c:v>
                </c:pt>
                <c:pt idx="24">
                  <c:v>6.5000000000000002E-2</c:v>
                </c:pt>
                <c:pt idx="25">
                  <c:v>0.06</c:v>
                </c:pt>
                <c:pt idx="26">
                  <c:v>5.5E-2</c:v>
                </c:pt>
                <c:pt idx="27">
                  <c:v>0.06</c:v>
                </c:pt>
                <c:pt idx="28">
                  <c:v>5.5E-2</c:v>
                </c:pt>
                <c:pt idx="29">
                  <c:v>5.5E-2</c:v>
                </c:pt>
                <c:pt idx="30">
                  <c:v>4.4999999999999998E-2</c:v>
                </c:pt>
                <c:pt idx="31">
                  <c:v>4.4999999999999998E-2</c:v>
                </c:pt>
                <c:pt idx="32">
                  <c:v>0.04</c:v>
                </c:pt>
                <c:pt idx="33">
                  <c:v>4.4999999999999998E-2</c:v>
                </c:pt>
                <c:pt idx="34">
                  <c:v>0.06</c:v>
                </c:pt>
                <c:pt idx="35">
                  <c:v>5.5E-2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351-4BDE-A4D7-8B7B452D7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KOSPI_FWD!$A$1014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KOSPI_FWD!$AD$1014:$BN$1014</c:f>
              <c:numCache>
                <c:formatCode>0%</c:formatCode>
                <c:ptCount val="37"/>
                <c:pt idx="0">
                  <c:v>0.17</c:v>
                </c:pt>
                <c:pt idx="1">
                  <c:v>0.125</c:v>
                </c:pt>
                <c:pt idx="2">
                  <c:v>0.17</c:v>
                </c:pt>
                <c:pt idx="3">
                  <c:v>0.315</c:v>
                </c:pt>
                <c:pt idx="4">
                  <c:v>0.29499999999999998</c:v>
                </c:pt>
                <c:pt idx="5">
                  <c:v>0.19</c:v>
                </c:pt>
                <c:pt idx="6">
                  <c:v>0.16</c:v>
                </c:pt>
                <c:pt idx="7">
                  <c:v>0.155</c:v>
                </c:pt>
                <c:pt idx="8">
                  <c:v>0.14499999999999999</c:v>
                </c:pt>
                <c:pt idx="9">
                  <c:v>0.16</c:v>
                </c:pt>
                <c:pt idx="10">
                  <c:v>0.14499999999999999</c:v>
                </c:pt>
                <c:pt idx="11">
                  <c:v>0.13500000000000001</c:v>
                </c:pt>
                <c:pt idx="12">
                  <c:v>0.14499999999999999</c:v>
                </c:pt>
                <c:pt idx="13">
                  <c:v>0.15</c:v>
                </c:pt>
                <c:pt idx="14">
                  <c:v>0.18</c:v>
                </c:pt>
                <c:pt idx="15">
                  <c:v>0.19500000000000001</c:v>
                </c:pt>
                <c:pt idx="16">
                  <c:v>0.16</c:v>
                </c:pt>
                <c:pt idx="17">
                  <c:v>0.17499999999999999</c:v>
                </c:pt>
                <c:pt idx="18">
                  <c:v>0.14499999999999999</c:v>
                </c:pt>
                <c:pt idx="19">
                  <c:v>0.16500000000000001</c:v>
                </c:pt>
                <c:pt idx="20">
                  <c:v>0.14499999999999999</c:v>
                </c:pt>
                <c:pt idx="21">
                  <c:v>0.16500000000000001</c:v>
                </c:pt>
                <c:pt idx="22">
                  <c:v>0.16</c:v>
                </c:pt>
                <c:pt idx="23">
                  <c:v>0.15</c:v>
                </c:pt>
                <c:pt idx="24">
                  <c:v>0.17</c:v>
                </c:pt>
                <c:pt idx="25">
                  <c:v>0.17</c:v>
                </c:pt>
                <c:pt idx="26">
                  <c:v>0.14000000000000001</c:v>
                </c:pt>
                <c:pt idx="27">
                  <c:v>0.17499999999999999</c:v>
                </c:pt>
                <c:pt idx="28">
                  <c:v>0.19</c:v>
                </c:pt>
                <c:pt idx="29">
                  <c:v>0.19500000000000001</c:v>
                </c:pt>
                <c:pt idx="30">
                  <c:v>0.19500000000000001</c:v>
                </c:pt>
                <c:pt idx="31">
                  <c:v>0.19500000000000001</c:v>
                </c:pt>
                <c:pt idx="32">
                  <c:v>0.19500000000000001</c:v>
                </c:pt>
                <c:pt idx="33">
                  <c:v>0.17</c:v>
                </c:pt>
                <c:pt idx="34">
                  <c:v>0.17</c:v>
                </c:pt>
                <c:pt idx="35">
                  <c:v>0.17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C2-4CE3-9857-D782B1CE45B9}"/>
            </c:ext>
          </c:extLst>
        </c:ser>
        <c:ser>
          <c:idx val="1"/>
          <c:order val="1"/>
          <c:tx>
            <c:strRef>
              <c:f>KOSPI_FWD!$A$1015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KOSPI_FWD!$AD$1015:$BN$1015</c:f>
              <c:numCache>
                <c:formatCode>0%</c:formatCode>
                <c:ptCount val="37"/>
                <c:pt idx="0">
                  <c:v>0.59499999999999997</c:v>
                </c:pt>
                <c:pt idx="1">
                  <c:v>0.58499999999999996</c:v>
                </c:pt>
                <c:pt idx="2">
                  <c:v>0.63500000000000001</c:v>
                </c:pt>
                <c:pt idx="3">
                  <c:v>0.61499999999999999</c:v>
                </c:pt>
                <c:pt idx="4">
                  <c:v>0.63</c:v>
                </c:pt>
                <c:pt idx="5">
                  <c:v>0.62</c:v>
                </c:pt>
                <c:pt idx="6">
                  <c:v>0.6</c:v>
                </c:pt>
                <c:pt idx="7">
                  <c:v>0.63500000000000001</c:v>
                </c:pt>
                <c:pt idx="8">
                  <c:v>0.63</c:v>
                </c:pt>
                <c:pt idx="9">
                  <c:v>0.58499999999999996</c:v>
                </c:pt>
                <c:pt idx="10">
                  <c:v>0.59</c:v>
                </c:pt>
                <c:pt idx="11">
                  <c:v>0.55500000000000005</c:v>
                </c:pt>
                <c:pt idx="12">
                  <c:v>0.56499999999999995</c:v>
                </c:pt>
                <c:pt idx="13">
                  <c:v>0.48</c:v>
                </c:pt>
                <c:pt idx="14">
                  <c:v>0.48499999999999999</c:v>
                </c:pt>
                <c:pt idx="15">
                  <c:v>0.51500000000000001</c:v>
                </c:pt>
                <c:pt idx="16">
                  <c:v>0.46500000000000002</c:v>
                </c:pt>
                <c:pt idx="17">
                  <c:v>0.46500000000000002</c:v>
                </c:pt>
                <c:pt idx="18">
                  <c:v>0.45500000000000002</c:v>
                </c:pt>
                <c:pt idx="19">
                  <c:v>0.46500000000000002</c:v>
                </c:pt>
                <c:pt idx="20">
                  <c:v>0.45</c:v>
                </c:pt>
                <c:pt idx="21">
                  <c:v>0.42</c:v>
                </c:pt>
                <c:pt idx="22">
                  <c:v>0.42499999999999999</c:v>
                </c:pt>
                <c:pt idx="23">
                  <c:v>0.42499999999999999</c:v>
                </c:pt>
                <c:pt idx="24">
                  <c:v>0.42499999999999999</c:v>
                </c:pt>
                <c:pt idx="25">
                  <c:v>0.39</c:v>
                </c:pt>
                <c:pt idx="26">
                  <c:v>0.375</c:v>
                </c:pt>
                <c:pt idx="27">
                  <c:v>0.38500000000000001</c:v>
                </c:pt>
                <c:pt idx="28">
                  <c:v>0.37</c:v>
                </c:pt>
                <c:pt idx="29">
                  <c:v>0.32500000000000001</c:v>
                </c:pt>
                <c:pt idx="30">
                  <c:v>0.36499999999999999</c:v>
                </c:pt>
                <c:pt idx="31">
                  <c:v>0.375</c:v>
                </c:pt>
                <c:pt idx="32">
                  <c:v>0.38</c:v>
                </c:pt>
                <c:pt idx="33">
                  <c:v>0.32</c:v>
                </c:pt>
                <c:pt idx="34">
                  <c:v>0.32</c:v>
                </c:pt>
                <c:pt idx="35">
                  <c:v>0.29499999999999998</c:v>
                </c:pt>
                <c:pt idx="36">
                  <c:v>0.32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C2-4CE3-9857-D782B1CE45B9}"/>
            </c:ext>
          </c:extLst>
        </c:ser>
        <c:ser>
          <c:idx val="2"/>
          <c:order val="2"/>
          <c:tx>
            <c:strRef>
              <c:f>KOSPI_FWD!$A$1016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KOSPI_FWD!$AD$1016:$BN$1016</c:f>
              <c:numCache>
                <c:formatCode>0%</c:formatCode>
                <c:ptCount val="37"/>
                <c:pt idx="0">
                  <c:v>0.23499999999999999</c:v>
                </c:pt>
                <c:pt idx="1">
                  <c:v>0.28999999999999998</c:v>
                </c:pt>
                <c:pt idx="2">
                  <c:v>0.19500000000000001</c:v>
                </c:pt>
                <c:pt idx="3">
                  <c:v>7.0000000000000007E-2</c:v>
                </c:pt>
                <c:pt idx="4">
                  <c:v>7.4999999999999997E-2</c:v>
                </c:pt>
                <c:pt idx="5">
                  <c:v>0.19</c:v>
                </c:pt>
                <c:pt idx="6">
                  <c:v>0.24</c:v>
                </c:pt>
                <c:pt idx="7">
                  <c:v>0.21</c:v>
                </c:pt>
                <c:pt idx="8">
                  <c:v>0.22500000000000001</c:v>
                </c:pt>
                <c:pt idx="9">
                  <c:v>0.255</c:v>
                </c:pt>
                <c:pt idx="10">
                  <c:v>0.26500000000000001</c:v>
                </c:pt>
                <c:pt idx="11">
                  <c:v>0.31</c:v>
                </c:pt>
                <c:pt idx="12">
                  <c:v>0.28999999999999998</c:v>
                </c:pt>
                <c:pt idx="13">
                  <c:v>0.37</c:v>
                </c:pt>
                <c:pt idx="14">
                  <c:v>0.33500000000000002</c:v>
                </c:pt>
                <c:pt idx="15">
                  <c:v>0.28999999999999998</c:v>
                </c:pt>
                <c:pt idx="16">
                  <c:v>0.375</c:v>
                </c:pt>
                <c:pt idx="17">
                  <c:v>0.36</c:v>
                </c:pt>
                <c:pt idx="18">
                  <c:v>0.4</c:v>
                </c:pt>
                <c:pt idx="19">
                  <c:v>0.37</c:v>
                </c:pt>
                <c:pt idx="20">
                  <c:v>0.40500000000000003</c:v>
                </c:pt>
                <c:pt idx="21">
                  <c:v>0.41499999999999998</c:v>
                </c:pt>
                <c:pt idx="22">
                  <c:v>0.41499999999999998</c:v>
                </c:pt>
                <c:pt idx="23">
                  <c:v>0.42499999999999999</c:v>
                </c:pt>
                <c:pt idx="24">
                  <c:v>0.40500000000000003</c:v>
                </c:pt>
                <c:pt idx="25">
                  <c:v>0.44</c:v>
                </c:pt>
                <c:pt idx="26">
                  <c:v>0.48499999999999999</c:v>
                </c:pt>
                <c:pt idx="27">
                  <c:v>0.44</c:v>
                </c:pt>
                <c:pt idx="28">
                  <c:v>0.44</c:v>
                </c:pt>
                <c:pt idx="29">
                  <c:v>0.48</c:v>
                </c:pt>
                <c:pt idx="30">
                  <c:v>0.44</c:v>
                </c:pt>
                <c:pt idx="31">
                  <c:v>0.43</c:v>
                </c:pt>
                <c:pt idx="32">
                  <c:v>0.42499999999999999</c:v>
                </c:pt>
                <c:pt idx="33">
                  <c:v>0.51</c:v>
                </c:pt>
                <c:pt idx="34">
                  <c:v>0.51</c:v>
                </c:pt>
                <c:pt idx="35">
                  <c:v>0.53500000000000003</c:v>
                </c:pt>
                <c:pt idx="36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C2-4CE3-9857-D782B1CE4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'KOSPI+KOSDAQ_TRD'!$A$1003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'KOSPI+KOSDAQ_TRD'!$AD$1003:$BN$1003</c:f>
              <c:numCache>
                <c:formatCode>0%</c:formatCode>
                <c:ptCount val="37"/>
                <c:pt idx="0">
                  <c:v>0.11</c:v>
                </c:pt>
                <c:pt idx="1">
                  <c:v>0.09</c:v>
                </c:pt>
                <c:pt idx="2">
                  <c:v>0.105</c:v>
                </c:pt>
                <c:pt idx="3">
                  <c:v>0.09</c:v>
                </c:pt>
                <c:pt idx="4">
                  <c:v>7.0000000000000007E-2</c:v>
                </c:pt>
                <c:pt idx="5">
                  <c:v>7.4999999999999997E-2</c:v>
                </c:pt>
                <c:pt idx="6">
                  <c:v>7.4999999999999997E-2</c:v>
                </c:pt>
                <c:pt idx="7">
                  <c:v>0.08</c:v>
                </c:pt>
                <c:pt idx="8">
                  <c:v>7.0000000000000007E-2</c:v>
                </c:pt>
                <c:pt idx="9">
                  <c:v>6.5000000000000002E-2</c:v>
                </c:pt>
                <c:pt idx="10">
                  <c:v>7.0000000000000007E-2</c:v>
                </c:pt>
                <c:pt idx="11">
                  <c:v>0.08</c:v>
                </c:pt>
                <c:pt idx="12">
                  <c:v>7.0000000000000007E-2</c:v>
                </c:pt>
                <c:pt idx="13">
                  <c:v>0.1</c:v>
                </c:pt>
                <c:pt idx="14">
                  <c:v>0.09</c:v>
                </c:pt>
                <c:pt idx="15">
                  <c:v>0.09</c:v>
                </c:pt>
                <c:pt idx="16">
                  <c:v>0.08</c:v>
                </c:pt>
                <c:pt idx="17">
                  <c:v>7.4999999999999997E-2</c:v>
                </c:pt>
                <c:pt idx="18">
                  <c:v>6.5000000000000002E-2</c:v>
                </c:pt>
                <c:pt idx="19">
                  <c:v>6.5000000000000002E-2</c:v>
                </c:pt>
                <c:pt idx="20">
                  <c:v>0.06</c:v>
                </c:pt>
                <c:pt idx="21">
                  <c:v>5.5E-2</c:v>
                </c:pt>
                <c:pt idx="22">
                  <c:v>5.5E-2</c:v>
                </c:pt>
                <c:pt idx="23">
                  <c:v>7.0000000000000007E-2</c:v>
                </c:pt>
                <c:pt idx="24">
                  <c:v>7.0000000000000007E-2</c:v>
                </c:pt>
                <c:pt idx="25">
                  <c:v>0.11</c:v>
                </c:pt>
                <c:pt idx="26">
                  <c:v>0.1</c:v>
                </c:pt>
                <c:pt idx="27">
                  <c:v>0.08</c:v>
                </c:pt>
                <c:pt idx="28">
                  <c:v>4.4999999999999998E-2</c:v>
                </c:pt>
                <c:pt idx="29">
                  <c:v>9.5000000000000001E-2</c:v>
                </c:pt>
                <c:pt idx="30">
                  <c:v>0.1</c:v>
                </c:pt>
                <c:pt idx="31">
                  <c:v>0.09</c:v>
                </c:pt>
                <c:pt idx="32">
                  <c:v>7.0000000000000007E-2</c:v>
                </c:pt>
                <c:pt idx="33">
                  <c:v>0.08</c:v>
                </c:pt>
                <c:pt idx="34">
                  <c:v>7.0000000000000007E-2</c:v>
                </c:pt>
                <c:pt idx="35">
                  <c:v>8.5000000000000006E-2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14-4040-ADEB-69ADC140E5C2}"/>
            </c:ext>
          </c:extLst>
        </c:ser>
        <c:ser>
          <c:idx val="1"/>
          <c:order val="1"/>
          <c:tx>
            <c:strRef>
              <c:f>'KOSPI+KOSDAQ_TRD'!$A$1004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'KOSPI+KOSDAQ_TRD'!$AD$1004:$BN$1004</c:f>
              <c:numCache>
                <c:formatCode>0%</c:formatCode>
                <c:ptCount val="37"/>
                <c:pt idx="0">
                  <c:v>3.5000000000000003E-2</c:v>
                </c:pt>
                <c:pt idx="1">
                  <c:v>4.4999999999999998E-2</c:v>
                </c:pt>
                <c:pt idx="2">
                  <c:v>3.5000000000000003E-2</c:v>
                </c:pt>
                <c:pt idx="3">
                  <c:v>0.05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0.06</c:v>
                </c:pt>
                <c:pt idx="9">
                  <c:v>0.05</c:v>
                </c:pt>
                <c:pt idx="10">
                  <c:v>4.4999999999999998E-2</c:v>
                </c:pt>
                <c:pt idx="11">
                  <c:v>4.4999999999999998E-2</c:v>
                </c:pt>
                <c:pt idx="12">
                  <c:v>0.05</c:v>
                </c:pt>
                <c:pt idx="13">
                  <c:v>6.5000000000000002E-2</c:v>
                </c:pt>
                <c:pt idx="14">
                  <c:v>4.4999999999999998E-2</c:v>
                </c:pt>
                <c:pt idx="15">
                  <c:v>5.5E-2</c:v>
                </c:pt>
                <c:pt idx="16">
                  <c:v>6.5000000000000002E-2</c:v>
                </c:pt>
                <c:pt idx="17">
                  <c:v>6.5000000000000002E-2</c:v>
                </c:pt>
                <c:pt idx="18">
                  <c:v>0.05</c:v>
                </c:pt>
                <c:pt idx="19">
                  <c:v>0.02</c:v>
                </c:pt>
                <c:pt idx="20">
                  <c:v>0.03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1.4999999999999999E-2</c:v>
                </c:pt>
                <c:pt idx="25">
                  <c:v>0.01</c:v>
                </c:pt>
                <c:pt idx="26">
                  <c:v>1.4999999999999999E-2</c:v>
                </c:pt>
                <c:pt idx="27">
                  <c:v>0.02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14-4040-ADEB-69ADC140E5C2}"/>
            </c:ext>
          </c:extLst>
        </c:ser>
        <c:ser>
          <c:idx val="2"/>
          <c:order val="2"/>
          <c:tx>
            <c:strRef>
              <c:f>'KOSPI+KOSDAQ_TRD'!$A$1005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'KOSPI+KOSDAQ_TRD'!$AD$1005:$BN$1005</c:f>
              <c:numCache>
                <c:formatCode>0%</c:formatCode>
                <c:ptCount val="37"/>
                <c:pt idx="0">
                  <c:v>0.19500000000000001</c:v>
                </c:pt>
                <c:pt idx="1">
                  <c:v>0.17</c:v>
                </c:pt>
                <c:pt idx="2">
                  <c:v>0.155</c:v>
                </c:pt>
                <c:pt idx="3">
                  <c:v>0.18</c:v>
                </c:pt>
                <c:pt idx="4">
                  <c:v>0.16500000000000001</c:v>
                </c:pt>
                <c:pt idx="5">
                  <c:v>0.14000000000000001</c:v>
                </c:pt>
                <c:pt idx="6">
                  <c:v>0.17</c:v>
                </c:pt>
                <c:pt idx="7">
                  <c:v>0.14499999999999999</c:v>
                </c:pt>
                <c:pt idx="8">
                  <c:v>0.17</c:v>
                </c:pt>
                <c:pt idx="9">
                  <c:v>0.14499999999999999</c:v>
                </c:pt>
                <c:pt idx="10">
                  <c:v>0.155</c:v>
                </c:pt>
                <c:pt idx="11">
                  <c:v>0.14499999999999999</c:v>
                </c:pt>
                <c:pt idx="12">
                  <c:v>0.13</c:v>
                </c:pt>
                <c:pt idx="13">
                  <c:v>0.115</c:v>
                </c:pt>
                <c:pt idx="14">
                  <c:v>0.12</c:v>
                </c:pt>
                <c:pt idx="15">
                  <c:v>0.105</c:v>
                </c:pt>
                <c:pt idx="16">
                  <c:v>9.5000000000000001E-2</c:v>
                </c:pt>
                <c:pt idx="17">
                  <c:v>0.12</c:v>
                </c:pt>
                <c:pt idx="18">
                  <c:v>0.12</c:v>
                </c:pt>
                <c:pt idx="19">
                  <c:v>0.11</c:v>
                </c:pt>
                <c:pt idx="20">
                  <c:v>0.09</c:v>
                </c:pt>
                <c:pt idx="21">
                  <c:v>0.12</c:v>
                </c:pt>
                <c:pt idx="22">
                  <c:v>0.105</c:v>
                </c:pt>
                <c:pt idx="23">
                  <c:v>0.12</c:v>
                </c:pt>
                <c:pt idx="24">
                  <c:v>0.125</c:v>
                </c:pt>
                <c:pt idx="25">
                  <c:v>0.12</c:v>
                </c:pt>
                <c:pt idx="26">
                  <c:v>0.13500000000000001</c:v>
                </c:pt>
                <c:pt idx="27">
                  <c:v>0.14000000000000001</c:v>
                </c:pt>
                <c:pt idx="28">
                  <c:v>0.19500000000000001</c:v>
                </c:pt>
                <c:pt idx="29">
                  <c:v>0.16500000000000001</c:v>
                </c:pt>
                <c:pt idx="30">
                  <c:v>0.17499999999999999</c:v>
                </c:pt>
                <c:pt idx="31">
                  <c:v>0.19</c:v>
                </c:pt>
                <c:pt idx="32">
                  <c:v>0.2</c:v>
                </c:pt>
                <c:pt idx="33">
                  <c:v>0.20499999999999999</c:v>
                </c:pt>
                <c:pt idx="34">
                  <c:v>0.19500000000000001</c:v>
                </c:pt>
                <c:pt idx="35">
                  <c:v>0.19</c:v>
                </c:pt>
                <c:pt idx="36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14-4040-ADEB-69ADC140E5C2}"/>
            </c:ext>
          </c:extLst>
        </c:ser>
        <c:ser>
          <c:idx val="3"/>
          <c:order val="3"/>
          <c:tx>
            <c:strRef>
              <c:f>'KOSPI+KOSDAQ_TRD'!$A$1006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'KOSPI+KOSDAQ_TRD'!$AD$1006:$BN$1006</c:f>
              <c:numCache>
                <c:formatCode>0%</c:formatCode>
                <c:ptCount val="37"/>
                <c:pt idx="0">
                  <c:v>0.12</c:v>
                </c:pt>
                <c:pt idx="1">
                  <c:v>0.125</c:v>
                </c:pt>
                <c:pt idx="2">
                  <c:v>0.14000000000000001</c:v>
                </c:pt>
                <c:pt idx="3">
                  <c:v>0.15</c:v>
                </c:pt>
                <c:pt idx="4">
                  <c:v>0.15</c:v>
                </c:pt>
                <c:pt idx="5">
                  <c:v>0.14499999999999999</c:v>
                </c:pt>
                <c:pt idx="6">
                  <c:v>0.11</c:v>
                </c:pt>
                <c:pt idx="7">
                  <c:v>0.12</c:v>
                </c:pt>
                <c:pt idx="8">
                  <c:v>0.13500000000000001</c:v>
                </c:pt>
                <c:pt idx="9">
                  <c:v>0.14000000000000001</c:v>
                </c:pt>
                <c:pt idx="10">
                  <c:v>0.14499999999999999</c:v>
                </c:pt>
                <c:pt idx="11">
                  <c:v>0.14499999999999999</c:v>
                </c:pt>
                <c:pt idx="12">
                  <c:v>0.14000000000000001</c:v>
                </c:pt>
                <c:pt idx="13">
                  <c:v>0.14000000000000001</c:v>
                </c:pt>
                <c:pt idx="14">
                  <c:v>0.13500000000000001</c:v>
                </c:pt>
                <c:pt idx="15">
                  <c:v>0.14499999999999999</c:v>
                </c:pt>
                <c:pt idx="16">
                  <c:v>0.13500000000000001</c:v>
                </c:pt>
                <c:pt idx="17">
                  <c:v>0.15</c:v>
                </c:pt>
                <c:pt idx="18">
                  <c:v>0.14499999999999999</c:v>
                </c:pt>
                <c:pt idx="19">
                  <c:v>0.16</c:v>
                </c:pt>
                <c:pt idx="20">
                  <c:v>0.15</c:v>
                </c:pt>
                <c:pt idx="21">
                  <c:v>0.14499999999999999</c:v>
                </c:pt>
                <c:pt idx="22">
                  <c:v>0.17</c:v>
                </c:pt>
                <c:pt idx="23">
                  <c:v>0.155</c:v>
                </c:pt>
                <c:pt idx="24">
                  <c:v>0.16</c:v>
                </c:pt>
                <c:pt idx="25">
                  <c:v>0.16500000000000001</c:v>
                </c:pt>
                <c:pt idx="26">
                  <c:v>0.12</c:v>
                </c:pt>
                <c:pt idx="27">
                  <c:v>0.12</c:v>
                </c:pt>
                <c:pt idx="28">
                  <c:v>0.14499999999999999</c:v>
                </c:pt>
                <c:pt idx="29">
                  <c:v>0.155</c:v>
                </c:pt>
                <c:pt idx="30">
                  <c:v>0.14499999999999999</c:v>
                </c:pt>
                <c:pt idx="31">
                  <c:v>0.155</c:v>
                </c:pt>
                <c:pt idx="32">
                  <c:v>0.155</c:v>
                </c:pt>
                <c:pt idx="33">
                  <c:v>0.16</c:v>
                </c:pt>
                <c:pt idx="34">
                  <c:v>0.17</c:v>
                </c:pt>
                <c:pt idx="35">
                  <c:v>0.17</c:v>
                </c:pt>
                <c:pt idx="36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14-4040-ADEB-69ADC140E5C2}"/>
            </c:ext>
          </c:extLst>
        </c:ser>
        <c:ser>
          <c:idx val="4"/>
          <c:order val="4"/>
          <c:tx>
            <c:strRef>
              <c:f>'KOSPI+KOSDAQ_TRD'!$A$1007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'KOSPI+KOSDAQ_TRD'!$AD$1007:$BN$1007</c:f>
              <c:numCache>
                <c:formatCode>0%</c:formatCode>
                <c:ptCount val="37"/>
                <c:pt idx="0">
                  <c:v>0.22500000000000001</c:v>
                </c:pt>
                <c:pt idx="1">
                  <c:v>0.26</c:v>
                </c:pt>
                <c:pt idx="2">
                  <c:v>0.24</c:v>
                </c:pt>
                <c:pt idx="3">
                  <c:v>0.2</c:v>
                </c:pt>
                <c:pt idx="4">
                  <c:v>0.23</c:v>
                </c:pt>
                <c:pt idx="5">
                  <c:v>0.23</c:v>
                </c:pt>
                <c:pt idx="6">
                  <c:v>0.255</c:v>
                </c:pt>
                <c:pt idx="7">
                  <c:v>0.255</c:v>
                </c:pt>
                <c:pt idx="8">
                  <c:v>0.215</c:v>
                </c:pt>
                <c:pt idx="9">
                  <c:v>0.23499999999999999</c:v>
                </c:pt>
                <c:pt idx="10">
                  <c:v>0.255</c:v>
                </c:pt>
                <c:pt idx="11">
                  <c:v>0.24</c:v>
                </c:pt>
                <c:pt idx="12">
                  <c:v>0.23499999999999999</c:v>
                </c:pt>
                <c:pt idx="13">
                  <c:v>0.22</c:v>
                </c:pt>
                <c:pt idx="14">
                  <c:v>0.24</c:v>
                </c:pt>
                <c:pt idx="15">
                  <c:v>0.255</c:v>
                </c:pt>
                <c:pt idx="16">
                  <c:v>0.23</c:v>
                </c:pt>
                <c:pt idx="17">
                  <c:v>0.23</c:v>
                </c:pt>
                <c:pt idx="18">
                  <c:v>0.255</c:v>
                </c:pt>
                <c:pt idx="19">
                  <c:v>0.255</c:v>
                </c:pt>
                <c:pt idx="20">
                  <c:v>0.26500000000000001</c:v>
                </c:pt>
                <c:pt idx="21">
                  <c:v>0.26500000000000001</c:v>
                </c:pt>
                <c:pt idx="22">
                  <c:v>0.25</c:v>
                </c:pt>
                <c:pt idx="23">
                  <c:v>0.23499999999999999</c:v>
                </c:pt>
                <c:pt idx="24">
                  <c:v>0.23499999999999999</c:v>
                </c:pt>
                <c:pt idx="25">
                  <c:v>0.23499999999999999</c:v>
                </c:pt>
                <c:pt idx="26">
                  <c:v>0.25</c:v>
                </c:pt>
                <c:pt idx="27">
                  <c:v>0.255</c:v>
                </c:pt>
                <c:pt idx="28">
                  <c:v>0.23</c:v>
                </c:pt>
                <c:pt idx="29">
                  <c:v>0.22</c:v>
                </c:pt>
                <c:pt idx="30">
                  <c:v>0.23499999999999999</c:v>
                </c:pt>
                <c:pt idx="31">
                  <c:v>0.215</c:v>
                </c:pt>
                <c:pt idx="32">
                  <c:v>0.26</c:v>
                </c:pt>
                <c:pt idx="33">
                  <c:v>0.23</c:v>
                </c:pt>
                <c:pt idx="34">
                  <c:v>0.23499999999999999</c:v>
                </c:pt>
                <c:pt idx="35">
                  <c:v>0.23499999999999999</c:v>
                </c:pt>
                <c:pt idx="36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14-4040-ADEB-69ADC140E5C2}"/>
            </c:ext>
          </c:extLst>
        </c:ser>
        <c:ser>
          <c:idx val="5"/>
          <c:order val="5"/>
          <c:tx>
            <c:strRef>
              <c:f>'KOSPI+KOSDAQ_TRD'!$A$1008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'KOSPI+KOSDAQ_TRD'!$AD$1008:$BN$1008</c:f>
              <c:numCache>
                <c:formatCode>0%</c:formatCode>
                <c:ptCount val="37"/>
                <c:pt idx="0">
                  <c:v>0.17499999999999999</c:v>
                </c:pt>
                <c:pt idx="1">
                  <c:v>0.18</c:v>
                </c:pt>
                <c:pt idx="2">
                  <c:v>0.19</c:v>
                </c:pt>
                <c:pt idx="3">
                  <c:v>0.16500000000000001</c:v>
                </c:pt>
                <c:pt idx="4">
                  <c:v>0.19</c:v>
                </c:pt>
                <c:pt idx="5">
                  <c:v>0.19500000000000001</c:v>
                </c:pt>
                <c:pt idx="6">
                  <c:v>0.185</c:v>
                </c:pt>
                <c:pt idx="7">
                  <c:v>0.185</c:v>
                </c:pt>
                <c:pt idx="8">
                  <c:v>0.2</c:v>
                </c:pt>
                <c:pt idx="9">
                  <c:v>0.2</c:v>
                </c:pt>
                <c:pt idx="10">
                  <c:v>0.17499999999999999</c:v>
                </c:pt>
                <c:pt idx="11">
                  <c:v>0.16500000000000001</c:v>
                </c:pt>
                <c:pt idx="12">
                  <c:v>0.17499999999999999</c:v>
                </c:pt>
                <c:pt idx="13">
                  <c:v>0.16</c:v>
                </c:pt>
                <c:pt idx="14">
                  <c:v>0.18</c:v>
                </c:pt>
                <c:pt idx="15">
                  <c:v>0.17</c:v>
                </c:pt>
                <c:pt idx="16">
                  <c:v>0.21</c:v>
                </c:pt>
                <c:pt idx="17">
                  <c:v>0.19500000000000001</c:v>
                </c:pt>
                <c:pt idx="18">
                  <c:v>0.21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0.23499999999999999</c:v>
                </c:pt>
                <c:pt idx="22">
                  <c:v>0.23</c:v>
                </c:pt>
                <c:pt idx="23">
                  <c:v>0.245</c:v>
                </c:pt>
                <c:pt idx="24">
                  <c:v>0.23499999999999999</c:v>
                </c:pt>
                <c:pt idx="25">
                  <c:v>0.23</c:v>
                </c:pt>
                <c:pt idx="26">
                  <c:v>0.23499999999999999</c:v>
                </c:pt>
                <c:pt idx="27">
                  <c:v>0.24</c:v>
                </c:pt>
                <c:pt idx="28">
                  <c:v>0.25</c:v>
                </c:pt>
                <c:pt idx="29">
                  <c:v>0.23</c:v>
                </c:pt>
                <c:pt idx="30">
                  <c:v>0.22500000000000001</c:v>
                </c:pt>
                <c:pt idx="31">
                  <c:v>0.22</c:v>
                </c:pt>
                <c:pt idx="32">
                  <c:v>0.20499999999999999</c:v>
                </c:pt>
                <c:pt idx="33">
                  <c:v>0.20499999999999999</c:v>
                </c:pt>
                <c:pt idx="34">
                  <c:v>0.19500000000000001</c:v>
                </c:pt>
                <c:pt idx="35">
                  <c:v>0.2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14-4040-ADEB-69ADC140E5C2}"/>
            </c:ext>
          </c:extLst>
        </c:ser>
        <c:ser>
          <c:idx val="6"/>
          <c:order val="6"/>
          <c:tx>
            <c:strRef>
              <c:f>'KOSPI+KOSDAQ_TRD'!$A$1009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'KOSPI+KOSDAQ_TRD'!$AD$1009:$BN$1009</c:f>
              <c:numCache>
                <c:formatCode>0%</c:formatCode>
                <c:ptCount val="37"/>
                <c:pt idx="0">
                  <c:v>5.0000000000000001E-3</c:v>
                </c:pt>
                <c:pt idx="1">
                  <c:v>5.0000000000000001E-3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0.02</c:v>
                </c:pt>
                <c:pt idx="10">
                  <c:v>0.01</c:v>
                </c:pt>
                <c:pt idx="11">
                  <c:v>0.02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0.02</c:v>
                </c:pt>
                <c:pt idx="15">
                  <c:v>2.5000000000000001E-2</c:v>
                </c:pt>
                <c:pt idx="16">
                  <c:v>0.02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0.02</c:v>
                </c:pt>
                <c:pt idx="28">
                  <c:v>1.4999999999999999E-2</c:v>
                </c:pt>
                <c:pt idx="29">
                  <c:v>0.02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0.01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14-4040-ADEB-69ADC140E5C2}"/>
            </c:ext>
          </c:extLst>
        </c:ser>
        <c:ser>
          <c:idx val="7"/>
          <c:order val="7"/>
          <c:tx>
            <c:strRef>
              <c:f>'KOSPI+KOSDAQ_TRD'!$A$1010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'KOSPI+KOSDAQ_TRD'!$AD$1010:$BN$1010</c:f>
              <c:numCache>
                <c:formatCode>0%</c:formatCode>
                <c:ptCount val="37"/>
                <c:pt idx="0">
                  <c:v>4.4999999999999998E-2</c:v>
                </c:pt>
                <c:pt idx="1">
                  <c:v>4.4999999999999998E-2</c:v>
                </c:pt>
                <c:pt idx="2">
                  <c:v>0.04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0.06</c:v>
                </c:pt>
                <c:pt idx="18">
                  <c:v>5.5E-2</c:v>
                </c:pt>
                <c:pt idx="19">
                  <c:v>0.06</c:v>
                </c:pt>
                <c:pt idx="20">
                  <c:v>6.5000000000000002E-2</c:v>
                </c:pt>
                <c:pt idx="21">
                  <c:v>7.0000000000000007E-2</c:v>
                </c:pt>
                <c:pt idx="22">
                  <c:v>6.5000000000000002E-2</c:v>
                </c:pt>
                <c:pt idx="23">
                  <c:v>0.06</c:v>
                </c:pt>
                <c:pt idx="24">
                  <c:v>6.5000000000000002E-2</c:v>
                </c:pt>
                <c:pt idx="25">
                  <c:v>5.5E-2</c:v>
                </c:pt>
                <c:pt idx="26">
                  <c:v>5.5E-2</c:v>
                </c:pt>
                <c:pt idx="27">
                  <c:v>0.06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0.06</c:v>
                </c:pt>
                <c:pt idx="32">
                  <c:v>0.06</c:v>
                </c:pt>
                <c:pt idx="33">
                  <c:v>0.06</c:v>
                </c:pt>
                <c:pt idx="34">
                  <c:v>0.06</c:v>
                </c:pt>
                <c:pt idx="35">
                  <c:v>0.05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D14-4040-ADEB-69ADC140E5C2}"/>
            </c:ext>
          </c:extLst>
        </c:ser>
        <c:ser>
          <c:idx val="8"/>
          <c:order val="8"/>
          <c:tx>
            <c:strRef>
              <c:f>'KOSPI+KOSDAQ_TRD'!$A$1011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'KOSPI+KOSDAQ_TRD'!$AD$1011:$BN$1011</c:f>
              <c:numCache>
                <c:formatCode>0%</c:formatCode>
                <c:ptCount val="37"/>
                <c:pt idx="0">
                  <c:v>0.01</c:v>
                </c:pt>
                <c:pt idx="1">
                  <c:v>0</c:v>
                </c:pt>
                <c:pt idx="2">
                  <c:v>0</c:v>
                </c:pt>
                <c:pt idx="3">
                  <c:v>0.01</c:v>
                </c:pt>
                <c:pt idx="4">
                  <c:v>5.0000000000000001E-3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0.01</c:v>
                </c:pt>
                <c:pt idx="8">
                  <c:v>0</c:v>
                </c:pt>
                <c:pt idx="9">
                  <c:v>0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5.0000000000000001E-3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D14-4040-ADEB-69ADC140E5C2}"/>
            </c:ext>
          </c:extLst>
        </c:ser>
        <c:ser>
          <c:idx val="9"/>
          <c:order val="9"/>
          <c:tx>
            <c:strRef>
              <c:f>'KOSPI+KOSDAQ_TRD'!$A$1012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'KOSPI+KOSDAQ_TRD'!$AD$1012:$BN$1012</c:f>
              <c:numCache>
                <c:formatCode>0%</c:formatCode>
                <c:ptCount val="37"/>
                <c:pt idx="0">
                  <c:v>0.08</c:v>
                </c:pt>
                <c:pt idx="1">
                  <c:v>0.08</c:v>
                </c:pt>
                <c:pt idx="2">
                  <c:v>7.4999999999999997E-2</c:v>
                </c:pt>
                <c:pt idx="3">
                  <c:v>8.5000000000000006E-2</c:v>
                </c:pt>
                <c:pt idx="4">
                  <c:v>8.5000000000000006E-2</c:v>
                </c:pt>
                <c:pt idx="5">
                  <c:v>0.09</c:v>
                </c:pt>
                <c:pt idx="6">
                  <c:v>7.4999999999999997E-2</c:v>
                </c:pt>
                <c:pt idx="7">
                  <c:v>0.09</c:v>
                </c:pt>
                <c:pt idx="8">
                  <c:v>7.4999999999999997E-2</c:v>
                </c:pt>
                <c:pt idx="9">
                  <c:v>0.09</c:v>
                </c:pt>
                <c:pt idx="10">
                  <c:v>8.5000000000000006E-2</c:v>
                </c:pt>
                <c:pt idx="11">
                  <c:v>0.1</c:v>
                </c:pt>
                <c:pt idx="12">
                  <c:v>0.12</c:v>
                </c:pt>
                <c:pt idx="13">
                  <c:v>0.115</c:v>
                </c:pt>
                <c:pt idx="14">
                  <c:v>9.5000000000000001E-2</c:v>
                </c:pt>
                <c:pt idx="15">
                  <c:v>8.5000000000000006E-2</c:v>
                </c:pt>
                <c:pt idx="16">
                  <c:v>0.09</c:v>
                </c:pt>
                <c:pt idx="17">
                  <c:v>7.4999999999999997E-2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6.5000000000000002E-2</c:v>
                </c:pt>
                <c:pt idx="24">
                  <c:v>6.5000000000000002E-2</c:v>
                </c:pt>
                <c:pt idx="25">
                  <c:v>4.4999999999999998E-2</c:v>
                </c:pt>
                <c:pt idx="26">
                  <c:v>0.06</c:v>
                </c:pt>
                <c:pt idx="27">
                  <c:v>0.06</c:v>
                </c:pt>
                <c:pt idx="28">
                  <c:v>0.06</c:v>
                </c:pt>
                <c:pt idx="29">
                  <c:v>5.5E-2</c:v>
                </c:pt>
                <c:pt idx="30">
                  <c:v>0.04</c:v>
                </c:pt>
                <c:pt idx="31">
                  <c:v>0.05</c:v>
                </c:pt>
                <c:pt idx="32">
                  <c:v>0.04</c:v>
                </c:pt>
                <c:pt idx="33">
                  <c:v>0.05</c:v>
                </c:pt>
                <c:pt idx="34">
                  <c:v>0.06</c:v>
                </c:pt>
                <c:pt idx="35">
                  <c:v>0.06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D14-4040-ADEB-69ADC140E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'KOSPI+KOSDAQ_TRD'!$A$1014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'KOSPI+KOSDAQ_TRD'!$AD$1014:$BN$1014</c:f>
              <c:numCache>
                <c:formatCode>0%</c:formatCode>
                <c:ptCount val="37"/>
                <c:pt idx="0">
                  <c:v>0.14499999999999999</c:v>
                </c:pt>
                <c:pt idx="1">
                  <c:v>0.09</c:v>
                </c:pt>
                <c:pt idx="2">
                  <c:v>0.13</c:v>
                </c:pt>
                <c:pt idx="3">
                  <c:v>0.255</c:v>
                </c:pt>
                <c:pt idx="4">
                  <c:v>0.26</c:v>
                </c:pt>
                <c:pt idx="5">
                  <c:v>0.16</c:v>
                </c:pt>
                <c:pt idx="6">
                  <c:v>0.13</c:v>
                </c:pt>
                <c:pt idx="7">
                  <c:v>0.12</c:v>
                </c:pt>
                <c:pt idx="8">
                  <c:v>0.12</c:v>
                </c:pt>
                <c:pt idx="9">
                  <c:v>0.115</c:v>
                </c:pt>
                <c:pt idx="10">
                  <c:v>0.1</c:v>
                </c:pt>
                <c:pt idx="11">
                  <c:v>0.105</c:v>
                </c:pt>
                <c:pt idx="12">
                  <c:v>0.13</c:v>
                </c:pt>
                <c:pt idx="13">
                  <c:v>0.11</c:v>
                </c:pt>
                <c:pt idx="14">
                  <c:v>0.15</c:v>
                </c:pt>
                <c:pt idx="15">
                  <c:v>0.155</c:v>
                </c:pt>
                <c:pt idx="16">
                  <c:v>0.125</c:v>
                </c:pt>
                <c:pt idx="17">
                  <c:v>0.14000000000000001</c:v>
                </c:pt>
                <c:pt idx="18">
                  <c:v>0.12</c:v>
                </c:pt>
                <c:pt idx="19">
                  <c:v>0.13</c:v>
                </c:pt>
                <c:pt idx="20">
                  <c:v>0.12</c:v>
                </c:pt>
                <c:pt idx="21">
                  <c:v>0.12</c:v>
                </c:pt>
                <c:pt idx="22">
                  <c:v>0.13500000000000001</c:v>
                </c:pt>
                <c:pt idx="23">
                  <c:v>0.12</c:v>
                </c:pt>
                <c:pt idx="24">
                  <c:v>0.14000000000000001</c:v>
                </c:pt>
                <c:pt idx="25">
                  <c:v>0.13500000000000001</c:v>
                </c:pt>
                <c:pt idx="26">
                  <c:v>0.1</c:v>
                </c:pt>
                <c:pt idx="27">
                  <c:v>0.13</c:v>
                </c:pt>
                <c:pt idx="28">
                  <c:v>0.155</c:v>
                </c:pt>
                <c:pt idx="29">
                  <c:v>0.16</c:v>
                </c:pt>
                <c:pt idx="30">
                  <c:v>0.17499999999999999</c:v>
                </c:pt>
                <c:pt idx="31">
                  <c:v>0.16</c:v>
                </c:pt>
                <c:pt idx="32">
                  <c:v>0.16500000000000001</c:v>
                </c:pt>
                <c:pt idx="33">
                  <c:v>0.13500000000000001</c:v>
                </c:pt>
                <c:pt idx="34">
                  <c:v>0.14499999999999999</c:v>
                </c:pt>
                <c:pt idx="35">
                  <c:v>0.14499999999999999</c:v>
                </c:pt>
                <c:pt idx="36">
                  <c:v>0.115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93-49DC-AF68-B6009148E1F1}"/>
            </c:ext>
          </c:extLst>
        </c:ser>
        <c:ser>
          <c:idx val="1"/>
          <c:order val="1"/>
          <c:tx>
            <c:strRef>
              <c:f>'KOSPI+KOSDAQ_TRD'!$A$1015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'KOSPI+KOSDAQ_TRD'!$AD$1015:$BN$1015</c:f>
              <c:numCache>
                <c:formatCode>0%</c:formatCode>
                <c:ptCount val="37"/>
                <c:pt idx="0">
                  <c:v>0.5</c:v>
                </c:pt>
                <c:pt idx="1">
                  <c:v>0.53</c:v>
                </c:pt>
                <c:pt idx="2">
                  <c:v>0.58499999999999996</c:v>
                </c:pt>
                <c:pt idx="3">
                  <c:v>0.58499999999999996</c:v>
                </c:pt>
                <c:pt idx="4">
                  <c:v>0.57499999999999996</c:v>
                </c:pt>
                <c:pt idx="5">
                  <c:v>0.55000000000000004</c:v>
                </c:pt>
                <c:pt idx="6">
                  <c:v>0.54</c:v>
                </c:pt>
                <c:pt idx="7">
                  <c:v>0.56999999999999995</c:v>
                </c:pt>
                <c:pt idx="8">
                  <c:v>0.56999999999999995</c:v>
                </c:pt>
                <c:pt idx="9">
                  <c:v>0.54500000000000004</c:v>
                </c:pt>
                <c:pt idx="10">
                  <c:v>0.54500000000000004</c:v>
                </c:pt>
                <c:pt idx="11">
                  <c:v>0.48499999999999999</c:v>
                </c:pt>
                <c:pt idx="12">
                  <c:v>0.51500000000000001</c:v>
                </c:pt>
                <c:pt idx="13">
                  <c:v>0.41499999999999998</c:v>
                </c:pt>
                <c:pt idx="14">
                  <c:v>0.41499999999999998</c:v>
                </c:pt>
                <c:pt idx="15">
                  <c:v>0.435</c:v>
                </c:pt>
                <c:pt idx="16">
                  <c:v>0.41499999999999998</c:v>
                </c:pt>
                <c:pt idx="17">
                  <c:v>0.42499999999999999</c:v>
                </c:pt>
                <c:pt idx="18">
                  <c:v>0.39</c:v>
                </c:pt>
                <c:pt idx="19">
                  <c:v>0.43</c:v>
                </c:pt>
                <c:pt idx="20">
                  <c:v>0.4</c:v>
                </c:pt>
                <c:pt idx="21">
                  <c:v>0.37</c:v>
                </c:pt>
                <c:pt idx="22">
                  <c:v>0.36499999999999999</c:v>
                </c:pt>
                <c:pt idx="23">
                  <c:v>0.37</c:v>
                </c:pt>
                <c:pt idx="24">
                  <c:v>0.36499999999999999</c:v>
                </c:pt>
                <c:pt idx="25">
                  <c:v>0.32500000000000001</c:v>
                </c:pt>
                <c:pt idx="26">
                  <c:v>0.315</c:v>
                </c:pt>
                <c:pt idx="27">
                  <c:v>0.34499999999999997</c:v>
                </c:pt>
                <c:pt idx="28">
                  <c:v>0.33</c:v>
                </c:pt>
                <c:pt idx="29">
                  <c:v>0.26500000000000001</c:v>
                </c:pt>
                <c:pt idx="30">
                  <c:v>0.3</c:v>
                </c:pt>
                <c:pt idx="31">
                  <c:v>0.32</c:v>
                </c:pt>
                <c:pt idx="32">
                  <c:v>0.33500000000000002</c:v>
                </c:pt>
                <c:pt idx="33">
                  <c:v>0.27</c:v>
                </c:pt>
                <c:pt idx="34">
                  <c:v>0.27500000000000002</c:v>
                </c:pt>
                <c:pt idx="35">
                  <c:v>0.23499999999999999</c:v>
                </c:pt>
                <c:pt idx="36">
                  <c:v>0.255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93-49DC-AF68-B6009148E1F1}"/>
            </c:ext>
          </c:extLst>
        </c:ser>
        <c:ser>
          <c:idx val="2"/>
          <c:order val="2"/>
          <c:tx>
            <c:strRef>
              <c:f>'KOSPI+KOSDAQ_TRD'!$A$1016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'KOSPI+KOSDAQ_TRD'!$AD$1016:$BN$1016</c:f>
              <c:numCache>
                <c:formatCode>0%</c:formatCode>
                <c:ptCount val="37"/>
                <c:pt idx="0">
                  <c:v>0.22500000000000001</c:v>
                </c:pt>
                <c:pt idx="1">
                  <c:v>0.26</c:v>
                </c:pt>
                <c:pt idx="2">
                  <c:v>0.17499999999999999</c:v>
                </c:pt>
                <c:pt idx="3">
                  <c:v>5.5E-2</c:v>
                </c:pt>
                <c:pt idx="4">
                  <c:v>6.5000000000000002E-2</c:v>
                </c:pt>
                <c:pt idx="5">
                  <c:v>0.18</c:v>
                </c:pt>
                <c:pt idx="6">
                  <c:v>0.23</c:v>
                </c:pt>
                <c:pt idx="7">
                  <c:v>0.18</c:v>
                </c:pt>
                <c:pt idx="8">
                  <c:v>0.2</c:v>
                </c:pt>
                <c:pt idx="9">
                  <c:v>0.23499999999999999</c:v>
                </c:pt>
                <c:pt idx="10">
                  <c:v>0.245</c:v>
                </c:pt>
                <c:pt idx="11">
                  <c:v>0.28999999999999998</c:v>
                </c:pt>
                <c:pt idx="12">
                  <c:v>0.24</c:v>
                </c:pt>
                <c:pt idx="13">
                  <c:v>0.33500000000000002</c:v>
                </c:pt>
                <c:pt idx="14">
                  <c:v>0.31</c:v>
                </c:pt>
                <c:pt idx="15">
                  <c:v>0.27</c:v>
                </c:pt>
                <c:pt idx="16">
                  <c:v>0.33500000000000002</c:v>
                </c:pt>
                <c:pt idx="17">
                  <c:v>0.31</c:v>
                </c:pt>
                <c:pt idx="18">
                  <c:v>0.36</c:v>
                </c:pt>
                <c:pt idx="19">
                  <c:v>0.33500000000000002</c:v>
                </c:pt>
                <c:pt idx="20">
                  <c:v>0.36499999999999999</c:v>
                </c:pt>
                <c:pt idx="21">
                  <c:v>0.38</c:v>
                </c:pt>
                <c:pt idx="22">
                  <c:v>0.375</c:v>
                </c:pt>
                <c:pt idx="23">
                  <c:v>0.39500000000000002</c:v>
                </c:pt>
                <c:pt idx="24">
                  <c:v>0.37</c:v>
                </c:pt>
                <c:pt idx="25">
                  <c:v>0.4</c:v>
                </c:pt>
                <c:pt idx="26">
                  <c:v>0.43</c:v>
                </c:pt>
                <c:pt idx="27">
                  <c:v>0.39500000000000002</c:v>
                </c:pt>
                <c:pt idx="28">
                  <c:v>0.39</c:v>
                </c:pt>
                <c:pt idx="29">
                  <c:v>0.44500000000000001</c:v>
                </c:pt>
                <c:pt idx="30">
                  <c:v>0.38500000000000001</c:v>
                </c:pt>
                <c:pt idx="31">
                  <c:v>0.38500000000000001</c:v>
                </c:pt>
                <c:pt idx="32">
                  <c:v>0.36</c:v>
                </c:pt>
                <c:pt idx="33">
                  <c:v>0.46500000000000002</c:v>
                </c:pt>
                <c:pt idx="34">
                  <c:v>0.46</c:v>
                </c:pt>
                <c:pt idx="35">
                  <c:v>0.47</c:v>
                </c:pt>
                <c:pt idx="36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93-49DC-AF68-B6009148E1F1}"/>
            </c:ext>
          </c:extLst>
        </c:ser>
        <c:ser>
          <c:idx val="3"/>
          <c:order val="3"/>
          <c:tx>
            <c:strRef>
              <c:f>'KOSPI+KOSDAQ_TRD'!$A$1017</c:f>
              <c:strCache>
                <c:ptCount val="1"/>
                <c:pt idx="0">
                  <c:v>KOSDAQ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'KOSPI+KOSDAQ_TRD'!$AD$1017:$BN$1017</c:f>
              <c:numCache>
                <c:formatCode>0%</c:formatCode>
                <c:ptCount val="37"/>
                <c:pt idx="0">
                  <c:v>0.13</c:v>
                </c:pt>
                <c:pt idx="1">
                  <c:v>0.12</c:v>
                </c:pt>
                <c:pt idx="2">
                  <c:v>0.11</c:v>
                </c:pt>
                <c:pt idx="3">
                  <c:v>0.105</c:v>
                </c:pt>
                <c:pt idx="4">
                  <c:v>0.1</c:v>
                </c:pt>
                <c:pt idx="5">
                  <c:v>0.11</c:v>
                </c:pt>
                <c:pt idx="6">
                  <c:v>0.1</c:v>
                </c:pt>
                <c:pt idx="7">
                  <c:v>0.13</c:v>
                </c:pt>
                <c:pt idx="8">
                  <c:v>0.11</c:v>
                </c:pt>
                <c:pt idx="9">
                  <c:v>0.105</c:v>
                </c:pt>
                <c:pt idx="10">
                  <c:v>0.11</c:v>
                </c:pt>
                <c:pt idx="11">
                  <c:v>0.12</c:v>
                </c:pt>
                <c:pt idx="12">
                  <c:v>0.115</c:v>
                </c:pt>
                <c:pt idx="13">
                  <c:v>0.14000000000000001</c:v>
                </c:pt>
                <c:pt idx="14">
                  <c:v>0.125</c:v>
                </c:pt>
                <c:pt idx="15">
                  <c:v>0.14000000000000001</c:v>
                </c:pt>
                <c:pt idx="16">
                  <c:v>0.125</c:v>
                </c:pt>
                <c:pt idx="17">
                  <c:v>0.125</c:v>
                </c:pt>
                <c:pt idx="18">
                  <c:v>0.13</c:v>
                </c:pt>
                <c:pt idx="19">
                  <c:v>0.105</c:v>
                </c:pt>
                <c:pt idx="20">
                  <c:v>0.115</c:v>
                </c:pt>
                <c:pt idx="21">
                  <c:v>0.13</c:v>
                </c:pt>
                <c:pt idx="22">
                  <c:v>0.125</c:v>
                </c:pt>
                <c:pt idx="23">
                  <c:v>0.115</c:v>
                </c:pt>
                <c:pt idx="24">
                  <c:v>0.125</c:v>
                </c:pt>
                <c:pt idx="25">
                  <c:v>0.14000000000000001</c:v>
                </c:pt>
                <c:pt idx="26">
                  <c:v>0.155</c:v>
                </c:pt>
                <c:pt idx="27">
                  <c:v>0.13</c:v>
                </c:pt>
                <c:pt idx="28">
                  <c:v>0.125</c:v>
                </c:pt>
                <c:pt idx="29">
                  <c:v>0.13</c:v>
                </c:pt>
                <c:pt idx="30">
                  <c:v>0.14000000000000001</c:v>
                </c:pt>
                <c:pt idx="31">
                  <c:v>0.13500000000000001</c:v>
                </c:pt>
                <c:pt idx="32">
                  <c:v>0.14000000000000001</c:v>
                </c:pt>
                <c:pt idx="33">
                  <c:v>0.13</c:v>
                </c:pt>
                <c:pt idx="34">
                  <c:v>0.12</c:v>
                </c:pt>
                <c:pt idx="35">
                  <c:v>0.15</c:v>
                </c:pt>
                <c:pt idx="36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12-45F7-86D7-532722E0C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'KOSPI+KOSDAQ_FWD'!$A$1003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'KOSPI+KOSDAQ_FWD'!$AD$1003:$BN$1003</c:f>
              <c:numCache>
                <c:formatCode>0%</c:formatCode>
                <c:ptCount val="37"/>
                <c:pt idx="0">
                  <c:v>0.11</c:v>
                </c:pt>
                <c:pt idx="1">
                  <c:v>9.5000000000000001E-2</c:v>
                </c:pt>
                <c:pt idx="2">
                  <c:v>0.105</c:v>
                </c:pt>
                <c:pt idx="3">
                  <c:v>0.09</c:v>
                </c:pt>
                <c:pt idx="4">
                  <c:v>7.0000000000000007E-2</c:v>
                </c:pt>
                <c:pt idx="5">
                  <c:v>6.5000000000000002E-2</c:v>
                </c:pt>
                <c:pt idx="6">
                  <c:v>7.4999999999999997E-2</c:v>
                </c:pt>
                <c:pt idx="7">
                  <c:v>0.08</c:v>
                </c:pt>
                <c:pt idx="8">
                  <c:v>7.0000000000000007E-2</c:v>
                </c:pt>
                <c:pt idx="9">
                  <c:v>6.5000000000000002E-2</c:v>
                </c:pt>
                <c:pt idx="10">
                  <c:v>7.4999999999999997E-2</c:v>
                </c:pt>
                <c:pt idx="11">
                  <c:v>0.08</c:v>
                </c:pt>
                <c:pt idx="12">
                  <c:v>7.0000000000000007E-2</c:v>
                </c:pt>
                <c:pt idx="13">
                  <c:v>9.5000000000000001E-2</c:v>
                </c:pt>
                <c:pt idx="14">
                  <c:v>0.09</c:v>
                </c:pt>
                <c:pt idx="15">
                  <c:v>8.5000000000000006E-2</c:v>
                </c:pt>
                <c:pt idx="16">
                  <c:v>0.08</c:v>
                </c:pt>
                <c:pt idx="17">
                  <c:v>7.4999999999999997E-2</c:v>
                </c:pt>
                <c:pt idx="18">
                  <c:v>6.5000000000000002E-2</c:v>
                </c:pt>
                <c:pt idx="19">
                  <c:v>6.5000000000000002E-2</c:v>
                </c:pt>
                <c:pt idx="20">
                  <c:v>0.06</c:v>
                </c:pt>
                <c:pt idx="21">
                  <c:v>5.5E-2</c:v>
                </c:pt>
                <c:pt idx="22">
                  <c:v>5.5E-2</c:v>
                </c:pt>
                <c:pt idx="23">
                  <c:v>7.0000000000000007E-2</c:v>
                </c:pt>
                <c:pt idx="24">
                  <c:v>7.0000000000000007E-2</c:v>
                </c:pt>
                <c:pt idx="25">
                  <c:v>0.105</c:v>
                </c:pt>
                <c:pt idx="26">
                  <c:v>0.1</c:v>
                </c:pt>
                <c:pt idx="27">
                  <c:v>0.08</c:v>
                </c:pt>
                <c:pt idx="28">
                  <c:v>4.4999999999999998E-2</c:v>
                </c:pt>
                <c:pt idx="29">
                  <c:v>9.5000000000000001E-2</c:v>
                </c:pt>
                <c:pt idx="30">
                  <c:v>0.1</c:v>
                </c:pt>
                <c:pt idx="31">
                  <c:v>0.09</c:v>
                </c:pt>
                <c:pt idx="32">
                  <c:v>7.0000000000000007E-2</c:v>
                </c:pt>
                <c:pt idx="33">
                  <c:v>0.08</c:v>
                </c:pt>
                <c:pt idx="34">
                  <c:v>7.0000000000000007E-2</c:v>
                </c:pt>
                <c:pt idx="35">
                  <c:v>0.08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5D-443C-BAD8-755B773E4B56}"/>
            </c:ext>
          </c:extLst>
        </c:ser>
        <c:ser>
          <c:idx val="1"/>
          <c:order val="1"/>
          <c:tx>
            <c:strRef>
              <c:f>'KOSPI+KOSDAQ_FWD'!$A$1004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'KOSPI+KOSDAQ_FWD'!$AD$1004:$BN$1004</c:f>
              <c:numCache>
                <c:formatCode>0%</c:formatCode>
                <c:ptCount val="37"/>
                <c:pt idx="0">
                  <c:v>3.5000000000000003E-2</c:v>
                </c:pt>
                <c:pt idx="1">
                  <c:v>0.04</c:v>
                </c:pt>
                <c:pt idx="2">
                  <c:v>3.5000000000000003E-2</c:v>
                </c:pt>
                <c:pt idx="3">
                  <c:v>0.05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0.06</c:v>
                </c:pt>
                <c:pt idx="9">
                  <c:v>0.05</c:v>
                </c:pt>
                <c:pt idx="10">
                  <c:v>4.4999999999999998E-2</c:v>
                </c:pt>
                <c:pt idx="11">
                  <c:v>4.4999999999999998E-2</c:v>
                </c:pt>
                <c:pt idx="12">
                  <c:v>5.5E-2</c:v>
                </c:pt>
                <c:pt idx="13">
                  <c:v>7.0000000000000007E-2</c:v>
                </c:pt>
                <c:pt idx="14">
                  <c:v>0.05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6.5000000000000002E-2</c:v>
                </c:pt>
                <c:pt idx="18">
                  <c:v>0.05</c:v>
                </c:pt>
                <c:pt idx="19">
                  <c:v>0.02</c:v>
                </c:pt>
                <c:pt idx="20">
                  <c:v>0.03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1.4999999999999999E-2</c:v>
                </c:pt>
                <c:pt idx="25">
                  <c:v>0.01</c:v>
                </c:pt>
                <c:pt idx="26">
                  <c:v>1.4999999999999999E-2</c:v>
                </c:pt>
                <c:pt idx="27">
                  <c:v>0.02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5D-443C-BAD8-755B773E4B56}"/>
            </c:ext>
          </c:extLst>
        </c:ser>
        <c:ser>
          <c:idx val="2"/>
          <c:order val="2"/>
          <c:tx>
            <c:strRef>
              <c:f>'KOSPI+KOSDAQ_FWD'!$A$1005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'KOSPI+KOSDAQ_FWD'!$AD$1005:$BN$1005</c:f>
              <c:numCache>
                <c:formatCode>0%</c:formatCode>
                <c:ptCount val="37"/>
                <c:pt idx="0">
                  <c:v>0.19500000000000001</c:v>
                </c:pt>
                <c:pt idx="1">
                  <c:v>0.17</c:v>
                </c:pt>
                <c:pt idx="2">
                  <c:v>0.155</c:v>
                </c:pt>
                <c:pt idx="3">
                  <c:v>0.17499999999999999</c:v>
                </c:pt>
                <c:pt idx="4">
                  <c:v>0.16</c:v>
                </c:pt>
                <c:pt idx="5">
                  <c:v>0.14000000000000001</c:v>
                </c:pt>
                <c:pt idx="6">
                  <c:v>0.17</c:v>
                </c:pt>
                <c:pt idx="7">
                  <c:v>0.14499999999999999</c:v>
                </c:pt>
                <c:pt idx="8">
                  <c:v>0.17</c:v>
                </c:pt>
                <c:pt idx="9">
                  <c:v>0.14499999999999999</c:v>
                </c:pt>
                <c:pt idx="10">
                  <c:v>0.155</c:v>
                </c:pt>
                <c:pt idx="11">
                  <c:v>0.14499999999999999</c:v>
                </c:pt>
                <c:pt idx="12">
                  <c:v>0.13</c:v>
                </c:pt>
                <c:pt idx="13">
                  <c:v>0.115</c:v>
                </c:pt>
                <c:pt idx="14">
                  <c:v>0.115</c:v>
                </c:pt>
                <c:pt idx="15">
                  <c:v>0.1</c:v>
                </c:pt>
                <c:pt idx="16">
                  <c:v>0.09</c:v>
                </c:pt>
                <c:pt idx="17">
                  <c:v>0.12</c:v>
                </c:pt>
                <c:pt idx="18">
                  <c:v>0.12</c:v>
                </c:pt>
                <c:pt idx="19">
                  <c:v>0.11</c:v>
                </c:pt>
                <c:pt idx="20">
                  <c:v>0.09</c:v>
                </c:pt>
                <c:pt idx="21">
                  <c:v>0.12</c:v>
                </c:pt>
                <c:pt idx="22">
                  <c:v>0.105</c:v>
                </c:pt>
                <c:pt idx="23">
                  <c:v>0.12</c:v>
                </c:pt>
                <c:pt idx="24">
                  <c:v>0.125</c:v>
                </c:pt>
                <c:pt idx="25">
                  <c:v>0.12</c:v>
                </c:pt>
                <c:pt idx="26">
                  <c:v>0.13500000000000001</c:v>
                </c:pt>
                <c:pt idx="27">
                  <c:v>0.14000000000000001</c:v>
                </c:pt>
                <c:pt idx="28">
                  <c:v>0.19500000000000001</c:v>
                </c:pt>
                <c:pt idx="29">
                  <c:v>0.16500000000000001</c:v>
                </c:pt>
                <c:pt idx="30">
                  <c:v>0.17499999999999999</c:v>
                </c:pt>
                <c:pt idx="31">
                  <c:v>0.19</c:v>
                </c:pt>
                <c:pt idx="32">
                  <c:v>0.2</c:v>
                </c:pt>
                <c:pt idx="33">
                  <c:v>0.20499999999999999</c:v>
                </c:pt>
                <c:pt idx="34">
                  <c:v>0.19500000000000001</c:v>
                </c:pt>
                <c:pt idx="35">
                  <c:v>0.19</c:v>
                </c:pt>
                <c:pt idx="36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5D-443C-BAD8-755B773E4B56}"/>
            </c:ext>
          </c:extLst>
        </c:ser>
        <c:ser>
          <c:idx val="3"/>
          <c:order val="3"/>
          <c:tx>
            <c:strRef>
              <c:f>'KOSPI+KOSDAQ_FWD'!$A$1006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'KOSPI+KOSDAQ_FWD'!$AD$1006:$BN$1006</c:f>
              <c:numCache>
                <c:formatCode>0%</c:formatCode>
                <c:ptCount val="37"/>
                <c:pt idx="0">
                  <c:v>0.12</c:v>
                </c:pt>
                <c:pt idx="1">
                  <c:v>0.125</c:v>
                </c:pt>
                <c:pt idx="2">
                  <c:v>0.14000000000000001</c:v>
                </c:pt>
                <c:pt idx="3">
                  <c:v>0.155</c:v>
                </c:pt>
                <c:pt idx="4">
                  <c:v>0.155</c:v>
                </c:pt>
                <c:pt idx="5">
                  <c:v>0.15</c:v>
                </c:pt>
                <c:pt idx="6">
                  <c:v>0.11</c:v>
                </c:pt>
                <c:pt idx="7">
                  <c:v>0.12</c:v>
                </c:pt>
                <c:pt idx="8">
                  <c:v>0.13500000000000001</c:v>
                </c:pt>
                <c:pt idx="9">
                  <c:v>0.14000000000000001</c:v>
                </c:pt>
                <c:pt idx="10">
                  <c:v>0.14000000000000001</c:v>
                </c:pt>
                <c:pt idx="11">
                  <c:v>0.14499999999999999</c:v>
                </c:pt>
                <c:pt idx="12">
                  <c:v>0.13500000000000001</c:v>
                </c:pt>
                <c:pt idx="13">
                  <c:v>0.14000000000000001</c:v>
                </c:pt>
                <c:pt idx="14">
                  <c:v>0.13500000000000001</c:v>
                </c:pt>
                <c:pt idx="15">
                  <c:v>0.155</c:v>
                </c:pt>
                <c:pt idx="16">
                  <c:v>0.14000000000000001</c:v>
                </c:pt>
                <c:pt idx="17">
                  <c:v>0.15</c:v>
                </c:pt>
                <c:pt idx="18">
                  <c:v>0.14499999999999999</c:v>
                </c:pt>
                <c:pt idx="19">
                  <c:v>0.16</c:v>
                </c:pt>
                <c:pt idx="20">
                  <c:v>0.15</c:v>
                </c:pt>
                <c:pt idx="21">
                  <c:v>0.14499999999999999</c:v>
                </c:pt>
                <c:pt idx="22">
                  <c:v>0.17</c:v>
                </c:pt>
                <c:pt idx="23">
                  <c:v>0.16</c:v>
                </c:pt>
                <c:pt idx="24">
                  <c:v>0.16</c:v>
                </c:pt>
                <c:pt idx="25">
                  <c:v>0.17</c:v>
                </c:pt>
                <c:pt idx="26">
                  <c:v>0.12</c:v>
                </c:pt>
                <c:pt idx="27">
                  <c:v>0.12</c:v>
                </c:pt>
                <c:pt idx="28">
                  <c:v>0.14499999999999999</c:v>
                </c:pt>
                <c:pt idx="29">
                  <c:v>0.155</c:v>
                </c:pt>
                <c:pt idx="30">
                  <c:v>0.14499999999999999</c:v>
                </c:pt>
                <c:pt idx="31">
                  <c:v>0.155</c:v>
                </c:pt>
                <c:pt idx="32">
                  <c:v>0.155</c:v>
                </c:pt>
                <c:pt idx="33">
                  <c:v>0.16</c:v>
                </c:pt>
                <c:pt idx="34">
                  <c:v>0.17</c:v>
                </c:pt>
                <c:pt idx="35">
                  <c:v>0.17</c:v>
                </c:pt>
                <c:pt idx="36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5D-443C-BAD8-755B773E4B56}"/>
            </c:ext>
          </c:extLst>
        </c:ser>
        <c:ser>
          <c:idx val="4"/>
          <c:order val="4"/>
          <c:tx>
            <c:strRef>
              <c:f>'KOSPI+KOSDAQ_FWD'!$A$1007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'KOSPI+KOSDAQ_FWD'!$AD$1007:$BN$1007</c:f>
              <c:numCache>
                <c:formatCode>0%</c:formatCode>
                <c:ptCount val="37"/>
                <c:pt idx="0">
                  <c:v>0.22500000000000001</c:v>
                </c:pt>
                <c:pt idx="1">
                  <c:v>0.26</c:v>
                </c:pt>
                <c:pt idx="2">
                  <c:v>0.24</c:v>
                </c:pt>
                <c:pt idx="3">
                  <c:v>0.2</c:v>
                </c:pt>
                <c:pt idx="4">
                  <c:v>0.23</c:v>
                </c:pt>
                <c:pt idx="5">
                  <c:v>0.22500000000000001</c:v>
                </c:pt>
                <c:pt idx="6">
                  <c:v>0.255</c:v>
                </c:pt>
                <c:pt idx="7">
                  <c:v>0.255</c:v>
                </c:pt>
                <c:pt idx="8">
                  <c:v>0.215</c:v>
                </c:pt>
                <c:pt idx="9">
                  <c:v>0.23499999999999999</c:v>
                </c:pt>
                <c:pt idx="10">
                  <c:v>0.255</c:v>
                </c:pt>
                <c:pt idx="11">
                  <c:v>0.24</c:v>
                </c:pt>
                <c:pt idx="12">
                  <c:v>0.23499999999999999</c:v>
                </c:pt>
                <c:pt idx="13">
                  <c:v>0.22</c:v>
                </c:pt>
                <c:pt idx="14">
                  <c:v>0.24</c:v>
                </c:pt>
                <c:pt idx="15">
                  <c:v>0.25</c:v>
                </c:pt>
                <c:pt idx="16">
                  <c:v>0.23</c:v>
                </c:pt>
                <c:pt idx="17">
                  <c:v>0.23</c:v>
                </c:pt>
                <c:pt idx="18">
                  <c:v>0.255</c:v>
                </c:pt>
                <c:pt idx="19">
                  <c:v>0.255</c:v>
                </c:pt>
                <c:pt idx="20">
                  <c:v>0.26500000000000001</c:v>
                </c:pt>
                <c:pt idx="21">
                  <c:v>0.26500000000000001</c:v>
                </c:pt>
                <c:pt idx="22">
                  <c:v>0.25</c:v>
                </c:pt>
                <c:pt idx="23">
                  <c:v>0.23</c:v>
                </c:pt>
                <c:pt idx="24">
                  <c:v>0.23499999999999999</c:v>
                </c:pt>
                <c:pt idx="25">
                  <c:v>0.23499999999999999</c:v>
                </c:pt>
                <c:pt idx="26">
                  <c:v>0.25</c:v>
                </c:pt>
                <c:pt idx="27">
                  <c:v>0.255</c:v>
                </c:pt>
                <c:pt idx="28">
                  <c:v>0.23</c:v>
                </c:pt>
                <c:pt idx="29">
                  <c:v>0.22</c:v>
                </c:pt>
                <c:pt idx="30">
                  <c:v>0.23499999999999999</c:v>
                </c:pt>
                <c:pt idx="31">
                  <c:v>0.215</c:v>
                </c:pt>
                <c:pt idx="32">
                  <c:v>0.26</c:v>
                </c:pt>
                <c:pt idx="33">
                  <c:v>0.23</c:v>
                </c:pt>
                <c:pt idx="34">
                  <c:v>0.23499999999999999</c:v>
                </c:pt>
                <c:pt idx="35">
                  <c:v>0.24</c:v>
                </c:pt>
                <c:pt idx="36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5D-443C-BAD8-755B773E4B56}"/>
            </c:ext>
          </c:extLst>
        </c:ser>
        <c:ser>
          <c:idx val="5"/>
          <c:order val="5"/>
          <c:tx>
            <c:strRef>
              <c:f>'KOSPI+KOSDAQ_FWD'!$A$1008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'KOSPI+KOSDAQ_FWD'!$AD$1008:$BN$1008</c:f>
              <c:numCache>
                <c:formatCode>0%</c:formatCode>
                <c:ptCount val="37"/>
                <c:pt idx="0">
                  <c:v>0.17499999999999999</c:v>
                </c:pt>
                <c:pt idx="1">
                  <c:v>0.18</c:v>
                </c:pt>
                <c:pt idx="2">
                  <c:v>0.19</c:v>
                </c:pt>
                <c:pt idx="3">
                  <c:v>0.16500000000000001</c:v>
                </c:pt>
                <c:pt idx="4">
                  <c:v>0.19</c:v>
                </c:pt>
                <c:pt idx="5">
                  <c:v>0.20499999999999999</c:v>
                </c:pt>
                <c:pt idx="6">
                  <c:v>0.185</c:v>
                </c:pt>
                <c:pt idx="7">
                  <c:v>0.185</c:v>
                </c:pt>
                <c:pt idx="8">
                  <c:v>0.2</c:v>
                </c:pt>
                <c:pt idx="9">
                  <c:v>0.2</c:v>
                </c:pt>
                <c:pt idx="10">
                  <c:v>0.17499999999999999</c:v>
                </c:pt>
                <c:pt idx="11">
                  <c:v>0.16500000000000001</c:v>
                </c:pt>
                <c:pt idx="12">
                  <c:v>0.17499999999999999</c:v>
                </c:pt>
                <c:pt idx="13">
                  <c:v>0.16</c:v>
                </c:pt>
                <c:pt idx="14">
                  <c:v>0.18</c:v>
                </c:pt>
                <c:pt idx="15">
                  <c:v>0.17</c:v>
                </c:pt>
                <c:pt idx="16">
                  <c:v>0.21</c:v>
                </c:pt>
                <c:pt idx="17">
                  <c:v>0.19500000000000001</c:v>
                </c:pt>
                <c:pt idx="18">
                  <c:v>0.21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0.23499999999999999</c:v>
                </c:pt>
                <c:pt idx="22">
                  <c:v>0.23</c:v>
                </c:pt>
                <c:pt idx="23">
                  <c:v>0.245</c:v>
                </c:pt>
                <c:pt idx="24">
                  <c:v>0.23499999999999999</c:v>
                </c:pt>
                <c:pt idx="25">
                  <c:v>0.23</c:v>
                </c:pt>
                <c:pt idx="26">
                  <c:v>0.23499999999999999</c:v>
                </c:pt>
                <c:pt idx="27">
                  <c:v>0.24</c:v>
                </c:pt>
                <c:pt idx="28">
                  <c:v>0.25</c:v>
                </c:pt>
                <c:pt idx="29">
                  <c:v>0.23</c:v>
                </c:pt>
                <c:pt idx="30">
                  <c:v>0.22500000000000001</c:v>
                </c:pt>
                <c:pt idx="31">
                  <c:v>0.22</c:v>
                </c:pt>
                <c:pt idx="32">
                  <c:v>0.20499999999999999</c:v>
                </c:pt>
                <c:pt idx="33">
                  <c:v>0.20499999999999999</c:v>
                </c:pt>
                <c:pt idx="34">
                  <c:v>0.19500000000000001</c:v>
                </c:pt>
                <c:pt idx="35">
                  <c:v>0.2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45D-443C-BAD8-755B773E4B56}"/>
            </c:ext>
          </c:extLst>
        </c:ser>
        <c:ser>
          <c:idx val="6"/>
          <c:order val="6"/>
          <c:tx>
            <c:strRef>
              <c:f>'KOSPI+KOSDAQ_FWD'!$A$1009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'KOSPI+KOSDAQ_FWD'!$AD$1009:$BN$1009</c:f>
              <c:numCache>
                <c:formatCode>0%</c:formatCode>
                <c:ptCount val="37"/>
                <c:pt idx="0">
                  <c:v>5.0000000000000001E-3</c:v>
                </c:pt>
                <c:pt idx="1">
                  <c:v>5.0000000000000001E-3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0.02</c:v>
                </c:pt>
                <c:pt idx="10">
                  <c:v>0.01</c:v>
                </c:pt>
                <c:pt idx="11">
                  <c:v>0.02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0.02</c:v>
                </c:pt>
                <c:pt idx="15">
                  <c:v>2.5000000000000001E-2</c:v>
                </c:pt>
                <c:pt idx="16">
                  <c:v>0.02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0.02</c:v>
                </c:pt>
                <c:pt idx="28">
                  <c:v>1.4999999999999999E-2</c:v>
                </c:pt>
                <c:pt idx="29">
                  <c:v>0.02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0.01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5D-443C-BAD8-755B773E4B56}"/>
            </c:ext>
          </c:extLst>
        </c:ser>
        <c:ser>
          <c:idx val="7"/>
          <c:order val="7"/>
          <c:tx>
            <c:strRef>
              <c:f>'KOSPI+KOSDAQ_FWD'!$A$1010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'KOSPI+KOSDAQ_FWD'!$AD$1010:$BN$1010</c:f>
              <c:numCache>
                <c:formatCode>0%</c:formatCode>
                <c:ptCount val="37"/>
                <c:pt idx="0">
                  <c:v>4.4999999999999998E-2</c:v>
                </c:pt>
                <c:pt idx="1">
                  <c:v>4.4999999999999998E-2</c:v>
                </c:pt>
                <c:pt idx="2">
                  <c:v>0.04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0.06</c:v>
                </c:pt>
                <c:pt idx="18">
                  <c:v>5.5E-2</c:v>
                </c:pt>
                <c:pt idx="19">
                  <c:v>0.06</c:v>
                </c:pt>
                <c:pt idx="20">
                  <c:v>6.5000000000000002E-2</c:v>
                </c:pt>
                <c:pt idx="21">
                  <c:v>7.0000000000000007E-2</c:v>
                </c:pt>
                <c:pt idx="22">
                  <c:v>6.5000000000000002E-2</c:v>
                </c:pt>
                <c:pt idx="23">
                  <c:v>0.06</c:v>
                </c:pt>
                <c:pt idx="24">
                  <c:v>6.5000000000000002E-2</c:v>
                </c:pt>
                <c:pt idx="25">
                  <c:v>5.5E-2</c:v>
                </c:pt>
                <c:pt idx="26">
                  <c:v>5.5E-2</c:v>
                </c:pt>
                <c:pt idx="27">
                  <c:v>0.06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0.06</c:v>
                </c:pt>
                <c:pt idx="32">
                  <c:v>0.06</c:v>
                </c:pt>
                <c:pt idx="33">
                  <c:v>0.06</c:v>
                </c:pt>
                <c:pt idx="34">
                  <c:v>0.06</c:v>
                </c:pt>
                <c:pt idx="35">
                  <c:v>0.05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5D-443C-BAD8-755B773E4B56}"/>
            </c:ext>
          </c:extLst>
        </c:ser>
        <c:ser>
          <c:idx val="8"/>
          <c:order val="8"/>
          <c:tx>
            <c:strRef>
              <c:f>'KOSPI+KOSDAQ_FWD'!$A$1011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'KOSPI+KOSDAQ_FWD'!$AD$1011:$BN$1011</c:f>
              <c:numCache>
                <c:formatCode>0%</c:formatCode>
                <c:ptCount val="37"/>
                <c:pt idx="0">
                  <c:v>0.01</c:v>
                </c:pt>
                <c:pt idx="1">
                  <c:v>0</c:v>
                </c:pt>
                <c:pt idx="2">
                  <c:v>0</c:v>
                </c:pt>
                <c:pt idx="3">
                  <c:v>0.01</c:v>
                </c:pt>
                <c:pt idx="4">
                  <c:v>5.0000000000000001E-3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0.01</c:v>
                </c:pt>
                <c:pt idx="8">
                  <c:v>0</c:v>
                </c:pt>
                <c:pt idx="9">
                  <c:v>0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5.0000000000000001E-3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45D-443C-BAD8-755B773E4B56}"/>
            </c:ext>
          </c:extLst>
        </c:ser>
        <c:ser>
          <c:idx val="9"/>
          <c:order val="9"/>
          <c:tx>
            <c:strRef>
              <c:f>'KOSPI+KOSDAQ_FWD'!$A$1012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'KOSPI+KOSDAQ_FWD'!$AD$1012:$BN$1012</c:f>
              <c:numCache>
                <c:formatCode>0%</c:formatCode>
                <c:ptCount val="37"/>
                <c:pt idx="0">
                  <c:v>0.08</c:v>
                </c:pt>
                <c:pt idx="1">
                  <c:v>0.08</c:v>
                </c:pt>
                <c:pt idx="2">
                  <c:v>7.4999999999999997E-2</c:v>
                </c:pt>
                <c:pt idx="3">
                  <c:v>8.5000000000000006E-2</c:v>
                </c:pt>
                <c:pt idx="4">
                  <c:v>8.5000000000000006E-2</c:v>
                </c:pt>
                <c:pt idx="5">
                  <c:v>0.09</c:v>
                </c:pt>
                <c:pt idx="6">
                  <c:v>7.4999999999999997E-2</c:v>
                </c:pt>
                <c:pt idx="7">
                  <c:v>0.09</c:v>
                </c:pt>
                <c:pt idx="8">
                  <c:v>7.4999999999999997E-2</c:v>
                </c:pt>
                <c:pt idx="9">
                  <c:v>0.09</c:v>
                </c:pt>
                <c:pt idx="10">
                  <c:v>8.5000000000000006E-2</c:v>
                </c:pt>
                <c:pt idx="11">
                  <c:v>0.1</c:v>
                </c:pt>
                <c:pt idx="12">
                  <c:v>0.12</c:v>
                </c:pt>
                <c:pt idx="13">
                  <c:v>0.115</c:v>
                </c:pt>
                <c:pt idx="14">
                  <c:v>9.5000000000000001E-2</c:v>
                </c:pt>
                <c:pt idx="15">
                  <c:v>8.5000000000000006E-2</c:v>
                </c:pt>
                <c:pt idx="16">
                  <c:v>0.09</c:v>
                </c:pt>
                <c:pt idx="17">
                  <c:v>7.4999999999999997E-2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6.5000000000000002E-2</c:v>
                </c:pt>
                <c:pt idx="24">
                  <c:v>6.5000000000000002E-2</c:v>
                </c:pt>
                <c:pt idx="25">
                  <c:v>4.4999999999999998E-2</c:v>
                </c:pt>
                <c:pt idx="26">
                  <c:v>0.06</c:v>
                </c:pt>
                <c:pt idx="27">
                  <c:v>0.06</c:v>
                </c:pt>
                <c:pt idx="28">
                  <c:v>0.06</c:v>
                </c:pt>
                <c:pt idx="29">
                  <c:v>5.5E-2</c:v>
                </c:pt>
                <c:pt idx="30">
                  <c:v>0.04</c:v>
                </c:pt>
                <c:pt idx="31">
                  <c:v>0.05</c:v>
                </c:pt>
                <c:pt idx="32">
                  <c:v>0.04</c:v>
                </c:pt>
                <c:pt idx="33">
                  <c:v>0.05</c:v>
                </c:pt>
                <c:pt idx="34">
                  <c:v>0.06</c:v>
                </c:pt>
                <c:pt idx="35">
                  <c:v>0.06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45D-443C-BAD8-755B773E4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'KOSPI+KOSDAQ_FWD'!$A$1014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'KOSPI+KOSDAQ_FWD'!$AD$1014:$BN$1014</c:f>
              <c:numCache>
                <c:formatCode>0%</c:formatCode>
                <c:ptCount val="37"/>
                <c:pt idx="0">
                  <c:v>0.14499999999999999</c:v>
                </c:pt>
                <c:pt idx="1">
                  <c:v>0.09</c:v>
                </c:pt>
                <c:pt idx="2">
                  <c:v>0.13</c:v>
                </c:pt>
                <c:pt idx="3">
                  <c:v>0.255</c:v>
                </c:pt>
                <c:pt idx="4">
                  <c:v>0.26500000000000001</c:v>
                </c:pt>
                <c:pt idx="5">
                  <c:v>0.16500000000000001</c:v>
                </c:pt>
                <c:pt idx="6">
                  <c:v>0.13</c:v>
                </c:pt>
                <c:pt idx="7">
                  <c:v>0.12</c:v>
                </c:pt>
                <c:pt idx="8">
                  <c:v>0.12</c:v>
                </c:pt>
                <c:pt idx="9">
                  <c:v>0.115</c:v>
                </c:pt>
                <c:pt idx="10">
                  <c:v>9.5000000000000001E-2</c:v>
                </c:pt>
                <c:pt idx="11">
                  <c:v>0.105</c:v>
                </c:pt>
                <c:pt idx="12">
                  <c:v>0.125</c:v>
                </c:pt>
                <c:pt idx="13">
                  <c:v>0.11</c:v>
                </c:pt>
                <c:pt idx="14">
                  <c:v>0.14499999999999999</c:v>
                </c:pt>
                <c:pt idx="15">
                  <c:v>0.16500000000000001</c:v>
                </c:pt>
                <c:pt idx="16">
                  <c:v>0.13</c:v>
                </c:pt>
                <c:pt idx="17">
                  <c:v>0.14000000000000001</c:v>
                </c:pt>
                <c:pt idx="18">
                  <c:v>0.12</c:v>
                </c:pt>
                <c:pt idx="19">
                  <c:v>0.13</c:v>
                </c:pt>
                <c:pt idx="20">
                  <c:v>0.12</c:v>
                </c:pt>
                <c:pt idx="21">
                  <c:v>0.12</c:v>
                </c:pt>
                <c:pt idx="22">
                  <c:v>0.13500000000000001</c:v>
                </c:pt>
                <c:pt idx="23">
                  <c:v>0.12</c:v>
                </c:pt>
                <c:pt idx="24">
                  <c:v>0.14000000000000001</c:v>
                </c:pt>
                <c:pt idx="25">
                  <c:v>0.13500000000000001</c:v>
                </c:pt>
                <c:pt idx="26">
                  <c:v>0.1</c:v>
                </c:pt>
                <c:pt idx="27">
                  <c:v>0.13</c:v>
                </c:pt>
                <c:pt idx="28">
                  <c:v>0.155</c:v>
                </c:pt>
                <c:pt idx="29">
                  <c:v>0.16</c:v>
                </c:pt>
                <c:pt idx="30">
                  <c:v>0.17499999999999999</c:v>
                </c:pt>
                <c:pt idx="31">
                  <c:v>0.16</c:v>
                </c:pt>
                <c:pt idx="32">
                  <c:v>0.16500000000000001</c:v>
                </c:pt>
                <c:pt idx="33">
                  <c:v>0.13500000000000001</c:v>
                </c:pt>
                <c:pt idx="34">
                  <c:v>0.14499999999999999</c:v>
                </c:pt>
                <c:pt idx="35">
                  <c:v>0.14499999999999999</c:v>
                </c:pt>
                <c:pt idx="36">
                  <c:v>0.115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4-400C-84DB-25045E1C4D4D}"/>
            </c:ext>
          </c:extLst>
        </c:ser>
        <c:ser>
          <c:idx val="1"/>
          <c:order val="1"/>
          <c:tx>
            <c:strRef>
              <c:f>'KOSPI+KOSDAQ_FWD'!$A$1015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'KOSPI+KOSDAQ_FWD'!$AD$1015:$BN$1015</c:f>
              <c:numCache>
                <c:formatCode>0%</c:formatCode>
                <c:ptCount val="37"/>
                <c:pt idx="0">
                  <c:v>0.5</c:v>
                </c:pt>
                <c:pt idx="1">
                  <c:v>0.52500000000000002</c:v>
                </c:pt>
                <c:pt idx="2">
                  <c:v>0.58499999999999996</c:v>
                </c:pt>
                <c:pt idx="3">
                  <c:v>0.58499999999999996</c:v>
                </c:pt>
                <c:pt idx="4">
                  <c:v>0.57499999999999996</c:v>
                </c:pt>
                <c:pt idx="5">
                  <c:v>0.56000000000000005</c:v>
                </c:pt>
                <c:pt idx="6">
                  <c:v>0.54</c:v>
                </c:pt>
                <c:pt idx="7">
                  <c:v>0.56999999999999995</c:v>
                </c:pt>
                <c:pt idx="8">
                  <c:v>0.56999999999999995</c:v>
                </c:pt>
                <c:pt idx="9">
                  <c:v>0.54500000000000004</c:v>
                </c:pt>
                <c:pt idx="10">
                  <c:v>0.54500000000000004</c:v>
                </c:pt>
                <c:pt idx="11">
                  <c:v>0.48499999999999999</c:v>
                </c:pt>
                <c:pt idx="12">
                  <c:v>0.51500000000000001</c:v>
                </c:pt>
                <c:pt idx="13">
                  <c:v>0.42</c:v>
                </c:pt>
                <c:pt idx="14">
                  <c:v>0.42</c:v>
                </c:pt>
                <c:pt idx="15">
                  <c:v>0.435</c:v>
                </c:pt>
                <c:pt idx="16">
                  <c:v>0.41499999999999998</c:v>
                </c:pt>
                <c:pt idx="17">
                  <c:v>0.42499999999999999</c:v>
                </c:pt>
                <c:pt idx="18">
                  <c:v>0.39</c:v>
                </c:pt>
                <c:pt idx="19">
                  <c:v>0.43</c:v>
                </c:pt>
                <c:pt idx="20">
                  <c:v>0.4</c:v>
                </c:pt>
                <c:pt idx="21">
                  <c:v>0.37</c:v>
                </c:pt>
                <c:pt idx="22">
                  <c:v>0.36499999999999999</c:v>
                </c:pt>
                <c:pt idx="23">
                  <c:v>0.37</c:v>
                </c:pt>
                <c:pt idx="24">
                  <c:v>0.37</c:v>
                </c:pt>
                <c:pt idx="25">
                  <c:v>0.32500000000000001</c:v>
                </c:pt>
                <c:pt idx="26">
                  <c:v>0.315</c:v>
                </c:pt>
                <c:pt idx="27">
                  <c:v>0.34499999999999997</c:v>
                </c:pt>
                <c:pt idx="28">
                  <c:v>0.33</c:v>
                </c:pt>
                <c:pt idx="29">
                  <c:v>0.26500000000000001</c:v>
                </c:pt>
                <c:pt idx="30">
                  <c:v>0.3</c:v>
                </c:pt>
                <c:pt idx="31">
                  <c:v>0.315</c:v>
                </c:pt>
                <c:pt idx="32">
                  <c:v>0.33500000000000002</c:v>
                </c:pt>
                <c:pt idx="33">
                  <c:v>0.27</c:v>
                </c:pt>
                <c:pt idx="34">
                  <c:v>0.27500000000000002</c:v>
                </c:pt>
                <c:pt idx="35">
                  <c:v>0.23499999999999999</c:v>
                </c:pt>
                <c:pt idx="36">
                  <c:v>0.255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04-400C-84DB-25045E1C4D4D}"/>
            </c:ext>
          </c:extLst>
        </c:ser>
        <c:ser>
          <c:idx val="2"/>
          <c:order val="2"/>
          <c:tx>
            <c:strRef>
              <c:f>'KOSPI+KOSDAQ_FWD'!$A$1016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'KOSPI+KOSDAQ_FWD'!$AD$1016:$BN$1016</c:f>
              <c:numCache>
                <c:formatCode>0%</c:formatCode>
                <c:ptCount val="37"/>
                <c:pt idx="0">
                  <c:v>0.22500000000000001</c:v>
                </c:pt>
                <c:pt idx="1">
                  <c:v>0.26</c:v>
                </c:pt>
                <c:pt idx="2">
                  <c:v>0.17499999999999999</c:v>
                </c:pt>
                <c:pt idx="3">
                  <c:v>5.5E-2</c:v>
                </c:pt>
                <c:pt idx="4">
                  <c:v>6.5000000000000002E-2</c:v>
                </c:pt>
                <c:pt idx="5">
                  <c:v>0.17499999999999999</c:v>
                </c:pt>
                <c:pt idx="6">
                  <c:v>0.23</c:v>
                </c:pt>
                <c:pt idx="7">
                  <c:v>0.18</c:v>
                </c:pt>
                <c:pt idx="8">
                  <c:v>0.2</c:v>
                </c:pt>
                <c:pt idx="9">
                  <c:v>0.23</c:v>
                </c:pt>
                <c:pt idx="10">
                  <c:v>0.245</c:v>
                </c:pt>
                <c:pt idx="11">
                  <c:v>0.28999999999999998</c:v>
                </c:pt>
                <c:pt idx="12">
                  <c:v>0.245</c:v>
                </c:pt>
                <c:pt idx="13">
                  <c:v>0.33500000000000002</c:v>
                </c:pt>
                <c:pt idx="14">
                  <c:v>0.31</c:v>
                </c:pt>
                <c:pt idx="15">
                  <c:v>0.26500000000000001</c:v>
                </c:pt>
                <c:pt idx="16">
                  <c:v>0.33</c:v>
                </c:pt>
                <c:pt idx="17">
                  <c:v>0.31</c:v>
                </c:pt>
                <c:pt idx="18">
                  <c:v>0.36</c:v>
                </c:pt>
                <c:pt idx="19">
                  <c:v>0.33500000000000002</c:v>
                </c:pt>
                <c:pt idx="20">
                  <c:v>0.36499999999999999</c:v>
                </c:pt>
                <c:pt idx="21">
                  <c:v>0.38</c:v>
                </c:pt>
                <c:pt idx="22">
                  <c:v>0.375</c:v>
                </c:pt>
                <c:pt idx="23">
                  <c:v>0.39500000000000002</c:v>
                </c:pt>
                <c:pt idx="24">
                  <c:v>0.37</c:v>
                </c:pt>
                <c:pt idx="25">
                  <c:v>0.4</c:v>
                </c:pt>
                <c:pt idx="26">
                  <c:v>0.43</c:v>
                </c:pt>
                <c:pt idx="27">
                  <c:v>0.39500000000000002</c:v>
                </c:pt>
                <c:pt idx="28">
                  <c:v>0.39</c:v>
                </c:pt>
                <c:pt idx="29">
                  <c:v>0.44500000000000001</c:v>
                </c:pt>
                <c:pt idx="30">
                  <c:v>0.38500000000000001</c:v>
                </c:pt>
                <c:pt idx="31">
                  <c:v>0.38500000000000001</c:v>
                </c:pt>
                <c:pt idx="32">
                  <c:v>0.36</c:v>
                </c:pt>
                <c:pt idx="33">
                  <c:v>0.46500000000000002</c:v>
                </c:pt>
                <c:pt idx="34">
                  <c:v>0.46</c:v>
                </c:pt>
                <c:pt idx="35">
                  <c:v>0.47499999999999998</c:v>
                </c:pt>
                <c:pt idx="36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04-400C-84DB-25045E1C4D4D}"/>
            </c:ext>
          </c:extLst>
        </c:ser>
        <c:ser>
          <c:idx val="3"/>
          <c:order val="3"/>
          <c:tx>
            <c:strRef>
              <c:f>'KOSPI+KOSDAQ_FWD'!$AM$1010:$AM$1011</c:f>
              <c:strCache>
                <c:ptCount val="1"/>
                <c:pt idx="0">
                  <c:v>6% 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'KOSPI+KOSDAQ_FWD'!$AD$1017:$BN$1017</c:f>
              <c:numCache>
                <c:formatCode>0%</c:formatCode>
                <c:ptCount val="37"/>
                <c:pt idx="0">
                  <c:v>0.13</c:v>
                </c:pt>
                <c:pt idx="1">
                  <c:v>0.125</c:v>
                </c:pt>
                <c:pt idx="2">
                  <c:v>0.11</c:v>
                </c:pt>
                <c:pt idx="3">
                  <c:v>0.105</c:v>
                </c:pt>
                <c:pt idx="4">
                  <c:v>9.5000000000000001E-2</c:v>
                </c:pt>
                <c:pt idx="5">
                  <c:v>0.1</c:v>
                </c:pt>
                <c:pt idx="6">
                  <c:v>0.1</c:v>
                </c:pt>
                <c:pt idx="7">
                  <c:v>0.13</c:v>
                </c:pt>
                <c:pt idx="8">
                  <c:v>0.11</c:v>
                </c:pt>
                <c:pt idx="9">
                  <c:v>0.11</c:v>
                </c:pt>
                <c:pt idx="10">
                  <c:v>0.115</c:v>
                </c:pt>
                <c:pt idx="11">
                  <c:v>0.12</c:v>
                </c:pt>
                <c:pt idx="12">
                  <c:v>0.115</c:v>
                </c:pt>
                <c:pt idx="13">
                  <c:v>0.13500000000000001</c:v>
                </c:pt>
                <c:pt idx="14">
                  <c:v>0.125</c:v>
                </c:pt>
                <c:pt idx="15">
                  <c:v>0.13500000000000001</c:v>
                </c:pt>
                <c:pt idx="16">
                  <c:v>0.125</c:v>
                </c:pt>
                <c:pt idx="17">
                  <c:v>0.125</c:v>
                </c:pt>
                <c:pt idx="18">
                  <c:v>0.13</c:v>
                </c:pt>
                <c:pt idx="19">
                  <c:v>0.105</c:v>
                </c:pt>
                <c:pt idx="20">
                  <c:v>0.115</c:v>
                </c:pt>
                <c:pt idx="21">
                  <c:v>0.13</c:v>
                </c:pt>
                <c:pt idx="22">
                  <c:v>0.125</c:v>
                </c:pt>
                <c:pt idx="23">
                  <c:v>0.115</c:v>
                </c:pt>
                <c:pt idx="24">
                  <c:v>0.12</c:v>
                </c:pt>
                <c:pt idx="25">
                  <c:v>0.14000000000000001</c:v>
                </c:pt>
                <c:pt idx="26">
                  <c:v>0.155</c:v>
                </c:pt>
                <c:pt idx="27">
                  <c:v>0.13</c:v>
                </c:pt>
                <c:pt idx="28">
                  <c:v>0.125</c:v>
                </c:pt>
                <c:pt idx="29">
                  <c:v>0.13</c:v>
                </c:pt>
                <c:pt idx="30">
                  <c:v>0.14000000000000001</c:v>
                </c:pt>
                <c:pt idx="31">
                  <c:v>0.14000000000000001</c:v>
                </c:pt>
                <c:pt idx="32">
                  <c:v>0.14000000000000001</c:v>
                </c:pt>
                <c:pt idx="33">
                  <c:v>0.13</c:v>
                </c:pt>
                <c:pt idx="34">
                  <c:v>0.12</c:v>
                </c:pt>
                <c:pt idx="35">
                  <c:v>0.14499999999999999</c:v>
                </c:pt>
                <c:pt idx="36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70-4024-AE6F-D37AC8019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126402</xdr:colOff>
      <xdr:row>11</xdr:row>
      <xdr:rowOff>179295</xdr:rowOff>
    </xdr:from>
    <xdr:to>
      <xdr:col>8</xdr:col>
      <xdr:colOff>421341</xdr:colOff>
      <xdr:row>35</xdr:row>
      <xdr:rowOff>161365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439268</xdr:colOff>
      <xdr:row>11</xdr:row>
      <xdr:rowOff>165847</xdr:rowOff>
    </xdr:from>
    <xdr:to>
      <xdr:col>22</xdr:col>
      <xdr:colOff>421340</xdr:colOff>
      <xdr:row>35</xdr:row>
      <xdr:rowOff>161365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412378</xdr:colOff>
      <xdr:row>11</xdr:row>
      <xdr:rowOff>143435</xdr:rowOff>
    </xdr:from>
    <xdr:to>
      <xdr:col>38</xdr:col>
      <xdr:colOff>98612</xdr:colOff>
      <xdr:row>35</xdr:row>
      <xdr:rowOff>125505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978</xdr:row>
      <xdr:rowOff>205740</xdr:rowOff>
    </xdr:from>
    <xdr:to>
      <xdr:col>9</xdr:col>
      <xdr:colOff>350520</xdr:colOff>
      <xdr:row>996</xdr:row>
      <xdr:rowOff>114300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373380</xdr:colOff>
      <xdr:row>978</xdr:row>
      <xdr:rowOff>198120</xdr:rowOff>
    </xdr:from>
    <xdr:to>
      <xdr:col>18</xdr:col>
      <xdr:colOff>15240</xdr:colOff>
      <xdr:row>996</xdr:row>
      <xdr:rowOff>114300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983</xdr:row>
      <xdr:rowOff>15240</xdr:rowOff>
    </xdr:from>
    <xdr:to>
      <xdr:col>10</xdr:col>
      <xdr:colOff>327660</xdr:colOff>
      <xdr:row>1000</xdr:row>
      <xdr:rowOff>144780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350520</xdr:colOff>
      <xdr:row>982</xdr:row>
      <xdr:rowOff>213360</xdr:rowOff>
    </xdr:from>
    <xdr:to>
      <xdr:col>18</xdr:col>
      <xdr:colOff>662940</xdr:colOff>
      <xdr:row>1000</xdr:row>
      <xdr:rowOff>129540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985</xdr:row>
      <xdr:rowOff>22860</xdr:rowOff>
    </xdr:from>
    <xdr:to>
      <xdr:col>10</xdr:col>
      <xdr:colOff>350520</xdr:colOff>
      <xdr:row>1002</xdr:row>
      <xdr:rowOff>152400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373380</xdr:colOff>
      <xdr:row>985</xdr:row>
      <xdr:rowOff>0</xdr:rowOff>
    </xdr:from>
    <xdr:to>
      <xdr:col>19</xdr:col>
      <xdr:colOff>15240</xdr:colOff>
      <xdr:row>1002</xdr:row>
      <xdr:rowOff>137160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988</xdr:row>
      <xdr:rowOff>22860</xdr:rowOff>
    </xdr:from>
    <xdr:to>
      <xdr:col>10</xdr:col>
      <xdr:colOff>304800</xdr:colOff>
      <xdr:row>1005</xdr:row>
      <xdr:rowOff>152400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327660</xdr:colOff>
      <xdr:row>988</xdr:row>
      <xdr:rowOff>0</xdr:rowOff>
    </xdr:from>
    <xdr:to>
      <xdr:col>18</xdr:col>
      <xdr:colOff>640080</xdr:colOff>
      <xdr:row>1005</xdr:row>
      <xdr:rowOff>137160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Y4002"/>
  <sheetViews>
    <sheetView showGridLines="0" topLeftCell="CH1" zoomScale="85" zoomScaleNormal="85" workbookViewId="0">
      <selection activeCell="CK19" sqref="CK19"/>
    </sheetView>
  </sheetViews>
  <sheetFormatPr defaultRowHeight="17.399999999999999" x14ac:dyDescent="0.4"/>
  <cols>
    <col min="1" max="8" width="14.69921875" customWidth="1"/>
    <col min="32" max="32" width="12.8984375" customWidth="1"/>
    <col min="79" max="79" width="17" bestFit="1" customWidth="1"/>
    <col min="80" max="83" width="14.09765625" bestFit="1" customWidth="1"/>
    <col min="84" max="84" width="20.3984375" bestFit="1" customWidth="1"/>
    <col min="85" max="85" width="19.796875" bestFit="1" customWidth="1"/>
    <col min="87" max="87" width="21.19921875" bestFit="1" customWidth="1"/>
    <col min="88" max="89" width="13.5" bestFit="1" customWidth="1"/>
    <col min="90" max="90" width="20.296875" bestFit="1" customWidth="1"/>
    <col min="91" max="91" width="19.69921875" bestFit="1" customWidth="1"/>
    <col min="93" max="93" width="10.09765625" bestFit="1" customWidth="1"/>
    <col min="94" max="94" width="5.69921875" customWidth="1"/>
    <col min="95" max="95" width="9.19921875" bestFit="1" customWidth="1"/>
    <col min="96" max="96" width="15.19921875" bestFit="1" customWidth="1"/>
    <col min="97" max="97" width="6.796875" customWidth="1"/>
    <col min="98" max="98" width="7.296875" customWidth="1"/>
    <col min="99" max="99" width="6.796875" customWidth="1"/>
    <col min="100" max="100" width="7.296875" customWidth="1"/>
    <col min="101" max="101" width="9.19921875" bestFit="1" customWidth="1"/>
    <col min="102" max="102" width="15.19921875" bestFit="1" customWidth="1"/>
    <col min="103" max="103" width="11" bestFit="1" customWidth="1"/>
  </cols>
  <sheetData>
    <row r="1" spans="1:103" ht="15" customHeight="1" x14ac:dyDescent="0.4">
      <c r="A1" s="1" t="s">
        <v>0</v>
      </c>
      <c r="B1" t="s">
        <v>17</v>
      </c>
      <c r="K1">
        <v>0</v>
      </c>
      <c r="L1">
        <v>1</v>
      </c>
      <c r="M1">
        <v>2</v>
      </c>
      <c r="N1">
        <v>3</v>
      </c>
      <c r="O1">
        <v>4</v>
      </c>
      <c r="P1">
        <v>5</v>
      </c>
      <c r="Q1">
        <v>6</v>
      </c>
      <c r="R1">
        <v>7</v>
      </c>
      <c r="S1">
        <v>8</v>
      </c>
      <c r="T1">
        <v>9</v>
      </c>
      <c r="U1">
        <v>10</v>
      </c>
      <c r="V1">
        <v>11</v>
      </c>
      <c r="W1">
        <v>12</v>
      </c>
      <c r="X1">
        <v>13</v>
      </c>
      <c r="Y1">
        <v>14</v>
      </c>
      <c r="Z1">
        <v>15</v>
      </c>
      <c r="AA1">
        <v>16</v>
      </c>
      <c r="AB1">
        <v>17</v>
      </c>
      <c r="AC1">
        <v>18</v>
      </c>
      <c r="AD1">
        <v>19</v>
      </c>
      <c r="AE1">
        <v>20</v>
      </c>
      <c r="AF1">
        <v>21</v>
      </c>
      <c r="AG1">
        <v>22</v>
      </c>
      <c r="AH1">
        <v>23</v>
      </c>
      <c r="AI1">
        <v>24</v>
      </c>
      <c r="AJ1">
        <v>25</v>
      </c>
      <c r="AK1">
        <v>26</v>
      </c>
      <c r="AL1">
        <v>27</v>
      </c>
      <c r="AM1">
        <v>28</v>
      </c>
      <c r="AN1">
        <v>29</v>
      </c>
      <c r="AO1">
        <v>30</v>
      </c>
      <c r="AP1">
        <v>31</v>
      </c>
      <c r="AQ1">
        <v>32</v>
      </c>
      <c r="AR1">
        <v>33</v>
      </c>
      <c r="AS1">
        <v>34</v>
      </c>
      <c r="AT1">
        <v>35</v>
      </c>
      <c r="AU1">
        <v>36</v>
      </c>
      <c r="AV1">
        <v>37</v>
      </c>
      <c r="AW1">
        <v>38</v>
      </c>
      <c r="AX1">
        <v>39</v>
      </c>
      <c r="AY1">
        <v>40</v>
      </c>
      <c r="AZ1">
        <v>41</v>
      </c>
      <c r="BA1">
        <v>42</v>
      </c>
      <c r="BB1">
        <v>43</v>
      </c>
      <c r="BC1">
        <v>44</v>
      </c>
      <c r="BD1">
        <v>45</v>
      </c>
      <c r="BE1">
        <v>46</v>
      </c>
      <c r="BF1">
        <v>47</v>
      </c>
      <c r="BG1">
        <v>48</v>
      </c>
      <c r="BH1">
        <v>49</v>
      </c>
      <c r="BI1">
        <v>50</v>
      </c>
      <c r="BJ1">
        <v>51</v>
      </c>
      <c r="BK1">
        <v>52</v>
      </c>
      <c r="BL1">
        <v>53</v>
      </c>
      <c r="BM1">
        <v>54</v>
      </c>
      <c r="BN1">
        <v>55</v>
      </c>
      <c r="BO1">
        <v>56</v>
      </c>
      <c r="BP1">
        <v>57</v>
      </c>
      <c r="BQ1">
        <v>58</v>
      </c>
      <c r="BR1">
        <v>59</v>
      </c>
      <c r="BS1">
        <v>60</v>
      </c>
      <c r="BT1">
        <v>61</v>
      </c>
      <c r="BU1">
        <v>62</v>
      </c>
      <c r="BV1">
        <v>63</v>
      </c>
      <c r="BW1">
        <v>64</v>
      </c>
    </row>
    <row r="2" spans="1:103" x14ac:dyDescent="0.4">
      <c r="J2">
        <v>0</v>
      </c>
      <c r="K2">
        <v>1.1255968798437399</v>
      </c>
      <c r="L2">
        <v>0.90486657042182805</v>
      </c>
      <c r="M2">
        <v>1.24848629006667</v>
      </c>
      <c r="N2">
        <v>1.3080334265993401</v>
      </c>
      <c r="O2">
        <v>0.90193523827219302</v>
      </c>
      <c r="P2">
        <v>0.95949605020139905</v>
      </c>
      <c r="Q2">
        <v>0.95354984597903802</v>
      </c>
      <c r="R2">
        <v>0.81501333195160197</v>
      </c>
      <c r="S2">
        <v>1.1690557608630401</v>
      </c>
      <c r="T2">
        <v>1.15907985672611</v>
      </c>
      <c r="U2">
        <v>1.0329419623237099</v>
      </c>
      <c r="V2">
        <v>1.0725485646083299</v>
      </c>
      <c r="W2">
        <v>0.90119035227104605</v>
      </c>
      <c r="X2">
        <v>1.0437304140675301</v>
      </c>
      <c r="Y2">
        <v>1.1711349069231101</v>
      </c>
      <c r="Z2">
        <v>1.24756798113283</v>
      </c>
      <c r="AA2">
        <v>0.93992561567810595</v>
      </c>
      <c r="AB2">
        <v>1.17427365648335</v>
      </c>
      <c r="AC2">
        <v>1.3239843122606001</v>
      </c>
      <c r="AD2">
        <v>0.96557476164664702</v>
      </c>
      <c r="AE2">
        <v>0.98510662358154999</v>
      </c>
      <c r="AF2">
        <v>0.99331881401770294</v>
      </c>
      <c r="AG2">
        <v>1.1709596919888701</v>
      </c>
      <c r="AH2">
        <v>0.96099140463117405</v>
      </c>
      <c r="AI2">
        <v>1.43392927626994</v>
      </c>
      <c r="AJ2">
        <v>1.1406736536123401</v>
      </c>
      <c r="AK2">
        <v>0.91450176839696995</v>
      </c>
      <c r="AL2">
        <v>0.969637858146979</v>
      </c>
      <c r="AM2">
        <v>1.07874110751079</v>
      </c>
      <c r="AN2">
        <v>0.83033976407590904</v>
      </c>
      <c r="AO2">
        <v>0.63668638500911501</v>
      </c>
      <c r="AP2">
        <v>1.0501906088791999</v>
      </c>
      <c r="AQ2">
        <v>1.4118285286719101</v>
      </c>
      <c r="AR2">
        <v>1.08491767061598</v>
      </c>
      <c r="AS2">
        <v>0.946722782422314</v>
      </c>
      <c r="AT2">
        <v>1.0196380685728199</v>
      </c>
      <c r="AU2">
        <v>1.0304866486350901</v>
      </c>
      <c r="AV2">
        <v>1.0733896198817301</v>
      </c>
      <c r="AW2">
        <v>1.1089634021430199</v>
      </c>
      <c r="AX2">
        <v>0.973067349783591</v>
      </c>
      <c r="AY2">
        <v>1.0615283659136401</v>
      </c>
      <c r="AZ2">
        <v>0.98253037094314</v>
      </c>
      <c r="BA2">
        <v>0.89609683760181302</v>
      </c>
      <c r="BB2">
        <v>1.1557655997393199</v>
      </c>
      <c r="BC2">
        <v>0.84384191913066497</v>
      </c>
      <c r="BD2">
        <v>1.0709291260301199</v>
      </c>
      <c r="BE2">
        <v>1.05395823632243</v>
      </c>
      <c r="BF2">
        <v>1.0900256776971999</v>
      </c>
      <c r="BG2">
        <v>1.10106236590951</v>
      </c>
      <c r="BH2">
        <v>0.96909098916464398</v>
      </c>
      <c r="BI2">
        <v>1.0389155364210001</v>
      </c>
      <c r="BJ2">
        <v>1.0410798471377301</v>
      </c>
      <c r="BK2">
        <v>1.0737002465499501</v>
      </c>
      <c r="BL2">
        <v>1.10084328637249</v>
      </c>
      <c r="BM2">
        <v>0.940114461488468</v>
      </c>
      <c r="BN2">
        <v>1.0653195897966501</v>
      </c>
      <c r="BO2">
        <v>1.1416449270586</v>
      </c>
      <c r="BP2">
        <v>0.91390779928010701</v>
      </c>
      <c r="BQ2">
        <v>0.99137195686575297</v>
      </c>
      <c r="BR2">
        <v>0.97499004462252303</v>
      </c>
      <c r="BS2">
        <v>1.0502116213627599</v>
      </c>
      <c r="BT2">
        <v>1.0080126927158299</v>
      </c>
      <c r="BU2">
        <v>0.97874372814884902</v>
      </c>
      <c r="BV2">
        <v>1.05602778627563</v>
      </c>
      <c r="BW2">
        <v>1.0866690085567701</v>
      </c>
    </row>
    <row r="3" spans="1:103" ht="18" thickBot="1" x14ac:dyDescent="0.45">
      <c r="A3" s="2" t="s">
        <v>18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CB3" s="21"/>
      <c r="CC3" s="21" t="s">
        <v>660</v>
      </c>
      <c r="CE3" s="21"/>
      <c r="CF3" s="21"/>
      <c r="CG3" s="11" t="s">
        <v>662</v>
      </c>
    </row>
    <row r="4" spans="1:103" x14ac:dyDescent="0.4">
      <c r="A4" s="4" t="s">
        <v>9</v>
      </c>
      <c r="B4" s="4" t="s">
        <v>1</v>
      </c>
      <c r="C4" s="4" t="s">
        <v>2</v>
      </c>
      <c r="J4">
        <v>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Z4" s="22" t="s">
        <v>661</v>
      </c>
      <c r="CA4" s="23" t="s">
        <v>14</v>
      </c>
      <c r="CB4" s="23" t="s">
        <v>15</v>
      </c>
      <c r="CC4" s="23" t="s">
        <v>16</v>
      </c>
      <c r="CD4" s="24" t="s">
        <v>25</v>
      </c>
      <c r="CE4" s="24" t="s">
        <v>26</v>
      </c>
      <c r="CF4" s="24" t="s">
        <v>27</v>
      </c>
      <c r="CG4" s="25" t="s">
        <v>28</v>
      </c>
      <c r="CI4" s="22"/>
      <c r="CJ4" s="24" t="s">
        <v>25</v>
      </c>
      <c r="CK4" s="24" t="s">
        <v>26</v>
      </c>
      <c r="CL4" s="24" t="s">
        <v>27</v>
      </c>
      <c r="CM4" s="25" t="s">
        <v>28</v>
      </c>
      <c r="CO4" s="22">
        <v>20170531</v>
      </c>
      <c r="CP4" s="23" t="s">
        <v>665</v>
      </c>
      <c r="CQ4" s="23" t="s">
        <v>666</v>
      </c>
      <c r="CR4" s="23" t="s">
        <v>667</v>
      </c>
      <c r="CS4" s="23" t="s">
        <v>668</v>
      </c>
      <c r="CT4" s="23" t="s">
        <v>669</v>
      </c>
      <c r="CU4" s="23" t="s">
        <v>670</v>
      </c>
      <c r="CV4" s="23" t="s">
        <v>671</v>
      </c>
      <c r="CW4" s="23" t="s">
        <v>672</v>
      </c>
      <c r="CX4" s="23" t="s">
        <v>673</v>
      </c>
      <c r="CY4" s="40" t="s">
        <v>674</v>
      </c>
    </row>
    <row r="5" spans="1:103" ht="18" thickBot="1" x14ac:dyDescent="0.45">
      <c r="A5" s="5"/>
      <c r="B5" s="5"/>
      <c r="C5" s="5"/>
      <c r="J5">
        <v>3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Z5" s="26">
        <v>71.029383701544106</v>
      </c>
      <c r="CA5" s="32">
        <v>27.98275397976002</v>
      </c>
      <c r="CB5" s="32">
        <v>47.00514327700219</v>
      </c>
      <c r="CC5" s="32">
        <v>41.384914904439285</v>
      </c>
      <c r="CD5" s="32">
        <v>94.188331326603361</v>
      </c>
      <c r="CE5" s="32">
        <v>82.873368430785661</v>
      </c>
      <c r="CF5" s="32">
        <v>105.93084153060562</v>
      </c>
      <c r="CG5" s="33">
        <v>94.535349491603853</v>
      </c>
      <c r="CI5" s="30" t="s">
        <v>676</v>
      </c>
      <c r="CJ5" s="36">
        <v>0.14027777777777783</v>
      </c>
      <c r="CK5" s="36">
        <v>0.14013888888888892</v>
      </c>
      <c r="CL5" s="36">
        <v>0.16194444444444445</v>
      </c>
      <c r="CM5" s="37">
        <v>0.16236111111111109</v>
      </c>
      <c r="CO5" s="31" t="s">
        <v>690</v>
      </c>
      <c r="CP5" s="34">
        <v>6.5000000000000002E-2</v>
      </c>
      <c r="CQ5" s="34">
        <v>0</v>
      </c>
      <c r="CR5" s="34">
        <v>0.20499999999999999</v>
      </c>
      <c r="CS5" s="34">
        <v>0.16</v>
      </c>
      <c r="CT5" s="34">
        <v>0.24</v>
      </c>
      <c r="CU5" s="34">
        <v>0.21</v>
      </c>
      <c r="CV5" s="34">
        <v>5.0000000000000001E-3</v>
      </c>
      <c r="CW5" s="34">
        <v>5.5E-2</v>
      </c>
      <c r="CX5" s="34">
        <v>5.0000000000000001E-3</v>
      </c>
      <c r="CY5" s="35">
        <v>5.5E-2</v>
      </c>
    </row>
    <row r="6" spans="1:103" ht="18" thickBot="1" x14ac:dyDescent="0.45">
      <c r="A6" s="5"/>
      <c r="B6" s="5"/>
      <c r="C6" s="5"/>
      <c r="J6">
        <v>4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CG6" s="20"/>
      <c r="CI6" s="31" t="s">
        <v>677</v>
      </c>
      <c r="CJ6" s="38">
        <v>0.54054054054054057</v>
      </c>
      <c r="CK6" s="38">
        <v>0.54054054054054057</v>
      </c>
      <c r="CL6" s="38">
        <v>0.51351351351351349</v>
      </c>
      <c r="CM6" s="39">
        <v>0.51351351351351349</v>
      </c>
    </row>
    <row r="7" spans="1:103" x14ac:dyDescent="0.4">
      <c r="A7" s="6"/>
      <c r="B7" s="6"/>
      <c r="C7" s="6"/>
    </row>
    <row r="9" spans="1:103" ht="18" thickBot="1" x14ac:dyDescent="0.45">
      <c r="A9" s="9"/>
      <c r="B9" s="9"/>
      <c r="C9" s="9"/>
      <c r="D9" s="9"/>
      <c r="E9" s="3"/>
      <c r="F9" s="4" t="s">
        <v>3</v>
      </c>
      <c r="G9" s="4" t="s">
        <v>4</v>
      </c>
      <c r="H9" s="4" t="s">
        <v>5</v>
      </c>
      <c r="CA9">
        <v>20170531</v>
      </c>
    </row>
    <row r="10" spans="1:103" x14ac:dyDescent="0.4">
      <c r="A10" s="8" t="s">
        <v>19</v>
      </c>
      <c r="B10" s="8" t="s">
        <v>20</v>
      </c>
      <c r="C10" s="8" t="s">
        <v>21</v>
      </c>
      <c r="D10" s="8" t="s">
        <v>22</v>
      </c>
      <c r="E10" s="8" t="s">
        <v>11</v>
      </c>
      <c r="F10" s="10" t="s">
        <v>14</v>
      </c>
      <c r="G10" s="10" t="s">
        <v>15</v>
      </c>
      <c r="H10" s="10" t="s">
        <v>16</v>
      </c>
      <c r="BZ10">
        <v>1</v>
      </c>
      <c r="CA10" s="16">
        <v>0.105</v>
      </c>
      <c r="CB10" s="22">
        <v>20170531</v>
      </c>
      <c r="CC10" s="23" t="s">
        <v>686</v>
      </c>
      <c r="CD10" s="23" t="s">
        <v>687</v>
      </c>
      <c r="CE10" s="23" t="s">
        <v>688</v>
      </c>
      <c r="CF10" s="40" t="s">
        <v>547</v>
      </c>
    </row>
    <row r="11" spans="1:103" ht="18" thickBot="1" x14ac:dyDescent="0.45">
      <c r="A11" s="7" t="s">
        <v>6</v>
      </c>
      <c r="B11" s="7"/>
      <c r="C11" s="5" t="s">
        <v>10</v>
      </c>
      <c r="D11" s="5"/>
      <c r="E11" t="s">
        <v>23</v>
      </c>
      <c r="F11" s="11"/>
      <c r="G11" s="11"/>
      <c r="H11" s="11"/>
      <c r="L11" s="10"/>
      <c r="M11" s="10"/>
      <c r="N11" s="10"/>
      <c r="P11" s="10" t="s">
        <v>14</v>
      </c>
      <c r="Q11" s="10" t="s">
        <v>15</v>
      </c>
      <c r="R11" s="10" t="s">
        <v>16</v>
      </c>
      <c r="S11" s="14" t="s">
        <v>25</v>
      </c>
      <c r="T11" s="14" t="s">
        <v>26</v>
      </c>
      <c r="U11" s="14" t="s">
        <v>27</v>
      </c>
      <c r="V11" s="14" t="s">
        <v>28</v>
      </c>
      <c r="AG11" t="s">
        <v>659</v>
      </c>
      <c r="BZ11">
        <v>2</v>
      </c>
      <c r="CA11" s="16">
        <v>0.22</v>
      </c>
      <c r="CB11" s="31" t="s">
        <v>689</v>
      </c>
      <c r="CC11" s="34">
        <v>0.105</v>
      </c>
      <c r="CD11" s="34">
        <v>0.22</v>
      </c>
      <c r="CE11" s="34">
        <v>0.51500000000000001</v>
      </c>
      <c r="CF11" s="35">
        <v>0.16</v>
      </c>
    </row>
    <row r="12" spans="1:103" x14ac:dyDescent="0.4">
      <c r="A12" s="7" t="s">
        <v>7</v>
      </c>
      <c r="B12" s="7">
        <v>20080229</v>
      </c>
      <c r="C12" s="5" t="s">
        <v>8</v>
      </c>
      <c r="D12" s="5"/>
      <c r="E12" t="s">
        <v>12</v>
      </c>
      <c r="F12" s="12">
        <v>2117.59</v>
      </c>
      <c r="G12" s="12">
        <v>2041.5</v>
      </c>
      <c r="H12" s="12">
        <v>1710.43</v>
      </c>
      <c r="I12" s="10" t="s">
        <v>14</v>
      </c>
      <c r="J12" s="10" t="s">
        <v>15</v>
      </c>
      <c r="K12" s="10" t="s">
        <v>16</v>
      </c>
      <c r="L12" s="14" t="s">
        <v>25</v>
      </c>
      <c r="M12" s="14" t="s">
        <v>26</v>
      </c>
      <c r="N12" s="14" t="s">
        <v>27</v>
      </c>
      <c r="O12" s="14" t="s">
        <v>28</v>
      </c>
      <c r="P12">
        <v>100</v>
      </c>
      <c r="Q12">
        <v>100</v>
      </c>
      <c r="R12">
        <v>100</v>
      </c>
      <c r="S12">
        <v>100</v>
      </c>
      <c r="T12">
        <v>100</v>
      </c>
      <c r="U12">
        <v>100</v>
      </c>
      <c r="V12">
        <v>100</v>
      </c>
      <c r="AD12" t="s">
        <v>678</v>
      </c>
      <c r="AF12" s="19">
        <v>20060418</v>
      </c>
      <c r="AG12" s="17">
        <v>1000.03</v>
      </c>
      <c r="AH12">
        <f>VLOOKUP(B12,$AF$12:$AG$4002,2,FALSE)</f>
        <v>1549.9909680000001</v>
      </c>
      <c r="AJ12">
        <v>100</v>
      </c>
      <c r="BZ12">
        <v>3</v>
      </c>
      <c r="CA12" s="16">
        <v>0.51500000000000001</v>
      </c>
    </row>
    <row r="13" spans="1:103" x14ac:dyDescent="0.4">
      <c r="A13" s="7" t="s">
        <v>7</v>
      </c>
      <c r="B13" s="7">
        <v>20080530</v>
      </c>
      <c r="C13" s="5" t="s">
        <v>8</v>
      </c>
      <c r="D13" s="5"/>
      <c r="E13" t="s">
        <v>12</v>
      </c>
      <c r="F13" s="12">
        <v>2303.04</v>
      </c>
      <c r="G13" s="12">
        <v>2284.63</v>
      </c>
      <c r="H13" s="12">
        <v>1859.31</v>
      </c>
      <c r="I13">
        <f>F13/F12</f>
        <v>1.0875759707969908</v>
      </c>
      <c r="J13">
        <f>G13/G12</f>
        <v>1.1190938035758022</v>
      </c>
      <c r="K13">
        <f>H13/H12</f>
        <v>1.0870424396204463</v>
      </c>
      <c r="L13">
        <v>1.07874110751079</v>
      </c>
      <c r="M13">
        <v>1.04799917920313</v>
      </c>
      <c r="N13">
        <v>1.07056083266498</v>
      </c>
      <c r="O13">
        <v>1.0587745571901499</v>
      </c>
      <c r="P13">
        <f>P12*I13</f>
        <v>108.75759707969908</v>
      </c>
      <c r="Q13">
        <f t="shared" ref="Q13:V13" si="0">Q12*J13</f>
        <v>111.90938035758022</v>
      </c>
      <c r="R13">
        <f t="shared" si="0"/>
        <v>108.70424396204463</v>
      </c>
      <c r="S13">
        <f t="shared" si="0"/>
        <v>107.874110751079</v>
      </c>
      <c r="T13">
        <f t="shared" si="0"/>
        <v>104.79991792031301</v>
      </c>
      <c r="U13">
        <f t="shared" si="0"/>
        <v>107.05608326649801</v>
      </c>
      <c r="V13">
        <f t="shared" si="0"/>
        <v>105.87745571901499</v>
      </c>
      <c r="AD13" s="16">
        <f>N13-K13</f>
        <v>-1.6481606955466299E-2</v>
      </c>
      <c r="AE13" s="16">
        <f>AD13</f>
        <v>-1.6481606955466299E-2</v>
      </c>
      <c r="AF13" s="19">
        <v>20060419</v>
      </c>
      <c r="AG13" s="17">
        <v>1002.1</v>
      </c>
      <c r="AH13">
        <f>VLOOKUP(B13,$AF$12:$AG$4002,2,FALSE)</f>
        <v>1617.977257741416</v>
      </c>
      <c r="AI13">
        <f>AH13/AH12</f>
        <v>1.0438623780041381</v>
      </c>
      <c r="AJ13">
        <f>AJ12*AI13</f>
        <v>104.38623780041381</v>
      </c>
      <c r="BZ13" t="s">
        <v>547</v>
      </c>
      <c r="CA13" s="16">
        <v>0.16</v>
      </c>
    </row>
    <row r="14" spans="1:103" x14ac:dyDescent="0.4">
      <c r="A14" s="7" t="s">
        <v>7</v>
      </c>
      <c r="B14" s="7">
        <v>20080829</v>
      </c>
      <c r="C14" s="5" t="s">
        <v>8</v>
      </c>
      <c r="D14" s="5"/>
      <c r="E14" t="s">
        <v>13</v>
      </c>
      <c r="F14" s="12">
        <v>1921.17</v>
      </c>
      <c r="G14" s="12">
        <v>1878.28</v>
      </c>
      <c r="H14" s="12">
        <v>1483.19</v>
      </c>
      <c r="I14">
        <f t="shared" ref="I14:I49" si="1">F14/F13</f>
        <v>0.83418872446852865</v>
      </c>
      <c r="J14">
        <f t="shared" ref="J14:J49" si="2">G14/G13</f>
        <v>0.82213750147726328</v>
      </c>
      <c r="K14">
        <f t="shared" ref="K14:K49" si="3">H14/H13</f>
        <v>0.79770990313610968</v>
      </c>
      <c r="L14">
        <v>0.83033976407590904</v>
      </c>
      <c r="M14">
        <v>0.83493123659813095</v>
      </c>
      <c r="N14">
        <v>0.82180636241733995</v>
      </c>
      <c r="O14">
        <v>0.82812506093178995</v>
      </c>
      <c r="P14">
        <f t="shared" ref="P14:P49" si="4">P13*I14</f>
        <v>90.72436118417636</v>
      </c>
      <c r="Q14">
        <f t="shared" ref="Q14:Q49" si="5">Q13*J14</f>
        <v>92.004898359049719</v>
      </c>
      <c r="R14">
        <f t="shared" ref="R14:R49" si="6">R13*K14</f>
        <v>86.714451921446653</v>
      </c>
      <c r="S14">
        <f t="shared" ref="S14:S49" si="7">S13*L14</f>
        <v>89.572163670949422</v>
      </c>
      <c r="T14">
        <f t="shared" ref="T14:T49" si="8">T13*M14</f>
        <v>87.50072506458956</v>
      </c>
      <c r="U14">
        <f t="shared" ref="U14:U49" si="9">U13*N14</f>
        <v>87.979370363888577</v>
      </c>
      <c r="V14">
        <f t="shared" ref="V14:V49" si="10">V13*O14</f>
        <v>87.67977446861218</v>
      </c>
      <c r="AD14" s="16">
        <f t="shared" ref="AD14:AD49" si="11">N14-K14</f>
        <v>2.4096459281230276E-2</v>
      </c>
      <c r="AE14" s="16">
        <f>AE13+AD14</f>
        <v>7.6148523257639766E-3</v>
      </c>
      <c r="AF14" s="19">
        <v>20060420</v>
      </c>
      <c r="AG14" s="17">
        <v>1007.86</v>
      </c>
      <c r="AH14">
        <f t="shared" ref="AH14:AH48" si="12">VLOOKUP(B14,$AF$12:$AG$4002,2,FALSE)</f>
        <v>1378.6006919204519</v>
      </c>
      <c r="AI14">
        <f t="shared" ref="AI14:AI49" si="13">AH14/AH13</f>
        <v>0.85205195890384944</v>
      </c>
      <c r="AJ14">
        <f t="shared" ref="AJ14:AJ49" si="14">AJ13*AI14</f>
        <v>88.942498400445643</v>
      </c>
      <c r="CA14" s="16"/>
    </row>
    <row r="15" spans="1:103" x14ac:dyDescent="0.4">
      <c r="A15" s="7" t="s">
        <v>7</v>
      </c>
      <c r="B15" s="7">
        <v>20081128</v>
      </c>
      <c r="C15" s="5" t="s">
        <v>8</v>
      </c>
      <c r="D15" s="5"/>
      <c r="E15" t="s">
        <v>12</v>
      </c>
      <c r="F15" s="12">
        <v>1404.6</v>
      </c>
      <c r="G15" s="12">
        <v>1422.32</v>
      </c>
      <c r="H15" s="12">
        <v>1088.45</v>
      </c>
      <c r="I15">
        <f t="shared" si="1"/>
        <v>0.73111697559299793</v>
      </c>
      <c r="J15">
        <f t="shared" si="2"/>
        <v>0.75724599101305445</v>
      </c>
      <c r="K15">
        <f t="shared" si="3"/>
        <v>0.73385742892009787</v>
      </c>
      <c r="L15">
        <v>0.63668638500911501</v>
      </c>
      <c r="M15">
        <v>0.64499550243326598</v>
      </c>
      <c r="N15">
        <v>0.64417258301978197</v>
      </c>
      <c r="O15">
        <v>0.64482149260028199</v>
      </c>
      <c r="P15">
        <f t="shared" si="4"/>
        <v>66.330120561581793</v>
      </c>
      <c r="Q15">
        <f t="shared" si="5"/>
        <v>69.670340435953946</v>
      </c>
      <c r="R15">
        <f t="shared" si="6"/>
        <v>63.63604473728828</v>
      </c>
      <c r="S15">
        <f t="shared" si="7"/>
        <v>57.029377085101565</v>
      </c>
      <c r="T15">
        <f t="shared" si="8"/>
        <v>56.437574126310011</v>
      </c>
      <c r="U15">
        <f t="shared" si="9"/>
        <v>56.673898259760158</v>
      </c>
      <c r="V15">
        <f t="shared" si="10"/>
        <v>56.537803043706603</v>
      </c>
      <c r="AD15" s="16">
        <f t="shared" si="11"/>
        <v>-8.968484590031589E-2</v>
      </c>
      <c r="AE15" s="16">
        <f t="shared" ref="AE15:AE49" si="15">AE14+AD15</f>
        <v>-8.2069993574551914E-2</v>
      </c>
      <c r="AF15" s="19">
        <v>20060421</v>
      </c>
      <c r="AG15" s="17">
        <v>1017.49</v>
      </c>
      <c r="AH15">
        <f t="shared" si="12"/>
        <v>952.19053953223204</v>
      </c>
      <c r="AI15">
        <f t="shared" si="13"/>
        <v>0.69069350183321643</v>
      </c>
      <c r="AJ15">
        <f t="shared" si="14"/>
        <v>61.432005681999051</v>
      </c>
      <c r="CA15" s="16"/>
    </row>
    <row r="16" spans="1:103" x14ac:dyDescent="0.4">
      <c r="A16" s="7" t="s">
        <v>7</v>
      </c>
      <c r="B16" s="7">
        <v>20090227</v>
      </c>
      <c r="C16" s="5" t="s">
        <v>8</v>
      </c>
      <c r="D16" s="5"/>
      <c r="E16" t="s">
        <v>12</v>
      </c>
      <c r="F16" s="12">
        <v>1400.86</v>
      </c>
      <c r="G16" s="12">
        <v>1380.84</v>
      </c>
      <c r="H16" s="12">
        <v>1075.26</v>
      </c>
      <c r="I16">
        <f t="shared" si="1"/>
        <v>0.9973373202335184</v>
      </c>
      <c r="J16">
        <f t="shared" si="2"/>
        <v>0.97083637999887507</v>
      </c>
      <c r="K16">
        <f t="shared" si="3"/>
        <v>0.98788185033763609</v>
      </c>
      <c r="L16">
        <v>1.0501906088791999</v>
      </c>
      <c r="M16">
        <v>1.0482703111121601</v>
      </c>
      <c r="N16">
        <v>1.06161782958198</v>
      </c>
      <c r="O16">
        <v>1.0583117500446599</v>
      </c>
      <c r="P16">
        <f t="shared" si="4"/>
        <v>66.153504691654177</v>
      </c>
      <c r="Q16">
        <f t="shared" si="5"/>
        <v>67.638501102130775</v>
      </c>
      <c r="R16">
        <f t="shared" si="6"/>
        <v>62.864893623240938</v>
      </c>
      <c r="S16">
        <f t="shared" si="7"/>
        <v>59.891716245004304</v>
      </c>
      <c r="T16">
        <f t="shared" si="8"/>
        <v>59.161833387802588</v>
      </c>
      <c r="U16">
        <f t="shared" si="9"/>
        <v>60.166020864476536</v>
      </c>
      <c r="V16">
        <f t="shared" si="10"/>
        <v>59.834621282865434</v>
      </c>
      <c r="AD16" s="16">
        <f t="shared" si="11"/>
        <v>7.3735979244343941E-2</v>
      </c>
      <c r="AE16" s="16">
        <f t="shared" si="15"/>
        <v>-8.3340143302079728E-3</v>
      </c>
      <c r="AF16" s="19">
        <v>20060422</v>
      </c>
      <c r="AG16" s="18">
        <v>1017.5</v>
      </c>
      <c r="AH16">
        <f t="shared" si="12"/>
        <v>1039.746347799588</v>
      </c>
      <c r="AI16">
        <f t="shared" si="13"/>
        <v>1.0919519829616959</v>
      </c>
      <c r="AJ16">
        <f t="shared" si="14"/>
        <v>67.080800421773034</v>
      </c>
      <c r="BZ16" t="s">
        <v>665</v>
      </c>
      <c r="CA16" s="16">
        <v>6.5000000000000002E-2</v>
      </c>
    </row>
    <row r="17" spans="1:79" x14ac:dyDescent="0.4">
      <c r="A17" s="7" t="s">
        <v>7</v>
      </c>
      <c r="B17" s="7">
        <v>20090529</v>
      </c>
      <c r="C17" s="5" t="s">
        <v>8</v>
      </c>
      <c r="D17" s="5"/>
      <c r="E17" t="s">
        <v>12</v>
      </c>
      <c r="F17" s="12">
        <v>1877.36</v>
      </c>
      <c r="G17" s="12">
        <v>1849.13</v>
      </c>
      <c r="H17" s="12">
        <v>1407.57</v>
      </c>
      <c r="I17">
        <f t="shared" si="1"/>
        <v>1.3401481946804106</v>
      </c>
      <c r="J17">
        <f t="shared" si="2"/>
        <v>1.3391341502273979</v>
      </c>
      <c r="K17">
        <f t="shared" si="3"/>
        <v>1.3090508342168405</v>
      </c>
      <c r="L17">
        <v>1.4118285286719101</v>
      </c>
      <c r="M17">
        <v>1.4192071076861399</v>
      </c>
      <c r="N17">
        <v>1.4402081835485401</v>
      </c>
      <c r="O17">
        <v>1.4316652739146101</v>
      </c>
      <c r="P17">
        <f t="shared" si="4"/>
        <v>88.655499884302415</v>
      </c>
      <c r="Q17">
        <f t="shared" si="5"/>
        <v>90.577026696056805</v>
      </c>
      <c r="R17">
        <f t="shared" si="6"/>
        <v>82.293341440456487</v>
      </c>
      <c r="S17">
        <f t="shared" si="7"/>
        <v>84.556833625819962</v>
      </c>
      <c r="T17">
        <f t="shared" si="8"/>
        <v>83.962894447712614</v>
      </c>
      <c r="U17">
        <f t="shared" si="9"/>
        <v>86.651595620571314</v>
      </c>
      <c r="V17">
        <f t="shared" si="10"/>
        <v>85.663149468510497</v>
      </c>
      <c r="AD17" s="16">
        <f t="shared" si="11"/>
        <v>0.13115734933169954</v>
      </c>
      <c r="AE17" s="16">
        <f t="shared" si="15"/>
        <v>0.12282333500149156</v>
      </c>
      <c r="AF17" s="19">
        <v>20060423</v>
      </c>
      <c r="AG17" s="17">
        <v>1017.5</v>
      </c>
      <c r="AH17">
        <f t="shared" si="12"/>
        <v>1350.777640723368</v>
      </c>
      <c r="AI17">
        <f t="shared" si="13"/>
        <v>1.2991415104097404</v>
      </c>
      <c r="AJ17">
        <f t="shared" si="14"/>
        <v>87.147452379436572</v>
      </c>
      <c r="BZ17" t="s">
        <v>666</v>
      </c>
      <c r="CA17" s="16">
        <v>0</v>
      </c>
    </row>
    <row r="18" spans="1:79" x14ac:dyDescent="0.4">
      <c r="A18" s="7" t="s">
        <v>7</v>
      </c>
      <c r="B18" s="7">
        <v>20090831</v>
      </c>
      <c r="C18" s="5" t="s">
        <v>8</v>
      </c>
      <c r="D18" s="5"/>
      <c r="E18" t="s">
        <v>24</v>
      </c>
      <c r="F18" s="12">
        <v>2071.81</v>
      </c>
      <c r="G18" s="12">
        <v>2116.48</v>
      </c>
      <c r="H18" s="12">
        <v>1622.87</v>
      </c>
      <c r="I18">
        <f t="shared" si="1"/>
        <v>1.1035762986321218</v>
      </c>
      <c r="J18">
        <f t="shared" si="2"/>
        <v>1.1445815058973678</v>
      </c>
      <c r="K18">
        <f t="shared" si="3"/>
        <v>1.1529586450407439</v>
      </c>
      <c r="L18">
        <v>1.08491767061598</v>
      </c>
      <c r="M18">
        <v>1.0799785017049</v>
      </c>
      <c r="N18">
        <v>1.0837183365024099</v>
      </c>
      <c r="O18">
        <v>1.07823965813975</v>
      </c>
      <c r="P18">
        <f t="shared" si="4"/>
        <v>97.838108415698969</v>
      </c>
      <c r="Q18">
        <f t="shared" si="5"/>
        <v>103.67278961547879</v>
      </c>
      <c r="R18">
        <f t="shared" si="6"/>
        <v>94.880819443064013</v>
      </c>
      <c r="S18">
        <f t="shared" si="7"/>
        <v>91.737202971987557</v>
      </c>
      <c r="T18">
        <f t="shared" si="8"/>
        <v>90.678120944447329</v>
      </c>
      <c r="U18">
        <f t="shared" si="9"/>
        <v>93.905923061205044</v>
      </c>
      <c r="V18">
        <f t="shared" si="10"/>
        <v>92.36540499810107</v>
      </c>
      <c r="AD18" s="16">
        <f t="shared" si="11"/>
        <v>-6.9240308538333961E-2</v>
      </c>
      <c r="AE18" s="16">
        <f t="shared" si="15"/>
        <v>5.3583026463157601E-2</v>
      </c>
      <c r="AF18" s="19">
        <v>20060424</v>
      </c>
      <c r="AG18" s="17">
        <v>1015.32</v>
      </c>
      <c r="AH18">
        <f t="shared" si="12"/>
        <v>1439.593244793132</v>
      </c>
      <c r="AI18">
        <f t="shared" si="13"/>
        <v>1.0657514615227133</v>
      </c>
      <c r="AJ18">
        <f t="shared" si="14"/>
        <v>92.877524741365576</v>
      </c>
      <c r="BZ18" t="s">
        <v>667</v>
      </c>
      <c r="CA18" s="16">
        <v>0.20499999999999999</v>
      </c>
    </row>
    <row r="19" spans="1:79" x14ac:dyDescent="0.4">
      <c r="A19" s="7" t="s">
        <v>7</v>
      </c>
      <c r="B19" s="7">
        <v>20091130</v>
      </c>
      <c r="C19" s="5" t="s">
        <v>8</v>
      </c>
      <c r="D19" s="5"/>
      <c r="E19" t="s">
        <v>13</v>
      </c>
      <c r="F19" s="12">
        <v>2071.0500000000002</v>
      </c>
      <c r="G19" s="12">
        <v>2082.13</v>
      </c>
      <c r="H19" s="12">
        <v>1593.12</v>
      </c>
      <c r="I19">
        <f t="shared" si="1"/>
        <v>0.99963317099540994</v>
      </c>
      <c r="J19">
        <f t="shared" si="2"/>
        <v>0.983770222255821</v>
      </c>
      <c r="K19">
        <f t="shared" si="3"/>
        <v>0.98166827903652176</v>
      </c>
      <c r="L19">
        <v>0.946722782422314</v>
      </c>
      <c r="M19">
        <v>0.95240177770590495</v>
      </c>
      <c r="N19">
        <v>0.93906337977769505</v>
      </c>
      <c r="O19">
        <v>0.93893626123493601</v>
      </c>
      <c r="P19">
        <f t="shared" si="4"/>
        <v>97.80221855977787</v>
      </c>
      <c r="Q19">
        <f t="shared" si="5"/>
        <v>101.99020328190055</v>
      </c>
      <c r="R19">
        <f t="shared" si="6"/>
        <v>93.141490736247604</v>
      </c>
      <c r="S19">
        <f t="shared" si="7"/>
        <v>86.849700049280628</v>
      </c>
      <c r="T19">
        <f t="shared" si="8"/>
        <v>86.36200358652269</v>
      </c>
      <c r="U19">
        <f t="shared" si="9"/>
        <v>88.183613490999406</v>
      </c>
      <c r="V19">
        <f t="shared" si="10"/>
        <v>86.725228036367696</v>
      </c>
      <c r="AD19" s="16">
        <f t="shared" si="11"/>
        <v>-4.2604899258826712E-2</v>
      </c>
      <c r="AE19" s="16">
        <f t="shared" si="15"/>
        <v>1.097812720433089E-2</v>
      </c>
      <c r="AF19" s="19">
        <v>20060425</v>
      </c>
      <c r="AG19" s="17">
        <v>1018.48</v>
      </c>
      <c r="AH19">
        <f t="shared" si="12"/>
        <v>1367.923154326872</v>
      </c>
      <c r="AI19">
        <f t="shared" si="13"/>
        <v>0.95021504114062516</v>
      </c>
      <c r="AJ19">
        <f t="shared" si="14"/>
        <v>88.253620993156119</v>
      </c>
      <c r="BZ19" t="s">
        <v>668</v>
      </c>
      <c r="CA19" s="16">
        <v>0.16</v>
      </c>
    </row>
    <row r="20" spans="1:79" x14ac:dyDescent="0.4">
      <c r="A20" s="7" t="s">
        <v>7</v>
      </c>
      <c r="B20" s="7">
        <v>20100226</v>
      </c>
      <c r="C20" s="5" t="s">
        <v>8</v>
      </c>
      <c r="D20" s="5"/>
      <c r="E20" t="s">
        <v>12</v>
      </c>
      <c r="F20" s="12">
        <v>2181.42</v>
      </c>
      <c r="G20" s="12">
        <v>2193.2600000000002</v>
      </c>
      <c r="H20" s="12">
        <v>1621.47</v>
      </c>
      <c r="I20">
        <f t="shared" si="1"/>
        <v>1.0532918085029332</v>
      </c>
      <c r="J20">
        <f t="shared" si="2"/>
        <v>1.0533732283767105</v>
      </c>
      <c r="K20">
        <f t="shared" si="3"/>
        <v>1.017795269659536</v>
      </c>
      <c r="L20">
        <v>1.0196380685728199</v>
      </c>
      <c r="M20">
        <v>1.01801231124374</v>
      </c>
      <c r="N20">
        <v>1.01780080669411</v>
      </c>
      <c r="O20">
        <v>1.01819987425647</v>
      </c>
      <c r="P20">
        <f t="shared" si="4"/>
        <v>103.01427566242758</v>
      </c>
      <c r="Q20">
        <f t="shared" si="5"/>
        <v>107.43374969385256</v>
      </c>
      <c r="R20">
        <f t="shared" si="6"/>
        <v>94.798968680390303</v>
      </c>
      <c r="S20">
        <f t="shared" si="7"/>
        <v>88.555260414377244</v>
      </c>
      <c r="T20">
        <f t="shared" si="8"/>
        <v>87.917582874756135</v>
      </c>
      <c r="U20">
        <f t="shared" si="9"/>
        <v>89.75335294834079</v>
      </c>
      <c r="V20">
        <f t="shared" si="10"/>
        <v>88.303616281493277</v>
      </c>
      <c r="AD20" s="16">
        <f t="shared" si="11"/>
        <v>5.5370345739547133E-6</v>
      </c>
      <c r="AE20" s="16">
        <f t="shared" si="15"/>
        <v>1.0983664238904844E-2</v>
      </c>
      <c r="AF20" s="19">
        <v>20060426</v>
      </c>
      <c r="AG20" s="17">
        <v>1024.3699999999999</v>
      </c>
      <c r="AH20">
        <f t="shared" si="12"/>
        <v>1485.1148906777039</v>
      </c>
      <c r="AI20">
        <f t="shared" si="13"/>
        <v>1.0856712864170353</v>
      </c>
      <c r="AJ20">
        <f t="shared" si="14"/>
        <v>95.814422234601267</v>
      </c>
      <c r="BZ20" t="s">
        <v>669</v>
      </c>
      <c r="CA20" s="16">
        <v>0.24</v>
      </c>
    </row>
    <row r="21" spans="1:79" x14ac:dyDescent="0.4">
      <c r="A21" s="7" t="s">
        <v>7</v>
      </c>
      <c r="B21" s="7">
        <v>20100531</v>
      </c>
      <c r="C21" s="5" t="s">
        <v>8</v>
      </c>
      <c r="D21" s="5"/>
      <c r="E21" t="s">
        <v>12</v>
      </c>
      <c r="F21" s="12">
        <v>2189.4</v>
      </c>
      <c r="G21" s="12">
        <v>2216.92</v>
      </c>
      <c r="H21" s="12">
        <v>1671.81</v>
      </c>
      <c r="I21">
        <f t="shared" si="1"/>
        <v>1.0036581676155898</v>
      </c>
      <c r="J21">
        <f t="shared" si="2"/>
        <v>1.010787594722012</v>
      </c>
      <c r="K21">
        <f t="shared" si="3"/>
        <v>1.031045902791911</v>
      </c>
      <c r="L21">
        <v>1.0304866486350901</v>
      </c>
      <c r="M21">
        <v>1.01255954974412</v>
      </c>
      <c r="N21">
        <v>1.0345683352931501</v>
      </c>
      <c r="O21">
        <v>1.0082249729758199</v>
      </c>
      <c r="P21">
        <f t="shared" si="4"/>
        <v>103.39111914959931</v>
      </c>
      <c r="Q21">
        <f t="shared" si="5"/>
        <v>108.59270144501592</v>
      </c>
      <c r="R21">
        <f t="shared" si="6"/>
        <v>97.742088246815115</v>
      </c>
      <c r="S21">
        <f t="shared" si="7"/>
        <v>91.255013523419265</v>
      </c>
      <c r="T21">
        <f t="shared" si="8"/>
        <v>89.021788130254421</v>
      </c>
      <c r="U21">
        <f t="shared" si="9"/>
        <v>92.855976946743468</v>
      </c>
      <c r="V21">
        <f t="shared" si="10"/>
        <v>89.029911139075736</v>
      </c>
      <c r="AD21" s="16">
        <f t="shared" si="11"/>
        <v>3.52243250123907E-3</v>
      </c>
      <c r="AE21" s="16">
        <f t="shared" si="15"/>
        <v>1.4506096740143914E-2</v>
      </c>
      <c r="AF21" s="19">
        <v>20060427</v>
      </c>
      <c r="AG21" s="18">
        <v>1024.49</v>
      </c>
      <c r="AH21">
        <f t="shared" si="12"/>
        <v>1548.487889326145</v>
      </c>
      <c r="AI21">
        <f t="shared" si="13"/>
        <v>1.0426721185318679</v>
      </c>
      <c r="AJ21">
        <f t="shared" si="14"/>
        <v>99.903026617258618</v>
      </c>
      <c r="BZ21" t="s">
        <v>670</v>
      </c>
      <c r="CA21" s="16">
        <v>0.21</v>
      </c>
    </row>
    <row r="22" spans="1:79" x14ac:dyDescent="0.4">
      <c r="A22" s="7" t="s">
        <v>7</v>
      </c>
      <c r="B22" s="7">
        <v>20100831</v>
      </c>
      <c r="C22" s="5" t="s">
        <v>8</v>
      </c>
      <c r="D22" s="5"/>
      <c r="E22" t="s">
        <v>13</v>
      </c>
      <c r="F22" s="13">
        <v>2303</v>
      </c>
      <c r="G22" s="12">
        <v>2298.34</v>
      </c>
      <c r="H22" s="12">
        <v>1765.88</v>
      </c>
      <c r="I22">
        <f t="shared" si="1"/>
        <v>1.0518863615602447</v>
      </c>
      <c r="J22">
        <f t="shared" si="2"/>
        <v>1.0367266297385562</v>
      </c>
      <c r="K22">
        <f t="shared" si="3"/>
        <v>1.0562683558538353</v>
      </c>
      <c r="L22">
        <v>1.0733896198817301</v>
      </c>
      <c r="M22">
        <v>1.06848415044393</v>
      </c>
      <c r="N22">
        <v>1.0675612007753199</v>
      </c>
      <c r="O22">
        <v>1.0615117509671299</v>
      </c>
      <c r="P22">
        <f t="shared" si="4"/>
        <v>108.75570813991376</v>
      </c>
      <c r="Q22">
        <f t="shared" si="5"/>
        <v>112.58094538329659</v>
      </c>
      <c r="R22">
        <f t="shared" si="6"/>
        <v>103.24187485018388</v>
      </c>
      <c r="S22">
        <f t="shared" si="7"/>
        <v>97.952184278205138</v>
      </c>
      <c r="T22">
        <f t="shared" si="8"/>
        <v>95.118369661354421</v>
      </c>
      <c r="U22">
        <f t="shared" si="9"/>
        <v>99.129438248430887</v>
      </c>
      <c r="V22">
        <f t="shared" si="10"/>
        <v>94.50629686168827</v>
      </c>
      <c r="AD22" s="16">
        <f t="shared" si="11"/>
        <v>1.1292844921484635E-2</v>
      </c>
      <c r="AE22" s="16">
        <f t="shared" si="15"/>
        <v>2.5798941661628549E-2</v>
      </c>
      <c r="AF22" s="19">
        <v>20060428</v>
      </c>
      <c r="AG22" s="17">
        <v>1014.51</v>
      </c>
      <c r="AH22">
        <f t="shared" si="12"/>
        <v>1511.6862187517249</v>
      </c>
      <c r="AI22">
        <f t="shared" si="13"/>
        <v>0.97623380148589023</v>
      </c>
      <c r="AJ22">
        <f t="shared" si="14"/>
        <v>97.528711454512461</v>
      </c>
      <c r="BZ22" t="s">
        <v>671</v>
      </c>
      <c r="CA22" s="16">
        <v>5.0000000000000001E-3</v>
      </c>
    </row>
    <row r="23" spans="1:79" x14ac:dyDescent="0.4">
      <c r="A23" s="7" t="s">
        <v>7</v>
      </c>
      <c r="B23" s="7">
        <v>20101130</v>
      </c>
      <c r="C23" s="5" t="s">
        <v>8</v>
      </c>
      <c r="D23" s="5"/>
      <c r="E23" t="s">
        <v>13</v>
      </c>
      <c r="F23" s="12">
        <v>2468.83</v>
      </c>
      <c r="G23" s="12">
        <v>2478.7399999999998</v>
      </c>
      <c r="H23" s="12">
        <v>1930.15</v>
      </c>
      <c r="I23">
        <f t="shared" si="1"/>
        <v>1.0720060790273556</v>
      </c>
      <c r="J23">
        <f t="shared" si="2"/>
        <v>1.0784914329472575</v>
      </c>
      <c r="K23">
        <f t="shared" si="3"/>
        <v>1.0930244410718735</v>
      </c>
      <c r="L23">
        <v>1.1089634021430199</v>
      </c>
      <c r="M23">
        <v>1.10790034594176</v>
      </c>
      <c r="N23">
        <v>1.12976094872083</v>
      </c>
      <c r="O23">
        <v>1.1241820959979301</v>
      </c>
      <c r="P23">
        <f t="shared" si="4"/>
        <v>116.58678025491241</v>
      </c>
      <c r="Q23">
        <f t="shared" si="5"/>
        <v>121.41758510898848</v>
      </c>
      <c r="R23">
        <f t="shared" si="6"/>
        <v>112.84589255333454</v>
      </c>
      <c r="S23">
        <f t="shared" si="7"/>
        <v>108.62538752449839</v>
      </c>
      <c r="T23">
        <f t="shared" si="8"/>
        <v>105.38167465323077</v>
      </c>
      <c r="U23">
        <f t="shared" si="9"/>
        <v>111.99256820171021</v>
      </c>
      <c r="V23">
        <f t="shared" si="10"/>
        <v>106.24228689097532</v>
      </c>
      <c r="AD23" s="16">
        <f t="shared" si="11"/>
        <v>3.6736507648956529E-2</v>
      </c>
      <c r="AE23" s="16">
        <f t="shared" si="15"/>
        <v>6.2535449310585078E-2</v>
      </c>
      <c r="AF23" s="19">
        <v>20060429</v>
      </c>
      <c r="AG23" s="17">
        <v>1014.45</v>
      </c>
      <c r="AH23">
        <f t="shared" si="12"/>
        <v>1652.6814515742819</v>
      </c>
      <c r="AI23">
        <f t="shared" si="13"/>
        <v>1.0932701714638795</v>
      </c>
      <c r="AJ23">
        <f t="shared" si="14"/>
        <v>106.62523109452607</v>
      </c>
      <c r="BZ23" t="s">
        <v>672</v>
      </c>
      <c r="CA23" s="16">
        <v>5.5E-2</v>
      </c>
    </row>
    <row r="24" spans="1:79" x14ac:dyDescent="0.4">
      <c r="A24" s="7" t="s">
        <v>7</v>
      </c>
      <c r="B24" s="7">
        <v>20110228</v>
      </c>
      <c r="C24" s="5" t="s">
        <v>8</v>
      </c>
      <c r="D24" s="5"/>
      <c r="E24" t="s">
        <v>13</v>
      </c>
      <c r="F24" s="12">
        <v>2473.71</v>
      </c>
      <c r="G24" s="12">
        <v>2513.5300000000002</v>
      </c>
      <c r="H24" s="12">
        <v>1976.25</v>
      </c>
      <c r="I24">
        <f t="shared" si="1"/>
        <v>1.0019766448074594</v>
      </c>
      <c r="J24">
        <f t="shared" si="2"/>
        <v>1.0140353566731486</v>
      </c>
      <c r="K24">
        <f t="shared" si="3"/>
        <v>1.0238841540812891</v>
      </c>
      <c r="L24">
        <v>0.973067349783591</v>
      </c>
      <c r="M24">
        <v>0.97301508336232101</v>
      </c>
      <c r="N24">
        <v>0.96979177527881699</v>
      </c>
      <c r="O24">
        <v>0.97012714938232603</v>
      </c>
      <c r="P24">
        <f t="shared" si="4"/>
        <v>116.8172309087217</v>
      </c>
      <c r="Q24">
        <f t="shared" si="5"/>
        <v>123.12172422238551</v>
      </c>
      <c r="R24">
        <f t="shared" si="6"/>
        <v>115.54112123851897</v>
      </c>
      <c r="S24">
        <f t="shared" si="7"/>
        <v>105.6998179576792</v>
      </c>
      <c r="T24">
        <f t="shared" si="8"/>
        <v>102.53795894757434</v>
      </c>
      <c r="U24">
        <f t="shared" si="9"/>
        <v>108.60947153437054</v>
      </c>
      <c r="V24">
        <f t="shared" si="10"/>
        <v>103.06852692540116</v>
      </c>
      <c r="AD24" s="16">
        <f t="shared" si="11"/>
        <v>-5.4092378802472085E-2</v>
      </c>
      <c r="AE24" s="16">
        <f t="shared" si="15"/>
        <v>8.4430705081129931E-3</v>
      </c>
      <c r="AF24" s="19">
        <v>20060430</v>
      </c>
      <c r="AG24" s="17">
        <v>1014.38</v>
      </c>
      <c r="AH24">
        <f t="shared" si="12"/>
        <v>1684.843994470539</v>
      </c>
      <c r="AI24">
        <f t="shared" si="13"/>
        <v>1.0194608240236618</v>
      </c>
      <c r="AJ24">
        <f t="shared" si="14"/>
        <v>108.70024595333891</v>
      </c>
      <c r="BZ24" t="s">
        <v>673</v>
      </c>
      <c r="CA24" s="16">
        <v>5.0000000000000001E-3</v>
      </c>
    </row>
    <row r="25" spans="1:79" x14ac:dyDescent="0.4">
      <c r="A25" s="7" t="s">
        <v>7</v>
      </c>
      <c r="B25" s="7">
        <v>20110531</v>
      </c>
      <c r="C25" s="5" t="s">
        <v>8</v>
      </c>
      <c r="D25" s="5"/>
      <c r="E25" t="s">
        <v>13</v>
      </c>
      <c r="F25" s="12">
        <v>2585.23</v>
      </c>
      <c r="G25" s="12">
        <v>2672.05</v>
      </c>
      <c r="H25" s="12">
        <v>2165.89</v>
      </c>
      <c r="I25">
        <f t="shared" si="1"/>
        <v>1.0450820831867924</v>
      </c>
      <c r="J25">
        <f t="shared" si="2"/>
        <v>1.0630666831110032</v>
      </c>
      <c r="K25">
        <f t="shared" si="3"/>
        <v>1.0959595192915876</v>
      </c>
      <c r="L25">
        <v>1.0615283659136401</v>
      </c>
      <c r="M25">
        <v>1.0622508753259301</v>
      </c>
      <c r="N25">
        <v>1.04585192695195</v>
      </c>
      <c r="O25">
        <v>1.04411610843267</v>
      </c>
      <c r="P25">
        <f t="shared" si="4"/>
        <v>122.08359503019943</v>
      </c>
      <c r="Q25">
        <f t="shared" si="5"/>
        <v>130.88660298799903</v>
      </c>
      <c r="R25">
        <f t="shared" si="6"/>
        <v>126.62839169097829</v>
      </c>
      <c r="S25">
        <f t="shared" si="7"/>
        <v>112.20335503398444</v>
      </c>
      <c r="T25">
        <f t="shared" si="8"/>
        <v>108.92103664619513</v>
      </c>
      <c r="U25">
        <f t="shared" si="9"/>
        <v>113.58942508945438</v>
      </c>
      <c r="V25">
        <f t="shared" si="10"/>
        <v>107.61550923523772</v>
      </c>
      <c r="AD25" s="16">
        <f t="shared" si="11"/>
        <v>-5.0107592339637685E-2</v>
      </c>
      <c r="AE25" s="16">
        <f t="shared" si="15"/>
        <v>-4.1664521831524692E-2</v>
      </c>
      <c r="AF25" s="19">
        <v>20060501</v>
      </c>
      <c r="AG25" s="17">
        <v>1014.32</v>
      </c>
      <c r="AH25">
        <f t="shared" si="12"/>
        <v>1777.465882276942</v>
      </c>
      <c r="AI25">
        <f t="shared" si="13"/>
        <v>1.0549735691318467</v>
      </c>
      <c r="AJ25">
        <f t="shared" si="14"/>
        <v>114.67588643890352</v>
      </c>
      <c r="BZ25" t="s">
        <v>674</v>
      </c>
      <c r="CA25" s="16">
        <v>5.5E-2</v>
      </c>
    </row>
    <row r="26" spans="1:79" x14ac:dyDescent="0.4">
      <c r="A26" s="7" t="s">
        <v>7</v>
      </c>
      <c r="B26" s="7">
        <v>20110831</v>
      </c>
      <c r="C26" s="5" t="s">
        <v>8</v>
      </c>
      <c r="D26" s="5"/>
      <c r="E26" t="s">
        <v>24</v>
      </c>
      <c r="F26" s="12">
        <v>2339.7199999999998</v>
      </c>
      <c r="G26" s="12">
        <v>2355.15</v>
      </c>
      <c r="H26" s="12">
        <v>1888.55</v>
      </c>
      <c r="I26">
        <f t="shared" si="1"/>
        <v>0.90503359468983413</v>
      </c>
      <c r="J26">
        <f t="shared" si="2"/>
        <v>0.88140191987425387</v>
      </c>
      <c r="K26">
        <f t="shared" si="3"/>
        <v>0.8719510224434297</v>
      </c>
      <c r="L26">
        <v>0.98253037094314</v>
      </c>
      <c r="M26">
        <v>0.98945970976002695</v>
      </c>
      <c r="N26">
        <v>0.98215415686209795</v>
      </c>
      <c r="O26">
        <v>0.98764400022523902</v>
      </c>
      <c r="P26">
        <f t="shared" si="4"/>
        <v>110.48975486283936</v>
      </c>
      <c r="Q26">
        <f t="shared" si="5"/>
        <v>115.3637031594416</v>
      </c>
      <c r="R26">
        <f t="shared" si="6"/>
        <v>110.41375560531561</v>
      </c>
      <c r="S26">
        <f t="shared" si="7"/>
        <v>110.24320404260557</v>
      </c>
      <c r="T26">
        <f t="shared" si="8"/>
        <v>107.7729773067055</v>
      </c>
      <c r="U26">
        <f t="shared" si="9"/>
        <v>111.5623260271835</v>
      </c>
      <c r="V26">
        <f t="shared" si="10"/>
        <v>106.28581202736633</v>
      </c>
      <c r="AD26" s="16">
        <f t="shared" si="11"/>
        <v>0.11020313441866825</v>
      </c>
      <c r="AE26" s="16">
        <f t="shared" si="15"/>
        <v>6.8538612587143555E-2</v>
      </c>
      <c r="AF26" s="19">
        <v>20060502</v>
      </c>
      <c r="AG26" s="18">
        <v>1024.47</v>
      </c>
      <c r="AH26">
        <f t="shared" si="12"/>
        <v>1689.998316892488</v>
      </c>
      <c r="AI26">
        <f t="shared" si="13"/>
        <v>0.95079086115992972</v>
      </c>
      <c r="AJ26">
        <f t="shared" si="14"/>
        <v>109.03278482152338</v>
      </c>
    </row>
    <row r="27" spans="1:79" x14ac:dyDescent="0.4">
      <c r="A27" s="7" t="s">
        <v>7</v>
      </c>
      <c r="B27" s="7">
        <v>20111130</v>
      </c>
      <c r="C27" s="5" t="s">
        <v>8</v>
      </c>
      <c r="D27" s="5"/>
      <c r="E27" t="s">
        <v>12</v>
      </c>
      <c r="F27" s="12">
        <v>2208.21</v>
      </c>
      <c r="G27" s="12">
        <v>2381.79</v>
      </c>
      <c r="H27" s="12">
        <v>1873.48</v>
      </c>
      <c r="I27">
        <f t="shared" si="1"/>
        <v>0.94379241960576488</v>
      </c>
      <c r="J27">
        <f t="shared" si="2"/>
        <v>1.0113113814406725</v>
      </c>
      <c r="K27">
        <f t="shared" si="3"/>
        <v>0.9920203330597549</v>
      </c>
      <c r="L27">
        <v>0.89609683760181302</v>
      </c>
      <c r="M27">
        <v>0.89755836033376901</v>
      </c>
      <c r="N27">
        <v>0.90338708613529195</v>
      </c>
      <c r="O27">
        <v>0.90202576329572604</v>
      </c>
      <c r="P27">
        <f t="shared" si="4"/>
        <v>104.27939308364699</v>
      </c>
      <c r="Q27">
        <f t="shared" si="5"/>
        <v>116.66862601028656</v>
      </c>
      <c r="R27">
        <f t="shared" si="6"/>
        <v>109.53269060996358</v>
      </c>
      <c r="S27">
        <f t="shared" si="7"/>
        <v>98.788586509670253</v>
      </c>
      <c r="T27">
        <f t="shared" si="8"/>
        <v>96.732536799695083</v>
      </c>
      <c r="U27">
        <f t="shared" si="9"/>
        <v>100.78396463217274</v>
      </c>
      <c r="V27">
        <f t="shared" si="10"/>
        <v>95.872540721491177</v>
      </c>
      <c r="AD27" s="16">
        <f t="shared" si="11"/>
        <v>-8.863324692446295E-2</v>
      </c>
      <c r="AE27" s="16">
        <f t="shared" si="15"/>
        <v>-2.0094634337319395E-2</v>
      </c>
      <c r="AF27" s="19">
        <v>20060503</v>
      </c>
      <c r="AG27" s="17">
        <v>1033.47</v>
      </c>
      <c r="AH27">
        <f t="shared" si="12"/>
        <v>1702.942511195072</v>
      </c>
      <c r="AI27">
        <f t="shared" si="13"/>
        <v>1.007659294197633</v>
      </c>
      <c r="AJ27">
        <f t="shared" si="14"/>
        <v>109.86789899765864</v>
      </c>
    </row>
    <row r="28" spans="1:79" x14ac:dyDescent="0.4">
      <c r="A28" s="7" t="s">
        <v>7</v>
      </c>
      <c r="B28" s="7">
        <v>20120229</v>
      </c>
      <c r="C28" s="5" t="s">
        <v>8</v>
      </c>
      <c r="D28" s="5"/>
      <c r="E28" t="s">
        <v>13</v>
      </c>
      <c r="F28" s="12">
        <v>2419.4499999999998</v>
      </c>
      <c r="G28" s="12">
        <v>2653.73</v>
      </c>
      <c r="H28" s="12">
        <v>2066.81</v>
      </c>
      <c r="I28">
        <f t="shared" si="1"/>
        <v>1.0956611916439105</v>
      </c>
      <c r="J28">
        <f t="shared" si="2"/>
        <v>1.1141746333639826</v>
      </c>
      <c r="K28">
        <f t="shared" si="3"/>
        <v>1.1031929884493028</v>
      </c>
      <c r="L28">
        <v>1.1557655997393199</v>
      </c>
      <c r="M28">
        <v>1.1462400220679001</v>
      </c>
      <c r="N28">
        <v>1.1762034813005799</v>
      </c>
      <c r="O28">
        <v>1.1729112520298599</v>
      </c>
      <c r="P28">
        <f t="shared" si="4"/>
        <v>114.25488408993243</v>
      </c>
      <c r="Q28">
        <f t="shared" si="5"/>
        <v>129.98922361009062</v>
      </c>
      <c r="R28">
        <f t="shared" si="6"/>
        <v>120.83569628689861</v>
      </c>
      <c r="S28">
        <f t="shared" si="7"/>
        <v>114.17644993474873</v>
      </c>
      <c r="T28">
        <f t="shared" si="8"/>
        <v>110.87870511596645</v>
      </c>
      <c r="U28">
        <f t="shared" si="9"/>
        <v>118.5424500596361</v>
      </c>
      <c r="V28">
        <f t="shared" si="10"/>
        <v>112.44998177292794</v>
      </c>
      <c r="AD28" s="16">
        <f t="shared" si="11"/>
        <v>7.3010492851277142E-2</v>
      </c>
      <c r="AE28" s="16">
        <f t="shared" si="15"/>
        <v>5.2915858513957748E-2</v>
      </c>
      <c r="AF28" s="19">
        <v>20060504</v>
      </c>
      <c r="AG28" s="17">
        <v>1039.0899999999999</v>
      </c>
      <c r="AH28">
        <f t="shared" si="12"/>
        <v>1847.465068942374</v>
      </c>
      <c r="AI28">
        <f t="shared" si="13"/>
        <v>1.0848663749934111</v>
      </c>
      <c r="AJ28">
        <f t="shared" si="14"/>
        <v>119.19198931373215</v>
      </c>
    </row>
    <row r="29" spans="1:79" x14ac:dyDescent="0.4">
      <c r="A29" s="7" t="s">
        <v>7</v>
      </c>
      <c r="B29" s="7">
        <v>20120531</v>
      </c>
      <c r="C29" s="5" t="s">
        <v>8</v>
      </c>
      <c r="D29" s="5"/>
      <c r="E29" t="s">
        <v>13</v>
      </c>
      <c r="F29" s="12">
        <v>2101.41</v>
      </c>
      <c r="G29" s="13">
        <v>2314</v>
      </c>
      <c r="H29" s="12">
        <v>1895.08</v>
      </c>
      <c r="I29">
        <f t="shared" si="1"/>
        <v>0.8685486370869413</v>
      </c>
      <c r="J29">
        <f t="shared" si="2"/>
        <v>0.87198019391573367</v>
      </c>
      <c r="K29">
        <f t="shared" si="3"/>
        <v>0.91691060136151847</v>
      </c>
      <c r="L29">
        <v>0.84384191913066497</v>
      </c>
      <c r="M29">
        <v>0.84488041679013304</v>
      </c>
      <c r="N29">
        <v>0.83557940876683401</v>
      </c>
      <c r="O29">
        <v>0.83548295896378699</v>
      </c>
      <c r="P29">
        <f t="shared" si="4"/>
        <v>99.23592385683726</v>
      </c>
      <c r="Q29">
        <f t="shared" si="5"/>
        <v>113.34802841048248</v>
      </c>
      <c r="R29">
        <f t="shared" si="6"/>
        <v>110.79553094835801</v>
      </c>
      <c r="S29">
        <f t="shared" si="7"/>
        <v>96.346874632464662</v>
      </c>
      <c r="T29">
        <f t="shared" si="8"/>
        <v>93.679246591527999</v>
      </c>
      <c r="U29">
        <f t="shared" si="9"/>
        <v>99.051630334602677</v>
      </c>
      <c r="V29">
        <f t="shared" si="10"/>
        <v>93.950043507069751</v>
      </c>
      <c r="AD29" s="16">
        <f t="shared" si="11"/>
        <v>-8.1331192594684465E-2</v>
      </c>
      <c r="AE29" s="16">
        <f t="shared" si="15"/>
        <v>-2.8415334080726717E-2</v>
      </c>
      <c r="AF29" s="19">
        <v>20060505</v>
      </c>
      <c r="AG29" s="17">
        <v>1039.01</v>
      </c>
      <c r="AH29">
        <f t="shared" si="12"/>
        <v>1676.174420064485</v>
      </c>
      <c r="AI29">
        <f t="shared" si="13"/>
        <v>0.90728341674359858</v>
      </c>
      <c r="AJ29">
        <f t="shared" si="14"/>
        <v>108.1409153130294</v>
      </c>
    </row>
    <row r="30" spans="1:79" x14ac:dyDescent="0.4">
      <c r="A30" s="7" t="s">
        <v>7</v>
      </c>
      <c r="B30" s="7">
        <v>20120831</v>
      </c>
      <c r="C30" s="5" t="s">
        <v>8</v>
      </c>
      <c r="D30" s="5"/>
      <c r="E30" t="s">
        <v>12</v>
      </c>
      <c r="F30" s="12">
        <v>2210.4899999999998</v>
      </c>
      <c r="G30" s="12">
        <v>2407.5</v>
      </c>
      <c r="H30" s="12">
        <v>1947.38</v>
      </c>
      <c r="I30">
        <f t="shared" si="1"/>
        <v>1.0519080046254656</v>
      </c>
      <c r="J30">
        <f t="shared" si="2"/>
        <v>1.0404062229904927</v>
      </c>
      <c r="K30">
        <f t="shared" si="3"/>
        <v>1.027597779513266</v>
      </c>
      <c r="L30">
        <v>1.0709291260301199</v>
      </c>
      <c r="M30">
        <v>1.0673711403055</v>
      </c>
      <c r="N30">
        <v>1.0697175235669101</v>
      </c>
      <c r="O30">
        <v>1.06618213538975</v>
      </c>
      <c r="P30">
        <f t="shared" si="4"/>
        <v>104.38706265141032</v>
      </c>
      <c r="Q30">
        <f t="shared" si="5"/>
        <v>117.92799412196914</v>
      </c>
      <c r="R30">
        <f t="shared" si="6"/>
        <v>113.85324158252604</v>
      </c>
      <c r="S30">
        <f t="shared" si="7"/>
        <v>103.1806742458789</v>
      </c>
      <c r="T30">
        <f t="shared" si="8"/>
        <v>99.990524257359354</v>
      </c>
      <c r="U30">
        <f t="shared" si="9"/>
        <v>105.95726470679621</v>
      </c>
      <c r="V30">
        <f t="shared" si="10"/>
        <v>100.16785800632755</v>
      </c>
      <c r="AD30" s="16">
        <f t="shared" si="11"/>
        <v>4.2119744053644048E-2</v>
      </c>
      <c r="AE30" s="16">
        <f t="shared" si="15"/>
        <v>1.3704409972917331E-2</v>
      </c>
      <c r="AF30" s="19">
        <v>20060506</v>
      </c>
      <c r="AG30" s="17">
        <v>1038.94</v>
      </c>
      <c r="AH30">
        <f t="shared" si="12"/>
        <v>1814.144091653058</v>
      </c>
      <c r="AI30">
        <f t="shared" si="13"/>
        <v>1.0823122402639129</v>
      </c>
      <c r="AJ30">
        <f t="shared" si="14"/>
        <v>117.04223631663493</v>
      </c>
    </row>
    <row r="31" spans="1:79" x14ac:dyDescent="0.4">
      <c r="A31" s="7" t="s">
        <v>7</v>
      </c>
      <c r="B31" s="7">
        <v>20121130</v>
      </c>
      <c r="C31" s="5" t="s">
        <v>8</v>
      </c>
      <c r="D31" s="5"/>
      <c r="E31" t="s">
        <v>13</v>
      </c>
      <c r="F31" s="12">
        <v>2216.8000000000002</v>
      </c>
      <c r="G31" s="12">
        <v>2404.7399999999998</v>
      </c>
      <c r="H31" s="12">
        <v>1976.79</v>
      </c>
      <c r="I31">
        <f t="shared" si="1"/>
        <v>1.0028545707060428</v>
      </c>
      <c r="J31">
        <f t="shared" si="2"/>
        <v>0.99885358255451706</v>
      </c>
      <c r="K31">
        <f t="shared" si="3"/>
        <v>1.0151023426347194</v>
      </c>
      <c r="L31">
        <v>1.05395823632243</v>
      </c>
      <c r="M31">
        <v>1.05545104496016</v>
      </c>
      <c r="N31">
        <v>1.06715918201885</v>
      </c>
      <c r="O31">
        <v>1.0749521520059599</v>
      </c>
      <c r="P31">
        <f t="shared" si="4"/>
        <v>104.68504290254489</v>
      </c>
      <c r="Q31">
        <f t="shared" si="5"/>
        <v>117.7927994121969</v>
      </c>
      <c r="R31">
        <f t="shared" si="6"/>
        <v>115.57269224697883</v>
      </c>
      <c r="S31">
        <f t="shared" si="7"/>
        <v>108.74812145074571</v>
      </c>
      <c r="T31">
        <f t="shared" si="8"/>
        <v>105.53510331354416</v>
      </c>
      <c r="U31">
        <f t="shared" si="9"/>
        <v>113.07326793345941</v>
      </c>
      <c r="V31">
        <f t="shared" si="10"/>
        <v>107.67565452572923</v>
      </c>
      <c r="AD31" s="16">
        <f t="shared" si="11"/>
        <v>5.2056839384130527E-2</v>
      </c>
      <c r="AE31" s="16">
        <f t="shared" si="15"/>
        <v>6.5761249357047857E-2</v>
      </c>
      <c r="AF31" s="19">
        <v>20060507</v>
      </c>
      <c r="AG31" s="18">
        <v>1038.8699999999999</v>
      </c>
      <c r="AH31">
        <f t="shared" si="12"/>
        <v>2052.1305544478701</v>
      </c>
      <c r="AI31">
        <f t="shared" si="13"/>
        <v>1.1311838810873933</v>
      </c>
      <c r="AJ31">
        <f t="shared" si="14"/>
        <v>132.39629112779895</v>
      </c>
    </row>
    <row r="32" spans="1:79" x14ac:dyDescent="0.4">
      <c r="A32" s="7" t="s">
        <v>7</v>
      </c>
      <c r="B32" s="7">
        <v>20130228</v>
      </c>
      <c r="C32" s="5" t="s">
        <v>8</v>
      </c>
      <c r="D32" s="5"/>
      <c r="E32" t="s">
        <v>13</v>
      </c>
      <c r="F32" s="12">
        <v>2358.64</v>
      </c>
      <c r="G32" s="12">
        <v>2530.4499999999998</v>
      </c>
      <c r="H32" s="12">
        <v>2078.0500000000002</v>
      </c>
      <c r="I32">
        <f t="shared" si="1"/>
        <v>1.0639841212558641</v>
      </c>
      <c r="J32">
        <f t="shared" si="2"/>
        <v>1.0522759217212672</v>
      </c>
      <c r="K32">
        <f t="shared" si="3"/>
        <v>1.0512244598566365</v>
      </c>
      <c r="L32">
        <v>1.0900256776971999</v>
      </c>
      <c r="M32">
        <v>1.0818924483179999</v>
      </c>
      <c r="N32">
        <v>1.0850197802294701</v>
      </c>
      <c r="O32">
        <v>1.0790804058380701</v>
      </c>
      <c r="P32">
        <f t="shared" si="4"/>
        <v>111.38322338129666</v>
      </c>
      <c r="Q32">
        <f t="shared" si="5"/>
        <v>123.95052657359783</v>
      </c>
      <c r="R32">
        <f t="shared" si="6"/>
        <v>121.4928409815076</v>
      </c>
      <c r="S32">
        <f t="shared" si="7"/>
        <v>118.5382447826465</v>
      </c>
      <c r="T32">
        <f t="shared" si="8"/>
        <v>114.17763130738335</v>
      </c>
      <c r="U32">
        <f t="shared" si="9"/>
        <v>122.68673232299011</v>
      </c>
      <c r="V32">
        <f t="shared" si="10"/>
        <v>116.19068898450372</v>
      </c>
      <c r="AD32" s="16">
        <f t="shared" si="11"/>
        <v>3.3795320372833615E-2</v>
      </c>
      <c r="AE32" s="16">
        <f t="shared" si="15"/>
        <v>9.9556569729881472E-2</v>
      </c>
      <c r="AF32" s="19">
        <v>20060508</v>
      </c>
      <c r="AG32" s="17">
        <v>1044.3699999999999</v>
      </c>
      <c r="AH32">
        <f t="shared" si="12"/>
        <v>2230.7819795588521</v>
      </c>
      <c r="AI32">
        <f t="shared" si="13"/>
        <v>1.0870565592056343</v>
      </c>
      <c r="AJ32">
        <f t="shared" si="14"/>
        <v>143.92225668497255</v>
      </c>
    </row>
    <row r="33" spans="1:37" x14ac:dyDescent="0.4">
      <c r="A33" s="7" t="s">
        <v>7</v>
      </c>
      <c r="B33" s="7">
        <v>20130531</v>
      </c>
      <c r="C33" s="5" t="s">
        <v>8</v>
      </c>
      <c r="D33" s="5"/>
      <c r="E33" t="s">
        <v>13</v>
      </c>
      <c r="F33" s="12">
        <v>2293.86</v>
      </c>
      <c r="G33" s="12">
        <v>2475.61</v>
      </c>
      <c r="H33" s="12">
        <v>2048.9299999999998</v>
      </c>
      <c r="I33">
        <f t="shared" si="1"/>
        <v>0.97253502018112148</v>
      </c>
      <c r="J33">
        <f t="shared" si="2"/>
        <v>0.97832796538165157</v>
      </c>
      <c r="K33">
        <f t="shared" si="3"/>
        <v>0.9859868626837659</v>
      </c>
      <c r="L33">
        <v>1.10106236590951</v>
      </c>
      <c r="M33">
        <v>1.09831149366809</v>
      </c>
      <c r="N33">
        <v>1.0999883966441799</v>
      </c>
      <c r="O33">
        <v>1.10275607310077</v>
      </c>
      <c r="P33">
        <f t="shared" si="4"/>
        <v>108.32408539896771</v>
      </c>
      <c r="Q33">
        <f t="shared" si="5"/>
        <v>121.2642664707323</v>
      </c>
      <c r="R33">
        <f t="shared" si="6"/>
        <v>119.79034511789433</v>
      </c>
      <c r="S33">
        <f t="shared" si="7"/>
        <v>130.51800025114139</v>
      </c>
      <c r="T33">
        <f t="shared" si="8"/>
        <v>125.40260478469668</v>
      </c>
      <c r="U33">
        <f t="shared" si="9"/>
        <v>134.95398197747957</v>
      </c>
      <c r="V33">
        <f t="shared" si="10"/>
        <v>128.12998791542421</v>
      </c>
      <c r="AD33" s="16">
        <f t="shared" si="11"/>
        <v>0.11400153396041401</v>
      </c>
      <c r="AE33" s="16">
        <f t="shared" si="15"/>
        <v>0.21355810369029549</v>
      </c>
      <c r="AF33" s="19">
        <v>20060509</v>
      </c>
      <c r="AG33" s="17">
        <v>1044.3699999999999</v>
      </c>
      <c r="AH33">
        <f t="shared" si="12"/>
        <v>2424.185226802218</v>
      </c>
      <c r="AI33">
        <f t="shared" si="13"/>
        <v>1.0866975119108737</v>
      </c>
      <c r="AJ33">
        <f t="shared" si="14"/>
        <v>156.39995824815779</v>
      </c>
    </row>
    <row r="34" spans="1:37" x14ac:dyDescent="0.4">
      <c r="A34" s="7" t="s">
        <v>7</v>
      </c>
      <c r="B34" s="7">
        <v>20130830</v>
      </c>
      <c r="C34" s="5" t="s">
        <v>8</v>
      </c>
      <c r="D34" s="5"/>
      <c r="E34" t="s">
        <v>13</v>
      </c>
      <c r="F34" s="12">
        <v>2278.15</v>
      </c>
      <c r="G34" s="12">
        <v>2470.5700000000002</v>
      </c>
      <c r="H34" s="12">
        <v>1970.44</v>
      </c>
      <c r="I34">
        <f t="shared" si="1"/>
        <v>0.99315128211835069</v>
      </c>
      <c r="J34">
        <f t="shared" si="2"/>
        <v>0.997964138131612</v>
      </c>
      <c r="K34">
        <f t="shared" si="3"/>
        <v>0.96169220031919112</v>
      </c>
      <c r="L34">
        <v>0.96909098916464398</v>
      </c>
      <c r="M34">
        <v>0.96877457117483701</v>
      </c>
      <c r="N34">
        <v>0.96757468658547896</v>
      </c>
      <c r="O34">
        <v>0.96755835012394498</v>
      </c>
      <c r="P34">
        <f t="shared" si="4"/>
        <v>107.58220429828249</v>
      </c>
      <c r="Q34">
        <f t="shared" si="5"/>
        <v>121.01738917462649</v>
      </c>
      <c r="R34">
        <f t="shared" si="6"/>
        <v>115.20144057342307</v>
      </c>
      <c r="S34">
        <f t="shared" si="7"/>
        <v>126.48381796716986</v>
      </c>
      <c r="T34">
        <f t="shared" si="8"/>
        <v>121.48685467450208</v>
      </c>
      <c r="U34">
        <f t="shared" si="9"/>
        <v>130.57805681532219</v>
      </c>
      <c r="V34">
        <f t="shared" si="10"/>
        <v>123.97323970884885</v>
      </c>
      <c r="W34" s="10" t="s">
        <v>14</v>
      </c>
      <c r="X34" s="10" t="s">
        <v>15</v>
      </c>
      <c r="Y34" s="10" t="s">
        <v>16</v>
      </c>
      <c r="Z34" s="14" t="s">
        <v>25</v>
      </c>
      <c r="AA34" s="14" t="s">
        <v>26</v>
      </c>
      <c r="AB34" s="14" t="s">
        <v>27</v>
      </c>
      <c r="AC34" s="14" t="s">
        <v>28</v>
      </c>
      <c r="AD34" s="16">
        <f t="shared" si="11"/>
        <v>5.8824862662878452E-3</v>
      </c>
      <c r="AE34" s="16">
        <f t="shared" si="15"/>
        <v>0.21944058995658333</v>
      </c>
      <c r="AF34" s="19">
        <v>20060510</v>
      </c>
      <c r="AG34" s="17">
        <v>1046.3800000000001</v>
      </c>
      <c r="AH34">
        <f t="shared" si="12"/>
        <v>2358.1008377379399</v>
      </c>
      <c r="AI34">
        <f t="shared" si="13"/>
        <v>0.97273954632936566</v>
      </c>
      <c r="AJ34">
        <f t="shared" si="14"/>
        <v>152.13642443224472</v>
      </c>
    </row>
    <row r="35" spans="1:37" x14ac:dyDescent="0.4">
      <c r="A35" s="7" t="s">
        <v>7</v>
      </c>
      <c r="B35" s="7">
        <v>20131129</v>
      </c>
      <c r="C35" s="5" t="s">
        <v>8</v>
      </c>
      <c r="D35" s="5"/>
      <c r="E35" t="s">
        <v>12</v>
      </c>
      <c r="F35" s="12">
        <v>2359.81</v>
      </c>
      <c r="G35" s="12">
        <v>2565.0700000000002</v>
      </c>
      <c r="H35" s="12">
        <v>2103.31</v>
      </c>
      <c r="I35">
        <f t="shared" si="1"/>
        <v>1.035844874130325</v>
      </c>
      <c r="J35">
        <f t="shared" si="2"/>
        <v>1.0382502823235125</v>
      </c>
      <c r="K35">
        <f t="shared" si="3"/>
        <v>1.0674316396337873</v>
      </c>
      <c r="L35">
        <v>1.0389155364210001</v>
      </c>
      <c r="M35">
        <v>1.042524644849</v>
      </c>
      <c r="N35">
        <v>1.0280748507392601</v>
      </c>
      <c r="O35">
        <v>1.02881744936604</v>
      </c>
      <c r="P35">
        <f t="shared" si="4"/>
        <v>111.43847487001733</v>
      </c>
      <c r="Q35">
        <f t="shared" si="5"/>
        <v>125.64633847661032</v>
      </c>
      <c r="R35">
        <f t="shared" si="6"/>
        <v>122.96966259946329</v>
      </c>
      <c r="S35">
        <f t="shared" si="7"/>
        <v>131.4060035919384</v>
      </c>
      <c r="T35">
        <f t="shared" si="8"/>
        <v>126.65304002335736</v>
      </c>
      <c r="U35">
        <f t="shared" si="9"/>
        <v>134.24401627023497</v>
      </c>
      <c r="V35">
        <f t="shared" si="10"/>
        <v>127.54583226690255</v>
      </c>
      <c r="W35">
        <v>100</v>
      </c>
      <c r="X35">
        <v>100</v>
      </c>
      <c r="Y35">
        <v>100</v>
      </c>
      <c r="Z35">
        <v>100</v>
      </c>
      <c r="AA35">
        <v>100</v>
      </c>
      <c r="AB35">
        <v>100</v>
      </c>
      <c r="AC35">
        <v>100</v>
      </c>
      <c r="AD35" s="16">
        <f t="shared" si="11"/>
        <v>-3.9356788894527206E-2</v>
      </c>
      <c r="AE35" s="16">
        <f t="shared" si="15"/>
        <v>0.18008380106205613</v>
      </c>
      <c r="AF35" s="19">
        <v>20060511</v>
      </c>
      <c r="AG35" s="17">
        <v>1058.74</v>
      </c>
      <c r="AH35">
        <f t="shared" si="12"/>
        <v>2514.6653632871321</v>
      </c>
      <c r="AI35">
        <f t="shared" si="13"/>
        <v>1.0663943301506056</v>
      </c>
      <c r="AJ35">
        <f t="shared" si="14"/>
        <v>162.23742042393184</v>
      </c>
      <c r="AK35">
        <v>100</v>
      </c>
    </row>
    <row r="36" spans="1:37" x14ac:dyDescent="0.4">
      <c r="A36" s="7" t="s">
        <v>7</v>
      </c>
      <c r="B36" s="7">
        <v>20140228</v>
      </c>
      <c r="C36" s="5" t="s">
        <v>8</v>
      </c>
      <c r="D36" s="5"/>
      <c r="E36" t="s">
        <v>13</v>
      </c>
      <c r="F36" s="12">
        <v>2264.35</v>
      </c>
      <c r="G36" s="12">
        <v>2466.4899999999998</v>
      </c>
      <c r="H36" s="12">
        <v>2028.54</v>
      </c>
      <c r="I36">
        <f t="shared" si="1"/>
        <v>0.95954759069586104</v>
      </c>
      <c r="J36">
        <f t="shared" si="2"/>
        <v>0.96156830028030404</v>
      </c>
      <c r="K36">
        <f t="shared" si="3"/>
        <v>0.96445126966543215</v>
      </c>
      <c r="L36">
        <v>1.0410798471377301</v>
      </c>
      <c r="M36">
        <v>1.04040941298047</v>
      </c>
      <c r="N36">
        <v>1.0392075945932</v>
      </c>
      <c r="O36">
        <v>1.0404986108629599</v>
      </c>
      <c r="P36">
        <f t="shared" si="4"/>
        <v>106.93052007234638</v>
      </c>
      <c r="Q36">
        <f t="shared" si="5"/>
        <v>120.81753612539795</v>
      </c>
      <c r="R36">
        <f t="shared" si="6"/>
        <v>118.59824722438218</v>
      </c>
      <c r="S36">
        <f t="shared" si="7"/>
        <v>136.80414213247525</v>
      </c>
      <c r="T36">
        <f t="shared" si="8"/>
        <v>131.77101502289321</v>
      </c>
      <c r="U36">
        <f t="shared" si="9"/>
        <v>139.50740123672128</v>
      </c>
      <c r="V36">
        <f t="shared" si="10"/>
        <v>132.71126129507221</v>
      </c>
      <c r="W36">
        <f>W35*I36</f>
        <v>95.954759069586103</v>
      </c>
      <c r="X36">
        <f t="shared" ref="X36:AC36" si="16">X35*J36</f>
        <v>96.156830028030399</v>
      </c>
      <c r="Y36">
        <f t="shared" si="16"/>
        <v>96.445126966543214</v>
      </c>
      <c r="Z36">
        <f t="shared" si="16"/>
        <v>104.10798471377301</v>
      </c>
      <c r="AA36">
        <f t="shared" si="16"/>
        <v>104.040941298047</v>
      </c>
      <c r="AB36">
        <f t="shared" si="16"/>
        <v>103.92075945932</v>
      </c>
      <c r="AC36">
        <f t="shared" si="16"/>
        <v>104.04986108629599</v>
      </c>
      <c r="AD36" s="16">
        <f t="shared" si="11"/>
        <v>7.4756324927767848E-2</v>
      </c>
      <c r="AE36" s="16">
        <f t="shared" si="15"/>
        <v>0.25484012598982397</v>
      </c>
      <c r="AF36" s="19">
        <v>20060512</v>
      </c>
      <c r="AG36" s="18">
        <v>1051.81</v>
      </c>
      <c r="AH36">
        <f t="shared" si="12"/>
        <v>2578.1035913562118</v>
      </c>
      <c r="AI36">
        <f t="shared" si="13"/>
        <v>1.0252273041953202</v>
      </c>
      <c r="AJ36">
        <f t="shared" si="14"/>
        <v>166.33023318083042</v>
      </c>
      <c r="AK36">
        <f>AK35*AI36</f>
        <v>102.52273041953201</v>
      </c>
    </row>
    <row r="37" spans="1:37" x14ac:dyDescent="0.4">
      <c r="A37" s="7" t="s">
        <v>7</v>
      </c>
      <c r="B37" s="7">
        <v>20140530</v>
      </c>
      <c r="C37" s="5" t="s">
        <v>8</v>
      </c>
      <c r="D37" s="5"/>
      <c r="E37" t="s">
        <v>13</v>
      </c>
      <c r="F37" s="12">
        <v>2267.91</v>
      </c>
      <c r="G37" s="12">
        <v>2447.38</v>
      </c>
      <c r="H37" s="12">
        <v>2048.62</v>
      </c>
      <c r="I37">
        <f t="shared" si="1"/>
        <v>1.0015721951111798</v>
      </c>
      <c r="J37">
        <f t="shared" si="2"/>
        <v>0.99225214778896342</v>
      </c>
      <c r="K37">
        <f t="shared" si="3"/>
        <v>1.0098987449101324</v>
      </c>
      <c r="L37">
        <v>1.0737002465499501</v>
      </c>
      <c r="M37">
        <v>1.0759679211223101</v>
      </c>
      <c r="N37">
        <v>1.07019594902683</v>
      </c>
      <c r="O37">
        <v>1.0753303024572201</v>
      </c>
      <c r="P37">
        <f t="shared" si="4"/>
        <v>107.09863571324004</v>
      </c>
      <c r="Q37">
        <f t="shared" si="5"/>
        <v>119.88145971099679</v>
      </c>
      <c r="R37">
        <f t="shared" si="6"/>
        <v>119.77222102044516</v>
      </c>
      <c r="S37">
        <f t="shared" si="7"/>
        <v>146.8866411366931</v>
      </c>
      <c r="T37">
        <f t="shared" si="8"/>
        <v>141.7813850983591</v>
      </c>
      <c r="U37">
        <f t="shared" si="9"/>
        <v>149.30025566279969</v>
      </c>
      <c r="V37">
        <f t="shared" si="10"/>
        <v>142.70844074790915</v>
      </c>
      <c r="W37">
        <f t="shared" ref="W37:W49" si="17">W36*I37</f>
        <v>96.105618672689744</v>
      </c>
      <c r="X37">
        <f t="shared" ref="X37:X49" si="18">X36*J37</f>
        <v>95.411821119891457</v>
      </c>
      <c r="Y37">
        <f t="shared" ref="Y37:Y49" si="19">Y36*K37</f>
        <v>97.39981267621036</v>
      </c>
      <c r="Z37">
        <f t="shared" ref="Z37:Z49" si="20">Z36*L37</f>
        <v>111.78076885499651</v>
      </c>
      <c r="AA37">
        <f t="shared" ref="AA37:AA49" si="21">AA36*M37</f>
        <v>111.94471532006793</v>
      </c>
      <c r="AB37">
        <f t="shared" ref="AB37:AB49" si="22">AB36*N37</f>
        <v>111.21557579315589</v>
      </c>
      <c r="AC37">
        <f t="shared" ref="AC37:AC49" si="23">AC36*O37</f>
        <v>111.88796859255839</v>
      </c>
      <c r="AD37" s="16">
        <f t="shared" si="11"/>
        <v>6.0297204116697589E-2</v>
      </c>
      <c r="AE37" s="16">
        <f t="shared" si="15"/>
        <v>0.31513733010652156</v>
      </c>
      <c r="AF37" s="19">
        <v>20060513</v>
      </c>
      <c r="AG37" s="17">
        <v>1051.74</v>
      </c>
      <c r="AH37">
        <f t="shared" si="12"/>
        <v>2636.5932291057979</v>
      </c>
      <c r="AI37">
        <f t="shared" si="13"/>
        <v>1.0226870781863415</v>
      </c>
      <c r="AJ37">
        <f t="shared" si="14"/>
        <v>170.10378018575634</v>
      </c>
      <c r="AK37">
        <f t="shared" ref="AK37:AK49" si="24">AK36*AI37</f>
        <v>104.84867162043714</v>
      </c>
    </row>
    <row r="38" spans="1:37" x14ac:dyDescent="0.4">
      <c r="A38" s="7" t="s">
        <v>7</v>
      </c>
      <c r="B38" s="7">
        <v>20140829</v>
      </c>
      <c r="C38" s="5" t="s">
        <v>8</v>
      </c>
      <c r="D38" s="5"/>
      <c r="E38" t="s">
        <v>12</v>
      </c>
      <c r="F38" s="12">
        <v>2455.56</v>
      </c>
      <c r="G38" s="12">
        <v>2589.15</v>
      </c>
      <c r="H38" s="12">
        <v>2104.44</v>
      </c>
      <c r="I38">
        <f t="shared" si="1"/>
        <v>1.082741378626136</v>
      </c>
      <c r="J38">
        <f t="shared" si="2"/>
        <v>1.0579272528172985</v>
      </c>
      <c r="K38">
        <f t="shared" si="3"/>
        <v>1.0272476105866388</v>
      </c>
      <c r="L38">
        <v>1.10084328637249</v>
      </c>
      <c r="M38">
        <v>1.10543433299642</v>
      </c>
      <c r="N38">
        <v>1.09625718115957</v>
      </c>
      <c r="O38">
        <v>1.0983479765286599</v>
      </c>
      <c r="P38">
        <f t="shared" si="4"/>
        <v>115.96012448113184</v>
      </c>
      <c r="Q38">
        <f t="shared" si="5"/>
        <v>126.82586333578249</v>
      </c>
      <c r="R38">
        <f t="shared" si="6"/>
        <v>123.03572785790709</v>
      </c>
      <c r="S38">
        <f t="shared" si="7"/>
        <v>161.69917275313381</v>
      </c>
      <c r="T38">
        <f t="shared" si="8"/>
        <v>156.73001086751316</v>
      </c>
      <c r="U38">
        <f t="shared" si="9"/>
        <v>163.67147741930393</v>
      </c>
      <c r="V38">
        <f t="shared" si="10"/>
        <v>156.74352712902618</v>
      </c>
      <c r="W38">
        <f t="shared" si="17"/>
        <v>104.05753005538581</v>
      </c>
      <c r="X38">
        <f t="shared" si="18"/>
        <v>100.93876580366226</v>
      </c>
      <c r="Y38">
        <f t="shared" si="19"/>
        <v>100.05372484322331</v>
      </c>
      <c r="Z38">
        <f t="shared" si="20"/>
        <v>123.05310893957802</v>
      </c>
      <c r="AA38">
        <f t="shared" si="21"/>
        <v>123.74753171231342</v>
      </c>
      <c r="AB38">
        <f t="shared" si="22"/>
        <v>121.92087362004359</v>
      </c>
      <c r="AC38">
        <f t="shared" si="23"/>
        <v>122.89192390153876</v>
      </c>
      <c r="AD38" s="16">
        <f t="shared" si="11"/>
        <v>6.9009570572931223E-2</v>
      </c>
      <c r="AE38" s="16">
        <f t="shared" si="15"/>
        <v>0.38414690067945279</v>
      </c>
      <c r="AF38" s="19">
        <v>20060514</v>
      </c>
      <c r="AG38" s="17">
        <v>1051.67</v>
      </c>
      <c r="AH38">
        <f t="shared" si="12"/>
        <v>2752.8648635892209</v>
      </c>
      <c r="AI38">
        <f t="shared" si="13"/>
        <v>1.0440991933074395</v>
      </c>
      <c r="AJ38">
        <f t="shared" si="14"/>
        <v>177.60521967049419</v>
      </c>
      <c r="AK38">
        <f t="shared" si="24"/>
        <v>109.47241345825505</v>
      </c>
    </row>
    <row r="39" spans="1:37" x14ac:dyDescent="0.4">
      <c r="A39" s="7" t="s">
        <v>7</v>
      </c>
      <c r="B39" s="7">
        <v>20141128</v>
      </c>
      <c r="C39" s="5" t="s">
        <v>8</v>
      </c>
      <c r="D39" s="5"/>
      <c r="E39" t="s">
        <v>13</v>
      </c>
      <c r="F39" s="12">
        <v>2330.0300000000002</v>
      </c>
      <c r="G39" s="12">
        <v>2424.4699999999998</v>
      </c>
      <c r="H39" s="12">
        <v>2007.75</v>
      </c>
      <c r="I39">
        <f t="shared" si="1"/>
        <v>0.9488792780465557</v>
      </c>
      <c r="J39">
        <f t="shared" si="2"/>
        <v>0.93639611455496963</v>
      </c>
      <c r="K39">
        <f t="shared" si="3"/>
        <v>0.95405428522552316</v>
      </c>
      <c r="L39">
        <v>0.940114461488468</v>
      </c>
      <c r="M39">
        <v>0.93835531344340295</v>
      </c>
      <c r="N39">
        <v>0.93871654887189804</v>
      </c>
      <c r="O39">
        <v>0.94491134965082602</v>
      </c>
      <c r="P39">
        <f t="shared" si="4"/>
        <v>110.03215919984511</v>
      </c>
      <c r="Q39">
        <f t="shared" si="5"/>
        <v>118.7592456527063</v>
      </c>
      <c r="R39">
        <f t="shared" si="6"/>
        <v>117.38276339867754</v>
      </c>
      <c r="S39">
        <f t="shared" si="7"/>
        <v>152.01573071594314</v>
      </c>
      <c r="T39">
        <f t="shared" si="8"/>
        <v>147.06843847357325</v>
      </c>
      <c r="U39">
        <f t="shared" si="9"/>
        <v>153.64112443181378</v>
      </c>
      <c r="V39">
        <f t="shared" si="10"/>
        <v>148.10873776851898</v>
      </c>
      <c r="W39">
        <f t="shared" si="17"/>
        <v>98.738033994262253</v>
      </c>
      <c r="X39">
        <f t="shared" si="18"/>
        <v>94.518668106523378</v>
      </c>
      <c r="Y39">
        <f t="shared" si="19"/>
        <v>95.456684939452586</v>
      </c>
      <c r="Z39">
        <f t="shared" si="20"/>
        <v>115.68400724521318</v>
      </c>
      <c r="AA39">
        <f t="shared" si="21"/>
        <v>116.1191539077553</v>
      </c>
      <c r="AB39">
        <f t="shared" si="22"/>
        <v>114.44914172005416</v>
      </c>
      <c r="AC39">
        <f t="shared" si="23"/>
        <v>116.12197367498959</v>
      </c>
      <c r="AD39" s="16">
        <f t="shared" si="11"/>
        <v>-1.533773635362512E-2</v>
      </c>
      <c r="AE39" s="16">
        <f t="shared" si="15"/>
        <v>0.36880916432582767</v>
      </c>
      <c r="AF39" s="19">
        <v>20060515</v>
      </c>
      <c r="AG39" s="17">
        <v>1041.29</v>
      </c>
      <c r="AH39">
        <f t="shared" si="12"/>
        <v>2604.1905197669221</v>
      </c>
      <c r="AI39">
        <f t="shared" si="13"/>
        <v>0.94599286518247205</v>
      </c>
      <c r="AJ39">
        <f t="shared" si="14"/>
        <v>168.01327062745315</v>
      </c>
      <c r="AK39">
        <f t="shared" si="24"/>
        <v>103.56012206581491</v>
      </c>
    </row>
    <row r="40" spans="1:37" x14ac:dyDescent="0.4">
      <c r="A40" s="7" t="s">
        <v>7</v>
      </c>
      <c r="B40" s="7">
        <v>20150227</v>
      </c>
      <c r="C40" s="5" t="s">
        <v>8</v>
      </c>
      <c r="D40" s="5"/>
      <c r="E40" t="s">
        <v>12</v>
      </c>
      <c r="F40" s="12">
        <v>2292.2399999999998</v>
      </c>
      <c r="G40" s="12">
        <v>2378.31</v>
      </c>
      <c r="H40" s="12">
        <v>2004.27</v>
      </c>
      <c r="I40">
        <f t="shared" si="1"/>
        <v>0.98378132470397361</v>
      </c>
      <c r="J40">
        <f t="shared" si="2"/>
        <v>0.98096078730609171</v>
      </c>
      <c r="K40">
        <f t="shared" si="3"/>
        <v>0.99826671647366449</v>
      </c>
      <c r="L40">
        <v>1.0653195897966501</v>
      </c>
      <c r="M40">
        <v>1.06093449349196</v>
      </c>
      <c r="N40">
        <v>1.10088786655352</v>
      </c>
      <c r="O40">
        <v>1.0958385179547101</v>
      </c>
      <c r="P40">
        <f t="shared" si="4"/>
        <v>108.24758333766214</v>
      </c>
      <c r="Q40">
        <f t="shared" si="5"/>
        <v>116.49816311535632</v>
      </c>
      <c r="R40">
        <f t="shared" si="6"/>
        <v>117.17930578860287</v>
      </c>
      <c r="S40">
        <f t="shared" si="7"/>
        <v>161.94533588894657</v>
      </c>
      <c r="T40">
        <f t="shared" si="8"/>
        <v>156.02997928061393</v>
      </c>
      <c r="U40">
        <f t="shared" si="9"/>
        <v>169.14164969062338</v>
      </c>
      <c r="V40">
        <f t="shared" si="10"/>
        <v>162.30325969239664</v>
      </c>
      <c r="W40">
        <f t="shared" si="17"/>
        <v>97.1366338815413</v>
      </c>
      <c r="X40">
        <f t="shared" si="18"/>
        <v>92.719107080898354</v>
      </c>
      <c r="Y40">
        <f t="shared" si="19"/>
        <v>95.291231439968428</v>
      </c>
      <c r="Z40">
        <f t="shared" si="20"/>
        <v>123.2404391445032</v>
      </c>
      <c r="AA40">
        <f t="shared" si="21"/>
        <v>123.19481573583933</v>
      </c>
      <c r="AB40">
        <f t="shared" si="22"/>
        <v>125.99567145707188</v>
      </c>
      <c r="AC40">
        <f t="shared" si="23"/>
        <v>127.25093153397646</v>
      </c>
      <c r="AD40" s="16">
        <f t="shared" si="11"/>
        <v>0.10262115007985551</v>
      </c>
      <c r="AE40" s="16">
        <f t="shared" si="15"/>
        <v>0.47143031440568317</v>
      </c>
      <c r="AF40" s="19">
        <v>20060516</v>
      </c>
      <c r="AG40" s="17">
        <v>1031.6300000000001</v>
      </c>
      <c r="AH40">
        <f t="shared" si="12"/>
        <v>2610.4662471024099</v>
      </c>
      <c r="AI40">
        <f t="shared" si="13"/>
        <v>1.002409857223522</v>
      </c>
      <c r="AJ40">
        <f t="shared" si="14"/>
        <v>168.41815862132228</v>
      </c>
      <c r="AK40">
        <f t="shared" si="24"/>
        <v>103.80968717404404</v>
      </c>
    </row>
    <row r="41" spans="1:37" x14ac:dyDescent="0.4">
      <c r="A41" s="7" t="s">
        <v>7</v>
      </c>
      <c r="B41" s="7">
        <v>20150529</v>
      </c>
      <c r="C41" s="5" t="s">
        <v>8</v>
      </c>
      <c r="D41" s="5"/>
      <c r="E41" t="s">
        <v>13</v>
      </c>
      <c r="F41" s="13">
        <v>2365</v>
      </c>
      <c r="G41" s="12">
        <v>2414.7399999999998</v>
      </c>
      <c r="H41" s="12">
        <v>2104.2399999999998</v>
      </c>
      <c r="I41">
        <f t="shared" si="1"/>
        <v>1.0317418769413327</v>
      </c>
      <c r="J41">
        <f t="shared" si="2"/>
        <v>1.0153175994718939</v>
      </c>
      <c r="K41">
        <f t="shared" si="3"/>
        <v>1.0498785093824683</v>
      </c>
      <c r="L41">
        <v>1.1416449270586</v>
      </c>
      <c r="M41">
        <v>1.1474924200422301</v>
      </c>
      <c r="N41">
        <v>1.1501820088808199</v>
      </c>
      <c r="O41">
        <v>1.15189043483563</v>
      </c>
      <c r="P41">
        <f t="shared" si="4"/>
        <v>111.68356480716287</v>
      </c>
      <c r="Q41">
        <f t="shared" si="5"/>
        <v>118.28263531716871</v>
      </c>
      <c r="R41">
        <f t="shared" si="6"/>
        <v>123.02403489181083</v>
      </c>
      <c r="S41">
        <f t="shared" si="7"/>
        <v>184.88407117841689</v>
      </c>
      <c r="T41">
        <f t="shared" si="8"/>
        <v>179.0432185238507</v>
      </c>
      <c r="U41">
        <f t="shared" si="9"/>
        <v>194.54368242657711</v>
      </c>
      <c r="V41">
        <f t="shared" si="10"/>
        <v>186.95557238231495</v>
      </c>
      <c r="W41">
        <f t="shared" si="17"/>
        <v>100.21993296070447</v>
      </c>
      <c r="X41">
        <f t="shared" si="18"/>
        <v>94.139341226555203</v>
      </c>
      <c r="Y41">
        <f t="shared" si="19"/>
        <v>100.04421602141385</v>
      </c>
      <c r="Z41">
        <f t="shared" si="20"/>
        <v>140.69682215779619</v>
      </c>
      <c r="AA41">
        <f t="shared" si="21"/>
        <v>141.36511724537488</v>
      </c>
      <c r="AB41">
        <f t="shared" si="22"/>
        <v>144.91795450678271</v>
      </c>
      <c r="AC41">
        <f t="shared" si="23"/>
        <v>146.57913085791114</v>
      </c>
      <c r="AD41" s="16">
        <f t="shared" si="11"/>
        <v>0.1003034994983516</v>
      </c>
      <c r="AE41" s="16">
        <f t="shared" si="15"/>
        <v>0.57173381390403477</v>
      </c>
      <c r="AF41" s="19">
        <v>20060517</v>
      </c>
      <c r="AG41" s="18">
        <v>1040.3699999999999</v>
      </c>
      <c r="AH41">
        <f t="shared" si="12"/>
        <v>2773.4650698593132</v>
      </c>
      <c r="AI41">
        <f t="shared" si="13"/>
        <v>1.0624405019363228</v>
      </c>
      <c r="AJ41">
        <f t="shared" si="14"/>
        <v>178.93427298082887</v>
      </c>
      <c r="AK41">
        <f t="shared" si="24"/>
        <v>110.291616147044</v>
      </c>
    </row>
    <row r="42" spans="1:37" x14ac:dyDescent="0.4">
      <c r="A42" s="7" t="s">
        <v>7</v>
      </c>
      <c r="B42" s="7">
        <v>20150831</v>
      </c>
      <c r="C42" s="5" t="s">
        <v>8</v>
      </c>
      <c r="D42" s="5"/>
      <c r="E42" t="s">
        <v>12</v>
      </c>
      <c r="F42" s="12">
        <v>2186.88</v>
      </c>
      <c r="G42" s="12">
        <v>2177.8000000000002</v>
      </c>
      <c r="H42" s="12">
        <v>1902.89</v>
      </c>
      <c r="I42">
        <f t="shared" si="1"/>
        <v>0.92468498942917554</v>
      </c>
      <c r="J42">
        <f t="shared" si="2"/>
        <v>0.90187763485923966</v>
      </c>
      <c r="K42">
        <f t="shared" si="3"/>
        <v>0.90431224575143532</v>
      </c>
      <c r="L42">
        <v>0.91390779928010701</v>
      </c>
      <c r="M42">
        <v>0.92995305563243003</v>
      </c>
      <c r="N42">
        <v>0.91036887220949203</v>
      </c>
      <c r="O42">
        <v>0.927596870771219</v>
      </c>
      <c r="P42">
        <f t="shared" si="4"/>
        <v>103.27211594312404</v>
      </c>
      <c r="Q42">
        <f t="shared" si="5"/>
        <v>106.67646338476609</v>
      </c>
      <c r="R42">
        <f t="shared" si="6"/>
        <v>111.25214127441639</v>
      </c>
      <c r="S42">
        <f t="shared" si="7"/>
        <v>168.96699461261363</v>
      </c>
      <c r="T42">
        <f t="shared" si="8"/>
        <v>166.50178815651986</v>
      </c>
      <c r="U42">
        <f t="shared" si="9"/>
        <v>177.10651276616457</v>
      </c>
      <c r="V42">
        <f t="shared" si="10"/>
        <v>173.41940391507748</v>
      </c>
      <c r="W42">
        <f t="shared" si="17"/>
        <v>92.67186765036169</v>
      </c>
      <c r="X42">
        <f t="shared" si="18"/>
        <v>84.902166412612516</v>
      </c>
      <c r="Y42">
        <f t="shared" si="19"/>
        <v>90.471209664766477</v>
      </c>
      <c r="Z42">
        <f t="shared" si="20"/>
        <v>128.58392310393612</v>
      </c>
      <c r="AA42">
        <f t="shared" si="21"/>
        <v>131.46292274217311</v>
      </c>
      <c r="AB42">
        <f t="shared" si="22"/>
        <v>131.92879480724625</v>
      </c>
      <c r="AC42">
        <f t="shared" si="23"/>
        <v>135.9663431041634</v>
      </c>
      <c r="AD42" s="16">
        <f t="shared" si="11"/>
        <v>6.0566264580567131E-3</v>
      </c>
      <c r="AE42" s="16">
        <f t="shared" si="15"/>
        <v>0.57779044036209148</v>
      </c>
      <c r="AF42" s="19">
        <v>20060518</v>
      </c>
      <c r="AG42" s="17">
        <v>1031.99</v>
      </c>
      <c r="AH42">
        <f t="shared" si="12"/>
        <v>2585.17452764578</v>
      </c>
      <c r="AI42">
        <f t="shared" si="13"/>
        <v>0.93211000049728965</v>
      </c>
      <c r="AJ42">
        <f t="shared" si="14"/>
        <v>166.78642527714254</v>
      </c>
      <c r="AK42">
        <f t="shared" si="24"/>
        <v>102.80391838166805</v>
      </c>
    </row>
    <row r="43" spans="1:37" x14ac:dyDescent="0.4">
      <c r="A43" s="7" t="s">
        <v>7</v>
      </c>
      <c r="B43" s="7">
        <v>20151130</v>
      </c>
      <c r="C43" s="5" t="s">
        <v>8</v>
      </c>
      <c r="D43" s="5"/>
      <c r="E43" t="s">
        <v>12</v>
      </c>
      <c r="F43" s="12">
        <v>2235.37</v>
      </c>
      <c r="G43" s="12">
        <v>2292.73</v>
      </c>
      <c r="H43" s="12">
        <v>1979.92</v>
      </c>
      <c r="I43">
        <f t="shared" si="1"/>
        <v>1.0221731416447175</v>
      </c>
      <c r="J43">
        <f t="shared" si="2"/>
        <v>1.0527734410873357</v>
      </c>
      <c r="K43">
        <f t="shared" si="3"/>
        <v>1.0404805322430619</v>
      </c>
      <c r="L43">
        <v>0.99137195686575297</v>
      </c>
      <c r="M43">
        <v>0.98946177175304195</v>
      </c>
      <c r="N43">
        <v>0.99816043732890902</v>
      </c>
      <c r="O43">
        <v>0.99382526797408899</v>
      </c>
      <c r="P43">
        <f t="shared" si="4"/>
        <v>105.56198319788061</v>
      </c>
      <c r="Q43">
        <f t="shared" si="5"/>
        <v>112.30614744060738</v>
      </c>
      <c r="R43">
        <f t="shared" si="6"/>
        <v>115.75568716638509</v>
      </c>
      <c r="S43">
        <f t="shared" si="7"/>
        <v>167.50914009483191</v>
      </c>
      <c r="T43">
        <f t="shared" si="8"/>
        <v>164.7471543093998</v>
      </c>
      <c r="U43">
        <f t="shared" si="9"/>
        <v>176.78071423647285</v>
      </c>
      <c r="V43">
        <f t="shared" si="10"/>
        <v>172.34858556780864</v>
      </c>
      <c r="W43">
        <f t="shared" si="17"/>
        <v>94.726694098253674</v>
      </c>
      <c r="X43">
        <f t="shared" si="18"/>
        <v>89.382745889975695</v>
      </c>
      <c r="Y43">
        <f t="shared" si="19"/>
        <v>94.133532384669877</v>
      </c>
      <c r="Z43">
        <f t="shared" si="20"/>
        <v>127.47449546902465</v>
      </c>
      <c r="AA43">
        <f t="shared" si="21"/>
        <v>130.07753645630387</v>
      </c>
      <c r="AB43">
        <f t="shared" si="22"/>
        <v>131.68610352107683</v>
      </c>
      <c r="AC43">
        <f t="shared" si="23"/>
        <v>135.12678737095212</v>
      </c>
      <c r="AD43" s="16">
        <f t="shared" si="11"/>
        <v>-4.2320094914152895E-2</v>
      </c>
      <c r="AE43" s="16">
        <f t="shared" si="15"/>
        <v>0.53547034544793859</v>
      </c>
      <c r="AF43" s="19">
        <v>20060519</v>
      </c>
      <c r="AG43" s="17">
        <v>1034.31</v>
      </c>
      <c r="AH43">
        <f t="shared" si="12"/>
        <v>2558.7211684335361</v>
      </c>
      <c r="AI43">
        <f t="shared" si="13"/>
        <v>0.98976728304826134</v>
      </c>
      <c r="AJ43">
        <f t="shared" si="14"/>
        <v>165.07974699588922</v>
      </c>
      <c r="AK43">
        <f t="shared" si="24"/>
        <v>101.75195498333881</v>
      </c>
    </row>
    <row r="44" spans="1:37" x14ac:dyDescent="0.4">
      <c r="A44" s="7" t="s">
        <v>7</v>
      </c>
      <c r="B44" s="7">
        <v>20160229</v>
      </c>
      <c r="C44" s="5" t="s">
        <v>8</v>
      </c>
      <c r="D44" s="5"/>
      <c r="E44" t="s">
        <v>12</v>
      </c>
      <c r="F44" s="12">
        <v>2275.0300000000002</v>
      </c>
      <c r="G44" s="12">
        <v>2253.66</v>
      </c>
      <c r="H44" s="12">
        <v>1901.88</v>
      </c>
      <c r="I44">
        <f t="shared" si="1"/>
        <v>1.0177420292837429</v>
      </c>
      <c r="J44">
        <f t="shared" si="2"/>
        <v>0.9829591796679068</v>
      </c>
      <c r="K44">
        <f t="shared" si="3"/>
        <v>0.96058426603095082</v>
      </c>
      <c r="L44">
        <v>0.97499004462252303</v>
      </c>
      <c r="M44">
        <v>0.96846194410766895</v>
      </c>
      <c r="N44">
        <v>0.97293484728991497</v>
      </c>
      <c r="O44">
        <v>0.96564070207707597</v>
      </c>
      <c r="P44">
        <f t="shared" si="4"/>
        <v>107.43486699502738</v>
      </c>
      <c r="Q44">
        <f t="shared" si="5"/>
        <v>110.39235855988241</v>
      </c>
      <c r="R44">
        <f t="shared" si="6"/>
        <v>111.19309179563037</v>
      </c>
      <c r="S44">
        <f t="shared" si="7"/>
        <v>163.31974397574064</v>
      </c>
      <c r="T44">
        <f t="shared" si="8"/>
        <v>159.55134934868747</v>
      </c>
      <c r="U44">
        <f t="shared" si="9"/>
        <v>171.99611720946481</v>
      </c>
      <c r="V44">
        <f t="shared" si="10"/>
        <v>166.42680916968973</v>
      </c>
      <c r="W44">
        <f t="shared" si="17"/>
        <v>96.407337878897053</v>
      </c>
      <c r="X44">
        <f t="shared" si="18"/>
        <v>87.859590576475483</v>
      </c>
      <c r="Y44">
        <f t="shared" si="19"/>
        <v>90.423190114628852</v>
      </c>
      <c r="Z44">
        <f t="shared" si="20"/>
        <v>124.28636402557795</v>
      </c>
      <c r="AA44">
        <f t="shared" si="21"/>
        <v>125.97514384120824</v>
      </c>
      <c r="AB44">
        <f t="shared" si="22"/>
        <v>128.12199901948281</v>
      </c>
      <c r="AC44">
        <f t="shared" si="23"/>
        <v>130.48392582630598</v>
      </c>
      <c r="AD44" s="16">
        <f t="shared" si="11"/>
        <v>1.2350581258964155E-2</v>
      </c>
      <c r="AE44" s="16">
        <f t="shared" si="15"/>
        <v>0.54782092670690274</v>
      </c>
      <c r="AF44" s="19">
        <v>20060520</v>
      </c>
      <c r="AG44" s="17">
        <v>1034.25</v>
      </c>
      <c r="AH44">
        <f t="shared" si="12"/>
        <v>2494.3669587962422</v>
      </c>
      <c r="AI44">
        <f t="shared" si="13"/>
        <v>0.97484907287624001</v>
      </c>
      <c r="AJ44">
        <f t="shared" si="14"/>
        <v>160.92783830958689</v>
      </c>
      <c r="AK44">
        <f t="shared" si="24"/>
        <v>99.19279897885275</v>
      </c>
    </row>
    <row r="45" spans="1:37" x14ac:dyDescent="0.4">
      <c r="A45" s="7" t="s">
        <v>7</v>
      </c>
      <c r="B45" s="7">
        <v>20160531</v>
      </c>
      <c r="C45" s="5" t="s">
        <v>8</v>
      </c>
      <c r="D45" s="5"/>
      <c r="E45" t="s">
        <v>12</v>
      </c>
      <c r="F45" s="12">
        <v>2324.7800000000002</v>
      </c>
      <c r="G45" s="12">
        <v>2335.4299999999998</v>
      </c>
      <c r="H45" s="12">
        <v>1980.88</v>
      </c>
      <c r="I45">
        <f t="shared" si="1"/>
        <v>1.0218678435009647</v>
      </c>
      <c r="J45">
        <f t="shared" si="2"/>
        <v>1.0362832015477046</v>
      </c>
      <c r="K45">
        <f t="shared" si="3"/>
        <v>1.0415378467621512</v>
      </c>
      <c r="L45">
        <v>1.0502116213627599</v>
      </c>
      <c r="M45">
        <v>1.03412162928414</v>
      </c>
      <c r="N45">
        <v>1.0593258326616799</v>
      </c>
      <c r="O45">
        <v>1.0454204336131701</v>
      </c>
      <c r="P45">
        <f t="shared" si="4"/>
        <v>109.7842358530216</v>
      </c>
      <c r="Q45">
        <f t="shared" si="5"/>
        <v>114.3977467548371</v>
      </c>
      <c r="R45">
        <f t="shared" si="6"/>
        <v>115.81181340364708</v>
      </c>
      <c r="S45">
        <f t="shared" si="7"/>
        <v>171.52029312131341</v>
      </c>
      <c r="T45">
        <f t="shared" si="8"/>
        <v>164.99550134294768</v>
      </c>
      <c r="U45">
        <f t="shared" si="9"/>
        <v>182.19993007749221</v>
      </c>
      <c r="V45">
        <f t="shared" si="10"/>
        <v>173.98598700703334</v>
      </c>
      <c r="W45">
        <f t="shared" si="17"/>
        <v>98.515558455977398</v>
      </c>
      <c r="X45">
        <f t="shared" si="18"/>
        <v>91.047417809260551</v>
      </c>
      <c r="Y45">
        <f t="shared" si="19"/>
        <v>94.179174729355168</v>
      </c>
      <c r="Z45">
        <f t="shared" si="20"/>
        <v>130.52698387658441</v>
      </c>
      <c r="AA45">
        <f t="shared" si="21"/>
        <v>130.27362099837416</v>
      </c>
      <c r="AB45">
        <f t="shared" si="22"/>
        <v>135.72294329359258</v>
      </c>
      <c r="AC45">
        <f t="shared" si="23"/>
        <v>136.41056231688552</v>
      </c>
      <c r="AD45" s="16">
        <f t="shared" si="11"/>
        <v>1.778798589952868E-2</v>
      </c>
      <c r="AE45" s="16">
        <f t="shared" si="15"/>
        <v>0.56560891260643142</v>
      </c>
      <c r="AF45" s="19">
        <v>20060521</v>
      </c>
      <c r="AG45" s="17">
        <v>1034.19</v>
      </c>
      <c r="AH45">
        <f t="shared" si="12"/>
        <v>2510.6141210235742</v>
      </c>
      <c r="AI45">
        <f t="shared" si="13"/>
        <v>1.0065135413095645</v>
      </c>
      <c r="AJ45">
        <f t="shared" si="14"/>
        <v>161.97604843227529</v>
      </c>
      <c r="AK45">
        <f t="shared" si="24"/>
        <v>99.838895372612839</v>
      </c>
    </row>
    <row r="46" spans="1:37" x14ac:dyDescent="0.4">
      <c r="A46" s="7" t="s">
        <v>7</v>
      </c>
      <c r="B46" s="7">
        <v>20160831</v>
      </c>
      <c r="C46" s="5" t="s">
        <v>8</v>
      </c>
      <c r="D46" s="5"/>
      <c r="E46" t="s">
        <v>12</v>
      </c>
      <c r="F46" s="12">
        <v>2345.6999999999998</v>
      </c>
      <c r="G46" s="12">
        <v>2489.5</v>
      </c>
      <c r="H46" s="12">
        <v>2064.65</v>
      </c>
      <c r="I46">
        <f t="shared" si="1"/>
        <v>1.008998700952348</v>
      </c>
      <c r="J46">
        <f t="shared" si="2"/>
        <v>1.0659707205953508</v>
      </c>
      <c r="K46">
        <f t="shared" si="3"/>
        <v>1.0422892855700496</v>
      </c>
      <c r="L46">
        <v>1.0080126927158299</v>
      </c>
      <c r="M46">
        <v>1.00049011354024</v>
      </c>
      <c r="N46">
        <v>1.0117584359260501</v>
      </c>
      <c r="O46">
        <v>1.0079578298459699</v>
      </c>
      <c r="P46">
        <f t="shared" si="4"/>
        <v>110.77215136074499</v>
      </c>
      <c r="Q46">
        <f t="shared" si="5"/>
        <v>121.94464854273816</v>
      </c>
      <c r="R46">
        <f t="shared" si="6"/>
        <v>120.70941225305921</v>
      </c>
      <c r="S46">
        <f t="shared" si="7"/>
        <v>172.89463252462357</v>
      </c>
      <c r="T46">
        <f t="shared" si="8"/>
        <v>165.07636787223453</v>
      </c>
      <c r="U46">
        <f t="shared" si="9"/>
        <v>184.34231628103922</v>
      </c>
      <c r="V46">
        <f t="shared" si="10"/>
        <v>175.37053788721846</v>
      </c>
      <c r="W46">
        <f t="shared" si="17"/>
        <v>99.402070505676292</v>
      </c>
      <c r="X46">
        <f t="shared" si="18"/>
        <v>97.053881570483441</v>
      </c>
      <c r="Y46">
        <f t="shared" si="19"/>
        <v>98.161944744236465</v>
      </c>
      <c r="Z46">
        <f t="shared" si="20"/>
        <v>131.57285648951157</v>
      </c>
      <c r="AA46">
        <f t="shared" si="21"/>
        <v>130.33746986396156</v>
      </c>
      <c r="AB46">
        <f t="shared" si="22"/>
        <v>137.31883282600521</v>
      </c>
      <c r="AC46">
        <f t="shared" si="23"/>
        <v>137.49609436099638</v>
      </c>
      <c r="AD46" s="16">
        <f t="shared" si="11"/>
        <v>-3.0530849643999547E-2</v>
      </c>
      <c r="AE46" s="16">
        <f t="shared" si="15"/>
        <v>0.53507806296243188</v>
      </c>
      <c r="AF46" s="19">
        <v>20060522</v>
      </c>
      <c r="AG46" s="18">
        <v>1023.21</v>
      </c>
      <c r="AH46">
        <f t="shared" si="12"/>
        <v>2439.1155734968411</v>
      </c>
      <c r="AI46">
        <f t="shared" si="13"/>
        <v>0.97152149072690497</v>
      </c>
      <c r="AJ46">
        <f t="shared" si="14"/>
        <v>157.36321203497744</v>
      </c>
      <c r="AK46">
        <f t="shared" si="24"/>
        <v>96.99563246492832</v>
      </c>
    </row>
    <row r="47" spans="1:37" x14ac:dyDescent="0.4">
      <c r="A47" s="7" t="s">
        <v>7</v>
      </c>
      <c r="B47" s="7">
        <v>20161130</v>
      </c>
      <c r="C47" s="5" t="s">
        <v>8</v>
      </c>
      <c r="D47" s="5"/>
      <c r="E47" t="s">
        <v>12</v>
      </c>
      <c r="F47" s="12">
        <v>2318.56</v>
      </c>
      <c r="G47" s="12">
        <v>2512.21</v>
      </c>
      <c r="H47" s="12">
        <v>2026.06</v>
      </c>
      <c r="I47">
        <f t="shared" si="1"/>
        <v>0.98842989299569428</v>
      </c>
      <c r="J47">
        <f t="shared" si="2"/>
        <v>1.009122313717614</v>
      </c>
      <c r="K47">
        <f t="shared" si="3"/>
        <v>0.98130918073281181</v>
      </c>
      <c r="L47">
        <v>0.97874372814884902</v>
      </c>
      <c r="M47">
        <v>0.98208085276893398</v>
      </c>
      <c r="N47">
        <v>0.98637179229167304</v>
      </c>
      <c r="O47">
        <v>0.98966873947532297</v>
      </c>
      <c r="P47">
        <f t="shared" si="4"/>
        <v>109.49050571640402</v>
      </c>
      <c r="Q47">
        <f t="shared" si="5"/>
        <v>123.05706588292919</v>
      </c>
      <c r="R47">
        <f t="shared" si="6"/>
        <v>118.45325444478877</v>
      </c>
      <c r="S47">
        <f t="shared" si="7"/>
        <v>169.21953721407533</v>
      </c>
      <c r="T47">
        <f t="shared" si="8"/>
        <v>162.11834013196233</v>
      </c>
      <c r="U47">
        <f t="shared" si="9"/>
        <v>181.83006090532712</v>
      </c>
      <c r="V47">
        <f t="shared" si="10"/>
        <v>173.55873917195285</v>
      </c>
      <c r="W47">
        <f t="shared" si="17"/>
        <v>98.251977913476082</v>
      </c>
      <c r="X47">
        <f t="shared" si="18"/>
        <v>97.939237525681548</v>
      </c>
      <c r="Y47">
        <f t="shared" si="19"/>
        <v>96.327217576106221</v>
      </c>
      <c r="Z47">
        <f t="shared" si="20"/>
        <v>128.77610808373802</v>
      </c>
      <c r="AA47">
        <f t="shared" si="21"/>
        <v>128.0019335517446</v>
      </c>
      <c r="AB47">
        <f t="shared" si="22"/>
        <v>135.44742324998739</v>
      </c>
      <c r="AC47">
        <f t="shared" si="23"/>
        <v>136.07558638902736</v>
      </c>
      <c r="AD47" s="16">
        <f t="shared" si="11"/>
        <v>5.0626115588612297E-3</v>
      </c>
      <c r="AE47" s="16">
        <f t="shared" si="15"/>
        <v>0.54014067452129311</v>
      </c>
      <c r="AF47" s="19">
        <v>20060523</v>
      </c>
      <c r="AG47" s="17">
        <v>1021.44</v>
      </c>
      <c r="AH47">
        <f t="shared" si="12"/>
        <v>2374.32001480074</v>
      </c>
      <c r="AI47">
        <f t="shared" si="13"/>
        <v>0.97343481407762611</v>
      </c>
      <c r="AJ47">
        <f t="shared" si="14"/>
        <v>153.18282904992631</v>
      </c>
      <c r="AK47">
        <f t="shared" si="24"/>
        <v>94.418925454839254</v>
      </c>
    </row>
    <row r="48" spans="1:37" x14ac:dyDescent="0.4">
      <c r="A48" s="7" t="s">
        <v>7</v>
      </c>
      <c r="B48" s="7">
        <v>20170228</v>
      </c>
      <c r="C48" s="5" t="s">
        <v>8</v>
      </c>
      <c r="D48" s="5"/>
      <c r="E48" t="s">
        <v>13</v>
      </c>
      <c r="F48" s="12">
        <v>2472.86</v>
      </c>
      <c r="G48" s="12">
        <v>2690.49</v>
      </c>
      <c r="H48" s="12">
        <v>2151.0700000000002</v>
      </c>
      <c r="I48">
        <f t="shared" si="1"/>
        <v>1.0665499275412327</v>
      </c>
      <c r="J48">
        <f t="shared" si="2"/>
        <v>1.0709654049621646</v>
      </c>
      <c r="K48">
        <f t="shared" si="3"/>
        <v>1.0617010355073395</v>
      </c>
      <c r="L48">
        <v>1.05602778627563</v>
      </c>
      <c r="M48">
        <v>1.0459825663009701</v>
      </c>
      <c r="N48">
        <v>1.0494292605447699</v>
      </c>
      <c r="O48">
        <v>1.04108546611247</v>
      </c>
      <c r="P48">
        <f t="shared" si="4"/>
        <v>116.77709093828362</v>
      </c>
      <c r="Q48">
        <f t="shared" si="5"/>
        <v>131.78986039676704</v>
      </c>
      <c r="R48">
        <f t="shared" si="6"/>
        <v>125.76194290324661</v>
      </c>
      <c r="S48">
        <f t="shared" si="7"/>
        <v>178.70053327876656</v>
      </c>
      <c r="T48">
        <f t="shared" si="8"/>
        <v>169.57295745568351</v>
      </c>
      <c r="U48">
        <f t="shared" si="9"/>
        <v>190.8177863606879</v>
      </c>
      <c r="V48">
        <f t="shared" si="10"/>
        <v>180.68948086872513</v>
      </c>
      <c r="W48">
        <f t="shared" si="17"/>
        <v>104.79063992440071</v>
      </c>
      <c r="X48">
        <f t="shared" si="18"/>
        <v>104.88953517837717</v>
      </c>
      <c r="Y48">
        <f t="shared" si="19"/>
        <v>102.27070664809277</v>
      </c>
      <c r="Z48">
        <f t="shared" si="20"/>
        <v>135.99114834486113</v>
      </c>
      <c r="AA48">
        <f t="shared" si="21"/>
        <v>133.88779094794006</v>
      </c>
      <c r="AB48">
        <f t="shared" si="22"/>
        <v>142.14248922392875</v>
      </c>
      <c r="AC48">
        <f t="shared" si="23"/>
        <v>141.66631528234822</v>
      </c>
      <c r="AD48" s="16">
        <f t="shared" si="11"/>
        <v>-1.2271774962569593E-2</v>
      </c>
      <c r="AE48" s="16">
        <f t="shared" si="15"/>
        <v>0.52786889955872351</v>
      </c>
      <c r="AF48" s="19">
        <v>20060524</v>
      </c>
      <c r="AG48" s="17">
        <v>1020.58</v>
      </c>
      <c r="AH48">
        <f t="shared" si="12"/>
        <v>2495.5806687079612</v>
      </c>
      <c r="AI48">
        <f t="shared" si="13"/>
        <v>1.0510717397618357</v>
      </c>
      <c r="AJ48">
        <f t="shared" si="14"/>
        <v>161.00614263114591</v>
      </c>
      <c r="AK48">
        <f t="shared" si="24"/>
        <v>99.241064244260969</v>
      </c>
    </row>
    <row r="49" spans="1:37" x14ac:dyDescent="0.4">
      <c r="A49" s="7" t="s">
        <v>7</v>
      </c>
      <c r="B49" s="7">
        <v>20170531</v>
      </c>
      <c r="C49" s="5" t="s">
        <v>8</v>
      </c>
      <c r="D49" s="5"/>
      <c r="E49" t="s">
        <v>12</v>
      </c>
      <c r="F49" s="12">
        <v>2710.15</v>
      </c>
      <c r="G49" s="12">
        <v>3001.11</v>
      </c>
      <c r="H49" s="12">
        <v>2418.29</v>
      </c>
      <c r="I49">
        <f t="shared" si="1"/>
        <v>1.0959577169754859</v>
      </c>
      <c r="J49">
        <f t="shared" si="2"/>
        <v>1.1154510888351195</v>
      </c>
      <c r="K49">
        <f t="shared" si="3"/>
        <v>1.1242265477181124</v>
      </c>
      <c r="L49">
        <v>1.0866690085567701</v>
      </c>
      <c r="M49">
        <v>1.0784347408611901</v>
      </c>
      <c r="N49">
        <v>1.0792015013807501</v>
      </c>
      <c r="O49">
        <v>1.07662797278685</v>
      </c>
      <c r="P49">
        <f t="shared" si="4"/>
        <v>127.98275397976002</v>
      </c>
      <c r="Q49">
        <f t="shared" si="5"/>
        <v>147.00514327700219</v>
      </c>
      <c r="R49">
        <f t="shared" si="6"/>
        <v>141.38491490443928</v>
      </c>
      <c r="S49">
        <f t="shared" si="7"/>
        <v>194.18833132660336</v>
      </c>
      <c r="T49">
        <f t="shared" si="8"/>
        <v>182.87336843078566</v>
      </c>
      <c r="U49">
        <f t="shared" si="9"/>
        <v>205.93084153060562</v>
      </c>
      <c r="V49">
        <f t="shared" si="10"/>
        <v>194.53534949160385</v>
      </c>
      <c r="W49">
        <f t="shared" si="17"/>
        <v>114.8461104919464</v>
      </c>
      <c r="X49">
        <f t="shared" si="18"/>
        <v>116.99914622213038</v>
      </c>
      <c r="Y49">
        <f t="shared" si="19"/>
        <v>114.97544346767714</v>
      </c>
      <c r="Z49">
        <f t="shared" si="20"/>
        <v>147.77736634440689</v>
      </c>
      <c r="AA49">
        <f t="shared" si="21"/>
        <v>144.38924513541892</v>
      </c>
      <c r="AB49">
        <f t="shared" si="22"/>
        <v>153.40038778046099</v>
      </c>
      <c r="AC49">
        <f t="shared" si="23"/>
        <v>152.52191783461731</v>
      </c>
      <c r="AD49" s="16">
        <f t="shared" si="11"/>
        <v>-4.5025046337362262E-2</v>
      </c>
      <c r="AE49" s="16">
        <f t="shared" si="15"/>
        <v>0.48284385322136125</v>
      </c>
      <c r="AF49" s="19">
        <v>20060525</v>
      </c>
      <c r="AG49" s="17">
        <v>1004.19</v>
      </c>
      <c r="AH49">
        <v>2650.94</v>
      </c>
      <c r="AI49">
        <f t="shared" si="13"/>
        <v>1.0622537805489867</v>
      </c>
      <c r="AJ49">
        <f t="shared" si="14"/>
        <v>171.02938370154411</v>
      </c>
      <c r="AK49">
        <f t="shared" si="24"/>
        <v>105.41919567917108</v>
      </c>
    </row>
    <row r="50" spans="1:37" x14ac:dyDescent="0.4">
      <c r="AD50" s="15"/>
      <c r="AF50" s="19">
        <v>20060526</v>
      </c>
      <c r="AG50" s="17">
        <v>1011.71</v>
      </c>
    </row>
    <row r="51" spans="1:37" x14ac:dyDescent="0.4">
      <c r="AF51" s="19">
        <v>20060527</v>
      </c>
      <c r="AG51" s="18">
        <v>1011.64</v>
      </c>
    </row>
    <row r="52" spans="1:37" x14ac:dyDescent="0.4">
      <c r="AF52" s="19">
        <v>20060528</v>
      </c>
      <c r="AG52" s="17">
        <v>1011.57</v>
      </c>
    </row>
    <row r="53" spans="1:37" x14ac:dyDescent="0.4">
      <c r="AF53" s="19">
        <v>20060529</v>
      </c>
      <c r="AG53" s="17">
        <v>1014.57</v>
      </c>
    </row>
    <row r="54" spans="1:37" x14ac:dyDescent="0.4">
      <c r="AF54" s="19">
        <v>20060530</v>
      </c>
      <c r="AG54" s="17">
        <v>1013.32</v>
      </c>
    </row>
    <row r="55" spans="1:37" x14ac:dyDescent="0.4">
      <c r="AF55" s="19">
        <v>20060531</v>
      </c>
      <c r="AG55" s="17">
        <v>1013.24</v>
      </c>
    </row>
    <row r="56" spans="1:37" x14ac:dyDescent="0.4">
      <c r="AF56" s="19">
        <v>20060601</v>
      </c>
      <c r="AG56" s="18">
        <v>1003.27</v>
      </c>
    </row>
    <row r="57" spans="1:37" x14ac:dyDescent="0.4">
      <c r="AF57" s="19">
        <v>20060602</v>
      </c>
      <c r="AG57" s="17">
        <v>1006.07</v>
      </c>
    </row>
    <row r="58" spans="1:37" x14ac:dyDescent="0.4">
      <c r="AF58" s="19">
        <v>20060603</v>
      </c>
      <c r="AG58" s="17">
        <v>1006</v>
      </c>
    </row>
    <row r="59" spans="1:37" x14ac:dyDescent="0.4">
      <c r="AF59" s="19">
        <v>20060604</v>
      </c>
      <c r="AG59" s="17">
        <v>1005.92</v>
      </c>
    </row>
    <row r="60" spans="1:37" x14ac:dyDescent="0.4">
      <c r="AF60" s="19">
        <v>20060605</v>
      </c>
      <c r="AG60" s="17">
        <v>998.36</v>
      </c>
    </row>
    <row r="61" spans="1:37" x14ac:dyDescent="0.4">
      <c r="AF61" s="19">
        <v>20060606</v>
      </c>
      <c r="AG61" s="18">
        <v>998.28</v>
      </c>
    </row>
    <row r="62" spans="1:37" x14ac:dyDescent="0.4">
      <c r="AF62" s="19">
        <v>20060607</v>
      </c>
      <c r="AG62" s="17">
        <v>978.81</v>
      </c>
    </row>
    <row r="63" spans="1:37" x14ac:dyDescent="0.4">
      <c r="AF63" s="19">
        <v>20060608</v>
      </c>
      <c r="AG63" s="17">
        <v>959.28</v>
      </c>
    </row>
    <row r="64" spans="1:37" x14ac:dyDescent="0.4">
      <c r="AF64" s="19">
        <v>20060609</v>
      </c>
      <c r="AG64" s="17">
        <v>962.41</v>
      </c>
    </row>
    <row r="65" spans="32:33" x14ac:dyDescent="0.4">
      <c r="AF65" s="19">
        <v>20060610</v>
      </c>
      <c r="AG65" s="17">
        <v>962.34</v>
      </c>
    </row>
    <row r="66" spans="32:33" x14ac:dyDescent="0.4">
      <c r="AF66" s="19">
        <v>20060611</v>
      </c>
      <c r="AG66" s="18">
        <v>962.26</v>
      </c>
    </row>
    <row r="67" spans="32:33" x14ac:dyDescent="0.4">
      <c r="AF67" s="19">
        <v>20060612</v>
      </c>
      <c r="AG67" s="17">
        <v>963.32</v>
      </c>
    </row>
    <row r="68" spans="32:33" x14ac:dyDescent="0.4">
      <c r="AF68" s="19">
        <v>20060613</v>
      </c>
      <c r="AG68" s="17">
        <v>949.42</v>
      </c>
    </row>
    <row r="69" spans="32:33" x14ac:dyDescent="0.4">
      <c r="AF69" s="19">
        <v>20060614</v>
      </c>
      <c r="AG69" s="17">
        <v>953.22</v>
      </c>
    </row>
    <row r="70" spans="32:33" x14ac:dyDescent="0.4">
      <c r="AF70" s="19">
        <v>20060615</v>
      </c>
      <c r="AG70" s="17">
        <v>953.22</v>
      </c>
    </row>
    <row r="71" spans="32:33" x14ac:dyDescent="0.4">
      <c r="AF71" s="19">
        <v>20060616</v>
      </c>
      <c r="AG71" s="18">
        <v>964.88</v>
      </c>
    </row>
    <row r="72" spans="32:33" x14ac:dyDescent="0.4">
      <c r="AF72" s="19">
        <v>20060617</v>
      </c>
      <c r="AG72" s="17">
        <v>964.81</v>
      </c>
    </row>
    <row r="73" spans="32:33" x14ac:dyDescent="0.4">
      <c r="AF73" s="19">
        <v>20060618</v>
      </c>
      <c r="AG73" s="17">
        <v>964.73</v>
      </c>
    </row>
    <row r="74" spans="32:33" x14ac:dyDescent="0.4">
      <c r="AF74" s="19">
        <v>20060619</v>
      </c>
      <c r="AG74" s="17">
        <v>954.98</v>
      </c>
    </row>
    <row r="75" spans="32:33" x14ac:dyDescent="0.4">
      <c r="AF75" s="19">
        <v>20060620</v>
      </c>
      <c r="AG75" s="17">
        <v>941.45</v>
      </c>
    </row>
    <row r="76" spans="32:33" x14ac:dyDescent="0.4">
      <c r="AF76" s="19">
        <v>20060621</v>
      </c>
      <c r="AG76" s="18">
        <v>937.91</v>
      </c>
    </row>
    <row r="77" spans="32:33" x14ac:dyDescent="0.4">
      <c r="AF77" s="19">
        <v>20060622</v>
      </c>
      <c r="AG77" s="17">
        <v>940.27</v>
      </c>
    </row>
    <row r="78" spans="32:33" x14ac:dyDescent="0.4">
      <c r="AF78" s="19">
        <v>20060623</v>
      </c>
      <c r="AG78" s="17">
        <v>936.53</v>
      </c>
    </row>
    <row r="79" spans="32:33" x14ac:dyDescent="0.4">
      <c r="AF79" s="19">
        <v>20060624</v>
      </c>
      <c r="AG79" s="17">
        <v>936.46</v>
      </c>
    </row>
    <row r="80" spans="32:33" x14ac:dyDescent="0.4">
      <c r="AF80" s="19">
        <v>20060625</v>
      </c>
      <c r="AG80" s="17">
        <v>936.38</v>
      </c>
    </row>
    <row r="81" spans="32:33" x14ac:dyDescent="0.4">
      <c r="AF81" s="19">
        <v>20060626</v>
      </c>
      <c r="AG81" s="18">
        <v>936.95</v>
      </c>
    </row>
    <row r="82" spans="32:33" x14ac:dyDescent="0.4">
      <c r="AF82" s="19">
        <v>20060627</v>
      </c>
      <c r="AG82" s="17">
        <v>937.55</v>
      </c>
    </row>
    <row r="83" spans="32:33" x14ac:dyDescent="0.4">
      <c r="AF83" s="19">
        <v>20060628</v>
      </c>
      <c r="AG83" s="17">
        <v>928.88</v>
      </c>
    </row>
    <row r="84" spans="32:33" x14ac:dyDescent="0.4">
      <c r="AF84" s="19">
        <v>20060629</v>
      </c>
      <c r="AG84" s="17">
        <v>944.55</v>
      </c>
    </row>
    <row r="85" spans="32:33" x14ac:dyDescent="0.4">
      <c r="AF85" s="19">
        <v>20060630</v>
      </c>
      <c r="AG85" s="17">
        <v>957.34</v>
      </c>
    </row>
    <row r="86" spans="32:33" x14ac:dyDescent="0.4">
      <c r="AF86" s="19">
        <v>20060701</v>
      </c>
      <c r="AG86" s="18">
        <v>957.27</v>
      </c>
    </row>
    <row r="87" spans="32:33" x14ac:dyDescent="0.4">
      <c r="AF87" s="19">
        <v>20060702</v>
      </c>
      <c r="AG87" s="17">
        <v>957.2</v>
      </c>
    </row>
    <row r="88" spans="32:33" x14ac:dyDescent="0.4">
      <c r="AF88" s="19">
        <v>20060703</v>
      </c>
      <c r="AG88" s="17">
        <v>954.44</v>
      </c>
    </row>
    <row r="89" spans="32:33" x14ac:dyDescent="0.4">
      <c r="AF89" s="19">
        <v>20060704</v>
      </c>
      <c r="AG89" s="17">
        <v>950.31</v>
      </c>
    </row>
    <row r="90" spans="32:33" x14ac:dyDescent="0.4">
      <c r="AF90" s="19">
        <v>20060705</v>
      </c>
      <c r="AG90" s="17">
        <v>946.76</v>
      </c>
    </row>
    <row r="91" spans="32:33" x14ac:dyDescent="0.4">
      <c r="AF91" s="19">
        <v>20060706</v>
      </c>
      <c r="AG91" s="18">
        <v>941.18</v>
      </c>
    </row>
    <row r="92" spans="32:33" x14ac:dyDescent="0.4">
      <c r="AF92" s="19">
        <v>20060707</v>
      </c>
      <c r="AG92" s="17">
        <v>940.89</v>
      </c>
    </row>
    <row r="93" spans="32:33" x14ac:dyDescent="0.4">
      <c r="AF93" s="19">
        <v>20060708</v>
      </c>
      <c r="AG93" s="17">
        <v>940.82</v>
      </c>
    </row>
    <row r="94" spans="32:33" x14ac:dyDescent="0.4">
      <c r="AF94" s="19">
        <v>20060709</v>
      </c>
      <c r="AG94" s="17">
        <v>940.75</v>
      </c>
    </row>
    <row r="95" spans="32:33" x14ac:dyDescent="0.4">
      <c r="AF95" s="19">
        <v>20060710</v>
      </c>
      <c r="AG95" s="17">
        <v>946.1</v>
      </c>
    </row>
    <row r="96" spans="32:33" x14ac:dyDescent="0.4">
      <c r="AF96" s="19">
        <v>20060711</v>
      </c>
      <c r="AG96" s="18">
        <v>946.52</v>
      </c>
    </row>
    <row r="97" spans="32:33" x14ac:dyDescent="0.4">
      <c r="AF97" s="19">
        <v>20060712</v>
      </c>
      <c r="AG97" s="17">
        <v>939.04</v>
      </c>
    </row>
    <row r="98" spans="32:33" x14ac:dyDescent="0.4">
      <c r="AF98" s="19">
        <v>20060713</v>
      </c>
      <c r="AG98" s="17">
        <v>932.5</v>
      </c>
    </row>
    <row r="99" spans="32:33" x14ac:dyDescent="0.4">
      <c r="AF99" s="19">
        <v>20060714</v>
      </c>
      <c r="AG99" s="17">
        <v>921.83</v>
      </c>
    </row>
    <row r="100" spans="32:33" x14ac:dyDescent="0.4">
      <c r="AF100" s="19">
        <v>20060715</v>
      </c>
      <c r="AG100" s="17">
        <v>921.76</v>
      </c>
    </row>
    <row r="101" spans="32:33" x14ac:dyDescent="0.4">
      <c r="AF101" s="19">
        <v>20060716</v>
      </c>
      <c r="AG101" s="18">
        <v>921.69</v>
      </c>
    </row>
    <row r="102" spans="32:33" x14ac:dyDescent="0.4">
      <c r="AF102" s="19">
        <v>20060717</v>
      </c>
      <c r="AG102" s="17">
        <v>921.62</v>
      </c>
    </row>
    <row r="103" spans="32:33" x14ac:dyDescent="0.4">
      <c r="AF103" s="19">
        <v>20060718</v>
      </c>
      <c r="AG103" s="17">
        <v>914.07</v>
      </c>
    </row>
    <row r="104" spans="32:33" x14ac:dyDescent="0.4">
      <c r="AF104" s="19">
        <v>20060719</v>
      </c>
      <c r="AG104" s="17">
        <v>915.48</v>
      </c>
    </row>
    <row r="105" spans="32:33" x14ac:dyDescent="0.4">
      <c r="AF105" s="19">
        <v>20060720</v>
      </c>
      <c r="AG105" s="17">
        <v>927.53</v>
      </c>
    </row>
    <row r="106" spans="32:33" x14ac:dyDescent="0.4">
      <c r="AF106" s="19">
        <v>20060721</v>
      </c>
      <c r="AG106" s="18">
        <v>927.85</v>
      </c>
    </row>
    <row r="107" spans="32:33" x14ac:dyDescent="0.4">
      <c r="AF107" s="19">
        <v>20060722</v>
      </c>
      <c r="AG107" s="17">
        <v>927.78</v>
      </c>
    </row>
    <row r="108" spans="32:33" x14ac:dyDescent="0.4">
      <c r="AF108" s="19">
        <v>20060723</v>
      </c>
      <c r="AG108" s="17">
        <v>927.71</v>
      </c>
    </row>
    <row r="109" spans="32:33" x14ac:dyDescent="0.4">
      <c r="AF109" s="19">
        <v>20060724</v>
      </c>
      <c r="AG109" s="17">
        <v>922.45</v>
      </c>
    </row>
    <row r="110" spans="32:33" x14ac:dyDescent="0.4">
      <c r="AF110" s="19">
        <v>20060725</v>
      </c>
      <c r="AG110" s="17">
        <v>926.39</v>
      </c>
    </row>
    <row r="111" spans="32:33" x14ac:dyDescent="0.4">
      <c r="AF111" s="19">
        <v>20060726</v>
      </c>
      <c r="AG111" s="18">
        <v>924.71</v>
      </c>
    </row>
    <row r="112" spans="32:33" x14ac:dyDescent="0.4">
      <c r="AF112" s="19">
        <v>20060727</v>
      </c>
      <c r="AG112" s="17">
        <v>934.81</v>
      </c>
    </row>
    <row r="113" spans="32:33" x14ac:dyDescent="0.4">
      <c r="AF113" s="19">
        <v>20060728</v>
      </c>
      <c r="AG113" s="17">
        <v>937.3</v>
      </c>
    </row>
    <row r="114" spans="32:33" x14ac:dyDescent="0.4">
      <c r="AF114" s="19">
        <v>20060729</v>
      </c>
      <c r="AG114" s="17">
        <v>937.22</v>
      </c>
    </row>
    <row r="115" spans="32:33" x14ac:dyDescent="0.4">
      <c r="AF115" s="19">
        <v>20060730</v>
      </c>
      <c r="AG115" s="17">
        <v>937.15</v>
      </c>
    </row>
    <row r="116" spans="32:33" x14ac:dyDescent="0.4">
      <c r="AF116" s="19">
        <v>20060731</v>
      </c>
      <c r="AG116" s="18">
        <v>938.17</v>
      </c>
    </row>
    <row r="117" spans="32:33" x14ac:dyDescent="0.4">
      <c r="AF117" s="19">
        <v>20060801</v>
      </c>
      <c r="AG117" s="17">
        <v>935.32</v>
      </c>
    </row>
    <row r="118" spans="32:33" x14ac:dyDescent="0.4">
      <c r="AF118" s="19">
        <v>20060802</v>
      </c>
      <c r="AG118" s="17">
        <v>936.47</v>
      </c>
    </row>
    <row r="119" spans="32:33" x14ac:dyDescent="0.4">
      <c r="AF119" s="19">
        <v>20060803</v>
      </c>
      <c r="AG119" s="17">
        <v>932.06</v>
      </c>
    </row>
    <row r="120" spans="32:33" x14ac:dyDescent="0.4">
      <c r="AF120" s="19">
        <v>20060804</v>
      </c>
      <c r="AG120" s="17">
        <v>933.06</v>
      </c>
    </row>
    <row r="121" spans="32:33" x14ac:dyDescent="0.4">
      <c r="AF121" s="19">
        <v>20060805</v>
      </c>
      <c r="AG121" s="18">
        <v>932.99</v>
      </c>
    </row>
    <row r="122" spans="32:33" x14ac:dyDescent="0.4">
      <c r="AF122" s="19">
        <v>20060806</v>
      </c>
      <c r="AG122" s="17">
        <v>932.92</v>
      </c>
    </row>
    <row r="123" spans="32:33" x14ac:dyDescent="0.4">
      <c r="AF123" s="19">
        <v>20060807</v>
      </c>
      <c r="AG123" s="17">
        <v>923.53</v>
      </c>
    </row>
    <row r="124" spans="32:33" x14ac:dyDescent="0.4">
      <c r="AF124" s="19">
        <v>20060808</v>
      </c>
      <c r="AG124" s="17">
        <v>933.5</v>
      </c>
    </row>
    <row r="125" spans="32:33" x14ac:dyDescent="0.4">
      <c r="AF125" s="19">
        <v>20060809</v>
      </c>
      <c r="AG125" s="17">
        <v>935.45</v>
      </c>
    </row>
    <row r="126" spans="32:33" x14ac:dyDescent="0.4">
      <c r="AF126" s="19">
        <v>20060810</v>
      </c>
      <c r="AG126" s="18">
        <v>935.73</v>
      </c>
    </row>
    <row r="127" spans="32:33" x14ac:dyDescent="0.4">
      <c r="AF127" s="19">
        <v>20060811</v>
      </c>
      <c r="AG127" s="17">
        <v>934.28</v>
      </c>
    </row>
    <row r="128" spans="32:33" x14ac:dyDescent="0.4">
      <c r="AF128" s="19">
        <v>20060812</v>
      </c>
      <c r="AG128" s="17">
        <v>934.21</v>
      </c>
    </row>
    <row r="129" spans="32:33" x14ac:dyDescent="0.4">
      <c r="AF129" s="19">
        <v>20060813</v>
      </c>
      <c r="AG129" s="17">
        <v>934.14</v>
      </c>
    </row>
    <row r="130" spans="32:33" x14ac:dyDescent="0.4">
      <c r="AF130" s="19">
        <v>20060814</v>
      </c>
      <c r="AG130" s="17">
        <v>936.9</v>
      </c>
    </row>
    <row r="131" spans="32:33" x14ac:dyDescent="0.4">
      <c r="AF131" s="19">
        <v>20060815</v>
      </c>
      <c r="AG131" s="18">
        <v>936.83</v>
      </c>
    </row>
    <row r="132" spans="32:33" x14ac:dyDescent="0.4">
      <c r="AF132" s="19">
        <v>20060816</v>
      </c>
      <c r="AG132" s="17">
        <v>941.76</v>
      </c>
    </row>
    <row r="133" spans="32:33" x14ac:dyDescent="0.4">
      <c r="AF133" s="19">
        <v>20060817</v>
      </c>
      <c r="AG133" s="17">
        <v>941.58</v>
      </c>
    </row>
    <row r="134" spans="32:33" x14ac:dyDescent="0.4">
      <c r="AF134" s="19">
        <v>20060818</v>
      </c>
      <c r="AG134" s="17">
        <v>944.12</v>
      </c>
    </row>
    <row r="135" spans="32:33" x14ac:dyDescent="0.4">
      <c r="AF135" s="19">
        <v>20060819</v>
      </c>
      <c r="AG135" s="17">
        <v>944.05</v>
      </c>
    </row>
    <row r="136" spans="32:33" x14ac:dyDescent="0.4">
      <c r="AF136" s="19">
        <v>20060820</v>
      </c>
      <c r="AG136" s="18">
        <v>943.98</v>
      </c>
    </row>
    <row r="137" spans="32:33" x14ac:dyDescent="0.4">
      <c r="AF137" s="19">
        <v>20060821</v>
      </c>
      <c r="AG137" s="17">
        <v>937.79</v>
      </c>
    </row>
    <row r="138" spans="32:33" x14ac:dyDescent="0.4">
      <c r="AF138" s="19">
        <v>20060822</v>
      </c>
      <c r="AG138" s="17">
        <v>943.66</v>
      </c>
    </row>
    <row r="139" spans="32:33" x14ac:dyDescent="0.4">
      <c r="AF139" s="19">
        <v>20060823</v>
      </c>
      <c r="AG139" s="17">
        <v>939.23</v>
      </c>
    </row>
    <row r="140" spans="32:33" x14ac:dyDescent="0.4">
      <c r="AF140" s="19">
        <v>20060824</v>
      </c>
      <c r="AG140" s="17">
        <v>939.64</v>
      </c>
    </row>
    <row r="141" spans="32:33" x14ac:dyDescent="0.4">
      <c r="AF141" s="19">
        <v>20060825</v>
      </c>
      <c r="AG141" s="18">
        <v>948.76</v>
      </c>
    </row>
    <row r="142" spans="32:33" x14ac:dyDescent="0.4">
      <c r="AF142" s="19">
        <v>20060826</v>
      </c>
      <c r="AG142" s="17">
        <v>948.69</v>
      </c>
    </row>
    <row r="143" spans="32:33" x14ac:dyDescent="0.4">
      <c r="AF143" s="19">
        <v>20060827</v>
      </c>
      <c r="AG143" s="17">
        <v>948.62</v>
      </c>
    </row>
    <row r="144" spans="32:33" x14ac:dyDescent="0.4">
      <c r="AF144" s="19">
        <v>20060828</v>
      </c>
      <c r="AG144" s="17">
        <v>948.05</v>
      </c>
    </row>
    <row r="145" spans="32:33" x14ac:dyDescent="0.4">
      <c r="AF145" s="19">
        <v>20060829</v>
      </c>
      <c r="AG145" s="17">
        <v>959.88</v>
      </c>
    </row>
    <row r="146" spans="32:33" x14ac:dyDescent="0.4">
      <c r="AF146" s="19">
        <v>20060830</v>
      </c>
      <c r="AG146" s="18">
        <v>957.11</v>
      </c>
    </row>
    <row r="147" spans="32:33" x14ac:dyDescent="0.4">
      <c r="AF147" s="19">
        <v>20060831</v>
      </c>
      <c r="AG147" s="17">
        <v>964.65</v>
      </c>
    </row>
    <row r="148" spans="32:33" x14ac:dyDescent="0.4">
      <c r="AF148" s="19">
        <v>20060901</v>
      </c>
      <c r="AG148" s="17">
        <v>966.25</v>
      </c>
    </row>
    <row r="149" spans="32:33" x14ac:dyDescent="0.4">
      <c r="AF149" s="19">
        <v>20060902</v>
      </c>
      <c r="AG149" s="17">
        <v>966.18</v>
      </c>
    </row>
    <row r="150" spans="32:33" x14ac:dyDescent="0.4">
      <c r="AF150" s="19">
        <v>20060903</v>
      </c>
      <c r="AG150" s="17">
        <v>966.1</v>
      </c>
    </row>
    <row r="151" spans="32:33" x14ac:dyDescent="0.4">
      <c r="AF151" s="19">
        <v>20060904</v>
      </c>
      <c r="AG151" s="18">
        <v>969.48</v>
      </c>
    </row>
    <row r="152" spans="32:33" x14ac:dyDescent="0.4">
      <c r="AF152" s="19">
        <v>20060905</v>
      </c>
      <c r="AG152" s="17">
        <v>971.65</v>
      </c>
    </row>
    <row r="153" spans="32:33" x14ac:dyDescent="0.4">
      <c r="AF153" s="19">
        <v>20060906</v>
      </c>
      <c r="AG153" s="17">
        <v>971.65</v>
      </c>
    </row>
    <row r="154" spans="32:33" x14ac:dyDescent="0.4">
      <c r="AF154" s="19">
        <v>20060907</v>
      </c>
      <c r="AG154" s="17">
        <v>972.66</v>
      </c>
    </row>
    <row r="155" spans="32:33" x14ac:dyDescent="0.4">
      <c r="AF155" s="19">
        <v>20060908</v>
      </c>
      <c r="AG155" s="17">
        <v>973.28</v>
      </c>
    </row>
    <row r="156" spans="32:33" x14ac:dyDescent="0.4">
      <c r="AF156" s="19">
        <v>20060909</v>
      </c>
      <c r="AG156" s="18">
        <v>973.21</v>
      </c>
    </row>
    <row r="157" spans="32:33" x14ac:dyDescent="0.4">
      <c r="AF157" s="19">
        <v>20060910</v>
      </c>
      <c r="AG157" s="17">
        <v>973.14</v>
      </c>
    </row>
    <row r="158" spans="32:33" x14ac:dyDescent="0.4">
      <c r="AF158" s="19">
        <v>20060911</v>
      </c>
      <c r="AG158" s="17">
        <v>966.7</v>
      </c>
    </row>
    <row r="159" spans="32:33" x14ac:dyDescent="0.4">
      <c r="AF159" s="19">
        <v>20060912</v>
      </c>
      <c r="AG159" s="17">
        <v>964.24</v>
      </c>
    </row>
    <row r="160" spans="32:33" x14ac:dyDescent="0.4">
      <c r="AF160" s="19">
        <v>20060913</v>
      </c>
      <c r="AG160" s="17">
        <v>969.78</v>
      </c>
    </row>
    <row r="161" spans="32:33" x14ac:dyDescent="0.4">
      <c r="AF161" s="19">
        <v>20060914</v>
      </c>
      <c r="AG161" s="18">
        <v>975.17</v>
      </c>
    </row>
    <row r="162" spans="32:33" x14ac:dyDescent="0.4">
      <c r="AF162" s="19">
        <v>20060915</v>
      </c>
      <c r="AG162" s="17">
        <v>980.16</v>
      </c>
    </row>
    <row r="163" spans="32:33" x14ac:dyDescent="0.4">
      <c r="AF163" s="19">
        <v>20060916</v>
      </c>
      <c r="AG163" s="17">
        <v>980.09</v>
      </c>
    </row>
    <row r="164" spans="32:33" x14ac:dyDescent="0.4">
      <c r="AF164" s="19">
        <v>20060917</v>
      </c>
      <c r="AG164" s="17">
        <v>980.02</v>
      </c>
    </row>
    <row r="165" spans="32:33" x14ac:dyDescent="0.4">
      <c r="AF165" s="19">
        <v>20060918</v>
      </c>
      <c r="AG165" s="17">
        <v>985.69</v>
      </c>
    </row>
    <row r="166" spans="32:33" x14ac:dyDescent="0.4">
      <c r="AF166" s="19">
        <v>20060919</v>
      </c>
      <c r="AG166" s="18">
        <v>983.71</v>
      </c>
    </row>
    <row r="167" spans="32:33" x14ac:dyDescent="0.4">
      <c r="AF167" s="19">
        <v>20060920</v>
      </c>
      <c r="AG167" s="17">
        <v>984.35</v>
      </c>
    </row>
    <row r="168" spans="32:33" x14ac:dyDescent="0.4">
      <c r="AF168" s="19">
        <v>20060921</v>
      </c>
      <c r="AG168" s="17">
        <v>986.3</v>
      </c>
    </row>
    <row r="169" spans="32:33" x14ac:dyDescent="0.4">
      <c r="AF169" s="19">
        <v>20060922</v>
      </c>
      <c r="AG169" s="17">
        <v>984.76</v>
      </c>
    </row>
    <row r="170" spans="32:33" x14ac:dyDescent="0.4">
      <c r="AF170" s="19">
        <v>20060923</v>
      </c>
      <c r="AG170" s="17">
        <v>984.69</v>
      </c>
    </row>
    <row r="171" spans="32:33" x14ac:dyDescent="0.4">
      <c r="AF171" s="19">
        <v>20060924</v>
      </c>
      <c r="AG171" s="18">
        <v>984.61</v>
      </c>
    </row>
    <row r="172" spans="32:33" x14ac:dyDescent="0.4">
      <c r="AF172" s="19">
        <v>20060925</v>
      </c>
      <c r="AG172" s="17">
        <v>992.1</v>
      </c>
    </row>
    <row r="173" spans="32:33" x14ac:dyDescent="0.4">
      <c r="AF173" s="19">
        <v>20060926</v>
      </c>
      <c r="AG173" s="17">
        <v>986.99</v>
      </c>
    </row>
    <row r="174" spans="32:33" x14ac:dyDescent="0.4">
      <c r="AF174" s="19">
        <v>20060927</v>
      </c>
      <c r="AG174" s="17">
        <v>994.7</v>
      </c>
    </row>
    <row r="175" spans="32:33" x14ac:dyDescent="0.4">
      <c r="AF175" s="19">
        <v>20060928</v>
      </c>
      <c r="AG175" s="17">
        <v>997.7</v>
      </c>
    </row>
    <row r="176" spans="32:33" x14ac:dyDescent="0.4">
      <c r="AF176" s="19">
        <v>20060929</v>
      </c>
      <c r="AG176" s="18">
        <v>1001.77</v>
      </c>
    </row>
    <row r="177" spans="32:33" x14ac:dyDescent="0.4">
      <c r="AF177" s="19">
        <v>20060930</v>
      </c>
      <c r="AG177" s="17">
        <v>1001.69</v>
      </c>
    </row>
    <row r="178" spans="32:33" x14ac:dyDescent="0.4">
      <c r="AF178" s="19">
        <v>20061001</v>
      </c>
      <c r="AG178" s="17">
        <v>1001.62</v>
      </c>
    </row>
    <row r="179" spans="32:33" x14ac:dyDescent="0.4">
      <c r="AF179" s="19">
        <v>20061002</v>
      </c>
      <c r="AG179" s="17">
        <v>1003.27</v>
      </c>
    </row>
    <row r="180" spans="32:33" x14ac:dyDescent="0.4">
      <c r="AF180" s="19">
        <v>20061003</v>
      </c>
      <c r="AG180" s="17">
        <v>1003.19</v>
      </c>
    </row>
    <row r="181" spans="32:33" x14ac:dyDescent="0.4">
      <c r="AF181" s="19">
        <v>20061004</v>
      </c>
      <c r="AG181" s="18">
        <v>990.83</v>
      </c>
    </row>
    <row r="182" spans="32:33" x14ac:dyDescent="0.4">
      <c r="AF182" s="19">
        <v>20061005</v>
      </c>
      <c r="AG182" s="17">
        <v>990.76</v>
      </c>
    </row>
    <row r="183" spans="32:33" x14ac:dyDescent="0.4">
      <c r="AF183" s="19">
        <v>20061006</v>
      </c>
      <c r="AG183" s="17">
        <v>990.68</v>
      </c>
    </row>
    <row r="184" spans="32:33" x14ac:dyDescent="0.4">
      <c r="AF184" s="19">
        <v>20061007</v>
      </c>
      <c r="AG184" s="17">
        <v>990.6</v>
      </c>
    </row>
    <row r="185" spans="32:33" x14ac:dyDescent="0.4">
      <c r="AF185" s="19">
        <v>20061008</v>
      </c>
      <c r="AG185" s="17">
        <v>990.53</v>
      </c>
    </row>
    <row r="186" spans="32:33" x14ac:dyDescent="0.4">
      <c r="AF186" s="19">
        <v>20061009</v>
      </c>
      <c r="AG186" s="18">
        <v>950.99</v>
      </c>
    </row>
    <row r="187" spans="32:33" x14ac:dyDescent="0.4">
      <c r="AF187" s="19">
        <v>20061010</v>
      </c>
      <c r="AG187" s="17">
        <v>963.96</v>
      </c>
    </row>
    <row r="188" spans="32:33" x14ac:dyDescent="0.4">
      <c r="AF188" s="19">
        <v>20061011</v>
      </c>
      <c r="AG188" s="17">
        <v>961.87</v>
      </c>
    </row>
    <row r="189" spans="32:33" x14ac:dyDescent="0.4">
      <c r="AF189" s="19">
        <v>20061012</v>
      </c>
      <c r="AG189" s="17">
        <v>967.98</v>
      </c>
    </row>
    <row r="190" spans="32:33" x14ac:dyDescent="0.4">
      <c r="AF190" s="19">
        <v>20061013</v>
      </c>
      <c r="AG190" s="17">
        <v>981.35</v>
      </c>
    </row>
    <row r="191" spans="32:33" x14ac:dyDescent="0.4">
      <c r="AF191" s="19">
        <v>20061014</v>
      </c>
      <c r="AG191" s="18">
        <v>981.27</v>
      </c>
    </row>
    <row r="192" spans="32:33" x14ac:dyDescent="0.4">
      <c r="AF192" s="19">
        <v>20061015</v>
      </c>
      <c r="AG192" s="17">
        <v>981.19</v>
      </c>
    </row>
    <row r="193" spans="32:33" x14ac:dyDescent="0.4">
      <c r="AF193" s="19">
        <v>20061016</v>
      </c>
      <c r="AG193" s="17">
        <v>983.31</v>
      </c>
    </row>
    <row r="194" spans="32:33" x14ac:dyDescent="0.4">
      <c r="AF194" s="19">
        <v>20061017</v>
      </c>
      <c r="AG194" s="17">
        <v>978.8</v>
      </c>
    </row>
    <row r="195" spans="32:33" x14ac:dyDescent="0.4">
      <c r="AF195" s="19">
        <v>20061018</v>
      </c>
      <c r="AG195" s="17">
        <v>980.03</v>
      </c>
    </row>
    <row r="196" spans="32:33" x14ac:dyDescent="0.4">
      <c r="AF196" s="19">
        <v>20061019</v>
      </c>
      <c r="AG196" s="18">
        <v>980.67</v>
      </c>
    </row>
    <row r="197" spans="32:33" x14ac:dyDescent="0.4">
      <c r="AF197" s="19">
        <v>20061020</v>
      </c>
      <c r="AG197" s="17">
        <v>983.87</v>
      </c>
    </row>
    <row r="198" spans="32:33" x14ac:dyDescent="0.4">
      <c r="AF198" s="19">
        <v>20061021</v>
      </c>
      <c r="AG198" s="17">
        <v>983.79</v>
      </c>
    </row>
    <row r="199" spans="32:33" x14ac:dyDescent="0.4">
      <c r="AF199" s="19">
        <v>20061022</v>
      </c>
      <c r="AG199" s="17">
        <v>983.72</v>
      </c>
    </row>
    <row r="200" spans="32:33" x14ac:dyDescent="0.4">
      <c r="AF200" s="19">
        <v>20061023</v>
      </c>
      <c r="AG200" s="17">
        <v>988.4</v>
      </c>
    </row>
    <row r="201" spans="32:33" x14ac:dyDescent="0.4">
      <c r="AF201" s="19">
        <v>20061024</v>
      </c>
      <c r="AG201" s="18">
        <v>988.44</v>
      </c>
    </row>
    <row r="202" spans="32:33" x14ac:dyDescent="0.4">
      <c r="AF202" s="19">
        <v>20061025</v>
      </c>
      <c r="AG202" s="17">
        <v>989.72</v>
      </c>
    </row>
    <row r="203" spans="32:33" x14ac:dyDescent="0.4">
      <c r="AF203" s="19">
        <v>20061026</v>
      </c>
      <c r="AG203" s="17">
        <v>994.04</v>
      </c>
    </row>
    <row r="204" spans="32:33" x14ac:dyDescent="0.4">
      <c r="AF204" s="19">
        <v>20061027</v>
      </c>
      <c r="AG204" s="17">
        <v>997.74</v>
      </c>
    </row>
    <row r="205" spans="32:33" x14ac:dyDescent="0.4">
      <c r="AF205" s="19">
        <v>20061028</v>
      </c>
      <c r="AG205" s="17">
        <v>997.66</v>
      </c>
    </row>
    <row r="206" spans="32:33" x14ac:dyDescent="0.4">
      <c r="AF206" s="19">
        <v>20061029</v>
      </c>
      <c r="AG206" s="18">
        <v>997.58</v>
      </c>
    </row>
    <row r="207" spans="32:33" x14ac:dyDescent="0.4">
      <c r="AF207" s="19">
        <v>20061030</v>
      </c>
      <c r="AG207" s="17">
        <v>996.64</v>
      </c>
    </row>
    <row r="208" spans="32:33" x14ac:dyDescent="0.4">
      <c r="AF208" s="19">
        <v>20061031</v>
      </c>
      <c r="AG208" s="17">
        <v>1008.83</v>
      </c>
    </row>
    <row r="209" spans="32:33" x14ac:dyDescent="0.4">
      <c r="AF209" s="19">
        <v>20061101</v>
      </c>
      <c r="AG209" s="17">
        <v>1019.97</v>
      </c>
    </row>
    <row r="210" spans="32:33" x14ac:dyDescent="0.4">
      <c r="AF210" s="19">
        <v>20061102</v>
      </c>
      <c r="AG210" s="17">
        <v>1026.9000000000001</v>
      </c>
    </row>
    <row r="211" spans="32:33" x14ac:dyDescent="0.4">
      <c r="AF211" s="19">
        <v>20061103</v>
      </c>
      <c r="AG211" s="18">
        <v>1029.57</v>
      </c>
    </row>
    <row r="212" spans="32:33" x14ac:dyDescent="0.4">
      <c r="AF212" s="19">
        <v>20061104</v>
      </c>
      <c r="AG212" s="17">
        <v>1029.49</v>
      </c>
    </row>
    <row r="213" spans="32:33" x14ac:dyDescent="0.4">
      <c r="AF213" s="19">
        <v>20061105</v>
      </c>
      <c r="AG213" s="17">
        <v>1029.4100000000001</v>
      </c>
    </row>
    <row r="214" spans="32:33" x14ac:dyDescent="0.4">
      <c r="AF214" s="19">
        <v>20061106</v>
      </c>
      <c r="AG214" s="17">
        <v>1029.2</v>
      </c>
    </row>
    <row r="215" spans="32:33" x14ac:dyDescent="0.4">
      <c r="AF215" s="19">
        <v>20061107</v>
      </c>
      <c r="AG215" s="17">
        <v>1033.8399999999999</v>
      </c>
    </row>
    <row r="216" spans="32:33" x14ac:dyDescent="0.4">
      <c r="AF216" s="19">
        <v>20061108</v>
      </c>
      <c r="AG216" s="18">
        <v>1033.43</v>
      </c>
    </row>
    <row r="217" spans="32:33" x14ac:dyDescent="0.4">
      <c r="AF217" s="19">
        <v>20061109</v>
      </c>
      <c r="AG217" s="17">
        <v>1039.76</v>
      </c>
    </row>
    <row r="218" spans="32:33" x14ac:dyDescent="0.4">
      <c r="AF218" s="19">
        <v>20061110</v>
      </c>
      <c r="AG218" s="17">
        <v>1041.6099999999999</v>
      </c>
    </row>
    <row r="219" spans="32:33" x14ac:dyDescent="0.4">
      <c r="AF219" s="19">
        <v>20061111</v>
      </c>
      <c r="AG219" s="17">
        <v>1041.54</v>
      </c>
    </row>
    <row r="220" spans="32:33" x14ac:dyDescent="0.4">
      <c r="AF220" s="19">
        <v>20061112</v>
      </c>
      <c r="AG220" s="17">
        <v>1041.46</v>
      </c>
    </row>
    <row r="221" spans="32:33" x14ac:dyDescent="0.4">
      <c r="AF221" s="19">
        <v>20061113</v>
      </c>
      <c r="AG221" s="18">
        <v>1044.3599999999999</v>
      </c>
    </row>
    <row r="222" spans="32:33" x14ac:dyDescent="0.4">
      <c r="AF222" s="19">
        <v>20061114</v>
      </c>
      <c r="AG222" s="17">
        <v>1048.6199999999999</v>
      </c>
    </row>
    <row r="223" spans="32:33" x14ac:dyDescent="0.4">
      <c r="AF223" s="19">
        <v>20061115</v>
      </c>
      <c r="AG223" s="17">
        <v>1049.6500000000001</v>
      </c>
    </row>
    <row r="224" spans="32:33" x14ac:dyDescent="0.4">
      <c r="AF224" s="19">
        <v>20061116</v>
      </c>
      <c r="AG224" s="17">
        <v>1051.8499999999999</v>
      </c>
    </row>
    <row r="225" spans="32:33" x14ac:dyDescent="0.4">
      <c r="AF225" s="19">
        <v>20061117</v>
      </c>
      <c r="AG225" s="17">
        <v>1055.71</v>
      </c>
    </row>
    <row r="226" spans="32:33" x14ac:dyDescent="0.4">
      <c r="AF226" s="19">
        <v>20061118</v>
      </c>
      <c r="AG226" s="18">
        <v>1055.6300000000001</v>
      </c>
    </row>
    <row r="227" spans="32:33" x14ac:dyDescent="0.4">
      <c r="AF227" s="19">
        <v>20061119</v>
      </c>
      <c r="AG227" s="17">
        <v>1055.55</v>
      </c>
    </row>
    <row r="228" spans="32:33" x14ac:dyDescent="0.4">
      <c r="AF228" s="19">
        <v>20061120</v>
      </c>
      <c r="AG228" s="17">
        <v>1053.1500000000001</v>
      </c>
    </row>
    <row r="229" spans="32:33" x14ac:dyDescent="0.4">
      <c r="AF229" s="19">
        <v>20061121</v>
      </c>
      <c r="AG229" s="17">
        <v>1058.3800000000001</v>
      </c>
    </row>
    <row r="230" spans="32:33" x14ac:dyDescent="0.4">
      <c r="AF230" s="19">
        <v>20061122</v>
      </c>
      <c r="AG230" s="17">
        <v>1070.3</v>
      </c>
    </row>
    <row r="231" spans="32:33" x14ac:dyDescent="0.4">
      <c r="AF231" s="19">
        <v>20061123</v>
      </c>
      <c r="AG231" s="18">
        <v>1069.0999999999999</v>
      </c>
    </row>
    <row r="232" spans="32:33" x14ac:dyDescent="0.4">
      <c r="AF232" s="19">
        <v>20061124</v>
      </c>
      <c r="AG232" s="17">
        <v>1069.82</v>
      </c>
    </row>
    <row r="233" spans="32:33" x14ac:dyDescent="0.4">
      <c r="AF233" s="19">
        <v>20061125</v>
      </c>
      <c r="AG233" s="17">
        <v>1069.75</v>
      </c>
    </row>
    <row r="234" spans="32:33" x14ac:dyDescent="0.4">
      <c r="AF234" s="19">
        <v>20061126</v>
      </c>
      <c r="AG234" s="17">
        <v>1069.67</v>
      </c>
    </row>
    <row r="235" spans="32:33" x14ac:dyDescent="0.4">
      <c r="AF235" s="19">
        <v>20061127</v>
      </c>
      <c r="AG235" s="17">
        <v>1070.25</v>
      </c>
    </row>
    <row r="236" spans="32:33" x14ac:dyDescent="0.4">
      <c r="AF236" s="19">
        <v>20061128</v>
      </c>
      <c r="AG236" s="18">
        <v>1066.6600000000001</v>
      </c>
    </row>
    <row r="237" spans="32:33" x14ac:dyDescent="0.4">
      <c r="AF237" s="19">
        <v>20061129</v>
      </c>
      <c r="AG237" s="17">
        <v>1071.27</v>
      </c>
    </row>
    <row r="238" spans="32:33" x14ac:dyDescent="0.4">
      <c r="AF238" s="19">
        <v>20061130</v>
      </c>
      <c r="AG238" s="17">
        <v>1079.06</v>
      </c>
    </row>
    <row r="239" spans="32:33" x14ac:dyDescent="0.4">
      <c r="AF239" s="19">
        <v>20061201</v>
      </c>
      <c r="AG239" s="17">
        <v>1078.52</v>
      </c>
    </row>
    <row r="240" spans="32:33" x14ac:dyDescent="0.4">
      <c r="AF240" s="19">
        <v>20061202</v>
      </c>
      <c r="AG240" s="17">
        <v>1078.45</v>
      </c>
    </row>
    <row r="241" spans="32:33" x14ac:dyDescent="0.4">
      <c r="AF241" s="19">
        <v>20061203</v>
      </c>
      <c r="AG241" s="18">
        <v>1078.3699999999999</v>
      </c>
    </row>
    <row r="242" spans="32:33" x14ac:dyDescent="0.4">
      <c r="AF242" s="19">
        <v>20061204</v>
      </c>
      <c r="AG242" s="17">
        <v>1080.9100000000001</v>
      </c>
    </row>
    <row r="243" spans="32:33" x14ac:dyDescent="0.4">
      <c r="AF243" s="19">
        <v>20061205</v>
      </c>
      <c r="AG243" s="17">
        <v>1079.51</v>
      </c>
    </row>
    <row r="244" spans="32:33" x14ac:dyDescent="0.4">
      <c r="AF244" s="19">
        <v>20061206</v>
      </c>
      <c r="AG244" s="17">
        <v>1076.6300000000001</v>
      </c>
    </row>
    <row r="245" spans="32:33" x14ac:dyDescent="0.4">
      <c r="AF245" s="19">
        <v>20061207</v>
      </c>
      <c r="AG245" s="17">
        <v>1075.44</v>
      </c>
    </row>
    <row r="246" spans="32:33" x14ac:dyDescent="0.4">
      <c r="AF246" s="19">
        <v>20061208</v>
      </c>
      <c r="AG246" s="18">
        <v>1069.18</v>
      </c>
    </row>
    <row r="247" spans="32:33" x14ac:dyDescent="0.4">
      <c r="AF247" s="19">
        <v>20061209</v>
      </c>
      <c r="AG247" s="17">
        <v>1069.1099999999999</v>
      </c>
    </row>
    <row r="248" spans="32:33" x14ac:dyDescent="0.4">
      <c r="AF248" s="19">
        <v>20061210</v>
      </c>
      <c r="AG248" s="17">
        <v>1069.03</v>
      </c>
    </row>
    <row r="249" spans="32:33" x14ac:dyDescent="0.4">
      <c r="AF249" s="19">
        <v>20061211</v>
      </c>
      <c r="AG249" s="17">
        <v>1069.98</v>
      </c>
    </row>
    <row r="250" spans="32:33" x14ac:dyDescent="0.4">
      <c r="AF250" s="19">
        <v>20061212</v>
      </c>
      <c r="AG250" s="17">
        <v>1058.8900000000001</v>
      </c>
    </row>
    <row r="251" spans="32:33" x14ac:dyDescent="0.4">
      <c r="AF251" s="19">
        <v>20061213</v>
      </c>
      <c r="AG251" s="18">
        <v>1061.28</v>
      </c>
    </row>
    <row r="252" spans="32:33" x14ac:dyDescent="0.4">
      <c r="AF252" s="19">
        <v>20061214</v>
      </c>
      <c r="AG252" s="17">
        <v>1070.42</v>
      </c>
    </row>
    <row r="253" spans="32:33" x14ac:dyDescent="0.4">
      <c r="AF253" s="19">
        <v>20061215</v>
      </c>
      <c r="AG253" s="17">
        <v>1078.6600000000001</v>
      </c>
    </row>
    <row r="254" spans="32:33" x14ac:dyDescent="0.4">
      <c r="AF254" s="19">
        <v>20061216</v>
      </c>
      <c r="AG254" s="17">
        <v>1078.58</v>
      </c>
    </row>
    <row r="255" spans="32:33" x14ac:dyDescent="0.4">
      <c r="AF255" s="19">
        <v>20061217</v>
      </c>
      <c r="AG255" s="17">
        <v>1078.5</v>
      </c>
    </row>
    <row r="256" spans="32:33" x14ac:dyDescent="0.4">
      <c r="AF256" s="19">
        <v>20061218</v>
      </c>
      <c r="AG256" s="18">
        <v>1085.42</v>
      </c>
    </row>
    <row r="257" spans="32:33" x14ac:dyDescent="0.4">
      <c r="AF257" s="19">
        <v>20061219</v>
      </c>
      <c r="AG257" s="17">
        <v>1085.68</v>
      </c>
    </row>
    <row r="258" spans="32:33" x14ac:dyDescent="0.4">
      <c r="AF258" s="19">
        <v>20061220</v>
      </c>
      <c r="AG258" s="17">
        <v>1091.57</v>
      </c>
    </row>
    <row r="259" spans="32:33" x14ac:dyDescent="0.4">
      <c r="AF259" s="19">
        <v>20061221</v>
      </c>
      <c r="AG259" s="17">
        <v>1089.48</v>
      </c>
    </row>
    <row r="260" spans="32:33" x14ac:dyDescent="0.4">
      <c r="AF260" s="19">
        <v>20061222</v>
      </c>
      <c r="AG260" s="17">
        <v>1089.71</v>
      </c>
    </row>
    <row r="261" spans="32:33" x14ac:dyDescent="0.4">
      <c r="AF261" s="19">
        <v>20061223</v>
      </c>
      <c r="AG261" s="18">
        <v>1089.6300000000001</v>
      </c>
    </row>
    <row r="262" spans="32:33" x14ac:dyDescent="0.4">
      <c r="AF262" s="19">
        <v>20061224</v>
      </c>
      <c r="AG262" s="17">
        <v>1089.55</v>
      </c>
    </row>
    <row r="263" spans="32:33" x14ac:dyDescent="0.4">
      <c r="AF263" s="19">
        <v>20061225</v>
      </c>
      <c r="AG263" s="17">
        <v>1089.47</v>
      </c>
    </row>
    <row r="264" spans="32:33" x14ac:dyDescent="0.4">
      <c r="AF264" s="19">
        <v>20061226</v>
      </c>
      <c r="AG264" s="17">
        <v>1085.54</v>
      </c>
    </row>
    <row r="265" spans="32:33" x14ac:dyDescent="0.4">
      <c r="AF265" s="19">
        <v>20061227</v>
      </c>
      <c r="AG265" s="17">
        <v>1096.25</v>
      </c>
    </row>
    <row r="266" spans="32:33" x14ac:dyDescent="0.4">
      <c r="AF266" s="19">
        <v>20061228</v>
      </c>
      <c r="AG266" s="18">
        <v>1099.22</v>
      </c>
    </row>
    <row r="267" spans="32:33" x14ac:dyDescent="0.4">
      <c r="AF267" s="19">
        <v>20061229</v>
      </c>
      <c r="AG267" s="17">
        <v>1099.1400000000001</v>
      </c>
    </row>
    <row r="268" spans="32:33" x14ac:dyDescent="0.4">
      <c r="AF268" s="19">
        <v>20061230</v>
      </c>
      <c r="AG268" s="17">
        <v>1099.06</v>
      </c>
    </row>
    <row r="269" spans="32:33" x14ac:dyDescent="0.4">
      <c r="AF269" s="19">
        <v>20061231</v>
      </c>
      <c r="AG269" s="17">
        <v>1098.97</v>
      </c>
    </row>
    <row r="270" spans="32:33" x14ac:dyDescent="0.4">
      <c r="AF270" s="19">
        <v>20070101</v>
      </c>
      <c r="AG270" s="17">
        <v>1098.8900000000001</v>
      </c>
    </row>
    <row r="271" spans="32:33" x14ac:dyDescent="0.4">
      <c r="AF271" s="19">
        <v>20070102</v>
      </c>
      <c r="AG271" s="18">
        <v>1103.55</v>
      </c>
    </row>
    <row r="272" spans="32:33" x14ac:dyDescent="0.4">
      <c r="AF272" s="19">
        <v>20070103</v>
      </c>
      <c r="AG272" s="17">
        <v>1096.79</v>
      </c>
    </row>
    <row r="273" spans="32:33" x14ac:dyDescent="0.4">
      <c r="AF273" s="19">
        <v>20070104</v>
      </c>
      <c r="AG273" s="17">
        <v>1087.8399999999999</v>
      </c>
    </row>
    <row r="274" spans="32:33" x14ac:dyDescent="0.4">
      <c r="AF274" s="19">
        <v>20070105</v>
      </c>
      <c r="AG274" s="17">
        <v>1084.23</v>
      </c>
    </row>
    <row r="275" spans="32:33" x14ac:dyDescent="0.4">
      <c r="AF275" s="19">
        <v>20070106</v>
      </c>
      <c r="AG275" s="17">
        <v>1084.1500000000001</v>
      </c>
    </row>
    <row r="276" spans="32:33" x14ac:dyDescent="0.4">
      <c r="AF276" s="19">
        <v>20070107</v>
      </c>
      <c r="AG276" s="18">
        <v>1084.07</v>
      </c>
    </row>
    <row r="277" spans="32:33" x14ac:dyDescent="0.4">
      <c r="AF277" s="19">
        <v>20070108</v>
      </c>
      <c r="AG277" s="17">
        <v>1077.08</v>
      </c>
    </row>
    <row r="278" spans="32:33" x14ac:dyDescent="0.4">
      <c r="AF278" s="19">
        <v>20070109</v>
      </c>
      <c r="AG278" s="17">
        <v>1076.1199999999999</v>
      </c>
    </row>
    <row r="279" spans="32:33" x14ac:dyDescent="0.4">
      <c r="AF279" s="19">
        <v>20070110</v>
      </c>
      <c r="AG279" s="17">
        <v>1069.18</v>
      </c>
    </row>
    <row r="280" spans="32:33" x14ac:dyDescent="0.4">
      <c r="AF280" s="19">
        <v>20070111</v>
      </c>
      <c r="AG280" s="17">
        <v>1072.32</v>
      </c>
    </row>
    <row r="281" spans="32:33" x14ac:dyDescent="0.4">
      <c r="AF281" s="19">
        <v>20070112</v>
      </c>
      <c r="AG281" s="18">
        <v>1083.73</v>
      </c>
    </row>
    <row r="282" spans="32:33" x14ac:dyDescent="0.4">
      <c r="AF282" s="19">
        <v>20070113</v>
      </c>
      <c r="AG282" s="17">
        <v>1083.6500000000001</v>
      </c>
    </row>
    <row r="283" spans="32:33" x14ac:dyDescent="0.4">
      <c r="AF283" s="19">
        <v>20070114</v>
      </c>
      <c r="AG283" s="17">
        <v>1083.57</v>
      </c>
    </row>
    <row r="284" spans="32:33" x14ac:dyDescent="0.4">
      <c r="AF284" s="19">
        <v>20070115</v>
      </c>
      <c r="AG284" s="17">
        <v>1087.4000000000001</v>
      </c>
    </row>
    <row r="285" spans="32:33" x14ac:dyDescent="0.4">
      <c r="AF285" s="19">
        <v>20070116</v>
      </c>
      <c r="AG285" s="17">
        <v>1089.4000000000001</v>
      </c>
    </row>
    <row r="286" spans="32:33" x14ac:dyDescent="0.4">
      <c r="AF286" s="19">
        <v>20070117</v>
      </c>
      <c r="AG286" s="18">
        <v>1084.6300000000001</v>
      </c>
    </row>
    <row r="287" spans="32:33" x14ac:dyDescent="0.4">
      <c r="AF287" s="19">
        <v>20070118</v>
      </c>
      <c r="AG287" s="17">
        <v>1085.79</v>
      </c>
    </row>
    <row r="288" spans="32:33" x14ac:dyDescent="0.4">
      <c r="AF288" s="19">
        <v>20070119</v>
      </c>
      <c r="AG288" s="17">
        <v>1076.97</v>
      </c>
    </row>
    <row r="289" spans="32:33" x14ac:dyDescent="0.4">
      <c r="AF289" s="19">
        <v>20070120</v>
      </c>
      <c r="AG289" s="17">
        <v>1076.8900000000001</v>
      </c>
    </row>
    <row r="290" spans="32:33" x14ac:dyDescent="0.4">
      <c r="AF290" s="19">
        <v>20070121</v>
      </c>
      <c r="AG290" s="17">
        <v>1076.81</v>
      </c>
    </row>
    <row r="291" spans="32:33" x14ac:dyDescent="0.4">
      <c r="AF291" s="19">
        <v>20070122</v>
      </c>
      <c r="AG291" s="18">
        <v>1072.92</v>
      </c>
    </row>
    <row r="292" spans="32:33" x14ac:dyDescent="0.4">
      <c r="AF292" s="19">
        <v>20070123</v>
      </c>
      <c r="AG292" s="17">
        <v>1067.81</v>
      </c>
    </row>
    <row r="293" spans="32:33" x14ac:dyDescent="0.4">
      <c r="AF293" s="19">
        <v>20070124</v>
      </c>
      <c r="AG293" s="17">
        <v>1077.17</v>
      </c>
    </row>
    <row r="294" spans="32:33" x14ac:dyDescent="0.4">
      <c r="AF294" s="19">
        <v>20070125</v>
      </c>
      <c r="AG294" s="17">
        <v>1075.3800000000001</v>
      </c>
    </row>
    <row r="295" spans="32:33" x14ac:dyDescent="0.4">
      <c r="AF295" s="19">
        <v>20070126</v>
      </c>
      <c r="AG295" s="17">
        <v>1075.28</v>
      </c>
    </row>
    <row r="296" spans="32:33" x14ac:dyDescent="0.4">
      <c r="AF296" s="19">
        <v>20070127</v>
      </c>
      <c r="AG296" s="18">
        <v>1075.2</v>
      </c>
    </row>
    <row r="297" spans="32:33" x14ac:dyDescent="0.4">
      <c r="AF297" s="19">
        <v>20070128</v>
      </c>
      <c r="AG297" s="17">
        <v>1075.1199999999999</v>
      </c>
    </row>
    <row r="298" spans="32:33" x14ac:dyDescent="0.4">
      <c r="AF298" s="19">
        <v>20070129</v>
      </c>
      <c r="AG298" s="17">
        <v>1073.29</v>
      </c>
    </row>
    <row r="299" spans="32:33" x14ac:dyDescent="0.4">
      <c r="AF299" s="19">
        <v>20070130</v>
      </c>
      <c r="AG299" s="17">
        <v>1075.23</v>
      </c>
    </row>
    <row r="300" spans="32:33" x14ac:dyDescent="0.4">
      <c r="AF300" s="19">
        <v>20070131</v>
      </c>
      <c r="AG300" s="17">
        <v>1074.52</v>
      </c>
    </row>
    <row r="301" spans="32:33" x14ac:dyDescent="0.4">
      <c r="AF301" s="19">
        <v>20070201</v>
      </c>
      <c r="AG301" s="18">
        <v>1081.01</v>
      </c>
    </row>
    <row r="302" spans="32:33" x14ac:dyDescent="0.4">
      <c r="AF302" s="19">
        <v>20070202</v>
      </c>
      <c r="AG302" s="17">
        <v>1089.93</v>
      </c>
    </row>
    <row r="303" spans="32:33" x14ac:dyDescent="0.4">
      <c r="AF303" s="19">
        <v>20070203</v>
      </c>
      <c r="AG303" s="17">
        <v>1089.8499999999999</v>
      </c>
    </row>
    <row r="304" spans="32:33" x14ac:dyDescent="0.4">
      <c r="AF304" s="19">
        <v>20070204</v>
      </c>
      <c r="AG304" s="17">
        <v>1089.77</v>
      </c>
    </row>
    <row r="305" spans="32:33" x14ac:dyDescent="0.4">
      <c r="AF305" s="19">
        <v>20070205</v>
      </c>
      <c r="AG305" s="17">
        <v>1096.6600000000001</v>
      </c>
    </row>
    <row r="306" spans="32:33" x14ac:dyDescent="0.4">
      <c r="AF306" s="19">
        <v>20070206</v>
      </c>
      <c r="AG306" s="18">
        <v>1100.28</v>
      </c>
    </row>
    <row r="307" spans="32:33" x14ac:dyDescent="0.4">
      <c r="AF307" s="19">
        <v>20070207</v>
      </c>
      <c r="AG307" s="17">
        <v>1095.8</v>
      </c>
    </row>
    <row r="308" spans="32:33" x14ac:dyDescent="0.4">
      <c r="AF308" s="19">
        <v>20070208</v>
      </c>
      <c r="AG308" s="17">
        <v>1095.48</v>
      </c>
    </row>
    <row r="309" spans="32:33" x14ac:dyDescent="0.4">
      <c r="AF309" s="19">
        <v>20070209</v>
      </c>
      <c r="AG309" s="17">
        <v>1098.69</v>
      </c>
    </row>
    <row r="310" spans="32:33" x14ac:dyDescent="0.4">
      <c r="AF310" s="19">
        <v>20070210</v>
      </c>
      <c r="AG310" s="17">
        <v>1098.5999999999999</v>
      </c>
    </row>
    <row r="311" spans="32:33" x14ac:dyDescent="0.4">
      <c r="AF311" s="19">
        <v>20070211</v>
      </c>
      <c r="AG311" s="18">
        <v>1098.52</v>
      </c>
    </row>
    <row r="312" spans="32:33" x14ac:dyDescent="0.4">
      <c r="AF312" s="19">
        <v>20070212</v>
      </c>
      <c r="AG312" s="17">
        <v>1095.9000000000001</v>
      </c>
    </row>
    <row r="313" spans="32:33" x14ac:dyDescent="0.4">
      <c r="AF313" s="19">
        <v>20070213</v>
      </c>
      <c r="AG313" s="17">
        <v>1099.83</v>
      </c>
    </row>
    <row r="314" spans="32:33" x14ac:dyDescent="0.4">
      <c r="AF314" s="19">
        <v>20070214</v>
      </c>
      <c r="AG314" s="17">
        <v>1110.26</v>
      </c>
    </row>
    <row r="315" spans="32:33" x14ac:dyDescent="0.4">
      <c r="AF315" s="19">
        <v>20070215</v>
      </c>
      <c r="AG315" s="17">
        <v>1114.67</v>
      </c>
    </row>
    <row r="316" spans="32:33" x14ac:dyDescent="0.4">
      <c r="AF316" s="19">
        <v>20070216</v>
      </c>
      <c r="AG316" s="18">
        <v>1114.48</v>
      </c>
    </row>
    <row r="317" spans="32:33" x14ac:dyDescent="0.4">
      <c r="AF317" s="19">
        <v>20070217</v>
      </c>
      <c r="AG317" s="17">
        <v>1114.4000000000001</v>
      </c>
    </row>
    <row r="318" spans="32:33" x14ac:dyDescent="0.4">
      <c r="AF318" s="19">
        <v>20070218</v>
      </c>
      <c r="AG318" s="17">
        <v>1114.32</v>
      </c>
    </row>
    <row r="319" spans="32:33" x14ac:dyDescent="0.4">
      <c r="AF319" s="19">
        <v>20070219</v>
      </c>
      <c r="AG319" s="17">
        <v>1114.23</v>
      </c>
    </row>
    <row r="320" spans="32:33" x14ac:dyDescent="0.4">
      <c r="AF320" s="19">
        <v>20070220</v>
      </c>
      <c r="AG320" s="17">
        <v>1115.69</v>
      </c>
    </row>
    <row r="321" spans="32:33" x14ac:dyDescent="0.4">
      <c r="AF321" s="19">
        <v>20070221</v>
      </c>
      <c r="AG321" s="18">
        <v>1115.9100000000001</v>
      </c>
    </row>
    <row r="322" spans="32:33" x14ac:dyDescent="0.4">
      <c r="AF322" s="19">
        <v>20070222</v>
      </c>
      <c r="AG322" s="17">
        <v>1121.3</v>
      </c>
    </row>
    <row r="323" spans="32:33" x14ac:dyDescent="0.4">
      <c r="AF323" s="19">
        <v>20070223</v>
      </c>
      <c r="AG323" s="17">
        <v>1122.27</v>
      </c>
    </row>
    <row r="324" spans="32:33" x14ac:dyDescent="0.4">
      <c r="AF324" s="19">
        <v>20070224</v>
      </c>
      <c r="AG324" s="17">
        <v>1122.19</v>
      </c>
    </row>
    <row r="325" spans="32:33" x14ac:dyDescent="0.4">
      <c r="AF325" s="19">
        <v>20070225</v>
      </c>
      <c r="AG325" s="17">
        <v>1122.1099999999999</v>
      </c>
    </row>
    <row r="326" spans="32:33" x14ac:dyDescent="0.4">
      <c r="AF326" s="19">
        <v>20070226</v>
      </c>
      <c r="AG326" s="18">
        <v>1118.23</v>
      </c>
    </row>
    <row r="327" spans="32:33" x14ac:dyDescent="0.4">
      <c r="AF327" s="19">
        <v>20070227</v>
      </c>
      <c r="AG327" s="17">
        <v>1116.02</v>
      </c>
    </row>
    <row r="328" spans="32:33" x14ac:dyDescent="0.4">
      <c r="AF328" s="19">
        <v>20070228</v>
      </c>
      <c r="AG328" s="17">
        <v>1101.6600000000001</v>
      </c>
    </row>
    <row r="329" spans="32:33" x14ac:dyDescent="0.4">
      <c r="AF329" s="19">
        <v>20070301</v>
      </c>
      <c r="AG329" s="17">
        <v>1101.58</v>
      </c>
    </row>
    <row r="330" spans="32:33" x14ac:dyDescent="0.4">
      <c r="AF330" s="19">
        <v>20070302</v>
      </c>
      <c r="AG330" s="17">
        <v>1103.44</v>
      </c>
    </row>
    <row r="331" spans="32:33" x14ac:dyDescent="0.4">
      <c r="AF331" s="19">
        <v>20070303</v>
      </c>
      <c r="AG331" s="18">
        <v>1103.3599999999999</v>
      </c>
    </row>
    <row r="332" spans="32:33" x14ac:dyDescent="0.4">
      <c r="AF332" s="19">
        <v>20070304</v>
      </c>
      <c r="AG332" s="17">
        <v>1103.28</v>
      </c>
    </row>
    <row r="333" spans="32:33" x14ac:dyDescent="0.4">
      <c r="AF333" s="19">
        <v>20070305</v>
      </c>
      <c r="AG333" s="17">
        <v>1088.8800000000001</v>
      </c>
    </row>
    <row r="334" spans="32:33" x14ac:dyDescent="0.4">
      <c r="AF334" s="19">
        <v>20070306</v>
      </c>
      <c r="AG334" s="17">
        <v>1098.56</v>
      </c>
    </row>
    <row r="335" spans="32:33" x14ac:dyDescent="0.4">
      <c r="AF335" s="19">
        <v>20070307</v>
      </c>
      <c r="AG335" s="17">
        <v>1098.6400000000001</v>
      </c>
    </row>
    <row r="336" spans="32:33" x14ac:dyDescent="0.4">
      <c r="AF336" s="19">
        <v>20070308</v>
      </c>
      <c r="AG336" s="18">
        <v>1104.3599999999999</v>
      </c>
    </row>
    <row r="337" spans="32:33" x14ac:dyDescent="0.4">
      <c r="AF337" s="19">
        <v>20070309</v>
      </c>
      <c r="AG337" s="17">
        <v>1106.6400000000001</v>
      </c>
    </row>
    <row r="338" spans="32:33" x14ac:dyDescent="0.4">
      <c r="AF338" s="19">
        <v>20070310</v>
      </c>
      <c r="AG338" s="17">
        <v>1106.55</v>
      </c>
    </row>
    <row r="339" spans="32:33" x14ac:dyDescent="0.4">
      <c r="AF339" s="19">
        <v>20070311</v>
      </c>
      <c r="AG339" s="17">
        <v>1106.47</v>
      </c>
    </row>
    <row r="340" spans="32:33" x14ac:dyDescent="0.4">
      <c r="AF340" s="19">
        <v>20070312</v>
      </c>
      <c r="AG340" s="17">
        <v>1113.29</v>
      </c>
    </row>
    <row r="341" spans="32:33" x14ac:dyDescent="0.4">
      <c r="AF341" s="19">
        <v>20070313</v>
      </c>
      <c r="AG341" s="18">
        <v>1111.28</v>
      </c>
    </row>
    <row r="342" spans="32:33" x14ac:dyDescent="0.4">
      <c r="AF342" s="19">
        <v>20070314</v>
      </c>
      <c r="AG342" s="17">
        <v>1103.8699999999999</v>
      </c>
    </row>
    <row r="343" spans="32:33" x14ac:dyDescent="0.4">
      <c r="AF343" s="19">
        <v>20070315</v>
      </c>
      <c r="AG343" s="17">
        <v>1111.17</v>
      </c>
    </row>
    <row r="344" spans="32:33" x14ac:dyDescent="0.4">
      <c r="AF344" s="19">
        <v>20070316</v>
      </c>
      <c r="AG344" s="17">
        <v>1115.45</v>
      </c>
    </row>
    <row r="345" spans="32:33" x14ac:dyDescent="0.4">
      <c r="AF345" s="19">
        <v>20070317</v>
      </c>
      <c r="AG345" s="17">
        <v>1115.3699999999999</v>
      </c>
    </row>
    <row r="346" spans="32:33" x14ac:dyDescent="0.4">
      <c r="AF346" s="19">
        <v>20070318</v>
      </c>
      <c r="AG346" s="18">
        <v>1115.29</v>
      </c>
    </row>
    <row r="347" spans="32:33" x14ac:dyDescent="0.4">
      <c r="AF347" s="19">
        <v>20070319</v>
      </c>
      <c r="AG347" s="17">
        <v>1123.72</v>
      </c>
    </row>
    <row r="348" spans="32:33" x14ac:dyDescent="0.4">
      <c r="AF348" s="19">
        <v>20070320</v>
      </c>
      <c r="AG348" s="17">
        <v>1123.81</v>
      </c>
    </row>
    <row r="349" spans="32:33" x14ac:dyDescent="0.4">
      <c r="AF349" s="19">
        <v>20070321</v>
      </c>
      <c r="AG349" s="17">
        <v>1124.8800000000001</v>
      </c>
    </row>
    <row r="350" spans="32:33" x14ac:dyDescent="0.4">
      <c r="AF350" s="19">
        <v>20070322</v>
      </c>
      <c r="AG350" s="17">
        <v>1130.45</v>
      </c>
    </row>
    <row r="351" spans="32:33" x14ac:dyDescent="0.4">
      <c r="AF351" s="19">
        <v>20070323</v>
      </c>
      <c r="AG351" s="18">
        <v>1130.7</v>
      </c>
    </row>
    <row r="352" spans="32:33" x14ac:dyDescent="0.4">
      <c r="AF352" s="19">
        <v>20070324</v>
      </c>
      <c r="AG352" s="17">
        <v>1130.6099999999999</v>
      </c>
    </row>
    <row r="353" spans="32:33" x14ac:dyDescent="0.4">
      <c r="AF353" s="19">
        <v>20070325</v>
      </c>
      <c r="AG353" s="17">
        <v>1130.53</v>
      </c>
    </row>
    <row r="354" spans="32:33" x14ac:dyDescent="0.4">
      <c r="AF354" s="19">
        <v>20070326</v>
      </c>
      <c r="AG354" s="17">
        <v>1138.3499999999999</v>
      </c>
    </row>
    <row r="355" spans="32:33" x14ac:dyDescent="0.4">
      <c r="AF355" s="19">
        <v>20070327</v>
      </c>
      <c r="AG355" s="17">
        <v>1141.31</v>
      </c>
    </row>
    <row r="356" spans="32:33" x14ac:dyDescent="0.4">
      <c r="AF356" s="19">
        <v>20070328</v>
      </c>
      <c r="AG356" s="18">
        <v>1138.57</v>
      </c>
    </row>
    <row r="357" spans="32:33" x14ac:dyDescent="0.4">
      <c r="AF357" s="19">
        <v>20070329</v>
      </c>
      <c r="AG357" s="17">
        <v>1146.1300000000001</v>
      </c>
    </row>
    <row r="358" spans="32:33" x14ac:dyDescent="0.4">
      <c r="AF358" s="19">
        <v>20070330</v>
      </c>
      <c r="AG358" s="17">
        <v>1152.4100000000001</v>
      </c>
    </row>
    <row r="359" spans="32:33" x14ac:dyDescent="0.4">
      <c r="AF359" s="19">
        <v>20070331</v>
      </c>
      <c r="AG359" s="17">
        <v>1152.33</v>
      </c>
    </row>
    <row r="360" spans="32:33" x14ac:dyDescent="0.4">
      <c r="AF360" s="19">
        <v>20070401</v>
      </c>
      <c r="AG360" s="17">
        <v>1152.24</v>
      </c>
    </row>
    <row r="361" spans="32:33" x14ac:dyDescent="0.4">
      <c r="AF361" s="19">
        <v>20070402</v>
      </c>
      <c r="AG361" s="18">
        <v>1156.21</v>
      </c>
    </row>
    <row r="362" spans="32:33" x14ac:dyDescent="0.4">
      <c r="AF362" s="19">
        <v>20070403</v>
      </c>
      <c r="AG362" s="17">
        <v>1161.98</v>
      </c>
    </row>
    <row r="363" spans="32:33" x14ac:dyDescent="0.4">
      <c r="AF363" s="19">
        <v>20070404</v>
      </c>
      <c r="AG363" s="17">
        <v>1169.81</v>
      </c>
    </row>
    <row r="364" spans="32:33" x14ac:dyDescent="0.4">
      <c r="AF364" s="19">
        <v>20070405</v>
      </c>
      <c r="AG364" s="17">
        <v>1175.3699999999999</v>
      </c>
    </row>
    <row r="365" spans="32:33" x14ac:dyDescent="0.4">
      <c r="AF365" s="19">
        <v>20070406</v>
      </c>
      <c r="AG365" s="17">
        <v>1179.8900000000001</v>
      </c>
    </row>
    <row r="366" spans="32:33" x14ac:dyDescent="0.4">
      <c r="AF366" s="19">
        <v>20070407</v>
      </c>
      <c r="AG366" s="18">
        <v>1179.8</v>
      </c>
    </row>
    <row r="367" spans="32:33" x14ac:dyDescent="0.4">
      <c r="AF367" s="19">
        <v>20070408</v>
      </c>
      <c r="AG367" s="17">
        <v>1179.71</v>
      </c>
    </row>
    <row r="368" spans="32:33" x14ac:dyDescent="0.4">
      <c r="AF368" s="19">
        <v>20070409</v>
      </c>
      <c r="AG368" s="17">
        <v>1193.96</v>
      </c>
    </row>
    <row r="369" spans="32:33" x14ac:dyDescent="0.4">
      <c r="AF369" s="19">
        <v>20070410</v>
      </c>
      <c r="AG369" s="17">
        <v>1195.92</v>
      </c>
    </row>
    <row r="370" spans="32:33" x14ac:dyDescent="0.4">
      <c r="AF370" s="19">
        <v>20070411</v>
      </c>
      <c r="AG370" s="17">
        <v>1208.0999999999999</v>
      </c>
    </row>
    <row r="371" spans="32:33" x14ac:dyDescent="0.4">
      <c r="AF371" s="19">
        <v>20070412</v>
      </c>
      <c r="AG371" s="18">
        <v>1218.49</v>
      </c>
    </row>
    <row r="372" spans="32:33" x14ac:dyDescent="0.4">
      <c r="AF372" s="19">
        <v>20070413</v>
      </c>
      <c r="AG372" s="17">
        <v>1225.8599999999999</v>
      </c>
    </row>
    <row r="373" spans="32:33" x14ac:dyDescent="0.4">
      <c r="AF373" s="19">
        <v>20070414</v>
      </c>
      <c r="AG373" s="17">
        <v>1225.77</v>
      </c>
    </row>
    <row r="374" spans="32:33" x14ac:dyDescent="0.4">
      <c r="AF374" s="19">
        <v>20070415</v>
      </c>
      <c r="AG374" s="17">
        <v>1225.68</v>
      </c>
    </row>
    <row r="375" spans="32:33" x14ac:dyDescent="0.4">
      <c r="AF375" s="19">
        <v>20070416</v>
      </c>
      <c r="AG375" s="17">
        <v>1236.49</v>
      </c>
    </row>
    <row r="376" spans="32:33" x14ac:dyDescent="0.4">
      <c r="AF376" s="19">
        <v>20070417</v>
      </c>
      <c r="AG376" s="18">
        <v>1233.48</v>
      </c>
    </row>
    <row r="377" spans="32:33" x14ac:dyDescent="0.4">
      <c r="AF377" s="19">
        <v>20070418</v>
      </c>
      <c r="AG377" s="17">
        <v>1239.4747127999999</v>
      </c>
    </row>
    <row r="378" spans="32:33" x14ac:dyDescent="0.4">
      <c r="AF378" s="19">
        <v>20070419</v>
      </c>
      <c r="AG378" s="17">
        <v>1235.0588544</v>
      </c>
    </row>
    <row r="379" spans="32:33" x14ac:dyDescent="0.4">
      <c r="AF379" s="19">
        <v>20070420</v>
      </c>
      <c r="AG379" s="17">
        <v>1251.8588520000001</v>
      </c>
    </row>
    <row r="380" spans="32:33" x14ac:dyDescent="0.4">
      <c r="AF380" s="19">
        <v>20070421</v>
      </c>
      <c r="AG380" s="17">
        <v>1251.7725084000001</v>
      </c>
    </row>
    <row r="381" spans="32:33" x14ac:dyDescent="0.4">
      <c r="AF381" s="19">
        <v>20070422</v>
      </c>
      <c r="AG381" s="18">
        <v>1251.6861647999999</v>
      </c>
    </row>
    <row r="382" spans="32:33" x14ac:dyDescent="0.4">
      <c r="AF382" s="19">
        <v>20070423</v>
      </c>
      <c r="AG382" s="17">
        <v>1262.6271323999999</v>
      </c>
    </row>
    <row r="383" spans="32:33" x14ac:dyDescent="0.4">
      <c r="AF383" s="19">
        <v>20070424</v>
      </c>
      <c r="AG383" s="17">
        <v>1269.7813163999999</v>
      </c>
    </row>
    <row r="384" spans="32:33" x14ac:dyDescent="0.4">
      <c r="AF384" s="19">
        <v>20070425</v>
      </c>
      <c r="AG384" s="17">
        <v>1262.3434319999999</v>
      </c>
    </row>
    <row r="385" spans="32:33" x14ac:dyDescent="0.4">
      <c r="AF385" s="19">
        <v>20070426</v>
      </c>
      <c r="AG385" s="17">
        <v>1270.8174395999999</v>
      </c>
    </row>
    <row r="386" spans="32:33" x14ac:dyDescent="0.4">
      <c r="AF386" s="19">
        <v>20070427</v>
      </c>
      <c r="AG386" s="18">
        <v>1268.3381448</v>
      </c>
    </row>
    <row r="387" spans="32:33" x14ac:dyDescent="0.4">
      <c r="AF387" s="19">
        <v>20070428</v>
      </c>
      <c r="AG387" s="17">
        <v>1268.2394664000001</v>
      </c>
    </row>
    <row r="388" spans="32:33" x14ac:dyDescent="0.4">
      <c r="AF388" s="19">
        <v>20070429</v>
      </c>
      <c r="AG388" s="17">
        <v>1268.1531227999999</v>
      </c>
    </row>
    <row r="389" spans="32:33" x14ac:dyDescent="0.4">
      <c r="AF389" s="19">
        <v>20070430</v>
      </c>
      <c r="AG389" s="17">
        <v>1270.9531224</v>
      </c>
    </row>
    <row r="390" spans="32:33" x14ac:dyDescent="0.4">
      <c r="AF390" s="19">
        <v>20070501</v>
      </c>
      <c r="AG390" s="17">
        <v>1270.8667788</v>
      </c>
    </row>
    <row r="391" spans="32:33" x14ac:dyDescent="0.4">
      <c r="AF391" s="19">
        <v>20070502</v>
      </c>
      <c r="AG391" s="18">
        <v>1291.1575247999999</v>
      </c>
    </row>
    <row r="392" spans="32:33" x14ac:dyDescent="0.4">
      <c r="AF392" s="19">
        <v>20070503</v>
      </c>
      <c r="AG392" s="17">
        <v>1304.8738224000001</v>
      </c>
    </row>
    <row r="393" spans="32:33" x14ac:dyDescent="0.4">
      <c r="AF393" s="19">
        <v>20070504</v>
      </c>
      <c r="AG393" s="17">
        <v>1315.5064199999999</v>
      </c>
    </row>
    <row r="394" spans="32:33" x14ac:dyDescent="0.4">
      <c r="AF394" s="19">
        <v>20070505</v>
      </c>
      <c r="AG394" s="17">
        <v>1315.4077416</v>
      </c>
    </row>
    <row r="395" spans="32:33" x14ac:dyDescent="0.4">
      <c r="AF395" s="19">
        <v>20070506</v>
      </c>
      <c r="AG395" s="17">
        <v>1315.3090632000001</v>
      </c>
    </row>
    <row r="396" spans="32:33" x14ac:dyDescent="0.4">
      <c r="AF396" s="19">
        <v>20070507</v>
      </c>
      <c r="AG396" s="18">
        <v>1335.7848312000001</v>
      </c>
    </row>
    <row r="397" spans="32:33" x14ac:dyDescent="0.4">
      <c r="AF397" s="19">
        <v>20070508</v>
      </c>
      <c r="AG397" s="17">
        <v>1335.5258004</v>
      </c>
    </row>
    <row r="398" spans="32:33" x14ac:dyDescent="0.4">
      <c r="AF398" s="19">
        <v>20070509</v>
      </c>
      <c r="AG398" s="17">
        <v>1342.6799844</v>
      </c>
    </row>
    <row r="399" spans="32:33" x14ac:dyDescent="0.4">
      <c r="AF399" s="19">
        <v>20070510</v>
      </c>
      <c r="AG399" s="17">
        <v>1350.1302036</v>
      </c>
    </row>
    <row r="400" spans="32:33" x14ac:dyDescent="0.4">
      <c r="AF400" s="19">
        <v>20070511</v>
      </c>
      <c r="AG400" s="17">
        <v>1360.6024488</v>
      </c>
    </row>
    <row r="401" spans="32:33" x14ac:dyDescent="0.4">
      <c r="AF401" s="19">
        <v>20070512</v>
      </c>
      <c r="AG401" s="18">
        <v>1360.5037703999999</v>
      </c>
    </row>
    <row r="402" spans="32:33" x14ac:dyDescent="0.4">
      <c r="AF402" s="19">
        <v>20070513</v>
      </c>
      <c r="AG402" s="17">
        <v>1360.405092</v>
      </c>
    </row>
    <row r="403" spans="32:33" x14ac:dyDescent="0.4">
      <c r="AF403" s="19">
        <v>20070514</v>
      </c>
      <c r="AG403" s="17">
        <v>1359.6773387999999</v>
      </c>
    </row>
    <row r="404" spans="32:33" x14ac:dyDescent="0.4">
      <c r="AF404" s="19">
        <v>20070515</v>
      </c>
      <c r="AG404" s="17">
        <v>1350.9319656</v>
      </c>
    </row>
    <row r="405" spans="32:33" x14ac:dyDescent="0.4">
      <c r="AF405" s="19">
        <v>20070516</v>
      </c>
      <c r="AG405" s="17">
        <v>1362.933726</v>
      </c>
    </row>
    <row r="406" spans="32:33" x14ac:dyDescent="0.4">
      <c r="AF406" s="19">
        <v>20070517</v>
      </c>
      <c r="AG406" s="18">
        <v>1373.8500240000001</v>
      </c>
    </row>
    <row r="407" spans="32:33" x14ac:dyDescent="0.4">
      <c r="AF407" s="19">
        <v>20070518</v>
      </c>
      <c r="AG407" s="17">
        <v>1376.4279971999999</v>
      </c>
    </row>
    <row r="408" spans="32:33" x14ac:dyDescent="0.4">
      <c r="AF408" s="19">
        <v>20070519</v>
      </c>
      <c r="AG408" s="17">
        <v>1376.3293188</v>
      </c>
    </row>
    <row r="409" spans="32:33" x14ac:dyDescent="0.4">
      <c r="AF409" s="19">
        <v>20070520</v>
      </c>
      <c r="AG409" s="17">
        <v>1376.2429752</v>
      </c>
    </row>
    <row r="410" spans="32:33" x14ac:dyDescent="0.4">
      <c r="AF410" s="19">
        <v>20070521</v>
      </c>
      <c r="AG410" s="17">
        <v>1387.3196256000001</v>
      </c>
    </row>
    <row r="411" spans="32:33" x14ac:dyDescent="0.4">
      <c r="AF411" s="19">
        <v>20070522</v>
      </c>
      <c r="AG411" s="18">
        <v>1392.3398892</v>
      </c>
    </row>
    <row r="412" spans="32:33" x14ac:dyDescent="0.4">
      <c r="AF412" s="19">
        <v>20070523</v>
      </c>
      <c r="AG412" s="17">
        <v>1401.8623548</v>
      </c>
    </row>
    <row r="413" spans="32:33" x14ac:dyDescent="0.4">
      <c r="AF413" s="19">
        <v>20070524</v>
      </c>
      <c r="AG413" s="17">
        <v>1401.7760112000001</v>
      </c>
    </row>
    <row r="414" spans="32:33" x14ac:dyDescent="0.4">
      <c r="AF414" s="19">
        <v>20070525</v>
      </c>
      <c r="AG414" s="17">
        <v>1413.0253488000001</v>
      </c>
    </row>
    <row r="415" spans="32:33" x14ac:dyDescent="0.4">
      <c r="AF415" s="19">
        <v>20070526</v>
      </c>
      <c r="AG415" s="17">
        <v>1412.9266703999999</v>
      </c>
    </row>
    <row r="416" spans="32:33" x14ac:dyDescent="0.4">
      <c r="AF416" s="19">
        <v>20070527</v>
      </c>
      <c r="AG416" s="18">
        <v>1412.8403268</v>
      </c>
    </row>
    <row r="417" spans="32:33" x14ac:dyDescent="0.4">
      <c r="AF417" s="19">
        <v>20070528</v>
      </c>
      <c r="AG417" s="17">
        <v>1434.352218</v>
      </c>
    </row>
    <row r="418" spans="32:33" x14ac:dyDescent="0.4">
      <c r="AF418" s="19">
        <v>20070529</v>
      </c>
      <c r="AG418" s="17">
        <v>1442.308164</v>
      </c>
    </row>
    <row r="419" spans="32:33" x14ac:dyDescent="0.4">
      <c r="AF419" s="19">
        <v>20070530</v>
      </c>
      <c r="AG419" s="17">
        <v>1458.0597035999999</v>
      </c>
    </row>
    <row r="420" spans="32:33" x14ac:dyDescent="0.4">
      <c r="AF420" s="19">
        <v>20070531</v>
      </c>
      <c r="AG420" s="17">
        <v>1491.4130028</v>
      </c>
    </row>
    <row r="421" spans="32:33" x14ac:dyDescent="0.4">
      <c r="AF421" s="19">
        <v>20070601</v>
      </c>
      <c r="AG421" s="18">
        <v>1491.9063948</v>
      </c>
    </row>
    <row r="422" spans="32:33" x14ac:dyDescent="0.4">
      <c r="AF422" s="19">
        <v>20070602</v>
      </c>
      <c r="AG422" s="17">
        <v>1491.8200512000001</v>
      </c>
    </row>
    <row r="423" spans="32:33" x14ac:dyDescent="0.4">
      <c r="AF423" s="19">
        <v>20070603</v>
      </c>
      <c r="AG423" s="17">
        <v>1491.7213727999999</v>
      </c>
    </row>
    <row r="424" spans="32:33" x14ac:dyDescent="0.4">
      <c r="AF424" s="19">
        <v>20070604</v>
      </c>
      <c r="AG424" s="17">
        <v>1494.8420771999999</v>
      </c>
    </row>
    <row r="425" spans="32:33" x14ac:dyDescent="0.4">
      <c r="AF425" s="19">
        <v>20070605</v>
      </c>
      <c r="AG425" s="17">
        <v>1498.3328256</v>
      </c>
    </row>
    <row r="426" spans="32:33" x14ac:dyDescent="0.4">
      <c r="AF426" s="19">
        <v>20070606</v>
      </c>
      <c r="AG426" s="18">
        <v>1498.2341472000001</v>
      </c>
    </row>
    <row r="427" spans="32:33" x14ac:dyDescent="0.4">
      <c r="AF427" s="19">
        <v>20070607</v>
      </c>
      <c r="AG427" s="17">
        <v>1520.2270956</v>
      </c>
    </row>
    <row r="428" spans="32:33" x14ac:dyDescent="0.4">
      <c r="AF428" s="19">
        <v>20070608</v>
      </c>
      <c r="AG428" s="17">
        <v>1516.2429552000001</v>
      </c>
    </row>
    <row r="429" spans="32:33" x14ac:dyDescent="0.4">
      <c r="AF429" s="19">
        <v>20070609</v>
      </c>
      <c r="AG429" s="17">
        <v>1516.1442767999999</v>
      </c>
    </row>
    <row r="430" spans="32:33" x14ac:dyDescent="0.4">
      <c r="AF430" s="19">
        <v>20070610</v>
      </c>
      <c r="AG430" s="17">
        <v>1516.0455984</v>
      </c>
    </row>
    <row r="431" spans="32:33" x14ac:dyDescent="0.4">
      <c r="AF431" s="19">
        <v>20070611</v>
      </c>
      <c r="AG431" s="18">
        <v>1515.1821623999999</v>
      </c>
    </row>
    <row r="432" spans="32:33" x14ac:dyDescent="0.4">
      <c r="AF432" s="19">
        <v>20070612</v>
      </c>
      <c r="AG432" s="17">
        <v>1521.5345844000001</v>
      </c>
    </row>
    <row r="433" spans="32:33" x14ac:dyDescent="0.4">
      <c r="AF433" s="19">
        <v>20070613</v>
      </c>
      <c r="AG433" s="17">
        <v>1520.9055096</v>
      </c>
    </row>
    <row r="434" spans="32:33" x14ac:dyDescent="0.4">
      <c r="AF434" s="19">
        <v>20070614</v>
      </c>
      <c r="AG434" s="17">
        <v>1541.4182820000001</v>
      </c>
    </row>
    <row r="435" spans="32:33" x14ac:dyDescent="0.4">
      <c r="AF435" s="19">
        <v>20070615</v>
      </c>
      <c r="AG435" s="17">
        <v>1558.1072664000001</v>
      </c>
    </row>
    <row r="436" spans="32:33" x14ac:dyDescent="0.4">
      <c r="AF436" s="19">
        <v>20070616</v>
      </c>
      <c r="AG436" s="18">
        <v>1558.0085879999999</v>
      </c>
    </row>
    <row r="437" spans="32:33" x14ac:dyDescent="0.4">
      <c r="AF437" s="19">
        <v>20070617</v>
      </c>
      <c r="AG437" s="17">
        <v>1557.8975748</v>
      </c>
    </row>
    <row r="438" spans="32:33" x14ac:dyDescent="0.4">
      <c r="AF438" s="19">
        <v>20070618</v>
      </c>
      <c r="AG438" s="17">
        <v>1579.9521972</v>
      </c>
    </row>
    <row r="439" spans="32:33" x14ac:dyDescent="0.4">
      <c r="AF439" s="19">
        <v>20070619</v>
      </c>
      <c r="AG439" s="17">
        <v>1582.8138707999999</v>
      </c>
    </row>
    <row r="440" spans="32:33" x14ac:dyDescent="0.4">
      <c r="AF440" s="19">
        <v>20070620</v>
      </c>
      <c r="AG440" s="17">
        <v>1559.5751075999999</v>
      </c>
    </row>
    <row r="441" spans="32:33" x14ac:dyDescent="0.4">
      <c r="AF441" s="19">
        <v>20070621</v>
      </c>
      <c r="AG441" s="18">
        <v>1572.5389823999999</v>
      </c>
    </row>
    <row r="442" spans="32:33" x14ac:dyDescent="0.4">
      <c r="AF442" s="19">
        <v>20070622</v>
      </c>
      <c r="AG442" s="17">
        <v>1563.0165168000001</v>
      </c>
    </row>
    <row r="443" spans="32:33" x14ac:dyDescent="0.4">
      <c r="AF443" s="19">
        <v>20070623</v>
      </c>
      <c r="AG443" s="17">
        <v>1562.9055036</v>
      </c>
    </row>
    <row r="444" spans="32:33" x14ac:dyDescent="0.4">
      <c r="AF444" s="19">
        <v>20070624</v>
      </c>
      <c r="AG444" s="17">
        <v>1562.7944904000001</v>
      </c>
    </row>
    <row r="445" spans="32:33" x14ac:dyDescent="0.4">
      <c r="AF445" s="19">
        <v>20070625</v>
      </c>
      <c r="AG445" s="17">
        <v>1544.4526427999999</v>
      </c>
    </row>
    <row r="446" spans="32:33" x14ac:dyDescent="0.4">
      <c r="AF446" s="19">
        <v>20070626</v>
      </c>
      <c r="AG446" s="18">
        <v>1530.3786359999999</v>
      </c>
    </row>
    <row r="447" spans="32:33" x14ac:dyDescent="0.4">
      <c r="AF447" s="19">
        <v>20070627</v>
      </c>
      <c r="AG447" s="17">
        <v>1526.9372268</v>
      </c>
    </row>
    <row r="448" spans="32:33" x14ac:dyDescent="0.4">
      <c r="AF448" s="19">
        <v>20070628</v>
      </c>
      <c r="AG448" s="17">
        <v>1553.5927296</v>
      </c>
    </row>
    <row r="449" spans="32:33" x14ac:dyDescent="0.4">
      <c r="AF449" s="19">
        <v>20070629</v>
      </c>
      <c r="AG449" s="17">
        <v>1551.4464743999999</v>
      </c>
    </row>
    <row r="450" spans="32:33" x14ac:dyDescent="0.4">
      <c r="AF450" s="19">
        <v>20070630</v>
      </c>
      <c r="AG450" s="17">
        <v>1551.3354612000001</v>
      </c>
    </row>
    <row r="451" spans="32:33" x14ac:dyDescent="0.4">
      <c r="AF451" s="19">
        <v>20070701</v>
      </c>
      <c r="AG451" s="18">
        <v>1551.2244479999999</v>
      </c>
    </row>
    <row r="452" spans="32:33" x14ac:dyDescent="0.4">
      <c r="AF452" s="19">
        <v>20070702</v>
      </c>
      <c r="AG452" s="17">
        <v>1563.9786312000001</v>
      </c>
    </row>
    <row r="453" spans="32:33" x14ac:dyDescent="0.4">
      <c r="AF453" s="19">
        <v>20070703</v>
      </c>
      <c r="AG453" s="17">
        <v>1585.3795092</v>
      </c>
    </row>
    <row r="454" spans="32:33" x14ac:dyDescent="0.4">
      <c r="AF454" s="19">
        <v>20070704</v>
      </c>
      <c r="AG454" s="17">
        <v>1598.0103443999999</v>
      </c>
    </row>
    <row r="455" spans="32:33" x14ac:dyDescent="0.4">
      <c r="AF455" s="19">
        <v>20070705</v>
      </c>
      <c r="AG455" s="17">
        <v>1617.8693724</v>
      </c>
    </row>
    <row r="456" spans="32:33" x14ac:dyDescent="0.4">
      <c r="AF456" s="19">
        <v>20070706</v>
      </c>
      <c r="AG456" s="18">
        <v>1636.2482244</v>
      </c>
    </row>
    <row r="457" spans="32:33" x14ac:dyDescent="0.4">
      <c r="AF457" s="19">
        <v>20070707</v>
      </c>
      <c r="AG457" s="17">
        <v>1636.1248763999999</v>
      </c>
    </row>
    <row r="458" spans="32:33" x14ac:dyDescent="0.4">
      <c r="AF458" s="19">
        <v>20070708</v>
      </c>
      <c r="AG458" s="17">
        <v>1636.0138632000001</v>
      </c>
    </row>
    <row r="459" spans="32:33" x14ac:dyDescent="0.4">
      <c r="AF459" s="19">
        <v>20070709</v>
      </c>
      <c r="AG459" s="17">
        <v>1643.1927168</v>
      </c>
    </row>
    <row r="460" spans="32:33" x14ac:dyDescent="0.4">
      <c r="AF460" s="19">
        <v>20070710</v>
      </c>
      <c r="AG460" s="17">
        <v>1654.9724507999999</v>
      </c>
    </row>
    <row r="461" spans="32:33" x14ac:dyDescent="0.4">
      <c r="AF461" s="19">
        <v>20070711</v>
      </c>
      <c r="AG461" s="18">
        <v>1663.902846</v>
      </c>
    </row>
    <row r="462" spans="32:33" x14ac:dyDescent="0.4">
      <c r="AF462" s="19">
        <v>20070712</v>
      </c>
      <c r="AG462" s="17">
        <v>1681.9363235999999</v>
      </c>
    </row>
    <row r="463" spans="32:33" x14ac:dyDescent="0.4">
      <c r="AF463" s="19">
        <v>20070713</v>
      </c>
      <c r="AG463" s="17">
        <v>1712.4772883999999</v>
      </c>
    </row>
    <row r="464" spans="32:33" x14ac:dyDescent="0.4">
      <c r="AF464" s="19">
        <v>20070714</v>
      </c>
      <c r="AG464" s="17">
        <v>1712.3662752</v>
      </c>
    </row>
    <row r="465" spans="32:33" x14ac:dyDescent="0.4">
      <c r="AF465" s="19">
        <v>20070715</v>
      </c>
      <c r="AG465" s="17">
        <v>1712.2429271999999</v>
      </c>
    </row>
    <row r="466" spans="32:33" x14ac:dyDescent="0.4">
      <c r="AF466" s="19">
        <v>20070716</v>
      </c>
      <c r="AG466" s="18">
        <v>1713.9327948</v>
      </c>
    </row>
    <row r="467" spans="32:33" x14ac:dyDescent="0.4">
      <c r="AF467" s="19">
        <v>20070717</v>
      </c>
      <c r="AG467" s="17">
        <v>1713.8094467999999</v>
      </c>
    </row>
    <row r="468" spans="32:33" x14ac:dyDescent="0.4">
      <c r="AF468" s="19">
        <v>20070718</v>
      </c>
      <c r="AG468" s="17">
        <v>1711.9222224</v>
      </c>
    </row>
    <row r="469" spans="32:33" x14ac:dyDescent="0.4">
      <c r="AF469" s="19">
        <v>20070719</v>
      </c>
      <c r="AG469" s="17">
        <v>1716.1160543999999</v>
      </c>
    </row>
    <row r="470" spans="32:33" x14ac:dyDescent="0.4">
      <c r="AF470" s="19">
        <v>20070720</v>
      </c>
      <c r="AG470" s="17">
        <v>1732.8913824000001</v>
      </c>
    </row>
    <row r="471" spans="32:33" x14ac:dyDescent="0.4">
      <c r="AF471" s="19">
        <v>20070721</v>
      </c>
      <c r="AG471" s="18">
        <v>1732.7680344</v>
      </c>
    </row>
    <row r="472" spans="32:33" x14ac:dyDescent="0.4">
      <c r="AF472" s="19">
        <v>20070722</v>
      </c>
      <c r="AG472" s="17">
        <v>1732.6446864</v>
      </c>
    </row>
    <row r="473" spans="32:33" x14ac:dyDescent="0.4">
      <c r="AF473" s="19">
        <v>20070723</v>
      </c>
      <c r="AG473" s="17">
        <v>1738.6023948</v>
      </c>
    </row>
    <row r="474" spans="32:33" x14ac:dyDescent="0.4">
      <c r="AF474" s="19">
        <v>20070724</v>
      </c>
      <c r="AG474" s="17">
        <v>1736.9001923999999</v>
      </c>
    </row>
    <row r="475" spans="32:33" x14ac:dyDescent="0.4">
      <c r="AF475" s="19">
        <v>20070725</v>
      </c>
      <c r="AG475" s="17">
        <v>1771.3759583999999</v>
      </c>
    </row>
    <row r="476" spans="32:33" x14ac:dyDescent="0.4">
      <c r="AF476" s="19">
        <v>20070726</v>
      </c>
      <c r="AG476" s="18">
        <v>1751.0235384</v>
      </c>
    </row>
    <row r="477" spans="32:33" x14ac:dyDescent="0.4">
      <c r="AF477" s="19">
        <v>20070727</v>
      </c>
      <c r="AG477" s="17">
        <v>1705.9891835999999</v>
      </c>
    </row>
    <row r="478" spans="32:33" x14ac:dyDescent="0.4">
      <c r="AF478" s="19">
        <v>20070728</v>
      </c>
      <c r="AG478" s="17">
        <v>1705.8781704</v>
      </c>
    </row>
    <row r="479" spans="32:33" x14ac:dyDescent="0.4">
      <c r="AF479" s="19">
        <v>20070729</v>
      </c>
      <c r="AG479" s="17">
        <v>1705.7671571999999</v>
      </c>
    </row>
    <row r="480" spans="32:33" x14ac:dyDescent="0.4">
      <c r="AF480" s="19">
        <v>20070730</v>
      </c>
      <c r="AG480" s="17">
        <v>1715.4746448000001</v>
      </c>
    </row>
    <row r="481" spans="32:33" x14ac:dyDescent="0.4">
      <c r="AF481" s="19">
        <v>20070731</v>
      </c>
      <c r="AG481" s="18">
        <v>1730.9424839999999</v>
      </c>
    </row>
    <row r="482" spans="32:33" x14ac:dyDescent="0.4">
      <c r="AF482" s="19">
        <v>20070801</v>
      </c>
      <c r="AG482" s="17">
        <v>1685.4764112</v>
      </c>
    </row>
    <row r="483" spans="32:33" x14ac:dyDescent="0.4">
      <c r="AF483" s="19">
        <v>20070802</v>
      </c>
      <c r="AG483" s="17">
        <v>1687.9310364</v>
      </c>
    </row>
    <row r="484" spans="32:33" x14ac:dyDescent="0.4">
      <c r="AF484" s="19">
        <v>20070803</v>
      </c>
      <c r="AG484" s="17">
        <v>1696.0226651999999</v>
      </c>
    </row>
    <row r="485" spans="32:33" x14ac:dyDescent="0.4">
      <c r="AF485" s="19">
        <v>20070804</v>
      </c>
      <c r="AG485" s="17">
        <v>1695.911652</v>
      </c>
    </row>
    <row r="486" spans="32:33" x14ac:dyDescent="0.4">
      <c r="AF486" s="19">
        <v>20070805</v>
      </c>
      <c r="AG486" s="18">
        <v>1695.7883039999999</v>
      </c>
    </row>
    <row r="487" spans="32:33" x14ac:dyDescent="0.4">
      <c r="AF487" s="19">
        <v>20070806</v>
      </c>
      <c r="AG487" s="17">
        <v>1676.6200248</v>
      </c>
    </row>
    <row r="488" spans="32:33" x14ac:dyDescent="0.4">
      <c r="AF488" s="19">
        <v>20070807</v>
      </c>
      <c r="AG488" s="17">
        <v>1690.4473356000001</v>
      </c>
    </row>
    <row r="489" spans="32:33" x14ac:dyDescent="0.4">
      <c r="AF489" s="19">
        <v>20070808</v>
      </c>
      <c r="AG489" s="17">
        <v>1715.1169356</v>
      </c>
    </row>
    <row r="490" spans="32:33" x14ac:dyDescent="0.4">
      <c r="AF490" s="19">
        <v>20070809</v>
      </c>
      <c r="AG490" s="17">
        <v>1723.0112076</v>
      </c>
    </row>
    <row r="491" spans="32:33" x14ac:dyDescent="0.4">
      <c r="AF491" s="19">
        <v>20070810</v>
      </c>
      <c r="AG491" s="18">
        <v>1678.9142976000001</v>
      </c>
    </row>
    <row r="492" spans="32:33" x14ac:dyDescent="0.4">
      <c r="AF492" s="19">
        <v>20070811</v>
      </c>
      <c r="AG492" s="17">
        <v>1678.8032843999999</v>
      </c>
    </row>
    <row r="493" spans="32:33" x14ac:dyDescent="0.4">
      <c r="AF493" s="19">
        <v>20070812</v>
      </c>
      <c r="AG493" s="17">
        <v>1678.6922712000001</v>
      </c>
    </row>
    <row r="494" spans="32:33" x14ac:dyDescent="0.4">
      <c r="AF494" s="19">
        <v>20070813</v>
      </c>
      <c r="AG494" s="17">
        <v>1682.9107727999999</v>
      </c>
    </row>
    <row r="495" spans="32:33" x14ac:dyDescent="0.4">
      <c r="AF495" s="19">
        <v>20070814</v>
      </c>
      <c r="AG495" s="17">
        <v>1655.7742128</v>
      </c>
    </row>
    <row r="496" spans="32:33" x14ac:dyDescent="0.4">
      <c r="AF496" s="19">
        <v>20070815</v>
      </c>
      <c r="AG496" s="18">
        <v>1655.6631996000001</v>
      </c>
    </row>
    <row r="497" spans="32:33" x14ac:dyDescent="0.4">
      <c r="AF497" s="19">
        <v>20070816</v>
      </c>
      <c r="AG497" s="17">
        <v>1552.2235668000001</v>
      </c>
    </row>
    <row r="498" spans="32:33" x14ac:dyDescent="0.4">
      <c r="AF498" s="19">
        <v>20070817</v>
      </c>
      <c r="AG498" s="17">
        <v>1517.7601356</v>
      </c>
    </row>
    <row r="499" spans="32:33" x14ac:dyDescent="0.4">
      <c r="AF499" s="19">
        <v>20070818</v>
      </c>
      <c r="AG499" s="17">
        <v>1517.6491223999999</v>
      </c>
    </row>
    <row r="500" spans="32:33" x14ac:dyDescent="0.4">
      <c r="AF500" s="19">
        <v>20070819</v>
      </c>
      <c r="AG500" s="17">
        <v>1517.550444</v>
      </c>
    </row>
    <row r="501" spans="32:33" x14ac:dyDescent="0.4">
      <c r="AF501" s="19">
        <v>20070820</v>
      </c>
      <c r="AG501" s="18">
        <v>1580.1125496</v>
      </c>
    </row>
    <row r="502" spans="32:33" x14ac:dyDescent="0.4">
      <c r="AF502" s="19">
        <v>20070821</v>
      </c>
      <c r="AG502" s="17">
        <v>1585.8482316</v>
      </c>
    </row>
    <row r="503" spans="32:33" x14ac:dyDescent="0.4">
      <c r="AF503" s="19">
        <v>20070822</v>
      </c>
      <c r="AG503" s="17">
        <v>1608.1125456</v>
      </c>
    </row>
    <row r="504" spans="32:33" x14ac:dyDescent="0.4">
      <c r="AF504" s="19">
        <v>20070823</v>
      </c>
      <c r="AG504" s="17">
        <v>1633.497564</v>
      </c>
    </row>
    <row r="505" spans="32:33" x14ac:dyDescent="0.4">
      <c r="AF505" s="19">
        <v>20070824</v>
      </c>
      <c r="AG505" s="17">
        <v>1630.4015291999999</v>
      </c>
    </row>
    <row r="506" spans="32:33" x14ac:dyDescent="0.4">
      <c r="AF506" s="19">
        <v>20070825</v>
      </c>
      <c r="AG506" s="18">
        <v>1630.2781812000001</v>
      </c>
    </row>
    <row r="507" spans="32:33" x14ac:dyDescent="0.4">
      <c r="AF507" s="19">
        <v>20070826</v>
      </c>
      <c r="AG507" s="17">
        <v>1630.1671679999999</v>
      </c>
    </row>
    <row r="508" spans="32:33" x14ac:dyDescent="0.4">
      <c r="AF508" s="19">
        <v>20070827</v>
      </c>
      <c r="AG508" s="17">
        <v>1636.9636427999999</v>
      </c>
    </row>
    <row r="509" spans="32:33" x14ac:dyDescent="0.4">
      <c r="AF509" s="19">
        <v>20070828</v>
      </c>
      <c r="AG509" s="17">
        <v>1641.4658448</v>
      </c>
    </row>
    <row r="510" spans="32:33" x14ac:dyDescent="0.4">
      <c r="AF510" s="19">
        <v>20070829</v>
      </c>
      <c r="AG510" s="17">
        <v>1639.0728936</v>
      </c>
    </row>
    <row r="511" spans="32:33" x14ac:dyDescent="0.4">
      <c r="AF511" s="19">
        <v>20070830</v>
      </c>
      <c r="AG511" s="18">
        <v>1654.7380896</v>
      </c>
    </row>
    <row r="512" spans="32:33" x14ac:dyDescent="0.4">
      <c r="AF512" s="19">
        <v>20070831</v>
      </c>
      <c r="AG512" s="17">
        <v>1676.5213464000001</v>
      </c>
    </row>
    <row r="513" spans="32:33" x14ac:dyDescent="0.4">
      <c r="AF513" s="19">
        <v>20070901</v>
      </c>
      <c r="AG513" s="17">
        <v>1676.4103332</v>
      </c>
    </row>
    <row r="514" spans="32:33" x14ac:dyDescent="0.4">
      <c r="AF514" s="19">
        <v>20070902</v>
      </c>
      <c r="AG514" s="17">
        <v>1676.2869851999999</v>
      </c>
    </row>
    <row r="515" spans="32:33" x14ac:dyDescent="0.4">
      <c r="AF515" s="19">
        <v>20070903</v>
      </c>
      <c r="AG515" s="17">
        <v>1684.1812571999999</v>
      </c>
    </row>
    <row r="516" spans="32:33" x14ac:dyDescent="0.4">
      <c r="AF516" s="19">
        <v>20070904</v>
      </c>
      <c r="AG516" s="18">
        <v>1674.8438136</v>
      </c>
    </row>
    <row r="517" spans="32:33" x14ac:dyDescent="0.4">
      <c r="AF517" s="19">
        <v>20070905</v>
      </c>
      <c r="AG517" s="17">
        <v>1663.3847843999999</v>
      </c>
    </row>
    <row r="518" spans="32:33" x14ac:dyDescent="0.4">
      <c r="AF518" s="19">
        <v>20070906</v>
      </c>
      <c r="AG518" s="17">
        <v>1676.9530643999999</v>
      </c>
    </row>
    <row r="519" spans="32:33" x14ac:dyDescent="0.4">
      <c r="AF519" s="19">
        <v>20070907</v>
      </c>
      <c r="AG519" s="17">
        <v>1678.0508616</v>
      </c>
    </row>
    <row r="520" spans="32:33" x14ac:dyDescent="0.4">
      <c r="AF520" s="19">
        <v>20070908</v>
      </c>
      <c r="AG520" s="17">
        <v>1677.9275136000001</v>
      </c>
    </row>
    <row r="521" spans="32:33" x14ac:dyDescent="0.4">
      <c r="AF521" s="19">
        <v>20070909</v>
      </c>
      <c r="AG521" s="18">
        <v>1677.8041656</v>
      </c>
    </row>
    <row r="522" spans="32:33" x14ac:dyDescent="0.4">
      <c r="AF522" s="19">
        <v>20070910</v>
      </c>
      <c r="AG522" s="17">
        <v>1642.5883116</v>
      </c>
    </row>
    <row r="523" spans="32:33" x14ac:dyDescent="0.4">
      <c r="AF523" s="19">
        <v>20070911</v>
      </c>
      <c r="AG523" s="17">
        <v>1650.0138612000001</v>
      </c>
    </row>
    <row r="524" spans="32:33" x14ac:dyDescent="0.4">
      <c r="AF524" s="19">
        <v>20070912</v>
      </c>
      <c r="AG524" s="17">
        <v>1632.079062</v>
      </c>
    </row>
    <row r="525" spans="32:33" x14ac:dyDescent="0.4">
      <c r="AF525" s="19">
        <v>20070913</v>
      </c>
      <c r="AG525" s="17">
        <v>1650.6922752</v>
      </c>
    </row>
    <row r="526" spans="32:33" x14ac:dyDescent="0.4">
      <c r="AF526" s="19">
        <v>20070914</v>
      </c>
      <c r="AG526" s="18">
        <v>1670.5636380000001</v>
      </c>
    </row>
    <row r="527" spans="32:33" x14ac:dyDescent="0.4">
      <c r="AF527" s="19">
        <v>20070915</v>
      </c>
      <c r="AG527" s="17">
        <v>1670.44029</v>
      </c>
    </row>
    <row r="528" spans="32:33" x14ac:dyDescent="0.4">
      <c r="AF528" s="19">
        <v>20070916</v>
      </c>
      <c r="AG528" s="17">
        <v>1670.3292767999999</v>
      </c>
    </row>
    <row r="529" spans="32:33" x14ac:dyDescent="0.4">
      <c r="AF529" s="19">
        <v>20070917</v>
      </c>
      <c r="AG529" s="17">
        <v>1677.8658396000001</v>
      </c>
    </row>
    <row r="530" spans="32:33" x14ac:dyDescent="0.4">
      <c r="AF530" s="19">
        <v>20070918</v>
      </c>
      <c r="AG530" s="17">
        <v>1659.8323620000001</v>
      </c>
    </row>
    <row r="531" spans="32:33" x14ac:dyDescent="0.4">
      <c r="AF531" s="19">
        <v>20070919</v>
      </c>
      <c r="AG531" s="18">
        <v>1687.5609924</v>
      </c>
    </row>
    <row r="532" spans="32:33" x14ac:dyDescent="0.4">
      <c r="AF532" s="19">
        <v>20070920</v>
      </c>
      <c r="AG532" s="17">
        <v>1687.2896268</v>
      </c>
    </row>
    <row r="533" spans="32:33" x14ac:dyDescent="0.4">
      <c r="AF533" s="19">
        <v>20070921</v>
      </c>
      <c r="AG533" s="17">
        <v>1696.8737664</v>
      </c>
    </row>
    <row r="534" spans="32:33" x14ac:dyDescent="0.4">
      <c r="AF534" s="19">
        <v>20070922</v>
      </c>
      <c r="AG534" s="17">
        <v>1696.7627531999999</v>
      </c>
    </row>
    <row r="535" spans="32:33" x14ac:dyDescent="0.4">
      <c r="AF535" s="19">
        <v>20070923</v>
      </c>
      <c r="AG535" s="17">
        <v>1696.65174</v>
      </c>
    </row>
    <row r="536" spans="32:33" x14ac:dyDescent="0.4">
      <c r="AF536" s="19">
        <v>20070924</v>
      </c>
      <c r="AG536" s="18">
        <v>1696.5283919999999</v>
      </c>
    </row>
    <row r="537" spans="32:33" x14ac:dyDescent="0.4">
      <c r="AF537" s="19">
        <v>20070925</v>
      </c>
      <c r="AG537" s="17">
        <v>1696.4173788000001</v>
      </c>
    </row>
    <row r="538" spans="32:33" x14ac:dyDescent="0.4">
      <c r="AF538" s="19">
        <v>20070926</v>
      </c>
      <c r="AG538" s="17">
        <v>1696.3063655999999</v>
      </c>
    </row>
    <row r="539" spans="32:33" x14ac:dyDescent="0.4">
      <c r="AF539" s="19">
        <v>20070927</v>
      </c>
      <c r="AG539" s="17">
        <v>1710.5407247999999</v>
      </c>
    </row>
    <row r="540" spans="32:33" x14ac:dyDescent="0.4">
      <c r="AF540" s="19">
        <v>20070928</v>
      </c>
      <c r="AG540" s="17">
        <v>1720.9759656000001</v>
      </c>
    </row>
    <row r="541" spans="32:33" x14ac:dyDescent="0.4">
      <c r="AF541" s="19">
        <v>20070929</v>
      </c>
      <c r="AG541" s="18">
        <v>1720.8649524</v>
      </c>
    </row>
    <row r="542" spans="32:33" x14ac:dyDescent="0.4">
      <c r="AF542" s="19">
        <v>20070930</v>
      </c>
      <c r="AG542" s="17">
        <v>1720.7416043999999</v>
      </c>
    </row>
    <row r="543" spans="32:33" x14ac:dyDescent="0.4">
      <c r="AF543" s="19">
        <v>20071001</v>
      </c>
      <c r="AG543" s="17">
        <v>1730.2764047999999</v>
      </c>
    </row>
    <row r="544" spans="32:33" x14ac:dyDescent="0.4">
      <c r="AF544" s="19">
        <v>20071002</v>
      </c>
      <c r="AG544" s="17">
        <v>1742.0561388000001</v>
      </c>
    </row>
    <row r="545" spans="32:33" x14ac:dyDescent="0.4">
      <c r="AF545" s="19">
        <v>20071003</v>
      </c>
      <c r="AG545" s="17">
        <v>1741.9451256</v>
      </c>
    </row>
    <row r="546" spans="32:33" x14ac:dyDescent="0.4">
      <c r="AF546" s="19">
        <v>20071004</v>
      </c>
      <c r="AG546" s="18">
        <v>1744.1037156</v>
      </c>
    </row>
    <row r="547" spans="32:33" x14ac:dyDescent="0.4">
      <c r="AF547" s="19">
        <v>20071005</v>
      </c>
      <c r="AG547" s="17">
        <v>1737.0482099999999</v>
      </c>
    </row>
    <row r="548" spans="32:33" x14ac:dyDescent="0.4">
      <c r="AF548" s="19">
        <v>20071006</v>
      </c>
      <c r="AG548" s="17">
        <v>1736.9248620000001</v>
      </c>
    </row>
    <row r="549" spans="32:33" x14ac:dyDescent="0.4">
      <c r="AF549" s="19">
        <v>20071007</v>
      </c>
      <c r="AG549" s="17">
        <v>1736.8138488</v>
      </c>
    </row>
    <row r="550" spans="32:33" x14ac:dyDescent="0.4">
      <c r="AF550" s="19">
        <v>20071008</v>
      </c>
      <c r="AG550" s="17">
        <v>1738.2076812</v>
      </c>
    </row>
    <row r="551" spans="32:33" x14ac:dyDescent="0.4">
      <c r="AF551" s="19">
        <v>20071009</v>
      </c>
      <c r="AG551" s="18">
        <v>1726.2675948000001</v>
      </c>
    </row>
    <row r="552" spans="32:33" x14ac:dyDescent="0.4">
      <c r="AF552" s="19">
        <v>20071010</v>
      </c>
      <c r="AG552" s="17">
        <v>1742.2658303999999</v>
      </c>
    </row>
    <row r="553" spans="32:33" x14ac:dyDescent="0.4">
      <c r="AF553" s="19">
        <v>20071011</v>
      </c>
      <c r="AG553" s="17">
        <v>1738.2570204000001</v>
      </c>
    </row>
    <row r="554" spans="32:33" x14ac:dyDescent="0.4">
      <c r="AF554" s="19">
        <v>20071012</v>
      </c>
      <c r="AG554" s="17">
        <v>1718.8173756000001</v>
      </c>
    </row>
    <row r="555" spans="32:33" x14ac:dyDescent="0.4">
      <c r="AF555" s="19">
        <v>20071013</v>
      </c>
      <c r="AG555" s="17">
        <v>1718.6940276</v>
      </c>
    </row>
    <row r="556" spans="32:33" x14ac:dyDescent="0.4">
      <c r="AF556" s="19">
        <v>20071014</v>
      </c>
      <c r="AG556" s="18">
        <v>1718.5706795999999</v>
      </c>
    </row>
    <row r="557" spans="32:33" x14ac:dyDescent="0.4">
      <c r="AF557" s="19">
        <v>20071015</v>
      </c>
      <c r="AG557" s="17">
        <v>1711.3424868</v>
      </c>
    </row>
    <row r="558" spans="32:33" x14ac:dyDescent="0.4">
      <c r="AF558" s="19">
        <v>20071016</v>
      </c>
      <c r="AG558" s="17">
        <v>1679.5187028</v>
      </c>
    </row>
    <row r="559" spans="32:33" x14ac:dyDescent="0.4">
      <c r="AF559" s="19">
        <v>20071017</v>
      </c>
      <c r="AG559" s="17">
        <v>1655.6508647999999</v>
      </c>
    </row>
    <row r="560" spans="32:33" x14ac:dyDescent="0.4">
      <c r="AF560" s="19">
        <v>20071018</v>
      </c>
      <c r="AG560" s="17">
        <v>1668.7750920000001</v>
      </c>
    </row>
    <row r="561" spans="32:33" x14ac:dyDescent="0.4">
      <c r="AF561" s="19">
        <v>20071019</v>
      </c>
      <c r="AG561" s="18">
        <v>1659.8570316</v>
      </c>
    </row>
    <row r="562" spans="32:33" x14ac:dyDescent="0.4">
      <c r="AF562" s="19">
        <v>20071020</v>
      </c>
      <c r="AG562" s="17">
        <v>1659.7460183999999</v>
      </c>
    </row>
    <row r="563" spans="32:33" x14ac:dyDescent="0.4">
      <c r="AF563" s="19">
        <v>20071021</v>
      </c>
      <c r="AG563" s="17">
        <v>1659.6350052</v>
      </c>
    </row>
    <row r="564" spans="32:33" x14ac:dyDescent="0.4">
      <c r="AF564" s="19">
        <v>20071022</v>
      </c>
      <c r="AG564" s="17">
        <v>1622.4825876</v>
      </c>
    </row>
    <row r="565" spans="32:33" x14ac:dyDescent="0.4">
      <c r="AF565" s="19">
        <v>20071023</v>
      </c>
      <c r="AG565" s="17">
        <v>1646.9054916</v>
      </c>
    </row>
    <row r="566" spans="32:33" x14ac:dyDescent="0.4">
      <c r="AF566" s="19">
        <v>20071024</v>
      </c>
      <c r="AG566" s="18">
        <v>1637.2720128000001</v>
      </c>
    </row>
    <row r="567" spans="32:33" x14ac:dyDescent="0.4">
      <c r="AF567" s="19">
        <v>20071025</v>
      </c>
      <c r="AG567" s="17">
        <v>1639.0605588000001</v>
      </c>
    </row>
    <row r="568" spans="32:33" x14ac:dyDescent="0.4">
      <c r="AF568" s="19">
        <v>20071026</v>
      </c>
      <c r="AG568" s="17">
        <v>1648.2129804000001</v>
      </c>
    </row>
    <row r="569" spans="32:33" x14ac:dyDescent="0.4">
      <c r="AF569" s="19">
        <v>20071027</v>
      </c>
      <c r="AG569" s="17">
        <v>1648.1019672</v>
      </c>
    </row>
    <row r="570" spans="32:33" x14ac:dyDescent="0.4">
      <c r="AF570" s="19">
        <v>20071028</v>
      </c>
      <c r="AG570" s="17">
        <v>1647.9786191999999</v>
      </c>
    </row>
    <row r="571" spans="32:33" x14ac:dyDescent="0.4">
      <c r="AF571" s="19">
        <v>20071029</v>
      </c>
      <c r="AG571" s="18">
        <v>1658.3645208</v>
      </c>
    </row>
    <row r="572" spans="32:33" x14ac:dyDescent="0.4">
      <c r="AF572" s="19">
        <v>20071030</v>
      </c>
      <c r="AG572" s="17">
        <v>1653.7019663999999</v>
      </c>
    </row>
    <row r="573" spans="32:33" x14ac:dyDescent="0.4">
      <c r="AF573" s="19">
        <v>20071031</v>
      </c>
      <c r="AG573" s="17">
        <v>1660.5724499999999</v>
      </c>
    </row>
    <row r="574" spans="32:33" x14ac:dyDescent="0.4">
      <c r="AF574" s="19">
        <v>20071101</v>
      </c>
      <c r="AG574" s="17">
        <v>1651.0993235999999</v>
      </c>
    </row>
    <row r="575" spans="32:33" x14ac:dyDescent="0.4">
      <c r="AF575" s="19">
        <v>20071102</v>
      </c>
      <c r="AG575" s="17">
        <v>1627.0094592</v>
      </c>
    </row>
    <row r="576" spans="32:33" x14ac:dyDescent="0.4">
      <c r="AF576" s="19">
        <v>20071103</v>
      </c>
      <c r="AG576" s="18">
        <v>1626.8984459999999</v>
      </c>
    </row>
    <row r="577" spans="32:33" x14ac:dyDescent="0.4">
      <c r="AF577" s="19">
        <v>20071104</v>
      </c>
      <c r="AG577" s="17">
        <v>1626.7997676</v>
      </c>
    </row>
    <row r="578" spans="32:33" x14ac:dyDescent="0.4">
      <c r="AF578" s="19">
        <v>20071105</v>
      </c>
      <c r="AG578" s="17">
        <v>1623.0499884000001</v>
      </c>
    </row>
    <row r="579" spans="32:33" x14ac:dyDescent="0.4">
      <c r="AF579" s="19">
        <v>20071106</v>
      </c>
      <c r="AG579" s="17">
        <v>1633.0288416000001</v>
      </c>
    </row>
    <row r="580" spans="32:33" x14ac:dyDescent="0.4">
      <c r="AF580" s="19">
        <v>20071107</v>
      </c>
      <c r="AG580" s="17">
        <v>1620.5213544000001</v>
      </c>
    </row>
    <row r="581" spans="32:33" x14ac:dyDescent="0.4">
      <c r="AF581" s="19">
        <v>20071108</v>
      </c>
      <c r="AG581" s="18">
        <v>1595.2966884</v>
      </c>
    </row>
    <row r="582" spans="32:33" x14ac:dyDescent="0.4">
      <c r="AF582" s="19">
        <v>20071109</v>
      </c>
      <c r="AG582" s="17">
        <v>1605.867612</v>
      </c>
    </row>
    <row r="583" spans="32:33" x14ac:dyDescent="0.4">
      <c r="AF583" s="19">
        <v>20071110</v>
      </c>
      <c r="AG583" s="17">
        <v>1605.7689336000001</v>
      </c>
    </row>
    <row r="584" spans="32:33" x14ac:dyDescent="0.4">
      <c r="AF584" s="19">
        <v>20071111</v>
      </c>
      <c r="AG584" s="17">
        <v>1605.6579204</v>
      </c>
    </row>
    <row r="585" spans="32:33" x14ac:dyDescent="0.4">
      <c r="AF585" s="19">
        <v>20071112</v>
      </c>
      <c r="AG585" s="17">
        <v>1579.9398624</v>
      </c>
    </row>
    <row r="586" spans="32:33" x14ac:dyDescent="0.4">
      <c r="AF586" s="19">
        <v>20071113</v>
      </c>
      <c r="AG586" s="18">
        <v>1587.6614472000001</v>
      </c>
    </row>
    <row r="587" spans="32:33" x14ac:dyDescent="0.4">
      <c r="AF587" s="19">
        <v>20071114</v>
      </c>
      <c r="AG587" s="17">
        <v>1614.872016</v>
      </c>
    </row>
    <row r="588" spans="32:33" x14ac:dyDescent="0.4">
      <c r="AF588" s="19">
        <v>20071115</v>
      </c>
      <c r="AG588" s="17">
        <v>1616.4508704</v>
      </c>
    </row>
    <row r="589" spans="32:33" x14ac:dyDescent="0.4">
      <c r="AF589" s="19">
        <v>20071116</v>
      </c>
      <c r="AG589" s="17">
        <v>1609.3460256000001</v>
      </c>
    </row>
    <row r="590" spans="32:33" x14ac:dyDescent="0.4">
      <c r="AF590" s="19">
        <v>20071117</v>
      </c>
      <c r="AG590" s="17">
        <v>1609.2473471999999</v>
      </c>
    </row>
    <row r="591" spans="32:33" x14ac:dyDescent="0.4">
      <c r="AF591" s="19">
        <v>20071118</v>
      </c>
      <c r="AG591" s="18">
        <v>1609.1486688</v>
      </c>
    </row>
    <row r="592" spans="32:33" x14ac:dyDescent="0.4">
      <c r="AF592" s="19">
        <v>20071119</v>
      </c>
      <c r="AG592" s="17">
        <v>1597.5662916000001</v>
      </c>
    </row>
    <row r="593" spans="32:33" x14ac:dyDescent="0.4">
      <c r="AF593" s="19">
        <v>20071120</v>
      </c>
      <c r="AG593" s="17">
        <v>1586.4649715999999</v>
      </c>
    </row>
    <row r="594" spans="32:33" x14ac:dyDescent="0.4">
      <c r="AF594" s="19">
        <v>20071121</v>
      </c>
      <c r="AG594" s="17">
        <v>1556.6024207999999</v>
      </c>
    </row>
    <row r="595" spans="32:33" x14ac:dyDescent="0.4">
      <c r="AF595" s="19">
        <v>20071122</v>
      </c>
      <c r="AG595" s="17">
        <v>1555.9363416000001</v>
      </c>
    </row>
    <row r="596" spans="32:33" x14ac:dyDescent="0.4">
      <c r="AF596" s="19">
        <v>20071123</v>
      </c>
      <c r="AG596" s="18">
        <v>1547.7953735999999</v>
      </c>
    </row>
    <row r="597" spans="32:33" x14ac:dyDescent="0.4">
      <c r="AF597" s="19">
        <v>20071124</v>
      </c>
      <c r="AG597" s="17">
        <v>1547.6966952</v>
      </c>
    </row>
    <row r="598" spans="32:33" x14ac:dyDescent="0.4">
      <c r="AF598" s="19">
        <v>20071125</v>
      </c>
      <c r="AG598" s="17">
        <v>1547.5980168000001</v>
      </c>
    </row>
    <row r="599" spans="32:33" x14ac:dyDescent="0.4">
      <c r="AF599" s="19">
        <v>20071126</v>
      </c>
      <c r="AG599" s="17">
        <v>1574.6358984000001</v>
      </c>
    </row>
    <row r="600" spans="32:33" x14ac:dyDescent="0.4">
      <c r="AF600" s="19">
        <v>20071127</v>
      </c>
      <c r="AG600" s="17">
        <v>1574.7099072000001</v>
      </c>
    </row>
    <row r="601" spans="32:33" x14ac:dyDescent="0.4">
      <c r="AF601" s="19">
        <v>20071128</v>
      </c>
      <c r="AG601" s="18">
        <v>1565.0887631999999</v>
      </c>
    </row>
    <row r="602" spans="32:33" x14ac:dyDescent="0.4">
      <c r="AF602" s="19">
        <v>20071129</v>
      </c>
      <c r="AG602" s="17">
        <v>1580.4085848</v>
      </c>
    </row>
    <row r="603" spans="32:33" x14ac:dyDescent="0.4">
      <c r="AF603" s="19">
        <v>20071130</v>
      </c>
      <c r="AG603" s="17">
        <v>1590.0543984000001</v>
      </c>
    </row>
    <row r="604" spans="32:33" x14ac:dyDescent="0.4">
      <c r="AF604" s="19">
        <v>20071201</v>
      </c>
      <c r="AG604" s="17">
        <v>1589.9433852</v>
      </c>
    </row>
    <row r="605" spans="32:33" x14ac:dyDescent="0.4">
      <c r="AF605" s="19">
        <v>20071202</v>
      </c>
      <c r="AG605" s="17">
        <v>1589.8323720000001</v>
      </c>
    </row>
    <row r="606" spans="32:33" x14ac:dyDescent="0.4">
      <c r="AF606" s="19">
        <v>20071203</v>
      </c>
      <c r="AG606" s="18">
        <v>1592.6693760000001</v>
      </c>
    </row>
    <row r="607" spans="32:33" x14ac:dyDescent="0.4">
      <c r="AF607" s="19">
        <v>20071204</v>
      </c>
      <c r="AG607" s="17">
        <v>1599.6138684</v>
      </c>
    </row>
    <row r="608" spans="32:33" x14ac:dyDescent="0.4">
      <c r="AF608" s="19">
        <v>20071205</v>
      </c>
      <c r="AG608" s="17">
        <v>1614.1442628</v>
      </c>
    </row>
    <row r="609" spans="32:33" x14ac:dyDescent="0.4">
      <c r="AF609" s="19">
        <v>20071206</v>
      </c>
      <c r="AG609" s="17">
        <v>1620.4720152</v>
      </c>
    </row>
    <row r="610" spans="32:33" x14ac:dyDescent="0.4">
      <c r="AF610" s="19">
        <v>20071207</v>
      </c>
      <c r="AG610" s="17">
        <v>1618.1037335999999</v>
      </c>
    </row>
    <row r="611" spans="32:33" x14ac:dyDescent="0.4">
      <c r="AF611" s="19">
        <v>20071208</v>
      </c>
      <c r="AG611" s="18">
        <v>1618.0050552</v>
      </c>
    </row>
    <row r="612" spans="32:33" x14ac:dyDescent="0.4">
      <c r="AF612" s="19">
        <v>20071209</v>
      </c>
      <c r="AG612" s="17">
        <v>1617.8940419999999</v>
      </c>
    </row>
    <row r="613" spans="32:33" x14ac:dyDescent="0.4">
      <c r="AF613" s="19">
        <v>20071210</v>
      </c>
      <c r="AG613" s="17">
        <v>1607.4094620000001</v>
      </c>
    </row>
    <row r="614" spans="32:33" x14ac:dyDescent="0.4">
      <c r="AF614" s="19">
        <v>20071211</v>
      </c>
      <c r="AG614" s="17">
        <v>1618.7944824000001</v>
      </c>
    </row>
    <row r="615" spans="32:33" x14ac:dyDescent="0.4">
      <c r="AF615" s="19">
        <v>20071212</v>
      </c>
      <c r="AG615" s="17">
        <v>1618.5354516</v>
      </c>
    </row>
    <row r="616" spans="32:33" x14ac:dyDescent="0.4">
      <c r="AF616" s="19">
        <v>20071213</v>
      </c>
      <c r="AG616" s="18">
        <v>1616.1425004</v>
      </c>
    </row>
    <row r="617" spans="32:33" x14ac:dyDescent="0.4">
      <c r="AF617" s="19">
        <v>20071214</v>
      </c>
      <c r="AG617" s="17">
        <v>1612.8614436</v>
      </c>
    </row>
    <row r="618" spans="32:33" x14ac:dyDescent="0.4">
      <c r="AF618" s="19">
        <v>20071215</v>
      </c>
      <c r="AG618" s="17">
        <v>1612.7504303999999</v>
      </c>
    </row>
    <row r="619" spans="32:33" x14ac:dyDescent="0.4">
      <c r="AF619" s="19">
        <v>20071216</v>
      </c>
      <c r="AG619" s="17">
        <v>1612.651752</v>
      </c>
    </row>
    <row r="620" spans="32:33" x14ac:dyDescent="0.4">
      <c r="AF620" s="19">
        <v>20071217</v>
      </c>
      <c r="AG620" s="17">
        <v>1586.193606</v>
      </c>
    </row>
    <row r="621" spans="32:33" x14ac:dyDescent="0.4">
      <c r="AF621" s="19">
        <v>20071218</v>
      </c>
      <c r="AG621" s="18">
        <v>1595.1733403999999</v>
      </c>
    </row>
    <row r="622" spans="32:33" x14ac:dyDescent="0.4">
      <c r="AF622" s="19">
        <v>20071219</v>
      </c>
      <c r="AG622" s="17">
        <v>1595.0623272</v>
      </c>
    </row>
    <row r="623" spans="32:33" x14ac:dyDescent="0.4">
      <c r="AF623" s="19">
        <v>20071220</v>
      </c>
      <c r="AG623" s="17">
        <v>1590.9671736</v>
      </c>
    </row>
    <row r="624" spans="32:33" x14ac:dyDescent="0.4">
      <c r="AF624" s="19">
        <v>20071221</v>
      </c>
      <c r="AG624" s="17">
        <v>1610.4684924000001</v>
      </c>
    </row>
    <row r="625" spans="32:33" x14ac:dyDescent="0.4">
      <c r="AF625" s="19">
        <v>20071222</v>
      </c>
      <c r="AG625" s="17">
        <v>1610.3698139999999</v>
      </c>
    </row>
    <row r="626" spans="32:33" x14ac:dyDescent="0.4">
      <c r="AF626" s="19">
        <v>20071223</v>
      </c>
      <c r="AG626" s="18">
        <v>1610.2588008</v>
      </c>
    </row>
    <row r="627" spans="32:33" x14ac:dyDescent="0.4">
      <c r="AF627" s="19">
        <v>20071224</v>
      </c>
      <c r="AG627" s="17">
        <v>1621.1997684</v>
      </c>
    </row>
    <row r="628" spans="32:33" x14ac:dyDescent="0.4">
      <c r="AF628" s="19">
        <v>20071225</v>
      </c>
      <c r="AG628" s="17">
        <v>1621.0887551999999</v>
      </c>
    </row>
    <row r="629" spans="32:33" x14ac:dyDescent="0.4">
      <c r="AF629" s="19">
        <v>20071226</v>
      </c>
      <c r="AG629" s="17">
        <v>1618.0050552</v>
      </c>
    </row>
    <row r="630" spans="32:33" x14ac:dyDescent="0.4">
      <c r="AF630" s="19">
        <v>20071227</v>
      </c>
      <c r="AG630" s="17">
        <v>1637.7654047999999</v>
      </c>
    </row>
    <row r="631" spans="32:33" x14ac:dyDescent="0.4">
      <c r="AF631" s="19">
        <v>20071228</v>
      </c>
      <c r="AG631" s="18">
        <v>1657.0817016000001</v>
      </c>
    </row>
    <row r="632" spans="32:33" x14ac:dyDescent="0.4">
      <c r="AF632" s="19">
        <v>20071229</v>
      </c>
      <c r="AG632" s="17">
        <v>1656.9583536</v>
      </c>
    </row>
    <row r="633" spans="32:33" x14ac:dyDescent="0.4">
      <c r="AF633" s="19">
        <v>20071230</v>
      </c>
      <c r="AG633" s="17">
        <v>1656.8473403999999</v>
      </c>
    </row>
    <row r="634" spans="32:33" x14ac:dyDescent="0.4">
      <c r="AF634" s="19">
        <v>20071231</v>
      </c>
      <c r="AG634" s="17">
        <v>1656.748662</v>
      </c>
    </row>
    <row r="635" spans="32:33" x14ac:dyDescent="0.4">
      <c r="AF635" s="19">
        <v>20080101</v>
      </c>
      <c r="AG635" s="17">
        <v>1656.6376488000001</v>
      </c>
    </row>
    <row r="636" spans="32:33" x14ac:dyDescent="0.4">
      <c r="AF636" s="19">
        <v>20080102</v>
      </c>
      <c r="AG636" s="18">
        <v>1629.8834675999999</v>
      </c>
    </row>
    <row r="637" spans="32:33" x14ac:dyDescent="0.4">
      <c r="AF637" s="19">
        <v>20080103</v>
      </c>
      <c r="AG637" s="17">
        <v>1629.7601196000001</v>
      </c>
    </row>
    <row r="638" spans="32:33" x14ac:dyDescent="0.4">
      <c r="AF638" s="19">
        <v>20080104</v>
      </c>
      <c r="AG638" s="17">
        <v>1640.2076952</v>
      </c>
    </row>
    <row r="639" spans="32:33" x14ac:dyDescent="0.4">
      <c r="AF639" s="19">
        <v>20080105</v>
      </c>
      <c r="AG639" s="17">
        <v>1640.0966820000001</v>
      </c>
    </row>
    <row r="640" spans="32:33" x14ac:dyDescent="0.4">
      <c r="AF640" s="19">
        <v>20080106</v>
      </c>
      <c r="AG640" s="17">
        <v>1639.9856688</v>
      </c>
    </row>
    <row r="641" spans="32:33" x14ac:dyDescent="0.4">
      <c r="AF641" s="19">
        <v>20080107</v>
      </c>
      <c r="AG641" s="18">
        <v>1620.4596804</v>
      </c>
    </row>
    <row r="642" spans="32:33" x14ac:dyDescent="0.4">
      <c r="AF642" s="19">
        <v>20080108</v>
      </c>
      <c r="AG642" s="17">
        <v>1616.1301656000001</v>
      </c>
    </row>
    <row r="643" spans="32:33" x14ac:dyDescent="0.4">
      <c r="AF643" s="19">
        <v>20080109</v>
      </c>
      <c r="AG643" s="17">
        <v>1613.0958048</v>
      </c>
    </row>
    <row r="644" spans="32:33" x14ac:dyDescent="0.4">
      <c r="AF644" s="19">
        <v>20080110</v>
      </c>
      <c r="AG644" s="17">
        <v>1599.391842</v>
      </c>
    </row>
    <row r="645" spans="32:33" x14ac:dyDescent="0.4">
      <c r="AF645" s="19">
        <v>20080111</v>
      </c>
      <c r="AG645" s="17">
        <v>1577.0165148000001</v>
      </c>
    </row>
    <row r="646" spans="32:33" x14ac:dyDescent="0.4">
      <c r="AF646" s="19">
        <v>20080112</v>
      </c>
      <c r="AG646" s="18">
        <v>1576.9055016</v>
      </c>
    </row>
    <row r="647" spans="32:33" x14ac:dyDescent="0.4">
      <c r="AF647" s="19">
        <v>20080113</v>
      </c>
      <c r="AG647" s="17">
        <v>1576.7944884000001</v>
      </c>
    </row>
    <row r="648" spans="32:33" x14ac:dyDescent="0.4">
      <c r="AF648" s="19">
        <v>20080114</v>
      </c>
      <c r="AG648" s="17">
        <v>1567.6914059999999</v>
      </c>
    </row>
    <row r="649" spans="32:33" x14ac:dyDescent="0.4">
      <c r="AF649" s="19">
        <v>20080115</v>
      </c>
      <c r="AG649" s="17">
        <v>1552.9019808</v>
      </c>
    </row>
    <row r="650" spans="32:33" x14ac:dyDescent="0.4">
      <c r="AF650" s="19">
        <v>20080116</v>
      </c>
      <c r="AG650" s="17">
        <v>1530.3046271999999</v>
      </c>
    </row>
    <row r="651" spans="32:33" x14ac:dyDescent="0.4">
      <c r="AF651" s="19">
        <v>20080117</v>
      </c>
      <c r="AG651" s="18">
        <v>1540.0244496</v>
      </c>
    </row>
    <row r="652" spans="32:33" x14ac:dyDescent="0.4">
      <c r="AF652" s="19">
        <v>20080118</v>
      </c>
      <c r="AG652" s="17">
        <v>1547.2526424</v>
      </c>
    </row>
    <row r="653" spans="32:33" x14ac:dyDescent="0.4">
      <c r="AF653" s="19">
        <v>20080119</v>
      </c>
      <c r="AG653" s="17">
        <v>1547.1539640000001</v>
      </c>
    </row>
    <row r="654" spans="32:33" x14ac:dyDescent="0.4">
      <c r="AF654" s="19">
        <v>20080120</v>
      </c>
      <c r="AG654" s="17">
        <v>1547.0429508</v>
      </c>
    </row>
    <row r="655" spans="32:33" x14ac:dyDescent="0.4">
      <c r="AF655" s="19">
        <v>20080121</v>
      </c>
      <c r="AG655" s="17">
        <v>1531.5627767999999</v>
      </c>
    </row>
    <row r="656" spans="32:33" x14ac:dyDescent="0.4">
      <c r="AF656" s="19">
        <v>20080122</v>
      </c>
      <c r="AG656" s="18">
        <v>1482.6306251999999</v>
      </c>
    </row>
    <row r="657" spans="32:33" x14ac:dyDescent="0.4">
      <c r="AF657" s="19">
        <v>20080123</v>
      </c>
      <c r="AG657" s="17">
        <v>1488.6993468000001</v>
      </c>
    </row>
    <row r="658" spans="32:33" x14ac:dyDescent="0.4">
      <c r="AF658" s="19">
        <v>20080124</v>
      </c>
      <c r="AG658" s="17">
        <v>1509.6685067999999</v>
      </c>
    </row>
    <row r="659" spans="32:33" x14ac:dyDescent="0.4">
      <c r="AF659" s="19">
        <v>20080125</v>
      </c>
      <c r="AG659" s="17">
        <v>1524.4949363999999</v>
      </c>
    </row>
    <row r="660" spans="32:33" x14ac:dyDescent="0.4">
      <c r="AF660" s="19">
        <v>20080126</v>
      </c>
      <c r="AG660" s="17">
        <v>1524.396258</v>
      </c>
    </row>
    <row r="661" spans="32:33" x14ac:dyDescent="0.4">
      <c r="AF661" s="19">
        <v>20080127</v>
      </c>
      <c r="AG661" s="18">
        <v>1524.2852448000001</v>
      </c>
    </row>
    <row r="662" spans="32:33" x14ac:dyDescent="0.4">
      <c r="AF662" s="19">
        <v>20080128</v>
      </c>
      <c r="AG662" s="17">
        <v>1497.5804028</v>
      </c>
    </row>
    <row r="663" spans="32:33" x14ac:dyDescent="0.4">
      <c r="AF663" s="19">
        <v>20080129</v>
      </c>
      <c r="AG663" s="17">
        <v>1506.4367892</v>
      </c>
    </row>
    <row r="664" spans="32:33" x14ac:dyDescent="0.4">
      <c r="AF664" s="19">
        <v>20080130</v>
      </c>
      <c r="AG664" s="17">
        <v>1484.3574971999999</v>
      </c>
    </row>
    <row r="665" spans="32:33" x14ac:dyDescent="0.4">
      <c r="AF665" s="19">
        <v>20080131</v>
      </c>
      <c r="AG665" s="17">
        <v>1503.9574944000001</v>
      </c>
    </row>
    <row r="666" spans="32:33" x14ac:dyDescent="0.4">
      <c r="AF666" s="19">
        <v>20080201</v>
      </c>
      <c r="AG666" s="18">
        <v>1507.2385512000001</v>
      </c>
    </row>
    <row r="667" spans="32:33" x14ac:dyDescent="0.4">
      <c r="AF667" s="19">
        <v>20080202</v>
      </c>
      <c r="AG667" s="17">
        <v>1507.127538</v>
      </c>
    </row>
    <row r="668" spans="32:33" x14ac:dyDescent="0.4">
      <c r="AF668" s="19">
        <v>20080203</v>
      </c>
      <c r="AG668" s="17">
        <v>1507.0288596</v>
      </c>
    </row>
    <row r="669" spans="32:33" x14ac:dyDescent="0.4">
      <c r="AF669" s="19">
        <v>20080204</v>
      </c>
      <c r="AG669" s="17">
        <v>1528.1460371999999</v>
      </c>
    </row>
    <row r="670" spans="32:33" x14ac:dyDescent="0.4">
      <c r="AF670" s="19">
        <v>20080205</v>
      </c>
      <c r="AG670" s="17">
        <v>1537.0147583999999</v>
      </c>
    </row>
    <row r="671" spans="32:33" x14ac:dyDescent="0.4">
      <c r="AF671" s="19">
        <v>20080206</v>
      </c>
      <c r="AG671" s="18">
        <v>1536.9037452</v>
      </c>
    </row>
    <row r="672" spans="32:33" x14ac:dyDescent="0.4">
      <c r="AF672" s="19">
        <v>20080207</v>
      </c>
      <c r="AG672" s="17">
        <v>1536.8050668000001</v>
      </c>
    </row>
    <row r="673" spans="32:33" x14ac:dyDescent="0.4">
      <c r="AF673" s="19">
        <v>20080208</v>
      </c>
      <c r="AG673" s="17">
        <v>1536.6940536</v>
      </c>
    </row>
    <row r="674" spans="32:33" x14ac:dyDescent="0.4">
      <c r="AF674" s="19">
        <v>20080209</v>
      </c>
      <c r="AG674" s="17">
        <v>1536.5830404000001</v>
      </c>
    </row>
    <row r="675" spans="32:33" x14ac:dyDescent="0.4">
      <c r="AF675" s="19">
        <v>20080210</v>
      </c>
      <c r="AG675" s="17">
        <v>1536.4720272</v>
      </c>
    </row>
    <row r="676" spans="32:33" x14ac:dyDescent="0.4">
      <c r="AF676" s="19">
        <v>20080211</v>
      </c>
      <c r="AG676" s="18">
        <v>1505.6103576</v>
      </c>
    </row>
    <row r="677" spans="32:33" x14ac:dyDescent="0.4">
      <c r="AF677" s="19">
        <v>20080212</v>
      </c>
      <c r="AG677" s="17">
        <v>1512.7892112</v>
      </c>
    </row>
    <row r="678" spans="32:33" x14ac:dyDescent="0.4">
      <c r="AF678" s="19">
        <v>20080213</v>
      </c>
      <c r="AG678" s="17">
        <v>1507.3125600000001</v>
      </c>
    </row>
    <row r="679" spans="32:33" x14ac:dyDescent="0.4">
      <c r="AF679" s="19">
        <v>20080214</v>
      </c>
      <c r="AG679" s="17">
        <v>1538.7909695999999</v>
      </c>
    </row>
    <row r="680" spans="32:33" x14ac:dyDescent="0.4">
      <c r="AF680" s="19">
        <v>20080215</v>
      </c>
      <c r="AG680" s="17">
        <v>1533.5733491999999</v>
      </c>
    </row>
    <row r="681" spans="32:33" x14ac:dyDescent="0.4">
      <c r="AF681" s="19">
        <v>20080216</v>
      </c>
      <c r="AG681" s="18">
        <v>1533.4623360000001</v>
      </c>
    </row>
    <row r="682" spans="32:33" x14ac:dyDescent="0.4">
      <c r="AF682" s="19">
        <v>20080217</v>
      </c>
      <c r="AG682" s="17">
        <v>1533.3513227999999</v>
      </c>
    </row>
    <row r="683" spans="32:33" x14ac:dyDescent="0.4">
      <c r="AF683" s="19">
        <v>20080218</v>
      </c>
      <c r="AG683" s="17">
        <v>1534.3997807999999</v>
      </c>
    </row>
    <row r="684" spans="32:33" x14ac:dyDescent="0.4">
      <c r="AF684" s="19">
        <v>20080219</v>
      </c>
      <c r="AG684" s="17">
        <v>1548.3257699999999</v>
      </c>
    </row>
    <row r="685" spans="32:33" x14ac:dyDescent="0.4">
      <c r="AF685" s="19">
        <v>20080220</v>
      </c>
      <c r="AG685" s="17">
        <v>1531.3284156</v>
      </c>
    </row>
    <row r="686" spans="32:33" x14ac:dyDescent="0.4">
      <c r="AF686" s="19">
        <v>20080221</v>
      </c>
      <c r="AG686" s="18">
        <v>1537.8165203999999</v>
      </c>
    </row>
    <row r="687" spans="32:33" x14ac:dyDescent="0.4">
      <c r="AF687" s="19">
        <v>20080222</v>
      </c>
      <c r="AG687" s="17">
        <v>1528.0473588</v>
      </c>
    </row>
    <row r="688" spans="32:33" x14ac:dyDescent="0.4">
      <c r="AF688" s="19">
        <v>20080223</v>
      </c>
      <c r="AG688" s="17">
        <v>1527.9363456000001</v>
      </c>
    </row>
    <row r="689" spans="32:33" x14ac:dyDescent="0.4">
      <c r="AF689" s="19">
        <v>20080224</v>
      </c>
      <c r="AG689" s="17">
        <v>1527.8253324</v>
      </c>
    </row>
    <row r="690" spans="32:33" x14ac:dyDescent="0.4">
      <c r="AF690" s="19">
        <v>20080225</v>
      </c>
      <c r="AG690" s="17">
        <v>1542.1213656</v>
      </c>
    </row>
    <row r="691" spans="32:33" x14ac:dyDescent="0.4">
      <c r="AF691" s="19">
        <v>20080226</v>
      </c>
      <c r="AG691" s="18">
        <v>1536.4226880000001</v>
      </c>
    </row>
    <row r="692" spans="32:33" x14ac:dyDescent="0.4">
      <c r="AF692" s="19">
        <v>20080227</v>
      </c>
      <c r="AG692" s="17">
        <v>1545.9944928</v>
      </c>
    </row>
    <row r="693" spans="32:33" x14ac:dyDescent="0.4">
      <c r="AF693" s="19">
        <v>20080228</v>
      </c>
      <c r="AG693" s="17">
        <v>1555.9980155999999</v>
      </c>
    </row>
    <row r="694" spans="32:33" x14ac:dyDescent="0.4">
      <c r="AF694" s="19">
        <v>20080229</v>
      </c>
      <c r="AG694" s="17">
        <v>1549.9909680000001</v>
      </c>
    </row>
    <row r="695" spans="32:33" x14ac:dyDescent="0.4">
      <c r="AF695" s="19">
        <v>20080301</v>
      </c>
      <c r="AG695" s="17">
        <v>1549.8799548</v>
      </c>
    </row>
    <row r="696" spans="32:33" x14ac:dyDescent="0.4">
      <c r="AF696" s="19">
        <v>20080302</v>
      </c>
      <c r="AG696" s="18">
        <v>1549.7689416000001</v>
      </c>
    </row>
    <row r="697" spans="32:33" x14ac:dyDescent="0.4">
      <c r="AF697" s="19">
        <v>20080303</v>
      </c>
      <c r="AG697" s="17">
        <v>1525.6174031999999</v>
      </c>
    </row>
    <row r="698" spans="32:33" x14ac:dyDescent="0.4">
      <c r="AF698" s="19">
        <v>20080304</v>
      </c>
      <c r="AG698" s="17">
        <v>1529.0464775999999</v>
      </c>
    </row>
    <row r="699" spans="32:33" x14ac:dyDescent="0.4">
      <c r="AF699" s="19">
        <v>20080305</v>
      </c>
      <c r="AG699" s="17">
        <v>1527.5046276</v>
      </c>
    </row>
    <row r="700" spans="32:33" x14ac:dyDescent="0.4">
      <c r="AF700" s="19">
        <v>20080306</v>
      </c>
      <c r="AG700" s="17">
        <v>1536.7310580000001</v>
      </c>
    </row>
    <row r="701" spans="32:33" x14ac:dyDescent="0.4">
      <c r="AF701" s="19">
        <v>20080307</v>
      </c>
      <c r="AG701" s="18">
        <v>1518.8209284</v>
      </c>
    </row>
    <row r="702" spans="32:33" x14ac:dyDescent="0.4">
      <c r="AF702" s="19">
        <v>20080308</v>
      </c>
      <c r="AG702" s="17">
        <v>1518.7099152000001</v>
      </c>
    </row>
    <row r="703" spans="32:33" x14ac:dyDescent="0.4">
      <c r="AF703" s="19">
        <v>20080309</v>
      </c>
      <c r="AG703" s="17">
        <v>1518.598902</v>
      </c>
    </row>
    <row r="704" spans="32:33" x14ac:dyDescent="0.4">
      <c r="AF704" s="19">
        <v>20080310</v>
      </c>
      <c r="AG704" s="17">
        <v>1497.1486848</v>
      </c>
    </row>
    <row r="705" spans="32:33" x14ac:dyDescent="0.4">
      <c r="AF705" s="19">
        <v>20080311</v>
      </c>
      <c r="AG705" s="17">
        <v>1503.7107983999999</v>
      </c>
    </row>
    <row r="706" spans="32:33" x14ac:dyDescent="0.4">
      <c r="AF706" s="19">
        <v>20080312</v>
      </c>
      <c r="AG706" s="18">
        <v>1513.8746736000001</v>
      </c>
    </row>
    <row r="707" spans="32:33" x14ac:dyDescent="0.4">
      <c r="AF707" s="19">
        <v>20080313</v>
      </c>
      <c r="AG707" s="17">
        <v>1493.6702711999999</v>
      </c>
    </row>
    <row r="708" spans="32:33" x14ac:dyDescent="0.4">
      <c r="AF708" s="19">
        <v>20080314</v>
      </c>
      <c r="AG708" s="17">
        <v>1491.8200512000001</v>
      </c>
    </row>
    <row r="709" spans="32:33" x14ac:dyDescent="0.4">
      <c r="AF709" s="19">
        <v>20080315</v>
      </c>
      <c r="AG709" s="17">
        <v>1491.709038</v>
      </c>
    </row>
    <row r="710" spans="32:33" x14ac:dyDescent="0.4">
      <c r="AF710" s="19">
        <v>20080316</v>
      </c>
      <c r="AG710" s="17">
        <v>1491.6103596</v>
      </c>
    </row>
    <row r="711" spans="32:33" x14ac:dyDescent="0.4">
      <c r="AF711" s="19">
        <v>20080317</v>
      </c>
      <c r="AG711" s="18">
        <v>1462.6112447999999</v>
      </c>
    </row>
    <row r="712" spans="32:33" x14ac:dyDescent="0.4">
      <c r="AF712" s="19">
        <v>20080318</v>
      </c>
      <c r="AG712" s="17">
        <v>1464.0174119999999</v>
      </c>
    </row>
    <row r="713" spans="32:33" x14ac:dyDescent="0.4">
      <c r="AF713" s="19">
        <v>20080319</v>
      </c>
      <c r="AG713" s="17">
        <v>1472.9478071999999</v>
      </c>
    </row>
    <row r="714" spans="32:33" x14ac:dyDescent="0.4">
      <c r="AF714" s="19">
        <v>20080320</v>
      </c>
      <c r="AG714" s="17">
        <v>1467.4588212000001</v>
      </c>
    </row>
    <row r="715" spans="32:33" x14ac:dyDescent="0.4">
      <c r="AF715" s="19">
        <v>20080321</v>
      </c>
      <c r="AG715" s="17">
        <v>1483.2843696</v>
      </c>
    </row>
    <row r="716" spans="32:33" x14ac:dyDescent="0.4">
      <c r="AF716" s="19">
        <v>20080322</v>
      </c>
      <c r="AG716" s="18">
        <v>1483.1733564000001</v>
      </c>
    </row>
    <row r="717" spans="32:33" x14ac:dyDescent="0.4">
      <c r="AF717" s="19">
        <v>20080323</v>
      </c>
      <c r="AG717" s="17">
        <v>1483.0746779999999</v>
      </c>
    </row>
    <row r="718" spans="32:33" x14ac:dyDescent="0.4">
      <c r="AF718" s="19">
        <v>20080324</v>
      </c>
      <c r="AG718" s="17">
        <v>1490.9936196000001</v>
      </c>
    </row>
    <row r="719" spans="32:33" x14ac:dyDescent="0.4">
      <c r="AF719" s="19">
        <v>20080325</v>
      </c>
      <c r="AG719" s="17">
        <v>1493.5222536000001</v>
      </c>
    </row>
    <row r="720" spans="32:33" x14ac:dyDescent="0.4">
      <c r="AF720" s="19">
        <v>20080326</v>
      </c>
      <c r="AG720" s="17">
        <v>1486.7011092</v>
      </c>
    </row>
    <row r="721" spans="32:33" x14ac:dyDescent="0.4">
      <c r="AF721" s="19">
        <v>20080327</v>
      </c>
      <c r="AG721" s="18">
        <v>1487.0094792</v>
      </c>
    </row>
    <row r="722" spans="32:33" x14ac:dyDescent="0.4">
      <c r="AF722" s="19">
        <v>20080328</v>
      </c>
      <c r="AG722" s="17">
        <v>1500.7011072</v>
      </c>
    </row>
    <row r="723" spans="32:33" x14ac:dyDescent="0.4">
      <c r="AF723" s="19">
        <v>20080329</v>
      </c>
      <c r="AG723" s="17">
        <v>1500.5900939999999</v>
      </c>
    </row>
    <row r="724" spans="32:33" x14ac:dyDescent="0.4">
      <c r="AF724" s="19">
        <v>20080330</v>
      </c>
      <c r="AG724" s="17">
        <v>1500.4790808</v>
      </c>
    </row>
    <row r="725" spans="32:33" x14ac:dyDescent="0.4">
      <c r="AF725" s="19">
        <v>20080331</v>
      </c>
      <c r="AG725" s="17">
        <v>1502.2306223999999</v>
      </c>
    </row>
    <row r="726" spans="32:33" x14ac:dyDescent="0.4">
      <c r="AF726" s="19">
        <v>20080401</v>
      </c>
      <c r="AG726" s="18">
        <v>1500.7381115999999</v>
      </c>
    </row>
    <row r="727" spans="32:33" x14ac:dyDescent="0.4">
      <c r="AF727" s="19">
        <v>20080402</v>
      </c>
      <c r="AG727" s="17">
        <v>1522.2746724000001</v>
      </c>
    </row>
    <row r="728" spans="32:33" x14ac:dyDescent="0.4">
      <c r="AF728" s="19">
        <v>20080403</v>
      </c>
      <c r="AG728" s="17">
        <v>1534.0174019999999</v>
      </c>
    </row>
    <row r="729" spans="32:33" x14ac:dyDescent="0.4">
      <c r="AF729" s="19">
        <v>20080404</v>
      </c>
      <c r="AG729" s="17">
        <v>1533.4870056</v>
      </c>
    </row>
    <row r="730" spans="32:33" x14ac:dyDescent="0.4">
      <c r="AF730" s="19">
        <v>20080405</v>
      </c>
      <c r="AG730" s="17">
        <v>1533.3759924000001</v>
      </c>
    </row>
    <row r="731" spans="32:33" x14ac:dyDescent="0.4">
      <c r="AF731" s="19">
        <v>20080406</v>
      </c>
      <c r="AG731" s="18">
        <v>1533.2773139999999</v>
      </c>
    </row>
    <row r="732" spans="32:33" x14ac:dyDescent="0.4">
      <c r="AF732" s="19">
        <v>20080407</v>
      </c>
      <c r="AG732" s="17">
        <v>1539.5433923999999</v>
      </c>
    </row>
    <row r="733" spans="32:33" x14ac:dyDescent="0.4">
      <c r="AF733" s="19">
        <v>20080408</v>
      </c>
      <c r="AG733" s="17">
        <v>1528.4297376</v>
      </c>
    </row>
    <row r="734" spans="32:33" x14ac:dyDescent="0.4">
      <c r="AF734" s="19">
        <v>20080409</v>
      </c>
      <c r="AG734" s="17">
        <v>1528.3187244000001</v>
      </c>
    </row>
    <row r="735" spans="32:33" x14ac:dyDescent="0.4">
      <c r="AF735" s="19">
        <v>20080410</v>
      </c>
      <c r="AG735" s="17">
        <v>1531.4517636</v>
      </c>
    </row>
    <row r="736" spans="32:33" x14ac:dyDescent="0.4">
      <c r="AF736" s="19">
        <v>20080411</v>
      </c>
      <c r="AG736" s="18">
        <v>1536.5337012</v>
      </c>
    </row>
    <row r="737" spans="32:33" x14ac:dyDescent="0.4">
      <c r="AF737" s="19">
        <v>20080412</v>
      </c>
      <c r="AG737" s="17">
        <v>1536.4350228000001</v>
      </c>
    </row>
    <row r="738" spans="32:33" x14ac:dyDescent="0.4">
      <c r="AF738" s="19">
        <v>20080413</v>
      </c>
      <c r="AG738" s="17">
        <v>1536.3240096</v>
      </c>
    </row>
    <row r="739" spans="32:33" x14ac:dyDescent="0.4">
      <c r="AF739" s="19">
        <v>20080414</v>
      </c>
      <c r="AG739" s="17">
        <v>1521.9786372000001</v>
      </c>
    </row>
    <row r="740" spans="32:33" x14ac:dyDescent="0.4">
      <c r="AF740" s="19">
        <v>20080415</v>
      </c>
      <c r="AG740" s="17">
        <v>1523.3724695999999</v>
      </c>
    </row>
    <row r="741" spans="32:33" x14ac:dyDescent="0.4">
      <c r="AF741" s="19">
        <v>20080416</v>
      </c>
      <c r="AG741" s="18">
        <v>1531.8464772</v>
      </c>
    </row>
    <row r="742" spans="32:33" x14ac:dyDescent="0.4">
      <c r="AF742" s="19">
        <v>20080417</v>
      </c>
      <c r="AG742" s="17">
        <v>1536.3363443999999</v>
      </c>
    </row>
    <row r="743" spans="32:33" x14ac:dyDescent="0.4">
      <c r="AF743" s="19">
        <v>20080418</v>
      </c>
      <c r="AG743" s="17">
        <v>1538.441125191828</v>
      </c>
    </row>
    <row r="744" spans="32:33" x14ac:dyDescent="0.4">
      <c r="AF744" s="19">
        <v>20080419</v>
      </c>
      <c r="AG744" s="17">
        <v>1538.3335816477199</v>
      </c>
    </row>
    <row r="745" spans="32:33" x14ac:dyDescent="0.4">
      <c r="AF745" s="19">
        <v>20080420</v>
      </c>
      <c r="AG745" s="17">
        <v>1538.2260381036119</v>
      </c>
    </row>
    <row r="746" spans="32:33" x14ac:dyDescent="0.4">
      <c r="AF746" s="19">
        <v>20080421</v>
      </c>
      <c r="AG746" s="18">
        <v>1548.3351312497639</v>
      </c>
    </row>
    <row r="747" spans="32:33" x14ac:dyDescent="0.4">
      <c r="AF747" s="19">
        <v>20080422</v>
      </c>
      <c r="AG747" s="17">
        <v>1537.780500563736</v>
      </c>
    </row>
    <row r="748" spans="32:33" x14ac:dyDescent="0.4">
      <c r="AF748" s="19">
        <v>20080423</v>
      </c>
      <c r="AG748" s="17">
        <v>1545.262458560964</v>
      </c>
    </row>
    <row r="749" spans="32:33" x14ac:dyDescent="0.4">
      <c r="AF749" s="19">
        <v>20080424</v>
      </c>
      <c r="AG749" s="17">
        <v>1547.367239352792</v>
      </c>
    </row>
    <row r="750" spans="32:33" x14ac:dyDescent="0.4">
      <c r="AF750" s="19">
        <v>20080425</v>
      </c>
      <c r="AG750" s="17">
        <v>1559.4428430197761</v>
      </c>
    </row>
    <row r="751" spans="32:33" x14ac:dyDescent="0.4">
      <c r="AF751" s="19">
        <v>20080426</v>
      </c>
      <c r="AG751" s="18">
        <v>1559.3352994756681</v>
      </c>
    </row>
    <row r="752" spans="32:33" x14ac:dyDescent="0.4">
      <c r="AF752" s="19">
        <v>20080427</v>
      </c>
      <c r="AG752" s="17">
        <v>1559.2277559315601</v>
      </c>
    </row>
    <row r="753" spans="32:33" x14ac:dyDescent="0.4">
      <c r="AF753" s="19">
        <v>20080428</v>
      </c>
      <c r="AG753" s="17">
        <v>1555.279371526452</v>
      </c>
    </row>
    <row r="754" spans="32:33" x14ac:dyDescent="0.4">
      <c r="AF754" s="19">
        <v>20080429</v>
      </c>
      <c r="AG754" s="17">
        <v>1556.585257419192</v>
      </c>
    </row>
    <row r="755" spans="32:33" x14ac:dyDescent="0.4">
      <c r="AF755" s="19">
        <v>20080430</v>
      </c>
      <c r="AG755" s="17">
        <v>1571.9793475900799</v>
      </c>
    </row>
    <row r="756" spans="32:33" x14ac:dyDescent="0.4">
      <c r="AF756" s="19">
        <v>20080501</v>
      </c>
      <c r="AG756" s="18">
        <v>1571.8718040459721</v>
      </c>
    </row>
    <row r="757" spans="32:33" x14ac:dyDescent="0.4">
      <c r="AF757" s="19">
        <v>20080502</v>
      </c>
      <c r="AG757" s="17">
        <v>1581.074458748928</v>
      </c>
    </row>
    <row r="758" spans="32:33" x14ac:dyDescent="0.4">
      <c r="AF758" s="19">
        <v>20080503</v>
      </c>
      <c r="AG758" s="17">
        <v>1580.96691520482</v>
      </c>
    </row>
    <row r="759" spans="32:33" x14ac:dyDescent="0.4">
      <c r="AF759" s="19">
        <v>20080504</v>
      </c>
      <c r="AG759" s="17">
        <v>1580.859371660712</v>
      </c>
    </row>
    <row r="760" spans="32:33" x14ac:dyDescent="0.4">
      <c r="AF760" s="19">
        <v>20080505</v>
      </c>
      <c r="AG760" s="17">
        <v>1580.751828116604</v>
      </c>
    </row>
    <row r="761" spans="32:33" x14ac:dyDescent="0.4">
      <c r="AF761" s="19">
        <v>20080506</v>
      </c>
      <c r="AG761" s="18">
        <v>1595.162663027076</v>
      </c>
    </row>
    <row r="762" spans="32:33" x14ac:dyDescent="0.4">
      <c r="AF762" s="19">
        <v>20080507</v>
      </c>
      <c r="AG762" s="17">
        <v>1589.6011254603479</v>
      </c>
    </row>
    <row r="763" spans="32:33" x14ac:dyDescent="0.4">
      <c r="AF763" s="19">
        <v>20080508</v>
      </c>
      <c r="AG763" s="17">
        <v>1591.076008350972</v>
      </c>
    </row>
    <row r="764" spans="32:33" x14ac:dyDescent="0.4">
      <c r="AF764" s="19">
        <v>20080509</v>
      </c>
      <c r="AG764" s="17">
        <v>1585.2993836960279</v>
      </c>
    </row>
    <row r="765" spans="32:33" x14ac:dyDescent="0.4">
      <c r="AF765" s="19">
        <v>20080510</v>
      </c>
      <c r="AG765" s="17">
        <v>1585.1918401519199</v>
      </c>
    </row>
    <row r="766" spans="32:33" x14ac:dyDescent="0.4">
      <c r="AF766" s="19">
        <v>20080511</v>
      </c>
      <c r="AG766" s="18">
        <v>1585.0842966078119</v>
      </c>
    </row>
    <row r="767" spans="32:33" x14ac:dyDescent="0.4">
      <c r="AF767" s="19">
        <v>20080512</v>
      </c>
      <c r="AG767" s="17">
        <v>1584.9767530637041</v>
      </c>
    </row>
    <row r="768" spans="32:33" x14ac:dyDescent="0.4">
      <c r="AF768" s="19">
        <v>20080513</v>
      </c>
      <c r="AG768" s="17">
        <v>1599.418314701064</v>
      </c>
    </row>
    <row r="769" spans="32:33" x14ac:dyDescent="0.4">
      <c r="AF769" s="19">
        <v>20080514</v>
      </c>
      <c r="AG769" s="17">
        <v>1608.912873309456</v>
      </c>
    </row>
    <row r="770" spans="32:33" x14ac:dyDescent="0.4">
      <c r="AF770" s="19">
        <v>20080515</v>
      </c>
      <c r="AG770" s="17">
        <v>1623.277618129596</v>
      </c>
    </row>
    <row r="771" spans="32:33" x14ac:dyDescent="0.4">
      <c r="AF771" s="19">
        <v>20080516</v>
      </c>
      <c r="AG771" s="18">
        <v>1629.3307833265319</v>
      </c>
    </row>
    <row r="772" spans="32:33" x14ac:dyDescent="0.4">
      <c r="AF772" s="19">
        <v>20080517</v>
      </c>
      <c r="AG772" s="17">
        <v>1629.2232397824239</v>
      </c>
    </row>
    <row r="773" spans="32:33" x14ac:dyDescent="0.4">
      <c r="AF773" s="19">
        <v>20080518</v>
      </c>
      <c r="AG773" s="17">
        <v>1629.1156962383161</v>
      </c>
    </row>
    <row r="774" spans="32:33" x14ac:dyDescent="0.4">
      <c r="AF774" s="19">
        <v>20080519</v>
      </c>
      <c r="AG774" s="17">
        <v>1625.474579102088</v>
      </c>
    </row>
    <row r="775" spans="32:33" x14ac:dyDescent="0.4">
      <c r="AF775" s="19">
        <v>20080520</v>
      </c>
      <c r="AG775" s="17">
        <v>1618.084801285524</v>
      </c>
    </row>
    <row r="776" spans="32:33" x14ac:dyDescent="0.4">
      <c r="AF776" s="19">
        <v>20080521</v>
      </c>
      <c r="AG776" s="18">
        <v>1602.721437841524</v>
      </c>
    </row>
    <row r="777" spans="32:33" x14ac:dyDescent="0.4">
      <c r="AF777" s="19">
        <v>20080522</v>
      </c>
      <c r="AG777" s="17">
        <v>1601.108284679904</v>
      </c>
    </row>
    <row r="778" spans="32:33" x14ac:dyDescent="0.4">
      <c r="AF778" s="19">
        <v>20080523</v>
      </c>
      <c r="AG778" s="17">
        <v>1600.4476600518119</v>
      </c>
    </row>
    <row r="779" spans="32:33" x14ac:dyDescent="0.4">
      <c r="AF779" s="19">
        <v>20080524</v>
      </c>
      <c r="AG779" s="17">
        <v>1600.3401165077039</v>
      </c>
    </row>
    <row r="780" spans="32:33" x14ac:dyDescent="0.4">
      <c r="AF780" s="19">
        <v>20080525</v>
      </c>
      <c r="AG780" s="17">
        <v>1600.217209600152</v>
      </c>
    </row>
    <row r="781" spans="32:33" x14ac:dyDescent="0.4">
      <c r="AF781" s="19">
        <v>20080526</v>
      </c>
      <c r="AG781" s="18">
        <v>1585.944644960676</v>
      </c>
    </row>
    <row r="782" spans="32:33" x14ac:dyDescent="0.4">
      <c r="AF782" s="19">
        <v>20080527</v>
      </c>
      <c r="AG782" s="17">
        <v>1596.3917321025961</v>
      </c>
    </row>
    <row r="783" spans="32:33" x14ac:dyDescent="0.4">
      <c r="AF783" s="19">
        <v>20080528</v>
      </c>
      <c r="AG783" s="17">
        <v>1590.0005729098921</v>
      </c>
    </row>
    <row r="784" spans="32:33" x14ac:dyDescent="0.4">
      <c r="AF784" s="19">
        <v>20080529</v>
      </c>
      <c r="AG784" s="17">
        <v>1604.979852267792</v>
      </c>
    </row>
    <row r="785" spans="32:33" x14ac:dyDescent="0.4">
      <c r="AF785" s="19">
        <v>20080530</v>
      </c>
      <c r="AG785" s="17">
        <v>1617.977257741416</v>
      </c>
    </row>
    <row r="786" spans="32:33" x14ac:dyDescent="0.4">
      <c r="AF786" s="19">
        <v>20080531</v>
      </c>
      <c r="AG786" s="18">
        <v>1617.8543508338639</v>
      </c>
    </row>
    <row r="787" spans="32:33" x14ac:dyDescent="0.4">
      <c r="AF787" s="19">
        <v>20080601</v>
      </c>
      <c r="AG787" s="17">
        <v>1617.7468072897559</v>
      </c>
    </row>
    <row r="788" spans="32:33" x14ac:dyDescent="0.4">
      <c r="AF788" s="19">
        <v>20080602</v>
      </c>
      <c r="AG788" s="17">
        <v>1613.2299784372201</v>
      </c>
    </row>
    <row r="789" spans="32:33" x14ac:dyDescent="0.4">
      <c r="AF789" s="19">
        <v>20080603</v>
      </c>
      <c r="AG789" s="17">
        <v>1601.7535459445519</v>
      </c>
    </row>
    <row r="790" spans="32:33" x14ac:dyDescent="0.4">
      <c r="AF790" s="19">
        <v>20080604</v>
      </c>
      <c r="AG790" s="17">
        <v>1612.953437895228</v>
      </c>
    </row>
    <row r="791" spans="32:33" x14ac:dyDescent="0.4">
      <c r="AF791" s="19">
        <v>20080605</v>
      </c>
      <c r="AG791" s="18">
        <v>1611.4017381873839</v>
      </c>
    </row>
    <row r="792" spans="32:33" x14ac:dyDescent="0.4">
      <c r="AF792" s="19">
        <v>20080606</v>
      </c>
      <c r="AG792" s="17">
        <v>1611.2941946432759</v>
      </c>
    </row>
    <row r="793" spans="32:33" x14ac:dyDescent="0.4">
      <c r="AF793" s="19">
        <v>20080607</v>
      </c>
      <c r="AG793" s="17">
        <v>1611.1866510991681</v>
      </c>
    </row>
    <row r="794" spans="32:33" x14ac:dyDescent="0.4">
      <c r="AF794" s="19">
        <v>20080608</v>
      </c>
      <c r="AG794" s="17">
        <v>1611.063744191616</v>
      </c>
    </row>
    <row r="795" spans="32:33" x14ac:dyDescent="0.4">
      <c r="AF795" s="19">
        <v>20080609</v>
      </c>
      <c r="AG795" s="17">
        <v>1593.964320678444</v>
      </c>
    </row>
    <row r="796" spans="32:33" x14ac:dyDescent="0.4">
      <c r="AF796" s="19">
        <v>20080610</v>
      </c>
      <c r="AG796" s="18">
        <v>1571.625990230868</v>
      </c>
    </row>
    <row r="797" spans="32:33" x14ac:dyDescent="0.4">
      <c r="AF797" s="19">
        <v>20080611</v>
      </c>
      <c r="AG797" s="17">
        <v>1577.5255217933641</v>
      </c>
    </row>
    <row r="798" spans="32:33" x14ac:dyDescent="0.4">
      <c r="AF798" s="19">
        <v>20080612</v>
      </c>
      <c r="AG798" s="17">
        <v>1559.9191072865401</v>
      </c>
    </row>
    <row r="799" spans="32:33" x14ac:dyDescent="0.4">
      <c r="AF799" s="19">
        <v>20080613</v>
      </c>
      <c r="AG799" s="17">
        <v>1566.2180862985799</v>
      </c>
    </row>
    <row r="800" spans="32:33" x14ac:dyDescent="0.4">
      <c r="AF800" s="19">
        <v>20080614</v>
      </c>
      <c r="AG800" s="17">
        <v>1566.1105427544719</v>
      </c>
    </row>
    <row r="801" spans="32:33" x14ac:dyDescent="0.4">
      <c r="AF801" s="19">
        <v>20080615</v>
      </c>
      <c r="AG801" s="18">
        <v>1566.0029992103639</v>
      </c>
    </row>
    <row r="802" spans="32:33" x14ac:dyDescent="0.4">
      <c r="AF802" s="19">
        <v>20080616</v>
      </c>
      <c r="AG802" s="17">
        <v>1574.2377620163479</v>
      </c>
    </row>
    <row r="803" spans="32:33" x14ac:dyDescent="0.4">
      <c r="AF803" s="19">
        <v>20080617</v>
      </c>
      <c r="AG803" s="17">
        <v>1567.8312394602001</v>
      </c>
    </row>
    <row r="804" spans="32:33" x14ac:dyDescent="0.4">
      <c r="AF804" s="19">
        <v>20080618</v>
      </c>
      <c r="AG804" s="17">
        <v>1573.730771022696</v>
      </c>
    </row>
    <row r="805" spans="32:33" x14ac:dyDescent="0.4">
      <c r="AF805" s="19">
        <v>20080619</v>
      </c>
      <c r="AG805" s="17">
        <v>1556.53916732886</v>
      </c>
    </row>
    <row r="806" spans="32:33" x14ac:dyDescent="0.4">
      <c r="AF806" s="19">
        <v>20080620</v>
      </c>
      <c r="AG806" s="18">
        <v>1556.861797961184</v>
      </c>
    </row>
    <row r="807" spans="32:33" x14ac:dyDescent="0.4">
      <c r="AF807" s="19">
        <v>20080621</v>
      </c>
      <c r="AG807" s="17">
        <v>1556.754254417076</v>
      </c>
    </row>
    <row r="808" spans="32:33" x14ac:dyDescent="0.4">
      <c r="AF808" s="19">
        <v>20080622</v>
      </c>
      <c r="AG808" s="17">
        <v>1556.646710872968</v>
      </c>
    </row>
    <row r="809" spans="32:33" x14ac:dyDescent="0.4">
      <c r="AF809" s="19">
        <v>20080623</v>
      </c>
      <c r="AG809" s="17">
        <v>1549.610290415616</v>
      </c>
    </row>
    <row r="810" spans="32:33" x14ac:dyDescent="0.4">
      <c r="AF810" s="19">
        <v>20080624</v>
      </c>
      <c r="AG810" s="17">
        <v>1543.2959480401321</v>
      </c>
    </row>
    <row r="811" spans="32:33" x14ac:dyDescent="0.4">
      <c r="AF811" s="19">
        <v>20080625</v>
      </c>
      <c r="AG811" s="18">
        <v>1544.7247408404239</v>
      </c>
    </row>
    <row r="812" spans="32:33" x14ac:dyDescent="0.4">
      <c r="AF812" s="19">
        <v>20080626</v>
      </c>
      <c r="AG812" s="17">
        <v>1543.2037678594679</v>
      </c>
    </row>
    <row r="813" spans="32:33" x14ac:dyDescent="0.4">
      <c r="AF813" s="19">
        <v>20080627</v>
      </c>
      <c r="AG813" s="17">
        <v>1530.744080106384</v>
      </c>
    </row>
    <row r="814" spans="32:33" x14ac:dyDescent="0.4">
      <c r="AF814" s="19">
        <v>20080628</v>
      </c>
      <c r="AG814" s="17">
        <v>1530.636536562276</v>
      </c>
    </row>
    <row r="815" spans="32:33" x14ac:dyDescent="0.4">
      <c r="AF815" s="19">
        <v>20080629</v>
      </c>
      <c r="AG815" s="17">
        <v>1530.528993018168</v>
      </c>
    </row>
    <row r="816" spans="32:33" x14ac:dyDescent="0.4">
      <c r="AF816" s="19">
        <v>20080630</v>
      </c>
      <c r="AG816" s="18">
        <v>1523.415755743596</v>
      </c>
    </row>
    <row r="817" spans="32:33" x14ac:dyDescent="0.4">
      <c r="AF817" s="19">
        <v>20080701</v>
      </c>
      <c r="AG817" s="17">
        <v>1512.876488421012</v>
      </c>
    </row>
    <row r="818" spans="32:33" x14ac:dyDescent="0.4">
      <c r="AF818" s="19">
        <v>20080702</v>
      </c>
      <c r="AG818" s="17">
        <v>1478.892728482884</v>
      </c>
    </row>
    <row r="819" spans="32:33" x14ac:dyDescent="0.4">
      <c r="AF819" s="19">
        <v>20080703</v>
      </c>
      <c r="AG819" s="17">
        <v>1466.110410097476</v>
      </c>
    </row>
    <row r="820" spans="32:33" x14ac:dyDescent="0.4">
      <c r="AF820" s="19">
        <v>20080704</v>
      </c>
      <c r="AG820" s="17">
        <v>1450.6087763824801</v>
      </c>
    </row>
    <row r="821" spans="32:33" x14ac:dyDescent="0.4">
      <c r="AF821" s="19">
        <v>20080705</v>
      </c>
      <c r="AG821" s="18">
        <v>1450.5165962018159</v>
      </c>
    </row>
    <row r="822" spans="32:33" x14ac:dyDescent="0.4">
      <c r="AF822" s="19">
        <v>20080706</v>
      </c>
      <c r="AG822" s="17">
        <v>1450.4090526577079</v>
      </c>
    </row>
    <row r="823" spans="32:33" x14ac:dyDescent="0.4">
      <c r="AF823" s="19">
        <v>20080707</v>
      </c>
      <c r="AG823" s="17">
        <v>1447.4285601495719</v>
      </c>
    </row>
    <row r="824" spans="32:33" x14ac:dyDescent="0.4">
      <c r="AF824" s="19">
        <v>20080708</v>
      </c>
      <c r="AG824" s="17">
        <v>1415.5956710936041</v>
      </c>
    </row>
    <row r="825" spans="32:33" x14ac:dyDescent="0.4">
      <c r="AF825" s="19">
        <v>20080709</v>
      </c>
      <c r="AG825" s="17">
        <v>1410.0034067999879</v>
      </c>
    </row>
    <row r="826" spans="32:33" x14ac:dyDescent="0.4">
      <c r="AF826" s="19">
        <v>20080710</v>
      </c>
      <c r="AG826" s="18">
        <v>1425.8891246010839</v>
      </c>
    </row>
    <row r="827" spans="32:33" x14ac:dyDescent="0.4">
      <c r="AF827" s="19">
        <v>20080711</v>
      </c>
      <c r="AG827" s="17">
        <v>1442.512283847492</v>
      </c>
    </row>
    <row r="828" spans="32:33" x14ac:dyDescent="0.4">
      <c r="AF828" s="19">
        <v>20080712</v>
      </c>
      <c r="AG828" s="17">
        <v>1442.404740303384</v>
      </c>
    </row>
    <row r="829" spans="32:33" x14ac:dyDescent="0.4">
      <c r="AF829" s="19">
        <v>20080713</v>
      </c>
      <c r="AG829" s="17">
        <v>1442.2971967592759</v>
      </c>
    </row>
    <row r="830" spans="32:33" x14ac:dyDescent="0.4">
      <c r="AF830" s="19">
        <v>20080714</v>
      </c>
      <c r="AG830" s="17">
        <v>1435.491226753584</v>
      </c>
    </row>
    <row r="831" spans="32:33" x14ac:dyDescent="0.4">
      <c r="AF831" s="19">
        <v>20080715</v>
      </c>
      <c r="AG831" s="18">
        <v>1403.412523882512</v>
      </c>
    </row>
    <row r="832" spans="32:33" x14ac:dyDescent="0.4">
      <c r="AF832" s="19">
        <v>20080716</v>
      </c>
      <c r="AG832" s="17">
        <v>1398.37334067288</v>
      </c>
    </row>
    <row r="833" spans="32:33" x14ac:dyDescent="0.4">
      <c r="AF833" s="19">
        <v>20080717</v>
      </c>
      <c r="AG833" s="17">
        <v>1404.3343256891519</v>
      </c>
    </row>
    <row r="834" spans="32:33" x14ac:dyDescent="0.4">
      <c r="AF834" s="19">
        <v>20080718</v>
      </c>
      <c r="AG834" s="17">
        <v>1393.8565118203439</v>
      </c>
    </row>
    <row r="835" spans="32:33" x14ac:dyDescent="0.4">
      <c r="AF835" s="19">
        <v>20080719</v>
      </c>
      <c r="AG835" s="17">
        <v>1393.76433163968</v>
      </c>
    </row>
    <row r="836" spans="32:33" x14ac:dyDescent="0.4">
      <c r="AF836" s="19">
        <v>20080720</v>
      </c>
      <c r="AG836" s="18">
        <v>1393.656788095572</v>
      </c>
    </row>
    <row r="837" spans="32:33" x14ac:dyDescent="0.4">
      <c r="AF837" s="19">
        <v>20080721</v>
      </c>
      <c r="AG837" s="17">
        <v>1423.4156230865999</v>
      </c>
    </row>
    <row r="838" spans="32:33" x14ac:dyDescent="0.4">
      <c r="AF838" s="19">
        <v>20080722</v>
      </c>
      <c r="AG838" s="17">
        <v>1420.281496944024</v>
      </c>
    </row>
    <row r="839" spans="32:33" x14ac:dyDescent="0.4">
      <c r="AF839" s="19">
        <v>20080723</v>
      </c>
      <c r="AG839" s="17">
        <v>1440.8684039589839</v>
      </c>
    </row>
    <row r="840" spans="32:33" x14ac:dyDescent="0.4">
      <c r="AF840" s="19">
        <v>20080724</v>
      </c>
      <c r="AG840" s="17">
        <v>1457.4301097516161</v>
      </c>
    </row>
    <row r="841" spans="32:33" x14ac:dyDescent="0.4">
      <c r="AF841" s="19">
        <v>20080725</v>
      </c>
      <c r="AG841" s="18">
        <v>1444.4787943683241</v>
      </c>
    </row>
    <row r="842" spans="32:33" x14ac:dyDescent="0.4">
      <c r="AF842" s="19">
        <v>20080726</v>
      </c>
      <c r="AG842" s="17">
        <v>1444.3866141876599</v>
      </c>
    </row>
    <row r="843" spans="32:33" x14ac:dyDescent="0.4">
      <c r="AF843" s="19">
        <v>20080727</v>
      </c>
      <c r="AG843" s="17">
        <v>1444.2790706435519</v>
      </c>
    </row>
    <row r="844" spans="32:33" x14ac:dyDescent="0.4">
      <c r="AF844" s="19">
        <v>20080728</v>
      </c>
      <c r="AG844" s="17">
        <v>1446.0765841665</v>
      </c>
    </row>
    <row r="845" spans="32:33" x14ac:dyDescent="0.4">
      <c r="AF845" s="19">
        <v>20080729</v>
      </c>
      <c r="AG845" s="17">
        <v>1420.665581030124</v>
      </c>
    </row>
    <row r="846" spans="32:33" x14ac:dyDescent="0.4">
      <c r="AF846" s="19">
        <v>20080730</v>
      </c>
      <c r="AG846" s="18">
        <v>1430.6978573590559</v>
      </c>
    </row>
    <row r="847" spans="32:33" x14ac:dyDescent="0.4">
      <c r="AF847" s="19">
        <v>20080731</v>
      </c>
      <c r="AG847" s="17">
        <v>1442.251106668944</v>
      </c>
    </row>
    <row r="848" spans="32:33" x14ac:dyDescent="0.4">
      <c r="AF848" s="19">
        <v>20080801</v>
      </c>
      <c r="AG848" s="17">
        <v>1430.7593108128319</v>
      </c>
    </row>
    <row r="849" spans="32:33" x14ac:dyDescent="0.4">
      <c r="AF849" s="19">
        <v>20080802</v>
      </c>
      <c r="AG849" s="17">
        <v>1430.6517672687239</v>
      </c>
    </row>
    <row r="850" spans="32:33" x14ac:dyDescent="0.4">
      <c r="AF850" s="19">
        <v>20080803</v>
      </c>
      <c r="AG850" s="17">
        <v>1430.55958708806</v>
      </c>
    </row>
    <row r="851" spans="32:33" x14ac:dyDescent="0.4">
      <c r="AF851" s="19">
        <v>20080804</v>
      </c>
      <c r="AG851" s="18">
        <v>1417.0551906207841</v>
      </c>
    </row>
    <row r="852" spans="32:33" x14ac:dyDescent="0.4">
      <c r="AF852" s="19">
        <v>20080805</v>
      </c>
      <c r="AG852" s="17">
        <v>1415.150133553728</v>
      </c>
    </row>
    <row r="853" spans="32:33" x14ac:dyDescent="0.4">
      <c r="AF853" s="19">
        <v>20080806</v>
      </c>
      <c r="AG853" s="17">
        <v>1438.947983528484</v>
      </c>
    </row>
    <row r="854" spans="32:33" x14ac:dyDescent="0.4">
      <c r="AF854" s="19">
        <v>20080807</v>
      </c>
      <c r="AG854" s="17">
        <v>1430.452043543952</v>
      </c>
    </row>
    <row r="855" spans="32:33" x14ac:dyDescent="0.4">
      <c r="AF855" s="19">
        <v>20080808</v>
      </c>
      <c r="AG855" s="17">
        <v>1433.7858934113001</v>
      </c>
    </row>
    <row r="856" spans="32:33" x14ac:dyDescent="0.4">
      <c r="AF856" s="19">
        <v>20080809</v>
      </c>
      <c r="AG856" s="18">
        <v>1433.6783498671921</v>
      </c>
    </row>
    <row r="857" spans="32:33" x14ac:dyDescent="0.4">
      <c r="AF857" s="19">
        <v>20080810</v>
      </c>
      <c r="AG857" s="17">
        <v>1433.5861696865279</v>
      </c>
    </row>
    <row r="858" spans="32:33" x14ac:dyDescent="0.4">
      <c r="AF858" s="19">
        <v>20080811</v>
      </c>
      <c r="AG858" s="17">
        <v>1440.2845961481121</v>
      </c>
    </row>
    <row r="859" spans="32:33" x14ac:dyDescent="0.4">
      <c r="AF859" s="19">
        <v>20080812</v>
      </c>
      <c r="AG859" s="17">
        <v>1436.4130285602239</v>
      </c>
    </row>
    <row r="860" spans="32:33" x14ac:dyDescent="0.4">
      <c r="AF860" s="19">
        <v>20080813</v>
      </c>
      <c r="AG860" s="17">
        <v>1429.683875371752</v>
      </c>
    </row>
    <row r="861" spans="32:33" x14ac:dyDescent="0.4">
      <c r="AF861" s="19">
        <v>20080814</v>
      </c>
      <c r="AG861" s="18">
        <v>1434.185340860844</v>
      </c>
    </row>
    <row r="862" spans="32:33" x14ac:dyDescent="0.4">
      <c r="AF862" s="19">
        <v>20080815</v>
      </c>
      <c r="AG862" s="17">
        <v>1434.0931606801801</v>
      </c>
    </row>
    <row r="863" spans="32:33" x14ac:dyDescent="0.4">
      <c r="AF863" s="19">
        <v>20080816</v>
      </c>
      <c r="AG863" s="17">
        <v>1434.0009804995159</v>
      </c>
    </row>
    <row r="864" spans="32:33" x14ac:dyDescent="0.4">
      <c r="AF864" s="19">
        <v>20080817</v>
      </c>
      <c r="AG864" s="17">
        <v>1433.8934369554081</v>
      </c>
    </row>
    <row r="865" spans="32:33" x14ac:dyDescent="0.4">
      <c r="AF865" s="19">
        <v>20080818</v>
      </c>
      <c r="AG865" s="17">
        <v>1423.277352815604</v>
      </c>
    </row>
    <row r="866" spans="32:33" x14ac:dyDescent="0.4">
      <c r="AF866" s="19">
        <v>20080819</v>
      </c>
      <c r="AG866" s="18">
        <v>1407.913989371604</v>
      </c>
    </row>
    <row r="867" spans="32:33" x14ac:dyDescent="0.4">
      <c r="AF867" s="19">
        <v>20080820</v>
      </c>
      <c r="AG867" s="17">
        <v>1405.763118489444</v>
      </c>
    </row>
    <row r="868" spans="32:33" x14ac:dyDescent="0.4">
      <c r="AF868" s="19">
        <v>20080821</v>
      </c>
      <c r="AG868" s="17">
        <v>1393.564607914908</v>
      </c>
    </row>
    <row r="869" spans="32:33" x14ac:dyDescent="0.4">
      <c r="AF869" s="19">
        <v>20080822</v>
      </c>
      <c r="AG869" s="17">
        <v>1382.7795267772201</v>
      </c>
    </row>
    <row r="870" spans="32:33" x14ac:dyDescent="0.4">
      <c r="AF870" s="19">
        <v>20080823</v>
      </c>
      <c r="AG870" s="17">
        <v>1382.6873465965559</v>
      </c>
    </row>
    <row r="871" spans="32:33" x14ac:dyDescent="0.4">
      <c r="AF871" s="19">
        <v>20080824</v>
      </c>
      <c r="AG871" s="18">
        <v>1382.595166415892</v>
      </c>
    </row>
    <row r="872" spans="32:33" x14ac:dyDescent="0.4">
      <c r="AF872" s="19">
        <v>20080825</v>
      </c>
      <c r="AG872" s="17">
        <v>1380.982013254272</v>
      </c>
    </row>
    <row r="873" spans="32:33" x14ac:dyDescent="0.4">
      <c r="AF873" s="19">
        <v>20080826</v>
      </c>
      <c r="AG873" s="17">
        <v>1375.0363916014439</v>
      </c>
    </row>
    <row r="874" spans="32:33" x14ac:dyDescent="0.4">
      <c r="AF874" s="19">
        <v>20080827</v>
      </c>
      <c r="AG874" s="17">
        <v>1377.924703928916</v>
      </c>
    </row>
    <row r="875" spans="32:33" x14ac:dyDescent="0.4">
      <c r="AF875" s="19">
        <v>20080828</v>
      </c>
      <c r="AG875" s="17">
        <v>1366.8938089761241</v>
      </c>
    </row>
    <row r="876" spans="32:33" x14ac:dyDescent="0.4">
      <c r="AF876" s="19">
        <v>20080829</v>
      </c>
      <c r="AG876" s="18">
        <v>1378.6006919204519</v>
      </c>
    </row>
    <row r="877" spans="32:33" x14ac:dyDescent="0.4">
      <c r="AF877" s="19">
        <v>20080830</v>
      </c>
      <c r="AG877" s="17">
        <v>1378.508511739788</v>
      </c>
    </row>
    <row r="878" spans="32:33" x14ac:dyDescent="0.4">
      <c r="AF878" s="19">
        <v>20080831</v>
      </c>
      <c r="AG878" s="17">
        <v>1378.416331559124</v>
      </c>
    </row>
    <row r="879" spans="32:33" x14ac:dyDescent="0.4">
      <c r="AF879" s="19">
        <v>20080901</v>
      </c>
      <c r="AG879" s="17">
        <v>1332.7717787669999</v>
      </c>
    </row>
    <row r="880" spans="32:33" x14ac:dyDescent="0.4">
      <c r="AF880" s="19">
        <v>20080902</v>
      </c>
      <c r="AG880" s="17">
        <v>1307.053508361744</v>
      </c>
    </row>
    <row r="881" spans="32:33" x14ac:dyDescent="0.4">
      <c r="AF881" s="19">
        <v>20080903</v>
      </c>
      <c r="AG881" s="18">
        <v>1314.7812801740761</v>
      </c>
    </row>
    <row r="882" spans="32:33" x14ac:dyDescent="0.4">
      <c r="AF882" s="19">
        <v>20080904</v>
      </c>
      <c r="AG882" s="17">
        <v>1318.376307219972</v>
      </c>
    </row>
    <row r="883" spans="32:33" x14ac:dyDescent="0.4">
      <c r="AF883" s="19">
        <v>20080905</v>
      </c>
      <c r="AG883" s="17">
        <v>1310.4488116828679</v>
      </c>
    </row>
    <row r="884" spans="32:33" x14ac:dyDescent="0.4">
      <c r="AF884" s="19">
        <v>20080906</v>
      </c>
      <c r="AG884" s="17">
        <v>1310.371994865648</v>
      </c>
    </row>
    <row r="885" spans="32:33" x14ac:dyDescent="0.4">
      <c r="AF885" s="19">
        <v>20080907</v>
      </c>
      <c r="AG885" s="17">
        <v>1310.2798146849841</v>
      </c>
    </row>
    <row r="886" spans="32:33" x14ac:dyDescent="0.4">
      <c r="AF886" s="19">
        <v>20080908</v>
      </c>
      <c r="AG886" s="18">
        <v>1341.498169203192</v>
      </c>
    </row>
    <row r="887" spans="32:33" x14ac:dyDescent="0.4">
      <c r="AF887" s="19">
        <v>20080909</v>
      </c>
      <c r="AG887" s="17">
        <v>1327.3177847443801</v>
      </c>
    </row>
    <row r="888" spans="32:33" x14ac:dyDescent="0.4">
      <c r="AF888" s="19">
        <v>20080910</v>
      </c>
      <c r="AG888" s="17">
        <v>1335.475730733144</v>
      </c>
    </row>
    <row r="889" spans="32:33" x14ac:dyDescent="0.4">
      <c r="AF889" s="19">
        <v>20080911</v>
      </c>
      <c r="AG889" s="17">
        <v>1327.5328718325959</v>
      </c>
    </row>
    <row r="890" spans="32:33" x14ac:dyDescent="0.4">
      <c r="AF890" s="19">
        <v>20080912</v>
      </c>
      <c r="AG890" s="17">
        <v>1350.2706497297161</v>
      </c>
    </row>
    <row r="891" spans="32:33" x14ac:dyDescent="0.4">
      <c r="AF891" s="19">
        <v>20080913</v>
      </c>
      <c r="AG891" s="18">
        <v>1350.1784695490519</v>
      </c>
    </row>
    <row r="892" spans="32:33" x14ac:dyDescent="0.4">
      <c r="AF892" s="19">
        <v>20080914</v>
      </c>
      <c r="AG892" s="17">
        <v>1350.086289368388</v>
      </c>
    </row>
    <row r="893" spans="32:33" x14ac:dyDescent="0.4">
      <c r="AF893" s="19">
        <v>20080915</v>
      </c>
      <c r="AG893" s="17">
        <v>1349.994109187724</v>
      </c>
    </row>
    <row r="894" spans="32:33" x14ac:dyDescent="0.4">
      <c r="AF894" s="19">
        <v>20080916</v>
      </c>
      <c r="AG894" s="17">
        <v>1282.9637544815521</v>
      </c>
    </row>
    <row r="895" spans="32:33" x14ac:dyDescent="0.4">
      <c r="AF895" s="19">
        <v>20080917</v>
      </c>
      <c r="AG895" s="17">
        <v>1305.0409077505799</v>
      </c>
    </row>
    <row r="896" spans="32:33" x14ac:dyDescent="0.4">
      <c r="AF896" s="19">
        <v>20080918</v>
      </c>
      <c r="AG896" s="18">
        <v>1266.4481387792521</v>
      </c>
    </row>
    <row r="897" spans="32:33" x14ac:dyDescent="0.4">
      <c r="AF897" s="19">
        <v>20080919</v>
      </c>
      <c r="AG897" s="17">
        <v>1291.321424195088</v>
      </c>
    </row>
    <row r="898" spans="32:33" x14ac:dyDescent="0.4">
      <c r="AF898" s="19">
        <v>20080920</v>
      </c>
      <c r="AG898" s="17">
        <v>1291.229244014424</v>
      </c>
    </row>
    <row r="899" spans="32:33" x14ac:dyDescent="0.4">
      <c r="AF899" s="19">
        <v>20080921</v>
      </c>
      <c r="AG899" s="17">
        <v>1291.1370638337601</v>
      </c>
    </row>
    <row r="900" spans="32:33" x14ac:dyDescent="0.4">
      <c r="AF900" s="19">
        <v>20080922</v>
      </c>
      <c r="AG900" s="17">
        <v>1287.2040427920961</v>
      </c>
    </row>
    <row r="901" spans="32:33" x14ac:dyDescent="0.4">
      <c r="AF901" s="19">
        <v>20080923</v>
      </c>
      <c r="AG901" s="18">
        <v>1300.984979801364</v>
      </c>
    </row>
    <row r="902" spans="32:33" x14ac:dyDescent="0.4">
      <c r="AF902" s="19">
        <v>20080924</v>
      </c>
      <c r="AG902" s="17">
        <v>1307.007418271412</v>
      </c>
    </row>
    <row r="903" spans="32:33" x14ac:dyDescent="0.4">
      <c r="AF903" s="19">
        <v>20080925</v>
      </c>
      <c r="AG903" s="17">
        <v>1308.9124753384681</v>
      </c>
    </row>
    <row r="904" spans="32:33" x14ac:dyDescent="0.4">
      <c r="AF904" s="19">
        <v>20080926</v>
      </c>
      <c r="AG904" s="17">
        <v>1295.577075869076</v>
      </c>
    </row>
    <row r="905" spans="32:33" x14ac:dyDescent="0.4">
      <c r="AF905" s="19">
        <v>20080927</v>
      </c>
      <c r="AG905" s="17">
        <v>1295.4848956884121</v>
      </c>
    </row>
    <row r="906" spans="32:33" x14ac:dyDescent="0.4">
      <c r="AF906" s="19">
        <v>20080928</v>
      </c>
      <c r="AG906" s="18">
        <v>1295.3927155077481</v>
      </c>
    </row>
    <row r="907" spans="32:33" x14ac:dyDescent="0.4">
      <c r="AF907" s="19">
        <v>20080929</v>
      </c>
      <c r="AG907" s="17">
        <v>1285.4372559960359</v>
      </c>
    </row>
    <row r="908" spans="32:33" x14ac:dyDescent="0.4">
      <c r="AF908" s="19">
        <v>20080930</v>
      </c>
      <c r="AG908" s="17">
        <v>1284.1774601936279</v>
      </c>
    </row>
    <row r="909" spans="32:33" x14ac:dyDescent="0.4">
      <c r="AF909" s="19">
        <v>20081001</v>
      </c>
      <c r="AG909" s="17">
        <v>1281.7193220425879</v>
      </c>
    </row>
    <row r="910" spans="32:33" x14ac:dyDescent="0.4">
      <c r="AF910" s="19">
        <v>20081002</v>
      </c>
      <c r="AG910" s="17">
        <v>1266.4481387792521</v>
      </c>
    </row>
    <row r="911" spans="32:33" x14ac:dyDescent="0.4">
      <c r="AF911" s="19">
        <v>20081003</v>
      </c>
      <c r="AG911" s="18">
        <v>1266.3559585985879</v>
      </c>
    </row>
    <row r="912" spans="32:33" x14ac:dyDescent="0.4">
      <c r="AF912" s="19">
        <v>20081004</v>
      </c>
      <c r="AG912" s="17">
        <v>1266.263778417924</v>
      </c>
    </row>
    <row r="913" spans="32:33" x14ac:dyDescent="0.4">
      <c r="AF913" s="19">
        <v>20081005</v>
      </c>
      <c r="AG913" s="17">
        <v>1266.1869616007041</v>
      </c>
    </row>
    <row r="914" spans="32:33" x14ac:dyDescent="0.4">
      <c r="AF914" s="19">
        <v>20081006</v>
      </c>
      <c r="AG914" s="17">
        <v>1219.7896039998241</v>
      </c>
    </row>
    <row r="915" spans="32:33" x14ac:dyDescent="0.4">
      <c r="AF915" s="19">
        <v>20081007</v>
      </c>
      <c r="AG915" s="17">
        <v>1210.0953216666601</v>
      </c>
    </row>
    <row r="916" spans="32:33" x14ac:dyDescent="0.4">
      <c r="AF916" s="19">
        <v>20081008</v>
      </c>
      <c r="AG916" s="18">
        <v>1145.016114117876</v>
      </c>
    </row>
    <row r="917" spans="32:33" x14ac:dyDescent="0.4">
      <c r="AF917" s="19">
        <v>20081009</v>
      </c>
      <c r="AG917" s="17">
        <v>1145.5231051115279</v>
      </c>
    </row>
    <row r="918" spans="32:33" x14ac:dyDescent="0.4">
      <c r="AF918" s="19">
        <v>20081010</v>
      </c>
      <c r="AG918" s="17">
        <v>1088.555753461176</v>
      </c>
    </row>
    <row r="919" spans="32:33" x14ac:dyDescent="0.4">
      <c r="AF919" s="19">
        <v>20081011</v>
      </c>
      <c r="AG919" s="17">
        <v>1088.4789366439561</v>
      </c>
    </row>
    <row r="920" spans="32:33" x14ac:dyDescent="0.4">
      <c r="AF920" s="19">
        <v>20081012</v>
      </c>
      <c r="AG920" s="17">
        <v>1088.402119826736</v>
      </c>
    </row>
    <row r="921" spans="32:33" x14ac:dyDescent="0.4">
      <c r="AF921" s="19">
        <v>20081013</v>
      </c>
      <c r="AG921" s="18">
        <v>1121.06463050868</v>
      </c>
    </row>
    <row r="922" spans="32:33" x14ac:dyDescent="0.4">
      <c r="AF922" s="19">
        <v>20081014</v>
      </c>
      <c r="AG922" s="17">
        <v>1171.902000144876</v>
      </c>
    </row>
    <row r="923" spans="32:33" x14ac:dyDescent="0.4">
      <c r="AF923" s="19">
        <v>20081015</v>
      </c>
      <c r="AG923" s="17">
        <v>1158.4744204948199</v>
      </c>
    </row>
    <row r="924" spans="32:33" x14ac:dyDescent="0.4">
      <c r="AF924" s="19">
        <v>20081016</v>
      </c>
      <c r="AG924" s="17">
        <v>1070.0736272380441</v>
      </c>
    </row>
    <row r="925" spans="32:33" x14ac:dyDescent="0.4">
      <c r="AF925" s="19">
        <v>20081017</v>
      </c>
      <c r="AG925" s="17">
        <v>1055.4630686027999</v>
      </c>
    </row>
    <row r="926" spans="32:33" x14ac:dyDescent="0.4">
      <c r="AF926" s="19">
        <v>20081018</v>
      </c>
      <c r="AG926" s="18">
        <v>1055.38625178558</v>
      </c>
    </row>
    <row r="927" spans="32:33" x14ac:dyDescent="0.4">
      <c r="AF927" s="19">
        <v>20081019</v>
      </c>
      <c r="AG927" s="17">
        <v>1055.3094349683599</v>
      </c>
    </row>
    <row r="928" spans="32:33" x14ac:dyDescent="0.4">
      <c r="AF928" s="19">
        <v>20081020</v>
      </c>
      <c r="AG928" s="17">
        <v>1064.665723305756</v>
      </c>
    </row>
    <row r="929" spans="32:33" x14ac:dyDescent="0.4">
      <c r="AF929" s="19">
        <v>20081021</v>
      </c>
      <c r="AG929" s="17">
        <v>1058.1823839323879</v>
      </c>
    </row>
    <row r="930" spans="32:33" x14ac:dyDescent="0.4">
      <c r="AF930" s="19">
        <v>20081022</v>
      </c>
      <c r="AG930" s="17">
        <v>1017.915008345664</v>
      </c>
    </row>
    <row r="931" spans="32:33" x14ac:dyDescent="0.4">
      <c r="AF931" s="19">
        <v>20081023</v>
      </c>
      <c r="AG931" s="18">
        <v>945.43065961687205</v>
      </c>
    </row>
    <row r="932" spans="32:33" x14ac:dyDescent="0.4">
      <c r="AF932" s="19">
        <v>20081024</v>
      </c>
      <c r="AG932" s="17">
        <v>857.64440089785603</v>
      </c>
    </row>
    <row r="933" spans="32:33" x14ac:dyDescent="0.4">
      <c r="AF933" s="19">
        <v>20081025</v>
      </c>
      <c r="AG933" s="17">
        <v>857.58294744407999</v>
      </c>
    </row>
    <row r="934" spans="32:33" x14ac:dyDescent="0.4">
      <c r="AF934" s="19">
        <v>20081026</v>
      </c>
      <c r="AG934" s="17">
        <v>857.52149399030395</v>
      </c>
    </row>
    <row r="935" spans="32:33" x14ac:dyDescent="0.4">
      <c r="AF935" s="19">
        <v>20081027</v>
      </c>
      <c r="AG935" s="17">
        <v>826.64113346786405</v>
      </c>
    </row>
    <row r="936" spans="32:33" x14ac:dyDescent="0.4">
      <c r="AF936" s="19">
        <v>20081028</v>
      </c>
      <c r="AG936" s="18">
        <v>861.62351202985201</v>
      </c>
    </row>
    <row r="937" spans="32:33" x14ac:dyDescent="0.4">
      <c r="AF937" s="19">
        <v>20081029</v>
      </c>
      <c r="AG937" s="17">
        <v>838.90109749617602</v>
      </c>
    </row>
    <row r="938" spans="32:33" x14ac:dyDescent="0.4">
      <c r="AF938" s="19">
        <v>20081030</v>
      </c>
      <c r="AG938" s="17">
        <v>923.10769253273997</v>
      </c>
    </row>
    <row r="939" spans="32:33" x14ac:dyDescent="0.4">
      <c r="AF939" s="19">
        <v>20081031</v>
      </c>
      <c r="AG939" s="17">
        <v>943.72532627458804</v>
      </c>
    </row>
    <row r="940" spans="32:33" x14ac:dyDescent="0.4">
      <c r="AF940" s="19">
        <v>20081101</v>
      </c>
      <c r="AG940" s="17">
        <v>943.663872820812</v>
      </c>
    </row>
    <row r="941" spans="32:33" x14ac:dyDescent="0.4">
      <c r="AF941" s="19">
        <v>20081102</v>
      </c>
      <c r="AG941" s="18">
        <v>943.58705600359201</v>
      </c>
    </row>
    <row r="942" spans="32:33" x14ac:dyDescent="0.4">
      <c r="AF942" s="19">
        <v>20081103</v>
      </c>
      <c r="AG942" s="17">
        <v>961.05520023941995</v>
      </c>
    </row>
    <row r="943" spans="32:33" x14ac:dyDescent="0.4">
      <c r="AF943" s="19">
        <v>20081104</v>
      </c>
      <c r="AG943" s="17">
        <v>986.89637755222805</v>
      </c>
    </row>
    <row r="944" spans="32:33" x14ac:dyDescent="0.4">
      <c r="AF944" s="19">
        <v>20081105</v>
      </c>
      <c r="AG944" s="17">
        <v>1011.155128430304</v>
      </c>
    </row>
    <row r="945" spans="32:33" x14ac:dyDescent="0.4">
      <c r="AF945" s="19">
        <v>20081106</v>
      </c>
      <c r="AG945" s="17">
        <v>944.49349444678796</v>
      </c>
    </row>
    <row r="946" spans="32:33" x14ac:dyDescent="0.4">
      <c r="AF946" s="19">
        <v>20081107</v>
      </c>
      <c r="AG946" s="18">
        <v>976.09593305109604</v>
      </c>
    </row>
    <row r="947" spans="32:33" x14ac:dyDescent="0.4">
      <c r="AF947" s="19">
        <v>20081108</v>
      </c>
      <c r="AG947" s="17">
        <v>976.01911623387605</v>
      </c>
    </row>
    <row r="948" spans="32:33" x14ac:dyDescent="0.4">
      <c r="AF948" s="19">
        <v>20081109</v>
      </c>
      <c r="AG948" s="17">
        <v>975.95766278010001</v>
      </c>
    </row>
    <row r="949" spans="32:33" x14ac:dyDescent="0.4">
      <c r="AF949" s="19">
        <v>20081110</v>
      </c>
      <c r="AG949" s="17">
        <v>985.09886402927998</v>
      </c>
    </row>
    <row r="950" spans="32:33" x14ac:dyDescent="0.4">
      <c r="AF950" s="19">
        <v>20081111</v>
      </c>
      <c r="AG950" s="17">
        <v>971.74810119644405</v>
      </c>
    </row>
    <row r="951" spans="32:33" x14ac:dyDescent="0.4">
      <c r="AF951" s="19">
        <v>20081112</v>
      </c>
      <c r="AG951" s="18">
        <v>964.03569274755603</v>
      </c>
    </row>
    <row r="952" spans="32:33" x14ac:dyDescent="0.4">
      <c r="AF952" s="19">
        <v>20081113</v>
      </c>
      <c r="AG952" s="17">
        <v>937.08835326678002</v>
      </c>
    </row>
    <row r="953" spans="32:33" x14ac:dyDescent="0.4">
      <c r="AF953" s="19">
        <v>20081114</v>
      </c>
      <c r="AG953" s="17">
        <v>941.34400494076795</v>
      </c>
    </row>
    <row r="954" spans="32:33" x14ac:dyDescent="0.4">
      <c r="AF954" s="19">
        <v>20081115</v>
      </c>
      <c r="AG954" s="17">
        <v>941.28255148699202</v>
      </c>
    </row>
    <row r="955" spans="32:33" x14ac:dyDescent="0.4">
      <c r="AF955" s="19">
        <v>20081116</v>
      </c>
      <c r="AG955" s="17">
        <v>941.22109803321598</v>
      </c>
    </row>
    <row r="956" spans="32:33" x14ac:dyDescent="0.4">
      <c r="AF956" s="19">
        <v>20081117</v>
      </c>
      <c r="AG956" s="18">
        <v>941.05210103533204</v>
      </c>
    </row>
    <row r="957" spans="32:33" x14ac:dyDescent="0.4">
      <c r="AF957" s="19">
        <v>20081118</v>
      </c>
      <c r="AG957" s="17">
        <v>927.33261747984</v>
      </c>
    </row>
    <row r="958" spans="32:33" x14ac:dyDescent="0.4">
      <c r="AF958" s="19">
        <v>20081119</v>
      </c>
      <c r="AG958" s="17">
        <v>912.36870148538401</v>
      </c>
    </row>
    <row r="959" spans="32:33" x14ac:dyDescent="0.4">
      <c r="AF959" s="19">
        <v>20081120</v>
      </c>
      <c r="AG959" s="17">
        <v>864.20455708844395</v>
      </c>
    </row>
    <row r="960" spans="32:33" x14ac:dyDescent="0.4">
      <c r="AF960" s="19">
        <v>20081121</v>
      </c>
      <c r="AG960" s="17">
        <v>890.64490557556803</v>
      </c>
    </row>
    <row r="961" spans="32:33" x14ac:dyDescent="0.4">
      <c r="AF961" s="19">
        <v>20081122</v>
      </c>
      <c r="AG961" s="18">
        <v>890.58345212179199</v>
      </c>
    </row>
    <row r="962" spans="32:33" x14ac:dyDescent="0.4">
      <c r="AF962" s="19">
        <v>20081123</v>
      </c>
      <c r="AG962" s="17">
        <v>890.52199866801595</v>
      </c>
    </row>
    <row r="963" spans="32:33" x14ac:dyDescent="0.4">
      <c r="AF963" s="19">
        <v>20081124</v>
      </c>
      <c r="AG963" s="17">
        <v>873.31503161073601</v>
      </c>
    </row>
    <row r="964" spans="32:33" x14ac:dyDescent="0.4">
      <c r="AF964" s="19">
        <v>20081125</v>
      </c>
      <c r="AG964" s="17">
        <v>880.10563825298402</v>
      </c>
    </row>
    <row r="965" spans="32:33" x14ac:dyDescent="0.4">
      <c r="AF965" s="19">
        <v>20081126</v>
      </c>
      <c r="AG965" s="17">
        <v>912.16897776061205</v>
      </c>
    </row>
    <row r="966" spans="32:33" x14ac:dyDescent="0.4">
      <c r="AF966" s="19">
        <v>20081127</v>
      </c>
      <c r="AG966" s="18">
        <v>931.71117606138</v>
      </c>
    </row>
    <row r="967" spans="32:33" x14ac:dyDescent="0.4">
      <c r="AF967" s="19">
        <v>20081128</v>
      </c>
      <c r="AG967" s="17">
        <v>952.19053953223204</v>
      </c>
    </row>
    <row r="968" spans="32:33" x14ac:dyDescent="0.4">
      <c r="AF968" s="19">
        <v>20081129</v>
      </c>
      <c r="AG968" s="17">
        <v>952.11372271501205</v>
      </c>
    </row>
    <row r="969" spans="32:33" x14ac:dyDescent="0.4">
      <c r="AF969" s="19">
        <v>20081130</v>
      </c>
      <c r="AG969" s="17">
        <v>952.05226926123601</v>
      </c>
    </row>
    <row r="970" spans="32:33" x14ac:dyDescent="0.4">
      <c r="AF970" s="19">
        <v>20081201</v>
      </c>
      <c r="AG970" s="17">
        <v>942.89570464861197</v>
      </c>
    </row>
    <row r="971" spans="32:33" x14ac:dyDescent="0.4">
      <c r="AF971" s="19">
        <v>20081202</v>
      </c>
      <c r="AG971" s="18">
        <v>920.388377203152</v>
      </c>
    </row>
    <row r="972" spans="32:33" x14ac:dyDescent="0.4">
      <c r="AF972" s="19">
        <v>20081203</v>
      </c>
      <c r="AG972" s="17">
        <v>925.44292377622799</v>
      </c>
    </row>
    <row r="973" spans="32:33" x14ac:dyDescent="0.4">
      <c r="AF973" s="19">
        <v>20081204</v>
      </c>
      <c r="AG973" s="17">
        <v>915.77936816995202</v>
      </c>
    </row>
    <row r="974" spans="32:33" x14ac:dyDescent="0.4">
      <c r="AF974" s="19">
        <v>20081205</v>
      </c>
      <c r="AG974" s="17">
        <v>925.30465350523195</v>
      </c>
    </row>
    <row r="975" spans="32:33" x14ac:dyDescent="0.4">
      <c r="AF975" s="19">
        <v>20081206</v>
      </c>
      <c r="AG975" s="17">
        <v>925.24320005145603</v>
      </c>
    </row>
    <row r="976" spans="32:33" x14ac:dyDescent="0.4">
      <c r="AF976" s="19">
        <v>20081207</v>
      </c>
      <c r="AG976" s="18">
        <v>925.18174659767999</v>
      </c>
    </row>
    <row r="977" spans="32:33" x14ac:dyDescent="0.4">
      <c r="AF977" s="19">
        <v>20081208</v>
      </c>
      <c r="AG977" s="17">
        <v>960.76329633398404</v>
      </c>
    </row>
    <row r="978" spans="32:33" x14ac:dyDescent="0.4">
      <c r="AF978" s="19">
        <v>20081209</v>
      </c>
      <c r="AG978" s="17">
        <v>958.76605908626402</v>
      </c>
    </row>
    <row r="979" spans="32:33" x14ac:dyDescent="0.4">
      <c r="AF979" s="19">
        <v>20081210</v>
      </c>
      <c r="AG979" s="17">
        <v>977.49399912449996</v>
      </c>
    </row>
    <row r="980" spans="32:33" x14ac:dyDescent="0.4">
      <c r="AF980" s="19">
        <v>20081211</v>
      </c>
      <c r="AG980" s="17">
        <v>982.21055170180796</v>
      </c>
    </row>
    <row r="981" spans="32:33" x14ac:dyDescent="0.4">
      <c r="AF981" s="19">
        <v>20081212</v>
      </c>
      <c r="AG981" s="18">
        <v>967.46172279556799</v>
      </c>
    </row>
    <row r="982" spans="32:33" x14ac:dyDescent="0.4">
      <c r="AF982" s="19">
        <v>20081213</v>
      </c>
      <c r="AG982" s="17">
        <v>967.40026934179195</v>
      </c>
    </row>
    <row r="983" spans="32:33" x14ac:dyDescent="0.4">
      <c r="AF983" s="19">
        <v>20081214</v>
      </c>
      <c r="AG983" s="17">
        <v>967.33881588801603</v>
      </c>
    </row>
    <row r="984" spans="32:33" x14ac:dyDescent="0.4">
      <c r="AF984" s="19">
        <v>20081215</v>
      </c>
      <c r="AG984" s="17">
        <v>997.11301424248802</v>
      </c>
    </row>
    <row r="985" spans="32:33" x14ac:dyDescent="0.4">
      <c r="AF985" s="19">
        <v>20081216</v>
      </c>
      <c r="AG985" s="17">
        <v>1004.9329662354839</v>
      </c>
    </row>
    <row r="986" spans="32:33" x14ac:dyDescent="0.4">
      <c r="AF986" s="19">
        <v>20081217</v>
      </c>
      <c r="AG986" s="18">
        <v>1007.360377659636</v>
      </c>
    </row>
    <row r="987" spans="32:33" x14ac:dyDescent="0.4">
      <c r="AF987" s="19">
        <v>20081218</v>
      </c>
      <c r="AG987" s="17">
        <v>1014.335344663212</v>
      </c>
    </row>
    <row r="988" spans="32:33" x14ac:dyDescent="0.4">
      <c r="AF988" s="19">
        <v>20081219</v>
      </c>
      <c r="AG988" s="17">
        <v>1018.2069122511</v>
      </c>
    </row>
    <row r="989" spans="32:33" x14ac:dyDescent="0.4">
      <c r="AF989" s="19">
        <v>20081220</v>
      </c>
      <c r="AG989" s="17">
        <v>1018.145458797324</v>
      </c>
    </row>
    <row r="990" spans="32:33" x14ac:dyDescent="0.4">
      <c r="AF990" s="19">
        <v>20081221</v>
      </c>
      <c r="AG990" s="17">
        <v>1018.068641980104</v>
      </c>
    </row>
    <row r="991" spans="32:33" x14ac:dyDescent="0.4">
      <c r="AF991" s="19">
        <v>20081222</v>
      </c>
      <c r="AG991" s="18">
        <v>1020.58823358492</v>
      </c>
    </row>
    <row r="992" spans="32:33" x14ac:dyDescent="0.4">
      <c r="AF992" s="19">
        <v>20081223</v>
      </c>
      <c r="AG992" s="17">
        <v>1008.6816269158199</v>
      </c>
    </row>
    <row r="993" spans="32:33" x14ac:dyDescent="0.4">
      <c r="AF993" s="19">
        <v>20081224</v>
      </c>
      <c r="AG993" s="17">
        <v>1004.825422691376</v>
      </c>
    </row>
    <row r="994" spans="32:33" x14ac:dyDescent="0.4">
      <c r="AF994" s="19">
        <v>20081225</v>
      </c>
      <c r="AG994" s="17">
        <v>1004.7639692376</v>
      </c>
    </row>
    <row r="995" spans="32:33" x14ac:dyDescent="0.4">
      <c r="AF995" s="19">
        <v>20081226</v>
      </c>
      <c r="AG995" s="17">
        <v>1004.210888153616</v>
      </c>
    </row>
    <row r="996" spans="32:33" x14ac:dyDescent="0.4">
      <c r="AF996" s="19">
        <v>20081227</v>
      </c>
      <c r="AG996" s="18">
        <v>1004.14943469984</v>
      </c>
    </row>
    <row r="997" spans="32:33" x14ac:dyDescent="0.4">
      <c r="AF997" s="19">
        <v>20081228</v>
      </c>
      <c r="AG997" s="17">
        <v>1004.087981246064</v>
      </c>
    </row>
    <row r="998" spans="32:33" x14ac:dyDescent="0.4">
      <c r="AF998" s="19">
        <v>20081229</v>
      </c>
      <c r="AG998" s="17">
        <v>1017.961098435996</v>
      </c>
    </row>
    <row r="999" spans="32:33" x14ac:dyDescent="0.4">
      <c r="AF999" s="19">
        <v>20081230</v>
      </c>
      <c r="AG999" s="17">
        <v>1038.701639085396</v>
      </c>
    </row>
    <row r="1000" spans="32:33" x14ac:dyDescent="0.4">
      <c r="AF1000" s="19">
        <v>20081231</v>
      </c>
      <c r="AG1000" s="17">
        <v>1038.6401856316199</v>
      </c>
    </row>
    <row r="1001" spans="32:33" x14ac:dyDescent="0.4">
      <c r="AF1001" s="19">
        <v>20090101</v>
      </c>
      <c r="AG1001" s="18">
        <v>1038.5787321778439</v>
      </c>
    </row>
    <row r="1002" spans="32:33" x14ac:dyDescent="0.4">
      <c r="AF1002" s="19">
        <v>20090102</v>
      </c>
      <c r="AG1002" s="17">
        <v>1042.3581195850679</v>
      </c>
    </row>
    <row r="1003" spans="32:33" x14ac:dyDescent="0.4">
      <c r="AF1003" s="19">
        <v>20090103</v>
      </c>
      <c r="AG1003" s="17">
        <v>1042.2966661312921</v>
      </c>
    </row>
    <row r="1004" spans="32:33" x14ac:dyDescent="0.4">
      <c r="AF1004" s="19">
        <v>20090104</v>
      </c>
      <c r="AG1004" s="17">
        <v>1042.219849314072</v>
      </c>
    </row>
    <row r="1005" spans="32:33" x14ac:dyDescent="0.4">
      <c r="AF1005" s="19">
        <v>20090105</v>
      </c>
      <c r="AG1005" s="17">
        <v>1044.109543017684</v>
      </c>
    </row>
    <row r="1006" spans="32:33" x14ac:dyDescent="0.4">
      <c r="AF1006" s="19">
        <v>20090106</v>
      </c>
      <c r="AG1006" s="18">
        <v>1053.327561084084</v>
      </c>
    </row>
    <row r="1007" spans="32:33" x14ac:dyDescent="0.4">
      <c r="AF1007" s="19">
        <v>20090107</v>
      </c>
      <c r="AG1007" s="17">
        <v>1064.128005585216</v>
      </c>
    </row>
    <row r="1008" spans="32:33" x14ac:dyDescent="0.4">
      <c r="AF1008" s="19">
        <v>20090108</v>
      </c>
      <c r="AG1008" s="17">
        <v>1058.059477024836</v>
      </c>
    </row>
    <row r="1009" spans="32:33" x14ac:dyDescent="0.4">
      <c r="AF1009" s="19">
        <v>20090109</v>
      </c>
      <c r="AG1009" s="17">
        <v>1055.00216769948</v>
      </c>
    </row>
    <row r="1010" spans="32:33" x14ac:dyDescent="0.4">
      <c r="AF1010" s="19">
        <v>20090110</v>
      </c>
      <c r="AG1010" s="17">
        <v>1054.9407142457039</v>
      </c>
    </row>
    <row r="1011" spans="32:33" x14ac:dyDescent="0.4">
      <c r="AF1011" s="19">
        <v>20090111</v>
      </c>
      <c r="AG1011" s="18">
        <v>1054.8792607919279</v>
      </c>
    </row>
    <row r="1012" spans="32:33" x14ac:dyDescent="0.4">
      <c r="AF1012" s="19">
        <v>20090112</v>
      </c>
      <c r="AG1012" s="17">
        <v>1043.571825297144</v>
      </c>
    </row>
    <row r="1013" spans="32:33" x14ac:dyDescent="0.4">
      <c r="AF1013" s="19">
        <v>20090113</v>
      </c>
      <c r="AG1013" s="17">
        <v>1044.3246301059</v>
      </c>
    </row>
    <row r="1014" spans="32:33" x14ac:dyDescent="0.4">
      <c r="AF1014" s="19">
        <v>20090114</v>
      </c>
      <c r="AG1014" s="17">
        <v>1055.478431966244</v>
      </c>
    </row>
    <row r="1015" spans="32:33" x14ac:dyDescent="0.4">
      <c r="AF1015" s="19">
        <v>20090115</v>
      </c>
      <c r="AG1015" s="17">
        <v>1021.909482841104</v>
      </c>
    </row>
    <row r="1016" spans="32:33" x14ac:dyDescent="0.4">
      <c r="AF1016" s="19">
        <v>20090116</v>
      </c>
      <c r="AG1016" s="18">
        <v>1039.4698072575959</v>
      </c>
    </row>
    <row r="1017" spans="32:33" x14ac:dyDescent="0.4">
      <c r="AF1017" s="19">
        <v>20090117</v>
      </c>
      <c r="AG1017" s="17">
        <v>1039.4083538038201</v>
      </c>
    </row>
    <row r="1018" spans="32:33" x14ac:dyDescent="0.4">
      <c r="AF1018" s="19">
        <v>20090118</v>
      </c>
      <c r="AG1018" s="17">
        <v>1039.3469003500441</v>
      </c>
    </row>
    <row r="1019" spans="32:33" x14ac:dyDescent="0.4">
      <c r="AF1019" s="19">
        <v>20090119</v>
      </c>
      <c r="AG1019" s="17">
        <v>1054.9868043360359</v>
      </c>
    </row>
    <row r="1020" spans="32:33" x14ac:dyDescent="0.4">
      <c r="AF1020" s="19">
        <v>20090120</v>
      </c>
      <c r="AG1020" s="17">
        <v>1046.2450505364</v>
      </c>
    </row>
    <row r="1021" spans="32:33" x14ac:dyDescent="0.4">
      <c r="AF1021" s="19">
        <v>20090121</v>
      </c>
      <c r="AG1021" s="18">
        <v>1032.57165707124</v>
      </c>
    </row>
    <row r="1022" spans="32:33" x14ac:dyDescent="0.4">
      <c r="AF1022" s="19">
        <v>20090122</v>
      </c>
      <c r="AG1022" s="17">
        <v>1046.8595850741599</v>
      </c>
    </row>
    <row r="1023" spans="32:33" x14ac:dyDescent="0.4">
      <c r="AF1023" s="19">
        <v>20090123</v>
      </c>
      <c r="AG1023" s="17">
        <v>1036.0591405730279</v>
      </c>
    </row>
    <row r="1024" spans="32:33" x14ac:dyDescent="0.4">
      <c r="AF1024" s="19">
        <v>20090124</v>
      </c>
      <c r="AG1024" s="17">
        <v>1035.9976871192521</v>
      </c>
    </row>
    <row r="1025" spans="32:33" x14ac:dyDescent="0.4">
      <c r="AF1025" s="19">
        <v>20090125</v>
      </c>
      <c r="AG1025" s="17">
        <v>1035.920870302032</v>
      </c>
    </row>
    <row r="1026" spans="32:33" x14ac:dyDescent="0.4">
      <c r="AF1026" s="19">
        <v>20090126</v>
      </c>
      <c r="AG1026" s="18">
        <v>1035.8594168482559</v>
      </c>
    </row>
    <row r="1027" spans="32:33" x14ac:dyDescent="0.4">
      <c r="AF1027" s="19">
        <v>20090127</v>
      </c>
      <c r="AG1027" s="17">
        <v>1035.7979633944799</v>
      </c>
    </row>
    <row r="1028" spans="32:33" x14ac:dyDescent="0.4">
      <c r="AF1028" s="19">
        <v>20090128</v>
      </c>
      <c r="AG1028" s="17">
        <v>1059.780173730564</v>
      </c>
    </row>
    <row r="1029" spans="32:33" x14ac:dyDescent="0.4">
      <c r="AF1029" s="19">
        <v>20090129</v>
      </c>
      <c r="AG1029" s="17">
        <v>1059.734083640232</v>
      </c>
    </row>
    <row r="1030" spans="32:33" x14ac:dyDescent="0.4">
      <c r="AF1030" s="19">
        <v>20090130</v>
      </c>
      <c r="AG1030" s="17">
        <v>1064.174095675548</v>
      </c>
    </row>
    <row r="1031" spans="32:33" x14ac:dyDescent="0.4">
      <c r="AF1031" s="19">
        <v>20090131</v>
      </c>
      <c r="AG1031" s="18">
        <v>1064.1126422217719</v>
      </c>
    </row>
    <row r="1032" spans="32:33" x14ac:dyDescent="0.4">
      <c r="AF1032" s="19">
        <v>20090201</v>
      </c>
      <c r="AG1032" s="17">
        <v>1064.035825404552</v>
      </c>
    </row>
    <row r="1033" spans="32:33" x14ac:dyDescent="0.4">
      <c r="AF1033" s="19">
        <v>20090202</v>
      </c>
      <c r="AG1033" s="17">
        <v>1057.829026573176</v>
      </c>
    </row>
    <row r="1034" spans="32:33" x14ac:dyDescent="0.4">
      <c r="AF1034" s="19">
        <v>20090203</v>
      </c>
      <c r="AG1034" s="17">
        <v>1069.643453061612</v>
      </c>
    </row>
    <row r="1035" spans="32:33" x14ac:dyDescent="0.4">
      <c r="AF1035" s="19">
        <v>20090204</v>
      </c>
      <c r="AG1035" s="17">
        <v>1084.622732419512</v>
      </c>
    </row>
    <row r="1036" spans="32:33" x14ac:dyDescent="0.4">
      <c r="AF1036" s="19">
        <v>20090205</v>
      </c>
      <c r="AG1036" s="18">
        <v>1078.0933029558121</v>
      </c>
    </row>
    <row r="1037" spans="32:33" x14ac:dyDescent="0.4">
      <c r="AF1037" s="19">
        <v>20090206</v>
      </c>
      <c r="AG1037" s="17">
        <v>1094.1941078451241</v>
      </c>
    </row>
    <row r="1038" spans="32:33" x14ac:dyDescent="0.4">
      <c r="AF1038" s="19">
        <v>20090207</v>
      </c>
      <c r="AG1038" s="17">
        <v>1094.117291027904</v>
      </c>
    </row>
    <row r="1039" spans="32:33" x14ac:dyDescent="0.4">
      <c r="AF1039" s="19">
        <v>20090208</v>
      </c>
      <c r="AG1039" s="17">
        <v>1094.055837574128</v>
      </c>
    </row>
    <row r="1040" spans="32:33" x14ac:dyDescent="0.4">
      <c r="AF1040" s="19">
        <v>20090209</v>
      </c>
      <c r="AG1040" s="17">
        <v>1091.8896033285239</v>
      </c>
    </row>
    <row r="1041" spans="32:33" x14ac:dyDescent="0.4">
      <c r="AF1041" s="19">
        <v>20090210</v>
      </c>
      <c r="AG1041" s="18">
        <v>1093.6256633976959</v>
      </c>
    </row>
    <row r="1042" spans="32:33" x14ac:dyDescent="0.4">
      <c r="AF1042" s="19">
        <v>20090211</v>
      </c>
      <c r="AG1042" s="17">
        <v>1098.726300061104</v>
      </c>
    </row>
    <row r="1043" spans="32:33" x14ac:dyDescent="0.4">
      <c r="AF1043" s="19">
        <v>20090212</v>
      </c>
      <c r="AG1043" s="17">
        <v>1096.990239991932</v>
      </c>
    </row>
    <row r="1044" spans="32:33" x14ac:dyDescent="0.4">
      <c r="AF1044" s="19">
        <v>20090213</v>
      </c>
      <c r="AG1044" s="17">
        <v>1110.6482700936481</v>
      </c>
    </row>
    <row r="1045" spans="32:33" x14ac:dyDescent="0.4">
      <c r="AF1045" s="19">
        <v>20090214</v>
      </c>
      <c r="AG1045" s="17">
        <v>1110.571453276428</v>
      </c>
    </row>
    <row r="1046" spans="32:33" x14ac:dyDescent="0.4">
      <c r="AF1046" s="19">
        <v>20090215</v>
      </c>
      <c r="AG1046" s="18">
        <v>1110.5099998226519</v>
      </c>
    </row>
    <row r="1047" spans="32:33" x14ac:dyDescent="0.4">
      <c r="AF1047" s="19">
        <v>20090216</v>
      </c>
      <c r="AG1047" s="17">
        <v>1106.85351932298</v>
      </c>
    </row>
    <row r="1048" spans="32:33" x14ac:dyDescent="0.4">
      <c r="AF1048" s="19">
        <v>20090217</v>
      </c>
      <c r="AG1048" s="17">
        <v>1073.5150206495</v>
      </c>
    </row>
    <row r="1049" spans="32:33" x14ac:dyDescent="0.4">
      <c r="AF1049" s="19">
        <v>20090218</v>
      </c>
      <c r="AG1049" s="17">
        <v>1069.3515491561759</v>
      </c>
    </row>
    <row r="1050" spans="32:33" x14ac:dyDescent="0.4">
      <c r="AF1050" s="19">
        <v>20090219</v>
      </c>
      <c r="AG1050" s="17">
        <v>1061.3318734384079</v>
      </c>
    </row>
    <row r="1051" spans="32:33" x14ac:dyDescent="0.4">
      <c r="AF1051" s="19">
        <v>20090220</v>
      </c>
      <c r="AG1051" s="18">
        <v>1033.3398252434399</v>
      </c>
    </row>
    <row r="1052" spans="32:33" x14ac:dyDescent="0.4">
      <c r="AF1052" s="19">
        <v>20090221</v>
      </c>
      <c r="AG1052" s="17">
        <v>1033.2783717896641</v>
      </c>
    </row>
    <row r="1053" spans="32:33" x14ac:dyDescent="0.4">
      <c r="AF1053" s="19">
        <v>20090222</v>
      </c>
      <c r="AG1053" s="17">
        <v>1033.201554972444</v>
      </c>
    </row>
    <row r="1054" spans="32:33" x14ac:dyDescent="0.4">
      <c r="AF1054" s="19">
        <v>20090223</v>
      </c>
      <c r="AG1054" s="17">
        <v>1049.4713568596401</v>
      </c>
    </row>
    <row r="1055" spans="32:33" x14ac:dyDescent="0.4">
      <c r="AF1055" s="19">
        <v>20090224</v>
      </c>
      <c r="AG1055" s="17">
        <v>1032.986467884228</v>
      </c>
    </row>
    <row r="1056" spans="32:33" x14ac:dyDescent="0.4">
      <c r="AF1056" s="19">
        <v>20090225</v>
      </c>
      <c r="AG1056" s="18">
        <v>1035.2141555836081</v>
      </c>
    </row>
    <row r="1057" spans="32:33" x14ac:dyDescent="0.4">
      <c r="AF1057" s="19">
        <v>20090226</v>
      </c>
      <c r="AG1057" s="17">
        <v>1032.510203617464</v>
      </c>
    </row>
    <row r="1058" spans="32:33" x14ac:dyDescent="0.4">
      <c r="AF1058" s="19">
        <v>20090227</v>
      </c>
      <c r="AG1058" s="17">
        <v>1039.746347799588</v>
      </c>
    </row>
    <row r="1059" spans="32:33" x14ac:dyDescent="0.4">
      <c r="AF1059" s="19">
        <v>20090228</v>
      </c>
      <c r="AG1059" s="17">
        <v>1039.6695309823681</v>
      </c>
    </row>
    <row r="1060" spans="32:33" x14ac:dyDescent="0.4">
      <c r="AF1060" s="19">
        <v>20090301</v>
      </c>
      <c r="AG1060" s="17">
        <v>1039.608077528592</v>
      </c>
    </row>
    <row r="1061" spans="32:33" x14ac:dyDescent="0.4">
      <c r="AF1061" s="19">
        <v>20090302</v>
      </c>
      <c r="AG1061" s="18">
        <v>1005.317050321584</v>
      </c>
    </row>
    <row r="1062" spans="32:33" x14ac:dyDescent="0.4">
      <c r="AF1062" s="19">
        <v>20090303</v>
      </c>
      <c r="AG1062" s="17">
        <v>1004.087981246064</v>
      </c>
    </row>
    <row r="1063" spans="32:33" x14ac:dyDescent="0.4">
      <c r="AF1063" s="19">
        <v>20090304</v>
      </c>
      <c r="AG1063" s="17">
        <v>1021.095224578572</v>
      </c>
    </row>
    <row r="1064" spans="32:33" x14ac:dyDescent="0.4">
      <c r="AF1064" s="19">
        <v>20090305</v>
      </c>
      <c r="AG1064" s="17">
        <v>1025.243332708452</v>
      </c>
    </row>
    <row r="1065" spans="32:33" x14ac:dyDescent="0.4">
      <c r="AF1065" s="19">
        <v>20090306</v>
      </c>
      <c r="AG1065" s="17">
        <v>1026.9793927776241</v>
      </c>
    </row>
    <row r="1066" spans="32:33" x14ac:dyDescent="0.4">
      <c r="AF1066" s="19">
        <v>20090307</v>
      </c>
      <c r="AG1066" s="18">
        <v>1026.917939323848</v>
      </c>
    </row>
    <row r="1067" spans="32:33" x14ac:dyDescent="0.4">
      <c r="AF1067" s="19">
        <v>20090308</v>
      </c>
      <c r="AG1067" s="17">
        <v>1026.8411225066279</v>
      </c>
    </row>
    <row r="1068" spans="32:33" x14ac:dyDescent="0.4">
      <c r="AF1068" s="19">
        <v>20090309</v>
      </c>
      <c r="AG1068" s="17">
        <v>1041.7589484107521</v>
      </c>
    </row>
    <row r="1069" spans="32:33" x14ac:dyDescent="0.4">
      <c r="AF1069" s="19">
        <v>20090310</v>
      </c>
      <c r="AG1069" s="17">
        <v>1049.824714218852</v>
      </c>
    </row>
    <row r="1070" spans="32:33" x14ac:dyDescent="0.4">
      <c r="AF1070" s="19">
        <v>20090311</v>
      </c>
      <c r="AG1070" s="17">
        <v>1067.123861456796</v>
      </c>
    </row>
    <row r="1071" spans="32:33" x14ac:dyDescent="0.4">
      <c r="AF1071" s="19">
        <v>20090312</v>
      </c>
      <c r="AG1071" s="18">
        <v>1068.122480080656</v>
      </c>
    </row>
    <row r="1072" spans="32:33" x14ac:dyDescent="0.4">
      <c r="AF1072" s="19">
        <v>20090313</v>
      </c>
      <c r="AG1072" s="17">
        <v>1077.7245822331561</v>
      </c>
    </row>
    <row r="1073" spans="32:33" x14ac:dyDescent="0.4">
      <c r="AF1073" s="19">
        <v>20090314</v>
      </c>
      <c r="AG1073" s="17">
        <v>1077.66312877938</v>
      </c>
    </row>
    <row r="1074" spans="32:33" x14ac:dyDescent="0.4">
      <c r="AF1074" s="19">
        <v>20090315</v>
      </c>
      <c r="AG1074" s="17">
        <v>1077.5863119621599</v>
      </c>
    </row>
    <row r="1075" spans="32:33" x14ac:dyDescent="0.4">
      <c r="AF1075" s="19">
        <v>20090316</v>
      </c>
      <c r="AG1075" s="17">
        <v>1083.2400297095519</v>
      </c>
    </row>
    <row r="1076" spans="32:33" x14ac:dyDescent="0.4">
      <c r="AF1076" s="19">
        <v>20090317</v>
      </c>
      <c r="AG1076" s="18">
        <v>1098.4497595191119</v>
      </c>
    </row>
    <row r="1077" spans="32:33" x14ac:dyDescent="0.4">
      <c r="AF1077" s="19">
        <v>20090318</v>
      </c>
      <c r="AG1077" s="17">
        <v>1104.134203993392</v>
      </c>
    </row>
    <row r="1078" spans="32:33" x14ac:dyDescent="0.4">
      <c r="AF1078" s="19">
        <v>20090319</v>
      </c>
      <c r="AG1078" s="17">
        <v>1100.8618075798199</v>
      </c>
    </row>
    <row r="1079" spans="32:33" x14ac:dyDescent="0.4">
      <c r="AF1079" s="19">
        <v>20090320</v>
      </c>
      <c r="AG1079" s="17">
        <v>1112.61478061448</v>
      </c>
    </row>
    <row r="1080" spans="32:33" x14ac:dyDescent="0.4">
      <c r="AF1080" s="19">
        <v>20090321</v>
      </c>
      <c r="AG1080" s="17">
        <v>1112.5379637972601</v>
      </c>
    </row>
    <row r="1081" spans="32:33" x14ac:dyDescent="0.4">
      <c r="AF1081" s="19">
        <v>20090322</v>
      </c>
      <c r="AG1081" s="18">
        <v>1112.4765103434841</v>
      </c>
    </row>
    <row r="1082" spans="32:33" x14ac:dyDescent="0.4">
      <c r="AF1082" s="19">
        <v>20090323</v>
      </c>
      <c r="AG1082" s="17">
        <v>1121.6638016829961</v>
      </c>
    </row>
    <row r="1083" spans="32:33" x14ac:dyDescent="0.4">
      <c r="AF1083" s="19">
        <v>20090324</v>
      </c>
      <c r="AG1083" s="17">
        <v>1132.064798734584</v>
      </c>
    </row>
    <row r="1084" spans="32:33" x14ac:dyDescent="0.4">
      <c r="AF1084" s="19">
        <v>20090325</v>
      </c>
      <c r="AG1084" s="17">
        <v>1141.4979038892</v>
      </c>
    </row>
    <row r="1085" spans="32:33" x14ac:dyDescent="0.4">
      <c r="AF1085" s="19">
        <v>20090326</v>
      </c>
      <c r="AG1085" s="17">
        <v>1154.0190450960599</v>
      </c>
    </row>
    <row r="1086" spans="32:33" x14ac:dyDescent="0.4">
      <c r="AF1086" s="19">
        <v>20090327</v>
      </c>
      <c r="AG1086" s="18">
        <v>1150.8541922265961</v>
      </c>
    </row>
    <row r="1087" spans="32:33" x14ac:dyDescent="0.4">
      <c r="AF1087" s="19">
        <v>20090328</v>
      </c>
      <c r="AG1087" s="17">
        <v>1150.777375409376</v>
      </c>
    </row>
    <row r="1088" spans="32:33" x14ac:dyDescent="0.4">
      <c r="AF1088" s="19">
        <v>20090329</v>
      </c>
      <c r="AG1088" s="17">
        <v>1150.685195228712</v>
      </c>
    </row>
    <row r="1089" spans="32:33" x14ac:dyDescent="0.4">
      <c r="AF1089" s="19">
        <v>20090330</v>
      </c>
      <c r="AG1089" s="17">
        <v>1127.4250629744961</v>
      </c>
    </row>
    <row r="1090" spans="32:33" x14ac:dyDescent="0.4">
      <c r="AF1090" s="19">
        <v>20090331</v>
      </c>
      <c r="AG1090" s="17">
        <v>1138.6095915617279</v>
      </c>
    </row>
    <row r="1091" spans="32:33" x14ac:dyDescent="0.4">
      <c r="AF1091" s="19">
        <v>20090401</v>
      </c>
      <c r="AG1091" s="18">
        <v>1159.8724865682241</v>
      </c>
    </row>
    <row r="1092" spans="32:33" x14ac:dyDescent="0.4">
      <c r="AF1092" s="19">
        <v>20090402</v>
      </c>
      <c r="AG1092" s="17">
        <v>1180.029219406752</v>
      </c>
    </row>
    <row r="1093" spans="32:33" x14ac:dyDescent="0.4">
      <c r="AF1093" s="19">
        <v>20090403</v>
      </c>
      <c r="AG1093" s="17">
        <v>1179.7987689550921</v>
      </c>
    </row>
    <row r="1094" spans="32:33" x14ac:dyDescent="0.4">
      <c r="AF1094" s="19">
        <v>20090404</v>
      </c>
      <c r="AG1094" s="17">
        <v>1179.7065887744279</v>
      </c>
    </row>
    <row r="1095" spans="32:33" x14ac:dyDescent="0.4">
      <c r="AF1095" s="19">
        <v>20090405</v>
      </c>
      <c r="AG1095" s="17">
        <v>1179.614408593764</v>
      </c>
    </row>
    <row r="1096" spans="32:33" x14ac:dyDescent="0.4">
      <c r="AF1096" s="19">
        <v>20090406</v>
      </c>
      <c r="AG1096" s="18">
        <v>1189.108967202156</v>
      </c>
    </row>
    <row r="1097" spans="32:33" x14ac:dyDescent="0.4">
      <c r="AF1097" s="19">
        <v>20090407</v>
      </c>
      <c r="AG1097" s="17">
        <v>1203.366168478188</v>
      </c>
    </row>
    <row r="1098" spans="32:33" x14ac:dyDescent="0.4">
      <c r="AF1098" s="19">
        <v>20090408</v>
      </c>
      <c r="AG1098" s="17">
        <v>1198.849339625652</v>
      </c>
    </row>
    <row r="1099" spans="32:33" x14ac:dyDescent="0.4">
      <c r="AF1099" s="19">
        <v>20090409</v>
      </c>
      <c r="AG1099" s="17">
        <v>1234.400162635068</v>
      </c>
    </row>
    <row r="1100" spans="32:33" x14ac:dyDescent="0.4">
      <c r="AF1100" s="19">
        <v>20090410</v>
      </c>
      <c r="AG1100" s="17">
        <v>1250.439514070604</v>
      </c>
    </row>
    <row r="1101" spans="32:33" x14ac:dyDescent="0.4">
      <c r="AF1101" s="19">
        <v>20090411</v>
      </c>
      <c r="AG1101" s="18">
        <v>1250.34733388994</v>
      </c>
    </row>
    <row r="1102" spans="32:33" x14ac:dyDescent="0.4">
      <c r="AF1102" s="19">
        <v>20090412</v>
      </c>
      <c r="AG1102" s="17">
        <v>1250.2551537092761</v>
      </c>
    </row>
    <row r="1103" spans="32:33" x14ac:dyDescent="0.4">
      <c r="AF1103" s="19">
        <v>20090413</v>
      </c>
      <c r="AG1103" s="17">
        <v>1262.5304811010319</v>
      </c>
    </row>
    <row r="1104" spans="32:33" x14ac:dyDescent="0.4">
      <c r="AF1104" s="19">
        <v>20090414</v>
      </c>
      <c r="AG1104" s="17">
        <v>1261.5933159309479</v>
      </c>
    </row>
    <row r="1105" spans="32:33" x14ac:dyDescent="0.4">
      <c r="AF1105" s="19">
        <v>20090415</v>
      </c>
      <c r="AG1105" s="17">
        <v>1252.1448474128881</v>
      </c>
    </row>
    <row r="1106" spans="32:33" x14ac:dyDescent="0.4">
      <c r="AF1106" s="19">
        <v>20090416</v>
      </c>
      <c r="AG1106" s="18">
        <v>1251.023321881476</v>
      </c>
    </row>
    <row r="1107" spans="32:33" x14ac:dyDescent="0.4">
      <c r="AF1107" s="19">
        <v>20090417</v>
      </c>
      <c r="AG1107" s="17">
        <v>1239.2549854833719</v>
      </c>
    </row>
    <row r="1108" spans="32:33" x14ac:dyDescent="0.4">
      <c r="AF1108" s="19">
        <v>20090418</v>
      </c>
      <c r="AG1108" s="17">
        <v>1239.162805302708</v>
      </c>
    </row>
    <row r="1109" spans="32:33" x14ac:dyDescent="0.4">
      <c r="AF1109" s="19">
        <v>20090419</v>
      </c>
      <c r="AG1109" s="17">
        <v>1239.0859884854881</v>
      </c>
    </row>
    <row r="1110" spans="32:33" x14ac:dyDescent="0.4">
      <c r="AF1110" s="19">
        <v>20090420</v>
      </c>
      <c r="AG1110" s="17">
        <v>1250.378060616828</v>
      </c>
    </row>
    <row r="1111" spans="32:33" x14ac:dyDescent="0.4">
      <c r="AF1111" s="19">
        <v>20090421</v>
      </c>
      <c r="AG1111" s="18">
        <v>1252.590384952764</v>
      </c>
    </row>
    <row r="1112" spans="32:33" x14ac:dyDescent="0.4">
      <c r="AF1112" s="19">
        <v>20090422</v>
      </c>
      <c r="AG1112" s="17">
        <v>1275.2052559423321</v>
      </c>
    </row>
    <row r="1113" spans="32:33" x14ac:dyDescent="0.4">
      <c r="AF1113" s="19">
        <v>20090423</v>
      </c>
      <c r="AG1113" s="17">
        <v>1286.2207875316799</v>
      </c>
    </row>
    <row r="1114" spans="32:33" x14ac:dyDescent="0.4">
      <c r="AF1114" s="19">
        <v>20090424</v>
      </c>
      <c r="AG1114" s="17">
        <v>1277.4790337320439</v>
      </c>
    </row>
    <row r="1115" spans="32:33" x14ac:dyDescent="0.4">
      <c r="AF1115" s="19">
        <v>20090425</v>
      </c>
      <c r="AG1115" s="17">
        <v>1277.38685355138</v>
      </c>
    </row>
    <row r="1116" spans="32:33" x14ac:dyDescent="0.4">
      <c r="AF1116" s="19">
        <v>20090426</v>
      </c>
      <c r="AG1116" s="18">
        <v>1277.2946733707161</v>
      </c>
    </row>
    <row r="1117" spans="32:33" x14ac:dyDescent="0.4">
      <c r="AF1117" s="19">
        <v>20090427</v>
      </c>
      <c r="AG1117" s="17">
        <v>1279.276547254992</v>
      </c>
    </row>
    <row r="1118" spans="32:33" x14ac:dyDescent="0.4">
      <c r="AF1118" s="19">
        <v>20090428</v>
      </c>
      <c r="AG1118" s="17">
        <v>1249.9325230769521</v>
      </c>
    </row>
    <row r="1119" spans="32:33" x14ac:dyDescent="0.4">
      <c r="AF1119" s="19">
        <v>20090429</v>
      </c>
      <c r="AG1119" s="17">
        <v>1273.868643322704</v>
      </c>
    </row>
    <row r="1120" spans="32:33" x14ac:dyDescent="0.4">
      <c r="AF1120" s="19">
        <v>20090430</v>
      </c>
      <c r="AG1120" s="17">
        <v>1297.0058686693681</v>
      </c>
    </row>
    <row r="1121" spans="32:33" x14ac:dyDescent="0.4">
      <c r="AF1121" s="19">
        <v>20090501</v>
      </c>
      <c r="AG1121" s="18">
        <v>1296.9136884887041</v>
      </c>
    </row>
    <row r="1122" spans="32:33" x14ac:dyDescent="0.4">
      <c r="AF1122" s="19">
        <v>20090502</v>
      </c>
      <c r="AG1122" s="17">
        <v>1296.8215083080399</v>
      </c>
    </row>
    <row r="1123" spans="32:33" x14ac:dyDescent="0.4">
      <c r="AF1123" s="19">
        <v>20090503</v>
      </c>
      <c r="AG1123" s="17">
        <v>1296.729328127376</v>
      </c>
    </row>
    <row r="1124" spans="32:33" x14ac:dyDescent="0.4">
      <c r="AF1124" s="19">
        <v>20090504</v>
      </c>
      <c r="AG1124" s="17">
        <v>1307.8831299877199</v>
      </c>
    </row>
    <row r="1125" spans="32:33" x14ac:dyDescent="0.4">
      <c r="AF1125" s="19">
        <v>20090505</v>
      </c>
      <c r="AG1125" s="17">
        <v>1307.790949807056</v>
      </c>
    </row>
    <row r="1126" spans="32:33" x14ac:dyDescent="0.4">
      <c r="AF1126" s="19">
        <v>20090506</v>
      </c>
      <c r="AG1126" s="18">
        <v>1298.096667473892</v>
      </c>
    </row>
    <row r="1127" spans="32:33" x14ac:dyDescent="0.4">
      <c r="AF1127" s="19">
        <v>20090507</v>
      </c>
      <c r="AG1127" s="17">
        <v>1302.552042872652</v>
      </c>
    </row>
    <row r="1128" spans="32:33" x14ac:dyDescent="0.4">
      <c r="AF1128" s="19">
        <v>20090508</v>
      </c>
      <c r="AG1128" s="17">
        <v>1310.249087958096</v>
      </c>
    </row>
    <row r="1129" spans="32:33" x14ac:dyDescent="0.4">
      <c r="AF1129" s="19">
        <v>20090509</v>
      </c>
      <c r="AG1129" s="17">
        <v>1310.156907777432</v>
      </c>
    </row>
    <row r="1130" spans="32:33" x14ac:dyDescent="0.4">
      <c r="AF1130" s="19">
        <v>20090510</v>
      </c>
      <c r="AG1130" s="17">
        <v>1310.0647275967681</v>
      </c>
    </row>
    <row r="1131" spans="32:33" x14ac:dyDescent="0.4">
      <c r="AF1131" s="19">
        <v>20090511</v>
      </c>
      <c r="AG1131" s="18">
        <v>1315.4265414387239</v>
      </c>
    </row>
    <row r="1132" spans="32:33" x14ac:dyDescent="0.4">
      <c r="AF1132" s="19">
        <v>20090512</v>
      </c>
      <c r="AG1132" s="17">
        <v>1317.3469618692241</v>
      </c>
    </row>
    <row r="1133" spans="32:33" x14ac:dyDescent="0.4">
      <c r="AF1133" s="19">
        <v>20090513</v>
      </c>
      <c r="AG1133" s="17">
        <v>1342.8808719131521</v>
      </c>
    </row>
    <row r="1134" spans="32:33" x14ac:dyDescent="0.4">
      <c r="AF1134" s="19">
        <v>20090514</v>
      </c>
      <c r="AG1134" s="17">
        <v>1334.84583283194</v>
      </c>
    </row>
    <row r="1135" spans="32:33" x14ac:dyDescent="0.4">
      <c r="AF1135" s="19">
        <v>20090515</v>
      </c>
      <c r="AG1135" s="17">
        <v>1348.5038629336559</v>
      </c>
    </row>
    <row r="1136" spans="32:33" x14ac:dyDescent="0.4">
      <c r="AF1136" s="19">
        <v>20090516</v>
      </c>
      <c r="AG1136" s="18">
        <v>1348.3963193895479</v>
      </c>
    </row>
    <row r="1137" spans="32:33" x14ac:dyDescent="0.4">
      <c r="AF1137" s="19">
        <v>20090517</v>
      </c>
      <c r="AG1137" s="17">
        <v>1348.304139208884</v>
      </c>
    </row>
    <row r="1138" spans="32:33" x14ac:dyDescent="0.4">
      <c r="AF1138" s="19">
        <v>20090518</v>
      </c>
      <c r="AG1138" s="17">
        <v>1347.5974244904601</v>
      </c>
    </row>
    <row r="1139" spans="32:33" x14ac:dyDescent="0.4">
      <c r="AF1139" s="19">
        <v>20090519</v>
      </c>
      <c r="AG1139" s="17">
        <v>1368.445508683968</v>
      </c>
    </row>
    <row r="1140" spans="32:33" x14ac:dyDescent="0.4">
      <c r="AF1140" s="19">
        <v>20090520</v>
      </c>
      <c r="AG1140" s="17">
        <v>1375.159298508996</v>
      </c>
    </row>
    <row r="1141" spans="32:33" x14ac:dyDescent="0.4">
      <c r="AF1141" s="19">
        <v>20090521</v>
      </c>
      <c r="AG1141" s="18">
        <v>1371.7332684609839</v>
      </c>
    </row>
    <row r="1142" spans="32:33" x14ac:dyDescent="0.4">
      <c r="AF1142" s="19">
        <v>20090522</v>
      </c>
      <c r="AG1142" s="17">
        <v>1375.420475687544</v>
      </c>
    </row>
    <row r="1143" spans="32:33" x14ac:dyDescent="0.4">
      <c r="AF1143" s="19">
        <v>20090523</v>
      </c>
      <c r="AG1143" s="17">
        <v>1375.312932143436</v>
      </c>
    </row>
    <row r="1144" spans="32:33" x14ac:dyDescent="0.4">
      <c r="AF1144" s="19">
        <v>20090524</v>
      </c>
      <c r="AG1144" s="17">
        <v>1375.2207519627721</v>
      </c>
    </row>
    <row r="1145" spans="32:33" x14ac:dyDescent="0.4">
      <c r="AF1145" s="19">
        <v>20090525</v>
      </c>
      <c r="AG1145" s="17">
        <v>1364.0823134658719</v>
      </c>
    </row>
    <row r="1146" spans="32:33" x14ac:dyDescent="0.4">
      <c r="AF1146" s="19">
        <v>20090526</v>
      </c>
      <c r="AG1146" s="18">
        <v>1351.2231782632441</v>
      </c>
    </row>
    <row r="1147" spans="32:33" x14ac:dyDescent="0.4">
      <c r="AF1147" s="19">
        <v>20090527</v>
      </c>
      <c r="AG1147" s="17">
        <v>1335.7522712751361</v>
      </c>
    </row>
    <row r="1148" spans="32:33" x14ac:dyDescent="0.4">
      <c r="AF1148" s="19">
        <v>20090528</v>
      </c>
      <c r="AG1148" s="17">
        <v>1346.998253316144</v>
      </c>
    </row>
    <row r="1149" spans="32:33" x14ac:dyDescent="0.4">
      <c r="AF1149" s="19">
        <v>20090529</v>
      </c>
      <c r="AG1149" s="17">
        <v>1350.777640723368</v>
      </c>
    </row>
    <row r="1150" spans="32:33" x14ac:dyDescent="0.4">
      <c r="AF1150" s="19">
        <v>20090530</v>
      </c>
      <c r="AG1150" s="17">
        <v>1350.67009717926</v>
      </c>
    </row>
    <row r="1151" spans="32:33" x14ac:dyDescent="0.4">
      <c r="AF1151" s="19">
        <v>20090531</v>
      </c>
      <c r="AG1151" s="18">
        <v>1350.577916998596</v>
      </c>
    </row>
    <row r="1152" spans="32:33" x14ac:dyDescent="0.4">
      <c r="AF1152" s="19">
        <v>20090601</v>
      </c>
      <c r="AG1152" s="17">
        <v>1368.768139316292</v>
      </c>
    </row>
    <row r="1153" spans="32:33" x14ac:dyDescent="0.4">
      <c r="AF1153" s="19">
        <v>20090602</v>
      </c>
      <c r="AG1153" s="17">
        <v>1364.03622337554</v>
      </c>
    </row>
    <row r="1154" spans="32:33" x14ac:dyDescent="0.4">
      <c r="AF1154" s="19">
        <v>20090603</v>
      </c>
      <c r="AG1154" s="17">
        <v>1365.6493765371599</v>
      </c>
    </row>
    <row r="1155" spans="32:33" x14ac:dyDescent="0.4">
      <c r="AF1155" s="19">
        <v>20090604</v>
      </c>
      <c r="AG1155" s="17">
        <v>1342.7579650056</v>
      </c>
    </row>
    <row r="1156" spans="32:33" x14ac:dyDescent="0.4">
      <c r="AF1156" s="19">
        <v>20090605</v>
      </c>
      <c r="AG1156" s="18">
        <v>1348.949400473532</v>
      </c>
    </row>
    <row r="1157" spans="32:33" x14ac:dyDescent="0.4">
      <c r="AF1157" s="19">
        <v>20090606</v>
      </c>
      <c r="AG1157" s="17">
        <v>1348.8572202928681</v>
      </c>
    </row>
    <row r="1158" spans="32:33" x14ac:dyDescent="0.4">
      <c r="AF1158" s="19">
        <v>20090607</v>
      </c>
      <c r="AG1158" s="17">
        <v>1348.7496767487601</v>
      </c>
    </row>
    <row r="1159" spans="32:33" x14ac:dyDescent="0.4">
      <c r="AF1159" s="19">
        <v>20090608</v>
      </c>
      <c r="AG1159" s="17">
        <v>1348.4577728433239</v>
      </c>
    </row>
    <row r="1160" spans="32:33" x14ac:dyDescent="0.4">
      <c r="AF1160" s="19">
        <v>20090609</v>
      </c>
      <c r="AG1160" s="17">
        <v>1332.84859558422</v>
      </c>
    </row>
    <row r="1161" spans="32:33" x14ac:dyDescent="0.4">
      <c r="AF1161" s="19">
        <v>20090610</v>
      </c>
      <c r="AG1161" s="18">
        <v>1354.019310410052</v>
      </c>
    </row>
    <row r="1162" spans="32:33" x14ac:dyDescent="0.4">
      <c r="AF1162" s="19">
        <v>20090611</v>
      </c>
      <c r="AG1162" s="17">
        <v>1353.189688784076</v>
      </c>
    </row>
    <row r="1163" spans="32:33" x14ac:dyDescent="0.4">
      <c r="AF1163" s="19">
        <v>20090612</v>
      </c>
      <c r="AG1163" s="17">
        <v>1365.6954666274919</v>
      </c>
    </row>
    <row r="1164" spans="32:33" x14ac:dyDescent="0.4">
      <c r="AF1164" s="19">
        <v>20090613</v>
      </c>
      <c r="AG1164" s="17">
        <v>1365.5879230833841</v>
      </c>
    </row>
    <row r="1165" spans="32:33" x14ac:dyDescent="0.4">
      <c r="AF1165" s="19">
        <v>20090614</v>
      </c>
      <c r="AG1165" s="17">
        <v>1365.4957429027199</v>
      </c>
    </row>
    <row r="1166" spans="32:33" x14ac:dyDescent="0.4">
      <c r="AF1166" s="19">
        <v>20090615</v>
      </c>
      <c r="AG1166" s="18">
        <v>1361.209364501844</v>
      </c>
    </row>
    <row r="1167" spans="32:33" x14ac:dyDescent="0.4">
      <c r="AF1167" s="19">
        <v>20090616</v>
      </c>
      <c r="AG1167" s="17">
        <v>1359.3503975251199</v>
      </c>
    </row>
    <row r="1168" spans="32:33" x14ac:dyDescent="0.4">
      <c r="AF1168" s="19">
        <v>20090617</v>
      </c>
      <c r="AG1168" s="17">
        <v>1356.2469981094321</v>
      </c>
    </row>
    <row r="1169" spans="32:33" x14ac:dyDescent="0.4">
      <c r="AF1169" s="19">
        <v>20090618</v>
      </c>
      <c r="AG1169" s="17">
        <v>1351.4382653514599</v>
      </c>
    </row>
    <row r="1170" spans="32:33" x14ac:dyDescent="0.4">
      <c r="AF1170" s="19">
        <v>20090619</v>
      </c>
      <c r="AG1170" s="17">
        <v>1356.4006317438721</v>
      </c>
    </row>
    <row r="1171" spans="32:33" x14ac:dyDescent="0.4">
      <c r="AF1171" s="19">
        <v>20090620</v>
      </c>
      <c r="AG1171" s="18">
        <v>1356.293088199764</v>
      </c>
    </row>
    <row r="1172" spans="32:33" x14ac:dyDescent="0.4">
      <c r="AF1172" s="19">
        <v>20090621</v>
      </c>
      <c r="AG1172" s="17">
        <v>1356.2009080191001</v>
      </c>
    </row>
    <row r="1173" spans="32:33" x14ac:dyDescent="0.4">
      <c r="AF1173" s="19">
        <v>20090622</v>
      </c>
      <c r="AG1173" s="17">
        <v>1366.6940852513519</v>
      </c>
    </row>
    <row r="1174" spans="32:33" x14ac:dyDescent="0.4">
      <c r="AF1174" s="19">
        <v>20090623</v>
      </c>
      <c r="AG1174" s="17">
        <v>1340.714637667548</v>
      </c>
    </row>
    <row r="1175" spans="32:33" x14ac:dyDescent="0.4">
      <c r="AF1175" s="19">
        <v>20090624</v>
      </c>
      <c r="AG1175" s="17">
        <v>1343.4185896336919</v>
      </c>
    </row>
    <row r="1176" spans="32:33" x14ac:dyDescent="0.4">
      <c r="AF1176" s="19">
        <v>20090625</v>
      </c>
      <c r="AG1176" s="18">
        <v>1361.7470822223841</v>
      </c>
    </row>
    <row r="1177" spans="32:33" x14ac:dyDescent="0.4">
      <c r="AF1177" s="19">
        <v>20090626</v>
      </c>
      <c r="AG1177" s="17">
        <v>1366.816992158904</v>
      </c>
    </row>
    <row r="1178" spans="32:33" x14ac:dyDescent="0.4">
      <c r="AF1178" s="19">
        <v>20090627</v>
      </c>
      <c r="AG1178" s="17">
        <v>1366.72481197824</v>
      </c>
    </row>
    <row r="1179" spans="32:33" x14ac:dyDescent="0.4">
      <c r="AF1179" s="19">
        <v>20090628</v>
      </c>
      <c r="AG1179" s="17">
        <v>1366.617268434132</v>
      </c>
    </row>
    <row r="1180" spans="32:33" x14ac:dyDescent="0.4">
      <c r="AF1180" s="19">
        <v>20090629</v>
      </c>
      <c r="AG1180" s="17">
        <v>1356.016547657772</v>
      </c>
    </row>
    <row r="1181" spans="32:33" x14ac:dyDescent="0.4">
      <c r="AF1181" s="19">
        <v>20090630</v>
      </c>
      <c r="AG1181" s="18">
        <v>1358.075238359268</v>
      </c>
    </row>
    <row r="1182" spans="32:33" x14ac:dyDescent="0.4">
      <c r="AF1182" s="19">
        <v>20090701</v>
      </c>
      <c r="AG1182" s="17">
        <v>1365.0348419994</v>
      </c>
    </row>
    <row r="1183" spans="32:33" x14ac:dyDescent="0.4">
      <c r="AF1183" s="19">
        <v>20090702</v>
      </c>
      <c r="AG1183" s="17">
        <v>1361.9775326740439</v>
      </c>
    </row>
    <row r="1184" spans="32:33" x14ac:dyDescent="0.4">
      <c r="AF1184" s="19">
        <v>20090703</v>
      </c>
      <c r="AG1184" s="17">
        <v>1369.4287639443839</v>
      </c>
    </row>
    <row r="1185" spans="32:33" x14ac:dyDescent="0.4">
      <c r="AF1185" s="19">
        <v>20090704</v>
      </c>
      <c r="AG1185" s="17">
        <v>1369.3212204002759</v>
      </c>
    </row>
    <row r="1186" spans="32:33" x14ac:dyDescent="0.4">
      <c r="AF1186" s="19">
        <v>20090705</v>
      </c>
      <c r="AG1186" s="18">
        <v>1369.229040219612</v>
      </c>
    </row>
    <row r="1187" spans="32:33" x14ac:dyDescent="0.4">
      <c r="AF1187" s="19">
        <v>20090706</v>
      </c>
      <c r="AG1187" s="17">
        <v>1369.2444035830561</v>
      </c>
    </row>
    <row r="1188" spans="32:33" x14ac:dyDescent="0.4">
      <c r="AF1188" s="19">
        <v>20090707</v>
      </c>
      <c r="AG1188" s="17">
        <v>1373.0391543537239</v>
      </c>
    </row>
    <row r="1189" spans="32:33" x14ac:dyDescent="0.4">
      <c r="AF1189" s="19">
        <v>20090708</v>
      </c>
      <c r="AG1189" s="17">
        <v>1374.4064937002399</v>
      </c>
    </row>
    <row r="1190" spans="32:33" x14ac:dyDescent="0.4">
      <c r="AF1190" s="19">
        <v>20090709</v>
      </c>
      <c r="AG1190" s="17">
        <v>1379.4303135464279</v>
      </c>
    </row>
    <row r="1191" spans="32:33" x14ac:dyDescent="0.4">
      <c r="AF1191" s="19">
        <v>20090710</v>
      </c>
      <c r="AG1191" s="18">
        <v>1370.381292477912</v>
      </c>
    </row>
    <row r="1192" spans="32:33" x14ac:dyDescent="0.4">
      <c r="AF1192" s="19">
        <v>20090711</v>
      </c>
      <c r="AG1192" s="17">
        <v>1370.289112297248</v>
      </c>
    </row>
    <row r="1193" spans="32:33" x14ac:dyDescent="0.4">
      <c r="AF1193" s="19">
        <v>20090712</v>
      </c>
      <c r="AG1193" s="17">
        <v>1370.18156875314</v>
      </c>
    </row>
    <row r="1194" spans="32:33" x14ac:dyDescent="0.4">
      <c r="AF1194" s="19">
        <v>20090713</v>
      </c>
      <c r="AG1194" s="17">
        <v>1337.2732442560921</v>
      </c>
    </row>
    <row r="1195" spans="32:33" x14ac:dyDescent="0.4">
      <c r="AF1195" s="19">
        <v>20090714</v>
      </c>
      <c r="AG1195" s="17">
        <v>1343.433952997136</v>
      </c>
    </row>
    <row r="1196" spans="32:33" x14ac:dyDescent="0.4">
      <c r="AF1196" s="19">
        <v>20090715</v>
      </c>
      <c r="AG1196" s="18">
        <v>1362.5920672118041</v>
      </c>
    </row>
    <row r="1197" spans="32:33" x14ac:dyDescent="0.4">
      <c r="AF1197" s="19">
        <v>20090716</v>
      </c>
      <c r="AG1197" s="17">
        <v>1355.233016122128</v>
      </c>
    </row>
    <row r="1198" spans="32:33" x14ac:dyDescent="0.4">
      <c r="AF1198" s="19">
        <v>20090717</v>
      </c>
      <c r="AG1198" s="17">
        <v>1358.9202233486881</v>
      </c>
    </row>
    <row r="1199" spans="32:33" x14ac:dyDescent="0.4">
      <c r="AF1199" s="19">
        <v>20090718</v>
      </c>
      <c r="AG1199" s="17">
        <v>1358.8126798045801</v>
      </c>
    </row>
    <row r="1200" spans="32:33" x14ac:dyDescent="0.4">
      <c r="AF1200" s="19">
        <v>20090719</v>
      </c>
      <c r="AG1200" s="17">
        <v>1358.7204996239161</v>
      </c>
    </row>
    <row r="1201" spans="32:33" x14ac:dyDescent="0.4">
      <c r="AF1201" s="19">
        <v>20090720</v>
      </c>
      <c r="AG1201" s="18">
        <v>1372.317076271856</v>
      </c>
    </row>
    <row r="1202" spans="32:33" x14ac:dyDescent="0.4">
      <c r="AF1202" s="19">
        <v>20090721</v>
      </c>
      <c r="AG1202" s="17">
        <v>1374.4064937002399</v>
      </c>
    </row>
    <row r="1203" spans="32:33" x14ac:dyDescent="0.4">
      <c r="AF1203" s="19">
        <v>20090722</v>
      </c>
      <c r="AG1203" s="17">
        <v>1382.6719832331121</v>
      </c>
    </row>
    <row r="1204" spans="32:33" x14ac:dyDescent="0.4">
      <c r="AF1204" s="19">
        <v>20090723</v>
      </c>
      <c r="AG1204" s="17">
        <v>1396.3607400617159</v>
      </c>
    </row>
    <row r="1205" spans="32:33" x14ac:dyDescent="0.4">
      <c r="AF1205" s="19">
        <v>20090724</v>
      </c>
      <c r="AG1205" s="17">
        <v>1397.3439953221321</v>
      </c>
    </row>
    <row r="1206" spans="32:33" x14ac:dyDescent="0.4">
      <c r="AF1206" s="19">
        <v>20090725</v>
      </c>
      <c r="AG1206" s="18">
        <v>1397.2518151414679</v>
      </c>
    </row>
    <row r="1207" spans="32:33" x14ac:dyDescent="0.4">
      <c r="AF1207" s="19">
        <v>20090726</v>
      </c>
      <c r="AG1207" s="17">
        <v>1397.1442715973601</v>
      </c>
    </row>
    <row r="1208" spans="32:33" x14ac:dyDescent="0.4">
      <c r="AF1208" s="19">
        <v>20090727</v>
      </c>
      <c r="AG1208" s="17">
        <v>1400.001857197944</v>
      </c>
    </row>
    <row r="1209" spans="32:33" x14ac:dyDescent="0.4">
      <c r="AF1209" s="19">
        <v>20090728</v>
      </c>
      <c r="AG1209" s="17">
        <v>1397.697352681344</v>
      </c>
    </row>
    <row r="1210" spans="32:33" x14ac:dyDescent="0.4">
      <c r="AF1210" s="19">
        <v>20090729</v>
      </c>
      <c r="AG1210" s="17">
        <v>1389.9695808690119</v>
      </c>
    </row>
    <row r="1211" spans="32:33" x14ac:dyDescent="0.4">
      <c r="AF1211" s="19">
        <v>20090730</v>
      </c>
      <c r="AG1211" s="18">
        <v>1390.630205497104</v>
      </c>
    </row>
    <row r="1212" spans="32:33" x14ac:dyDescent="0.4">
      <c r="AF1212" s="19">
        <v>20090731</v>
      </c>
      <c r="AG1212" s="17">
        <v>1401.937640991888</v>
      </c>
    </row>
    <row r="1213" spans="32:33" x14ac:dyDescent="0.4">
      <c r="AF1213" s="19">
        <v>20090801</v>
      </c>
      <c r="AG1213" s="17">
        <v>1401.845460811224</v>
      </c>
    </row>
    <row r="1214" spans="32:33" x14ac:dyDescent="0.4">
      <c r="AF1214" s="19">
        <v>20090802</v>
      </c>
      <c r="AG1214" s="17">
        <v>1401.737917267116</v>
      </c>
    </row>
    <row r="1215" spans="32:33" x14ac:dyDescent="0.4">
      <c r="AF1215" s="19">
        <v>20090803</v>
      </c>
      <c r="AG1215" s="17">
        <v>1404.51868605048</v>
      </c>
    </row>
    <row r="1216" spans="32:33" x14ac:dyDescent="0.4">
      <c r="AF1216" s="19">
        <v>20090804</v>
      </c>
      <c r="AG1216" s="18">
        <v>1400.309124466824</v>
      </c>
    </row>
    <row r="1217" spans="32:33" x14ac:dyDescent="0.4">
      <c r="AF1217" s="19">
        <v>20090805</v>
      </c>
      <c r="AG1217" s="17">
        <v>1402.3985418952079</v>
      </c>
    </row>
    <row r="1218" spans="32:33" x14ac:dyDescent="0.4">
      <c r="AF1218" s="19">
        <v>20090806</v>
      </c>
      <c r="AG1218" s="17">
        <v>1400.9851124583599</v>
      </c>
    </row>
    <row r="1219" spans="32:33" x14ac:dyDescent="0.4">
      <c r="AF1219" s="19">
        <v>20090807</v>
      </c>
      <c r="AG1219" s="17">
        <v>1407.0690043821839</v>
      </c>
    </row>
    <row r="1220" spans="32:33" x14ac:dyDescent="0.4">
      <c r="AF1220" s="19">
        <v>20090808</v>
      </c>
      <c r="AG1220" s="17">
        <v>1406.9614608380759</v>
      </c>
    </row>
    <row r="1221" spans="32:33" x14ac:dyDescent="0.4">
      <c r="AF1221" s="19">
        <v>20090809</v>
      </c>
      <c r="AG1221" s="18">
        <v>1406.869280657412</v>
      </c>
    </row>
    <row r="1222" spans="32:33" x14ac:dyDescent="0.4">
      <c r="AF1222" s="19">
        <v>20090810</v>
      </c>
      <c r="AG1222" s="17">
        <v>1409.28132871812</v>
      </c>
    </row>
    <row r="1223" spans="32:33" x14ac:dyDescent="0.4">
      <c r="AF1223" s="19">
        <v>20090811</v>
      </c>
      <c r="AG1223" s="17">
        <v>1411.1863857851761</v>
      </c>
    </row>
    <row r="1224" spans="32:33" x14ac:dyDescent="0.4">
      <c r="AF1224" s="19">
        <v>20090812</v>
      </c>
      <c r="AG1224" s="17">
        <v>1413.7674308437679</v>
      </c>
    </row>
    <row r="1225" spans="32:33" x14ac:dyDescent="0.4">
      <c r="AF1225" s="19">
        <v>20090813</v>
      </c>
      <c r="AG1225" s="17">
        <v>1426.426842321624</v>
      </c>
    </row>
    <row r="1226" spans="32:33" x14ac:dyDescent="0.4">
      <c r="AF1226" s="19">
        <v>20090814</v>
      </c>
      <c r="AG1226" s="18">
        <v>1430.974397901048</v>
      </c>
    </row>
    <row r="1227" spans="32:33" x14ac:dyDescent="0.4">
      <c r="AF1227" s="19">
        <v>20090815</v>
      </c>
      <c r="AG1227" s="17">
        <v>1430.8668543569399</v>
      </c>
    </row>
    <row r="1228" spans="32:33" x14ac:dyDescent="0.4">
      <c r="AF1228" s="19">
        <v>20090816</v>
      </c>
      <c r="AG1228" s="17">
        <v>1430.774674176276</v>
      </c>
    </row>
    <row r="1229" spans="32:33" x14ac:dyDescent="0.4">
      <c r="AF1229" s="19">
        <v>20090817</v>
      </c>
      <c r="AG1229" s="17">
        <v>1409.235238627788</v>
      </c>
    </row>
    <row r="1230" spans="32:33" x14ac:dyDescent="0.4">
      <c r="AF1230" s="19">
        <v>20090818</v>
      </c>
      <c r="AG1230" s="17">
        <v>1408.3595269114801</v>
      </c>
    </row>
    <row r="1231" spans="32:33" x14ac:dyDescent="0.4">
      <c r="AF1231" s="19">
        <v>20090819</v>
      </c>
      <c r="AG1231" s="18">
        <v>1410.694758154968</v>
      </c>
    </row>
    <row r="1232" spans="32:33" x14ac:dyDescent="0.4">
      <c r="AF1232" s="19">
        <v>20090820</v>
      </c>
      <c r="AG1232" s="17">
        <v>1424.9365960675559</v>
      </c>
    </row>
    <row r="1233" spans="32:33" x14ac:dyDescent="0.4">
      <c r="AF1233" s="19">
        <v>20090821</v>
      </c>
      <c r="AG1233" s="17">
        <v>1422.7857251853959</v>
      </c>
    </row>
    <row r="1234" spans="32:33" x14ac:dyDescent="0.4">
      <c r="AF1234" s="19">
        <v>20090822</v>
      </c>
      <c r="AG1234" s="17">
        <v>1422.6781816412879</v>
      </c>
    </row>
    <row r="1235" spans="32:33" x14ac:dyDescent="0.4">
      <c r="AF1235" s="19">
        <v>20090823</v>
      </c>
      <c r="AG1235" s="17">
        <v>1422.5860014606239</v>
      </c>
    </row>
    <row r="1236" spans="32:33" x14ac:dyDescent="0.4">
      <c r="AF1236" s="19">
        <v>20090824</v>
      </c>
      <c r="AG1236" s="18">
        <v>1430.928307810716</v>
      </c>
    </row>
    <row r="1237" spans="32:33" x14ac:dyDescent="0.4">
      <c r="AF1237" s="19">
        <v>20090825</v>
      </c>
      <c r="AG1237" s="17">
        <v>1429.3305180125401</v>
      </c>
    </row>
    <row r="1238" spans="32:33" x14ac:dyDescent="0.4">
      <c r="AF1238" s="19">
        <v>20090826</v>
      </c>
      <c r="AG1238" s="17">
        <v>1439.2859775242521</v>
      </c>
    </row>
    <row r="1239" spans="32:33" x14ac:dyDescent="0.4">
      <c r="AF1239" s="19">
        <v>20090827</v>
      </c>
      <c r="AG1239" s="17">
        <v>1435.3068663922561</v>
      </c>
    </row>
    <row r="1240" spans="32:33" x14ac:dyDescent="0.4">
      <c r="AF1240" s="19">
        <v>20090828</v>
      </c>
      <c r="AG1240" s="17">
        <v>1446.0612208030559</v>
      </c>
    </row>
    <row r="1241" spans="32:33" x14ac:dyDescent="0.4">
      <c r="AF1241" s="19">
        <v>20090829</v>
      </c>
      <c r="AG1241" s="18">
        <v>1445.9536772589479</v>
      </c>
    </row>
    <row r="1242" spans="32:33" x14ac:dyDescent="0.4">
      <c r="AF1242" s="19">
        <v>20090830</v>
      </c>
      <c r="AG1242" s="17">
        <v>1445.8614970782839</v>
      </c>
    </row>
    <row r="1243" spans="32:33" x14ac:dyDescent="0.4">
      <c r="AF1243" s="19">
        <v>20090831</v>
      </c>
      <c r="AG1243" s="17">
        <v>1439.593244793132</v>
      </c>
    </row>
    <row r="1244" spans="32:33" x14ac:dyDescent="0.4">
      <c r="AF1244" s="19">
        <v>20090901</v>
      </c>
      <c r="AG1244" s="17">
        <v>1448.903443040196</v>
      </c>
    </row>
    <row r="1245" spans="32:33" x14ac:dyDescent="0.4">
      <c r="AF1245" s="19">
        <v>20090902</v>
      </c>
      <c r="AG1245" s="17">
        <v>1451.3001277374599</v>
      </c>
    </row>
    <row r="1246" spans="32:33" x14ac:dyDescent="0.4">
      <c r="AF1246" s="19">
        <v>20090903</v>
      </c>
      <c r="AG1246" s="18">
        <v>1461.8854851503761</v>
      </c>
    </row>
    <row r="1247" spans="32:33" x14ac:dyDescent="0.4">
      <c r="AF1247" s="19">
        <v>20090904</v>
      </c>
      <c r="AG1247" s="17">
        <v>1464.789160841292</v>
      </c>
    </row>
    <row r="1248" spans="32:33" x14ac:dyDescent="0.4">
      <c r="AF1248" s="19">
        <v>20090905</v>
      </c>
      <c r="AG1248" s="17">
        <v>1464.6816172971839</v>
      </c>
    </row>
    <row r="1249" spans="32:33" x14ac:dyDescent="0.4">
      <c r="AF1249" s="19">
        <v>20090906</v>
      </c>
      <c r="AG1249" s="17">
        <v>1464.5740737530759</v>
      </c>
    </row>
    <row r="1250" spans="32:33" x14ac:dyDescent="0.4">
      <c r="AF1250" s="19">
        <v>20090907</v>
      </c>
      <c r="AG1250" s="17">
        <v>1467.8618335300921</v>
      </c>
    </row>
    <row r="1251" spans="32:33" x14ac:dyDescent="0.4">
      <c r="AF1251" s="19">
        <v>20090908</v>
      </c>
      <c r="AG1251" s="18">
        <v>1464.328259937972</v>
      </c>
    </row>
    <row r="1252" spans="32:33" x14ac:dyDescent="0.4">
      <c r="AF1252" s="19">
        <v>20090909</v>
      </c>
      <c r="AG1252" s="17">
        <v>1459.8882479026561</v>
      </c>
    </row>
    <row r="1253" spans="32:33" x14ac:dyDescent="0.4">
      <c r="AF1253" s="19">
        <v>20090910</v>
      </c>
      <c r="AG1253" s="17">
        <v>1477.9862900396879</v>
      </c>
    </row>
    <row r="1254" spans="32:33" x14ac:dyDescent="0.4">
      <c r="AF1254" s="19">
        <v>20090911</v>
      </c>
      <c r="AG1254" s="17">
        <v>1476.7879476910559</v>
      </c>
    </row>
    <row r="1255" spans="32:33" x14ac:dyDescent="0.4">
      <c r="AF1255" s="19">
        <v>20090912</v>
      </c>
      <c r="AG1255" s="17">
        <v>1476.6804041469479</v>
      </c>
    </row>
    <row r="1256" spans="32:33" x14ac:dyDescent="0.4">
      <c r="AF1256" s="19">
        <v>20090913</v>
      </c>
      <c r="AG1256" s="18">
        <v>1476.5728606028399</v>
      </c>
    </row>
    <row r="1257" spans="32:33" x14ac:dyDescent="0.4">
      <c r="AF1257" s="19">
        <v>20090914</v>
      </c>
      <c r="AG1257" s="17">
        <v>1473.285100825824</v>
      </c>
    </row>
    <row r="1258" spans="32:33" x14ac:dyDescent="0.4">
      <c r="AF1258" s="19">
        <v>20090915</v>
      </c>
      <c r="AG1258" s="17">
        <v>1478.4471909430081</v>
      </c>
    </row>
    <row r="1259" spans="32:33" x14ac:dyDescent="0.4">
      <c r="AF1259" s="19">
        <v>20090916</v>
      </c>
      <c r="AG1259" s="17">
        <v>1481.8117675372439</v>
      </c>
    </row>
    <row r="1260" spans="32:33" x14ac:dyDescent="0.4">
      <c r="AF1260" s="19">
        <v>20090917</v>
      </c>
      <c r="AG1260" s="17">
        <v>1473.438734460264</v>
      </c>
    </row>
    <row r="1261" spans="32:33" x14ac:dyDescent="0.4">
      <c r="AF1261" s="19">
        <v>20090918</v>
      </c>
      <c r="AG1261" s="18">
        <v>1475.850782520972</v>
      </c>
    </row>
    <row r="1262" spans="32:33" x14ac:dyDescent="0.4">
      <c r="AF1262" s="19">
        <v>20090919</v>
      </c>
      <c r="AG1262" s="17">
        <v>1475.7432389768639</v>
      </c>
    </row>
    <row r="1263" spans="32:33" x14ac:dyDescent="0.4">
      <c r="AF1263" s="19">
        <v>20090920</v>
      </c>
      <c r="AG1263" s="17">
        <v>1475.6356954327559</v>
      </c>
    </row>
    <row r="1264" spans="32:33" x14ac:dyDescent="0.4">
      <c r="AF1264" s="19">
        <v>20090921</v>
      </c>
      <c r="AG1264" s="17">
        <v>1475.451335071428</v>
      </c>
    </row>
    <row r="1265" spans="32:33" x14ac:dyDescent="0.4">
      <c r="AF1265" s="19">
        <v>20090922</v>
      </c>
      <c r="AG1265" s="17">
        <v>1477.018398142716</v>
      </c>
    </row>
    <row r="1266" spans="32:33" x14ac:dyDescent="0.4">
      <c r="AF1266" s="19">
        <v>20090923</v>
      </c>
      <c r="AG1266" s="18">
        <v>1469.2752629669401</v>
      </c>
    </row>
    <row r="1267" spans="32:33" x14ac:dyDescent="0.4">
      <c r="AF1267" s="19">
        <v>20090924</v>
      </c>
      <c r="AG1267" s="17">
        <v>1458.2136412872601</v>
      </c>
    </row>
    <row r="1268" spans="32:33" x14ac:dyDescent="0.4">
      <c r="AF1268" s="19">
        <v>20090925</v>
      </c>
      <c r="AG1268" s="17">
        <v>1456.093497131988</v>
      </c>
    </row>
    <row r="1269" spans="32:33" x14ac:dyDescent="0.4">
      <c r="AF1269" s="19">
        <v>20090926</v>
      </c>
      <c r="AG1269" s="17">
        <v>1455.98595358788</v>
      </c>
    </row>
    <row r="1270" spans="32:33" x14ac:dyDescent="0.4">
      <c r="AF1270" s="19">
        <v>20090927</v>
      </c>
      <c r="AG1270" s="17">
        <v>1455.878410043772</v>
      </c>
    </row>
    <row r="1271" spans="32:33" x14ac:dyDescent="0.4">
      <c r="AF1271" s="19">
        <v>20090928</v>
      </c>
      <c r="AG1271" s="18">
        <v>1451.7303019138919</v>
      </c>
    </row>
    <row r="1272" spans="32:33" x14ac:dyDescent="0.4">
      <c r="AF1272" s="19">
        <v>20090929</v>
      </c>
      <c r="AG1272" s="17">
        <v>1460.395238896308</v>
      </c>
    </row>
    <row r="1273" spans="32:33" x14ac:dyDescent="0.4">
      <c r="AF1273" s="19">
        <v>20090930</v>
      </c>
      <c r="AG1273" s="17">
        <v>1457.9831908356</v>
      </c>
    </row>
    <row r="1274" spans="32:33" x14ac:dyDescent="0.4">
      <c r="AF1274" s="19">
        <v>20091001</v>
      </c>
      <c r="AG1274" s="17">
        <v>1451.945389002108</v>
      </c>
    </row>
    <row r="1275" spans="32:33" x14ac:dyDescent="0.4">
      <c r="AF1275" s="19">
        <v>20091002</v>
      </c>
      <c r="AG1275" s="17">
        <v>1451.8378454579999</v>
      </c>
    </row>
    <row r="1276" spans="32:33" x14ac:dyDescent="0.4">
      <c r="AF1276" s="19">
        <v>20091003</v>
      </c>
      <c r="AG1276" s="18">
        <v>1451.7303019138919</v>
      </c>
    </row>
    <row r="1277" spans="32:33" x14ac:dyDescent="0.4">
      <c r="AF1277" s="19">
        <v>20091004</v>
      </c>
      <c r="AG1277" s="17">
        <v>1451.6227583697839</v>
      </c>
    </row>
    <row r="1278" spans="32:33" x14ac:dyDescent="0.4">
      <c r="AF1278" s="19">
        <v>20091005</v>
      </c>
      <c r="AG1278" s="17">
        <v>1446.983022609696</v>
      </c>
    </row>
    <row r="1279" spans="32:33" x14ac:dyDescent="0.4">
      <c r="AF1279" s="19">
        <v>20091006</v>
      </c>
      <c r="AG1279" s="17">
        <v>1445.6771367169561</v>
      </c>
    </row>
    <row r="1280" spans="32:33" x14ac:dyDescent="0.4">
      <c r="AF1280" s="19">
        <v>20091007</v>
      </c>
      <c r="AG1280" s="17">
        <v>1449.4718874876239</v>
      </c>
    </row>
    <row r="1281" spans="32:33" x14ac:dyDescent="0.4">
      <c r="AF1281" s="19">
        <v>20091008</v>
      </c>
      <c r="AG1281" s="18">
        <v>1465.2500617446119</v>
      </c>
    </row>
    <row r="1282" spans="32:33" x14ac:dyDescent="0.4">
      <c r="AF1282" s="19">
        <v>20091009</v>
      </c>
      <c r="AG1282" s="17">
        <v>1470.673329040344</v>
      </c>
    </row>
    <row r="1283" spans="32:33" x14ac:dyDescent="0.4">
      <c r="AF1283" s="19">
        <v>20091010</v>
      </c>
      <c r="AG1283" s="17">
        <v>1470.565785496236</v>
      </c>
    </row>
    <row r="1284" spans="32:33" x14ac:dyDescent="0.4">
      <c r="AF1284" s="19">
        <v>20091011</v>
      </c>
      <c r="AG1284" s="17">
        <v>1470.458241952128</v>
      </c>
    </row>
    <row r="1285" spans="32:33" x14ac:dyDescent="0.4">
      <c r="AF1285" s="19">
        <v>20091012</v>
      </c>
      <c r="AG1285" s="17">
        <v>1467.462386080548</v>
      </c>
    </row>
    <row r="1286" spans="32:33" x14ac:dyDescent="0.4">
      <c r="AF1286" s="19">
        <v>20091013</v>
      </c>
      <c r="AG1286" s="18">
        <v>1463.6676353098801</v>
      </c>
    </row>
    <row r="1287" spans="32:33" x14ac:dyDescent="0.4">
      <c r="AF1287" s="19">
        <v>20091014</v>
      </c>
      <c r="AG1287" s="17">
        <v>1474.6678035357841</v>
      </c>
    </row>
    <row r="1288" spans="32:33" x14ac:dyDescent="0.4">
      <c r="AF1288" s="19">
        <v>20091015</v>
      </c>
      <c r="AG1288" s="17">
        <v>1474.606350082008</v>
      </c>
    </row>
    <row r="1289" spans="32:33" x14ac:dyDescent="0.4">
      <c r="AF1289" s="19">
        <v>20091016</v>
      </c>
      <c r="AG1289" s="17">
        <v>1467.3394791729961</v>
      </c>
    </row>
    <row r="1290" spans="32:33" x14ac:dyDescent="0.4">
      <c r="AF1290" s="19">
        <v>20091017</v>
      </c>
      <c r="AG1290" s="17">
        <v>1467.2319356288881</v>
      </c>
    </row>
    <row r="1291" spans="32:33" x14ac:dyDescent="0.4">
      <c r="AF1291" s="19">
        <v>20091018</v>
      </c>
      <c r="AG1291" s="18">
        <v>1467.1243920847801</v>
      </c>
    </row>
    <row r="1292" spans="32:33" x14ac:dyDescent="0.4">
      <c r="AF1292" s="19">
        <v>20091019</v>
      </c>
      <c r="AG1292" s="17">
        <v>1465.8338695554839</v>
      </c>
    </row>
    <row r="1293" spans="32:33" x14ac:dyDescent="0.4">
      <c r="AF1293" s="19">
        <v>20091020</v>
      </c>
      <c r="AG1293" s="17">
        <v>1470.35069840802</v>
      </c>
    </row>
    <row r="1294" spans="32:33" x14ac:dyDescent="0.4">
      <c r="AF1294" s="19">
        <v>20091021</v>
      </c>
      <c r="AG1294" s="17">
        <v>1468.9219056077279</v>
      </c>
    </row>
    <row r="1295" spans="32:33" x14ac:dyDescent="0.4">
      <c r="AF1295" s="19">
        <v>20091022</v>
      </c>
      <c r="AG1295" s="17">
        <v>1461.6703980621601</v>
      </c>
    </row>
    <row r="1296" spans="32:33" x14ac:dyDescent="0.4">
      <c r="AF1296" s="19">
        <v>20091023</v>
      </c>
      <c r="AG1296" s="18">
        <v>1466.002866553368</v>
      </c>
    </row>
    <row r="1297" spans="32:33" x14ac:dyDescent="0.4">
      <c r="AF1297" s="19">
        <v>20091024</v>
      </c>
      <c r="AG1297" s="17">
        <v>1465.89532300926</v>
      </c>
    </row>
    <row r="1298" spans="32:33" x14ac:dyDescent="0.4">
      <c r="AF1298" s="19">
        <v>20091025</v>
      </c>
      <c r="AG1298" s="17">
        <v>1465.787779465152</v>
      </c>
    </row>
    <row r="1299" spans="32:33" x14ac:dyDescent="0.4">
      <c r="AF1299" s="19">
        <v>20091026</v>
      </c>
      <c r="AG1299" s="17">
        <v>1467.3548425364399</v>
      </c>
    </row>
    <row r="1300" spans="32:33" x14ac:dyDescent="0.4">
      <c r="AF1300" s="19">
        <v>20091027</v>
      </c>
      <c r="AG1300" s="17">
        <v>1460.4720557135281</v>
      </c>
    </row>
    <row r="1301" spans="32:33" x14ac:dyDescent="0.4">
      <c r="AF1301" s="19">
        <v>20091028</v>
      </c>
      <c r="AG1301" s="18">
        <v>1439.1630706167</v>
      </c>
    </row>
    <row r="1302" spans="32:33" x14ac:dyDescent="0.4">
      <c r="AF1302" s="19">
        <v>20091029</v>
      </c>
      <c r="AG1302" s="17">
        <v>1434.8766922158241</v>
      </c>
    </row>
    <row r="1303" spans="32:33" x14ac:dyDescent="0.4">
      <c r="AF1303" s="19">
        <v>20091030</v>
      </c>
      <c r="AG1303" s="17">
        <v>1441.9131126731761</v>
      </c>
    </row>
    <row r="1304" spans="32:33" x14ac:dyDescent="0.4">
      <c r="AF1304" s="19">
        <v>20091031</v>
      </c>
      <c r="AG1304" s="17">
        <v>1441.8055691290681</v>
      </c>
    </row>
    <row r="1305" spans="32:33" x14ac:dyDescent="0.4">
      <c r="AF1305" s="19">
        <v>20091101</v>
      </c>
      <c r="AG1305" s="17">
        <v>1441.7133889484039</v>
      </c>
    </row>
    <row r="1306" spans="32:33" x14ac:dyDescent="0.4">
      <c r="AF1306" s="19">
        <v>20091102</v>
      </c>
      <c r="AG1306" s="18">
        <v>1424.3988783470161</v>
      </c>
    </row>
    <row r="1307" spans="32:33" x14ac:dyDescent="0.4">
      <c r="AF1307" s="19">
        <v>20091103</v>
      </c>
      <c r="AG1307" s="17">
        <v>1426.8723798614999</v>
      </c>
    </row>
    <row r="1308" spans="32:33" x14ac:dyDescent="0.4">
      <c r="AF1308" s="19">
        <v>20091104</v>
      </c>
      <c r="AG1308" s="17">
        <v>1431.619659165696</v>
      </c>
    </row>
    <row r="1309" spans="32:33" x14ac:dyDescent="0.4">
      <c r="AF1309" s="19">
        <v>20091105</v>
      </c>
      <c r="AG1309" s="17">
        <v>1422.1404639207481</v>
      </c>
    </row>
    <row r="1310" spans="32:33" x14ac:dyDescent="0.4">
      <c r="AF1310" s="19">
        <v>20091106</v>
      </c>
      <c r="AG1310" s="17">
        <v>1427.2564639476</v>
      </c>
    </row>
    <row r="1311" spans="32:33" x14ac:dyDescent="0.4">
      <c r="AF1311" s="19">
        <v>20091107</v>
      </c>
      <c r="AG1311" s="18">
        <v>1427.148920403492</v>
      </c>
    </row>
    <row r="1312" spans="32:33" x14ac:dyDescent="0.4">
      <c r="AF1312" s="19">
        <v>20091108</v>
      </c>
      <c r="AG1312" s="17">
        <v>1427.0413768593839</v>
      </c>
    </row>
    <row r="1313" spans="32:33" x14ac:dyDescent="0.4">
      <c r="AF1313" s="19">
        <v>20091109</v>
      </c>
      <c r="AG1313" s="17">
        <v>1427.2411005841559</v>
      </c>
    </row>
    <row r="1314" spans="32:33" x14ac:dyDescent="0.4">
      <c r="AF1314" s="19">
        <v>20091110</v>
      </c>
      <c r="AG1314" s="17">
        <v>1421.4952026561</v>
      </c>
    </row>
    <row r="1315" spans="32:33" x14ac:dyDescent="0.4">
      <c r="AF1315" s="19">
        <v>20091111</v>
      </c>
      <c r="AG1315" s="17">
        <v>1423.907250716808</v>
      </c>
    </row>
    <row r="1316" spans="32:33" x14ac:dyDescent="0.4">
      <c r="AF1316" s="19">
        <v>20091112</v>
      </c>
      <c r="AG1316" s="18">
        <v>1419.559418862156</v>
      </c>
    </row>
    <row r="1317" spans="32:33" x14ac:dyDescent="0.4">
      <c r="AF1317" s="19">
        <v>20091113</v>
      </c>
      <c r="AG1317" s="17">
        <v>1419.4211485911601</v>
      </c>
    </row>
    <row r="1318" spans="32:33" x14ac:dyDescent="0.4">
      <c r="AF1318" s="19">
        <v>20091114</v>
      </c>
      <c r="AG1318" s="17">
        <v>1419.3289684104959</v>
      </c>
    </row>
    <row r="1319" spans="32:33" x14ac:dyDescent="0.4">
      <c r="AF1319" s="19">
        <v>20091115</v>
      </c>
      <c r="AG1319" s="17">
        <v>1419.2214248663879</v>
      </c>
    </row>
    <row r="1320" spans="32:33" x14ac:dyDescent="0.4">
      <c r="AF1320" s="19">
        <v>20091116</v>
      </c>
      <c r="AG1320" s="17">
        <v>1411.6165599616079</v>
      </c>
    </row>
    <row r="1321" spans="32:33" x14ac:dyDescent="0.4">
      <c r="AF1321" s="19">
        <v>20091117</v>
      </c>
      <c r="AG1321" s="18">
        <v>1402.306361714544</v>
      </c>
    </row>
    <row r="1322" spans="32:33" x14ac:dyDescent="0.4">
      <c r="AF1322" s="19">
        <v>20091118</v>
      </c>
      <c r="AG1322" s="17">
        <v>1402.736535890976</v>
      </c>
    </row>
    <row r="1323" spans="32:33" x14ac:dyDescent="0.4">
      <c r="AF1323" s="19">
        <v>20091119</v>
      </c>
      <c r="AG1323" s="17">
        <v>1402.352451804876</v>
      </c>
    </row>
    <row r="1324" spans="32:33" x14ac:dyDescent="0.4">
      <c r="AF1324" s="19">
        <v>20091120</v>
      </c>
      <c r="AG1324" s="17">
        <v>1403.5507941535079</v>
      </c>
    </row>
    <row r="1325" spans="32:33" x14ac:dyDescent="0.4">
      <c r="AF1325" s="19">
        <v>20091121</v>
      </c>
      <c r="AG1325" s="17">
        <v>1403.458613972844</v>
      </c>
    </row>
    <row r="1326" spans="32:33" x14ac:dyDescent="0.4">
      <c r="AF1326" s="19">
        <v>20091122</v>
      </c>
      <c r="AG1326" s="18">
        <v>1403.351070428736</v>
      </c>
    </row>
    <row r="1327" spans="32:33" x14ac:dyDescent="0.4">
      <c r="AF1327" s="19">
        <v>20091123</v>
      </c>
      <c r="AG1327" s="17">
        <v>1401.2462896369079</v>
      </c>
    </row>
    <row r="1328" spans="32:33" x14ac:dyDescent="0.4">
      <c r="AF1328" s="19">
        <v>20091124</v>
      </c>
      <c r="AG1328" s="17">
        <v>1396.867731055368</v>
      </c>
    </row>
    <row r="1329" spans="32:33" x14ac:dyDescent="0.4">
      <c r="AF1329" s="19">
        <v>20091125</v>
      </c>
      <c r="AG1329" s="17">
        <v>1395.9920193390601</v>
      </c>
    </row>
    <row r="1330" spans="32:33" x14ac:dyDescent="0.4">
      <c r="AF1330" s="19">
        <v>20091126</v>
      </c>
      <c r="AG1330" s="17">
        <v>1390.783839131544</v>
      </c>
    </row>
    <row r="1331" spans="32:33" x14ac:dyDescent="0.4">
      <c r="AF1331" s="19">
        <v>20091127</v>
      </c>
      <c r="AG1331" s="18">
        <v>1349.8558389167281</v>
      </c>
    </row>
    <row r="1332" spans="32:33" x14ac:dyDescent="0.4">
      <c r="AF1332" s="19">
        <v>20091128</v>
      </c>
      <c r="AG1332" s="17">
        <v>1349.7636587360639</v>
      </c>
    </row>
    <row r="1333" spans="32:33" x14ac:dyDescent="0.4">
      <c r="AF1333" s="19">
        <v>20091129</v>
      </c>
      <c r="AG1333" s="17">
        <v>1349.6561151919559</v>
      </c>
    </row>
    <row r="1334" spans="32:33" x14ac:dyDescent="0.4">
      <c r="AF1334" s="19">
        <v>20091130</v>
      </c>
      <c r="AG1334" s="17">
        <v>1367.923154326872</v>
      </c>
    </row>
    <row r="1335" spans="32:33" x14ac:dyDescent="0.4">
      <c r="AF1335" s="19">
        <v>20091201</v>
      </c>
      <c r="AG1335" s="17">
        <v>1376.8185417609479</v>
      </c>
    </row>
    <row r="1336" spans="32:33" x14ac:dyDescent="0.4">
      <c r="AF1336" s="19">
        <v>20091202</v>
      </c>
      <c r="AG1336" s="18">
        <v>1388.479334614944</v>
      </c>
    </row>
    <row r="1337" spans="32:33" x14ac:dyDescent="0.4">
      <c r="AF1337" s="19">
        <v>20091203</v>
      </c>
      <c r="AG1337" s="17">
        <v>1402.3831785317641</v>
      </c>
    </row>
    <row r="1338" spans="32:33" x14ac:dyDescent="0.4">
      <c r="AF1338" s="19">
        <v>20091204</v>
      </c>
      <c r="AG1338" s="17">
        <v>1407.1150944725159</v>
      </c>
    </row>
    <row r="1339" spans="32:33" x14ac:dyDescent="0.4">
      <c r="AF1339" s="19">
        <v>20091205</v>
      </c>
      <c r="AG1339" s="17">
        <v>1407.0075509284079</v>
      </c>
    </row>
    <row r="1340" spans="32:33" x14ac:dyDescent="0.4">
      <c r="AF1340" s="19">
        <v>20091206</v>
      </c>
      <c r="AG1340" s="17">
        <v>1406.915370747744</v>
      </c>
    </row>
    <row r="1341" spans="32:33" x14ac:dyDescent="0.4">
      <c r="AF1341" s="19">
        <v>20091207</v>
      </c>
      <c r="AG1341" s="18">
        <v>1409.7729563483281</v>
      </c>
    </row>
    <row r="1342" spans="32:33" x14ac:dyDescent="0.4">
      <c r="AF1342" s="19">
        <v>20091208</v>
      </c>
      <c r="AG1342" s="17">
        <v>1408.5746139996961</v>
      </c>
    </row>
    <row r="1343" spans="32:33" x14ac:dyDescent="0.4">
      <c r="AF1343" s="19">
        <v>20091209</v>
      </c>
      <c r="AG1343" s="17">
        <v>1413.9671545685401</v>
      </c>
    </row>
    <row r="1344" spans="32:33" x14ac:dyDescent="0.4">
      <c r="AF1344" s="19">
        <v>20091210</v>
      </c>
      <c r="AG1344" s="17">
        <v>1414.2283317470881</v>
      </c>
    </row>
    <row r="1345" spans="32:33" x14ac:dyDescent="0.4">
      <c r="AF1345" s="19">
        <v>20091211</v>
      </c>
      <c r="AG1345" s="17">
        <v>1429.1768843781001</v>
      </c>
    </row>
    <row r="1346" spans="32:33" x14ac:dyDescent="0.4">
      <c r="AF1346" s="19">
        <v>20091212</v>
      </c>
      <c r="AG1346" s="18">
        <v>1429.0693408339921</v>
      </c>
    </row>
    <row r="1347" spans="32:33" x14ac:dyDescent="0.4">
      <c r="AF1347" s="19">
        <v>20091213</v>
      </c>
      <c r="AG1347" s="17">
        <v>1428.9617972898841</v>
      </c>
    </row>
    <row r="1348" spans="32:33" x14ac:dyDescent="0.4">
      <c r="AF1348" s="19">
        <v>20091214</v>
      </c>
      <c r="AG1348" s="17">
        <v>1442.2971967592759</v>
      </c>
    </row>
    <row r="1349" spans="32:33" x14ac:dyDescent="0.4">
      <c r="AF1349" s="19">
        <v>20091215</v>
      </c>
      <c r="AG1349" s="17">
        <v>1450.53195956526</v>
      </c>
    </row>
    <row r="1350" spans="32:33" x14ac:dyDescent="0.4">
      <c r="AF1350" s="19">
        <v>20091216</v>
      </c>
      <c r="AG1350" s="17">
        <v>1459.2583500014521</v>
      </c>
    </row>
    <row r="1351" spans="32:33" x14ac:dyDescent="0.4">
      <c r="AF1351" s="19">
        <v>20091217</v>
      </c>
      <c r="AG1351" s="18">
        <v>1465.849232918928</v>
      </c>
    </row>
    <row r="1352" spans="32:33" x14ac:dyDescent="0.4">
      <c r="AF1352" s="19">
        <v>20091218</v>
      </c>
      <c r="AG1352" s="17">
        <v>1471.610494210428</v>
      </c>
    </row>
    <row r="1353" spans="32:33" x14ac:dyDescent="0.4">
      <c r="AF1353" s="19">
        <v>20091219</v>
      </c>
      <c r="AG1353" s="17">
        <v>1471.4875873028759</v>
      </c>
    </row>
    <row r="1354" spans="32:33" x14ac:dyDescent="0.4">
      <c r="AF1354" s="19">
        <v>20091220</v>
      </c>
      <c r="AG1354" s="17">
        <v>1471.3800437587679</v>
      </c>
    </row>
    <row r="1355" spans="32:33" x14ac:dyDescent="0.4">
      <c r="AF1355" s="19">
        <v>20091221</v>
      </c>
      <c r="AG1355" s="17">
        <v>1475.4052449810961</v>
      </c>
    </row>
    <row r="1356" spans="32:33" x14ac:dyDescent="0.4">
      <c r="AF1356" s="19">
        <v>20091222</v>
      </c>
      <c r="AG1356" s="18">
        <v>1476.4192269683999</v>
      </c>
    </row>
    <row r="1357" spans="32:33" x14ac:dyDescent="0.4">
      <c r="AF1357" s="19">
        <v>20091223</v>
      </c>
      <c r="AG1357" s="17">
        <v>1468.89117888084</v>
      </c>
    </row>
    <row r="1358" spans="32:33" x14ac:dyDescent="0.4">
      <c r="AF1358" s="19">
        <v>20091224</v>
      </c>
      <c r="AG1358" s="17">
        <v>1480.9053290940481</v>
      </c>
    </row>
    <row r="1359" spans="32:33" x14ac:dyDescent="0.4">
      <c r="AF1359" s="19">
        <v>20091225</v>
      </c>
      <c r="AG1359" s="17">
        <v>1480.79778554994</v>
      </c>
    </row>
    <row r="1360" spans="32:33" x14ac:dyDescent="0.4">
      <c r="AF1360" s="19">
        <v>20091226</v>
      </c>
      <c r="AG1360" s="17">
        <v>1480.690242005832</v>
      </c>
    </row>
    <row r="1361" spans="32:33" x14ac:dyDescent="0.4">
      <c r="AF1361" s="19">
        <v>20091227</v>
      </c>
      <c r="AG1361" s="18">
        <v>1480.582698461724</v>
      </c>
    </row>
    <row r="1362" spans="32:33" x14ac:dyDescent="0.4">
      <c r="AF1362" s="19">
        <v>20091228</v>
      </c>
      <c r="AG1362" s="17">
        <v>1481.058962728488</v>
      </c>
    </row>
    <row r="1363" spans="32:33" x14ac:dyDescent="0.4">
      <c r="AF1363" s="19">
        <v>20091229</v>
      </c>
      <c r="AG1363" s="17">
        <v>1489.2629988075839</v>
      </c>
    </row>
    <row r="1364" spans="32:33" x14ac:dyDescent="0.4">
      <c r="AF1364" s="19">
        <v>20091230</v>
      </c>
      <c r="AG1364" s="17">
        <v>1497.605305157676</v>
      </c>
    </row>
    <row r="1365" spans="32:33" x14ac:dyDescent="0.4">
      <c r="AF1365" s="19">
        <v>20091231</v>
      </c>
      <c r="AG1365" s="17">
        <v>1497.513124977012</v>
      </c>
    </row>
    <row r="1366" spans="32:33" x14ac:dyDescent="0.4">
      <c r="AF1366" s="19">
        <v>20100101</v>
      </c>
      <c r="AG1366" s="18">
        <v>1497.3902180694599</v>
      </c>
    </row>
    <row r="1367" spans="32:33" x14ac:dyDescent="0.4">
      <c r="AF1367" s="19">
        <v>20100102</v>
      </c>
      <c r="AG1367" s="17">
        <v>1497.2826745253519</v>
      </c>
    </row>
    <row r="1368" spans="32:33" x14ac:dyDescent="0.4">
      <c r="AF1368" s="19">
        <v>20100103</v>
      </c>
      <c r="AG1368" s="17">
        <v>1497.1751309812439</v>
      </c>
    </row>
    <row r="1369" spans="32:33" x14ac:dyDescent="0.4">
      <c r="AF1369" s="19">
        <v>20100104</v>
      </c>
      <c r="AG1369" s="17">
        <v>1506.055155051876</v>
      </c>
    </row>
    <row r="1370" spans="32:33" x14ac:dyDescent="0.4">
      <c r="AF1370" s="19">
        <v>20100105</v>
      </c>
      <c r="AG1370" s="17">
        <v>1514.551095036408</v>
      </c>
    </row>
    <row r="1371" spans="32:33" x14ac:dyDescent="0.4">
      <c r="AF1371" s="19">
        <v>20100106</v>
      </c>
      <c r="AG1371" s="18">
        <v>1522.2174133949641</v>
      </c>
    </row>
    <row r="1372" spans="32:33" x14ac:dyDescent="0.4">
      <c r="AF1372" s="19">
        <v>20100107</v>
      </c>
      <c r="AG1372" s="17">
        <v>1520.419899872016</v>
      </c>
    </row>
    <row r="1373" spans="32:33" x14ac:dyDescent="0.4">
      <c r="AF1373" s="19">
        <v>20100108</v>
      </c>
      <c r="AG1373" s="17">
        <v>1529.6686446653041</v>
      </c>
    </row>
    <row r="1374" spans="32:33" x14ac:dyDescent="0.4">
      <c r="AF1374" s="19">
        <v>20100109</v>
      </c>
      <c r="AG1374" s="17">
        <v>1529.545737757752</v>
      </c>
    </row>
    <row r="1375" spans="32:33" x14ac:dyDescent="0.4">
      <c r="AF1375" s="19">
        <v>20100110</v>
      </c>
      <c r="AG1375" s="17">
        <v>1529.438194213644</v>
      </c>
    </row>
    <row r="1376" spans="32:33" x14ac:dyDescent="0.4">
      <c r="AF1376" s="19">
        <v>20100111</v>
      </c>
      <c r="AG1376" s="18">
        <v>1530.0527287514039</v>
      </c>
    </row>
    <row r="1377" spans="32:33" x14ac:dyDescent="0.4">
      <c r="AF1377" s="19">
        <v>20100112</v>
      </c>
      <c r="AG1377" s="17">
        <v>1522.9548548402761</v>
      </c>
    </row>
    <row r="1378" spans="32:33" x14ac:dyDescent="0.4">
      <c r="AF1378" s="19">
        <v>20100113</v>
      </c>
      <c r="AG1378" s="17">
        <v>1510.7870709926281</v>
      </c>
    </row>
    <row r="1379" spans="32:33" x14ac:dyDescent="0.4">
      <c r="AF1379" s="19">
        <v>20100114</v>
      </c>
      <c r="AG1379" s="17">
        <v>1520.2969929644639</v>
      </c>
    </row>
    <row r="1380" spans="32:33" x14ac:dyDescent="0.4">
      <c r="AF1380" s="19">
        <v>20100115</v>
      </c>
      <c r="AG1380" s="17">
        <v>1529.2999239426481</v>
      </c>
    </row>
    <row r="1381" spans="32:33" x14ac:dyDescent="0.4">
      <c r="AF1381" s="19">
        <v>20100116</v>
      </c>
      <c r="AG1381" s="18">
        <v>1529.1923803985401</v>
      </c>
    </row>
    <row r="1382" spans="32:33" x14ac:dyDescent="0.4">
      <c r="AF1382" s="19">
        <v>20100117</v>
      </c>
      <c r="AG1382" s="17">
        <v>1529.069473490988</v>
      </c>
    </row>
    <row r="1383" spans="32:33" x14ac:dyDescent="0.4">
      <c r="AF1383" s="19">
        <v>20100118</v>
      </c>
      <c r="AG1383" s="17">
        <v>1536.367071126888</v>
      </c>
    </row>
    <row r="1384" spans="32:33" x14ac:dyDescent="0.4">
      <c r="AF1384" s="19">
        <v>20100119</v>
      </c>
      <c r="AG1384" s="17">
        <v>1540.5151792567681</v>
      </c>
    </row>
    <row r="1385" spans="32:33" x14ac:dyDescent="0.4">
      <c r="AF1385" s="19">
        <v>20100120</v>
      </c>
      <c r="AG1385" s="17">
        <v>1542.128332418388</v>
      </c>
    </row>
    <row r="1386" spans="32:33" x14ac:dyDescent="0.4">
      <c r="AF1386" s="19">
        <v>20100121</v>
      </c>
      <c r="AG1386" s="18">
        <v>1548.411948066984</v>
      </c>
    </row>
    <row r="1387" spans="32:33" x14ac:dyDescent="0.4">
      <c r="AF1387" s="19">
        <v>20100122</v>
      </c>
      <c r="AG1387" s="17">
        <v>1534.1240200640641</v>
      </c>
    </row>
    <row r="1388" spans="32:33" x14ac:dyDescent="0.4">
      <c r="AF1388" s="19">
        <v>20100123</v>
      </c>
      <c r="AG1388" s="17">
        <v>1534.001113156512</v>
      </c>
    </row>
    <row r="1389" spans="32:33" x14ac:dyDescent="0.4">
      <c r="AF1389" s="19">
        <v>20100124</v>
      </c>
      <c r="AG1389" s="17">
        <v>1533.893569612404</v>
      </c>
    </row>
    <row r="1390" spans="32:33" x14ac:dyDescent="0.4">
      <c r="AF1390" s="19">
        <v>20100125</v>
      </c>
      <c r="AG1390" s="17">
        <v>1511.616692618604</v>
      </c>
    </row>
    <row r="1391" spans="32:33" x14ac:dyDescent="0.4">
      <c r="AF1391" s="19">
        <v>20100126</v>
      </c>
      <c r="AG1391" s="18">
        <v>1499.9866264914961</v>
      </c>
    </row>
    <row r="1392" spans="32:33" x14ac:dyDescent="0.4">
      <c r="AF1392" s="19">
        <v>20100127</v>
      </c>
      <c r="AG1392" s="17">
        <v>1507.0384103122919</v>
      </c>
    </row>
    <row r="1393" spans="32:33" x14ac:dyDescent="0.4">
      <c r="AF1393" s="19">
        <v>20100128</v>
      </c>
      <c r="AG1393" s="17">
        <v>1507.6068547597199</v>
      </c>
    </row>
    <row r="1394" spans="32:33" x14ac:dyDescent="0.4">
      <c r="AF1394" s="19">
        <v>20100129</v>
      </c>
      <c r="AG1394" s="17">
        <v>1477.49466240948</v>
      </c>
    </row>
    <row r="1395" spans="32:33" x14ac:dyDescent="0.4">
      <c r="AF1395" s="19">
        <v>20100130</v>
      </c>
      <c r="AG1395" s="17">
        <v>1477.387118865372</v>
      </c>
    </row>
    <row r="1396" spans="32:33" x14ac:dyDescent="0.4">
      <c r="AF1396" s="19">
        <v>20100131</v>
      </c>
      <c r="AG1396" s="18">
        <v>1477.279575321264</v>
      </c>
    </row>
    <row r="1397" spans="32:33" x14ac:dyDescent="0.4">
      <c r="AF1397" s="19">
        <v>20100201</v>
      </c>
      <c r="AG1397" s="17">
        <v>1479.8145302895241</v>
      </c>
    </row>
    <row r="1398" spans="32:33" x14ac:dyDescent="0.4">
      <c r="AF1398" s="19">
        <v>20100202</v>
      </c>
      <c r="AG1398" s="17">
        <v>1479.998890650852</v>
      </c>
    </row>
    <row r="1399" spans="32:33" x14ac:dyDescent="0.4">
      <c r="AF1399" s="19">
        <v>20100203</v>
      </c>
      <c r="AG1399" s="17">
        <v>1490.999058876756</v>
      </c>
    </row>
    <row r="1400" spans="32:33" x14ac:dyDescent="0.4">
      <c r="AF1400" s="19">
        <v>20100204</v>
      </c>
      <c r="AG1400" s="17">
        <v>1496.6374132607041</v>
      </c>
    </row>
    <row r="1401" spans="32:33" x14ac:dyDescent="0.4">
      <c r="AF1401" s="19">
        <v>20100205</v>
      </c>
      <c r="AG1401" s="18">
        <v>1463.3142779506679</v>
      </c>
    </row>
    <row r="1402" spans="32:33" x14ac:dyDescent="0.4">
      <c r="AF1402" s="19">
        <v>20100206</v>
      </c>
      <c r="AG1402" s="17">
        <v>1463.2067344065599</v>
      </c>
    </row>
    <row r="1403" spans="32:33" x14ac:dyDescent="0.4">
      <c r="AF1403" s="19">
        <v>20100207</v>
      </c>
      <c r="AG1403" s="17">
        <v>1463.0991908624519</v>
      </c>
    </row>
    <row r="1404" spans="32:33" x14ac:dyDescent="0.4">
      <c r="AF1404" s="19">
        <v>20100208</v>
      </c>
      <c r="AG1404" s="17">
        <v>1453.9118995229401</v>
      </c>
    </row>
    <row r="1405" spans="32:33" x14ac:dyDescent="0.4">
      <c r="AF1405" s="19">
        <v>20100209</v>
      </c>
      <c r="AG1405" s="17">
        <v>1458.8589025519079</v>
      </c>
    </row>
    <row r="1406" spans="32:33" x14ac:dyDescent="0.4">
      <c r="AF1406" s="19">
        <v>20100210</v>
      </c>
      <c r="AG1406" s="18">
        <v>1457.5991067494999</v>
      </c>
    </row>
    <row r="1407" spans="32:33" x14ac:dyDescent="0.4">
      <c r="AF1407" s="19">
        <v>20100211</v>
      </c>
      <c r="AG1407" s="17">
        <v>1475.0057975315519</v>
      </c>
    </row>
    <row r="1408" spans="32:33" x14ac:dyDescent="0.4">
      <c r="AF1408" s="19">
        <v>20100212</v>
      </c>
      <c r="AG1408" s="17">
        <v>1482.9025663417681</v>
      </c>
    </row>
    <row r="1409" spans="32:33" x14ac:dyDescent="0.4">
      <c r="AF1409" s="19">
        <v>20100213</v>
      </c>
      <c r="AG1409" s="17">
        <v>1482.7950227976601</v>
      </c>
    </row>
    <row r="1410" spans="32:33" x14ac:dyDescent="0.4">
      <c r="AF1410" s="19">
        <v>20100214</v>
      </c>
      <c r="AG1410" s="17">
        <v>1482.6874792535521</v>
      </c>
    </row>
    <row r="1411" spans="32:33" x14ac:dyDescent="0.4">
      <c r="AF1411" s="19">
        <v>20100215</v>
      </c>
      <c r="AG1411" s="18">
        <v>1482.579935709444</v>
      </c>
    </row>
    <row r="1412" spans="32:33" x14ac:dyDescent="0.4">
      <c r="AF1412" s="19">
        <v>20100216</v>
      </c>
      <c r="AG1412" s="17">
        <v>1484.9612570432639</v>
      </c>
    </row>
    <row r="1413" spans="32:33" x14ac:dyDescent="0.4">
      <c r="AF1413" s="19">
        <v>20100217</v>
      </c>
      <c r="AG1413" s="17">
        <v>1497.7896655190041</v>
      </c>
    </row>
    <row r="1414" spans="32:33" x14ac:dyDescent="0.4">
      <c r="AF1414" s="19">
        <v>20100218</v>
      </c>
      <c r="AG1414" s="17">
        <v>1494.9628066453081</v>
      </c>
    </row>
    <row r="1415" spans="32:33" x14ac:dyDescent="0.4">
      <c r="AF1415" s="19">
        <v>20100219</v>
      </c>
      <c r="AG1415" s="17">
        <v>1476.7264942372799</v>
      </c>
    </row>
    <row r="1416" spans="32:33" x14ac:dyDescent="0.4">
      <c r="AF1416" s="19">
        <v>20100220</v>
      </c>
      <c r="AG1416" s="18">
        <v>1476.6189506931721</v>
      </c>
    </row>
    <row r="1417" spans="32:33" x14ac:dyDescent="0.4">
      <c r="AF1417" s="19">
        <v>20100221</v>
      </c>
      <c r="AG1417" s="17">
        <v>1476.5114071490641</v>
      </c>
    </row>
    <row r="1418" spans="32:33" x14ac:dyDescent="0.4">
      <c r="AF1418" s="19">
        <v>20100222</v>
      </c>
      <c r="AG1418" s="17">
        <v>1493.672284116012</v>
      </c>
    </row>
    <row r="1419" spans="32:33" x14ac:dyDescent="0.4">
      <c r="AF1419" s="19">
        <v>20100223</v>
      </c>
      <c r="AG1419" s="17">
        <v>1497.1751309812439</v>
      </c>
    </row>
    <row r="1420" spans="32:33" x14ac:dyDescent="0.4">
      <c r="AF1420" s="19">
        <v>20100224</v>
      </c>
      <c r="AG1420" s="17">
        <v>1490.9376054229799</v>
      </c>
    </row>
    <row r="1421" spans="32:33" x14ac:dyDescent="0.4">
      <c r="AF1421" s="19">
        <v>20100225</v>
      </c>
      <c r="AG1421" s="18">
        <v>1476.695767510392</v>
      </c>
    </row>
    <row r="1422" spans="32:33" x14ac:dyDescent="0.4">
      <c r="AF1422" s="19">
        <v>20100226</v>
      </c>
      <c r="AG1422" s="17">
        <v>1485.1148906777039</v>
      </c>
    </row>
    <row r="1423" spans="32:33" x14ac:dyDescent="0.4">
      <c r="AF1423" s="19">
        <v>20100227</v>
      </c>
      <c r="AG1423" s="17">
        <v>1484.991983770152</v>
      </c>
    </row>
    <row r="1424" spans="32:33" x14ac:dyDescent="0.4">
      <c r="AF1424" s="19">
        <v>20100228</v>
      </c>
      <c r="AG1424" s="17">
        <v>1484.884440226044</v>
      </c>
    </row>
    <row r="1425" spans="32:33" x14ac:dyDescent="0.4">
      <c r="AF1425" s="19">
        <v>20100301</v>
      </c>
      <c r="AG1425" s="17">
        <v>1484.776896681936</v>
      </c>
    </row>
    <row r="1426" spans="32:33" x14ac:dyDescent="0.4">
      <c r="AF1426" s="19">
        <v>20100302</v>
      </c>
      <c r="AG1426" s="18">
        <v>1489.7853531646799</v>
      </c>
    </row>
    <row r="1427" spans="32:33" x14ac:dyDescent="0.4">
      <c r="AF1427" s="19">
        <v>20100303</v>
      </c>
      <c r="AG1427" s="17">
        <v>1492.9348426706999</v>
      </c>
    </row>
    <row r="1428" spans="32:33" x14ac:dyDescent="0.4">
      <c r="AF1428" s="19">
        <v>20100304</v>
      </c>
      <c r="AG1428" s="17">
        <v>1485.8523321230159</v>
      </c>
    </row>
    <row r="1429" spans="32:33" x14ac:dyDescent="0.4">
      <c r="AF1429" s="19">
        <v>20100305</v>
      </c>
      <c r="AG1429" s="17">
        <v>1495.93069854228</v>
      </c>
    </row>
    <row r="1430" spans="32:33" x14ac:dyDescent="0.4">
      <c r="AF1430" s="19">
        <v>20100306</v>
      </c>
      <c r="AG1430" s="17">
        <v>1495.8077916347279</v>
      </c>
    </row>
    <row r="1431" spans="32:33" x14ac:dyDescent="0.4">
      <c r="AF1431" s="19">
        <v>20100307</v>
      </c>
      <c r="AG1431" s="18">
        <v>1495.7002480906201</v>
      </c>
    </row>
    <row r="1432" spans="32:33" x14ac:dyDescent="0.4">
      <c r="AF1432" s="19">
        <v>20100308</v>
      </c>
      <c r="AG1432" s="17">
        <v>1511.1711550787279</v>
      </c>
    </row>
    <row r="1433" spans="32:33" x14ac:dyDescent="0.4">
      <c r="AF1433" s="19">
        <v>20100309</v>
      </c>
      <c r="AG1433" s="17">
        <v>1517.5008608176561</v>
      </c>
    </row>
    <row r="1434" spans="32:33" x14ac:dyDescent="0.4">
      <c r="AF1434" s="19">
        <v>20100310</v>
      </c>
      <c r="AG1434" s="17">
        <v>1520.220176147244</v>
      </c>
    </row>
    <row r="1435" spans="32:33" x14ac:dyDescent="0.4">
      <c r="AF1435" s="19">
        <v>20100311</v>
      </c>
      <c r="AG1435" s="17">
        <v>1521.0344344097759</v>
      </c>
    </row>
    <row r="1436" spans="32:33" x14ac:dyDescent="0.4">
      <c r="AF1436" s="19">
        <v>20100312</v>
      </c>
      <c r="AG1436" s="18">
        <v>1526.9493293357159</v>
      </c>
    </row>
    <row r="1437" spans="32:33" x14ac:dyDescent="0.4">
      <c r="AF1437" s="19">
        <v>20100313</v>
      </c>
      <c r="AG1437" s="17">
        <v>1526.8264224281641</v>
      </c>
    </row>
    <row r="1438" spans="32:33" x14ac:dyDescent="0.4">
      <c r="AF1438" s="19">
        <v>20100314</v>
      </c>
      <c r="AG1438" s="17">
        <v>1526.718878884056</v>
      </c>
    </row>
    <row r="1439" spans="32:33" x14ac:dyDescent="0.4">
      <c r="AF1439" s="19">
        <v>20100315</v>
      </c>
      <c r="AG1439" s="17">
        <v>1518.960380344836</v>
      </c>
    </row>
    <row r="1440" spans="32:33" x14ac:dyDescent="0.4">
      <c r="AF1440" s="19">
        <v>20100316</v>
      </c>
      <c r="AG1440" s="17">
        <v>1522.616860844508</v>
      </c>
    </row>
    <row r="1441" spans="32:33" x14ac:dyDescent="0.4">
      <c r="AF1441" s="19">
        <v>20100317</v>
      </c>
      <c r="AG1441" s="18">
        <v>1534.5849209673841</v>
      </c>
    </row>
    <row r="1442" spans="32:33" x14ac:dyDescent="0.4">
      <c r="AF1442" s="19">
        <v>20100318</v>
      </c>
      <c r="AG1442" s="17">
        <v>1539.5165606329081</v>
      </c>
    </row>
    <row r="1443" spans="32:33" x14ac:dyDescent="0.4">
      <c r="AF1443" s="19">
        <v>20100319</v>
      </c>
      <c r="AG1443" s="17">
        <v>1541.86715523984</v>
      </c>
    </row>
    <row r="1444" spans="32:33" x14ac:dyDescent="0.4">
      <c r="AF1444" s="19">
        <v>20100320</v>
      </c>
      <c r="AG1444" s="17">
        <v>1541.744248332288</v>
      </c>
    </row>
    <row r="1445" spans="32:33" x14ac:dyDescent="0.4">
      <c r="AF1445" s="19">
        <v>20100321</v>
      </c>
      <c r="AG1445" s="17">
        <v>1541.6213414247361</v>
      </c>
    </row>
    <row r="1446" spans="32:33" x14ac:dyDescent="0.4">
      <c r="AF1446" s="19">
        <v>20100322</v>
      </c>
      <c r="AG1446" s="18">
        <v>1541.974698783948</v>
      </c>
    </row>
    <row r="1447" spans="32:33" x14ac:dyDescent="0.4">
      <c r="AF1447" s="19">
        <v>20100323</v>
      </c>
      <c r="AG1447" s="17">
        <v>1550.455275405036</v>
      </c>
    </row>
    <row r="1448" spans="32:33" x14ac:dyDescent="0.4">
      <c r="AF1448" s="19">
        <v>20100324</v>
      </c>
      <c r="AG1448" s="17">
        <v>1547.997137253996</v>
      </c>
    </row>
    <row r="1449" spans="32:33" x14ac:dyDescent="0.4">
      <c r="AF1449" s="19">
        <v>20100325</v>
      </c>
      <c r="AG1449" s="17">
        <v>1550.455275405036</v>
      </c>
    </row>
    <row r="1450" spans="32:33" x14ac:dyDescent="0.4">
      <c r="AF1450" s="19">
        <v>20100326</v>
      </c>
      <c r="AG1450" s="17">
        <v>1554.2500261757041</v>
      </c>
    </row>
    <row r="1451" spans="32:33" x14ac:dyDescent="0.4">
      <c r="AF1451" s="19">
        <v>20100327</v>
      </c>
      <c r="AG1451" s="18">
        <v>1554.127119268152</v>
      </c>
    </row>
    <row r="1452" spans="32:33" x14ac:dyDescent="0.4">
      <c r="AF1452" s="19">
        <v>20100328</v>
      </c>
      <c r="AG1452" s="17">
        <v>1554.0042123605999</v>
      </c>
    </row>
    <row r="1453" spans="32:33" x14ac:dyDescent="0.4">
      <c r="AF1453" s="19">
        <v>20100329</v>
      </c>
      <c r="AG1453" s="17">
        <v>1548.0585907077721</v>
      </c>
    </row>
    <row r="1454" spans="32:33" x14ac:dyDescent="0.4">
      <c r="AF1454" s="19">
        <v>20100330</v>
      </c>
      <c r="AG1454" s="17">
        <v>1558.167683853924</v>
      </c>
    </row>
    <row r="1455" spans="32:33" x14ac:dyDescent="0.4">
      <c r="AF1455" s="19">
        <v>20100331</v>
      </c>
      <c r="AG1455" s="17">
        <v>1557.5531493161641</v>
      </c>
    </row>
    <row r="1456" spans="32:33" x14ac:dyDescent="0.4">
      <c r="AF1456" s="19">
        <v>20100401</v>
      </c>
      <c r="AG1456" s="18">
        <v>1564.3744826853001</v>
      </c>
    </row>
    <row r="1457" spans="32:33" x14ac:dyDescent="0.4">
      <c r="AF1457" s="19">
        <v>20100402</v>
      </c>
      <c r="AG1457" s="17">
        <v>1552.5907829237519</v>
      </c>
    </row>
    <row r="1458" spans="32:33" x14ac:dyDescent="0.4">
      <c r="AF1458" s="19">
        <v>20100403</v>
      </c>
      <c r="AG1458" s="17">
        <v>1552.4678760162001</v>
      </c>
    </row>
    <row r="1459" spans="32:33" x14ac:dyDescent="0.4">
      <c r="AF1459" s="19">
        <v>20100404</v>
      </c>
      <c r="AG1459" s="17">
        <v>1552.3603324720921</v>
      </c>
    </row>
    <row r="1460" spans="32:33" x14ac:dyDescent="0.4">
      <c r="AF1460" s="19">
        <v>20100405</v>
      </c>
      <c r="AG1460" s="17">
        <v>1536.4438879441079</v>
      </c>
    </row>
    <row r="1461" spans="32:33" x14ac:dyDescent="0.4">
      <c r="AF1461" s="19">
        <v>20100406</v>
      </c>
      <c r="AG1461" s="18">
        <v>1543.0808609519161</v>
      </c>
    </row>
    <row r="1462" spans="32:33" x14ac:dyDescent="0.4">
      <c r="AF1462" s="19">
        <v>20100407</v>
      </c>
      <c r="AG1462" s="17">
        <v>1551.6997078439999</v>
      </c>
    </row>
    <row r="1463" spans="32:33" x14ac:dyDescent="0.4">
      <c r="AF1463" s="19">
        <v>20100408</v>
      </c>
      <c r="AG1463" s="17">
        <v>1554.019575724044</v>
      </c>
    </row>
    <row r="1464" spans="32:33" x14ac:dyDescent="0.4">
      <c r="AF1464" s="19">
        <v>20100409</v>
      </c>
      <c r="AG1464" s="17">
        <v>1551.7918880246641</v>
      </c>
    </row>
    <row r="1465" spans="32:33" x14ac:dyDescent="0.4">
      <c r="AF1465" s="19">
        <v>20100410</v>
      </c>
      <c r="AG1465" s="17">
        <v>1551.6843444805561</v>
      </c>
    </row>
    <row r="1466" spans="32:33" x14ac:dyDescent="0.4">
      <c r="AF1466" s="19">
        <v>20100411</v>
      </c>
      <c r="AG1466" s="18">
        <v>1551.561437573004</v>
      </c>
    </row>
    <row r="1467" spans="32:33" x14ac:dyDescent="0.4">
      <c r="AF1467" s="19">
        <v>20100412</v>
      </c>
      <c r="AG1467" s="17">
        <v>1548.0278639808839</v>
      </c>
    </row>
    <row r="1468" spans="32:33" x14ac:dyDescent="0.4">
      <c r="AF1468" s="19">
        <v>20100413</v>
      </c>
      <c r="AG1468" s="17">
        <v>1547.674506621672</v>
      </c>
    </row>
    <row r="1469" spans="32:33" x14ac:dyDescent="0.4">
      <c r="AF1469" s="19">
        <v>20100414</v>
      </c>
      <c r="AG1469" s="17">
        <v>1557.261245410728</v>
      </c>
    </row>
    <row r="1470" spans="32:33" x14ac:dyDescent="0.4">
      <c r="AF1470" s="19">
        <v>20100415</v>
      </c>
      <c r="AG1470" s="17">
        <v>1556.431623784752</v>
      </c>
    </row>
    <row r="1471" spans="32:33" x14ac:dyDescent="0.4">
      <c r="AF1471" s="19">
        <v>20100416</v>
      </c>
      <c r="AG1471" s="18">
        <v>1556.8771613246281</v>
      </c>
    </row>
    <row r="1472" spans="32:33" x14ac:dyDescent="0.4">
      <c r="AF1472" s="19">
        <v>20100417</v>
      </c>
      <c r="AG1472" s="17">
        <v>1556.754254417076</v>
      </c>
    </row>
    <row r="1473" spans="32:33" x14ac:dyDescent="0.4">
      <c r="AF1473" s="19">
        <v>20100418</v>
      </c>
      <c r="AG1473" s="17">
        <v>1556.6452816192909</v>
      </c>
    </row>
    <row r="1474" spans="32:33" x14ac:dyDescent="0.4">
      <c r="AF1474" s="19">
        <v>20100419</v>
      </c>
      <c r="AG1474" s="17">
        <v>1544.097842328689</v>
      </c>
    </row>
    <row r="1475" spans="32:33" x14ac:dyDescent="0.4">
      <c r="AF1475" s="19">
        <v>20100420</v>
      </c>
      <c r="AG1475" s="17">
        <v>1560.8485181062169</v>
      </c>
    </row>
    <row r="1476" spans="32:33" x14ac:dyDescent="0.4">
      <c r="AF1476" s="19">
        <v>20100421</v>
      </c>
      <c r="AG1476" s="18">
        <v>1574.2054696091161</v>
      </c>
    </row>
    <row r="1477" spans="32:33" x14ac:dyDescent="0.4">
      <c r="AF1477" s="19">
        <v>20100422</v>
      </c>
      <c r="AG1477" s="17">
        <v>1573.2091468862891</v>
      </c>
    </row>
    <row r="1478" spans="32:33" x14ac:dyDescent="0.4">
      <c r="AF1478" s="19">
        <v>20100423</v>
      </c>
      <c r="AG1478" s="17">
        <v>1575.7777914060771</v>
      </c>
    </row>
    <row r="1479" spans="32:33" x14ac:dyDescent="0.4">
      <c r="AF1479" s="19">
        <v>20100424</v>
      </c>
      <c r="AG1479" s="17">
        <v>1575.6688186082681</v>
      </c>
    </row>
    <row r="1480" spans="32:33" x14ac:dyDescent="0.4">
      <c r="AF1480" s="19">
        <v>20100425</v>
      </c>
      <c r="AG1480" s="17">
        <v>1575.544278267914</v>
      </c>
    </row>
    <row r="1481" spans="32:33" x14ac:dyDescent="0.4">
      <c r="AF1481" s="19">
        <v>20100426</v>
      </c>
      <c r="AG1481" s="18">
        <v>1578.9847051701761</v>
      </c>
    </row>
    <row r="1482" spans="32:33" x14ac:dyDescent="0.4">
      <c r="AF1482" s="19">
        <v>20100427</v>
      </c>
      <c r="AG1482" s="17">
        <v>1579.9654603504589</v>
      </c>
    </row>
    <row r="1483" spans="32:33" x14ac:dyDescent="0.4">
      <c r="AF1483" s="19">
        <v>20100428</v>
      </c>
      <c r="AG1483" s="17">
        <v>1575.3419002148401</v>
      </c>
    </row>
    <row r="1484" spans="32:33" x14ac:dyDescent="0.4">
      <c r="AF1484" s="19">
        <v>20100429</v>
      </c>
      <c r="AG1484" s="17">
        <v>1578.3464359258651</v>
      </c>
    </row>
    <row r="1485" spans="32:33" x14ac:dyDescent="0.4">
      <c r="AF1485" s="19">
        <v>20100430</v>
      </c>
      <c r="AG1485" s="17">
        <v>1590.0220928339929</v>
      </c>
    </row>
    <row r="1486" spans="32:33" x14ac:dyDescent="0.4">
      <c r="AF1486" s="19">
        <v>20100501</v>
      </c>
      <c r="AG1486" s="18">
        <v>1589.89755249364</v>
      </c>
    </row>
    <row r="1487" spans="32:33" x14ac:dyDescent="0.4">
      <c r="AF1487" s="19">
        <v>20100502</v>
      </c>
      <c r="AG1487" s="17">
        <v>1589.788579695831</v>
      </c>
    </row>
    <row r="1488" spans="32:33" x14ac:dyDescent="0.4">
      <c r="AF1488" s="19">
        <v>20100503</v>
      </c>
      <c r="AG1488" s="17">
        <v>1583.8106433588689</v>
      </c>
    </row>
    <row r="1489" spans="32:33" x14ac:dyDescent="0.4">
      <c r="AF1489" s="19">
        <v>20100504</v>
      </c>
      <c r="AG1489" s="17">
        <v>1577.6925991390101</v>
      </c>
    </row>
    <row r="1490" spans="32:33" x14ac:dyDescent="0.4">
      <c r="AF1490" s="19">
        <v>20100505</v>
      </c>
      <c r="AG1490" s="17">
        <v>1577.5836263412009</v>
      </c>
    </row>
    <row r="1491" spans="32:33" x14ac:dyDescent="0.4">
      <c r="AF1491" s="19">
        <v>20100506</v>
      </c>
      <c r="AG1491" s="18">
        <v>1560.0390058939199</v>
      </c>
    </row>
    <row r="1492" spans="32:33" x14ac:dyDescent="0.4">
      <c r="AF1492" s="19">
        <v>20100507</v>
      </c>
      <c r="AG1492" s="17">
        <v>1530.0870540389351</v>
      </c>
    </row>
    <row r="1493" spans="32:33" x14ac:dyDescent="0.4">
      <c r="AF1493" s="19">
        <v>20100508</v>
      </c>
      <c r="AG1493" s="17">
        <v>1529.9936487836701</v>
      </c>
    </row>
    <row r="1494" spans="32:33" x14ac:dyDescent="0.4">
      <c r="AF1494" s="19">
        <v>20100509</v>
      </c>
      <c r="AG1494" s="17">
        <v>1529.8846759858609</v>
      </c>
    </row>
    <row r="1495" spans="32:33" x14ac:dyDescent="0.4">
      <c r="AF1495" s="19">
        <v>20100510</v>
      </c>
      <c r="AG1495" s="17">
        <v>1557.2212806934249</v>
      </c>
    </row>
    <row r="1496" spans="32:33" x14ac:dyDescent="0.4">
      <c r="AF1496" s="19">
        <v>20100511</v>
      </c>
      <c r="AG1496" s="18">
        <v>1560.381491829892</v>
      </c>
    </row>
    <row r="1497" spans="32:33" x14ac:dyDescent="0.4">
      <c r="AF1497" s="19">
        <v>20100512</v>
      </c>
      <c r="AG1497" s="17">
        <v>1562.01608379703</v>
      </c>
    </row>
    <row r="1498" spans="32:33" x14ac:dyDescent="0.4">
      <c r="AF1498" s="19">
        <v>20100513</v>
      </c>
      <c r="AG1498" s="17">
        <v>1594.848031022686</v>
      </c>
    </row>
    <row r="1499" spans="32:33" x14ac:dyDescent="0.4">
      <c r="AF1499" s="19">
        <v>20100514</v>
      </c>
      <c r="AG1499" s="17">
        <v>1608.422928121204</v>
      </c>
    </row>
    <row r="1500" spans="32:33" x14ac:dyDescent="0.4">
      <c r="AF1500" s="19">
        <v>20100515</v>
      </c>
      <c r="AG1500" s="17">
        <v>1608.3139553233941</v>
      </c>
    </row>
    <row r="1501" spans="32:33" x14ac:dyDescent="0.4">
      <c r="AF1501" s="19">
        <v>20100516</v>
      </c>
      <c r="AG1501" s="18">
        <v>1608.2049825255849</v>
      </c>
    </row>
    <row r="1502" spans="32:33" x14ac:dyDescent="0.4">
      <c r="AF1502" s="19">
        <v>20100517</v>
      </c>
      <c r="AG1502" s="17">
        <v>1586.1924773681269</v>
      </c>
    </row>
    <row r="1503" spans="32:33" x14ac:dyDescent="0.4">
      <c r="AF1503" s="19">
        <v>20100518</v>
      </c>
      <c r="AG1503" s="17">
        <v>1573.4893626520841</v>
      </c>
    </row>
    <row r="1504" spans="32:33" x14ac:dyDescent="0.4">
      <c r="AF1504" s="19">
        <v>20100519</v>
      </c>
      <c r="AG1504" s="17">
        <v>1575.2173598744871</v>
      </c>
    </row>
    <row r="1505" spans="32:33" x14ac:dyDescent="0.4">
      <c r="AF1505" s="19">
        <v>20100520</v>
      </c>
      <c r="AG1505" s="17">
        <v>1547.320323635332</v>
      </c>
    </row>
    <row r="1506" spans="32:33" x14ac:dyDescent="0.4">
      <c r="AF1506" s="19">
        <v>20100521</v>
      </c>
      <c r="AG1506" s="18">
        <v>1547.211350837523</v>
      </c>
    </row>
    <row r="1507" spans="32:33" x14ac:dyDescent="0.4">
      <c r="AF1507" s="19">
        <v>20100522</v>
      </c>
      <c r="AG1507" s="17">
        <v>1547.102378039714</v>
      </c>
    </row>
    <row r="1508" spans="32:33" x14ac:dyDescent="0.4">
      <c r="AF1508" s="19">
        <v>20100523</v>
      </c>
      <c r="AG1508" s="17">
        <v>1547.008972784449</v>
      </c>
    </row>
    <row r="1509" spans="32:33" x14ac:dyDescent="0.4">
      <c r="AF1509" s="19">
        <v>20100524</v>
      </c>
      <c r="AG1509" s="17">
        <v>1539.147363799643</v>
      </c>
    </row>
    <row r="1510" spans="32:33" x14ac:dyDescent="0.4">
      <c r="AF1510" s="19">
        <v>20100525</v>
      </c>
      <c r="AG1510" s="17">
        <v>1490.187442498225</v>
      </c>
    </row>
    <row r="1511" spans="32:33" x14ac:dyDescent="0.4">
      <c r="AF1511" s="19">
        <v>20100526</v>
      </c>
      <c r="AG1511" s="18">
        <v>1509.460060167909</v>
      </c>
    </row>
    <row r="1512" spans="32:33" x14ac:dyDescent="0.4">
      <c r="AF1512" s="19">
        <v>20100527</v>
      </c>
      <c r="AG1512" s="17">
        <v>1532.7802388990769</v>
      </c>
    </row>
    <row r="1513" spans="32:33" x14ac:dyDescent="0.4">
      <c r="AF1513" s="19">
        <v>20100528</v>
      </c>
      <c r="AG1513" s="17">
        <v>1535.9404500355431</v>
      </c>
    </row>
    <row r="1514" spans="32:33" x14ac:dyDescent="0.4">
      <c r="AF1514" s="19">
        <v>20100529</v>
      </c>
      <c r="AG1514" s="17">
        <v>1535.8314772377339</v>
      </c>
    </row>
    <row r="1515" spans="32:33" x14ac:dyDescent="0.4">
      <c r="AF1515" s="19">
        <v>20100530</v>
      </c>
      <c r="AG1515" s="17">
        <v>1535.7225044399249</v>
      </c>
    </row>
    <row r="1516" spans="32:33" x14ac:dyDescent="0.4">
      <c r="AF1516" s="19">
        <v>20100531</v>
      </c>
      <c r="AG1516" s="18">
        <v>1548.487889326145</v>
      </c>
    </row>
    <row r="1517" spans="32:33" x14ac:dyDescent="0.4">
      <c r="AF1517" s="19">
        <v>20100601</v>
      </c>
      <c r="AG1517" s="17">
        <v>1547.211350837523</v>
      </c>
    </row>
    <row r="1518" spans="32:33" x14ac:dyDescent="0.4">
      <c r="AF1518" s="19">
        <v>20100602</v>
      </c>
      <c r="AG1518" s="17">
        <v>1547.102378039714</v>
      </c>
    </row>
    <row r="1519" spans="32:33" x14ac:dyDescent="0.4">
      <c r="AF1519" s="19">
        <v>20100603</v>
      </c>
      <c r="AG1519" s="17">
        <v>1570.624934823956</v>
      </c>
    </row>
    <row r="1520" spans="32:33" x14ac:dyDescent="0.4">
      <c r="AF1520" s="19">
        <v>20100604</v>
      </c>
      <c r="AG1520" s="17">
        <v>1566.4528334221191</v>
      </c>
    </row>
    <row r="1521" spans="32:33" x14ac:dyDescent="0.4">
      <c r="AF1521" s="19">
        <v>20100605</v>
      </c>
      <c r="AG1521" s="18">
        <v>1566.3438606243089</v>
      </c>
    </row>
    <row r="1522" spans="32:33" x14ac:dyDescent="0.4">
      <c r="AF1522" s="19">
        <v>20100606</v>
      </c>
      <c r="AG1522" s="17">
        <v>1566.2348878265</v>
      </c>
    </row>
    <row r="1523" spans="32:33" x14ac:dyDescent="0.4">
      <c r="AF1523" s="19">
        <v>20100607</v>
      </c>
      <c r="AG1523" s="17">
        <v>1549.1572936555449</v>
      </c>
    </row>
    <row r="1524" spans="32:33" x14ac:dyDescent="0.4">
      <c r="AF1524" s="19">
        <v>20100608</v>
      </c>
      <c r="AG1524" s="17">
        <v>1562.57651532862</v>
      </c>
    </row>
    <row r="1525" spans="32:33" x14ac:dyDescent="0.4">
      <c r="AF1525" s="19">
        <v>20100609</v>
      </c>
      <c r="AG1525" s="17">
        <v>1558.7936024903861</v>
      </c>
    </row>
    <row r="1526" spans="32:33" x14ac:dyDescent="0.4">
      <c r="AF1526" s="19">
        <v>20100610</v>
      </c>
      <c r="AG1526" s="18">
        <v>1566.016942230882</v>
      </c>
    </row>
    <row r="1527" spans="32:33" x14ac:dyDescent="0.4">
      <c r="AF1527" s="19">
        <v>20100611</v>
      </c>
      <c r="AG1527" s="17">
        <v>1572.8510934077731</v>
      </c>
    </row>
    <row r="1528" spans="32:33" x14ac:dyDescent="0.4">
      <c r="AF1528" s="19">
        <v>20100612</v>
      </c>
      <c r="AG1528" s="17">
        <v>1572.7421206099641</v>
      </c>
    </row>
    <row r="1529" spans="32:33" x14ac:dyDescent="0.4">
      <c r="AF1529" s="19">
        <v>20100613</v>
      </c>
      <c r="AG1529" s="17">
        <v>1572.633147812154</v>
      </c>
    </row>
    <row r="1530" spans="32:33" x14ac:dyDescent="0.4">
      <c r="AF1530" s="19">
        <v>20100614</v>
      </c>
      <c r="AG1530" s="17">
        <v>1574.8437388534271</v>
      </c>
    </row>
    <row r="1531" spans="32:33" x14ac:dyDescent="0.4">
      <c r="AF1531" s="19">
        <v>20100615</v>
      </c>
      <c r="AG1531" s="18">
        <v>1579.2493533934271</v>
      </c>
    </row>
    <row r="1532" spans="32:33" x14ac:dyDescent="0.4">
      <c r="AF1532" s="19">
        <v>20100616</v>
      </c>
      <c r="AG1532" s="17">
        <v>1582.4718347000701</v>
      </c>
    </row>
    <row r="1533" spans="32:33" x14ac:dyDescent="0.4">
      <c r="AF1533" s="19">
        <v>20100617</v>
      </c>
      <c r="AG1533" s="17">
        <v>1582.0670785939219</v>
      </c>
    </row>
    <row r="1534" spans="32:33" x14ac:dyDescent="0.4">
      <c r="AF1534" s="19">
        <v>20100618</v>
      </c>
      <c r="AG1534" s="17">
        <v>1582.6897802956889</v>
      </c>
    </row>
    <row r="1535" spans="32:33" x14ac:dyDescent="0.4">
      <c r="AF1535" s="19">
        <v>20100619</v>
      </c>
      <c r="AG1535" s="17">
        <v>1582.58080749788</v>
      </c>
    </row>
    <row r="1536" spans="32:33" x14ac:dyDescent="0.4">
      <c r="AF1536" s="19">
        <v>20100620</v>
      </c>
      <c r="AG1536" s="18">
        <v>1582.4718347000701</v>
      </c>
    </row>
    <row r="1537" spans="32:33" x14ac:dyDescent="0.4">
      <c r="AF1537" s="19">
        <v>20100621</v>
      </c>
      <c r="AG1537" s="17">
        <v>1589.3682560471379</v>
      </c>
    </row>
    <row r="1538" spans="32:33" x14ac:dyDescent="0.4">
      <c r="AF1538" s="19">
        <v>20100622</v>
      </c>
      <c r="AG1538" s="17">
        <v>1586.7217738146289</v>
      </c>
    </row>
    <row r="1539" spans="32:33" x14ac:dyDescent="0.4">
      <c r="AF1539" s="19">
        <v>20100623</v>
      </c>
      <c r="AG1539" s="17">
        <v>1583.390319710177</v>
      </c>
    </row>
    <row r="1540" spans="32:33" x14ac:dyDescent="0.4">
      <c r="AF1540" s="19">
        <v>20100624</v>
      </c>
      <c r="AG1540" s="17">
        <v>1594.7701933099661</v>
      </c>
    </row>
    <row r="1541" spans="32:33" x14ac:dyDescent="0.4">
      <c r="AF1541" s="19">
        <v>20100625</v>
      </c>
      <c r="AG1541" s="18">
        <v>1589.041337653711</v>
      </c>
    </row>
    <row r="1542" spans="32:33" x14ac:dyDescent="0.4">
      <c r="AF1542" s="19">
        <v>20100626</v>
      </c>
      <c r="AG1542" s="17">
        <v>1588.9323648559009</v>
      </c>
    </row>
    <row r="1543" spans="32:33" x14ac:dyDescent="0.4">
      <c r="AF1543" s="19">
        <v>20100627</v>
      </c>
      <c r="AG1543" s="17">
        <v>1588.8233920580919</v>
      </c>
    </row>
    <row r="1544" spans="32:33" x14ac:dyDescent="0.4">
      <c r="AF1544" s="19">
        <v>20100628</v>
      </c>
      <c r="AG1544" s="17">
        <v>1594.754625767421</v>
      </c>
    </row>
    <row r="1545" spans="32:33" x14ac:dyDescent="0.4">
      <c r="AF1545" s="19">
        <v>20100629</v>
      </c>
      <c r="AG1545" s="17">
        <v>1571.1853663555471</v>
      </c>
    </row>
    <row r="1546" spans="32:33" x14ac:dyDescent="0.4">
      <c r="AF1546" s="19">
        <v>20100630</v>
      </c>
      <c r="AG1546" s="18">
        <v>1576.3849255652999</v>
      </c>
    </row>
    <row r="1547" spans="32:33" x14ac:dyDescent="0.4">
      <c r="AF1547" s="19">
        <v>20100701</v>
      </c>
      <c r="AG1547" s="17">
        <v>1575.1239546192221</v>
      </c>
    </row>
    <row r="1548" spans="32:33" x14ac:dyDescent="0.4">
      <c r="AF1548" s="19">
        <v>20100702</v>
      </c>
      <c r="AG1548" s="17">
        <v>1565.6121861247329</v>
      </c>
    </row>
    <row r="1549" spans="32:33" x14ac:dyDescent="0.4">
      <c r="AF1549" s="19">
        <v>20100703</v>
      </c>
      <c r="AG1549" s="17">
        <v>1565.503213326924</v>
      </c>
    </row>
    <row r="1550" spans="32:33" x14ac:dyDescent="0.4">
      <c r="AF1550" s="19">
        <v>20100704</v>
      </c>
      <c r="AG1550" s="17">
        <v>1565.394240529115</v>
      </c>
    </row>
    <row r="1551" spans="32:33" x14ac:dyDescent="0.4">
      <c r="AF1551" s="19">
        <v>20100705</v>
      </c>
      <c r="AG1551" s="18">
        <v>1563.837486274698</v>
      </c>
    </row>
    <row r="1552" spans="32:33" x14ac:dyDescent="0.4">
      <c r="AF1552" s="19">
        <v>20100706</v>
      </c>
      <c r="AG1552" s="17">
        <v>1559.727655043037</v>
      </c>
    </row>
    <row r="1553" spans="32:33" x14ac:dyDescent="0.4">
      <c r="AF1553" s="19">
        <v>20100707</v>
      </c>
      <c r="AG1553" s="17">
        <v>1552.3486398770999</v>
      </c>
    </row>
    <row r="1554" spans="32:33" x14ac:dyDescent="0.4">
      <c r="AF1554" s="19">
        <v>20100708</v>
      </c>
      <c r="AG1554" s="17">
        <v>1561.2377066698209</v>
      </c>
    </row>
    <row r="1555" spans="32:33" x14ac:dyDescent="0.4">
      <c r="AF1555" s="19">
        <v>20100709</v>
      </c>
      <c r="AG1555" s="17">
        <v>1570.142341005087</v>
      </c>
    </row>
    <row r="1556" spans="32:33" x14ac:dyDescent="0.4">
      <c r="AF1556" s="19">
        <v>20100710</v>
      </c>
      <c r="AG1556" s="18">
        <v>1570.033368207278</v>
      </c>
    </row>
    <row r="1557" spans="32:33" x14ac:dyDescent="0.4">
      <c r="AF1557" s="19">
        <v>20100711</v>
      </c>
      <c r="AG1557" s="17">
        <v>1569.9243954094691</v>
      </c>
    </row>
    <row r="1558" spans="32:33" x14ac:dyDescent="0.4">
      <c r="AF1558" s="19">
        <v>20100712</v>
      </c>
      <c r="AG1558" s="17">
        <v>1574.641360800352</v>
      </c>
    </row>
    <row r="1559" spans="32:33" x14ac:dyDescent="0.4">
      <c r="AF1559" s="19">
        <v>20100713</v>
      </c>
      <c r="AG1559" s="17">
        <v>1577.3345456604941</v>
      </c>
    </row>
    <row r="1560" spans="32:33" x14ac:dyDescent="0.4">
      <c r="AF1560" s="19">
        <v>20100714</v>
      </c>
      <c r="AG1560" s="17">
        <v>1587.593556197103</v>
      </c>
    </row>
    <row r="1561" spans="32:33" x14ac:dyDescent="0.4">
      <c r="AF1561" s="19">
        <v>20100715</v>
      </c>
      <c r="AG1561" s="18">
        <v>1585.772153719435</v>
      </c>
    </row>
    <row r="1562" spans="32:33" x14ac:dyDescent="0.4">
      <c r="AF1562" s="19">
        <v>20100716</v>
      </c>
      <c r="AG1562" s="17">
        <v>1573.971956470953</v>
      </c>
    </row>
    <row r="1563" spans="32:33" x14ac:dyDescent="0.4">
      <c r="AF1563" s="19">
        <v>20100717</v>
      </c>
      <c r="AG1563" s="17">
        <v>1573.8629836731441</v>
      </c>
    </row>
    <row r="1564" spans="32:33" x14ac:dyDescent="0.4">
      <c r="AF1564" s="19">
        <v>20100718</v>
      </c>
      <c r="AG1564" s="17">
        <v>1573.7540108753351</v>
      </c>
    </row>
    <row r="1565" spans="32:33" x14ac:dyDescent="0.4">
      <c r="AF1565" s="19">
        <v>20100719</v>
      </c>
      <c r="AG1565" s="17">
        <v>1566.6240763901039</v>
      </c>
    </row>
    <row r="1566" spans="32:33" x14ac:dyDescent="0.4">
      <c r="AF1566" s="19">
        <v>20100720</v>
      </c>
      <c r="AG1566" s="18">
        <v>1570.593799738868</v>
      </c>
    </row>
    <row r="1567" spans="32:33" x14ac:dyDescent="0.4">
      <c r="AF1567" s="19">
        <v>20100721</v>
      </c>
      <c r="AG1567" s="17">
        <v>1563.915323987419</v>
      </c>
    </row>
    <row r="1568" spans="32:33" x14ac:dyDescent="0.4">
      <c r="AF1568" s="19">
        <v>20100722</v>
      </c>
      <c r="AG1568" s="17">
        <v>1544.7049764879121</v>
      </c>
    </row>
    <row r="1569" spans="32:33" x14ac:dyDescent="0.4">
      <c r="AF1569" s="19">
        <v>20100723</v>
      </c>
      <c r="AG1569" s="17">
        <v>1553.1892871744849</v>
      </c>
    </row>
    <row r="1570" spans="32:33" x14ac:dyDescent="0.4">
      <c r="AF1570" s="19">
        <v>20100724</v>
      </c>
      <c r="AG1570" s="17">
        <v>1553.0803143766759</v>
      </c>
    </row>
    <row r="1571" spans="32:33" x14ac:dyDescent="0.4">
      <c r="AF1571" s="19">
        <v>20100725</v>
      </c>
      <c r="AG1571" s="18">
        <v>1552.9869091214109</v>
      </c>
    </row>
    <row r="1572" spans="32:33" x14ac:dyDescent="0.4">
      <c r="AF1572" s="19">
        <v>20100726</v>
      </c>
      <c r="AG1572" s="17">
        <v>1559.6653848728599</v>
      </c>
    </row>
    <row r="1573" spans="32:33" x14ac:dyDescent="0.4">
      <c r="AF1573" s="19">
        <v>20100727</v>
      </c>
      <c r="AG1573" s="17">
        <v>1554.8705817692551</v>
      </c>
    </row>
    <row r="1574" spans="32:33" x14ac:dyDescent="0.4">
      <c r="AF1574" s="19">
        <v>20100728</v>
      </c>
      <c r="AG1574" s="17">
        <v>1555.8513369495381</v>
      </c>
    </row>
    <row r="1575" spans="32:33" x14ac:dyDescent="0.4">
      <c r="AF1575" s="19">
        <v>20100729</v>
      </c>
      <c r="AG1575" s="17">
        <v>1545.7012992107391</v>
      </c>
    </row>
    <row r="1576" spans="32:33" x14ac:dyDescent="0.4">
      <c r="AF1576" s="19">
        <v>20100730</v>
      </c>
      <c r="AG1576" s="18">
        <v>1546.5263789655801</v>
      </c>
    </row>
    <row r="1577" spans="32:33" x14ac:dyDescent="0.4">
      <c r="AF1577" s="19">
        <v>20100731</v>
      </c>
      <c r="AG1577" s="17">
        <v>1546.41740616777</v>
      </c>
    </row>
    <row r="1578" spans="32:33" x14ac:dyDescent="0.4">
      <c r="AF1578" s="19">
        <v>20100801</v>
      </c>
      <c r="AG1578" s="17">
        <v>1546.308433369961</v>
      </c>
    </row>
    <row r="1579" spans="32:33" x14ac:dyDescent="0.4">
      <c r="AF1579" s="19">
        <v>20100802</v>
      </c>
      <c r="AG1579" s="17">
        <v>1545.965947433989</v>
      </c>
    </row>
    <row r="1580" spans="32:33" x14ac:dyDescent="0.4">
      <c r="AF1580" s="19">
        <v>20100803</v>
      </c>
      <c r="AG1580" s="17">
        <v>1544.36249055194</v>
      </c>
    </row>
    <row r="1581" spans="32:33" x14ac:dyDescent="0.4">
      <c r="AF1581" s="19">
        <v>20100804</v>
      </c>
      <c r="AG1581" s="18">
        <v>1539.053958544378</v>
      </c>
    </row>
    <row r="1582" spans="32:33" x14ac:dyDescent="0.4">
      <c r="AF1582" s="19">
        <v>20100805</v>
      </c>
      <c r="AG1582" s="17">
        <v>1534.228020355685</v>
      </c>
    </row>
    <row r="1583" spans="32:33" x14ac:dyDescent="0.4">
      <c r="AF1583" s="19">
        <v>20100806</v>
      </c>
      <c r="AG1583" s="17">
        <v>1539.1162287145539</v>
      </c>
    </row>
    <row r="1584" spans="32:33" x14ac:dyDescent="0.4">
      <c r="AF1584" s="19">
        <v>20100807</v>
      </c>
      <c r="AG1584" s="17">
        <v>1539.007255916745</v>
      </c>
    </row>
    <row r="1585" spans="32:33" x14ac:dyDescent="0.4">
      <c r="AF1585" s="19">
        <v>20100808</v>
      </c>
      <c r="AG1585" s="17">
        <v>1538.91385066148</v>
      </c>
    </row>
    <row r="1586" spans="32:33" x14ac:dyDescent="0.4">
      <c r="AF1586" s="19">
        <v>20100809</v>
      </c>
      <c r="AG1586" s="18">
        <v>1544.035572158512</v>
      </c>
    </row>
    <row r="1587" spans="32:33" x14ac:dyDescent="0.4">
      <c r="AF1587" s="19">
        <v>20100810</v>
      </c>
      <c r="AG1587" s="17">
        <v>1540.2993619479109</v>
      </c>
    </row>
    <row r="1588" spans="32:33" x14ac:dyDescent="0.4">
      <c r="AF1588" s="19">
        <v>20100811</v>
      </c>
      <c r="AG1588" s="17">
        <v>1525.183278137521</v>
      </c>
    </row>
    <row r="1589" spans="32:33" x14ac:dyDescent="0.4">
      <c r="AF1589" s="19">
        <v>20100812</v>
      </c>
      <c r="AG1589" s="17">
        <v>1513.865674707909</v>
      </c>
    </row>
    <row r="1590" spans="32:33" x14ac:dyDescent="0.4">
      <c r="AF1590" s="19">
        <v>20100813</v>
      </c>
      <c r="AG1590" s="17">
        <v>1529.0595962310199</v>
      </c>
    </row>
    <row r="1591" spans="32:33" x14ac:dyDescent="0.4">
      <c r="AF1591" s="19">
        <v>20100814</v>
      </c>
      <c r="AG1591" s="18">
        <v>1528.9506234332109</v>
      </c>
    </row>
    <row r="1592" spans="32:33" x14ac:dyDescent="0.4">
      <c r="AF1592" s="19">
        <v>20100815</v>
      </c>
      <c r="AG1592" s="17">
        <v>1528.8572181779459</v>
      </c>
    </row>
    <row r="1593" spans="32:33" x14ac:dyDescent="0.4">
      <c r="AF1593" s="19">
        <v>20100816</v>
      </c>
      <c r="AG1593" s="17">
        <v>1527.845327912574</v>
      </c>
    </row>
    <row r="1594" spans="32:33" x14ac:dyDescent="0.4">
      <c r="AF1594" s="19">
        <v>20100817</v>
      </c>
      <c r="AG1594" s="17">
        <v>1525.8526824669209</v>
      </c>
    </row>
    <row r="1595" spans="32:33" x14ac:dyDescent="0.4">
      <c r="AF1595" s="19">
        <v>20100818</v>
      </c>
      <c r="AG1595" s="17">
        <v>1527.8608954551189</v>
      </c>
    </row>
    <row r="1596" spans="32:33" x14ac:dyDescent="0.4">
      <c r="AF1596" s="19">
        <v>20100819</v>
      </c>
      <c r="AG1596" s="18">
        <v>1530.3361347196419</v>
      </c>
    </row>
    <row r="1597" spans="32:33" x14ac:dyDescent="0.4">
      <c r="AF1597" s="19">
        <v>20100820</v>
      </c>
      <c r="AG1597" s="17">
        <v>1530.8342960810551</v>
      </c>
    </row>
    <row r="1598" spans="32:33" x14ac:dyDescent="0.4">
      <c r="AF1598" s="19">
        <v>20100821</v>
      </c>
      <c r="AG1598" s="17">
        <v>1530.7253232832461</v>
      </c>
    </row>
    <row r="1599" spans="32:33" x14ac:dyDescent="0.4">
      <c r="AF1599" s="19">
        <v>20100822</v>
      </c>
      <c r="AG1599" s="17">
        <v>1530.6163504854369</v>
      </c>
    </row>
    <row r="1600" spans="32:33" x14ac:dyDescent="0.4">
      <c r="AF1600" s="19">
        <v>20100823</v>
      </c>
      <c r="AG1600" s="17">
        <v>1524.186955414694</v>
      </c>
    </row>
    <row r="1601" spans="32:33" x14ac:dyDescent="0.4">
      <c r="AF1601" s="19">
        <v>20100824</v>
      </c>
      <c r="AG1601" s="18">
        <v>1522.147607341408</v>
      </c>
    </row>
    <row r="1602" spans="32:33" x14ac:dyDescent="0.4">
      <c r="AF1602" s="19">
        <v>20100825</v>
      </c>
      <c r="AG1602" s="17">
        <v>1511.6239485815479</v>
      </c>
    </row>
    <row r="1603" spans="32:33" x14ac:dyDescent="0.4">
      <c r="AF1603" s="19">
        <v>20100826</v>
      </c>
      <c r="AG1603" s="17">
        <v>1509.2732496573781</v>
      </c>
    </row>
    <row r="1604" spans="32:33" x14ac:dyDescent="0.4">
      <c r="AF1604" s="19">
        <v>20100827</v>
      </c>
      <c r="AG1604" s="17">
        <v>1501.7541266085441</v>
      </c>
    </row>
    <row r="1605" spans="32:33" x14ac:dyDescent="0.4">
      <c r="AF1605" s="19">
        <v>20100828</v>
      </c>
      <c r="AG1605" s="17">
        <v>1501.6607213532791</v>
      </c>
    </row>
    <row r="1606" spans="32:33" x14ac:dyDescent="0.4">
      <c r="AF1606" s="19">
        <v>20100829</v>
      </c>
      <c r="AG1606" s="18">
        <v>1501.5517485554701</v>
      </c>
    </row>
    <row r="1607" spans="32:33" x14ac:dyDescent="0.4">
      <c r="AF1607" s="19">
        <v>20100830</v>
      </c>
      <c r="AG1607" s="17">
        <v>1517.259398982538</v>
      </c>
    </row>
    <row r="1608" spans="32:33" x14ac:dyDescent="0.4">
      <c r="AF1608" s="19">
        <v>20100831</v>
      </c>
      <c r="AG1608" s="17">
        <v>1511.6862187517249</v>
      </c>
    </row>
    <row r="1609" spans="32:33" x14ac:dyDescent="0.4">
      <c r="AF1609" s="19">
        <v>20100901</v>
      </c>
      <c r="AG1609" s="17">
        <v>1528.2656515612671</v>
      </c>
    </row>
    <row r="1610" spans="32:33" x14ac:dyDescent="0.4">
      <c r="AF1610" s="19">
        <v>20100902</v>
      </c>
      <c r="AG1610" s="17">
        <v>1535.3021807912321</v>
      </c>
    </row>
    <row r="1611" spans="32:33" x14ac:dyDescent="0.4">
      <c r="AF1611" s="19">
        <v>20100903</v>
      </c>
      <c r="AG1611" s="18">
        <v>1543.4284379992901</v>
      </c>
    </row>
    <row r="1612" spans="32:33" x14ac:dyDescent="0.4">
      <c r="AF1612" s="19">
        <v>20100904</v>
      </c>
      <c r="AG1612" s="17">
        <v>1543.3194652014799</v>
      </c>
    </row>
    <row r="1613" spans="32:33" x14ac:dyDescent="0.4">
      <c r="AF1613" s="19">
        <v>20100905</v>
      </c>
      <c r="AG1613" s="17">
        <v>1543.2260599462149</v>
      </c>
    </row>
    <row r="1614" spans="32:33" x14ac:dyDescent="0.4">
      <c r="AF1614" s="19">
        <v>20100906</v>
      </c>
      <c r="AG1614" s="17">
        <v>1544.564868605014</v>
      </c>
    </row>
    <row r="1615" spans="32:33" x14ac:dyDescent="0.4">
      <c r="AF1615" s="19">
        <v>20100907</v>
      </c>
      <c r="AG1615" s="17">
        <v>1541.809413574696</v>
      </c>
    </row>
    <row r="1616" spans="32:33" x14ac:dyDescent="0.4">
      <c r="AF1616" s="19">
        <v>20100908</v>
      </c>
      <c r="AG1616" s="18">
        <v>1538.633634895685</v>
      </c>
    </row>
    <row r="1617" spans="32:33" x14ac:dyDescent="0.4">
      <c r="AF1617" s="19">
        <v>20100909</v>
      </c>
      <c r="AG1617" s="17">
        <v>1544.938489626074</v>
      </c>
    </row>
    <row r="1618" spans="32:33" x14ac:dyDescent="0.4">
      <c r="AF1618" s="19">
        <v>20100910</v>
      </c>
      <c r="AG1618" s="17">
        <v>1561.5957601483369</v>
      </c>
    </row>
    <row r="1619" spans="32:33" x14ac:dyDescent="0.4">
      <c r="AF1619" s="19">
        <v>20100911</v>
      </c>
      <c r="AG1619" s="17">
        <v>1561.4867873505279</v>
      </c>
    </row>
    <row r="1620" spans="32:33" x14ac:dyDescent="0.4">
      <c r="AF1620" s="19">
        <v>20100912</v>
      </c>
      <c r="AG1620" s="17">
        <v>1561.377814552719</v>
      </c>
    </row>
    <row r="1621" spans="32:33" x14ac:dyDescent="0.4">
      <c r="AF1621" s="19">
        <v>20100913</v>
      </c>
      <c r="AG1621" s="18">
        <v>1566.468400964663</v>
      </c>
    </row>
    <row r="1622" spans="32:33" x14ac:dyDescent="0.4">
      <c r="AF1622" s="19">
        <v>20100914</v>
      </c>
      <c r="AG1622" s="17">
        <v>1563.588405593991</v>
      </c>
    </row>
    <row r="1623" spans="32:33" x14ac:dyDescent="0.4">
      <c r="AF1623" s="19">
        <v>20100915</v>
      </c>
      <c r="AG1623" s="17">
        <v>1561.8604083715879</v>
      </c>
    </row>
    <row r="1624" spans="32:33" x14ac:dyDescent="0.4">
      <c r="AF1624" s="19">
        <v>20100916</v>
      </c>
      <c r="AG1624" s="17">
        <v>1557.439226289044</v>
      </c>
    </row>
    <row r="1625" spans="32:33" x14ac:dyDescent="0.4">
      <c r="AF1625" s="19">
        <v>20100917</v>
      </c>
      <c r="AG1625" s="17">
        <v>1568.429911325228</v>
      </c>
    </row>
    <row r="1626" spans="32:33" x14ac:dyDescent="0.4">
      <c r="AF1626" s="19">
        <v>20100918</v>
      </c>
      <c r="AG1626" s="18">
        <v>1568.320938527419</v>
      </c>
    </row>
    <row r="1627" spans="32:33" x14ac:dyDescent="0.4">
      <c r="AF1627" s="19">
        <v>20100919</v>
      </c>
      <c r="AG1627" s="17">
        <v>1568.227533272154</v>
      </c>
    </row>
    <row r="1628" spans="32:33" x14ac:dyDescent="0.4">
      <c r="AF1628" s="19">
        <v>20100920</v>
      </c>
      <c r="AG1628" s="17">
        <v>1575.622115980635</v>
      </c>
    </row>
    <row r="1629" spans="32:33" x14ac:dyDescent="0.4">
      <c r="AF1629" s="19">
        <v>20100921</v>
      </c>
      <c r="AG1629" s="17">
        <v>1575.5131431828261</v>
      </c>
    </row>
    <row r="1630" spans="32:33" x14ac:dyDescent="0.4">
      <c r="AF1630" s="19">
        <v>20100922</v>
      </c>
      <c r="AG1630" s="17">
        <v>1575.4197379275611</v>
      </c>
    </row>
    <row r="1631" spans="32:33" x14ac:dyDescent="0.4">
      <c r="AF1631" s="19">
        <v>20100923</v>
      </c>
      <c r="AG1631" s="18">
        <v>1575.3107651297521</v>
      </c>
    </row>
    <row r="1632" spans="32:33" x14ac:dyDescent="0.4">
      <c r="AF1632" s="19">
        <v>20100924</v>
      </c>
      <c r="AG1632" s="17">
        <v>1579.0625428828971</v>
      </c>
    </row>
    <row r="1633" spans="32:33" x14ac:dyDescent="0.4">
      <c r="AF1633" s="19">
        <v>20100925</v>
      </c>
      <c r="AG1633" s="17">
        <v>1578.9535700850879</v>
      </c>
    </row>
    <row r="1634" spans="32:33" x14ac:dyDescent="0.4">
      <c r="AF1634" s="19">
        <v>20100926</v>
      </c>
      <c r="AG1634" s="17">
        <v>1578.8445972872789</v>
      </c>
    </row>
    <row r="1635" spans="32:33" x14ac:dyDescent="0.4">
      <c r="AF1635" s="19">
        <v>20100927</v>
      </c>
      <c r="AG1635" s="17">
        <v>1583.5304275930739</v>
      </c>
    </row>
    <row r="1636" spans="32:33" x14ac:dyDescent="0.4">
      <c r="AF1636" s="19">
        <v>20100928</v>
      </c>
      <c r="AG1636" s="18">
        <v>1582.3784294448051</v>
      </c>
    </row>
    <row r="1637" spans="32:33" x14ac:dyDescent="0.4">
      <c r="AF1637" s="19">
        <v>20100929</v>
      </c>
      <c r="AG1637" s="17">
        <v>1594.848031022686</v>
      </c>
    </row>
    <row r="1638" spans="32:33" x14ac:dyDescent="0.4">
      <c r="AF1638" s="19">
        <v>20100930</v>
      </c>
      <c r="AG1638" s="17">
        <v>1602.7874777202139</v>
      </c>
    </row>
    <row r="1639" spans="32:33" x14ac:dyDescent="0.4">
      <c r="AF1639" s="19">
        <v>20101001</v>
      </c>
      <c r="AG1639" s="17">
        <v>1613.030920714278</v>
      </c>
    </row>
    <row r="1640" spans="32:33" x14ac:dyDescent="0.4">
      <c r="AF1640" s="19">
        <v>20101002</v>
      </c>
      <c r="AG1640" s="17">
        <v>1612.906380373925</v>
      </c>
    </row>
    <row r="1641" spans="32:33" x14ac:dyDescent="0.4">
      <c r="AF1641" s="19">
        <v>20101003</v>
      </c>
      <c r="AG1641" s="18">
        <v>1612.797407576116</v>
      </c>
    </row>
    <row r="1642" spans="32:33" x14ac:dyDescent="0.4">
      <c r="AF1642" s="19">
        <v>20101004</v>
      </c>
      <c r="AG1642" s="17">
        <v>1625.9986836535729</v>
      </c>
    </row>
    <row r="1643" spans="32:33" x14ac:dyDescent="0.4">
      <c r="AF1643" s="19">
        <v>20101005</v>
      </c>
      <c r="AG1643" s="17">
        <v>1629.2834351303929</v>
      </c>
    </row>
    <row r="1644" spans="32:33" x14ac:dyDescent="0.4">
      <c r="AF1644" s="19">
        <v>20101006</v>
      </c>
      <c r="AG1644" s="17">
        <v>1641.4883884850231</v>
      </c>
    </row>
    <row r="1645" spans="32:33" x14ac:dyDescent="0.4">
      <c r="AF1645" s="19">
        <v>20101007</v>
      </c>
      <c r="AG1645" s="17">
        <v>1639.666986007355</v>
      </c>
    </row>
    <row r="1646" spans="32:33" x14ac:dyDescent="0.4">
      <c r="AF1646" s="19">
        <v>20101008</v>
      </c>
      <c r="AG1646" s="18">
        <v>1644.6018969938571</v>
      </c>
    </row>
    <row r="1647" spans="32:33" x14ac:dyDescent="0.4">
      <c r="AF1647" s="19">
        <v>20101009</v>
      </c>
      <c r="AG1647" s="17">
        <v>1644.4929241960481</v>
      </c>
    </row>
    <row r="1648" spans="32:33" x14ac:dyDescent="0.4">
      <c r="AF1648" s="19">
        <v>20101010</v>
      </c>
      <c r="AG1648" s="17">
        <v>1644.3839513982391</v>
      </c>
    </row>
    <row r="1649" spans="32:33" x14ac:dyDescent="0.4">
      <c r="AF1649" s="19">
        <v>20101011</v>
      </c>
      <c r="AG1649" s="17">
        <v>1643.8702224942811</v>
      </c>
    </row>
    <row r="1650" spans="32:33" x14ac:dyDescent="0.4">
      <c r="AF1650" s="19">
        <v>20101012</v>
      </c>
      <c r="AG1650" s="17">
        <v>1637.7210431893329</v>
      </c>
    </row>
    <row r="1651" spans="32:33" x14ac:dyDescent="0.4">
      <c r="AF1651" s="19">
        <v>20101013</v>
      </c>
      <c r="AG1651" s="18">
        <v>1654.2693409137869</v>
      </c>
    </row>
    <row r="1652" spans="32:33" x14ac:dyDescent="0.4">
      <c r="AF1652" s="19">
        <v>20101014</v>
      </c>
      <c r="AG1652" s="17">
        <v>1669.5255326070751</v>
      </c>
    </row>
    <row r="1653" spans="32:33" x14ac:dyDescent="0.4">
      <c r="AF1653" s="19">
        <v>20101015</v>
      </c>
      <c r="AG1653" s="17">
        <v>1680.5784878134359</v>
      </c>
    </row>
    <row r="1654" spans="32:33" x14ac:dyDescent="0.4">
      <c r="AF1654" s="19">
        <v>20101016</v>
      </c>
      <c r="AG1654" s="17">
        <v>1680.4695150156269</v>
      </c>
    </row>
    <row r="1655" spans="32:33" x14ac:dyDescent="0.4">
      <c r="AF1655" s="19">
        <v>20101017</v>
      </c>
      <c r="AG1655" s="17">
        <v>1680.360542217818</v>
      </c>
    </row>
    <row r="1656" spans="32:33" x14ac:dyDescent="0.4">
      <c r="AF1656" s="19">
        <v>20101018</v>
      </c>
      <c r="AG1656" s="18">
        <v>1697.2824609633319</v>
      </c>
    </row>
    <row r="1657" spans="32:33" x14ac:dyDescent="0.4">
      <c r="AF1657" s="19">
        <v>20101019</v>
      </c>
      <c r="AG1657" s="17">
        <v>1692.0984692961231</v>
      </c>
    </row>
    <row r="1658" spans="32:33" x14ac:dyDescent="0.4">
      <c r="AF1658" s="19">
        <v>20101020</v>
      </c>
      <c r="AG1658" s="17">
        <v>1706.5295812345689</v>
      </c>
    </row>
    <row r="1659" spans="32:33" x14ac:dyDescent="0.4">
      <c r="AF1659" s="19">
        <v>20101021</v>
      </c>
      <c r="AG1659" s="17">
        <v>1714.017569198315</v>
      </c>
    </row>
    <row r="1660" spans="32:33" x14ac:dyDescent="0.4">
      <c r="AF1660" s="19">
        <v>20101022</v>
      </c>
      <c r="AG1660" s="17">
        <v>1719.653019599305</v>
      </c>
    </row>
    <row r="1661" spans="32:33" x14ac:dyDescent="0.4">
      <c r="AF1661" s="19">
        <v>20101023</v>
      </c>
      <c r="AG1661" s="18">
        <v>1719.5284792589521</v>
      </c>
    </row>
    <row r="1662" spans="32:33" x14ac:dyDescent="0.4">
      <c r="AF1662" s="19">
        <v>20101024</v>
      </c>
      <c r="AG1662" s="17">
        <v>1719.4195064611431</v>
      </c>
    </row>
    <row r="1663" spans="32:33" x14ac:dyDescent="0.4">
      <c r="AF1663" s="19">
        <v>20101025</v>
      </c>
      <c r="AG1663" s="17">
        <v>1731.064028284183</v>
      </c>
    </row>
    <row r="1664" spans="32:33" x14ac:dyDescent="0.4">
      <c r="AF1664" s="19">
        <v>20101026</v>
      </c>
      <c r="AG1664" s="17">
        <v>1730.7682449758429</v>
      </c>
    </row>
    <row r="1665" spans="32:33" x14ac:dyDescent="0.4">
      <c r="AF1665" s="19">
        <v>20101027</v>
      </c>
      <c r="AG1665" s="17">
        <v>1731.68672998595</v>
      </c>
    </row>
    <row r="1666" spans="32:33" x14ac:dyDescent="0.4">
      <c r="AF1666" s="19">
        <v>20101028</v>
      </c>
      <c r="AG1666" s="18">
        <v>1739.00347498171</v>
      </c>
    </row>
    <row r="1667" spans="32:33" x14ac:dyDescent="0.4">
      <c r="AF1667" s="19">
        <v>20101029</v>
      </c>
      <c r="AG1667" s="17">
        <v>1725.8956041595179</v>
      </c>
    </row>
    <row r="1668" spans="32:33" x14ac:dyDescent="0.4">
      <c r="AF1668" s="19">
        <v>20101030</v>
      </c>
      <c r="AG1668" s="17">
        <v>1725.7866313617089</v>
      </c>
    </row>
    <row r="1669" spans="32:33" x14ac:dyDescent="0.4">
      <c r="AF1669" s="19">
        <v>20101031</v>
      </c>
      <c r="AG1669" s="17">
        <v>1725.6620910213551</v>
      </c>
    </row>
    <row r="1670" spans="32:33" x14ac:dyDescent="0.4">
      <c r="AF1670" s="19">
        <v>20101101</v>
      </c>
      <c r="AG1670" s="17">
        <v>1738.738826758459</v>
      </c>
    </row>
    <row r="1671" spans="32:33" x14ac:dyDescent="0.4">
      <c r="AF1671" s="19">
        <v>20101102</v>
      </c>
      <c r="AG1671" s="18">
        <v>1730.3012186995179</v>
      </c>
    </row>
    <row r="1672" spans="32:33" x14ac:dyDescent="0.4">
      <c r="AF1672" s="19">
        <v>20101103</v>
      </c>
      <c r="AG1672" s="17">
        <v>1736.6060734299081</v>
      </c>
    </row>
    <row r="1673" spans="32:33" x14ac:dyDescent="0.4">
      <c r="AF1673" s="19">
        <v>20101104</v>
      </c>
      <c r="AG1673" s="17">
        <v>1740.326716097964</v>
      </c>
    </row>
    <row r="1674" spans="32:33" x14ac:dyDescent="0.4">
      <c r="AF1674" s="19">
        <v>20101105</v>
      </c>
      <c r="AG1674" s="17">
        <v>1732.7608904214969</v>
      </c>
    </row>
    <row r="1675" spans="32:33" x14ac:dyDescent="0.4">
      <c r="AF1675" s="19">
        <v>20101106</v>
      </c>
      <c r="AG1675" s="17">
        <v>1732.651917623688</v>
      </c>
    </row>
    <row r="1676" spans="32:33" x14ac:dyDescent="0.4">
      <c r="AF1676" s="19">
        <v>20101107</v>
      </c>
      <c r="AG1676" s="18">
        <v>1732.527377283335</v>
      </c>
    </row>
    <row r="1677" spans="32:33" x14ac:dyDescent="0.4">
      <c r="AF1677" s="19">
        <v>20101108</v>
      </c>
      <c r="AG1677" s="17">
        <v>1736.948559365879</v>
      </c>
    </row>
    <row r="1678" spans="32:33" x14ac:dyDescent="0.4">
      <c r="AF1678" s="19">
        <v>20101109</v>
      </c>
      <c r="AG1678" s="17">
        <v>1742.132551033088</v>
      </c>
    </row>
    <row r="1679" spans="32:33" x14ac:dyDescent="0.4">
      <c r="AF1679" s="19">
        <v>20101110</v>
      </c>
      <c r="AG1679" s="17">
        <v>1741.587687044042</v>
      </c>
    </row>
    <row r="1680" spans="32:33" x14ac:dyDescent="0.4">
      <c r="AF1680" s="19">
        <v>20101111</v>
      </c>
      <c r="AG1680" s="17">
        <v>1718.283075855418</v>
      </c>
    </row>
    <row r="1681" spans="32:33" x14ac:dyDescent="0.4">
      <c r="AF1681" s="19">
        <v>20101112</v>
      </c>
      <c r="AG1681" s="18">
        <v>1692.347549976829</v>
      </c>
    </row>
    <row r="1682" spans="32:33" x14ac:dyDescent="0.4">
      <c r="AF1682" s="19">
        <v>20101113</v>
      </c>
      <c r="AG1682" s="17">
        <v>1692.23857717902</v>
      </c>
    </row>
    <row r="1683" spans="32:33" x14ac:dyDescent="0.4">
      <c r="AF1683" s="19">
        <v>20101114</v>
      </c>
      <c r="AG1683" s="17">
        <v>1692.1140368386671</v>
      </c>
    </row>
    <row r="1684" spans="32:33" x14ac:dyDescent="0.4">
      <c r="AF1684" s="19">
        <v>20101115</v>
      </c>
      <c r="AG1684" s="17">
        <v>1680.9676763770401</v>
      </c>
    </row>
    <row r="1685" spans="32:33" x14ac:dyDescent="0.4">
      <c r="AF1685" s="19">
        <v>20101116</v>
      </c>
      <c r="AG1685" s="17">
        <v>1667.2371038530821</v>
      </c>
    </row>
    <row r="1686" spans="32:33" x14ac:dyDescent="0.4">
      <c r="AF1686" s="19">
        <v>20101117</v>
      </c>
      <c r="AG1686" s="18">
        <v>1672.8881217966159</v>
      </c>
    </row>
    <row r="1687" spans="32:33" x14ac:dyDescent="0.4">
      <c r="AF1687" s="19">
        <v>20101118</v>
      </c>
      <c r="AG1687" s="17">
        <v>1700.8318606634029</v>
      </c>
    </row>
    <row r="1688" spans="32:33" x14ac:dyDescent="0.4">
      <c r="AF1688" s="19">
        <v>20101119</v>
      </c>
      <c r="AG1688" s="17">
        <v>1699.3062414940739</v>
      </c>
    </row>
    <row r="1689" spans="32:33" x14ac:dyDescent="0.4">
      <c r="AF1689" s="19">
        <v>20101120</v>
      </c>
      <c r="AG1689" s="17">
        <v>1699.18170115372</v>
      </c>
    </row>
    <row r="1690" spans="32:33" x14ac:dyDescent="0.4">
      <c r="AF1690" s="19">
        <v>20101121</v>
      </c>
      <c r="AG1690" s="17">
        <v>1699.0727283559111</v>
      </c>
    </row>
    <row r="1691" spans="32:33" x14ac:dyDescent="0.4">
      <c r="AF1691" s="19">
        <v>20101122</v>
      </c>
      <c r="AG1691" s="18">
        <v>1695.881382134356</v>
      </c>
    </row>
    <row r="1692" spans="32:33" x14ac:dyDescent="0.4">
      <c r="AF1692" s="19">
        <v>20101123</v>
      </c>
      <c r="AG1692" s="17">
        <v>1682.2442148656619</v>
      </c>
    </row>
    <row r="1693" spans="32:33" x14ac:dyDescent="0.4">
      <c r="AF1693" s="19">
        <v>20101124</v>
      </c>
      <c r="AG1693" s="17">
        <v>1668.560344969336</v>
      </c>
    </row>
    <row r="1694" spans="32:33" x14ac:dyDescent="0.4">
      <c r="AF1694" s="19">
        <v>20101125</v>
      </c>
      <c r="AG1694" s="17">
        <v>1673.9778497747079</v>
      </c>
    </row>
    <row r="1695" spans="32:33" x14ac:dyDescent="0.4">
      <c r="AF1695" s="19">
        <v>20101126</v>
      </c>
      <c r="AG1695" s="17">
        <v>1652.3078305532219</v>
      </c>
    </row>
    <row r="1696" spans="32:33" x14ac:dyDescent="0.4">
      <c r="AF1696" s="19">
        <v>20101127</v>
      </c>
      <c r="AG1696" s="18">
        <v>1652.1988577554121</v>
      </c>
    </row>
    <row r="1697" spans="32:33" x14ac:dyDescent="0.4">
      <c r="AF1697" s="19">
        <v>20101128</v>
      </c>
      <c r="AG1697" s="17">
        <v>1652.0898849576031</v>
      </c>
    </row>
    <row r="1698" spans="32:33" x14ac:dyDescent="0.4">
      <c r="AF1698" s="19">
        <v>20101129</v>
      </c>
      <c r="AG1698" s="17">
        <v>1644.8665452171081</v>
      </c>
    </row>
    <row r="1699" spans="32:33" x14ac:dyDescent="0.4">
      <c r="AF1699" s="19">
        <v>20101130</v>
      </c>
      <c r="AG1699" s="17">
        <v>1652.6814515742819</v>
      </c>
    </row>
    <row r="1700" spans="32:33" x14ac:dyDescent="0.4">
      <c r="AF1700" s="19">
        <v>20101201</v>
      </c>
      <c r="AG1700" s="17">
        <v>1667.4394819061561</v>
      </c>
    </row>
    <row r="1701" spans="32:33" x14ac:dyDescent="0.4">
      <c r="AF1701" s="19">
        <v>20101202</v>
      </c>
      <c r="AG1701" s="18">
        <v>1671.7516911908911</v>
      </c>
    </row>
    <row r="1702" spans="32:33" x14ac:dyDescent="0.4">
      <c r="AF1702" s="19">
        <v>20101203</v>
      </c>
      <c r="AG1702" s="17">
        <v>1662.815921770537</v>
      </c>
    </row>
    <row r="1703" spans="32:33" x14ac:dyDescent="0.4">
      <c r="AF1703" s="19">
        <v>20101204</v>
      </c>
      <c r="AG1703" s="17">
        <v>1662.706948972728</v>
      </c>
    </row>
    <row r="1704" spans="32:33" x14ac:dyDescent="0.4">
      <c r="AF1704" s="19">
        <v>20101205</v>
      </c>
      <c r="AG1704" s="17">
        <v>1662.597976174919</v>
      </c>
    </row>
    <row r="1705" spans="32:33" x14ac:dyDescent="0.4">
      <c r="AF1705" s="19">
        <v>20101206</v>
      </c>
      <c r="AG1705" s="17">
        <v>1662.146517441138</v>
      </c>
    </row>
    <row r="1706" spans="32:33" x14ac:dyDescent="0.4">
      <c r="AF1706" s="19">
        <v>20101207</v>
      </c>
      <c r="AG1706" s="18">
        <v>1663.2206778766849</v>
      </c>
    </row>
    <row r="1707" spans="32:33" x14ac:dyDescent="0.4">
      <c r="AF1707" s="19">
        <v>20101208</v>
      </c>
      <c r="AG1707" s="17">
        <v>1656.6667424655891</v>
      </c>
    </row>
    <row r="1708" spans="32:33" x14ac:dyDescent="0.4">
      <c r="AF1708" s="19">
        <v>20101209</v>
      </c>
      <c r="AG1708" s="17">
        <v>1667.564022246509</v>
      </c>
    </row>
    <row r="1709" spans="32:33" x14ac:dyDescent="0.4">
      <c r="AF1709" s="19">
        <v>20101210</v>
      </c>
      <c r="AG1709" s="17">
        <v>1672.4677981479231</v>
      </c>
    </row>
    <row r="1710" spans="32:33" x14ac:dyDescent="0.4">
      <c r="AF1710" s="19">
        <v>20101211</v>
      </c>
      <c r="AG1710" s="17">
        <v>1672.3588253501141</v>
      </c>
    </row>
    <row r="1711" spans="32:33" x14ac:dyDescent="0.4">
      <c r="AF1711" s="19">
        <v>20101212</v>
      </c>
      <c r="AG1711" s="18">
        <v>1672.2498525523049</v>
      </c>
    </row>
    <row r="1712" spans="32:33" x14ac:dyDescent="0.4">
      <c r="AF1712" s="19">
        <v>20101213</v>
      </c>
      <c r="AG1712" s="17">
        <v>1682.462160461281</v>
      </c>
    </row>
    <row r="1713" spans="32:33" x14ac:dyDescent="0.4">
      <c r="AF1713" s="19">
        <v>20101214</v>
      </c>
      <c r="AG1713" s="17">
        <v>1684.345833109126</v>
      </c>
    </row>
    <row r="1714" spans="32:33" x14ac:dyDescent="0.4">
      <c r="AF1714" s="19">
        <v>20101215</v>
      </c>
      <c r="AG1714" s="17">
        <v>1684.096752428419</v>
      </c>
    </row>
    <row r="1715" spans="32:33" x14ac:dyDescent="0.4">
      <c r="AF1715" s="19">
        <v>20101216</v>
      </c>
      <c r="AG1715" s="17">
        <v>1685.622371597748</v>
      </c>
    </row>
    <row r="1716" spans="32:33" x14ac:dyDescent="0.4">
      <c r="AF1716" s="19">
        <v>20101217</v>
      </c>
      <c r="AG1716" s="18">
        <v>1682.259782408207</v>
      </c>
    </row>
    <row r="1717" spans="32:33" x14ac:dyDescent="0.4">
      <c r="AF1717" s="19">
        <v>20101218</v>
      </c>
      <c r="AG1717" s="17">
        <v>1682.1508096103969</v>
      </c>
    </row>
    <row r="1718" spans="32:33" x14ac:dyDescent="0.4">
      <c r="AF1718" s="19">
        <v>20101219</v>
      </c>
      <c r="AG1718" s="17">
        <v>1682.0418368125879</v>
      </c>
    </row>
    <row r="1719" spans="32:33" x14ac:dyDescent="0.4">
      <c r="AF1719" s="19">
        <v>20101220</v>
      </c>
      <c r="AG1719" s="17">
        <v>1669.9614237983119</v>
      </c>
    </row>
    <row r="1720" spans="32:33" x14ac:dyDescent="0.4">
      <c r="AF1720" s="19">
        <v>20101221</v>
      </c>
      <c r="AG1720" s="17">
        <v>1686.089397874073</v>
      </c>
    </row>
    <row r="1721" spans="32:33" x14ac:dyDescent="0.4">
      <c r="AF1721" s="19">
        <v>20101222</v>
      </c>
      <c r="AG1721" s="18">
        <v>1686.011560161352</v>
      </c>
    </row>
    <row r="1722" spans="32:33" x14ac:dyDescent="0.4">
      <c r="AF1722" s="19">
        <v>20101223</v>
      </c>
      <c r="AG1722" s="17">
        <v>1687.397071447783</v>
      </c>
    </row>
    <row r="1723" spans="32:33" x14ac:dyDescent="0.4">
      <c r="AF1723" s="19">
        <v>20101224</v>
      </c>
      <c r="AG1723" s="17">
        <v>1691.071011488207</v>
      </c>
    </row>
    <row r="1724" spans="32:33" x14ac:dyDescent="0.4">
      <c r="AF1724" s="19">
        <v>20101225</v>
      </c>
      <c r="AG1724" s="17">
        <v>1690.962038690398</v>
      </c>
    </row>
    <row r="1725" spans="32:33" x14ac:dyDescent="0.4">
      <c r="AF1725" s="19">
        <v>20101226</v>
      </c>
      <c r="AG1725" s="17">
        <v>1690.853065892589</v>
      </c>
    </row>
    <row r="1726" spans="32:33" x14ac:dyDescent="0.4">
      <c r="AF1726" s="19">
        <v>20101227</v>
      </c>
      <c r="AG1726" s="18">
        <v>1692.954684136052</v>
      </c>
    </row>
    <row r="1727" spans="32:33" x14ac:dyDescent="0.4">
      <c r="AF1727" s="19">
        <v>20101228</v>
      </c>
      <c r="AG1727" s="17">
        <v>1696.535218921211</v>
      </c>
    </row>
    <row r="1728" spans="32:33" x14ac:dyDescent="0.4">
      <c r="AF1728" s="19">
        <v>20101229</v>
      </c>
      <c r="AG1728" s="17">
        <v>1721.2253413962669</v>
      </c>
    </row>
    <row r="1729" spans="32:33" x14ac:dyDescent="0.4">
      <c r="AF1729" s="19">
        <v>20101230</v>
      </c>
      <c r="AG1729" s="17">
        <v>1733.072241272381</v>
      </c>
    </row>
    <row r="1730" spans="32:33" x14ac:dyDescent="0.4">
      <c r="AF1730" s="19">
        <v>20101231</v>
      </c>
      <c r="AG1730" s="17">
        <v>1732.978836017116</v>
      </c>
    </row>
    <row r="1731" spans="32:33" x14ac:dyDescent="0.4">
      <c r="AF1731" s="19">
        <v>20110101</v>
      </c>
      <c r="AG1731" s="18">
        <v>1732.8542956767619</v>
      </c>
    </row>
    <row r="1732" spans="32:33" x14ac:dyDescent="0.4">
      <c r="AF1732" s="19">
        <v>20110102</v>
      </c>
      <c r="AG1732" s="17">
        <v>1732.7453228789529</v>
      </c>
    </row>
    <row r="1733" spans="32:33" x14ac:dyDescent="0.4">
      <c r="AF1733" s="19">
        <v>20110103</v>
      </c>
      <c r="AG1733" s="17">
        <v>1745.7753559884241</v>
      </c>
    </row>
    <row r="1734" spans="32:33" x14ac:dyDescent="0.4">
      <c r="AF1734" s="19">
        <v>20110104</v>
      </c>
      <c r="AG1734" s="17">
        <v>1755.8786910995909</v>
      </c>
    </row>
    <row r="1735" spans="32:33" x14ac:dyDescent="0.4">
      <c r="AF1735" s="19">
        <v>20110105</v>
      </c>
      <c r="AG1735" s="17">
        <v>1756.952851535139</v>
      </c>
    </row>
    <row r="1736" spans="32:33" x14ac:dyDescent="0.4">
      <c r="AF1736" s="19">
        <v>20110106</v>
      </c>
      <c r="AG1736" s="18">
        <v>1763.8337053396631</v>
      </c>
    </row>
    <row r="1737" spans="32:33" x14ac:dyDescent="0.4">
      <c r="AF1737" s="19">
        <v>20110107</v>
      </c>
      <c r="AG1737" s="17">
        <v>1774.0615807911829</v>
      </c>
    </row>
    <row r="1738" spans="32:33" x14ac:dyDescent="0.4">
      <c r="AF1738" s="19">
        <v>20110108</v>
      </c>
      <c r="AG1738" s="17">
        <v>1773.9526079933739</v>
      </c>
    </row>
    <row r="1739" spans="32:33" x14ac:dyDescent="0.4">
      <c r="AF1739" s="19">
        <v>20110109</v>
      </c>
      <c r="AG1739" s="17">
        <v>1773.843635195565</v>
      </c>
    </row>
    <row r="1740" spans="32:33" x14ac:dyDescent="0.4">
      <c r="AF1740" s="19">
        <v>20110110</v>
      </c>
      <c r="AG1740" s="17">
        <v>1777.3774673530911</v>
      </c>
    </row>
    <row r="1741" spans="32:33" x14ac:dyDescent="0.4">
      <c r="AF1741" s="19">
        <v>20110111</v>
      </c>
      <c r="AG1741" s="18">
        <v>1777.8133585443279</v>
      </c>
    </row>
    <row r="1742" spans="32:33" x14ac:dyDescent="0.4">
      <c r="AF1742" s="19">
        <v>20110112</v>
      </c>
      <c r="AG1742" s="17">
        <v>1781.487298584753</v>
      </c>
    </row>
    <row r="1743" spans="32:33" x14ac:dyDescent="0.4">
      <c r="AF1743" s="19">
        <v>20110113</v>
      </c>
      <c r="AG1743" s="17">
        <v>1770.9013696547161</v>
      </c>
    </row>
    <row r="1744" spans="32:33" x14ac:dyDescent="0.4">
      <c r="AF1744" s="19">
        <v>20110114</v>
      </c>
      <c r="AG1744" s="17">
        <v>1771.8354222073669</v>
      </c>
    </row>
    <row r="1745" spans="32:33" x14ac:dyDescent="0.4">
      <c r="AF1745" s="19">
        <v>20110115</v>
      </c>
      <c r="AG1745" s="17">
        <v>1771.7264494095571</v>
      </c>
    </row>
    <row r="1746" spans="32:33" x14ac:dyDescent="0.4">
      <c r="AF1746" s="19">
        <v>20110116</v>
      </c>
      <c r="AG1746" s="18">
        <v>1771.6019090692041</v>
      </c>
    </row>
    <row r="1747" spans="32:33" x14ac:dyDescent="0.4">
      <c r="AF1747" s="19">
        <v>20110117</v>
      </c>
      <c r="AG1747" s="17">
        <v>1759.848414448355</v>
      </c>
    </row>
    <row r="1748" spans="32:33" x14ac:dyDescent="0.4">
      <c r="AF1748" s="19">
        <v>20110118</v>
      </c>
      <c r="AG1748" s="17">
        <v>1758.2605251088489</v>
      </c>
    </row>
    <row r="1749" spans="32:33" x14ac:dyDescent="0.4">
      <c r="AF1749" s="19">
        <v>20110119</v>
      </c>
      <c r="AG1749" s="17">
        <v>1768.254887422207</v>
      </c>
    </row>
    <row r="1750" spans="32:33" x14ac:dyDescent="0.4">
      <c r="AF1750" s="19">
        <v>20110120</v>
      </c>
      <c r="AG1750" s="17">
        <v>1765.9197560405819</v>
      </c>
    </row>
    <row r="1751" spans="32:33" x14ac:dyDescent="0.4">
      <c r="AF1751" s="19">
        <v>20110121</v>
      </c>
      <c r="AG1751" s="18">
        <v>1752.640642250404</v>
      </c>
    </row>
    <row r="1752" spans="32:33" x14ac:dyDescent="0.4">
      <c r="AF1752" s="19">
        <v>20110122</v>
      </c>
      <c r="AG1752" s="17">
        <v>1752.5161019100501</v>
      </c>
    </row>
    <row r="1753" spans="32:33" x14ac:dyDescent="0.4">
      <c r="AF1753" s="19">
        <v>20110123</v>
      </c>
      <c r="AG1753" s="17">
        <v>1752.4071291122409</v>
      </c>
    </row>
    <row r="1754" spans="32:33" x14ac:dyDescent="0.4">
      <c r="AF1754" s="19">
        <v>20110124</v>
      </c>
      <c r="AG1754" s="17">
        <v>1751.0371853683539</v>
      </c>
    </row>
    <row r="1755" spans="32:33" x14ac:dyDescent="0.4">
      <c r="AF1755" s="19">
        <v>20110125</v>
      </c>
      <c r="AG1755" s="17">
        <v>1747.8925417744319</v>
      </c>
    </row>
    <row r="1756" spans="32:33" x14ac:dyDescent="0.4">
      <c r="AF1756" s="19">
        <v>20110126</v>
      </c>
      <c r="AG1756" s="18">
        <v>1759.412523257118</v>
      </c>
    </row>
    <row r="1757" spans="32:33" x14ac:dyDescent="0.4">
      <c r="AF1757" s="19">
        <v>20110127</v>
      </c>
      <c r="AG1757" s="17">
        <v>1758.5251733320999</v>
      </c>
    </row>
    <row r="1758" spans="32:33" x14ac:dyDescent="0.4">
      <c r="AF1758" s="19">
        <v>20110128</v>
      </c>
      <c r="AG1758" s="17">
        <v>1762.043437947083</v>
      </c>
    </row>
    <row r="1759" spans="32:33" x14ac:dyDescent="0.4">
      <c r="AF1759" s="19">
        <v>20110129</v>
      </c>
      <c r="AG1759" s="17">
        <v>1761.934465149274</v>
      </c>
    </row>
    <row r="1760" spans="32:33" x14ac:dyDescent="0.4">
      <c r="AF1760" s="19">
        <v>20110130</v>
      </c>
      <c r="AG1760" s="17">
        <v>1761.80992480892</v>
      </c>
    </row>
    <row r="1761" spans="32:33" x14ac:dyDescent="0.4">
      <c r="AF1761" s="19">
        <v>20110131</v>
      </c>
      <c r="AG1761" s="18">
        <v>1749.0445399227001</v>
      </c>
    </row>
    <row r="1762" spans="32:33" x14ac:dyDescent="0.4">
      <c r="AF1762" s="19">
        <v>20110201</v>
      </c>
      <c r="AG1762" s="17">
        <v>1749.0601074652441</v>
      </c>
    </row>
    <row r="1763" spans="32:33" x14ac:dyDescent="0.4">
      <c r="AF1763" s="19">
        <v>20110202</v>
      </c>
      <c r="AG1763" s="17">
        <v>1748.9355671248909</v>
      </c>
    </row>
    <row r="1764" spans="32:33" x14ac:dyDescent="0.4">
      <c r="AF1764" s="19">
        <v>20110203</v>
      </c>
      <c r="AG1764" s="17">
        <v>1748.8265943270819</v>
      </c>
    </row>
    <row r="1765" spans="32:33" x14ac:dyDescent="0.4">
      <c r="AF1765" s="19">
        <v>20110204</v>
      </c>
      <c r="AG1765" s="17">
        <v>1748.7020539867281</v>
      </c>
    </row>
    <row r="1766" spans="32:33" x14ac:dyDescent="0.4">
      <c r="AF1766" s="19">
        <v>20110205</v>
      </c>
      <c r="AG1766" s="18">
        <v>1748.5930811889191</v>
      </c>
    </row>
    <row r="1767" spans="32:33" x14ac:dyDescent="0.4">
      <c r="AF1767" s="19">
        <v>20110206</v>
      </c>
      <c r="AG1767" s="17">
        <v>1748.4685408485659</v>
      </c>
    </row>
    <row r="1768" spans="32:33" x14ac:dyDescent="0.4">
      <c r="AF1768" s="19">
        <v>20110207</v>
      </c>
      <c r="AG1768" s="17">
        <v>1760.8136020860929</v>
      </c>
    </row>
    <row r="1769" spans="32:33" x14ac:dyDescent="0.4">
      <c r="AF1769" s="19">
        <v>20110208</v>
      </c>
      <c r="AG1769" s="17">
        <v>1755.3493946530889</v>
      </c>
    </row>
    <row r="1770" spans="32:33" x14ac:dyDescent="0.4">
      <c r="AF1770" s="19">
        <v>20110209</v>
      </c>
      <c r="AG1770" s="17">
        <v>1749.5427012841139</v>
      </c>
    </row>
    <row r="1771" spans="32:33" x14ac:dyDescent="0.4">
      <c r="AF1771" s="19">
        <v>20110210</v>
      </c>
      <c r="AG1771" s="18">
        <v>1736.341425206657</v>
      </c>
    </row>
    <row r="1772" spans="32:33" x14ac:dyDescent="0.4">
      <c r="AF1772" s="19">
        <v>20110211</v>
      </c>
      <c r="AG1772" s="17">
        <v>1721.5366922471501</v>
      </c>
    </row>
    <row r="1773" spans="32:33" x14ac:dyDescent="0.4">
      <c r="AF1773" s="19">
        <v>20110212</v>
      </c>
      <c r="AG1773" s="17">
        <v>1721.4277194493411</v>
      </c>
    </row>
    <row r="1774" spans="32:33" x14ac:dyDescent="0.4">
      <c r="AF1774" s="19">
        <v>20110213</v>
      </c>
      <c r="AG1774" s="17">
        <v>1721.303179108987</v>
      </c>
    </row>
    <row r="1775" spans="32:33" x14ac:dyDescent="0.4">
      <c r="AF1775" s="19">
        <v>20110214</v>
      </c>
      <c r="AG1775" s="17">
        <v>1724.5723630432631</v>
      </c>
    </row>
    <row r="1776" spans="32:33" x14ac:dyDescent="0.4">
      <c r="AF1776" s="19">
        <v>20110215</v>
      </c>
      <c r="AG1776" s="18">
        <v>1723.0934465015671</v>
      </c>
    </row>
    <row r="1777" spans="32:33" x14ac:dyDescent="0.4">
      <c r="AF1777" s="19">
        <v>20110216</v>
      </c>
      <c r="AG1777" s="17">
        <v>1721.287611566443</v>
      </c>
    </row>
    <row r="1778" spans="32:33" x14ac:dyDescent="0.4">
      <c r="AF1778" s="19">
        <v>20110217</v>
      </c>
      <c r="AG1778" s="17">
        <v>1711.262114167997</v>
      </c>
    </row>
    <row r="1779" spans="32:33" x14ac:dyDescent="0.4">
      <c r="AF1779" s="19">
        <v>20110218</v>
      </c>
      <c r="AG1779" s="17">
        <v>1729.3827336894119</v>
      </c>
    </row>
    <row r="1780" spans="32:33" x14ac:dyDescent="0.4">
      <c r="AF1780" s="19">
        <v>20110219</v>
      </c>
      <c r="AG1780" s="17">
        <v>1729.258193349059</v>
      </c>
    </row>
    <row r="1781" spans="32:33" x14ac:dyDescent="0.4">
      <c r="AF1781" s="19">
        <v>20110220</v>
      </c>
      <c r="AG1781" s="18">
        <v>1729.14922055125</v>
      </c>
    </row>
    <row r="1782" spans="32:33" x14ac:dyDescent="0.4">
      <c r="AF1782" s="19">
        <v>20110221</v>
      </c>
      <c r="AG1782" s="17">
        <v>1726.689548829271</v>
      </c>
    </row>
    <row r="1783" spans="32:33" x14ac:dyDescent="0.4">
      <c r="AF1783" s="19">
        <v>20110222</v>
      </c>
      <c r="AG1783" s="17">
        <v>1702.653263141071</v>
      </c>
    </row>
    <row r="1784" spans="32:33" x14ac:dyDescent="0.4">
      <c r="AF1784" s="19">
        <v>20110223</v>
      </c>
      <c r="AG1784" s="17">
        <v>1690.712958009691</v>
      </c>
    </row>
    <row r="1785" spans="32:33" x14ac:dyDescent="0.4">
      <c r="AF1785" s="19">
        <v>20110224</v>
      </c>
      <c r="AG1785" s="17">
        <v>1682.898051652518</v>
      </c>
    </row>
    <row r="1786" spans="32:33" x14ac:dyDescent="0.4">
      <c r="AF1786" s="19">
        <v>20110225</v>
      </c>
      <c r="AG1786" s="18">
        <v>1694.5581410181021</v>
      </c>
    </row>
    <row r="1787" spans="32:33" x14ac:dyDescent="0.4">
      <c r="AF1787" s="19">
        <v>20110226</v>
      </c>
      <c r="AG1787" s="17">
        <v>1694.449168220292</v>
      </c>
    </row>
    <row r="1788" spans="32:33" x14ac:dyDescent="0.4">
      <c r="AF1788" s="19">
        <v>20110227</v>
      </c>
      <c r="AG1788" s="17">
        <v>1694.324627879939</v>
      </c>
    </row>
    <row r="1789" spans="32:33" x14ac:dyDescent="0.4">
      <c r="AF1789" s="19">
        <v>20110228</v>
      </c>
      <c r="AG1789" s="17">
        <v>1684.843994470539</v>
      </c>
    </row>
    <row r="1790" spans="32:33" x14ac:dyDescent="0.4">
      <c r="AF1790" s="19">
        <v>20110301</v>
      </c>
      <c r="AG1790" s="17">
        <v>1684.73502167273</v>
      </c>
    </row>
    <row r="1791" spans="32:33" x14ac:dyDescent="0.4">
      <c r="AF1791" s="19">
        <v>20110302</v>
      </c>
      <c r="AG1791" s="18">
        <v>1684.205725226228</v>
      </c>
    </row>
    <row r="1792" spans="32:33" x14ac:dyDescent="0.4">
      <c r="AF1792" s="19">
        <v>20110303</v>
      </c>
      <c r="AG1792" s="17">
        <v>1705.766771649905</v>
      </c>
    </row>
    <row r="1793" spans="32:33" x14ac:dyDescent="0.4">
      <c r="AF1793" s="19">
        <v>20110304</v>
      </c>
      <c r="AG1793" s="17">
        <v>1722.0659886936519</v>
      </c>
    </row>
    <row r="1794" spans="32:33" x14ac:dyDescent="0.4">
      <c r="AF1794" s="19">
        <v>20110305</v>
      </c>
      <c r="AG1794" s="17">
        <v>1721.9570158958429</v>
      </c>
    </row>
    <row r="1795" spans="32:33" x14ac:dyDescent="0.4">
      <c r="AF1795" s="19">
        <v>20110306</v>
      </c>
      <c r="AG1795" s="17">
        <v>1721.8324755554891</v>
      </c>
    </row>
    <row r="1796" spans="32:33" x14ac:dyDescent="0.4">
      <c r="AF1796" s="19">
        <v>20110307</v>
      </c>
      <c r="AG1796" s="18">
        <v>1720.5248019817791</v>
      </c>
    </row>
    <row r="1797" spans="32:33" x14ac:dyDescent="0.4">
      <c r="AF1797" s="19">
        <v>20110308</v>
      </c>
      <c r="AG1797" s="17">
        <v>1731.593324730685</v>
      </c>
    </row>
    <row r="1798" spans="32:33" x14ac:dyDescent="0.4">
      <c r="AF1798" s="19">
        <v>20110309</v>
      </c>
      <c r="AG1798" s="17">
        <v>1735.204994600932</v>
      </c>
    </row>
    <row r="1799" spans="32:33" x14ac:dyDescent="0.4">
      <c r="AF1799" s="19">
        <v>20110310</v>
      </c>
      <c r="AG1799" s="17">
        <v>1731.733432613582</v>
      </c>
    </row>
    <row r="1800" spans="32:33" x14ac:dyDescent="0.4">
      <c r="AF1800" s="19">
        <v>20110311</v>
      </c>
      <c r="AG1800" s="17">
        <v>1728.682194274925</v>
      </c>
    </row>
    <row r="1801" spans="32:33" x14ac:dyDescent="0.4">
      <c r="AF1801" s="19">
        <v>20110312</v>
      </c>
      <c r="AG1801" s="18">
        <v>1728.5732214771151</v>
      </c>
    </row>
    <row r="1802" spans="32:33" x14ac:dyDescent="0.4">
      <c r="AF1802" s="19">
        <v>20110313</v>
      </c>
      <c r="AG1802" s="17">
        <v>1728.4486811367619</v>
      </c>
    </row>
    <row r="1803" spans="32:33" x14ac:dyDescent="0.4">
      <c r="AF1803" s="19">
        <v>20110314</v>
      </c>
      <c r="AG1803" s="17">
        <v>1704.3345577358409</v>
      </c>
    </row>
    <row r="1804" spans="32:33" x14ac:dyDescent="0.4">
      <c r="AF1804" s="19">
        <v>20110315</v>
      </c>
      <c r="AG1804" s="17">
        <v>1664.185865514424</v>
      </c>
    </row>
    <row r="1805" spans="32:33" x14ac:dyDescent="0.4">
      <c r="AF1805" s="19">
        <v>20110316</v>
      </c>
      <c r="AG1805" s="17">
        <v>1674.7095242742839</v>
      </c>
    </row>
    <row r="1806" spans="32:33" x14ac:dyDescent="0.4">
      <c r="AF1806" s="19">
        <v>20110317</v>
      </c>
      <c r="AG1806" s="18">
        <v>1660.683168441986</v>
      </c>
    </row>
    <row r="1807" spans="32:33" x14ac:dyDescent="0.4">
      <c r="AF1807" s="19">
        <v>20110318</v>
      </c>
      <c r="AG1807" s="17">
        <v>1677.0602231984531</v>
      </c>
    </row>
    <row r="1808" spans="32:33" x14ac:dyDescent="0.4">
      <c r="AF1808" s="19">
        <v>20110319</v>
      </c>
      <c r="AG1808" s="17">
        <v>1676.9356828581001</v>
      </c>
    </row>
    <row r="1809" spans="32:33" x14ac:dyDescent="0.4">
      <c r="AF1809" s="19">
        <v>20110320</v>
      </c>
      <c r="AG1809" s="17">
        <v>1676.8267100602909</v>
      </c>
    </row>
    <row r="1810" spans="32:33" x14ac:dyDescent="0.4">
      <c r="AF1810" s="19">
        <v>20110321</v>
      </c>
      <c r="AG1810" s="17">
        <v>1706.6385540323779</v>
      </c>
    </row>
    <row r="1811" spans="32:33" x14ac:dyDescent="0.4">
      <c r="AF1811" s="19">
        <v>20110322</v>
      </c>
      <c r="AG1811" s="18">
        <v>1709.067090669269</v>
      </c>
    </row>
    <row r="1812" spans="32:33" x14ac:dyDescent="0.4">
      <c r="AF1812" s="19">
        <v>20110323</v>
      </c>
      <c r="AG1812" s="17">
        <v>1716.430538292662</v>
      </c>
    </row>
    <row r="1813" spans="32:33" x14ac:dyDescent="0.4">
      <c r="AF1813" s="19">
        <v>20110324</v>
      </c>
      <c r="AG1813" s="17">
        <v>1726.9230619674329</v>
      </c>
    </row>
    <row r="1814" spans="32:33" x14ac:dyDescent="0.4">
      <c r="AF1814" s="19">
        <v>20110325</v>
      </c>
      <c r="AG1814" s="17">
        <v>1734.815806037328</v>
      </c>
    </row>
    <row r="1815" spans="32:33" x14ac:dyDescent="0.4">
      <c r="AF1815" s="19">
        <v>20110326</v>
      </c>
      <c r="AG1815" s="17">
        <v>1734.706833239519</v>
      </c>
    </row>
    <row r="1816" spans="32:33" x14ac:dyDescent="0.4">
      <c r="AF1816" s="19">
        <v>20110327</v>
      </c>
      <c r="AG1816" s="18">
        <v>1734.5822928991649</v>
      </c>
    </row>
    <row r="1817" spans="32:33" x14ac:dyDescent="0.4">
      <c r="AF1817" s="19">
        <v>20110328</v>
      </c>
      <c r="AG1817" s="17">
        <v>1734.006293825031</v>
      </c>
    </row>
    <row r="1818" spans="32:33" x14ac:dyDescent="0.4">
      <c r="AF1818" s="19">
        <v>20110329</v>
      </c>
      <c r="AG1818" s="17">
        <v>1738.5208811628411</v>
      </c>
    </row>
    <row r="1819" spans="32:33" x14ac:dyDescent="0.4">
      <c r="AF1819" s="19">
        <v>20110330</v>
      </c>
      <c r="AG1819" s="17">
        <v>1750.1498354433361</v>
      </c>
    </row>
    <row r="1820" spans="32:33" x14ac:dyDescent="0.4">
      <c r="AF1820" s="19">
        <v>20110331</v>
      </c>
      <c r="AG1820" s="17">
        <v>1767.3831050397339</v>
      </c>
    </row>
    <row r="1821" spans="32:33" x14ac:dyDescent="0.4">
      <c r="AF1821" s="19">
        <v>20110401</v>
      </c>
      <c r="AG1821" s="18">
        <v>1776.8793059916779</v>
      </c>
    </row>
    <row r="1822" spans="32:33" x14ac:dyDescent="0.4">
      <c r="AF1822" s="19">
        <v>20110402</v>
      </c>
      <c r="AG1822" s="17">
        <v>1776.754765651325</v>
      </c>
    </row>
    <row r="1823" spans="32:33" x14ac:dyDescent="0.4">
      <c r="AF1823" s="19">
        <v>20110403</v>
      </c>
      <c r="AG1823" s="17">
        <v>1776.6457928535151</v>
      </c>
    </row>
    <row r="1824" spans="32:33" x14ac:dyDescent="0.4">
      <c r="AF1824" s="19">
        <v>20110404</v>
      </c>
      <c r="AG1824" s="17">
        <v>1782.577026562845</v>
      </c>
    </row>
    <row r="1825" spans="32:33" x14ac:dyDescent="0.4">
      <c r="AF1825" s="19">
        <v>20110405</v>
      </c>
      <c r="AG1825" s="17">
        <v>1787.387397208993</v>
      </c>
    </row>
    <row r="1826" spans="32:33" x14ac:dyDescent="0.4">
      <c r="AF1826" s="19">
        <v>20110406</v>
      </c>
      <c r="AG1826" s="18">
        <v>1781.2070828189569</v>
      </c>
    </row>
    <row r="1827" spans="32:33" x14ac:dyDescent="0.4">
      <c r="AF1827" s="19">
        <v>20110407</v>
      </c>
      <c r="AG1827" s="17">
        <v>1778.2492497355649</v>
      </c>
    </row>
    <row r="1828" spans="32:33" x14ac:dyDescent="0.4">
      <c r="AF1828" s="19">
        <v>20110408</v>
      </c>
      <c r="AG1828" s="17">
        <v>1789.021989176131</v>
      </c>
    </row>
    <row r="1829" spans="32:33" x14ac:dyDescent="0.4">
      <c r="AF1829" s="19">
        <v>20110409</v>
      </c>
      <c r="AG1829" s="17">
        <v>1788.913016378322</v>
      </c>
    </row>
    <row r="1830" spans="32:33" x14ac:dyDescent="0.4">
      <c r="AF1830" s="19">
        <v>20110410</v>
      </c>
      <c r="AG1830" s="17">
        <v>1788.7884760379691</v>
      </c>
    </row>
    <row r="1831" spans="32:33" x14ac:dyDescent="0.4">
      <c r="AF1831" s="19">
        <v>20110411</v>
      </c>
      <c r="AG1831" s="18">
        <v>1782.6548642755649</v>
      </c>
    </row>
    <row r="1832" spans="32:33" x14ac:dyDescent="0.4">
      <c r="AF1832" s="19">
        <v>20110412</v>
      </c>
      <c r="AG1832" s="17">
        <v>1763.864840424751</v>
      </c>
    </row>
    <row r="1833" spans="32:33" x14ac:dyDescent="0.4">
      <c r="AF1833" s="19">
        <v>20110413</v>
      </c>
      <c r="AG1833" s="17">
        <v>1778.2648172781089</v>
      </c>
    </row>
    <row r="1834" spans="32:33" x14ac:dyDescent="0.4">
      <c r="AF1834" s="19">
        <v>20110414</v>
      </c>
      <c r="AG1834" s="17">
        <v>1784.3984290405131</v>
      </c>
    </row>
    <row r="1835" spans="32:33" x14ac:dyDescent="0.4">
      <c r="AF1835" s="19">
        <v>20110415</v>
      </c>
      <c r="AG1835" s="17">
        <v>1795.5447895021391</v>
      </c>
    </row>
    <row r="1836" spans="32:33" x14ac:dyDescent="0.4">
      <c r="AF1836" s="19">
        <v>20110416</v>
      </c>
      <c r="AG1836" s="18">
        <v>1795.4358167043299</v>
      </c>
    </row>
    <row r="1837" spans="32:33" x14ac:dyDescent="0.4">
      <c r="AF1837" s="19">
        <v>20110417</v>
      </c>
      <c r="AG1837" s="17">
        <v>1795.311276363976</v>
      </c>
    </row>
    <row r="1838" spans="32:33" x14ac:dyDescent="0.4">
      <c r="AF1838" s="19">
        <v>20110418</v>
      </c>
      <c r="AG1838" s="17">
        <v>1792.79784057709</v>
      </c>
    </row>
    <row r="1839" spans="32:33" x14ac:dyDescent="0.4">
      <c r="AF1839" s="19">
        <v>20110419</v>
      </c>
      <c r="AG1839" s="17">
        <v>1785.2575332163619</v>
      </c>
    </row>
    <row r="1840" spans="32:33" x14ac:dyDescent="0.4">
      <c r="AF1840" s="19">
        <v>20110420</v>
      </c>
      <c r="AG1840" s="17">
        <v>1802.2950372290561</v>
      </c>
    </row>
    <row r="1841" spans="32:33" x14ac:dyDescent="0.4">
      <c r="AF1841" s="19">
        <v>20110421</v>
      </c>
      <c r="AG1841" s="18">
        <v>1805.5265975265111</v>
      </c>
    </row>
    <row r="1842" spans="32:33" x14ac:dyDescent="0.4">
      <c r="AF1842" s="19">
        <v>20110422</v>
      </c>
      <c r="AG1842" s="17">
        <v>1805.2752539478199</v>
      </c>
    </row>
    <row r="1843" spans="32:33" x14ac:dyDescent="0.4">
      <c r="AF1843" s="19">
        <v>20110423</v>
      </c>
      <c r="AG1843" s="17">
        <v>1805.167535271238</v>
      </c>
    </row>
    <row r="1844" spans="32:33" x14ac:dyDescent="0.4">
      <c r="AF1844" s="19">
        <v>20110424</v>
      </c>
      <c r="AG1844" s="17">
        <v>1805.0598165946569</v>
      </c>
    </row>
    <row r="1845" spans="32:33" x14ac:dyDescent="0.4">
      <c r="AF1845" s="19">
        <v>20110425</v>
      </c>
      <c r="AG1845" s="17">
        <v>1812.7257957447309</v>
      </c>
    </row>
    <row r="1846" spans="32:33" x14ac:dyDescent="0.4">
      <c r="AF1846" s="19">
        <v>20110426</v>
      </c>
      <c r="AG1846" s="18">
        <v>1803.2824584310561</v>
      </c>
    </row>
    <row r="1847" spans="32:33" x14ac:dyDescent="0.4">
      <c r="AF1847" s="19">
        <v>20110427</v>
      </c>
      <c r="AG1847" s="17">
        <v>1809.8353445897851</v>
      </c>
    </row>
    <row r="1848" spans="32:33" x14ac:dyDescent="0.4">
      <c r="AF1848" s="19">
        <v>20110428</v>
      </c>
      <c r="AG1848" s="17">
        <v>1800.9485537717831</v>
      </c>
    </row>
    <row r="1849" spans="32:33" x14ac:dyDescent="0.4">
      <c r="AF1849" s="19">
        <v>20110429</v>
      </c>
      <c r="AG1849" s="17">
        <v>1797.7888059253819</v>
      </c>
    </row>
    <row r="1850" spans="32:33" x14ac:dyDescent="0.4">
      <c r="AF1850" s="19">
        <v>20110430</v>
      </c>
      <c r="AG1850" s="17">
        <v>1797.6810872487999</v>
      </c>
    </row>
    <row r="1851" spans="32:33" x14ac:dyDescent="0.4">
      <c r="AF1851" s="19">
        <v>20110501</v>
      </c>
      <c r="AG1851" s="18">
        <v>1797.5733685722189</v>
      </c>
    </row>
    <row r="1852" spans="32:33" x14ac:dyDescent="0.4">
      <c r="AF1852" s="19">
        <v>20110502</v>
      </c>
      <c r="AG1852" s="17">
        <v>1816.7113867782591</v>
      </c>
    </row>
    <row r="1853" spans="32:33" x14ac:dyDescent="0.4">
      <c r="AF1853" s="19">
        <v>20110503</v>
      </c>
      <c r="AG1853" s="17">
        <v>1805.8497535562569</v>
      </c>
    </row>
    <row r="1854" spans="32:33" x14ac:dyDescent="0.4">
      <c r="AF1854" s="19">
        <v>20110504</v>
      </c>
      <c r="AG1854" s="17">
        <v>1798.883945803964</v>
      </c>
    </row>
    <row r="1855" spans="32:33" x14ac:dyDescent="0.4">
      <c r="AF1855" s="19">
        <v>20110505</v>
      </c>
      <c r="AG1855" s="17">
        <v>1798.776227127383</v>
      </c>
    </row>
    <row r="1856" spans="32:33" x14ac:dyDescent="0.4">
      <c r="AF1856" s="19">
        <v>20110506</v>
      </c>
      <c r="AG1856" s="18">
        <v>1798.3992117593459</v>
      </c>
    </row>
    <row r="1857" spans="32:33" x14ac:dyDescent="0.4">
      <c r="AF1857" s="19">
        <v>20110507</v>
      </c>
      <c r="AG1857" s="17">
        <v>1798.291493082764</v>
      </c>
    </row>
    <row r="1858" spans="32:33" x14ac:dyDescent="0.4">
      <c r="AF1858" s="19">
        <v>20110508</v>
      </c>
      <c r="AG1858" s="17">
        <v>1798.201727518946</v>
      </c>
    </row>
    <row r="1859" spans="32:33" x14ac:dyDescent="0.4">
      <c r="AF1859" s="19">
        <v>20110509</v>
      </c>
      <c r="AG1859" s="17">
        <v>1785.760220373744</v>
      </c>
    </row>
    <row r="1860" spans="32:33" x14ac:dyDescent="0.4">
      <c r="AF1860" s="19">
        <v>20110510</v>
      </c>
      <c r="AG1860" s="17">
        <v>1785.6704548099251</v>
      </c>
    </row>
    <row r="1861" spans="32:33" x14ac:dyDescent="0.4">
      <c r="AF1861" s="19">
        <v>20110511</v>
      </c>
      <c r="AG1861" s="18">
        <v>1790.1228267753081</v>
      </c>
    </row>
    <row r="1862" spans="32:33" x14ac:dyDescent="0.4">
      <c r="AF1862" s="19">
        <v>20110512</v>
      </c>
      <c r="AG1862" s="17">
        <v>1780.2486147553061</v>
      </c>
    </row>
    <row r="1863" spans="32:33" x14ac:dyDescent="0.4">
      <c r="AF1863" s="19">
        <v>20110513</v>
      </c>
      <c r="AG1863" s="17">
        <v>1782.4388945124699</v>
      </c>
    </row>
    <row r="1864" spans="32:33" x14ac:dyDescent="0.4">
      <c r="AF1864" s="19">
        <v>20110514</v>
      </c>
      <c r="AG1864" s="17">
        <v>1782.331175835888</v>
      </c>
    </row>
    <row r="1865" spans="32:33" x14ac:dyDescent="0.4">
      <c r="AF1865" s="19">
        <v>20110515</v>
      </c>
      <c r="AG1865" s="17">
        <v>1782.24141027207</v>
      </c>
    </row>
    <row r="1866" spans="32:33" x14ac:dyDescent="0.4">
      <c r="AF1866" s="19">
        <v>20110516</v>
      </c>
      <c r="AG1866" s="18">
        <v>1778.2378661257781</v>
      </c>
    </row>
    <row r="1867" spans="32:33" x14ac:dyDescent="0.4">
      <c r="AF1867" s="19">
        <v>20110517</v>
      </c>
      <c r="AG1867" s="17">
        <v>1770.0512467055589</v>
      </c>
    </row>
    <row r="1868" spans="32:33" x14ac:dyDescent="0.4">
      <c r="AF1868" s="19">
        <v>20110518</v>
      </c>
      <c r="AG1868" s="17">
        <v>1775.7244303388691</v>
      </c>
    </row>
    <row r="1869" spans="32:33" x14ac:dyDescent="0.4">
      <c r="AF1869" s="19">
        <v>20110519</v>
      </c>
      <c r="AG1869" s="17">
        <v>1763.5342667723569</v>
      </c>
    </row>
    <row r="1870" spans="32:33" x14ac:dyDescent="0.4">
      <c r="AF1870" s="19">
        <v>20110520</v>
      </c>
      <c r="AG1870" s="17">
        <v>1772.7083073945771</v>
      </c>
    </row>
    <row r="1871" spans="32:33" x14ac:dyDescent="0.4">
      <c r="AF1871" s="19">
        <v>20110521</v>
      </c>
      <c r="AG1871" s="18">
        <v>1772.6005887179949</v>
      </c>
    </row>
    <row r="1872" spans="32:33" x14ac:dyDescent="0.4">
      <c r="AF1872" s="19">
        <v>20110522</v>
      </c>
      <c r="AG1872" s="17">
        <v>1772.5108231541769</v>
      </c>
    </row>
    <row r="1873" spans="32:33" x14ac:dyDescent="0.4">
      <c r="AF1873" s="19">
        <v>20110523</v>
      </c>
      <c r="AG1873" s="17">
        <v>1745.563200895954</v>
      </c>
    </row>
    <row r="1874" spans="32:33" x14ac:dyDescent="0.4">
      <c r="AF1874" s="19">
        <v>20110524</v>
      </c>
      <c r="AG1874" s="17">
        <v>1749.297448350791</v>
      </c>
    </row>
    <row r="1875" spans="32:33" x14ac:dyDescent="0.4">
      <c r="AF1875" s="19">
        <v>20110525</v>
      </c>
      <c r="AG1875" s="17">
        <v>1740.392704420025</v>
      </c>
    </row>
    <row r="1876" spans="32:33" x14ac:dyDescent="0.4">
      <c r="AF1876" s="19">
        <v>20110526</v>
      </c>
      <c r="AG1876" s="18">
        <v>1759.1357541452651</v>
      </c>
    </row>
    <row r="1877" spans="32:33" x14ac:dyDescent="0.4">
      <c r="AF1877" s="19">
        <v>20110527</v>
      </c>
      <c r="AG1877" s="17">
        <v>1757.2147710795559</v>
      </c>
    </row>
    <row r="1878" spans="32:33" x14ac:dyDescent="0.4">
      <c r="AF1878" s="19">
        <v>20110528</v>
      </c>
      <c r="AG1878" s="17">
        <v>1757.107052402974</v>
      </c>
    </row>
    <row r="1879" spans="32:33" x14ac:dyDescent="0.4">
      <c r="AF1879" s="19">
        <v>20110529</v>
      </c>
      <c r="AG1879" s="17">
        <v>1757.017286839156</v>
      </c>
    </row>
    <row r="1880" spans="32:33" x14ac:dyDescent="0.4">
      <c r="AF1880" s="19">
        <v>20110530</v>
      </c>
      <c r="AG1880" s="17">
        <v>1759.0639416942111</v>
      </c>
    </row>
    <row r="1881" spans="32:33" x14ac:dyDescent="0.4">
      <c r="AF1881" s="19">
        <v>20110531</v>
      </c>
      <c r="AG1881" s="18">
        <v>1777.465882276942</v>
      </c>
    </row>
    <row r="1882" spans="32:33" x14ac:dyDescent="0.4">
      <c r="AF1882" s="19">
        <v>20110601</v>
      </c>
      <c r="AG1882" s="17">
        <v>1768.7765756993399</v>
      </c>
    </row>
    <row r="1883" spans="32:33" x14ac:dyDescent="0.4">
      <c r="AF1883" s="19">
        <v>20110602</v>
      </c>
      <c r="AG1883" s="17">
        <v>1748.722948742354</v>
      </c>
    </row>
    <row r="1884" spans="32:33" x14ac:dyDescent="0.4">
      <c r="AF1884" s="19">
        <v>20110603</v>
      </c>
      <c r="AG1884" s="17">
        <v>1755.1860693372651</v>
      </c>
    </row>
    <row r="1885" spans="32:33" x14ac:dyDescent="0.4">
      <c r="AF1885" s="19">
        <v>20110604</v>
      </c>
      <c r="AG1885" s="17">
        <v>1755.0963037734459</v>
      </c>
    </row>
    <row r="1886" spans="32:33" x14ac:dyDescent="0.4">
      <c r="AF1886" s="19">
        <v>20110605</v>
      </c>
      <c r="AG1886" s="18">
        <v>1754.9885850968651</v>
      </c>
    </row>
    <row r="1887" spans="32:33" x14ac:dyDescent="0.4">
      <c r="AF1887" s="19">
        <v>20110606</v>
      </c>
      <c r="AG1887" s="17">
        <v>1754.8808664202829</v>
      </c>
    </row>
    <row r="1888" spans="32:33" x14ac:dyDescent="0.4">
      <c r="AF1888" s="19">
        <v>20110607</v>
      </c>
      <c r="AG1888" s="17">
        <v>1745.509341557663</v>
      </c>
    </row>
    <row r="1889" spans="32:33" x14ac:dyDescent="0.4">
      <c r="AF1889" s="19">
        <v>20110608</v>
      </c>
      <c r="AG1889" s="17">
        <v>1737.771549956534</v>
      </c>
    </row>
    <row r="1890" spans="32:33" x14ac:dyDescent="0.4">
      <c r="AF1890" s="19">
        <v>20110609</v>
      </c>
      <c r="AG1890" s="17">
        <v>1738.525580692607</v>
      </c>
    </row>
    <row r="1891" spans="32:33" x14ac:dyDescent="0.4">
      <c r="AF1891" s="19">
        <v>20110610</v>
      </c>
      <c r="AG1891" s="18">
        <v>1727.8434785982411</v>
      </c>
    </row>
    <row r="1892" spans="32:33" x14ac:dyDescent="0.4">
      <c r="AF1892" s="19">
        <v>20110611</v>
      </c>
      <c r="AG1892" s="17">
        <v>1727.7537130344231</v>
      </c>
    </row>
    <row r="1893" spans="32:33" x14ac:dyDescent="0.4">
      <c r="AF1893" s="19">
        <v>20110612</v>
      </c>
      <c r="AG1893" s="17">
        <v>1727.6459943578409</v>
      </c>
    </row>
    <row r="1894" spans="32:33" x14ac:dyDescent="0.4">
      <c r="AF1894" s="19">
        <v>20110613</v>
      </c>
      <c r="AG1894" s="17">
        <v>1706.120212154236</v>
      </c>
    </row>
    <row r="1895" spans="32:33" x14ac:dyDescent="0.4">
      <c r="AF1895" s="19">
        <v>20110614</v>
      </c>
      <c r="AG1895" s="17">
        <v>1714.845424957366</v>
      </c>
    </row>
    <row r="1896" spans="32:33" x14ac:dyDescent="0.4">
      <c r="AF1896" s="19">
        <v>20110615</v>
      </c>
      <c r="AG1896" s="18">
        <v>1721.8291858224211</v>
      </c>
    </row>
    <row r="1897" spans="32:33" x14ac:dyDescent="0.4">
      <c r="AF1897" s="19">
        <v>20110616</v>
      </c>
      <c r="AG1897" s="17">
        <v>1707.7180391902</v>
      </c>
    </row>
    <row r="1898" spans="32:33" x14ac:dyDescent="0.4">
      <c r="AF1898" s="19">
        <v>20110617</v>
      </c>
      <c r="AG1898" s="17">
        <v>1706.802430439255</v>
      </c>
    </row>
    <row r="1899" spans="32:33" x14ac:dyDescent="0.4">
      <c r="AF1899" s="19">
        <v>20110618</v>
      </c>
      <c r="AG1899" s="17">
        <v>1706.694711762673</v>
      </c>
    </row>
    <row r="1900" spans="32:33" x14ac:dyDescent="0.4">
      <c r="AF1900" s="19">
        <v>20110619</v>
      </c>
      <c r="AG1900" s="17">
        <v>1706.604946198855</v>
      </c>
    </row>
    <row r="1901" spans="32:33" x14ac:dyDescent="0.4">
      <c r="AF1901" s="19">
        <v>20110620</v>
      </c>
      <c r="AG1901" s="18">
        <v>1703.9478855098359</v>
      </c>
    </row>
    <row r="1902" spans="32:33" x14ac:dyDescent="0.4">
      <c r="AF1902" s="19">
        <v>20110621</v>
      </c>
      <c r="AG1902" s="17">
        <v>1716.389392655039</v>
      </c>
    </row>
    <row r="1903" spans="32:33" x14ac:dyDescent="0.4">
      <c r="AF1903" s="19">
        <v>20110622</v>
      </c>
      <c r="AG1903" s="17">
        <v>1732.654912818896</v>
      </c>
    </row>
    <row r="1904" spans="32:33" x14ac:dyDescent="0.4">
      <c r="AF1904" s="19">
        <v>20110623</v>
      </c>
      <c r="AG1904" s="17">
        <v>1734.79133323777</v>
      </c>
    </row>
    <row r="1905" spans="32:33" x14ac:dyDescent="0.4">
      <c r="AF1905" s="19">
        <v>20110624</v>
      </c>
      <c r="AG1905" s="17">
        <v>1753.6241485268281</v>
      </c>
    </row>
    <row r="1906" spans="32:33" x14ac:dyDescent="0.4">
      <c r="AF1906" s="19">
        <v>20110625</v>
      </c>
      <c r="AG1906" s="18">
        <v>1753.5343829630101</v>
      </c>
    </row>
    <row r="1907" spans="32:33" x14ac:dyDescent="0.4">
      <c r="AF1907" s="19">
        <v>20110626</v>
      </c>
      <c r="AG1907" s="17">
        <v>1753.4266642864279</v>
      </c>
    </row>
    <row r="1908" spans="32:33" x14ac:dyDescent="0.4">
      <c r="AF1908" s="19">
        <v>20110627</v>
      </c>
      <c r="AG1908" s="17">
        <v>1746.2274660682081</v>
      </c>
    </row>
    <row r="1909" spans="32:33" x14ac:dyDescent="0.4">
      <c r="AF1909" s="19">
        <v>20110628</v>
      </c>
      <c r="AG1909" s="17">
        <v>1753.5882423013011</v>
      </c>
    </row>
    <row r="1910" spans="32:33" x14ac:dyDescent="0.4">
      <c r="AF1910" s="19">
        <v>20110629</v>
      </c>
      <c r="AG1910" s="17">
        <v>1761.9005335108659</v>
      </c>
    </row>
    <row r="1911" spans="32:33" x14ac:dyDescent="0.4">
      <c r="AF1911" s="19">
        <v>20110630</v>
      </c>
      <c r="AG1911" s="18">
        <v>1774.2522750922501</v>
      </c>
    </row>
    <row r="1912" spans="32:33" x14ac:dyDescent="0.4">
      <c r="AF1912" s="19">
        <v>20110701</v>
      </c>
      <c r="AG1912" s="17">
        <v>1776.155305045196</v>
      </c>
    </row>
    <row r="1913" spans="32:33" x14ac:dyDescent="0.4">
      <c r="AF1913" s="19">
        <v>20110702</v>
      </c>
      <c r="AG1913" s="17">
        <v>1776.065539481378</v>
      </c>
    </row>
    <row r="1914" spans="32:33" x14ac:dyDescent="0.4">
      <c r="AF1914" s="19">
        <v>20110703</v>
      </c>
      <c r="AG1914" s="17">
        <v>1775.957820804796</v>
      </c>
    </row>
    <row r="1915" spans="32:33" x14ac:dyDescent="0.4">
      <c r="AF1915" s="19">
        <v>20110704</v>
      </c>
      <c r="AG1915" s="17">
        <v>1785.167767652543</v>
      </c>
    </row>
    <row r="1916" spans="32:33" x14ac:dyDescent="0.4">
      <c r="AF1916" s="19">
        <v>20110705</v>
      </c>
      <c r="AG1916" s="18">
        <v>1791.4693102325809</v>
      </c>
    </row>
    <row r="1917" spans="32:33" x14ac:dyDescent="0.4">
      <c r="AF1917" s="19">
        <v>20110706</v>
      </c>
      <c r="AG1917" s="17">
        <v>1797.6631341360369</v>
      </c>
    </row>
    <row r="1918" spans="32:33" x14ac:dyDescent="0.4">
      <c r="AF1918" s="19">
        <v>20110707</v>
      </c>
      <c r="AG1918" s="17">
        <v>1796.6757129340369</v>
      </c>
    </row>
    <row r="1919" spans="32:33" x14ac:dyDescent="0.4">
      <c r="AF1919" s="19">
        <v>20110708</v>
      </c>
      <c r="AG1919" s="17">
        <v>1788.794296430799</v>
      </c>
    </row>
    <row r="1920" spans="32:33" x14ac:dyDescent="0.4">
      <c r="AF1920" s="19">
        <v>20110709</v>
      </c>
      <c r="AG1920" s="17">
        <v>1788.6865777542171</v>
      </c>
    </row>
    <row r="1921" spans="32:33" x14ac:dyDescent="0.4">
      <c r="AF1921" s="19">
        <v>20110710</v>
      </c>
      <c r="AG1921" s="18">
        <v>1788.5968121903991</v>
      </c>
    </row>
    <row r="1922" spans="32:33" x14ac:dyDescent="0.4">
      <c r="AF1922" s="19">
        <v>20110711</v>
      </c>
      <c r="AG1922" s="17">
        <v>1785.167767652543</v>
      </c>
    </row>
    <row r="1923" spans="32:33" x14ac:dyDescent="0.4">
      <c r="AF1923" s="19">
        <v>20110712</v>
      </c>
      <c r="AG1923" s="17">
        <v>1763.175204517084</v>
      </c>
    </row>
    <row r="1924" spans="32:33" x14ac:dyDescent="0.4">
      <c r="AF1924" s="19">
        <v>20110713</v>
      </c>
      <c r="AG1924" s="17">
        <v>1767.771201384576</v>
      </c>
    </row>
    <row r="1925" spans="32:33" x14ac:dyDescent="0.4">
      <c r="AF1925" s="19">
        <v>20110714</v>
      </c>
      <c r="AG1925" s="17">
        <v>1766.7119677315211</v>
      </c>
    </row>
    <row r="1926" spans="32:33" x14ac:dyDescent="0.4">
      <c r="AF1926" s="19">
        <v>20110715</v>
      </c>
      <c r="AG1926" s="18">
        <v>1779.4407246809419</v>
      </c>
    </row>
    <row r="1927" spans="32:33" x14ac:dyDescent="0.4">
      <c r="AF1927" s="19">
        <v>20110716</v>
      </c>
      <c r="AG1927" s="17">
        <v>1779.33300600436</v>
      </c>
    </row>
    <row r="1928" spans="32:33" x14ac:dyDescent="0.4">
      <c r="AF1928" s="19">
        <v>20110717</v>
      </c>
      <c r="AG1928" s="17">
        <v>1779.243240440542</v>
      </c>
    </row>
    <row r="1929" spans="32:33" x14ac:dyDescent="0.4">
      <c r="AF1929" s="19">
        <v>20110718</v>
      </c>
      <c r="AG1929" s="17">
        <v>1793.9647929067271</v>
      </c>
    </row>
    <row r="1930" spans="32:33" x14ac:dyDescent="0.4">
      <c r="AF1930" s="19">
        <v>20110719</v>
      </c>
      <c r="AG1930" s="17">
        <v>1805.3650195116379</v>
      </c>
    </row>
    <row r="1931" spans="32:33" x14ac:dyDescent="0.4">
      <c r="AF1931" s="19">
        <v>20110720</v>
      </c>
      <c r="AG1931" s="18">
        <v>1813.6952638339669</v>
      </c>
    </row>
    <row r="1932" spans="32:33" x14ac:dyDescent="0.4">
      <c r="AF1932" s="19">
        <v>20110721</v>
      </c>
      <c r="AG1932" s="17">
        <v>1813.9466074126581</v>
      </c>
    </row>
    <row r="1933" spans="32:33" x14ac:dyDescent="0.4">
      <c r="AF1933" s="19">
        <v>20110722</v>
      </c>
      <c r="AG1933" s="17">
        <v>1828.470675638443</v>
      </c>
    </row>
    <row r="1934" spans="32:33" x14ac:dyDescent="0.4">
      <c r="AF1934" s="19">
        <v>20110723</v>
      </c>
      <c r="AG1934" s="17">
        <v>1828.380910074625</v>
      </c>
    </row>
    <row r="1935" spans="32:33" x14ac:dyDescent="0.4">
      <c r="AF1935" s="19">
        <v>20110724</v>
      </c>
      <c r="AG1935" s="17">
        <v>1828.2731913980431</v>
      </c>
    </row>
    <row r="1936" spans="32:33" x14ac:dyDescent="0.4">
      <c r="AF1936" s="19">
        <v>20110725</v>
      </c>
      <c r="AG1936" s="18">
        <v>1822.546148426442</v>
      </c>
    </row>
    <row r="1937" spans="32:33" x14ac:dyDescent="0.4">
      <c r="AF1937" s="19">
        <v>20110726</v>
      </c>
      <c r="AG1937" s="17">
        <v>1840.4813080773181</v>
      </c>
    </row>
    <row r="1938" spans="32:33" x14ac:dyDescent="0.4">
      <c r="AF1938" s="19">
        <v>20110727</v>
      </c>
      <c r="AG1938" s="17">
        <v>1844.48485222361</v>
      </c>
    </row>
    <row r="1939" spans="32:33" x14ac:dyDescent="0.4">
      <c r="AF1939" s="19">
        <v>20110728</v>
      </c>
      <c r="AG1939" s="17">
        <v>1838.0576378542271</v>
      </c>
    </row>
    <row r="1940" spans="32:33" x14ac:dyDescent="0.4">
      <c r="AF1940" s="19">
        <v>20110729</v>
      </c>
      <c r="AG1940" s="17">
        <v>1838.1474034180451</v>
      </c>
    </row>
    <row r="1941" spans="32:33" x14ac:dyDescent="0.4">
      <c r="AF1941" s="19">
        <v>20110730</v>
      </c>
      <c r="AG1941" s="18">
        <v>1838.0396847414629</v>
      </c>
    </row>
    <row r="1942" spans="32:33" x14ac:dyDescent="0.4">
      <c r="AF1942" s="19">
        <v>20110731</v>
      </c>
      <c r="AG1942" s="17">
        <v>1837.931966064881</v>
      </c>
    </row>
    <row r="1943" spans="32:33" x14ac:dyDescent="0.4">
      <c r="AF1943" s="19">
        <v>20110801</v>
      </c>
      <c r="AG1943" s="17">
        <v>1850.9838790440481</v>
      </c>
    </row>
    <row r="1944" spans="32:33" x14ac:dyDescent="0.4">
      <c r="AF1944" s="19">
        <v>20110802</v>
      </c>
      <c r="AG1944" s="17">
        <v>1827.2857701960429</v>
      </c>
    </row>
    <row r="1945" spans="32:33" x14ac:dyDescent="0.4">
      <c r="AF1945" s="19">
        <v>20110803</v>
      </c>
      <c r="AG1945" s="17">
        <v>1798.901898916728</v>
      </c>
    </row>
    <row r="1946" spans="32:33" x14ac:dyDescent="0.4">
      <c r="AF1946" s="19">
        <v>20110804</v>
      </c>
      <c r="AG1946" s="18">
        <v>1783.1749721357789</v>
      </c>
    </row>
    <row r="1947" spans="32:33" x14ac:dyDescent="0.4">
      <c r="AF1947" s="19">
        <v>20110805</v>
      </c>
      <c r="AG1947" s="17">
        <v>1737.5022532650789</v>
      </c>
    </row>
    <row r="1948" spans="32:33" x14ac:dyDescent="0.4">
      <c r="AF1948" s="19">
        <v>20110806</v>
      </c>
      <c r="AG1948" s="17">
        <v>1737.394534588497</v>
      </c>
    </row>
    <row r="1949" spans="32:33" x14ac:dyDescent="0.4">
      <c r="AF1949" s="19">
        <v>20110807</v>
      </c>
      <c r="AG1949" s="17">
        <v>1737.304769024679</v>
      </c>
    </row>
    <row r="1950" spans="32:33" x14ac:dyDescent="0.4">
      <c r="AF1950" s="19">
        <v>20110808</v>
      </c>
      <c r="AG1950" s="17">
        <v>1677.9876844536129</v>
      </c>
    </row>
    <row r="1951" spans="32:33" x14ac:dyDescent="0.4">
      <c r="AF1951" s="19">
        <v>20110809</v>
      </c>
      <c r="AG1951" s="18">
        <v>1598.832410278724</v>
      </c>
    </row>
    <row r="1952" spans="32:33" x14ac:dyDescent="0.4">
      <c r="AF1952" s="19">
        <v>20110810</v>
      </c>
      <c r="AG1952" s="17">
        <v>1605.8700304820709</v>
      </c>
    </row>
    <row r="1953" spans="32:33" x14ac:dyDescent="0.4">
      <c r="AF1953" s="19">
        <v>20110811</v>
      </c>
      <c r="AG1953" s="17">
        <v>1619.5143961824369</v>
      </c>
    </row>
    <row r="1954" spans="32:33" x14ac:dyDescent="0.4">
      <c r="AF1954" s="19">
        <v>20110812</v>
      </c>
      <c r="AG1954" s="17">
        <v>1633.607589701895</v>
      </c>
    </row>
    <row r="1955" spans="32:33" x14ac:dyDescent="0.4">
      <c r="AF1955" s="19">
        <v>20110813</v>
      </c>
      <c r="AG1955" s="17">
        <v>1633.5178241380761</v>
      </c>
    </row>
    <row r="1956" spans="32:33" x14ac:dyDescent="0.4">
      <c r="AF1956" s="19">
        <v>20110814</v>
      </c>
      <c r="AG1956" s="18">
        <v>1633.4101054614939</v>
      </c>
    </row>
    <row r="1957" spans="32:33" x14ac:dyDescent="0.4">
      <c r="AF1957" s="19">
        <v>20110815</v>
      </c>
      <c r="AG1957" s="17">
        <v>1633.3203398976759</v>
      </c>
    </row>
    <row r="1958" spans="32:33" x14ac:dyDescent="0.4">
      <c r="AF1958" s="19">
        <v>20110816</v>
      </c>
      <c r="AG1958" s="17">
        <v>1682.7093531104499</v>
      </c>
    </row>
    <row r="1959" spans="32:33" x14ac:dyDescent="0.4">
      <c r="AF1959" s="19">
        <v>20110817</v>
      </c>
      <c r="AG1959" s="17">
        <v>1698.490139229689</v>
      </c>
    </row>
    <row r="1960" spans="32:33" x14ac:dyDescent="0.4">
      <c r="AF1960" s="19">
        <v>20110818</v>
      </c>
      <c r="AG1960" s="17">
        <v>1703.8222137204909</v>
      </c>
    </row>
    <row r="1961" spans="32:33" x14ac:dyDescent="0.4">
      <c r="AF1961" s="19">
        <v>20110819</v>
      </c>
      <c r="AG1961" s="18">
        <v>1644.1999262324421</v>
      </c>
    </row>
    <row r="1962" spans="32:33" x14ac:dyDescent="0.4">
      <c r="AF1962" s="19">
        <v>20110820</v>
      </c>
      <c r="AG1962" s="17">
        <v>1644.0922075558601</v>
      </c>
    </row>
    <row r="1963" spans="32:33" x14ac:dyDescent="0.4">
      <c r="AF1963" s="19">
        <v>20110821</v>
      </c>
      <c r="AG1963" s="17">
        <v>1644.0024419920419</v>
      </c>
    </row>
    <row r="1964" spans="32:33" x14ac:dyDescent="0.4">
      <c r="AF1964" s="19">
        <v>20110822</v>
      </c>
      <c r="AG1964" s="17">
        <v>1633.697355265713</v>
      </c>
    </row>
    <row r="1965" spans="32:33" x14ac:dyDescent="0.4">
      <c r="AF1965" s="19">
        <v>20110823</v>
      </c>
      <c r="AG1965" s="17">
        <v>1653.9305133503351</v>
      </c>
    </row>
    <row r="1966" spans="32:33" x14ac:dyDescent="0.4">
      <c r="AF1966" s="19">
        <v>20110824</v>
      </c>
      <c r="AG1966" s="18">
        <v>1637.054587352513</v>
      </c>
    </row>
    <row r="1967" spans="32:33" x14ac:dyDescent="0.4">
      <c r="AF1967" s="19">
        <v>20110825</v>
      </c>
      <c r="AG1967" s="17">
        <v>1633.4639647997849</v>
      </c>
    </row>
    <row r="1968" spans="32:33" x14ac:dyDescent="0.4">
      <c r="AF1968" s="19">
        <v>20110826</v>
      </c>
      <c r="AG1968" s="17">
        <v>1631.5609348468399</v>
      </c>
    </row>
    <row r="1969" spans="32:33" x14ac:dyDescent="0.4">
      <c r="AF1969" s="19">
        <v>20110827</v>
      </c>
      <c r="AG1969" s="17">
        <v>1631.471169283021</v>
      </c>
    </row>
    <row r="1970" spans="32:33" x14ac:dyDescent="0.4">
      <c r="AF1970" s="19">
        <v>20110828</v>
      </c>
      <c r="AG1970" s="17">
        <v>1631.36345060644</v>
      </c>
    </row>
    <row r="1971" spans="32:33" x14ac:dyDescent="0.4">
      <c r="AF1971" s="19">
        <v>20110829</v>
      </c>
      <c r="AG1971" s="18">
        <v>1652.135202073971</v>
      </c>
    </row>
    <row r="1972" spans="32:33" x14ac:dyDescent="0.4">
      <c r="AF1972" s="19">
        <v>20110830</v>
      </c>
      <c r="AG1972" s="17">
        <v>1671.9374854522659</v>
      </c>
    </row>
    <row r="1973" spans="32:33" x14ac:dyDescent="0.4">
      <c r="AF1973" s="19">
        <v>20110831</v>
      </c>
      <c r="AG1973" s="17">
        <v>1689.998316892488</v>
      </c>
    </row>
    <row r="1974" spans="32:33" x14ac:dyDescent="0.4">
      <c r="AF1974" s="19">
        <v>20110901</v>
      </c>
      <c r="AG1974" s="17">
        <v>1686.389741226996</v>
      </c>
    </row>
    <row r="1975" spans="32:33" x14ac:dyDescent="0.4">
      <c r="AF1975" s="19">
        <v>20110902</v>
      </c>
      <c r="AG1975" s="17">
        <v>1688.472302307578</v>
      </c>
    </row>
    <row r="1976" spans="32:33" x14ac:dyDescent="0.4">
      <c r="AF1976" s="19">
        <v>20110903</v>
      </c>
      <c r="AG1976" s="18">
        <v>1688.364583630997</v>
      </c>
    </row>
    <row r="1977" spans="32:33" x14ac:dyDescent="0.4">
      <c r="AF1977" s="19">
        <v>20110904</v>
      </c>
      <c r="AG1977" s="17">
        <v>1688.2748180671781</v>
      </c>
    </row>
    <row r="1978" spans="32:33" x14ac:dyDescent="0.4">
      <c r="AF1978" s="19">
        <v>20110905</v>
      </c>
      <c r="AG1978" s="17">
        <v>1657.090261196736</v>
      </c>
    </row>
    <row r="1979" spans="32:33" x14ac:dyDescent="0.4">
      <c r="AF1979" s="19">
        <v>20110906</v>
      </c>
      <c r="AG1979" s="17">
        <v>1642.673911647533</v>
      </c>
    </row>
    <row r="1980" spans="32:33" x14ac:dyDescent="0.4">
      <c r="AF1980" s="19">
        <v>20110907</v>
      </c>
      <c r="AG1980" s="17">
        <v>1665.635942872228</v>
      </c>
    </row>
    <row r="1981" spans="32:33" x14ac:dyDescent="0.4">
      <c r="AF1981" s="19">
        <v>20110908</v>
      </c>
      <c r="AG1981" s="18">
        <v>1665.653895984992</v>
      </c>
    </row>
    <row r="1982" spans="32:33" x14ac:dyDescent="0.4">
      <c r="AF1982" s="19">
        <v>20110909</v>
      </c>
      <c r="AG1982" s="17">
        <v>1655.725824626699</v>
      </c>
    </row>
    <row r="1983" spans="32:33" x14ac:dyDescent="0.4">
      <c r="AF1983" s="19">
        <v>20110910</v>
      </c>
      <c r="AG1983" s="17">
        <v>1655.6540121756441</v>
      </c>
    </row>
    <row r="1984" spans="32:33" x14ac:dyDescent="0.4">
      <c r="AF1984" s="19">
        <v>20110911</v>
      </c>
      <c r="AG1984" s="17">
        <v>1655.5642466118261</v>
      </c>
    </row>
    <row r="1985" spans="32:33" x14ac:dyDescent="0.4">
      <c r="AF1985" s="19">
        <v>20110912</v>
      </c>
      <c r="AG1985" s="17">
        <v>1655.4744810480081</v>
      </c>
    </row>
    <row r="1986" spans="32:33" x14ac:dyDescent="0.4">
      <c r="AF1986" s="19">
        <v>20110913</v>
      </c>
      <c r="AG1986" s="18">
        <v>1655.3847154841901</v>
      </c>
    </row>
    <row r="1987" spans="32:33" x14ac:dyDescent="0.4">
      <c r="AF1987" s="19">
        <v>20110914</v>
      </c>
      <c r="AG1987" s="17">
        <v>1622.2432693225101</v>
      </c>
    </row>
    <row r="1988" spans="32:33" x14ac:dyDescent="0.4">
      <c r="AF1988" s="19">
        <v>20110915</v>
      </c>
      <c r="AG1988" s="17">
        <v>1626.821313077239</v>
      </c>
    </row>
    <row r="1989" spans="32:33" x14ac:dyDescent="0.4">
      <c r="AF1989" s="19">
        <v>20110916</v>
      </c>
      <c r="AG1989" s="17">
        <v>1654.8102158757531</v>
      </c>
    </row>
    <row r="1990" spans="32:33" x14ac:dyDescent="0.4">
      <c r="AF1990" s="19">
        <v>20110917</v>
      </c>
      <c r="AG1990" s="17">
        <v>1654.7384034246991</v>
      </c>
    </row>
    <row r="1991" spans="32:33" x14ac:dyDescent="0.4">
      <c r="AF1991" s="19">
        <v>20110918</v>
      </c>
      <c r="AG1991" s="18">
        <v>1654.6486378608811</v>
      </c>
    </row>
    <row r="1992" spans="32:33" x14ac:dyDescent="0.4">
      <c r="AF1992" s="19">
        <v>20110919</v>
      </c>
      <c r="AG1992" s="17">
        <v>1643.607473511242</v>
      </c>
    </row>
    <row r="1993" spans="32:33" x14ac:dyDescent="0.4">
      <c r="AF1993" s="19">
        <v>20110920</v>
      </c>
      <c r="AG1993" s="17">
        <v>1644.1819731196781</v>
      </c>
    </row>
    <row r="1994" spans="32:33" x14ac:dyDescent="0.4">
      <c r="AF1994" s="19">
        <v>20110921</v>
      </c>
      <c r="AG1994" s="17">
        <v>1648.293235942552</v>
      </c>
    </row>
    <row r="1995" spans="32:33" x14ac:dyDescent="0.4">
      <c r="AF1995" s="19">
        <v>20110922</v>
      </c>
      <c r="AG1995" s="17">
        <v>1630.124685825748</v>
      </c>
    </row>
    <row r="1996" spans="32:33" x14ac:dyDescent="0.4">
      <c r="AF1996" s="19">
        <v>20110923</v>
      </c>
      <c r="AG1996" s="18">
        <v>1577.55797165381</v>
      </c>
    </row>
    <row r="1997" spans="32:33" x14ac:dyDescent="0.4">
      <c r="AF1997" s="19">
        <v>20110924</v>
      </c>
      <c r="AG1997" s="17">
        <v>1577.486159202756</v>
      </c>
    </row>
    <row r="1998" spans="32:33" x14ac:dyDescent="0.4">
      <c r="AF1998" s="19">
        <v>20110925</v>
      </c>
      <c r="AG1998" s="17">
        <v>1577.414346751701</v>
      </c>
    </row>
    <row r="1999" spans="32:33" x14ac:dyDescent="0.4">
      <c r="AF1999" s="19">
        <v>20110926</v>
      </c>
      <c r="AG1999" s="17">
        <v>1531.059409595983</v>
      </c>
    </row>
    <row r="2000" spans="32:33" x14ac:dyDescent="0.4">
      <c r="AF2000" s="19">
        <v>20110927</v>
      </c>
      <c r="AG2000" s="17">
        <v>1568.0428218890811</v>
      </c>
    </row>
    <row r="2001" spans="32:33" x14ac:dyDescent="0.4">
      <c r="AF2001" s="19">
        <v>20110928</v>
      </c>
      <c r="AG2001" s="18">
        <v>1555.439736729006</v>
      </c>
    </row>
    <row r="2002" spans="32:33" x14ac:dyDescent="0.4">
      <c r="AF2002" s="19">
        <v>20110929</v>
      </c>
      <c r="AG2002" s="17">
        <v>1568.868665076209</v>
      </c>
    </row>
    <row r="2003" spans="32:33" x14ac:dyDescent="0.4">
      <c r="AF2003" s="19">
        <v>20110930</v>
      </c>
      <c r="AG2003" s="17">
        <v>1578.7249239834471</v>
      </c>
    </row>
    <row r="2004" spans="32:33" x14ac:dyDescent="0.4">
      <c r="AF2004" s="19">
        <v>20111001</v>
      </c>
      <c r="AG2004" s="17">
        <v>1578.6531115323919</v>
      </c>
    </row>
    <row r="2005" spans="32:33" x14ac:dyDescent="0.4">
      <c r="AF2005" s="19">
        <v>20111002</v>
      </c>
      <c r="AG2005" s="17">
        <v>1578.5633459685739</v>
      </c>
    </row>
    <row r="2006" spans="32:33" x14ac:dyDescent="0.4">
      <c r="AF2006" s="19">
        <v>20111003</v>
      </c>
      <c r="AG2006" s="18">
        <v>1578.4915335175201</v>
      </c>
    </row>
    <row r="2007" spans="32:33" x14ac:dyDescent="0.4">
      <c r="AF2007" s="19">
        <v>20111004</v>
      </c>
      <c r="AG2007" s="17">
        <v>1538.545857618421</v>
      </c>
    </row>
    <row r="2008" spans="32:33" x14ac:dyDescent="0.4">
      <c r="AF2008" s="19">
        <v>20111005</v>
      </c>
      <c r="AG2008" s="17">
        <v>1526.6608969688909</v>
      </c>
    </row>
    <row r="2009" spans="32:33" x14ac:dyDescent="0.4">
      <c r="AF2009" s="19">
        <v>20111006</v>
      </c>
      <c r="AG2009" s="17">
        <v>1553.788050354751</v>
      </c>
    </row>
    <row r="2010" spans="32:33" x14ac:dyDescent="0.4">
      <c r="AF2010" s="19">
        <v>20111007</v>
      </c>
      <c r="AG2010" s="17">
        <v>1569.2097742187179</v>
      </c>
    </row>
    <row r="2011" spans="32:33" x14ac:dyDescent="0.4">
      <c r="AF2011" s="19">
        <v>20111008</v>
      </c>
      <c r="AG2011" s="18">
        <v>1569.137961767663</v>
      </c>
    </row>
    <row r="2012" spans="32:33" x14ac:dyDescent="0.4">
      <c r="AF2012" s="19">
        <v>20111009</v>
      </c>
      <c r="AG2012" s="17">
        <v>1569.048196203845</v>
      </c>
    </row>
    <row r="2013" spans="32:33" x14ac:dyDescent="0.4">
      <c r="AF2013" s="19">
        <v>20111010</v>
      </c>
      <c r="AG2013" s="17">
        <v>1579.2455642535931</v>
      </c>
    </row>
    <row r="2014" spans="32:33" x14ac:dyDescent="0.4">
      <c r="AF2014" s="19">
        <v>20111011</v>
      </c>
      <c r="AG2014" s="17">
        <v>1589.1736356118861</v>
      </c>
    </row>
    <row r="2015" spans="32:33" x14ac:dyDescent="0.4">
      <c r="AF2015" s="19">
        <v>20111012</v>
      </c>
      <c r="AG2015" s="17">
        <v>1594.218460298468</v>
      </c>
    </row>
    <row r="2016" spans="32:33" x14ac:dyDescent="0.4">
      <c r="AF2016" s="19">
        <v>20111013</v>
      </c>
      <c r="AG2016" s="18">
        <v>1604.3978752354519</v>
      </c>
    </row>
    <row r="2017" spans="32:33" x14ac:dyDescent="0.4">
      <c r="AF2017" s="19">
        <v>20111014</v>
      </c>
      <c r="AG2017" s="17">
        <v>1612.0997606110541</v>
      </c>
    </row>
    <row r="2018" spans="32:33" x14ac:dyDescent="0.4">
      <c r="AF2018" s="19">
        <v>20111015</v>
      </c>
      <c r="AG2018" s="17">
        <v>1612.0099950472361</v>
      </c>
    </row>
    <row r="2019" spans="32:33" x14ac:dyDescent="0.4">
      <c r="AF2019" s="19">
        <v>20111016</v>
      </c>
      <c r="AG2019" s="17">
        <v>1611.9381825961809</v>
      </c>
    </row>
    <row r="2020" spans="32:33" x14ac:dyDescent="0.4">
      <c r="AF2020" s="19">
        <v>20111017</v>
      </c>
      <c r="AG2020" s="17">
        <v>1627.1624222197479</v>
      </c>
    </row>
    <row r="2021" spans="32:33" x14ac:dyDescent="0.4">
      <c r="AF2021" s="19">
        <v>20111018</v>
      </c>
      <c r="AG2021" s="18">
        <v>1621.489238586438</v>
      </c>
    </row>
    <row r="2022" spans="32:33" x14ac:dyDescent="0.4">
      <c r="AF2022" s="19">
        <v>20111019</v>
      </c>
      <c r="AG2022" s="17">
        <v>1640.9145065966959</v>
      </c>
    </row>
    <row r="2023" spans="32:33" x14ac:dyDescent="0.4">
      <c r="AF2023" s="19">
        <v>20111020</v>
      </c>
      <c r="AG2023" s="17">
        <v>1615.6903831637819</v>
      </c>
    </row>
    <row r="2024" spans="32:33" x14ac:dyDescent="0.4">
      <c r="AF2024" s="19">
        <v>20111021</v>
      </c>
      <c r="AG2024" s="17">
        <v>1636.085119263277</v>
      </c>
    </row>
    <row r="2025" spans="32:33" x14ac:dyDescent="0.4">
      <c r="AF2025" s="19">
        <v>20111022</v>
      </c>
      <c r="AG2025" s="17">
        <v>1636.013306812222</v>
      </c>
    </row>
    <row r="2026" spans="32:33" x14ac:dyDescent="0.4">
      <c r="AF2026" s="19">
        <v>20111023</v>
      </c>
      <c r="AG2026" s="18">
        <v>1635.923541248404</v>
      </c>
    </row>
    <row r="2027" spans="32:33" x14ac:dyDescent="0.4">
      <c r="AF2027" s="19">
        <v>20111024</v>
      </c>
      <c r="AG2027" s="17">
        <v>1656.587574039354</v>
      </c>
    </row>
    <row r="2028" spans="32:33" x14ac:dyDescent="0.4">
      <c r="AF2028" s="19">
        <v>20111025</v>
      </c>
      <c r="AG2028" s="17">
        <v>1649.8910629785159</v>
      </c>
    </row>
    <row r="2029" spans="32:33" x14ac:dyDescent="0.4">
      <c r="AF2029" s="19">
        <v>20111026</v>
      </c>
      <c r="AG2029" s="17">
        <v>1662.745491717282</v>
      </c>
    </row>
    <row r="2030" spans="32:33" x14ac:dyDescent="0.4">
      <c r="AF2030" s="19">
        <v>20111027</v>
      </c>
      <c r="AG2030" s="17">
        <v>1671.3988920693571</v>
      </c>
    </row>
    <row r="2031" spans="32:33" x14ac:dyDescent="0.4">
      <c r="AF2031" s="19">
        <v>20111028</v>
      </c>
      <c r="AG2031" s="18">
        <v>1670.932111137502</v>
      </c>
    </row>
    <row r="2032" spans="32:33" x14ac:dyDescent="0.4">
      <c r="AF2032" s="19">
        <v>20111029</v>
      </c>
      <c r="AG2032" s="17">
        <v>1670.842345573684</v>
      </c>
    </row>
    <row r="2033" spans="32:33" x14ac:dyDescent="0.4">
      <c r="AF2033" s="19">
        <v>20111030</v>
      </c>
      <c r="AG2033" s="17">
        <v>1670.7705331226291</v>
      </c>
    </row>
    <row r="2034" spans="32:33" x14ac:dyDescent="0.4">
      <c r="AF2034" s="19">
        <v>20111031</v>
      </c>
      <c r="AG2034" s="17">
        <v>1659.8191343368089</v>
      </c>
    </row>
    <row r="2035" spans="32:33" x14ac:dyDescent="0.4">
      <c r="AF2035" s="19">
        <v>20111101</v>
      </c>
      <c r="AG2035" s="17">
        <v>1659.9627592389179</v>
      </c>
    </row>
    <row r="2036" spans="32:33" x14ac:dyDescent="0.4">
      <c r="AF2036" s="19">
        <v>20111102</v>
      </c>
      <c r="AG2036" s="18">
        <v>1658.6521820071721</v>
      </c>
    </row>
    <row r="2037" spans="32:33" x14ac:dyDescent="0.4">
      <c r="AF2037" s="19">
        <v>20111103</v>
      </c>
      <c r="AG2037" s="17">
        <v>1657.0364018584451</v>
      </c>
    </row>
    <row r="2038" spans="32:33" x14ac:dyDescent="0.4">
      <c r="AF2038" s="19">
        <v>20111104</v>
      </c>
      <c r="AG2038" s="17">
        <v>1676.9643570260851</v>
      </c>
    </row>
    <row r="2039" spans="32:33" x14ac:dyDescent="0.4">
      <c r="AF2039" s="19">
        <v>20111105</v>
      </c>
      <c r="AG2039" s="17">
        <v>1676.8745914622671</v>
      </c>
    </row>
    <row r="2040" spans="32:33" x14ac:dyDescent="0.4">
      <c r="AF2040" s="19">
        <v>20111106</v>
      </c>
      <c r="AG2040" s="17">
        <v>1676.7848258984491</v>
      </c>
    </row>
    <row r="2041" spans="32:33" x14ac:dyDescent="0.4">
      <c r="AF2041" s="19">
        <v>20111107</v>
      </c>
      <c r="AG2041" s="18">
        <v>1676.2103262900121</v>
      </c>
    </row>
    <row r="2042" spans="32:33" x14ac:dyDescent="0.4">
      <c r="AF2042" s="19">
        <v>20111108</v>
      </c>
      <c r="AG2042" s="17">
        <v>1676.461669868703</v>
      </c>
    </row>
    <row r="2043" spans="32:33" x14ac:dyDescent="0.4">
      <c r="AF2043" s="19">
        <v>20111109</v>
      </c>
      <c r="AG2043" s="17">
        <v>1680.052292421431</v>
      </c>
    </row>
    <row r="2044" spans="32:33" x14ac:dyDescent="0.4">
      <c r="AF2044" s="19">
        <v>20111110</v>
      </c>
      <c r="AG2044" s="17">
        <v>1648.97545422757</v>
      </c>
    </row>
    <row r="2045" spans="32:33" x14ac:dyDescent="0.4">
      <c r="AF2045" s="19">
        <v>20111111</v>
      </c>
      <c r="AG2045" s="17">
        <v>1668.4904878016471</v>
      </c>
    </row>
    <row r="2046" spans="32:33" x14ac:dyDescent="0.4">
      <c r="AF2046" s="19">
        <v>20111112</v>
      </c>
      <c r="AG2046" s="18">
        <v>1668.4007222378291</v>
      </c>
    </row>
    <row r="2047" spans="32:33" x14ac:dyDescent="0.4">
      <c r="AF2047" s="19">
        <v>20111113</v>
      </c>
      <c r="AG2047" s="17">
        <v>1668.3109566740111</v>
      </c>
    </row>
    <row r="2048" spans="32:33" x14ac:dyDescent="0.4">
      <c r="AF2048" s="19">
        <v>20111114</v>
      </c>
      <c r="AG2048" s="17">
        <v>1690.6266758392151</v>
      </c>
    </row>
    <row r="2049" spans="32:33" x14ac:dyDescent="0.4">
      <c r="AF2049" s="19">
        <v>20111115</v>
      </c>
      <c r="AG2049" s="17">
        <v>1684.4867112740501</v>
      </c>
    </row>
    <row r="2050" spans="32:33" x14ac:dyDescent="0.4">
      <c r="AF2050" s="19">
        <v>20111116</v>
      </c>
      <c r="AG2050" s="17">
        <v>1670.5012364311749</v>
      </c>
    </row>
    <row r="2051" spans="32:33" x14ac:dyDescent="0.4">
      <c r="AF2051" s="19">
        <v>20111117</v>
      </c>
      <c r="AG2051" s="18">
        <v>1686.353835001469</v>
      </c>
    </row>
    <row r="2052" spans="32:33" x14ac:dyDescent="0.4">
      <c r="AF2052" s="19">
        <v>20111118</v>
      </c>
      <c r="AG2052" s="17">
        <v>1680.3754484511769</v>
      </c>
    </row>
    <row r="2053" spans="32:33" x14ac:dyDescent="0.4">
      <c r="AF2053" s="19">
        <v>20111119</v>
      </c>
      <c r="AG2053" s="17">
        <v>1680.2856828873589</v>
      </c>
    </row>
    <row r="2054" spans="32:33" x14ac:dyDescent="0.4">
      <c r="AF2054" s="19">
        <v>20111120</v>
      </c>
      <c r="AG2054" s="17">
        <v>1680.19591732354</v>
      </c>
    </row>
    <row r="2055" spans="32:33" x14ac:dyDescent="0.4">
      <c r="AF2055" s="19">
        <v>20111121</v>
      </c>
      <c r="AG2055" s="17">
        <v>1682.1528066147771</v>
      </c>
    </row>
    <row r="2056" spans="32:33" x14ac:dyDescent="0.4">
      <c r="AF2056" s="19">
        <v>20111122</v>
      </c>
      <c r="AG2056" s="18">
        <v>1683.30180583165</v>
      </c>
    </row>
    <row r="2057" spans="32:33" x14ac:dyDescent="0.4">
      <c r="AF2057" s="19">
        <v>20111123</v>
      </c>
      <c r="AG2057" s="17">
        <v>1666.8567545401561</v>
      </c>
    </row>
    <row r="2058" spans="32:33" x14ac:dyDescent="0.4">
      <c r="AF2058" s="19">
        <v>20111124</v>
      </c>
      <c r="AG2058" s="17">
        <v>1678.6878558513949</v>
      </c>
    </row>
    <row r="2059" spans="32:33" x14ac:dyDescent="0.4">
      <c r="AF2059" s="19">
        <v>20111125</v>
      </c>
      <c r="AG2059" s="17">
        <v>1673.6250780520479</v>
      </c>
    </row>
    <row r="2060" spans="32:33" x14ac:dyDescent="0.4">
      <c r="AF2060" s="19">
        <v>20111126</v>
      </c>
      <c r="AG2060" s="17">
        <v>1673.5532656009941</v>
      </c>
    </row>
    <row r="2061" spans="32:33" x14ac:dyDescent="0.4">
      <c r="AF2061" s="19">
        <v>20111127</v>
      </c>
      <c r="AG2061" s="18">
        <v>1673.463500037175</v>
      </c>
    </row>
    <row r="2062" spans="32:33" x14ac:dyDescent="0.4">
      <c r="AF2062" s="19">
        <v>20111128</v>
      </c>
      <c r="AG2062" s="17">
        <v>1688.8313645628509</v>
      </c>
    </row>
    <row r="2063" spans="32:33" x14ac:dyDescent="0.4">
      <c r="AF2063" s="19">
        <v>20111129</v>
      </c>
      <c r="AG2063" s="17">
        <v>1703.1220423227089</v>
      </c>
    </row>
    <row r="2064" spans="32:33" x14ac:dyDescent="0.4">
      <c r="AF2064" s="19">
        <v>20111130</v>
      </c>
      <c r="AG2064" s="17">
        <v>1702.942511195072</v>
      </c>
    </row>
    <row r="2065" spans="32:33" x14ac:dyDescent="0.4">
      <c r="AF2065" s="19">
        <v>20111201</v>
      </c>
      <c r="AG2065" s="17">
        <v>1713.014207455474</v>
      </c>
    </row>
    <row r="2066" spans="32:33" x14ac:dyDescent="0.4">
      <c r="AF2066" s="19">
        <v>20111202</v>
      </c>
      <c r="AG2066" s="18">
        <v>1715.958517948711</v>
      </c>
    </row>
    <row r="2067" spans="32:33" x14ac:dyDescent="0.4">
      <c r="AF2067" s="19">
        <v>20111203</v>
      </c>
      <c r="AG2067" s="17">
        <v>1715.8507992721291</v>
      </c>
    </row>
    <row r="2068" spans="32:33" x14ac:dyDescent="0.4">
      <c r="AF2068" s="19">
        <v>20111204</v>
      </c>
      <c r="AG2068" s="17">
        <v>1715.7610337083111</v>
      </c>
    </row>
    <row r="2069" spans="32:33" x14ac:dyDescent="0.4">
      <c r="AF2069" s="19">
        <v>20111205</v>
      </c>
      <c r="AG2069" s="17">
        <v>1725.2941365858039</v>
      </c>
    </row>
    <row r="2070" spans="32:33" x14ac:dyDescent="0.4">
      <c r="AF2070" s="19">
        <v>20111206</v>
      </c>
      <c r="AG2070" s="17">
        <v>1711.182989953583</v>
      </c>
    </row>
    <row r="2071" spans="32:33" x14ac:dyDescent="0.4">
      <c r="AF2071" s="19">
        <v>20111207</v>
      </c>
      <c r="AG2071" s="18">
        <v>1728.148681515223</v>
      </c>
    </row>
    <row r="2072" spans="32:33" x14ac:dyDescent="0.4">
      <c r="AF2072" s="19">
        <v>20111208</v>
      </c>
      <c r="AG2072" s="17">
        <v>1735.5453639738421</v>
      </c>
    </row>
    <row r="2073" spans="32:33" x14ac:dyDescent="0.4">
      <c r="AF2073" s="19">
        <v>20111209</v>
      </c>
      <c r="AG2073" s="17">
        <v>1718.920781554712</v>
      </c>
    </row>
    <row r="2074" spans="32:33" x14ac:dyDescent="0.4">
      <c r="AF2074" s="19">
        <v>20111210</v>
      </c>
      <c r="AG2074" s="17">
        <v>1718.831015990894</v>
      </c>
    </row>
    <row r="2075" spans="32:33" x14ac:dyDescent="0.4">
      <c r="AF2075" s="19">
        <v>20111211</v>
      </c>
      <c r="AG2075" s="17">
        <v>1718.723297314312</v>
      </c>
    </row>
    <row r="2076" spans="32:33" x14ac:dyDescent="0.4">
      <c r="AF2076" s="19">
        <v>20111212</v>
      </c>
      <c r="AG2076" s="18">
        <v>1734.737473899479</v>
      </c>
    </row>
    <row r="2077" spans="32:33" x14ac:dyDescent="0.4">
      <c r="AF2077" s="19">
        <v>20111213</v>
      </c>
      <c r="AG2077" s="17">
        <v>1718.723297314312</v>
      </c>
    </row>
    <row r="2078" spans="32:33" x14ac:dyDescent="0.4">
      <c r="AF2078" s="19">
        <v>20111214</v>
      </c>
      <c r="AG2078" s="17">
        <v>1720.374983688567</v>
      </c>
    </row>
    <row r="2079" spans="32:33" x14ac:dyDescent="0.4">
      <c r="AF2079" s="19">
        <v>20111215</v>
      </c>
      <c r="AG2079" s="17">
        <v>1706.4972275222731</v>
      </c>
    </row>
    <row r="2080" spans="32:33" x14ac:dyDescent="0.4">
      <c r="AF2080" s="19">
        <v>20111216</v>
      </c>
      <c r="AG2080" s="17">
        <v>1726.9099167345321</v>
      </c>
    </row>
    <row r="2081" spans="32:33" x14ac:dyDescent="0.4">
      <c r="AF2081" s="19">
        <v>20111217</v>
      </c>
      <c r="AG2081" s="18">
        <v>1726.8021980579499</v>
      </c>
    </row>
    <row r="2082" spans="32:33" x14ac:dyDescent="0.4">
      <c r="AF2082" s="19">
        <v>20111218</v>
      </c>
      <c r="AG2082" s="17">
        <v>1726.7124324941319</v>
      </c>
    </row>
    <row r="2083" spans="32:33" x14ac:dyDescent="0.4">
      <c r="AF2083" s="19">
        <v>20111219</v>
      </c>
      <c r="AG2083" s="17">
        <v>1684.4508050485231</v>
      </c>
    </row>
    <row r="2084" spans="32:33" x14ac:dyDescent="0.4">
      <c r="AF2084" s="19">
        <v>20111220</v>
      </c>
      <c r="AG2084" s="17">
        <v>1701.2369654825261</v>
      </c>
    </row>
    <row r="2085" spans="32:33" x14ac:dyDescent="0.4">
      <c r="AF2085" s="19">
        <v>20111221</v>
      </c>
      <c r="AG2085" s="17">
        <v>1726.8740105090039</v>
      </c>
    </row>
    <row r="2086" spans="32:33" x14ac:dyDescent="0.4">
      <c r="AF2086" s="19">
        <v>20111222</v>
      </c>
      <c r="AG2086" s="18">
        <v>1725.096652345404</v>
      </c>
    </row>
    <row r="2087" spans="32:33" x14ac:dyDescent="0.4">
      <c r="AF2087" s="19">
        <v>20111223</v>
      </c>
      <c r="AG2087" s="17">
        <v>1737.6279250544251</v>
      </c>
    </row>
    <row r="2088" spans="32:33" x14ac:dyDescent="0.4">
      <c r="AF2088" s="19">
        <v>20111224</v>
      </c>
      <c r="AG2088" s="17">
        <v>1737.5381594906059</v>
      </c>
    </row>
    <row r="2089" spans="32:33" x14ac:dyDescent="0.4">
      <c r="AF2089" s="19">
        <v>20111225</v>
      </c>
      <c r="AG2089" s="17">
        <v>1737.4304408140249</v>
      </c>
    </row>
    <row r="2090" spans="32:33" x14ac:dyDescent="0.4">
      <c r="AF2090" s="19">
        <v>20111226</v>
      </c>
      <c r="AG2090" s="17">
        <v>1734.899051914351</v>
      </c>
    </row>
    <row r="2091" spans="32:33" x14ac:dyDescent="0.4">
      <c r="AF2091" s="19">
        <v>20111227</v>
      </c>
      <c r="AG2091" s="18">
        <v>1728.058915951405</v>
      </c>
    </row>
    <row r="2092" spans="32:33" x14ac:dyDescent="0.4">
      <c r="AF2092" s="19">
        <v>20111228</v>
      </c>
      <c r="AG2092" s="17">
        <v>1749.6924168315909</v>
      </c>
    </row>
    <row r="2093" spans="32:33" x14ac:dyDescent="0.4">
      <c r="AF2093" s="19">
        <v>20111229</v>
      </c>
      <c r="AG2093" s="17">
        <v>1756.083724975447</v>
      </c>
    </row>
    <row r="2094" spans="32:33" x14ac:dyDescent="0.4">
      <c r="AF2094" s="19">
        <v>20111230</v>
      </c>
      <c r="AG2094" s="17">
        <v>1755.9939594116281</v>
      </c>
    </row>
    <row r="2095" spans="32:33" x14ac:dyDescent="0.4">
      <c r="AF2095" s="19">
        <v>20111231</v>
      </c>
      <c r="AG2095" s="17">
        <v>1755.8862407350471</v>
      </c>
    </row>
    <row r="2096" spans="32:33" x14ac:dyDescent="0.4">
      <c r="AF2096" s="19">
        <v>20120101</v>
      </c>
      <c r="AG2096" s="18">
        <v>1755.7964751712279</v>
      </c>
    </row>
    <row r="2097" spans="32:33" x14ac:dyDescent="0.4">
      <c r="AF2097" s="19">
        <v>20120102</v>
      </c>
      <c r="AG2097" s="17">
        <v>1758.9203167921021</v>
      </c>
    </row>
    <row r="2098" spans="32:33" x14ac:dyDescent="0.4">
      <c r="AF2098" s="19">
        <v>20120103</v>
      </c>
      <c r="AG2098" s="17">
        <v>1769.4947002098861</v>
      </c>
    </row>
    <row r="2099" spans="32:33" x14ac:dyDescent="0.4">
      <c r="AF2099" s="19">
        <v>20120104</v>
      </c>
      <c r="AG2099" s="17">
        <v>1765.365484274248</v>
      </c>
    </row>
    <row r="2100" spans="32:33" x14ac:dyDescent="0.4">
      <c r="AF2100" s="19">
        <v>20120105</v>
      </c>
      <c r="AG2100" s="17">
        <v>1771.577261290468</v>
      </c>
    </row>
    <row r="2101" spans="32:33" x14ac:dyDescent="0.4">
      <c r="AF2101" s="19">
        <v>20120106</v>
      </c>
      <c r="AG2101" s="18">
        <v>1764.3780630722481</v>
      </c>
    </row>
    <row r="2102" spans="32:33" x14ac:dyDescent="0.4">
      <c r="AF2102" s="19">
        <v>20120107</v>
      </c>
      <c r="AG2102" s="17">
        <v>1764.2703443956659</v>
      </c>
    </row>
    <row r="2103" spans="32:33" x14ac:dyDescent="0.4">
      <c r="AF2103" s="19">
        <v>20120108</v>
      </c>
      <c r="AG2103" s="17">
        <v>1764.1805788318479</v>
      </c>
    </row>
    <row r="2104" spans="32:33" x14ac:dyDescent="0.4">
      <c r="AF2104" s="19">
        <v>20120109</v>
      </c>
      <c r="AG2104" s="17">
        <v>1761.7928148342839</v>
      </c>
    </row>
    <row r="2105" spans="32:33" x14ac:dyDescent="0.4">
      <c r="AF2105" s="19">
        <v>20120110</v>
      </c>
      <c r="AG2105" s="17">
        <v>1771.9183704329771</v>
      </c>
    </row>
    <row r="2106" spans="32:33" x14ac:dyDescent="0.4">
      <c r="AF2106" s="19">
        <v>20120111</v>
      </c>
      <c r="AG2106" s="18">
        <v>1761.613283706648</v>
      </c>
    </row>
    <row r="2107" spans="32:33" x14ac:dyDescent="0.4">
      <c r="AF2107" s="19">
        <v>20120112</v>
      </c>
      <c r="AG2107" s="17">
        <v>1766.747873957049</v>
      </c>
    </row>
    <row r="2108" spans="32:33" x14ac:dyDescent="0.4">
      <c r="AF2108" s="19">
        <v>20120113</v>
      </c>
      <c r="AG2108" s="17">
        <v>1766.7119677315211</v>
      </c>
    </row>
    <row r="2109" spans="32:33" x14ac:dyDescent="0.4">
      <c r="AF2109" s="19">
        <v>20120114</v>
      </c>
      <c r="AG2109" s="17">
        <v>1766.6042490549401</v>
      </c>
    </row>
    <row r="2110" spans="32:33" x14ac:dyDescent="0.4">
      <c r="AF2110" s="19">
        <v>20120115</v>
      </c>
      <c r="AG2110" s="17">
        <v>1766.4965303783581</v>
      </c>
    </row>
    <row r="2111" spans="32:33" x14ac:dyDescent="0.4">
      <c r="AF2111" s="19">
        <v>20120116</v>
      </c>
      <c r="AG2111" s="18">
        <v>1749.6924168315909</v>
      </c>
    </row>
    <row r="2112" spans="32:33" x14ac:dyDescent="0.4">
      <c r="AF2112" s="19">
        <v>20120117</v>
      </c>
      <c r="AG2112" s="17">
        <v>1755.491272254246</v>
      </c>
    </row>
    <row r="2113" spans="32:33" x14ac:dyDescent="0.4">
      <c r="AF2113" s="19">
        <v>20120118</v>
      </c>
      <c r="AG2113" s="17">
        <v>1747.412371510608</v>
      </c>
    </row>
    <row r="2114" spans="32:33" x14ac:dyDescent="0.4">
      <c r="AF2114" s="19">
        <v>20120119</v>
      </c>
      <c r="AG2114" s="17">
        <v>1762.6545642469389</v>
      </c>
    </row>
    <row r="2115" spans="32:33" x14ac:dyDescent="0.4">
      <c r="AF2115" s="19">
        <v>20120120</v>
      </c>
      <c r="AG2115" s="17">
        <v>1768.435466556831</v>
      </c>
    </row>
    <row r="2116" spans="32:33" x14ac:dyDescent="0.4">
      <c r="AF2116" s="19">
        <v>20120121</v>
      </c>
      <c r="AG2116" s="18">
        <v>1768.327747880249</v>
      </c>
    </row>
    <row r="2117" spans="32:33" x14ac:dyDescent="0.4">
      <c r="AF2117" s="19">
        <v>20120122</v>
      </c>
      <c r="AG2117" s="17">
        <v>1768.2200292036671</v>
      </c>
    </row>
    <row r="2118" spans="32:33" x14ac:dyDescent="0.4">
      <c r="AF2118" s="19">
        <v>20120123</v>
      </c>
      <c r="AG2118" s="17">
        <v>1768.1302636398491</v>
      </c>
    </row>
    <row r="2119" spans="32:33" x14ac:dyDescent="0.4">
      <c r="AF2119" s="19">
        <v>20120124</v>
      </c>
      <c r="AG2119" s="17">
        <v>1768.0225449632669</v>
      </c>
    </row>
    <row r="2120" spans="32:33" x14ac:dyDescent="0.4">
      <c r="AF2120" s="19">
        <v>20120125</v>
      </c>
      <c r="AG2120" s="17">
        <v>1766.173374348612</v>
      </c>
    </row>
    <row r="2121" spans="32:33" x14ac:dyDescent="0.4">
      <c r="AF2121" s="19">
        <v>20120126</v>
      </c>
      <c r="AG2121" s="18">
        <v>1772.3851513648319</v>
      </c>
    </row>
    <row r="2122" spans="32:33" x14ac:dyDescent="0.4">
      <c r="AF2122" s="19">
        <v>20120127</v>
      </c>
      <c r="AG2122" s="17">
        <v>1775.203790068723</v>
      </c>
    </row>
    <row r="2123" spans="32:33" x14ac:dyDescent="0.4">
      <c r="AF2123" s="19">
        <v>20120128</v>
      </c>
      <c r="AG2123" s="17">
        <v>1775.114024504905</v>
      </c>
    </row>
    <row r="2124" spans="32:33" x14ac:dyDescent="0.4">
      <c r="AF2124" s="19">
        <v>20120129</v>
      </c>
      <c r="AG2124" s="17">
        <v>1775.0063058283231</v>
      </c>
    </row>
    <row r="2125" spans="32:33" x14ac:dyDescent="0.4">
      <c r="AF2125" s="19">
        <v>20120130</v>
      </c>
      <c r="AG2125" s="17">
        <v>1771.3618239373041</v>
      </c>
    </row>
    <row r="2126" spans="32:33" x14ac:dyDescent="0.4">
      <c r="AF2126" s="19">
        <v>20120131</v>
      </c>
      <c r="AG2126" s="18">
        <v>1778.0224287726151</v>
      </c>
    </row>
    <row r="2127" spans="32:33" x14ac:dyDescent="0.4">
      <c r="AF2127" s="19">
        <v>20120201</v>
      </c>
      <c r="AG2127" s="17">
        <v>1782.744097429452</v>
      </c>
    </row>
    <row r="2128" spans="32:33" x14ac:dyDescent="0.4">
      <c r="AF2128" s="19">
        <v>20120202</v>
      </c>
      <c r="AG2128" s="17">
        <v>1790.0510143242529</v>
      </c>
    </row>
    <row r="2129" spans="32:33" x14ac:dyDescent="0.4">
      <c r="AF2129" s="19">
        <v>20120203</v>
      </c>
      <c r="AG2129" s="17">
        <v>1782.5107069635251</v>
      </c>
    </row>
    <row r="2130" spans="32:33" x14ac:dyDescent="0.4">
      <c r="AF2130" s="19">
        <v>20120204</v>
      </c>
      <c r="AG2130" s="17">
        <v>1782.420941399706</v>
      </c>
    </row>
    <row r="2131" spans="32:33" x14ac:dyDescent="0.4">
      <c r="AF2131" s="19">
        <v>20120205</v>
      </c>
      <c r="AG2131" s="18">
        <v>1782.3132227231249</v>
      </c>
    </row>
    <row r="2132" spans="32:33" x14ac:dyDescent="0.4">
      <c r="AF2132" s="19">
        <v>20120206</v>
      </c>
      <c r="AG2132" s="17">
        <v>1780.8051612509789</v>
      </c>
    </row>
    <row r="2133" spans="32:33" x14ac:dyDescent="0.4">
      <c r="AF2133" s="19">
        <v>20120207</v>
      </c>
      <c r="AG2133" s="17">
        <v>1781.7028168891611</v>
      </c>
    </row>
    <row r="2134" spans="32:33" x14ac:dyDescent="0.4">
      <c r="AF2134" s="19">
        <v>20120208</v>
      </c>
      <c r="AG2134" s="17">
        <v>1784.6291742696339</v>
      </c>
    </row>
    <row r="2135" spans="32:33" x14ac:dyDescent="0.4">
      <c r="AF2135" s="19">
        <v>20120209</v>
      </c>
      <c r="AG2135" s="17">
        <v>1786.2629075311249</v>
      </c>
    </row>
    <row r="2136" spans="32:33" x14ac:dyDescent="0.4">
      <c r="AF2136" s="19">
        <v>20120210</v>
      </c>
      <c r="AG2136" s="18">
        <v>1791.164107315599</v>
      </c>
    </row>
    <row r="2137" spans="32:33" x14ac:dyDescent="0.4">
      <c r="AF2137" s="19">
        <v>20120211</v>
      </c>
      <c r="AG2137" s="17">
        <v>1791.074341751781</v>
      </c>
    </row>
    <row r="2138" spans="32:33" x14ac:dyDescent="0.4">
      <c r="AF2138" s="19">
        <v>20120212</v>
      </c>
      <c r="AG2138" s="17">
        <v>1790.9666230751991</v>
      </c>
    </row>
    <row r="2139" spans="32:33" x14ac:dyDescent="0.4">
      <c r="AF2139" s="19">
        <v>20120213</v>
      </c>
      <c r="AG2139" s="17">
        <v>1789.63809273069</v>
      </c>
    </row>
    <row r="2140" spans="32:33" x14ac:dyDescent="0.4">
      <c r="AF2140" s="19">
        <v>20120214</v>
      </c>
      <c r="AG2140" s="17">
        <v>1791.074341751781</v>
      </c>
    </row>
    <row r="2141" spans="32:33" x14ac:dyDescent="0.4">
      <c r="AF2141" s="19">
        <v>20120215</v>
      </c>
      <c r="AG2141" s="18">
        <v>1798.5248835486921</v>
      </c>
    </row>
    <row r="2142" spans="32:33" x14ac:dyDescent="0.4">
      <c r="AF2142" s="19">
        <v>20120216</v>
      </c>
      <c r="AG2142" s="17">
        <v>1794.952214108727</v>
      </c>
    </row>
    <row r="2143" spans="32:33" x14ac:dyDescent="0.4">
      <c r="AF2143" s="19">
        <v>20120217</v>
      </c>
      <c r="AG2143" s="17">
        <v>1800.6613039675649</v>
      </c>
    </row>
    <row r="2144" spans="32:33" x14ac:dyDescent="0.4">
      <c r="AF2144" s="19">
        <v>20120218</v>
      </c>
      <c r="AG2144" s="17">
        <v>1800.5535852909829</v>
      </c>
    </row>
    <row r="2145" spans="32:33" x14ac:dyDescent="0.4">
      <c r="AF2145" s="19">
        <v>20120219</v>
      </c>
      <c r="AG2145" s="17">
        <v>1800.445866614401</v>
      </c>
    </row>
    <row r="2146" spans="32:33" x14ac:dyDescent="0.4">
      <c r="AF2146" s="19">
        <v>20120220</v>
      </c>
      <c r="AG2146" s="18">
        <v>1811.5049840768031</v>
      </c>
    </row>
    <row r="2147" spans="32:33" x14ac:dyDescent="0.4">
      <c r="AF2147" s="19">
        <v>20120221</v>
      </c>
      <c r="AG2147" s="17">
        <v>1815.1494659678219</v>
      </c>
    </row>
    <row r="2148" spans="32:33" x14ac:dyDescent="0.4">
      <c r="AF2148" s="19">
        <v>20120222</v>
      </c>
      <c r="AG2148" s="17">
        <v>1818.3271669269859</v>
      </c>
    </row>
    <row r="2149" spans="32:33" x14ac:dyDescent="0.4">
      <c r="AF2149" s="19">
        <v>20120223</v>
      </c>
      <c r="AG2149" s="17">
        <v>1827.752551127897</v>
      </c>
    </row>
    <row r="2150" spans="32:33" x14ac:dyDescent="0.4">
      <c r="AF2150" s="19">
        <v>20120224</v>
      </c>
      <c r="AG2150" s="17">
        <v>1847.339397153029</v>
      </c>
    </row>
    <row r="2151" spans="32:33" x14ac:dyDescent="0.4">
      <c r="AF2151" s="19">
        <v>20120225</v>
      </c>
      <c r="AG2151" s="18">
        <v>1847.2316784764471</v>
      </c>
    </row>
    <row r="2152" spans="32:33" x14ac:dyDescent="0.4">
      <c r="AF2152" s="19">
        <v>20120226</v>
      </c>
      <c r="AG2152" s="17">
        <v>1847.1239597998649</v>
      </c>
    </row>
    <row r="2153" spans="32:33" x14ac:dyDescent="0.4">
      <c r="AF2153" s="19">
        <v>20120227</v>
      </c>
      <c r="AG2153" s="17">
        <v>1837.842200501063</v>
      </c>
    </row>
    <row r="2154" spans="32:33" x14ac:dyDescent="0.4">
      <c r="AF2154" s="19">
        <v>20120228</v>
      </c>
      <c r="AG2154" s="17">
        <v>1842.940884525937</v>
      </c>
    </row>
    <row r="2155" spans="32:33" x14ac:dyDescent="0.4">
      <c r="AF2155" s="19">
        <v>20120229</v>
      </c>
      <c r="AG2155" s="17">
        <v>1847.465068942374</v>
      </c>
    </row>
    <row r="2156" spans="32:33" x14ac:dyDescent="0.4">
      <c r="AF2156" s="19">
        <v>20120301</v>
      </c>
      <c r="AG2156" s="18">
        <v>1847.3573502657921</v>
      </c>
    </row>
    <row r="2157" spans="32:33" x14ac:dyDescent="0.4">
      <c r="AF2157" s="19">
        <v>20120302</v>
      </c>
      <c r="AG2157" s="17">
        <v>1849.17061465492</v>
      </c>
    </row>
    <row r="2158" spans="32:33" x14ac:dyDescent="0.4">
      <c r="AF2158" s="19">
        <v>20120303</v>
      </c>
      <c r="AG2158" s="17">
        <v>1849.044942865575</v>
      </c>
    </row>
    <row r="2159" spans="32:33" x14ac:dyDescent="0.4">
      <c r="AF2159" s="19">
        <v>20120304</v>
      </c>
      <c r="AG2159" s="17">
        <v>1848.937224188993</v>
      </c>
    </row>
    <row r="2160" spans="32:33" x14ac:dyDescent="0.4">
      <c r="AF2160" s="19">
        <v>20120305</v>
      </c>
      <c r="AG2160" s="17">
        <v>1841.522588617609</v>
      </c>
    </row>
    <row r="2161" spans="32:33" x14ac:dyDescent="0.4">
      <c r="AF2161" s="19">
        <v>20120306</v>
      </c>
      <c r="AG2161" s="18">
        <v>1826.4778801216789</v>
      </c>
    </row>
    <row r="2162" spans="32:33" x14ac:dyDescent="0.4">
      <c r="AF2162" s="19">
        <v>20120307</v>
      </c>
      <c r="AG2162" s="17">
        <v>1820.6790246990231</v>
      </c>
    </row>
    <row r="2163" spans="32:33" x14ac:dyDescent="0.4">
      <c r="AF2163" s="19">
        <v>20120308</v>
      </c>
      <c r="AG2163" s="17">
        <v>1821.9536957052419</v>
      </c>
    </row>
    <row r="2164" spans="32:33" x14ac:dyDescent="0.4">
      <c r="AF2164" s="19">
        <v>20120309</v>
      </c>
      <c r="AG2164" s="17">
        <v>1836.136654788517</v>
      </c>
    </row>
    <row r="2165" spans="32:33" x14ac:dyDescent="0.4">
      <c r="AF2165" s="19">
        <v>20120310</v>
      </c>
      <c r="AG2165" s="17">
        <v>1836.028936111936</v>
      </c>
    </row>
    <row r="2166" spans="32:33" x14ac:dyDescent="0.4">
      <c r="AF2166" s="19">
        <v>20120311</v>
      </c>
      <c r="AG2166" s="18">
        <v>1835.921217435354</v>
      </c>
    </row>
    <row r="2167" spans="32:33" x14ac:dyDescent="0.4">
      <c r="AF2167" s="19">
        <v>20120312</v>
      </c>
      <c r="AG2167" s="17">
        <v>1829.314471938334</v>
      </c>
    </row>
    <row r="2168" spans="32:33" x14ac:dyDescent="0.4">
      <c r="AF2168" s="19">
        <v>20120313</v>
      </c>
      <c r="AG2168" s="17">
        <v>1836.836826186299</v>
      </c>
    </row>
    <row r="2169" spans="32:33" x14ac:dyDescent="0.4">
      <c r="AF2169" s="19">
        <v>20120314</v>
      </c>
      <c r="AG2169" s="17">
        <v>1840.9121827836459</v>
      </c>
    </row>
    <row r="2170" spans="32:33" x14ac:dyDescent="0.4">
      <c r="AF2170" s="19">
        <v>20120315</v>
      </c>
      <c r="AG2170" s="17">
        <v>1835.7237331949541</v>
      </c>
    </row>
    <row r="2171" spans="32:33" x14ac:dyDescent="0.4">
      <c r="AF2171" s="19">
        <v>20120316</v>
      </c>
      <c r="AG2171" s="18">
        <v>1845.005492493756</v>
      </c>
    </row>
    <row r="2172" spans="32:33" x14ac:dyDescent="0.4">
      <c r="AF2172" s="19">
        <v>20120317</v>
      </c>
      <c r="AG2172" s="17">
        <v>1844.8798207044099</v>
      </c>
    </row>
    <row r="2173" spans="32:33" x14ac:dyDescent="0.4">
      <c r="AF2173" s="19">
        <v>20120318</v>
      </c>
      <c r="AG2173" s="17">
        <v>1844.7721020278279</v>
      </c>
    </row>
    <row r="2174" spans="32:33" x14ac:dyDescent="0.4">
      <c r="AF2174" s="19">
        <v>20120319</v>
      </c>
      <c r="AG2174" s="17">
        <v>1843.3538061195011</v>
      </c>
    </row>
    <row r="2175" spans="32:33" x14ac:dyDescent="0.4">
      <c r="AF2175" s="19">
        <v>20120320</v>
      </c>
      <c r="AG2175" s="17">
        <v>1840.9480890091729</v>
      </c>
    </row>
    <row r="2176" spans="32:33" x14ac:dyDescent="0.4">
      <c r="AF2176" s="19">
        <v>20120321</v>
      </c>
      <c r="AG2176" s="18">
        <v>1836.7470606224811</v>
      </c>
    </row>
    <row r="2177" spans="32:33" x14ac:dyDescent="0.4">
      <c r="AF2177" s="19">
        <v>20120322</v>
      </c>
      <c r="AG2177" s="17">
        <v>1831.1636425529889</v>
      </c>
    </row>
    <row r="2178" spans="32:33" x14ac:dyDescent="0.4">
      <c r="AF2178" s="19">
        <v>20120323</v>
      </c>
      <c r="AG2178" s="17">
        <v>1825.203209115461</v>
      </c>
    </row>
    <row r="2179" spans="32:33" x14ac:dyDescent="0.4">
      <c r="AF2179" s="19">
        <v>20120324</v>
      </c>
      <c r="AG2179" s="17">
        <v>1825.0954904388791</v>
      </c>
    </row>
    <row r="2180" spans="32:33" x14ac:dyDescent="0.4">
      <c r="AF2180" s="19">
        <v>20120325</v>
      </c>
      <c r="AG2180" s="17">
        <v>1824.9877717622969</v>
      </c>
    </row>
    <row r="2181" spans="32:33" x14ac:dyDescent="0.4">
      <c r="AF2181" s="19">
        <v>20120326</v>
      </c>
      <c r="AG2181" s="18">
        <v>1815.63420001244</v>
      </c>
    </row>
    <row r="2182" spans="32:33" x14ac:dyDescent="0.4">
      <c r="AF2182" s="19">
        <v>20120327</v>
      </c>
      <c r="AG2182" s="17">
        <v>1816.37027763575</v>
      </c>
    </row>
    <row r="2183" spans="32:33" x14ac:dyDescent="0.4">
      <c r="AF2183" s="19">
        <v>20120328</v>
      </c>
      <c r="AG2183" s="17">
        <v>1814.4133883445129</v>
      </c>
    </row>
    <row r="2184" spans="32:33" x14ac:dyDescent="0.4">
      <c r="AF2184" s="19">
        <v>20120329</v>
      </c>
      <c r="AG2184" s="17">
        <v>1808.829970275021</v>
      </c>
    </row>
    <row r="2185" spans="32:33" x14ac:dyDescent="0.4">
      <c r="AF2185" s="19">
        <v>20120330</v>
      </c>
      <c r="AG2185" s="17">
        <v>1818.8478071971319</v>
      </c>
    </row>
    <row r="2186" spans="32:33" x14ac:dyDescent="0.4">
      <c r="AF2186" s="19">
        <v>20120331</v>
      </c>
      <c r="AG2186" s="18">
        <v>1818.74008852055</v>
      </c>
    </row>
    <row r="2187" spans="32:33" x14ac:dyDescent="0.4">
      <c r="AF2187" s="19">
        <v>20120401</v>
      </c>
      <c r="AG2187" s="17">
        <v>1818.632369843968</v>
      </c>
    </row>
    <row r="2188" spans="32:33" x14ac:dyDescent="0.4">
      <c r="AF2188" s="19">
        <v>20120402</v>
      </c>
      <c r="AG2188" s="17">
        <v>1818.650322956732</v>
      </c>
    </row>
    <row r="2189" spans="32:33" x14ac:dyDescent="0.4">
      <c r="AF2189" s="19">
        <v>20120403</v>
      </c>
      <c r="AG2189" s="17">
        <v>1806.2267689242931</v>
      </c>
    </row>
    <row r="2190" spans="32:33" x14ac:dyDescent="0.4">
      <c r="AF2190" s="19">
        <v>20120404</v>
      </c>
      <c r="AG2190" s="17">
        <v>1785.921798388616</v>
      </c>
    </row>
    <row r="2191" spans="32:33" x14ac:dyDescent="0.4">
      <c r="AF2191" s="19">
        <v>20120405</v>
      </c>
      <c r="AG2191" s="18">
        <v>1788.004359469199</v>
      </c>
    </row>
    <row r="2192" spans="32:33" x14ac:dyDescent="0.4">
      <c r="AF2192" s="19">
        <v>20120406</v>
      </c>
      <c r="AG2192" s="17">
        <v>1782.887722331561</v>
      </c>
    </row>
    <row r="2193" spans="32:33" x14ac:dyDescent="0.4">
      <c r="AF2193" s="19">
        <v>20120407</v>
      </c>
      <c r="AG2193" s="17">
        <v>1782.7800036549791</v>
      </c>
    </row>
    <row r="2194" spans="32:33" x14ac:dyDescent="0.4">
      <c r="AF2194" s="19">
        <v>20120408</v>
      </c>
      <c r="AG2194" s="17">
        <v>1782.6722849783971</v>
      </c>
    </row>
    <row r="2195" spans="32:33" x14ac:dyDescent="0.4">
      <c r="AF2195" s="19">
        <v>20120409</v>
      </c>
      <c r="AG2195" s="17">
        <v>1759.351191498429</v>
      </c>
    </row>
    <row r="2196" spans="32:33" x14ac:dyDescent="0.4">
      <c r="AF2196" s="19">
        <v>20120410</v>
      </c>
      <c r="AG2196" s="18">
        <v>1763.3188294191939</v>
      </c>
    </row>
    <row r="2197" spans="32:33" x14ac:dyDescent="0.4">
      <c r="AF2197" s="19">
        <v>20120411</v>
      </c>
      <c r="AG2197" s="17">
        <v>1763.2111107426119</v>
      </c>
    </row>
    <row r="2198" spans="32:33" x14ac:dyDescent="0.4">
      <c r="AF2198" s="19">
        <v>20120412</v>
      </c>
      <c r="AG2198" s="17">
        <v>1762.403220668248</v>
      </c>
    </row>
    <row r="2199" spans="32:33" x14ac:dyDescent="0.4">
      <c r="AF2199" s="19">
        <v>20120413</v>
      </c>
      <c r="AG2199" s="17">
        <v>1783.408362601707</v>
      </c>
    </row>
    <row r="2200" spans="32:33" x14ac:dyDescent="0.4">
      <c r="AF2200" s="19">
        <v>20120414</v>
      </c>
      <c r="AG2200" s="17">
        <v>1783.3006439251251</v>
      </c>
    </row>
    <row r="2201" spans="32:33" x14ac:dyDescent="0.4">
      <c r="AF2201" s="19">
        <v>20120415</v>
      </c>
      <c r="AG2201" s="18">
        <v>1783.1929252485429</v>
      </c>
    </row>
    <row r="2202" spans="32:33" x14ac:dyDescent="0.4">
      <c r="AF2202" s="19">
        <v>20120416</v>
      </c>
      <c r="AG2202" s="17">
        <v>1777.8788038705061</v>
      </c>
    </row>
    <row r="2203" spans="32:33" x14ac:dyDescent="0.4">
      <c r="AF2203" s="19">
        <v>20120417</v>
      </c>
      <c r="AG2203" s="17">
        <v>1781.307848408361</v>
      </c>
    </row>
    <row r="2204" spans="32:33" x14ac:dyDescent="0.4">
      <c r="AF2204" s="19">
        <v>20120418</v>
      </c>
      <c r="AG2204" s="17">
        <v>1781.9721135806151</v>
      </c>
    </row>
    <row r="2205" spans="32:33" x14ac:dyDescent="0.4">
      <c r="AF2205" s="19">
        <v>20120419</v>
      </c>
      <c r="AG2205" s="17">
        <v>1771.325917711777</v>
      </c>
    </row>
    <row r="2206" spans="32:33" x14ac:dyDescent="0.4">
      <c r="AF2206" s="19">
        <v>20120420</v>
      </c>
      <c r="AG2206" s="18">
        <v>1765.7784058678119</v>
      </c>
    </row>
    <row r="2207" spans="32:33" x14ac:dyDescent="0.4">
      <c r="AF2207" s="19">
        <v>20120421</v>
      </c>
      <c r="AG2207" s="17">
        <v>1765.6706871912299</v>
      </c>
    </row>
    <row r="2208" spans="32:33" x14ac:dyDescent="0.4">
      <c r="AF2208" s="19">
        <v>20120422</v>
      </c>
      <c r="AG2208" s="17">
        <v>1765.580921627412</v>
      </c>
    </row>
    <row r="2209" spans="32:33" x14ac:dyDescent="0.4">
      <c r="AF2209" s="19">
        <v>20120423</v>
      </c>
      <c r="AG2209" s="17">
        <v>1761.0926434365019</v>
      </c>
    </row>
    <row r="2210" spans="32:33" x14ac:dyDescent="0.4">
      <c r="AF2210" s="19">
        <v>20120424</v>
      </c>
      <c r="AG2210" s="17">
        <v>1749.6744637188269</v>
      </c>
    </row>
    <row r="2211" spans="32:33" x14ac:dyDescent="0.4">
      <c r="AF2211" s="19">
        <v>20120425</v>
      </c>
      <c r="AG2211" s="18">
        <v>1742.600937289953</v>
      </c>
    </row>
    <row r="2212" spans="32:33" x14ac:dyDescent="0.4">
      <c r="AF2212" s="19">
        <v>20120426</v>
      </c>
      <c r="AG2212" s="17">
        <v>1737.6638312799521</v>
      </c>
    </row>
    <row r="2213" spans="32:33" x14ac:dyDescent="0.4">
      <c r="AF2213" s="19">
        <v>20120427</v>
      </c>
      <c r="AG2213" s="17">
        <v>1740.4645168710799</v>
      </c>
    </row>
    <row r="2214" spans="32:33" x14ac:dyDescent="0.4">
      <c r="AF2214" s="19">
        <v>20120428</v>
      </c>
      <c r="AG2214" s="17">
        <v>1740.356798194498</v>
      </c>
    </row>
    <row r="2215" spans="32:33" x14ac:dyDescent="0.4">
      <c r="AF2215" s="19">
        <v>20120429</v>
      </c>
      <c r="AG2215" s="17">
        <v>1740.26703263068</v>
      </c>
    </row>
    <row r="2216" spans="32:33" x14ac:dyDescent="0.4">
      <c r="AF2216" s="19">
        <v>20120430</v>
      </c>
      <c r="AG2216" s="18">
        <v>1731.918835195587</v>
      </c>
    </row>
    <row r="2217" spans="32:33" x14ac:dyDescent="0.4">
      <c r="AF2217" s="19">
        <v>20120501</v>
      </c>
      <c r="AG2217" s="17">
        <v>1731.829069631769</v>
      </c>
    </row>
    <row r="2218" spans="32:33" x14ac:dyDescent="0.4">
      <c r="AF2218" s="19">
        <v>20120502</v>
      </c>
      <c r="AG2218" s="17">
        <v>1733.7320995847149</v>
      </c>
    </row>
    <row r="2219" spans="32:33" x14ac:dyDescent="0.4">
      <c r="AF2219" s="19">
        <v>20120503</v>
      </c>
      <c r="AG2219" s="17">
        <v>1738.2024246628609</v>
      </c>
    </row>
    <row r="2220" spans="32:33" x14ac:dyDescent="0.4">
      <c r="AF2220" s="19">
        <v>20120504</v>
      </c>
      <c r="AG2220" s="17">
        <v>1747.5739495254811</v>
      </c>
    </row>
    <row r="2221" spans="32:33" x14ac:dyDescent="0.4">
      <c r="AF2221" s="19">
        <v>20120505</v>
      </c>
      <c r="AG2221" s="18">
        <v>1747.4841839616629</v>
      </c>
    </row>
    <row r="2222" spans="32:33" x14ac:dyDescent="0.4">
      <c r="AF2222" s="19">
        <v>20120506</v>
      </c>
      <c r="AG2222" s="17">
        <v>1747.3944183978449</v>
      </c>
    </row>
    <row r="2223" spans="32:33" x14ac:dyDescent="0.4">
      <c r="AF2223" s="19">
        <v>20120507</v>
      </c>
      <c r="AG2223" s="17">
        <v>1739.369376992498</v>
      </c>
    </row>
    <row r="2224" spans="32:33" x14ac:dyDescent="0.4">
      <c r="AF2224" s="19">
        <v>20120508</v>
      </c>
      <c r="AG2224" s="17">
        <v>1753.0137426928641</v>
      </c>
    </row>
    <row r="2225" spans="32:33" x14ac:dyDescent="0.4">
      <c r="AF2225" s="19">
        <v>20120509</v>
      </c>
      <c r="AG2225" s="17">
        <v>1751.1286658526819</v>
      </c>
    </row>
    <row r="2226" spans="32:33" x14ac:dyDescent="0.4">
      <c r="AF2226" s="19">
        <v>20120510</v>
      </c>
      <c r="AG2226" s="18">
        <v>1746.0299818278079</v>
      </c>
    </row>
    <row r="2227" spans="32:33" x14ac:dyDescent="0.4">
      <c r="AF2227" s="19">
        <v>20120511</v>
      </c>
      <c r="AG2227" s="17">
        <v>1735.024723703697</v>
      </c>
    </row>
    <row r="2228" spans="32:33" x14ac:dyDescent="0.4">
      <c r="AF2228" s="19">
        <v>20120512</v>
      </c>
      <c r="AG2228" s="17">
        <v>1734.934958139879</v>
      </c>
    </row>
    <row r="2229" spans="32:33" x14ac:dyDescent="0.4">
      <c r="AF2229" s="19">
        <v>20120513</v>
      </c>
      <c r="AG2229" s="17">
        <v>1734.8451925760601</v>
      </c>
    </row>
    <row r="2230" spans="32:33" x14ac:dyDescent="0.4">
      <c r="AF2230" s="19">
        <v>20120514</v>
      </c>
      <c r="AG2230" s="17">
        <v>1721.936904499003</v>
      </c>
    </row>
    <row r="2231" spans="32:33" x14ac:dyDescent="0.4">
      <c r="AF2231" s="19">
        <v>20120515</v>
      </c>
      <c r="AG2231" s="18">
        <v>1712.116551817292</v>
      </c>
    </row>
    <row r="2232" spans="32:33" x14ac:dyDescent="0.4">
      <c r="AF2232" s="19">
        <v>20120516</v>
      </c>
      <c r="AG2232" s="17">
        <v>1688.526161645869</v>
      </c>
    </row>
    <row r="2233" spans="32:33" x14ac:dyDescent="0.4">
      <c r="AF2233" s="19">
        <v>20120517</v>
      </c>
      <c r="AG2233" s="17">
        <v>1698.1310769744171</v>
      </c>
    </row>
    <row r="2234" spans="32:33" x14ac:dyDescent="0.4">
      <c r="AF2234" s="19">
        <v>20120518</v>
      </c>
      <c r="AG2234" s="17">
        <v>1655.3129030331349</v>
      </c>
    </row>
    <row r="2235" spans="32:33" x14ac:dyDescent="0.4">
      <c r="AF2235" s="19">
        <v>20120519</v>
      </c>
      <c r="AG2235" s="17">
        <v>1655.223137469317</v>
      </c>
    </row>
    <row r="2236" spans="32:33" x14ac:dyDescent="0.4">
      <c r="AF2236" s="19">
        <v>20120520</v>
      </c>
      <c r="AG2236" s="18">
        <v>1655.133371905499</v>
      </c>
    </row>
    <row r="2237" spans="32:33" x14ac:dyDescent="0.4">
      <c r="AF2237" s="19">
        <v>20120521</v>
      </c>
      <c r="AG2237" s="17">
        <v>1660.393633945245</v>
      </c>
    </row>
    <row r="2238" spans="32:33" x14ac:dyDescent="0.4">
      <c r="AF2238" s="19">
        <v>20120522</v>
      </c>
      <c r="AG2238" s="17">
        <v>1682.2425721785951</v>
      </c>
    </row>
    <row r="2239" spans="32:33" x14ac:dyDescent="0.4">
      <c r="AF2239" s="19">
        <v>20120523</v>
      </c>
      <c r="AG2239" s="17">
        <v>1680.016386195904</v>
      </c>
    </row>
    <row r="2240" spans="32:33" x14ac:dyDescent="0.4">
      <c r="AF2240" s="19">
        <v>20120524</v>
      </c>
      <c r="AG2240" s="17">
        <v>1680.177964210777</v>
      </c>
    </row>
    <row r="2241" spans="32:33" x14ac:dyDescent="0.4">
      <c r="AF2241" s="19">
        <v>20120525</v>
      </c>
      <c r="AG2241" s="18">
        <v>1682.7991186742679</v>
      </c>
    </row>
    <row r="2242" spans="32:33" x14ac:dyDescent="0.4">
      <c r="AF2242" s="19">
        <v>20120526</v>
      </c>
      <c r="AG2242" s="17">
        <v>1682.7093531104499</v>
      </c>
    </row>
    <row r="2243" spans="32:33" x14ac:dyDescent="0.4">
      <c r="AF2243" s="19">
        <v>20120527</v>
      </c>
      <c r="AG2243" s="17">
        <v>1682.6195875466319</v>
      </c>
    </row>
    <row r="2244" spans="32:33" x14ac:dyDescent="0.4">
      <c r="AF2244" s="19">
        <v>20120528</v>
      </c>
      <c r="AG2244" s="17">
        <v>1682.5298219828139</v>
      </c>
    </row>
    <row r="2245" spans="32:33" x14ac:dyDescent="0.4">
      <c r="AF2245" s="19">
        <v>20120529</v>
      </c>
      <c r="AG2245" s="17">
        <v>1690.860066305142</v>
      </c>
    </row>
    <row r="2246" spans="32:33" x14ac:dyDescent="0.4">
      <c r="AF2246" s="19">
        <v>20120530</v>
      </c>
      <c r="AG2246" s="18">
        <v>1680.5190733532861</v>
      </c>
    </row>
    <row r="2247" spans="32:33" x14ac:dyDescent="0.4">
      <c r="AF2247" s="19">
        <v>20120531</v>
      </c>
      <c r="AG2247" s="17">
        <v>1676.174420064485</v>
      </c>
    </row>
    <row r="2248" spans="32:33" x14ac:dyDescent="0.4">
      <c r="AF2248" s="19">
        <v>20120601</v>
      </c>
      <c r="AG2248" s="17">
        <v>1680.142057985249</v>
      </c>
    </row>
    <row r="2249" spans="32:33" x14ac:dyDescent="0.4">
      <c r="AF2249" s="19">
        <v>20120602</v>
      </c>
      <c r="AG2249" s="17">
        <v>1680.052292421431</v>
      </c>
    </row>
    <row r="2250" spans="32:33" x14ac:dyDescent="0.4">
      <c r="AF2250" s="19">
        <v>20120603</v>
      </c>
      <c r="AG2250" s="17">
        <v>1679.9625268576131</v>
      </c>
    </row>
    <row r="2251" spans="32:33" x14ac:dyDescent="0.4">
      <c r="AF2251" s="19">
        <v>20120604</v>
      </c>
      <c r="AG2251" s="18">
        <v>1649.460188272189</v>
      </c>
    </row>
    <row r="2252" spans="32:33" x14ac:dyDescent="0.4">
      <c r="AF2252" s="19">
        <v>20120605</v>
      </c>
      <c r="AG2252" s="17">
        <v>1662.709585491755</v>
      </c>
    </row>
    <row r="2253" spans="32:33" x14ac:dyDescent="0.4">
      <c r="AF2253" s="19">
        <v>20120606</v>
      </c>
      <c r="AG2253" s="17">
        <v>1662.601866815173</v>
      </c>
    </row>
    <row r="2254" spans="32:33" x14ac:dyDescent="0.4">
      <c r="AF2254" s="19">
        <v>20120607</v>
      </c>
      <c r="AG2254" s="17">
        <v>1684.558523725105</v>
      </c>
    </row>
    <row r="2255" spans="32:33" x14ac:dyDescent="0.4">
      <c r="AF2255" s="19">
        <v>20120608</v>
      </c>
      <c r="AG2255" s="17">
        <v>1676.138513838958</v>
      </c>
    </row>
    <row r="2256" spans="32:33" x14ac:dyDescent="0.4">
      <c r="AF2256" s="19">
        <v>20120609</v>
      </c>
      <c r="AG2256" s="18">
        <v>1676.0487482751389</v>
      </c>
    </row>
    <row r="2257" spans="32:33" x14ac:dyDescent="0.4">
      <c r="AF2257" s="19">
        <v>20120610</v>
      </c>
      <c r="AG2257" s="17">
        <v>1675.9589827113209</v>
      </c>
    </row>
    <row r="2258" spans="32:33" x14ac:dyDescent="0.4">
      <c r="AF2258" s="19">
        <v>20120611</v>
      </c>
      <c r="AG2258" s="17">
        <v>1690.016270005251</v>
      </c>
    </row>
    <row r="2259" spans="32:33" x14ac:dyDescent="0.4">
      <c r="AF2259" s="19">
        <v>20120612</v>
      </c>
      <c r="AG2259" s="17">
        <v>1690.5010040498701</v>
      </c>
    </row>
    <row r="2260" spans="32:33" x14ac:dyDescent="0.4">
      <c r="AF2260" s="19">
        <v>20120613</v>
      </c>
      <c r="AG2260" s="17">
        <v>1691.1652692221239</v>
      </c>
    </row>
    <row r="2261" spans="32:33" x14ac:dyDescent="0.4">
      <c r="AF2261" s="19">
        <v>20120614</v>
      </c>
      <c r="AG2261" s="18">
        <v>1699.190310627471</v>
      </c>
    </row>
    <row r="2262" spans="32:33" x14ac:dyDescent="0.4">
      <c r="AF2262" s="19">
        <v>20120615</v>
      </c>
      <c r="AG2262" s="17">
        <v>1694.109579715361</v>
      </c>
    </row>
    <row r="2263" spans="32:33" x14ac:dyDescent="0.4">
      <c r="AF2263" s="19">
        <v>20120616</v>
      </c>
      <c r="AG2263" s="17">
        <v>1694.019814151543</v>
      </c>
    </row>
    <row r="2264" spans="32:33" x14ac:dyDescent="0.4">
      <c r="AF2264" s="19">
        <v>20120617</v>
      </c>
      <c r="AG2264" s="17">
        <v>1693.930048587725</v>
      </c>
    </row>
    <row r="2265" spans="32:33" x14ac:dyDescent="0.4">
      <c r="AF2265" s="19">
        <v>20120618</v>
      </c>
      <c r="AG2265" s="17">
        <v>1706.4074619584551</v>
      </c>
    </row>
    <row r="2266" spans="32:33" x14ac:dyDescent="0.4">
      <c r="AF2266" s="19">
        <v>20120619</v>
      </c>
      <c r="AG2266" s="18">
        <v>1711.0214119387099</v>
      </c>
    </row>
    <row r="2267" spans="32:33" x14ac:dyDescent="0.4">
      <c r="AF2267" s="19">
        <v>20120620</v>
      </c>
      <c r="AG2267" s="17">
        <v>1723.732215775367</v>
      </c>
    </row>
    <row r="2268" spans="32:33" x14ac:dyDescent="0.4">
      <c r="AF2268" s="19">
        <v>20120621</v>
      </c>
      <c r="AG2268" s="17">
        <v>1726.9817291855859</v>
      </c>
    </row>
    <row r="2269" spans="32:33" x14ac:dyDescent="0.4">
      <c r="AF2269" s="19">
        <v>20120622</v>
      </c>
      <c r="AG2269" s="17">
        <v>1716.1560021891109</v>
      </c>
    </row>
    <row r="2270" spans="32:33" x14ac:dyDescent="0.4">
      <c r="AF2270" s="19">
        <v>20120623</v>
      </c>
      <c r="AG2270" s="17">
        <v>1716.066236625293</v>
      </c>
    </row>
    <row r="2271" spans="32:33" x14ac:dyDescent="0.4">
      <c r="AF2271" s="19">
        <v>20120624</v>
      </c>
      <c r="AG2271" s="18">
        <v>1715.976471061475</v>
      </c>
    </row>
    <row r="2272" spans="32:33" x14ac:dyDescent="0.4">
      <c r="AF2272" s="19">
        <v>20120625</v>
      </c>
      <c r="AG2272" s="17">
        <v>1707.8975703178371</v>
      </c>
    </row>
    <row r="2273" spans="32:33" x14ac:dyDescent="0.4">
      <c r="AF2273" s="19">
        <v>20120626</v>
      </c>
      <c r="AG2273" s="17">
        <v>1708.5438823773279</v>
      </c>
    </row>
    <row r="2274" spans="32:33" x14ac:dyDescent="0.4">
      <c r="AF2274" s="19">
        <v>20120627</v>
      </c>
      <c r="AG2274" s="17">
        <v>1710.518724781328</v>
      </c>
    </row>
    <row r="2275" spans="32:33" x14ac:dyDescent="0.4">
      <c r="AF2275" s="19">
        <v>20120628</v>
      </c>
      <c r="AG2275" s="17">
        <v>1721.272639326749</v>
      </c>
    </row>
    <row r="2276" spans="32:33" x14ac:dyDescent="0.4">
      <c r="AF2276" s="19">
        <v>20120629</v>
      </c>
      <c r="AG2276" s="18">
        <v>1736.981612994934</v>
      </c>
    </row>
    <row r="2277" spans="32:33" x14ac:dyDescent="0.4">
      <c r="AF2277" s="19">
        <v>20120630</v>
      </c>
      <c r="AG2277" s="17">
        <v>1736.8918474311149</v>
      </c>
    </row>
    <row r="2278" spans="32:33" x14ac:dyDescent="0.4">
      <c r="AF2278" s="19">
        <v>20120701</v>
      </c>
      <c r="AG2278" s="17">
        <v>1736.8020818672969</v>
      </c>
    </row>
    <row r="2279" spans="32:33" x14ac:dyDescent="0.4">
      <c r="AF2279" s="19">
        <v>20120702</v>
      </c>
      <c r="AG2279" s="17">
        <v>1738.758971158534</v>
      </c>
    </row>
    <row r="2280" spans="32:33" x14ac:dyDescent="0.4">
      <c r="AF2280" s="19">
        <v>20120703</v>
      </c>
      <c r="AG2280" s="17">
        <v>1744.9527950619899</v>
      </c>
    </row>
    <row r="2281" spans="32:33" x14ac:dyDescent="0.4">
      <c r="AF2281" s="19">
        <v>20120704</v>
      </c>
      <c r="AG2281" s="18">
        <v>1742.493218613371</v>
      </c>
    </row>
    <row r="2282" spans="32:33" x14ac:dyDescent="0.4">
      <c r="AF2282" s="19">
        <v>20120705</v>
      </c>
      <c r="AG2282" s="17">
        <v>1743.319061800499</v>
      </c>
    </row>
    <row r="2283" spans="32:33" x14ac:dyDescent="0.4">
      <c r="AF2283" s="19">
        <v>20120706</v>
      </c>
      <c r="AG2283" s="17">
        <v>1735.563317086606</v>
      </c>
    </row>
    <row r="2284" spans="32:33" x14ac:dyDescent="0.4">
      <c r="AF2284" s="19">
        <v>20120707</v>
      </c>
      <c r="AG2284" s="17">
        <v>1735.4735515227881</v>
      </c>
    </row>
    <row r="2285" spans="32:33" x14ac:dyDescent="0.4">
      <c r="AF2285" s="19">
        <v>20120708</v>
      </c>
      <c r="AG2285" s="17">
        <v>1735.3837859589701</v>
      </c>
    </row>
    <row r="2286" spans="32:33" x14ac:dyDescent="0.4">
      <c r="AF2286" s="19">
        <v>20120709</v>
      </c>
      <c r="AG2286" s="18">
        <v>1729.3874462959141</v>
      </c>
    </row>
    <row r="2287" spans="32:33" x14ac:dyDescent="0.4">
      <c r="AF2287" s="19">
        <v>20120710</v>
      </c>
      <c r="AG2287" s="17">
        <v>1727.9691503875861</v>
      </c>
    </row>
    <row r="2288" spans="32:33" x14ac:dyDescent="0.4">
      <c r="AF2288" s="19">
        <v>20120711</v>
      </c>
      <c r="AG2288" s="17">
        <v>1723.8937937902399</v>
      </c>
    </row>
    <row r="2289" spans="32:33" x14ac:dyDescent="0.4">
      <c r="AF2289" s="19">
        <v>20120712</v>
      </c>
      <c r="AG2289" s="17">
        <v>1704.594197569327</v>
      </c>
    </row>
    <row r="2290" spans="32:33" x14ac:dyDescent="0.4">
      <c r="AF2290" s="19">
        <v>20120713</v>
      </c>
      <c r="AG2290" s="17">
        <v>1717.8974541271839</v>
      </c>
    </row>
    <row r="2291" spans="32:33" x14ac:dyDescent="0.4">
      <c r="AF2291" s="19">
        <v>20120714</v>
      </c>
      <c r="AG2291" s="18">
        <v>1717.8076885633659</v>
      </c>
    </row>
    <row r="2292" spans="32:33" x14ac:dyDescent="0.4">
      <c r="AF2292" s="19">
        <v>20120715</v>
      </c>
      <c r="AG2292" s="17">
        <v>1717.6999698867839</v>
      </c>
    </row>
    <row r="2293" spans="32:33" x14ac:dyDescent="0.4">
      <c r="AF2293" s="19">
        <v>20120716</v>
      </c>
      <c r="AG2293" s="17">
        <v>1729.7465085511869</v>
      </c>
    </row>
    <row r="2294" spans="32:33" x14ac:dyDescent="0.4">
      <c r="AF2294" s="19">
        <v>20120717</v>
      </c>
      <c r="AG2294" s="17">
        <v>1726.694479381368</v>
      </c>
    </row>
    <row r="2295" spans="32:33" x14ac:dyDescent="0.4">
      <c r="AF2295" s="19">
        <v>20120718</v>
      </c>
      <c r="AG2295" s="17">
        <v>1708.7413666177281</v>
      </c>
    </row>
    <row r="2296" spans="32:33" x14ac:dyDescent="0.4">
      <c r="AF2296" s="19">
        <v>20120719</v>
      </c>
      <c r="AG2296" s="18">
        <v>1726.9817291855859</v>
      </c>
    </row>
    <row r="2297" spans="32:33" x14ac:dyDescent="0.4">
      <c r="AF2297" s="19">
        <v>20120720</v>
      </c>
      <c r="AG2297" s="17">
        <v>1730.321008159623</v>
      </c>
    </row>
    <row r="2298" spans="32:33" x14ac:dyDescent="0.4">
      <c r="AF2298" s="19">
        <v>20120721</v>
      </c>
      <c r="AG2298" s="17">
        <v>1730.231242595805</v>
      </c>
    </row>
    <row r="2299" spans="32:33" x14ac:dyDescent="0.4">
      <c r="AF2299" s="19">
        <v>20120722</v>
      </c>
      <c r="AG2299" s="17">
        <v>1730.1235239192231</v>
      </c>
    </row>
    <row r="2300" spans="32:33" x14ac:dyDescent="0.4">
      <c r="AF2300" s="19">
        <v>20120723</v>
      </c>
      <c r="AG2300" s="17">
        <v>1719.2798438099851</v>
      </c>
    </row>
    <row r="2301" spans="32:33" x14ac:dyDescent="0.4">
      <c r="AF2301" s="19">
        <v>20120724</v>
      </c>
      <c r="AG2301" s="18">
        <v>1719.5491405014391</v>
      </c>
    </row>
    <row r="2302" spans="32:33" x14ac:dyDescent="0.4">
      <c r="AF2302" s="19">
        <v>20120725</v>
      </c>
      <c r="AG2302" s="17">
        <v>1704.3249008778721</v>
      </c>
    </row>
    <row r="2303" spans="32:33" x14ac:dyDescent="0.4">
      <c r="AF2303" s="19">
        <v>20120726</v>
      </c>
      <c r="AG2303" s="17">
        <v>1718.4360475100941</v>
      </c>
    </row>
    <row r="2304" spans="32:33" x14ac:dyDescent="0.4">
      <c r="AF2304" s="19">
        <v>20120727</v>
      </c>
      <c r="AG2304" s="17">
        <v>1744.055139423808</v>
      </c>
    </row>
    <row r="2305" spans="32:33" x14ac:dyDescent="0.4">
      <c r="AF2305" s="19">
        <v>20120728</v>
      </c>
      <c r="AG2305" s="17">
        <v>1743.96537385999</v>
      </c>
    </row>
    <row r="2306" spans="32:33" x14ac:dyDescent="0.4">
      <c r="AF2306" s="19">
        <v>20120729</v>
      </c>
      <c r="AG2306" s="18">
        <v>1743.8756082961711</v>
      </c>
    </row>
    <row r="2307" spans="32:33" x14ac:dyDescent="0.4">
      <c r="AF2307" s="19">
        <v>20120730</v>
      </c>
      <c r="AG2307" s="17">
        <v>1746.6403876617719</v>
      </c>
    </row>
    <row r="2308" spans="32:33" x14ac:dyDescent="0.4">
      <c r="AF2308" s="19">
        <v>20120731</v>
      </c>
      <c r="AG2308" s="17">
        <v>1758.9203167921021</v>
      </c>
    </row>
    <row r="2309" spans="32:33" x14ac:dyDescent="0.4">
      <c r="AF2309" s="19">
        <v>20120801</v>
      </c>
      <c r="AG2309" s="17">
        <v>1759.6384413026469</v>
      </c>
    </row>
    <row r="2310" spans="32:33" x14ac:dyDescent="0.4">
      <c r="AF2310" s="19">
        <v>20120802</v>
      </c>
      <c r="AG2310" s="17">
        <v>1756.945474388101</v>
      </c>
    </row>
    <row r="2311" spans="32:33" x14ac:dyDescent="0.4">
      <c r="AF2311" s="19">
        <v>20120803</v>
      </c>
      <c r="AG2311" s="18">
        <v>1752.0981339419191</v>
      </c>
    </row>
    <row r="2312" spans="32:33" x14ac:dyDescent="0.4">
      <c r="AF2312" s="19">
        <v>20120804</v>
      </c>
      <c r="AG2312" s="17">
        <v>1752.0083683780999</v>
      </c>
    </row>
    <row r="2313" spans="32:33" x14ac:dyDescent="0.4">
      <c r="AF2313" s="19">
        <v>20120805</v>
      </c>
      <c r="AG2313" s="17">
        <v>1751.9186028142819</v>
      </c>
    </row>
    <row r="2314" spans="32:33" x14ac:dyDescent="0.4">
      <c r="AF2314" s="19">
        <v>20120806</v>
      </c>
      <c r="AG2314" s="17">
        <v>1755.527178479774</v>
      </c>
    </row>
    <row r="2315" spans="32:33" x14ac:dyDescent="0.4">
      <c r="AF2315" s="19">
        <v>20120807</v>
      </c>
      <c r="AG2315" s="17">
        <v>1757.0352399519199</v>
      </c>
    </row>
    <row r="2316" spans="32:33" x14ac:dyDescent="0.4">
      <c r="AF2316" s="19">
        <v>20120808</v>
      </c>
      <c r="AG2316" s="18">
        <v>1766.6401552804671</v>
      </c>
    </row>
    <row r="2317" spans="32:33" x14ac:dyDescent="0.4">
      <c r="AF2317" s="19">
        <v>20120809</v>
      </c>
      <c r="AG2317" s="17">
        <v>1782.2593633848339</v>
      </c>
    </row>
    <row r="2318" spans="32:33" x14ac:dyDescent="0.4">
      <c r="AF2318" s="19">
        <v>20120810</v>
      </c>
      <c r="AG2318" s="17">
        <v>1782.2593633848339</v>
      </c>
    </row>
    <row r="2319" spans="32:33" x14ac:dyDescent="0.4">
      <c r="AF2319" s="19">
        <v>20120811</v>
      </c>
      <c r="AG2319" s="17">
        <v>1782.1695978210159</v>
      </c>
    </row>
    <row r="2320" spans="32:33" x14ac:dyDescent="0.4">
      <c r="AF2320" s="19">
        <v>20120812</v>
      </c>
      <c r="AG2320" s="17">
        <v>1782.079832257197</v>
      </c>
    </row>
    <row r="2321" spans="32:33" x14ac:dyDescent="0.4">
      <c r="AF2321" s="19">
        <v>20120813</v>
      </c>
      <c r="AG2321" s="18">
        <v>1780.1229429659611</v>
      </c>
    </row>
    <row r="2322" spans="32:33" x14ac:dyDescent="0.4">
      <c r="AF2322" s="19">
        <v>20120814</v>
      </c>
      <c r="AG2322" s="17">
        <v>1792.151528517599</v>
      </c>
    </row>
    <row r="2323" spans="32:33" x14ac:dyDescent="0.4">
      <c r="AF2323" s="19">
        <v>20120815</v>
      </c>
      <c r="AG2323" s="17">
        <v>1792.061762953781</v>
      </c>
    </row>
    <row r="2324" spans="32:33" x14ac:dyDescent="0.4">
      <c r="AF2324" s="19">
        <v>20120816</v>
      </c>
      <c r="AG2324" s="17">
        <v>1803.515848896983</v>
      </c>
    </row>
    <row r="2325" spans="32:33" x14ac:dyDescent="0.4">
      <c r="AF2325" s="19">
        <v>20120817</v>
      </c>
      <c r="AG2325" s="17">
        <v>1799.8534138932009</v>
      </c>
    </row>
    <row r="2326" spans="32:33" x14ac:dyDescent="0.4">
      <c r="AF2326" s="19">
        <v>20120818</v>
      </c>
      <c r="AG2326" s="18">
        <v>1799.7636483293829</v>
      </c>
    </row>
    <row r="2327" spans="32:33" x14ac:dyDescent="0.4">
      <c r="AF2327" s="19">
        <v>20120819</v>
      </c>
      <c r="AG2327" s="17">
        <v>1799.655929652801</v>
      </c>
    </row>
    <row r="2328" spans="32:33" x14ac:dyDescent="0.4">
      <c r="AF2328" s="19">
        <v>20120820</v>
      </c>
      <c r="AG2328" s="17">
        <v>1798.776227127383</v>
      </c>
    </row>
    <row r="2329" spans="32:33" x14ac:dyDescent="0.4">
      <c r="AF2329" s="19">
        <v>20120821</v>
      </c>
      <c r="AG2329" s="17">
        <v>1800.4638197271649</v>
      </c>
    </row>
    <row r="2330" spans="32:33" x14ac:dyDescent="0.4">
      <c r="AF2330" s="19">
        <v>20120822</v>
      </c>
      <c r="AG2330" s="17">
        <v>1799.727742103855</v>
      </c>
    </row>
    <row r="2331" spans="32:33" x14ac:dyDescent="0.4">
      <c r="AF2331" s="19">
        <v>20120823</v>
      </c>
      <c r="AG2331" s="18">
        <v>1804.5391763245109</v>
      </c>
    </row>
    <row r="2332" spans="32:33" x14ac:dyDescent="0.4">
      <c r="AF2332" s="19">
        <v>20120824</v>
      </c>
      <c r="AG2332" s="17">
        <v>1797.9503839402551</v>
      </c>
    </row>
    <row r="2333" spans="32:33" x14ac:dyDescent="0.4">
      <c r="AF2333" s="19">
        <v>20120825</v>
      </c>
      <c r="AG2333" s="17">
        <v>1797.8426652636731</v>
      </c>
    </row>
    <row r="2334" spans="32:33" x14ac:dyDescent="0.4">
      <c r="AF2334" s="19">
        <v>20120826</v>
      </c>
      <c r="AG2334" s="17">
        <v>1797.7528996998551</v>
      </c>
    </row>
    <row r="2335" spans="32:33" x14ac:dyDescent="0.4">
      <c r="AF2335" s="19">
        <v>20120827</v>
      </c>
      <c r="AG2335" s="17">
        <v>1792.869653028145</v>
      </c>
    </row>
    <row r="2336" spans="32:33" x14ac:dyDescent="0.4">
      <c r="AF2336" s="19">
        <v>20120828</v>
      </c>
      <c r="AG2336" s="18">
        <v>1800.5535852909829</v>
      </c>
    </row>
    <row r="2337" spans="32:33" x14ac:dyDescent="0.4">
      <c r="AF2337" s="19">
        <v>20120829</v>
      </c>
      <c r="AG2337" s="17">
        <v>1805.131629045711</v>
      </c>
    </row>
    <row r="2338" spans="32:33" x14ac:dyDescent="0.4">
      <c r="AF2338" s="19">
        <v>20120830</v>
      </c>
      <c r="AG2338" s="17">
        <v>1798.991664480546</v>
      </c>
    </row>
    <row r="2339" spans="32:33" x14ac:dyDescent="0.4">
      <c r="AF2339" s="19">
        <v>20120831</v>
      </c>
      <c r="AG2339" s="17">
        <v>1814.144091653058</v>
      </c>
    </row>
    <row r="2340" spans="32:33" x14ac:dyDescent="0.4">
      <c r="AF2340" s="19">
        <v>20120901</v>
      </c>
      <c r="AG2340" s="17">
        <v>1814.036372976477</v>
      </c>
    </row>
    <row r="2341" spans="32:33" x14ac:dyDescent="0.4">
      <c r="AF2341" s="19">
        <v>20120902</v>
      </c>
      <c r="AG2341" s="18">
        <v>1813.9466074126581</v>
      </c>
    </row>
    <row r="2342" spans="32:33" x14ac:dyDescent="0.4">
      <c r="AF2342" s="19">
        <v>20120903</v>
      </c>
      <c r="AG2342" s="17">
        <v>1823.5335696284419</v>
      </c>
    </row>
    <row r="2343" spans="32:33" x14ac:dyDescent="0.4">
      <c r="AF2343" s="19">
        <v>20120904</v>
      </c>
      <c r="AG2343" s="17">
        <v>1822.1870861711691</v>
      </c>
    </row>
    <row r="2344" spans="32:33" x14ac:dyDescent="0.4">
      <c r="AF2344" s="19">
        <v>20120905</v>
      </c>
      <c r="AG2344" s="17">
        <v>1809.7635321387299</v>
      </c>
    </row>
    <row r="2345" spans="32:33" x14ac:dyDescent="0.4">
      <c r="AF2345" s="19">
        <v>20120906</v>
      </c>
      <c r="AG2345" s="17">
        <v>1821.8998363669509</v>
      </c>
    </row>
    <row r="2346" spans="32:33" x14ac:dyDescent="0.4">
      <c r="AF2346" s="19">
        <v>20120907</v>
      </c>
      <c r="AG2346" s="18">
        <v>1844.1796493066281</v>
      </c>
    </row>
    <row r="2347" spans="32:33" x14ac:dyDescent="0.4">
      <c r="AF2347" s="19">
        <v>20120908</v>
      </c>
      <c r="AG2347" s="17">
        <v>1844.0719306300459</v>
      </c>
    </row>
    <row r="2348" spans="32:33" x14ac:dyDescent="0.4">
      <c r="AF2348" s="19">
        <v>20120909</v>
      </c>
      <c r="AG2348" s="17">
        <v>1843.9821650662279</v>
      </c>
    </row>
    <row r="2349" spans="32:33" x14ac:dyDescent="0.4">
      <c r="AF2349" s="19">
        <v>20120910</v>
      </c>
      <c r="AG2349" s="17">
        <v>1843.3897123450281</v>
      </c>
    </row>
    <row r="2350" spans="32:33" x14ac:dyDescent="0.4">
      <c r="AF2350" s="19">
        <v>20120911</v>
      </c>
      <c r="AG2350" s="17">
        <v>1852.3662687268479</v>
      </c>
    </row>
    <row r="2351" spans="32:33" x14ac:dyDescent="0.4">
      <c r="AF2351" s="19">
        <v>20120912</v>
      </c>
      <c r="AG2351" s="18">
        <v>1863.2099488360859</v>
      </c>
    </row>
    <row r="2352" spans="32:33" x14ac:dyDescent="0.4">
      <c r="AF2352" s="19">
        <v>20120913</v>
      </c>
      <c r="AG2352" s="17">
        <v>1874.71789411758</v>
      </c>
    </row>
    <row r="2353" spans="32:33" x14ac:dyDescent="0.4">
      <c r="AF2353" s="19">
        <v>20120914</v>
      </c>
      <c r="AG2353" s="17">
        <v>1891.557913889874</v>
      </c>
    </row>
    <row r="2354" spans="32:33" x14ac:dyDescent="0.4">
      <c r="AF2354" s="19">
        <v>20120915</v>
      </c>
      <c r="AG2354" s="17">
        <v>1891.4501952132921</v>
      </c>
    </row>
    <row r="2355" spans="32:33" x14ac:dyDescent="0.4">
      <c r="AF2355" s="19">
        <v>20120916</v>
      </c>
      <c r="AG2355" s="17">
        <v>1891.3604296494741</v>
      </c>
    </row>
    <row r="2356" spans="32:33" x14ac:dyDescent="0.4">
      <c r="AF2356" s="19">
        <v>20120917</v>
      </c>
      <c r="AG2356" s="18">
        <v>1889.6189777114009</v>
      </c>
    </row>
    <row r="2357" spans="32:33" x14ac:dyDescent="0.4">
      <c r="AF2357" s="19">
        <v>20120918</v>
      </c>
      <c r="AG2357" s="17">
        <v>1902.8683749309671</v>
      </c>
    </row>
    <row r="2358" spans="32:33" x14ac:dyDescent="0.4">
      <c r="AF2358" s="19">
        <v>20120919</v>
      </c>
      <c r="AG2358" s="17">
        <v>1913.9633986188969</v>
      </c>
    </row>
    <row r="2359" spans="32:33" x14ac:dyDescent="0.4">
      <c r="AF2359" s="19">
        <v>20120920</v>
      </c>
      <c r="AG2359" s="17">
        <v>1922.886095662426</v>
      </c>
    </row>
    <row r="2360" spans="32:33" x14ac:dyDescent="0.4">
      <c r="AF2360" s="19">
        <v>20120921</v>
      </c>
      <c r="AG2360" s="17">
        <v>1944.6991276702479</v>
      </c>
    </row>
    <row r="2361" spans="32:33" x14ac:dyDescent="0.4">
      <c r="AF2361" s="19">
        <v>20120922</v>
      </c>
      <c r="AG2361" s="18">
        <v>1944.5914089936671</v>
      </c>
    </row>
    <row r="2362" spans="32:33" x14ac:dyDescent="0.4">
      <c r="AF2362" s="19">
        <v>20120923</v>
      </c>
      <c r="AG2362" s="17">
        <v>1944.4836903170849</v>
      </c>
    </row>
    <row r="2363" spans="32:33" x14ac:dyDescent="0.4">
      <c r="AF2363" s="19">
        <v>20120924</v>
      </c>
      <c r="AG2363" s="17">
        <v>1950.03120216105</v>
      </c>
    </row>
    <row r="2364" spans="32:33" x14ac:dyDescent="0.4">
      <c r="AF2364" s="19">
        <v>20120925</v>
      </c>
      <c r="AG2364" s="17">
        <v>1948.289750222976</v>
      </c>
    </row>
    <row r="2365" spans="32:33" x14ac:dyDescent="0.4">
      <c r="AF2365" s="19">
        <v>20120926</v>
      </c>
      <c r="AG2365" s="17">
        <v>1942.060020093993</v>
      </c>
    </row>
    <row r="2366" spans="32:33" x14ac:dyDescent="0.4">
      <c r="AF2366" s="19">
        <v>20120927</v>
      </c>
      <c r="AG2366" s="18">
        <v>1949.9414365972309</v>
      </c>
    </row>
    <row r="2367" spans="32:33" x14ac:dyDescent="0.4">
      <c r="AF2367" s="19">
        <v>20120928</v>
      </c>
      <c r="AG2367" s="17">
        <v>1962.5445217573069</v>
      </c>
    </row>
    <row r="2368" spans="32:33" x14ac:dyDescent="0.4">
      <c r="AF2368" s="19">
        <v>20120929</v>
      </c>
      <c r="AG2368" s="17">
        <v>1962.436803080725</v>
      </c>
    </row>
    <row r="2369" spans="32:33" x14ac:dyDescent="0.4">
      <c r="AF2369" s="19">
        <v>20120930</v>
      </c>
      <c r="AG2369" s="17">
        <v>1962.347037516907</v>
      </c>
    </row>
    <row r="2370" spans="32:33" x14ac:dyDescent="0.4">
      <c r="AF2370" s="19">
        <v>20121001</v>
      </c>
      <c r="AG2370" s="17">
        <v>1962.239318840325</v>
      </c>
    </row>
    <row r="2371" spans="32:33" x14ac:dyDescent="0.4">
      <c r="AF2371" s="19">
        <v>20121002</v>
      </c>
      <c r="AG2371" s="18">
        <v>1966.7455501439979</v>
      </c>
    </row>
    <row r="2372" spans="32:33" x14ac:dyDescent="0.4">
      <c r="AF2372" s="19">
        <v>20121003</v>
      </c>
      <c r="AG2372" s="17">
        <v>1966.6378314674171</v>
      </c>
    </row>
    <row r="2373" spans="32:33" x14ac:dyDescent="0.4">
      <c r="AF2373" s="19">
        <v>20121004</v>
      </c>
      <c r="AG2373" s="17">
        <v>1973.8549827984</v>
      </c>
    </row>
    <row r="2374" spans="32:33" x14ac:dyDescent="0.4">
      <c r="AF2374" s="19">
        <v>20121005</v>
      </c>
      <c r="AG2374" s="17">
        <v>1988.289285460366</v>
      </c>
    </row>
    <row r="2375" spans="32:33" x14ac:dyDescent="0.4">
      <c r="AF2375" s="19">
        <v>20121006</v>
      </c>
      <c r="AG2375" s="17">
        <v>1988.1995198965481</v>
      </c>
    </row>
    <row r="2376" spans="32:33" x14ac:dyDescent="0.4">
      <c r="AF2376" s="19">
        <v>20121007</v>
      </c>
      <c r="AG2376" s="18">
        <v>1988.0918012199661</v>
      </c>
    </row>
    <row r="2377" spans="32:33" x14ac:dyDescent="0.4">
      <c r="AF2377" s="19">
        <v>20121008</v>
      </c>
      <c r="AG2377" s="17">
        <v>1990.1923154133119</v>
      </c>
    </row>
    <row r="2378" spans="32:33" x14ac:dyDescent="0.4">
      <c r="AF2378" s="19">
        <v>20121009</v>
      </c>
      <c r="AG2378" s="17">
        <v>1987.786598302984</v>
      </c>
    </row>
    <row r="2379" spans="32:33" x14ac:dyDescent="0.4">
      <c r="AF2379" s="19">
        <v>20121010</v>
      </c>
      <c r="AG2379" s="17">
        <v>1971.3056407859631</v>
      </c>
    </row>
    <row r="2380" spans="32:33" x14ac:dyDescent="0.4">
      <c r="AF2380" s="19">
        <v>20121011</v>
      </c>
      <c r="AG2380" s="17">
        <v>1965.7760820547619</v>
      </c>
    </row>
    <row r="2381" spans="32:33" x14ac:dyDescent="0.4">
      <c r="AF2381" s="19">
        <v>20121012</v>
      </c>
      <c r="AG2381" s="18">
        <v>1980.731024986874</v>
      </c>
    </row>
    <row r="2382" spans="32:33" x14ac:dyDescent="0.4">
      <c r="AF2382" s="19">
        <v>20121013</v>
      </c>
      <c r="AG2382" s="17">
        <v>1980.623306310292</v>
      </c>
    </row>
    <row r="2383" spans="32:33" x14ac:dyDescent="0.4">
      <c r="AF2383" s="19">
        <v>20121014</v>
      </c>
      <c r="AG2383" s="17">
        <v>1980.5155876337101</v>
      </c>
    </row>
    <row r="2384" spans="32:33" x14ac:dyDescent="0.4">
      <c r="AF2384" s="19">
        <v>20121015</v>
      </c>
      <c r="AG2384" s="17">
        <v>1985.9912870266201</v>
      </c>
    </row>
    <row r="2385" spans="32:33" x14ac:dyDescent="0.4">
      <c r="AF2385" s="19">
        <v>20121016</v>
      </c>
      <c r="AG2385" s="17">
        <v>2001.843885596915</v>
      </c>
    </row>
    <row r="2386" spans="32:33" x14ac:dyDescent="0.4">
      <c r="AF2386" s="19">
        <v>20121017</v>
      </c>
      <c r="AG2386" s="18">
        <v>2007.175960087716</v>
      </c>
    </row>
    <row r="2387" spans="32:33" x14ac:dyDescent="0.4">
      <c r="AF2387" s="19">
        <v>20121018</v>
      </c>
      <c r="AG2387" s="17">
        <v>1994.393343800004</v>
      </c>
    </row>
    <row r="2388" spans="32:33" x14ac:dyDescent="0.4">
      <c r="AF2388" s="19">
        <v>20121019</v>
      </c>
      <c r="AG2388" s="17">
        <v>1980.677165648583</v>
      </c>
    </row>
    <row r="2389" spans="32:33" x14ac:dyDescent="0.4">
      <c r="AF2389" s="19">
        <v>20121020</v>
      </c>
      <c r="AG2389" s="17">
        <v>1980.5694469720011</v>
      </c>
    </row>
    <row r="2390" spans="32:33" x14ac:dyDescent="0.4">
      <c r="AF2390" s="19">
        <v>20121021</v>
      </c>
      <c r="AG2390" s="17">
        <v>1980.4617282954191</v>
      </c>
    </row>
    <row r="2391" spans="32:33" x14ac:dyDescent="0.4">
      <c r="AF2391" s="19">
        <v>20121022</v>
      </c>
      <c r="AG2391" s="18">
        <v>1992.5980325236401</v>
      </c>
    </row>
    <row r="2392" spans="32:33" x14ac:dyDescent="0.4">
      <c r="AF2392" s="19">
        <v>20121023</v>
      </c>
      <c r="AG2392" s="17">
        <v>1994.6805936042219</v>
      </c>
    </row>
    <row r="2393" spans="32:33" x14ac:dyDescent="0.4">
      <c r="AF2393" s="19">
        <v>20121024</v>
      </c>
      <c r="AG2393" s="17">
        <v>2009.2764742810621</v>
      </c>
    </row>
    <row r="2394" spans="32:33" x14ac:dyDescent="0.4">
      <c r="AF2394" s="19">
        <v>20121025</v>
      </c>
      <c r="AG2394" s="17">
        <v>2009.9945987916069</v>
      </c>
    </row>
    <row r="2395" spans="32:33" x14ac:dyDescent="0.4">
      <c r="AF2395" s="19">
        <v>20121026</v>
      </c>
      <c r="AG2395" s="17">
        <v>1984.698662907638</v>
      </c>
    </row>
    <row r="2396" spans="32:33" x14ac:dyDescent="0.4">
      <c r="AF2396" s="19">
        <v>20121027</v>
      </c>
      <c r="AG2396" s="18">
        <v>1984.5909442310569</v>
      </c>
    </row>
    <row r="2397" spans="32:33" x14ac:dyDescent="0.4">
      <c r="AF2397" s="19">
        <v>20121028</v>
      </c>
      <c r="AG2397" s="17">
        <v>1984.483225554475</v>
      </c>
    </row>
    <row r="2398" spans="32:33" x14ac:dyDescent="0.4">
      <c r="AF2398" s="19">
        <v>20121029</v>
      </c>
      <c r="AG2398" s="17">
        <v>1976.2966061342549</v>
      </c>
    </row>
    <row r="2399" spans="32:33" x14ac:dyDescent="0.4">
      <c r="AF2399" s="19">
        <v>20121030</v>
      </c>
      <c r="AG2399" s="17">
        <v>1986.3503492818929</v>
      </c>
    </row>
    <row r="2400" spans="32:33" x14ac:dyDescent="0.4">
      <c r="AF2400" s="19">
        <v>20121031</v>
      </c>
      <c r="AG2400" s="17">
        <v>1997.9660132399681</v>
      </c>
    </row>
    <row r="2401" spans="32:33" x14ac:dyDescent="0.4">
      <c r="AF2401" s="19">
        <v>20121101</v>
      </c>
      <c r="AG2401" s="18">
        <v>1999.869043192914</v>
      </c>
    </row>
    <row r="2402" spans="32:33" x14ac:dyDescent="0.4">
      <c r="AF2402" s="19">
        <v>20121102</v>
      </c>
      <c r="AG2402" s="17">
        <v>2008.917412025789</v>
      </c>
    </row>
    <row r="2403" spans="32:33" x14ac:dyDescent="0.4">
      <c r="AF2403" s="19">
        <v>20121103</v>
      </c>
      <c r="AG2403" s="17">
        <v>2008.809693349207</v>
      </c>
    </row>
    <row r="2404" spans="32:33" x14ac:dyDescent="0.4">
      <c r="AF2404" s="19">
        <v>20121104</v>
      </c>
      <c r="AG2404" s="17">
        <v>2008.7019746726251</v>
      </c>
    </row>
    <row r="2405" spans="32:33" x14ac:dyDescent="0.4">
      <c r="AF2405" s="19">
        <v>20121105</v>
      </c>
      <c r="AG2405" s="17">
        <v>2004.8959147667331</v>
      </c>
    </row>
    <row r="2406" spans="32:33" x14ac:dyDescent="0.4">
      <c r="AF2406" s="19">
        <v>20121106</v>
      </c>
      <c r="AG2406" s="18">
        <v>2023.836448732374</v>
      </c>
    </row>
    <row r="2407" spans="32:33" x14ac:dyDescent="0.4">
      <c r="AF2407" s="19">
        <v>20121107</v>
      </c>
      <c r="AG2407" s="17">
        <v>2031.6280996717931</v>
      </c>
    </row>
    <row r="2408" spans="32:33" x14ac:dyDescent="0.4">
      <c r="AF2408" s="19">
        <v>20121108</v>
      </c>
      <c r="AG2408" s="17">
        <v>2026.6909936617919</v>
      </c>
    </row>
    <row r="2409" spans="32:33" x14ac:dyDescent="0.4">
      <c r="AF2409" s="19">
        <v>20121109</v>
      </c>
      <c r="AG2409" s="17">
        <v>2027.4988837361559</v>
      </c>
    </row>
    <row r="2410" spans="32:33" x14ac:dyDescent="0.4">
      <c r="AF2410" s="19">
        <v>20121110</v>
      </c>
      <c r="AG2410" s="17">
        <v>2027.391165059574</v>
      </c>
    </row>
    <row r="2411" spans="32:33" x14ac:dyDescent="0.4">
      <c r="AF2411" s="19">
        <v>20121111</v>
      </c>
      <c r="AG2411" s="18">
        <v>2027.283446382992</v>
      </c>
    </row>
    <row r="2412" spans="32:33" x14ac:dyDescent="0.4">
      <c r="AF2412" s="19">
        <v>20121112</v>
      </c>
      <c r="AG2412" s="17">
        <v>2035.9009405095401</v>
      </c>
    </row>
    <row r="2413" spans="32:33" x14ac:dyDescent="0.4">
      <c r="AF2413" s="19">
        <v>20121113</v>
      </c>
      <c r="AG2413" s="17">
        <v>2027.929758442483</v>
      </c>
    </row>
    <row r="2414" spans="32:33" x14ac:dyDescent="0.4">
      <c r="AF2414" s="19">
        <v>20121114</v>
      </c>
      <c r="AG2414" s="17">
        <v>2015.021470365426</v>
      </c>
    </row>
    <row r="2415" spans="32:33" x14ac:dyDescent="0.4">
      <c r="AF2415" s="19">
        <v>20121115</v>
      </c>
      <c r="AG2415" s="17">
        <v>2007.7863659216789</v>
      </c>
    </row>
    <row r="2416" spans="32:33" x14ac:dyDescent="0.4">
      <c r="AF2416" s="19">
        <v>20121116</v>
      </c>
      <c r="AG2416" s="18">
        <v>2001.413010890587</v>
      </c>
    </row>
    <row r="2417" spans="32:33" x14ac:dyDescent="0.4">
      <c r="AF2417" s="19">
        <v>20121117</v>
      </c>
      <c r="AG2417" s="17">
        <v>2001.305292214005</v>
      </c>
    </row>
    <row r="2418" spans="32:33" x14ac:dyDescent="0.4">
      <c r="AF2418" s="19">
        <v>20121118</v>
      </c>
      <c r="AG2418" s="17">
        <v>2001.197573537424</v>
      </c>
    </row>
    <row r="2419" spans="32:33" x14ac:dyDescent="0.4">
      <c r="AF2419" s="19">
        <v>20121119</v>
      </c>
      <c r="AG2419" s="17">
        <v>2025.00340106201</v>
      </c>
    </row>
    <row r="2420" spans="32:33" x14ac:dyDescent="0.4">
      <c r="AF2420" s="19">
        <v>20121120</v>
      </c>
      <c r="AG2420" s="17">
        <v>2038.8632041155399</v>
      </c>
    </row>
    <row r="2421" spans="32:33" x14ac:dyDescent="0.4">
      <c r="AF2421" s="19">
        <v>20121121</v>
      </c>
      <c r="AG2421" s="18">
        <v>2038.9888759048861</v>
      </c>
    </row>
    <row r="2422" spans="32:33" x14ac:dyDescent="0.4">
      <c r="AF2422" s="19">
        <v>20121122</v>
      </c>
      <c r="AG2422" s="17">
        <v>2050.6404460884878</v>
      </c>
    </row>
    <row r="2423" spans="32:33" x14ac:dyDescent="0.4">
      <c r="AF2423" s="19">
        <v>20121123</v>
      </c>
      <c r="AG2423" s="17">
        <v>2056.6547388643071</v>
      </c>
    </row>
    <row r="2424" spans="32:33" x14ac:dyDescent="0.4">
      <c r="AF2424" s="19">
        <v>20121124</v>
      </c>
      <c r="AG2424" s="17">
        <v>2056.547020187726</v>
      </c>
    </row>
    <row r="2425" spans="32:33" x14ac:dyDescent="0.4">
      <c r="AF2425" s="19">
        <v>20121125</v>
      </c>
      <c r="AG2425" s="17">
        <v>2056.4393015111441</v>
      </c>
    </row>
    <row r="2426" spans="32:33" x14ac:dyDescent="0.4">
      <c r="AF2426" s="19">
        <v>20121126</v>
      </c>
      <c r="AG2426" s="18">
        <v>2048.0551978505241</v>
      </c>
    </row>
    <row r="2427" spans="32:33" x14ac:dyDescent="0.4">
      <c r="AF2427" s="19">
        <v>20121127</v>
      </c>
      <c r="AG2427" s="17">
        <v>2047.5345575803781</v>
      </c>
    </row>
    <row r="2428" spans="32:33" x14ac:dyDescent="0.4">
      <c r="AF2428" s="19">
        <v>20121128</v>
      </c>
      <c r="AG2428" s="17">
        <v>2044.1952786063409</v>
      </c>
    </row>
    <row r="2429" spans="32:33" x14ac:dyDescent="0.4">
      <c r="AF2429" s="19">
        <v>20121129</v>
      </c>
      <c r="AG2429" s="17">
        <v>2049.293962631215</v>
      </c>
    </row>
    <row r="2430" spans="32:33" x14ac:dyDescent="0.4">
      <c r="AF2430" s="19">
        <v>20121130</v>
      </c>
      <c r="AG2430" s="17">
        <v>2052.1305544478701</v>
      </c>
    </row>
    <row r="2431" spans="32:33" x14ac:dyDescent="0.4">
      <c r="AF2431" s="19">
        <v>20121201</v>
      </c>
      <c r="AG2431" s="18">
        <v>2052.0228357712881</v>
      </c>
    </row>
    <row r="2432" spans="32:33" x14ac:dyDescent="0.4">
      <c r="AF2432" s="19">
        <v>20121202</v>
      </c>
      <c r="AG2432" s="17">
        <v>2051.9151170947071</v>
      </c>
    </row>
    <row r="2433" spans="32:33" x14ac:dyDescent="0.4">
      <c r="AF2433" s="19">
        <v>20121203</v>
      </c>
      <c r="AG2433" s="17">
        <v>2059.0065966363441</v>
      </c>
    </row>
    <row r="2434" spans="32:33" x14ac:dyDescent="0.4">
      <c r="AF2434" s="19">
        <v>20121204</v>
      </c>
      <c r="AG2434" s="17">
        <v>2064.967030073873</v>
      </c>
    </row>
    <row r="2435" spans="32:33" x14ac:dyDescent="0.4">
      <c r="AF2435" s="19">
        <v>20121205</v>
      </c>
      <c r="AG2435" s="17">
        <v>2072.9561652536931</v>
      </c>
    </row>
    <row r="2436" spans="32:33" x14ac:dyDescent="0.4">
      <c r="AF2436" s="19">
        <v>20121206</v>
      </c>
      <c r="AG2436" s="18">
        <v>2067.0675442672191</v>
      </c>
    </row>
    <row r="2437" spans="32:33" x14ac:dyDescent="0.4">
      <c r="AF2437" s="19">
        <v>20121207</v>
      </c>
      <c r="AG2437" s="17">
        <v>2069.9939016476919</v>
      </c>
    </row>
    <row r="2438" spans="32:33" x14ac:dyDescent="0.4">
      <c r="AF2438" s="19">
        <v>20121208</v>
      </c>
      <c r="AG2438" s="17">
        <v>2069.88618297111</v>
      </c>
    </row>
    <row r="2439" spans="32:33" x14ac:dyDescent="0.4">
      <c r="AF2439" s="19">
        <v>20121209</v>
      </c>
      <c r="AG2439" s="17">
        <v>2069.778464294528</v>
      </c>
    </row>
    <row r="2440" spans="32:33" x14ac:dyDescent="0.4">
      <c r="AF2440" s="19">
        <v>20121210</v>
      </c>
      <c r="AG2440" s="17">
        <v>2071.7353535857651</v>
      </c>
    </row>
    <row r="2441" spans="32:33" x14ac:dyDescent="0.4">
      <c r="AF2441" s="19">
        <v>20121211</v>
      </c>
      <c r="AG2441" s="18">
        <v>2058.5398157044901</v>
      </c>
    </row>
    <row r="2442" spans="32:33" x14ac:dyDescent="0.4">
      <c r="AF2442" s="19">
        <v>20121212</v>
      </c>
      <c r="AG2442" s="17">
        <v>2069.9759485349282</v>
      </c>
    </row>
    <row r="2443" spans="32:33" x14ac:dyDescent="0.4">
      <c r="AF2443" s="19">
        <v>20121213</v>
      </c>
      <c r="AG2443" s="17">
        <v>2086.2414686987859</v>
      </c>
    </row>
    <row r="2444" spans="32:33" x14ac:dyDescent="0.4">
      <c r="AF2444" s="19">
        <v>20121214</v>
      </c>
      <c r="AG2444" s="17">
        <v>2080.514425727185</v>
      </c>
    </row>
    <row r="2445" spans="32:33" x14ac:dyDescent="0.4">
      <c r="AF2445" s="19">
        <v>20121215</v>
      </c>
      <c r="AG2445" s="17">
        <v>2080.406707050603</v>
      </c>
    </row>
    <row r="2446" spans="32:33" x14ac:dyDescent="0.4">
      <c r="AF2446" s="19">
        <v>20121216</v>
      </c>
      <c r="AG2446" s="18">
        <v>2080.2989883740211</v>
      </c>
    </row>
    <row r="2447" spans="32:33" x14ac:dyDescent="0.4">
      <c r="AF2447" s="19">
        <v>20121217</v>
      </c>
      <c r="AG2447" s="17">
        <v>2077.9112243764571</v>
      </c>
    </row>
    <row r="2448" spans="32:33" x14ac:dyDescent="0.4">
      <c r="AF2448" s="19">
        <v>20121218</v>
      </c>
      <c r="AG2448" s="17">
        <v>2085.3079068350771</v>
      </c>
    </row>
    <row r="2449" spans="32:33" x14ac:dyDescent="0.4">
      <c r="AF2449" s="19">
        <v>20121219</v>
      </c>
      <c r="AG2449" s="17">
        <v>2085.2001881584952</v>
      </c>
    </row>
    <row r="2450" spans="32:33" x14ac:dyDescent="0.4">
      <c r="AF2450" s="19">
        <v>20121220</v>
      </c>
      <c r="AG2450" s="17">
        <v>2082.3995025673671</v>
      </c>
    </row>
    <row r="2451" spans="32:33" x14ac:dyDescent="0.4">
      <c r="AF2451" s="19">
        <v>20121221</v>
      </c>
      <c r="AG2451" s="18">
        <v>2073.6204304259468</v>
      </c>
    </row>
    <row r="2452" spans="32:33" x14ac:dyDescent="0.4">
      <c r="AF2452" s="19">
        <v>20121222</v>
      </c>
      <c r="AG2452" s="17">
        <v>2073.5127117493648</v>
      </c>
    </row>
    <row r="2453" spans="32:33" x14ac:dyDescent="0.4">
      <c r="AF2453" s="19">
        <v>20121223</v>
      </c>
      <c r="AG2453" s="17">
        <v>2073.38703996002</v>
      </c>
    </row>
    <row r="2454" spans="32:33" x14ac:dyDescent="0.4">
      <c r="AF2454" s="19">
        <v>20121224</v>
      </c>
      <c r="AG2454" s="17">
        <v>2081.394128252603</v>
      </c>
    </row>
    <row r="2455" spans="32:33" x14ac:dyDescent="0.4">
      <c r="AF2455" s="19">
        <v>20121225</v>
      </c>
      <c r="AG2455" s="17">
        <v>2081.2864095760219</v>
      </c>
    </row>
    <row r="2456" spans="32:33" x14ac:dyDescent="0.4">
      <c r="AF2456" s="19">
        <v>20121226</v>
      </c>
      <c r="AG2456" s="18">
        <v>2079.9578792315119</v>
      </c>
    </row>
    <row r="2457" spans="32:33" x14ac:dyDescent="0.4">
      <c r="AF2457" s="19">
        <v>20121227</v>
      </c>
      <c r="AG2457" s="17">
        <v>2106.3130487685362</v>
      </c>
    </row>
    <row r="2458" spans="32:33" x14ac:dyDescent="0.4">
      <c r="AF2458" s="19">
        <v>20121228</v>
      </c>
      <c r="AG2458" s="17">
        <v>2121.3398041517021</v>
      </c>
    </row>
    <row r="2459" spans="32:33" x14ac:dyDescent="0.4">
      <c r="AF2459" s="19">
        <v>20121229</v>
      </c>
      <c r="AG2459" s="17">
        <v>2121.232085475121</v>
      </c>
    </row>
    <row r="2460" spans="32:33" x14ac:dyDescent="0.4">
      <c r="AF2460" s="19">
        <v>20121230</v>
      </c>
      <c r="AG2460" s="17">
        <v>2121.1243667985391</v>
      </c>
    </row>
    <row r="2461" spans="32:33" x14ac:dyDescent="0.4">
      <c r="AF2461" s="19">
        <v>20121231</v>
      </c>
      <c r="AG2461" s="18">
        <v>2121.0346012347209</v>
      </c>
    </row>
    <row r="2462" spans="32:33" x14ac:dyDescent="0.4">
      <c r="AF2462" s="19">
        <v>20130101</v>
      </c>
      <c r="AG2462" s="17">
        <v>2120.9089294453752</v>
      </c>
    </row>
    <row r="2463" spans="32:33" x14ac:dyDescent="0.4">
      <c r="AF2463" s="19">
        <v>20130102</v>
      </c>
      <c r="AG2463" s="17">
        <v>2144.3018353763978</v>
      </c>
    </row>
    <row r="2464" spans="32:33" x14ac:dyDescent="0.4">
      <c r="AF2464" s="19">
        <v>20130103</v>
      </c>
      <c r="AG2464" s="17">
        <v>2143.1348830467609</v>
      </c>
    </row>
    <row r="2465" spans="32:33" x14ac:dyDescent="0.4">
      <c r="AF2465" s="19">
        <v>20130104</v>
      </c>
      <c r="AG2465" s="17">
        <v>2148.3412857482172</v>
      </c>
    </row>
    <row r="2466" spans="32:33" x14ac:dyDescent="0.4">
      <c r="AF2466" s="19">
        <v>20130105</v>
      </c>
      <c r="AG2466" s="18">
        <v>2148.2335670716352</v>
      </c>
    </row>
    <row r="2467" spans="32:33" x14ac:dyDescent="0.4">
      <c r="AF2467" s="19">
        <v>20130106</v>
      </c>
      <c r="AG2467" s="17">
        <v>2148.1258483950528</v>
      </c>
    </row>
    <row r="2468" spans="32:33" x14ac:dyDescent="0.4">
      <c r="AF2468" s="19">
        <v>20130107</v>
      </c>
      <c r="AG2468" s="17">
        <v>2155.4686715153821</v>
      </c>
    </row>
    <row r="2469" spans="32:33" x14ac:dyDescent="0.4">
      <c r="AF2469" s="19">
        <v>20130108</v>
      </c>
      <c r="AG2469" s="17">
        <v>2147.7129268014901</v>
      </c>
    </row>
    <row r="2470" spans="32:33" x14ac:dyDescent="0.4">
      <c r="AF2470" s="19">
        <v>20130109</v>
      </c>
      <c r="AG2470" s="17">
        <v>2152.6141265859628</v>
      </c>
    </row>
    <row r="2471" spans="32:33" x14ac:dyDescent="0.4">
      <c r="AF2471" s="19">
        <v>20130110</v>
      </c>
      <c r="AG2471" s="18">
        <v>2167.120241698984</v>
      </c>
    </row>
    <row r="2472" spans="32:33" x14ac:dyDescent="0.4">
      <c r="AF2472" s="19">
        <v>20130111</v>
      </c>
      <c r="AG2472" s="17">
        <v>2169.292568343385</v>
      </c>
    </row>
    <row r="2473" spans="32:33" x14ac:dyDescent="0.4">
      <c r="AF2473" s="19">
        <v>20130112</v>
      </c>
      <c r="AG2473" s="17">
        <v>2169.1848496668031</v>
      </c>
    </row>
    <row r="2474" spans="32:33" x14ac:dyDescent="0.4">
      <c r="AF2474" s="19">
        <v>20130113</v>
      </c>
      <c r="AG2474" s="17">
        <v>2169.0591778774578</v>
      </c>
    </row>
    <row r="2475" spans="32:33" x14ac:dyDescent="0.4">
      <c r="AF2475" s="19">
        <v>20130114</v>
      </c>
      <c r="AG2475" s="17">
        <v>2188.2510554217888</v>
      </c>
    </row>
    <row r="2476" spans="32:33" x14ac:dyDescent="0.4">
      <c r="AF2476" s="19">
        <v>20130115</v>
      </c>
      <c r="AG2476" s="18">
        <v>2168.5744438328388</v>
      </c>
    </row>
    <row r="2477" spans="32:33" x14ac:dyDescent="0.4">
      <c r="AF2477" s="19">
        <v>20130116</v>
      </c>
      <c r="AG2477" s="17">
        <v>2165.3428835353839</v>
      </c>
    </row>
    <row r="2478" spans="32:33" x14ac:dyDescent="0.4">
      <c r="AF2478" s="19">
        <v>20130117</v>
      </c>
      <c r="AG2478" s="17">
        <v>2160.24419951051</v>
      </c>
    </row>
    <row r="2479" spans="32:33" x14ac:dyDescent="0.4">
      <c r="AF2479" s="19">
        <v>20130118</v>
      </c>
      <c r="AG2479" s="17">
        <v>2170.0645521922211</v>
      </c>
    </row>
    <row r="2480" spans="32:33" x14ac:dyDescent="0.4">
      <c r="AF2480" s="19">
        <v>20130119</v>
      </c>
      <c r="AG2480" s="17">
        <v>2169.95683351564</v>
      </c>
    </row>
    <row r="2481" spans="32:33" x14ac:dyDescent="0.4">
      <c r="AF2481" s="19">
        <v>20130120</v>
      </c>
      <c r="AG2481" s="18">
        <v>2169.8491148390581</v>
      </c>
    </row>
    <row r="2482" spans="32:33" x14ac:dyDescent="0.4">
      <c r="AF2482" s="19">
        <v>20130121</v>
      </c>
      <c r="AG2482" s="17">
        <v>2165.683992677893</v>
      </c>
    </row>
    <row r="2483" spans="32:33" x14ac:dyDescent="0.4">
      <c r="AF2483" s="19">
        <v>20130122</v>
      </c>
      <c r="AG2483" s="17">
        <v>2182.9907933820418</v>
      </c>
    </row>
    <row r="2484" spans="32:33" x14ac:dyDescent="0.4">
      <c r="AF2484" s="19">
        <v>20130123</v>
      </c>
      <c r="AG2484" s="17">
        <v>2170.5133800113122</v>
      </c>
    </row>
    <row r="2485" spans="32:33" x14ac:dyDescent="0.4">
      <c r="AF2485" s="19">
        <v>20130124</v>
      </c>
      <c r="AG2485" s="17">
        <v>2162.7576352974202</v>
      </c>
    </row>
    <row r="2486" spans="32:33" x14ac:dyDescent="0.4">
      <c r="AF2486" s="19">
        <v>20130125</v>
      </c>
      <c r="AG2486" s="18">
        <v>2155.4507184026179</v>
      </c>
    </row>
    <row r="2487" spans="32:33" x14ac:dyDescent="0.4">
      <c r="AF2487" s="19">
        <v>20130126</v>
      </c>
      <c r="AG2487" s="17">
        <v>2155.3429997260369</v>
      </c>
    </row>
    <row r="2488" spans="32:33" x14ac:dyDescent="0.4">
      <c r="AF2488" s="19">
        <v>20130127</v>
      </c>
      <c r="AG2488" s="17">
        <v>2155.2352810494549</v>
      </c>
    </row>
    <row r="2489" spans="32:33" x14ac:dyDescent="0.4">
      <c r="AF2489" s="19">
        <v>20130128</v>
      </c>
      <c r="AG2489" s="17">
        <v>2136.4563250986871</v>
      </c>
    </row>
    <row r="2490" spans="32:33" x14ac:dyDescent="0.4">
      <c r="AF2490" s="19">
        <v>20130129</v>
      </c>
      <c r="AG2490" s="17">
        <v>2142.5783365510888</v>
      </c>
    </row>
    <row r="2491" spans="32:33" x14ac:dyDescent="0.4">
      <c r="AF2491" s="19">
        <v>20130130</v>
      </c>
      <c r="AG2491" s="18">
        <v>2151.931908300945</v>
      </c>
    </row>
    <row r="2492" spans="32:33" x14ac:dyDescent="0.4">
      <c r="AF2492" s="19">
        <v>20130131</v>
      </c>
      <c r="AG2492" s="17">
        <v>2156.6894831833101</v>
      </c>
    </row>
    <row r="2493" spans="32:33" x14ac:dyDescent="0.4">
      <c r="AF2493" s="19">
        <v>20130201</v>
      </c>
      <c r="AG2493" s="17">
        <v>2152.3627830072719</v>
      </c>
    </row>
    <row r="2494" spans="32:33" x14ac:dyDescent="0.4">
      <c r="AF2494" s="19">
        <v>20130202</v>
      </c>
      <c r="AG2494" s="17">
        <v>2152.2371112179271</v>
      </c>
    </row>
    <row r="2495" spans="32:33" x14ac:dyDescent="0.4">
      <c r="AF2495" s="19">
        <v>20130203</v>
      </c>
      <c r="AG2495" s="17">
        <v>2152.1293925413452</v>
      </c>
    </row>
    <row r="2496" spans="32:33" x14ac:dyDescent="0.4">
      <c r="AF2496" s="19">
        <v>20130204</v>
      </c>
      <c r="AG2496" s="18">
        <v>2153.8887975921821</v>
      </c>
    </row>
    <row r="2497" spans="32:33" x14ac:dyDescent="0.4">
      <c r="AF2497" s="19">
        <v>20130205</v>
      </c>
      <c r="AG2497" s="17">
        <v>2142.8296801297788</v>
      </c>
    </row>
    <row r="2498" spans="32:33" x14ac:dyDescent="0.4">
      <c r="AF2498" s="19">
        <v>20130206</v>
      </c>
      <c r="AG2498" s="17">
        <v>2143.5657577530892</v>
      </c>
    </row>
    <row r="2499" spans="32:33" x14ac:dyDescent="0.4">
      <c r="AF2499" s="19">
        <v>20130207</v>
      </c>
      <c r="AG2499" s="17">
        <v>2141.4293373342161</v>
      </c>
    </row>
    <row r="2500" spans="32:33" x14ac:dyDescent="0.4">
      <c r="AF2500" s="19">
        <v>20130208</v>
      </c>
      <c r="AG2500" s="17">
        <v>2150.9624402117079</v>
      </c>
    </row>
    <row r="2501" spans="32:33" x14ac:dyDescent="0.4">
      <c r="AF2501" s="19">
        <v>20130209</v>
      </c>
      <c r="AG2501" s="18">
        <v>2150.8547215351268</v>
      </c>
    </row>
    <row r="2502" spans="32:33" x14ac:dyDescent="0.4">
      <c r="AF2502" s="19">
        <v>20130210</v>
      </c>
      <c r="AG2502" s="17">
        <v>2150.7470028585449</v>
      </c>
    </row>
    <row r="2503" spans="32:33" x14ac:dyDescent="0.4">
      <c r="AF2503" s="19">
        <v>20130211</v>
      </c>
      <c r="AG2503" s="17">
        <v>2150.6213310691992</v>
      </c>
    </row>
    <row r="2504" spans="32:33" x14ac:dyDescent="0.4">
      <c r="AF2504" s="19">
        <v>20130212</v>
      </c>
      <c r="AG2504" s="17">
        <v>2148.4849106503261</v>
      </c>
    </row>
    <row r="2505" spans="32:33" x14ac:dyDescent="0.4">
      <c r="AF2505" s="19">
        <v>20130213</v>
      </c>
      <c r="AG2505" s="17">
        <v>2159.3824500978558</v>
      </c>
    </row>
    <row r="2506" spans="32:33" x14ac:dyDescent="0.4">
      <c r="AF2506" s="19">
        <v>20130214</v>
      </c>
      <c r="AG2506" s="18">
        <v>2155.6122964174911</v>
      </c>
    </row>
    <row r="2507" spans="32:33" x14ac:dyDescent="0.4">
      <c r="AF2507" s="19">
        <v>20130215</v>
      </c>
      <c r="AG2507" s="17">
        <v>2161.4829642912009</v>
      </c>
    </row>
    <row r="2508" spans="32:33" x14ac:dyDescent="0.4">
      <c r="AF2508" s="19">
        <v>20130216</v>
      </c>
      <c r="AG2508" s="17">
        <v>2161.3572925018561</v>
      </c>
    </row>
    <row r="2509" spans="32:33" x14ac:dyDescent="0.4">
      <c r="AF2509" s="19">
        <v>20130217</v>
      </c>
      <c r="AG2509" s="17">
        <v>2161.2495738252742</v>
      </c>
    </row>
    <row r="2510" spans="32:33" x14ac:dyDescent="0.4">
      <c r="AF2510" s="19">
        <v>20130218</v>
      </c>
      <c r="AG2510" s="17">
        <v>2159.6696999020742</v>
      </c>
    </row>
    <row r="2511" spans="32:33" x14ac:dyDescent="0.4">
      <c r="AF2511" s="19">
        <v>20130219</v>
      </c>
      <c r="AG2511" s="18">
        <v>2165.1813055205112</v>
      </c>
    </row>
    <row r="2512" spans="32:33" x14ac:dyDescent="0.4">
      <c r="AF2512" s="19">
        <v>20130220</v>
      </c>
      <c r="AG2512" s="17">
        <v>2196.5633466313539</v>
      </c>
    </row>
    <row r="2513" spans="32:33" x14ac:dyDescent="0.4">
      <c r="AF2513" s="19">
        <v>20130221</v>
      </c>
      <c r="AG2513" s="17">
        <v>2187.8919931665159</v>
      </c>
    </row>
    <row r="2514" spans="32:33" x14ac:dyDescent="0.4">
      <c r="AF2514" s="19">
        <v>20130222</v>
      </c>
      <c r="AG2514" s="17">
        <v>2191.9314435383349</v>
      </c>
    </row>
    <row r="2515" spans="32:33" x14ac:dyDescent="0.4">
      <c r="AF2515" s="19">
        <v>20130223</v>
      </c>
      <c r="AG2515" s="17">
        <v>2191.8057717489892</v>
      </c>
    </row>
    <row r="2516" spans="32:33" x14ac:dyDescent="0.4">
      <c r="AF2516" s="19">
        <v>20130224</v>
      </c>
      <c r="AG2516" s="18">
        <v>2191.6980530724081</v>
      </c>
    </row>
    <row r="2517" spans="32:33" x14ac:dyDescent="0.4">
      <c r="AF2517" s="19">
        <v>20130225</v>
      </c>
      <c r="AG2517" s="17">
        <v>2189.9745542470978</v>
      </c>
    </row>
    <row r="2518" spans="32:33" x14ac:dyDescent="0.4">
      <c r="AF2518" s="19">
        <v>20130226</v>
      </c>
      <c r="AG2518" s="17">
        <v>2193.9780983933902</v>
      </c>
    </row>
    <row r="2519" spans="32:33" x14ac:dyDescent="0.4">
      <c r="AF2519" s="19">
        <v>20130227</v>
      </c>
      <c r="AG2519" s="17">
        <v>2206.868433357683</v>
      </c>
    </row>
    <row r="2520" spans="32:33" x14ac:dyDescent="0.4">
      <c r="AF2520" s="19">
        <v>20130228</v>
      </c>
      <c r="AG2520" s="17">
        <v>2230.7819795588521</v>
      </c>
    </row>
    <row r="2521" spans="32:33" x14ac:dyDescent="0.4">
      <c r="AF2521" s="19">
        <v>20130301</v>
      </c>
      <c r="AG2521" s="18">
        <v>2230.6563077695059</v>
      </c>
    </row>
    <row r="2522" spans="32:33" x14ac:dyDescent="0.4">
      <c r="AF2522" s="19">
        <v>20130302</v>
      </c>
      <c r="AG2522" s="17">
        <v>2230.5485890929249</v>
      </c>
    </row>
    <row r="2523" spans="32:33" x14ac:dyDescent="0.4">
      <c r="AF2523" s="19">
        <v>20130303</v>
      </c>
      <c r="AG2523" s="17">
        <v>2230.4229173035792</v>
      </c>
    </row>
    <row r="2524" spans="32:33" x14ac:dyDescent="0.4">
      <c r="AF2524" s="19">
        <v>20130304</v>
      </c>
      <c r="AG2524" s="17">
        <v>2221.841329402559</v>
      </c>
    </row>
    <row r="2525" spans="32:33" x14ac:dyDescent="0.4">
      <c r="AF2525" s="19">
        <v>20130305</v>
      </c>
      <c r="AG2525" s="17">
        <v>2228.6276060272148</v>
      </c>
    </row>
    <row r="2526" spans="32:33" x14ac:dyDescent="0.4">
      <c r="AF2526" s="19">
        <v>20130306</v>
      </c>
      <c r="AG2526" s="18">
        <v>2235.6831793433262</v>
      </c>
    </row>
    <row r="2527" spans="32:33" x14ac:dyDescent="0.4">
      <c r="AF2527" s="19">
        <v>20130307</v>
      </c>
      <c r="AG2527" s="17">
        <v>2226.3296075934691</v>
      </c>
    </row>
    <row r="2528" spans="32:33" x14ac:dyDescent="0.4">
      <c r="AF2528" s="19">
        <v>20130308</v>
      </c>
      <c r="AG2528" s="17">
        <v>2238.6633960620902</v>
      </c>
    </row>
    <row r="2529" spans="32:33" x14ac:dyDescent="0.4">
      <c r="AF2529" s="19">
        <v>20130309</v>
      </c>
      <c r="AG2529" s="17">
        <v>2238.5556773855078</v>
      </c>
    </row>
    <row r="2530" spans="32:33" x14ac:dyDescent="0.4">
      <c r="AF2530" s="19">
        <v>20130310</v>
      </c>
      <c r="AG2530" s="17">
        <v>2238.4300055961621</v>
      </c>
    </row>
    <row r="2531" spans="32:33" x14ac:dyDescent="0.4">
      <c r="AF2531" s="19">
        <v>20130311</v>
      </c>
      <c r="AG2531" s="18">
        <v>2241.9667688106001</v>
      </c>
    </row>
    <row r="2532" spans="32:33" x14ac:dyDescent="0.4">
      <c r="AF2532" s="19">
        <v>20130312</v>
      </c>
      <c r="AG2532" s="17">
        <v>2240.3509886618722</v>
      </c>
    </row>
    <row r="2533" spans="32:33" x14ac:dyDescent="0.4">
      <c r="AF2533" s="19">
        <v>20130313</v>
      </c>
      <c r="AG2533" s="17">
        <v>2256.6524150512569</v>
      </c>
    </row>
    <row r="2534" spans="32:33" x14ac:dyDescent="0.4">
      <c r="AF2534" s="19">
        <v>20130314</v>
      </c>
      <c r="AG2534" s="17">
        <v>2270.2249683005689</v>
      </c>
    </row>
    <row r="2535" spans="32:33" x14ac:dyDescent="0.4">
      <c r="AF2535" s="19">
        <v>20130315</v>
      </c>
      <c r="AG2535" s="17">
        <v>2269.4170782262049</v>
      </c>
    </row>
    <row r="2536" spans="32:33" x14ac:dyDescent="0.4">
      <c r="AF2536" s="19">
        <v>20130316</v>
      </c>
      <c r="AG2536" s="18">
        <v>2269.2914064368601</v>
      </c>
    </row>
    <row r="2537" spans="32:33" x14ac:dyDescent="0.4">
      <c r="AF2537" s="19">
        <v>20130317</v>
      </c>
      <c r="AG2537" s="17">
        <v>2269.165734647514</v>
      </c>
    </row>
    <row r="2538" spans="32:33" x14ac:dyDescent="0.4">
      <c r="AF2538" s="19">
        <v>20130318</v>
      </c>
      <c r="AG2538" s="17">
        <v>2256.293352795984</v>
      </c>
    </row>
    <row r="2539" spans="32:33" x14ac:dyDescent="0.4">
      <c r="AF2539" s="19">
        <v>20130319</v>
      </c>
      <c r="AG2539" s="17">
        <v>2275.5211365658429</v>
      </c>
    </row>
    <row r="2540" spans="32:33" x14ac:dyDescent="0.4">
      <c r="AF2540" s="19">
        <v>20130320</v>
      </c>
      <c r="AG2540" s="17">
        <v>2262.3435517973312</v>
      </c>
    </row>
    <row r="2541" spans="32:33" x14ac:dyDescent="0.4">
      <c r="AF2541" s="19">
        <v>20130321</v>
      </c>
      <c r="AG2541" s="18">
        <v>2252.9540738219471</v>
      </c>
    </row>
    <row r="2542" spans="32:33" x14ac:dyDescent="0.4">
      <c r="AF2542" s="19">
        <v>20130322</v>
      </c>
      <c r="AG2542" s="17">
        <v>2254.2646510536929</v>
      </c>
    </row>
    <row r="2543" spans="32:33" x14ac:dyDescent="0.4">
      <c r="AF2543" s="19">
        <v>20130323</v>
      </c>
      <c r="AG2543" s="17">
        <v>2254.1389792643472</v>
      </c>
    </row>
    <row r="2544" spans="32:33" x14ac:dyDescent="0.4">
      <c r="AF2544" s="19">
        <v>20130324</v>
      </c>
      <c r="AG2544" s="17">
        <v>2254.013307475002</v>
      </c>
    </row>
    <row r="2545" spans="32:33" x14ac:dyDescent="0.4">
      <c r="AF2545" s="19">
        <v>20130325</v>
      </c>
      <c r="AG2545" s="17">
        <v>2280.1350865460981</v>
      </c>
    </row>
    <row r="2546" spans="32:33" x14ac:dyDescent="0.4">
      <c r="AF2546" s="19">
        <v>20130326</v>
      </c>
      <c r="AG2546" s="18">
        <v>2292.145718984973</v>
      </c>
    </row>
    <row r="2547" spans="32:33" x14ac:dyDescent="0.4">
      <c r="AF2547" s="19">
        <v>20130327</v>
      </c>
      <c r="AG2547" s="17">
        <v>2293.0792808486831</v>
      </c>
    </row>
    <row r="2548" spans="32:33" x14ac:dyDescent="0.4">
      <c r="AF2548" s="19">
        <v>20130328</v>
      </c>
      <c r="AG2548" s="17">
        <v>2300.8709317881021</v>
      </c>
    </row>
    <row r="2549" spans="32:33" x14ac:dyDescent="0.4">
      <c r="AF2549" s="19">
        <v>20130329</v>
      </c>
      <c r="AG2549" s="17">
        <v>2317.2980299668329</v>
      </c>
    </row>
    <row r="2550" spans="32:33" x14ac:dyDescent="0.4">
      <c r="AF2550" s="19">
        <v>20130330</v>
      </c>
      <c r="AG2550" s="17">
        <v>2317.1723581774881</v>
      </c>
    </row>
    <row r="2551" spans="32:33" x14ac:dyDescent="0.4">
      <c r="AF2551" s="19">
        <v>20130331</v>
      </c>
      <c r="AG2551" s="18">
        <v>2317.046686388142</v>
      </c>
    </row>
    <row r="2552" spans="32:33" x14ac:dyDescent="0.4">
      <c r="AF2552" s="19">
        <v>20130401</v>
      </c>
      <c r="AG2552" s="17">
        <v>2309.2550354487221</v>
      </c>
    </row>
    <row r="2553" spans="32:33" x14ac:dyDescent="0.4">
      <c r="AF2553" s="19">
        <v>20130402</v>
      </c>
      <c r="AG2553" s="17">
        <v>2310.7451438081039</v>
      </c>
    </row>
    <row r="2554" spans="32:33" x14ac:dyDescent="0.4">
      <c r="AF2554" s="19">
        <v>20130403</v>
      </c>
      <c r="AG2554" s="17">
        <v>2310.6015189059949</v>
      </c>
    </row>
    <row r="2555" spans="32:33" x14ac:dyDescent="0.4">
      <c r="AF2555" s="19">
        <v>20130404</v>
      </c>
      <c r="AG2555" s="17">
        <v>2299.0397142862112</v>
      </c>
    </row>
    <row r="2556" spans="32:33" x14ac:dyDescent="0.4">
      <c r="AF2556" s="19">
        <v>20130405</v>
      </c>
      <c r="AG2556" s="18">
        <v>2284.7669896391171</v>
      </c>
    </row>
    <row r="2557" spans="32:33" x14ac:dyDescent="0.4">
      <c r="AF2557" s="19">
        <v>20130406</v>
      </c>
      <c r="AG2557" s="17">
        <v>2284.6413178497719</v>
      </c>
    </row>
    <row r="2558" spans="32:33" x14ac:dyDescent="0.4">
      <c r="AF2558" s="19">
        <v>20130407</v>
      </c>
      <c r="AG2558" s="17">
        <v>2284.5156460604262</v>
      </c>
    </row>
    <row r="2559" spans="32:33" x14ac:dyDescent="0.4">
      <c r="AF2559" s="19">
        <v>20130408</v>
      </c>
      <c r="AG2559" s="17">
        <v>2267.8910636412961</v>
      </c>
    </row>
    <row r="2560" spans="32:33" x14ac:dyDescent="0.4">
      <c r="AF2560" s="19">
        <v>20130409</v>
      </c>
      <c r="AG2560" s="17">
        <v>2264.8031282459501</v>
      </c>
    </row>
    <row r="2561" spans="32:33" x14ac:dyDescent="0.4">
      <c r="AF2561" s="19">
        <v>20130410</v>
      </c>
      <c r="AG2561" s="18">
        <v>2269.7581873687141</v>
      </c>
    </row>
    <row r="2562" spans="32:33" x14ac:dyDescent="0.4">
      <c r="AF2562" s="19">
        <v>20130411</v>
      </c>
      <c r="AG2562" s="17">
        <v>2292.5047812402458</v>
      </c>
    </row>
    <row r="2563" spans="32:33" x14ac:dyDescent="0.4">
      <c r="AF2563" s="19">
        <v>20130412</v>
      </c>
      <c r="AG2563" s="17">
        <v>2291.0505791063911</v>
      </c>
    </row>
    <row r="2564" spans="32:33" x14ac:dyDescent="0.4">
      <c r="AF2564" s="19">
        <v>20130413</v>
      </c>
      <c r="AG2564" s="17">
        <v>2290.9249073170458</v>
      </c>
    </row>
    <row r="2565" spans="32:33" x14ac:dyDescent="0.4">
      <c r="AF2565" s="19">
        <v>20130414</v>
      </c>
      <c r="AG2565" s="17">
        <v>2290.8171886404639</v>
      </c>
    </row>
    <row r="2566" spans="32:33" x14ac:dyDescent="0.4">
      <c r="AF2566" s="19">
        <v>20130415</v>
      </c>
      <c r="AG2566" s="18">
        <v>2299.6321670074112</v>
      </c>
    </row>
    <row r="2567" spans="32:33" x14ac:dyDescent="0.4">
      <c r="AF2567" s="19">
        <v>20130416</v>
      </c>
      <c r="AG2567" s="17">
        <v>2312.6661268738139</v>
      </c>
    </row>
    <row r="2568" spans="32:33" x14ac:dyDescent="0.4">
      <c r="AF2568" s="19">
        <v>20130417</v>
      </c>
      <c r="AG2568" s="17">
        <v>2321.1938554365429</v>
      </c>
    </row>
    <row r="2569" spans="32:33" x14ac:dyDescent="0.4">
      <c r="AF2569" s="19">
        <v>20130418</v>
      </c>
      <c r="AG2569" s="17">
        <v>2304.9687103869992</v>
      </c>
    </row>
    <row r="2570" spans="32:33" x14ac:dyDescent="0.4">
      <c r="AF2570" s="19">
        <v>20130419</v>
      </c>
      <c r="AG2570" s="17">
        <v>2300.0477794134731</v>
      </c>
    </row>
    <row r="2571" spans="32:33" x14ac:dyDescent="0.4">
      <c r="AF2571" s="19">
        <v>20130420</v>
      </c>
      <c r="AG2571" s="18">
        <v>2299.9317197207019</v>
      </c>
    </row>
    <row r="2572" spans="32:33" x14ac:dyDescent="0.4">
      <c r="AF2572" s="19">
        <v>20130421</v>
      </c>
      <c r="AG2572" s="17">
        <v>2299.8156600279299</v>
      </c>
    </row>
    <row r="2573" spans="32:33" x14ac:dyDescent="0.4">
      <c r="AF2573" s="19">
        <v>20130422</v>
      </c>
      <c r="AG2573" s="17">
        <v>2322.0991210401198</v>
      </c>
    </row>
    <row r="2574" spans="32:33" x14ac:dyDescent="0.4">
      <c r="AF2574" s="19">
        <v>20130423</v>
      </c>
      <c r="AG2574" s="17">
        <v>2329.5037294389631</v>
      </c>
    </row>
    <row r="2575" spans="32:33" x14ac:dyDescent="0.4">
      <c r="AF2575" s="19">
        <v>20130424</v>
      </c>
      <c r="AG2575" s="17">
        <v>2341.1329106547</v>
      </c>
    </row>
    <row r="2576" spans="32:33" x14ac:dyDescent="0.4">
      <c r="AF2576" s="19">
        <v>20130425</v>
      </c>
      <c r="AG2576" s="18">
        <v>2353.551297781285</v>
      </c>
    </row>
    <row r="2577" spans="32:33" x14ac:dyDescent="0.4">
      <c r="AF2577" s="19">
        <v>20130426</v>
      </c>
      <c r="AG2577" s="17">
        <v>2350.789077093315</v>
      </c>
    </row>
    <row r="2578" spans="32:33" x14ac:dyDescent="0.4">
      <c r="AF2578" s="19">
        <v>20130427</v>
      </c>
      <c r="AG2578" s="17">
        <v>2350.6730174005438</v>
      </c>
    </row>
    <row r="2579" spans="32:33" x14ac:dyDescent="0.4">
      <c r="AF2579" s="19">
        <v>20130428</v>
      </c>
      <c r="AG2579" s="17">
        <v>2350.5337457692171</v>
      </c>
    </row>
    <row r="2580" spans="32:33" x14ac:dyDescent="0.4">
      <c r="AF2580" s="19">
        <v>20130429</v>
      </c>
      <c r="AG2580" s="17">
        <v>2351.5086471885011</v>
      </c>
    </row>
    <row r="2581" spans="32:33" x14ac:dyDescent="0.4">
      <c r="AF2581" s="19">
        <v>20130430</v>
      </c>
      <c r="AG2581" s="18">
        <v>2369.776442830786</v>
      </c>
    </row>
    <row r="2582" spans="32:33" x14ac:dyDescent="0.4">
      <c r="AF2582" s="19">
        <v>20130501</v>
      </c>
      <c r="AG2582" s="17">
        <v>2369.6603831380139</v>
      </c>
    </row>
    <row r="2583" spans="32:33" x14ac:dyDescent="0.4">
      <c r="AF2583" s="19">
        <v>20130502</v>
      </c>
      <c r="AG2583" s="17">
        <v>2366.5267714331749</v>
      </c>
    </row>
    <row r="2584" spans="32:33" x14ac:dyDescent="0.4">
      <c r="AF2584" s="19">
        <v>20130503</v>
      </c>
      <c r="AG2584" s="17">
        <v>2368.1051832548719</v>
      </c>
    </row>
    <row r="2585" spans="32:33" x14ac:dyDescent="0.4">
      <c r="AF2585" s="19">
        <v>20130504</v>
      </c>
      <c r="AG2585" s="17">
        <v>2368.012335500654</v>
      </c>
    </row>
    <row r="2586" spans="32:33" x14ac:dyDescent="0.4">
      <c r="AF2586" s="19">
        <v>20130505</v>
      </c>
      <c r="AG2586" s="18">
        <v>2367.8962758078819</v>
      </c>
    </row>
    <row r="2587" spans="32:33" x14ac:dyDescent="0.4">
      <c r="AF2587" s="19">
        <v>20130506</v>
      </c>
      <c r="AG2587" s="17">
        <v>2359.888157006626</v>
      </c>
    </row>
    <row r="2588" spans="32:33" x14ac:dyDescent="0.4">
      <c r="AF2588" s="19">
        <v>20130507</v>
      </c>
      <c r="AG2588" s="17">
        <v>2354.526199200568</v>
      </c>
    </row>
    <row r="2589" spans="32:33" x14ac:dyDescent="0.4">
      <c r="AF2589" s="19">
        <v>20130508</v>
      </c>
      <c r="AG2589" s="17">
        <v>2369.3586279368069</v>
      </c>
    </row>
    <row r="2590" spans="32:33" x14ac:dyDescent="0.4">
      <c r="AF2590" s="19">
        <v>20130509</v>
      </c>
      <c r="AG2590" s="17">
        <v>2384.05178504172</v>
      </c>
    </row>
    <row r="2591" spans="32:33" x14ac:dyDescent="0.4">
      <c r="AF2591" s="19">
        <v>20130510</v>
      </c>
      <c r="AG2591" s="18">
        <v>2364.2520014548468</v>
      </c>
    </row>
    <row r="2592" spans="32:33" x14ac:dyDescent="0.4">
      <c r="AF2592" s="19">
        <v>20130511</v>
      </c>
      <c r="AG2592" s="17">
        <v>2364.1591537006302</v>
      </c>
    </row>
    <row r="2593" spans="32:33" x14ac:dyDescent="0.4">
      <c r="AF2593" s="19">
        <v>20130512</v>
      </c>
      <c r="AG2593" s="17">
        <v>2364.0663059464118</v>
      </c>
    </row>
    <row r="2594" spans="32:33" x14ac:dyDescent="0.4">
      <c r="AF2594" s="19">
        <v>20130513</v>
      </c>
      <c r="AG2594" s="17">
        <v>2368.708693657285</v>
      </c>
    </row>
    <row r="2595" spans="32:33" x14ac:dyDescent="0.4">
      <c r="AF2595" s="19">
        <v>20130514</v>
      </c>
      <c r="AG2595" s="17">
        <v>2375.9276065476929</v>
      </c>
    </row>
    <row r="2596" spans="32:33" x14ac:dyDescent="0.4">
      <c r="AF2596" s="19">
        <v>20130515</v>
      </c>
      <c r="AG2596" s="18">
        <v>2382.6358567899042</v>
      </c>
    </row>
    <row r="2597" spans="32:33" x14ac:dyDescent="0.4">
      <c r="AF2597" s="19">
        <v>20130516</v>
      </c>
      <c r="AG2597" s="17">
        <v>2395.7273901345661</v>
      </c>
    </row>
    <row r="2598" spans="32:33" x14ac:dyDescent="0.4">
      <c r="AF2598" s="19">
        <v>20130517</v>
      </c>
      <c r="AG2598" s="17">
        <v>2395.6113304417941</v>
      </c>
    </row>
    <row r="2599" spans="32:33" x14ac:dyDescent="0.4">
      <c r="AF2599" s="19">
        <v>20130518</v>
      </c>
      <c r="AG2599" s="17">
        <v>2395.518482687577</v>
      </c>
    </row>
    <row r="2600" spans="32:33" x14ac:dyDescent="0.4">
      <c r="AF2600" s="19">
        <v>20130519</v>
      </c>
      <c r="AG2600" s="17">
        <v>2395.402422994805</v>
      </c>
    </row>
    <row r="2601" spans="32:33" x14ac:dyDescent="0.4">
      <c r="AF2601" s="19">
        <v>20130520</v>
      </c>
      <c r="AG2601" s="18">
        <v>2392.4312948598458</v>
      </c>
    </row>
    <row r="2602" spans="32:33" x14ac:dyDescent="0.4">
      <c r="AF2602" s="19">
        <v>20130521</v>
      </c>
      <c r="AG2602" s="17">
        <v>2402.9695149635281</v>
      </c>
    </row>
    <row r="2603" spans="32:33" x14ac:dyDescent="0.4">
      <c r="AF2603" s="19">
        <v>20130522</v>
      </c>
      <c r="AG2603" s="17">
        <v>2411.0240576418928</v>
      </c>
    </row>
    <row r="2604" spans="32:33" x14ac:dyDescent="0.4">
      <c r="AF2604" s="19">
        <v>20130523</v>
      </c>
      <c r="AG2604" s="17">
        <v>2398.0021601128942</v>
      </c>
    </row>
    <row r="2605" spans="32:33" x14ac:dyDescent="0.4">
      <c r="AF2605" s="19">
        <v>20130524</v>
      </c>
      <c r="AG2605" s="17">
        <v>2407.240511657531</v>
      </c>
    </row>
    <row r="2606" spans="32:33" x14ac:dyDescent="0.4">
      <c r="AF2606" s="19">
        <v>20130525</v>
      </c>
      <c r="AG2606" s="18">
        <v>2407.1244519647589</v>
      </c>
    </row>
    <row r="2607" spans="32:33" x14ac:dyDescent="0.4">
      <c r="AF2607" s="19">
        <v>20130526</v>
      </c>
      <c r="AG2607" s="17">
        <v>2407.0316042105419</v>
      </c>
    </row>
    <row r="2608" spans="32:33" x14ac:dyDescent="0.4">
      <c r="AF2608" s="19">
        <v>20130527</v>
      </c>
      <c r="AG2608" s="17">
        <v>2410.3973353009251</v>
      </c>
    </row>
    <row r="2609" spans="32:33" x14ac:dyDescent="0.4">
      <c r="AF2609" s="19">
        <v>20130528</v>
      </c>
      <c r="AG2609" s="17">
        <v>2420.3320450021929</v>
      </c>
    </row>
    <row r="2610" spans="32:33" x14ac:dyDescent="0.4">
      <c r="AF2610" s="19">
        <v>20130529</v>
      </c>
      <c r="AG2610" s="17">
        <v>2436.2322229119331</v>
      </c>
    </row>
    <row r="2611" spans="32:33" x14ac:dyDescent="0.4">
      <c r="AF2611" s="19">
        <v>20130530</v>
      </c>
      <c r="AG2611" s="18">
        <v>2433.0289753914308</v>
      </c>
    </row>
    <row r="2612" spans="32:33" x14ac:dyDescent="0.4">
      <c r="AF2612" s="19">
        <v>20130531</v>
      </c>
      <c r="AG2612" s="17">
        <v>2424.185226802218</v>
      </c>
    </row>
    <row r="2613" spans="32:33" x14ac:dyDescent="0.4">
      <c r="AF2613" s="19">
        <v>20130601</v>
      </c>
      <c r="AG2613" s="17">
        <v>2424.069167109446</v>
      </c>
    </row>
    <row r="2614" spans="32:33" x14ac:dyDescent="0.4">
      <c r="AF2614" s="19">
        <v>20130602</v>
      </c>
      <c r="AG2614" s="17">
        <v>2423.976319355228</v>
      </c>
    </row>
    <row r="2615" spans="32:33" x14ac:dyDescent="0.4">
      <c r="AF2615" s="19">
        <v>20130603</v>
      </c>
      <c r="AG2615" s="17">
        <v>2410.4437591780329</v>
      </c>
    </row>
    <row r="2616" spans="32:33" x14ac:dyDescent="0.4">
      <c r="AF2616" s="19">
        <v>20130604</v>
      </c>
      <c r="AG2616" s="18">
        <v>2407.2637235960851</v>
      </c>
    </row>
    <row r="2617" spans="32:33" x14ac:dyDescent="0.4">
      <c r="AF2617" s="19">
        <v>20130605</v>
      </c>
      <c r="AG2617" s="17">
        <v>2376.5079050115519</v>
      </c>
    </row>
    <row r="2618" spans="32:33" x14ac:dyDescent="0.4">
      <c r="AF2618" s="19">
        <v>20130606</v>
      </c>
      <c r="AG2618" s="17">
        <v>2376.3918453187798</v>
      </c>
    </row>
    <row r="2619" spans="32:33" x14ac:dyDescent="0.4">
      <c r="AF2619" s="19">
        <v>20130607</v>
      </c>
      <c r="AG2619" s="17">
        <v>2332.6373411438021</v>
      </c>
    </row>
    <row r="2620" spans="32:33" x14ac:dyDescent="0.4">
      <c r="AF2620" s="19">
        <v>20130608</v>
      </c>
      <c r="AG2620" s="17">
        <v>2332.5444933895842</v>
      </c>
    </row>
    <row r="2621" spans="32:33" x14ac:dyDescent="0.4">
      <c r="AF2621" s="19">
        <v>20130609</v>
      </c>
      <c r="AG2621" s="18">
        <v>2332.428433696813</v>
      </c>
    </row>
    <row r="2622" spans="32:33" x14ac:dyDescent="0.4">
      <c r="AF2622" s="19">
        <v>20130610</v>
      </c>
      <c r="AG2622" s="17">
        <v>2347.9340086511279</v>
      </c>
    </row>
    <row r="2623" spans="32:33" x14ac:dyDescent="0.4">
      <c r="AF2623" s="19">
        <v>20130611</v>
      </c>
      <c r="AG2623" s="17">
        <v>2340.2972808667419</v>
      </c>
    </row>
    <row r="2624" spans="32:33" x14ac:dyDescent="0.4">
      <c r="AF2624" s="19">
        <v>20130612</v>
      </c>
      <c r="AG2624" s="17">
        <v>2335.5620454016521</v>
      </c>
    </row>
    <row r="2625" spans="32:33" x14ac:dyDescent="0.4">
      <c r="AF2625" s="19">
        <v>20130613</v>
      </c>
      <c r="AG2625" s="17">
        <v>2312.6054381713848</v>
      </c>
    </row>
    <row r="2626" spans="32:33" x14ac:dyDescent="0.4">
      <c r="AF2626" s="19">
        <v>20130614</v>
      </c>
      <c r="AG2626" s="18">
        <v>2320.07968238589</v>
      </c>
    </row>
    <row r="2627" spans="32:33" x14ac:dyDescent="0.4">
      <c r="AF2627" s="19">
        <v>20130615</v>
      </c>
      <c r="AG2627" s="17">
        <v>2319.986834631673</v>
      </c>
    </row>
    <row r="2628" spans="32:33" x14ac:dyDescent="0.4">
      <c r="AF2628" s="19">
        <v>20130616</v>
      </c>
      <c r="AG2628" s="17">
        <v>2319.893986877456</v>
      </c>
    </row>
    <row r="2629" spans="32:33" x14ac:dyDescent="0.4">
      <c r="AF2629" s="19">
        <v>20130617</v>
      </c>
      <c r="AG2629" s="17">
        <v>2306.6399699629128</v>
      </c>
    </row>
    <row r="2630" spans="32:33" x14ac:dyDescent="0.4">
      <c r="AF2630" s="19">
        <v>20130618</v>
      </c>
      <c r="AG2630" s="17">
        <v>2326.8575684437651</v>
      </c>
    </row>
    <row r="2631" spans="32:33" x14ac:dyDescent="0.4">
      <c r="AF2631" s="19">
        <v>20130619</v>
      </c>
      <c r="AG2631" s="18">
        <v>2312.164411338852</v>
      </c>
    </row>
    <row r="2632" spans="32:33" x14ac:dyDescent="0.4">
      <c r="AF2632" s="19">
        <v>20130620</v>
      </c>
      <c r="AG2632" s="17">
        <v>2280.3176316422632</v>
      </c>
    </row>
    <row r="2633" spans="32:33" x14ac:dyDescent="0.4">
      <c r="AF2633" s="19">
        <v>20130621</v>
      </c>
      <c r="AG2633" s="17">
        <v>2256.9664214565719</v>
      </c>
    </row>
    <row r="2634" spans="32:33" x14ac:dyDescent="0.4">
      <c r="AF2634" s="19">
        <v>20130622</v>
      </c>
      <c r="AG2634" s="17">
        <v>2256.8735737023549</v>
      </c>
    </row>
    <row r="2635" spans="32:33" x14ac:dyDescent="0.4">
      <c r="AF2635" s="19">
        <v>20130623</v>
      </c>
      <c r="AG2635" s="17">
        <v>2256.7575140095828</v>
      </c>
    </row>
    <row r="2636" spans="32:33" x14ac:dyDescent="0.4">
      <c r="AF2636" s="19">
        <v>20130624</v>
      </c>
      <c r="AG2636" s="18">
        <v>2234.9615037070339</v>
      </c>
    </row>
    <row r="2637" spans="32:33" x14ac:dyDescent="0.4">
      <c r="AF2637" s="19">
        <v>20130625</v>
      </c>
      <c r="AG2637" s="17">
        <v>2193.412133694721</v>
      </c>
    </row>
    <row r="2638" spans="32:33" x14ac:dyDescent="0.4">
      <c r="AF2638" s="19">
        <v>20130626</v>
      </c>
      <c r="AG2638" s="17">
        <v>2191.5319666718169</v>
      </c>
    </row>
    <row r="2639" spans="32:33" x14ac:dyDescent="0.4">
      <c r="AF2639" s="19">
        <v>20130627</v>
      </c>
      <c r="AG2639" s="17">
        <v>2250.5135025384589</v>
      </c>
    </row>
    <row r="2640" spans="32:33" x14ac:dyDescent="0.4">
      <c r="AF2640" s="19">
        <v>20130628</v>
      </c>
      <c r="AG2640" s="17">
        <v>2277.7643184012832</v>
      </c>
    </row>
    <row r="2641" spans="32:33" x14ac:dyDescent="0.4">
      <c r="AF2641" s="19">
        <v>20130629</v>
      </c>
      <c r="AG2641" s="18">
        <v>2277.6714706470661</v>
      </c>
    </row>
    <row r="2642" spans="32:33" x14ac:dyDescent="0.4">
      <c r="AF2642" s="19">
        <v>20130630</v>
      </c>
      <c r="AG2642" s="17">
        <v>2277.5786228928482</v>
      </c>
    </row>
    <row r="2643" spans="32:33" x14ac:dyDescent="0.4">
      <c r="AF2643" s="19">
        <v>20130701</v>
      </c>
      <c r="AG2643" s="17">
        <v>2275.4895484229551</v>
      </c>
    </row>
    <row r="2644" spans="32:33" x14ac:dyDescent="0.4">
      <c r="AF2644" s="19">
        <v>20130702</v>
      </c>
      <c r="AG2644" s="17">
        <v>2276.5108737193468</v>
      </c>
    </row>
    <row r="2645" spans="32:33" x14ac:dyDescent="0.4">
      <c r="AF2645" s="19">
        <v>20130703</v>
      </c>
      <c r="AG2645" s="17">
        <v>2247.6816460348259</v>
      </c>
    </row>
    <row r="2646" spans="32:33" x14ac:dyDescent="0.4">
      <c r="AF2646" s="19">
        <v>20130704</v>
      </c>
      <c r="AG2646" s="18">
        <v>2265.1602357662632</v>
      </c>
    </row>
    <row r="2647" spans="32:33" x14ac:dyDescent="0.4">
      <c r="AF2647" s="19">
        <v>20130705</v>
      </c>
      <c r="AG2647" s="17">
        <v>2258.5680452168231</v>
      </c>
    </row>
    <row r="2648" spans="32:33" x14ac:dyDescent="0.4">
      <c r="AF2648" s="19">
        <v>20130706</v>
      </c>
      <c r="AG2648" s="17">
        <v>2258.451985524051</v>
      </c>
    </row>
    <row r="2649" spans="32:33" x14ac:dyDescent="0.4">
      <c r="AF2649" s="19">
        <v>20130707</v>
      </c>
      <c r="AG2649" s="17">
        <v>2258.359137769834</v>
      </c>
    </row>
    <row r="2650" spans="32:33" x14ac:dyDescent="0.4">
      <c r="AF2650" s="19">
        <v>20130708</v>
      </c>
      <c r="AG2650" s="17">
        <v>2231.5029248624342</v>
      </c>
    </row>
    <row r="2651" spans="32:33" x14ac:dyDescent="0.4">
      <c r="AF2651" s="19">
        <v>20130709</v>
      </c>
      <c r="AG2651" s="18">
        <v>2247.797705727598</v>
      </c>
    </row>
    <row r="2652" spans="32:33" x14ac:dyDescent="0.4">
      <c r="AF2652" s="19">
        <v>20130710</v>
      </c>
      <c r="AG2652" s="17">
        <v>2241.0198196697229</v>
      </c>
    </row>
    <row r="2653" spans="32:33" x14ac:dyDescent="0.4">
      <c r="AF2653" s="19">
        <v>20130711</v>
      </c>
      <c r="AG2653" s="17">
        <v>2290.4844607290752</v>
      </c>
    </row>
    <row r="2654" spans="32:33" x14ac:dyDescent="0.4">
      <c r="AF2654" s="19">
        <v>20130712</v>
      </c>
      <c r="AG2654" s="17">
        <v>2295.823206596579</v>
      </c>
    </row>
    <row r="2655" spans="32:33" x14ac:dyDescent="0.4">
      <c r="AF2655" s="19">
        <v>20130713</v>
      </c>
      <c r="AG2655" s="17">
        <v>2295.7071469038069</v>
      </c>
    </row>
    <row r="2656" spans="32:33" x14ac:dyDescent="0.4">
      <c r="AF2656" s="19">
        <v>20130714</v>
      </c>
      <c r="AG2656" s="18">
        <v>2295.6142991495899</v>
      </c>
    </row>
    <row r="2657" spans="32:33" x14ac:dyDescent="0.4">
      <c r="AF2657" s="19">
        <v>20130715</v>
      </c>
      <c r="AG2657" s="17">
        <v>2294.4769141604261</v>
      </c>
    </row>
    <row r="2658" spans="32:33" x14ac:dyDescent="0.4">
      <c r="AF2658" s="19">
        <v>20130716</v>
      </c>
      <c r="AG2658" s="17">
        <v>2286.422371482061</v>
      </c>
    </row>
    <row r="2659" spans="32:33" x14ac:dyDescent="0.4">
      <c r="AF2659" s="19">
        <v>20130717</v>
      </c>
      <c r="AG2659" s="17">
        <v>2300.3495346146801</v>
      </c>
    </row>
    <row r="2660" spans="32:33" x14ac:dyDescent="0.4">
      <c r="AF2660" s="19">
        <v>20130718</v>
      </c>
      <c r="AG2660" s="17">
        <v>2293.1306217242732</v>
      </c>
    </row>
    <row r="2661" spans="32:33" x14ac:dyDescent="0.4">
      <c r="AF2661" s="19">
        <v>20130719</v>
      </c>
      <c r="AG2661" s="18">
        <v>2294.0126753893392</v>
      </c>
    </row>
    <row r="2662" spans="32:33" x14ac:dyDescent="0.4">
      <c r="AF2662" s="19">
        <v>20130720</v>
      </c>
      <c r="AG2662" s="17">
        <v>2293.8966156965671</v>
      </c>
    </row>
    <row r="2663" spans="32:33" x14ac:dyDescent="0.4">
      <c r="AF2663" s="19">
        <v>20130721</v>
      </c>
      <c r="AG2663" s="17">
        <v>2293.8037679423492</v>
      </c>
    </row>
    <row r="2664" spans="32:33" x14ac:dyDescent="0.4">
      <c r="AF2664" s="19">
        <v>20130722</v>
      </c>
      <c r="AG2664" s="17">
        <v>2291.6682695953482</v>
      </c>
    </row>
    <row r="2665" spans="32:33" x14ac:dyDescent="0.4">
      <c r="AF2665" s="19">
        <v>20130723</v>
      </c>
      <c r="AG2665" s="17">
        <v>2312.5822262328311</v>
      </c>
    </row>
    <row r="2666" spans="32:33" x14ac:dyDescent="0.4">
      <c r="AF2666" s="19">
        <v>20130724</v>
      </c>
      <c r="AG2666" s="18">
        <v>2313.3017963280158</v>
      </c>
    </row>
    <row r="2667" spans="32:33" x14ac:dyDescent="0.4">
      <c r="AF2667" s="19">
        <v>20130725</v>
      </c>
      <c r="AG2667" s="17">
        <v>2314.4856051942888</v>
      </c>
    </row>
    <row r="2668" spans="32:33" x14ac:dyDescent="0.4">
      <c r="AF2668" s="19">
        <v>20130726</v>
      </c>
      <c r="AG2668" s="17">
        <v>2313.928518668984</v>
      </c>
    </row>
    <row r="2669" spans="32:33" x14ac:dyDescent="0.4">
      <c r="AF2669" s="19">
        <v>20130727</v>
      </c>
      <c r="AG2669" s="17">
        <v>2313.8124589762119</v>
      </c>
    </row>
    <row r="2670" spans="32:33" x14ac:dyDescent="0.4">
      <c r="AF2670" s="19">
        <v>20130728</v>
      </c>
      <c r="AG2670" s="17">
        <v>2313.719611221994</v>
      </c>
    </row>
    <row r="2671" spans="32:33" x14ac:dyDescent="0.4">
      <c r="AF2671" s="19">
        <v>20130729</v>
      </c>
      <c r="AG2671" s="18">
        <v>2296.3338692447751</v>
      </c>
    </row>
    <row r="2672" spans="32:33" x14ac:dyDescent="0.4">
      <c r="AF2672" s="19">
        <v>20130730</v>
      </c>
      <c r="AG2672" s="17">
        <v>2313.5107037750049</v>
      </c>
    </row>
    <row r="2673" spans="32:33" x14ac:dyDescent="0.4">
      <c r="AF2673" s="19">
        <v>20130731</v>
      </c>
      <c r="AG2673" s="17">
        <v>2314.7641484569408</v>
      </c>
    </row>
    <row r="2674" spans="32:33" x14ac:dyDescent="0.4">
      <c r="AF2674" s="19">
        <v>20130801</v>
      </c>
      <c r="AG2674" s="17">
        <v>2325.5344879461659</v>
      </c>
    </row>
    <row r="2675" spans="32:33" x14ac:dyDescent="0.4">
      <c r="AF2675" s="19">
        <v>20130802</v>
      </c>
      <c r="AG2675" s="17">
        <v>2335.7709528486412</v>
      </c>
    </row>
    <row r="2676" spans="32:33" x14ac:dyDescent="0.4">
      <c r="AF2676" s="19">
        <v>20130803</v>
      </c>
      <c r="AG2676" s="18">
        <v>2335.6548931558691</v>
      </c>
    </row>
    <row r="2677" spans="32:33" x14ac:dyDescent="0.4">
      <c r="AF2677" s="19">
        <v>20130804</v>
      </c>
      <c r="AG2677" s="17">
        <v>2335.5620454016521</v>
      </c>
    </row>
    <row r="2678" spans="32:33" x14ac:dyDescent="0.4">
      <c r="AF2678" s="19">
        <v>20130805</v>
      </c>
      <c r="AG2678" s="17">
        <v>2333.0319440992262</v>
      </c>
    </row>
    <row r="2679" spans="32:33" x14ac:dyDescent="0.4">
      <c r="AF2679" s="19">
        <v>20130806</v>
      </c>
      <c r="AG2679" s="17">
        <v>2325.8130312088192</v>
      </c>
    </row>
    <row r="2680" spans="32:33" x14ac:dyDescent="0.4">
      <c r="AF2680" s="19">
        <v>20130807</v>
      </c>
      <c r="AG2680" s="17">
        <v>2301.904734497823</v>
      </c>
    </row>
    <row r="2681" spans="32:33" x14ac:dyDescent="0.4">
      <c r="AF2681" s="19">
        <v>20130808</v>
      </c>
      <c r="AG2681" s="18">
        <v>2309.6110980978719</v>
      </c>
    </row>
    <row r="2682" spans="32:33" x14ac:dyDescent="0.4">
      <c r="AF2682" s="19">
        <v>20130809</v>
      </c>
      <c r="AG2682" s="17">
        <v>2319.0351451509441</v>
      </c>
    </row>
    <row r="2683" spans="32:33" x14ac:dyDescent="0.4">
      <c r="AF2683" s="19">
        <v>20130810</v>
      </c>
      <c r="AG2683" s="17">
        <v>2318.919085458172</v>
      </c>
    </row>
    <row r="2684" spans="32:33" x14ac:dyDescent="0.4">
      <c r="AF2684" s="19">
        <v>20130811</v>
      </c>
      <c r="AG2684" s="17">
        <v>2318.826237703955</v>
      </c>
    </row>
    <row r="2685" spans="32:33" x14ac:dyDescent="0.4">
      <c r="AF2685" s="19">
        <v>20130812</v>
      </c>
      <c r="AG2685" s="17">
        <v>2315.9015334461051</v>
      </c>
    </row>
    <row r="2686" spans="32:33" x14ac:dyDescent="0.4">
      <c r="AF2686" s="19">
        <v>20130813</v>
      </c>
      <c r="AG2686" s="18">
        <v>2338.0457228269688</v>
      </c>
    </row>
    <row r="2687" spans="32:33" x14ac:dyDescent="0.4">
      <c r="AF2687" s="19">
        <v>20130814</v>
      </c>
      <c r="AG2687" s="17">
        <v>2342.4559911522979</v>
      </c>
    </row>
    <row r="2688" spans="32:33" x14ac:dyDescent="0.4">
      <c r="AF2688" s="19">
        <v>20130815</v>
      </c>
      <c r="AG2688" s="17">
        <v>2342.3399314595272</v>
      </c>
    </row>
    <row r="2689" spans="32:33" x14ac:dyDescent="0.4">
      <c r="AF2689" s="19">
        <v>20130816</v>
      </c>
      <c r="AG2689" s="17">
        <v>2348.8160623161939</v>
      </c>
    </row>
    <row r="2690" spans="32:33" x14ac:dyDescent="0.4">
      <c r="AF2690" s="19">
        <v>20130817</v>
      </c>
      <c r="AG2690" s="17">
        <v>2348.7232145619769</v>
      </c>
    </row>
    <row r="2691" spans="32:33" x14ac:dyDescent="0.4">
      <c r="AF2691" s="19">
        <v>20130818</v>
      </c>
      <c r="AG2691" s="18">
        <v>2348.6071548692048</v>
      </c>
    </row>
    <row r="2692" spans="32:33" x14ac:dyDescent="0.4">
      <c r="AF2692" s="19">
        <v>20130819</v>
      </c>
      <c r="AG2692" s="17">
        <v>2344.7539730691801</v>
      </c>
    </row>
    <row r="2693" spans="32:33" x14ac:dyDescent="0.4">
      <c r="AF2693" s="19">
        <v>20130820</v>
      </c>
      <c r="AG2693" s="17">
        <v>2314.021366423201</v>
      </c>
    </row>
    <row r="2694" spans="32:33" x14ac:dyDescent="0.4">
      <c r="AF2694" s="19">
        <v>20130821</v>
      </c>
      <c r="AG2694" s="17">
        <v>2295.9392662893511</v>
      </c>
    </row>
    <row r="2695" spans="32:33" x14ac:dyDescent="0.4">
      <c r="AF2695" s="19">
        <v>20130822</v>
      </c>
      <c r="AG2695" s="17">
        <v>2282.4531299892651</v>
      </c>
    </row>
    <row r="2696" spans="32:33" x14ac:dyDescent="0.4">
      <c r="AF2696" s="19">
        <v>20130823</v>
      </c>
      <c r="AG2696" s="18">
        <v>2301.602979296616</v>
      </c>
    </row>
    <row r="2697" spans="32:33" x14ac:dyDescent="0.4">
      <c r="AF2697" s="19">
        <v>20130824</v>
      </c>
      <c r="AG2697" s="17">
        <v>2301.5101315423981</v>
      </c>
    </row>
    <row r="2698" spans="32:33" x14ac:dyDescent="0.4">
      <c r="AF2698" s="19">
        <v>20130825</v>
      </c>
      <c r="AG2698" s="17">
        <v>2301.4172837881811</v>
      </c>
    </row>
    <row r="2699" spans="32:33" x14ac:dyDescent="0.4">
      <c r="AF2699" s="19">
        <v>20130826</v>
      </c>
      <c r="AG2699" s="17">
        <v>2314.0677903003102</v>
      </c>
    </row>
    <row r="2700" spans="32:33" x14ac:dyDescent="0.4">
      <c r="AF2700" s="19">
        <v>20130827</v>
      </c>
      <c r="AG2700" s="17">
        <v>2310.0985488075139</v>
      </c>
    </row>
    <row r="2701" spans="32:33" x14ac:dyDescent="0.4">
      <c r="AF2701" s="19">
        <v>20130828</v>
      </c>
      <c r="AG2701" s="18">
        <v>2312.164411338852</v>
      </c>
    </row>
    <row r="2702" spans="32:33" x14ac:dyDescent="0.4">
      <c r="AF2702" s="19">
        <v>20130829</v>
      </c>
      <c r="AG2702" s="17">
        <v>2350.115930875239</v>
      </c>
    </row>
    <row r="2703" spans="32:33" x14ac:dyDescent="0.4">
      <c r="AF2703" s="19">
        <v>20130830</v>
      </c>
      <c r="AG2703" s="17">
        <v>2358.1008377379399</v>
      </c>
    </row>
    <row r="2704" spans="32:33" x14ac:dyDescent="0.4">
      <c r="AF2704" s="19">
        <v>20130831</v>
      </c>
      <c r="AG2704" s="17">
        <v>2357.9847780451692</v>
      </c>
    </row>
    <row r="2705" spans="32:33" x14ac:dyDescent="0.4">
      <c r="AF2705" s="19">
        <v>20130901</v>
      </c>
      <c r="AG2705" s="17">
        <v>2357.8919302909512</v>
      </c>
    </row>
    <row r="2706" spans="32:33" x14ac:dyDescent="0.4">
      <c r="AF2706" s="19">
        <v>20130902</v>
      </c>
      <c r="AG2706" s="18">
        <v>2352.1121575909142</v>
      </c>
    </row>
    <row r="2707" spans="32:33" x14ac:dyDescent="0.4">
      <c r="AF2707" s="19">
        <v>20130903</v>
      </c>
      <c r="AG2707" s="17">
        <v>2354.224443999361</v>
      </c>
    </row>
    <row r="2708" spans="32:33" x14ac:dyDescent="0.4">
      <c r="AF2708" s="19">
        <v>20130904</v>
      </c>
      <c r="AG2708" s="17">
        <v>2359.1453749728871</v>
      </c>
    </row>
    <row r="2709" spans="32:33" x14ac:dyDescent="0.4">
      <c r="AF2709" s="19">
        <v>20130905</v>
      </c>
      <c r="AG2709" s="17">
        <v>2379.455821207956</v>
      </c>
    </row>
    <row r="2710" spans="32:33" x14ac:dyDescent="0.4">
      <c r="AF2710" s="19">
        <v>20130906</v>
      </c>
      <c r="AG2710" s="17">
        <v>2381.7073792477299</v>
      </c>
    </row>
    <row r="2711" spans="32:33" x14ac:dyDescent="0.4">
      <c r="AF2711" s="19">
        <v>20130907</v>
      </c>
      <c r="AG2711" s="18">
        <v>2381.5913195549579</v>
      </c>
    </row>
    <row r="2712" spans="32:33" x14ac:dyDescent="0.4">
      <c r="AF2712" s="19">
        <v>20130908</v>
      </c>
      <c r="AG2712" s="17">
        <v>2381.4984718007399</v>
      </c>
    </row>
    <row r="2713" spans="32:33" x14ac:dyDescent="0.4">
      <c r="AF2713" s="19">
        <v>20130909</v>
      </c>
      <c r="AG2713" s="17">
        <v>2394.3114618827499</v>
      </c>
    </row>
    <row r="2714" spans="32:33" x14ac:dyDescent="0.4">
      <c r="AF2714" s="19">
        <v>20130910</v>
      </c>
      <c r="AG2714" s="17">
        <v>2410.9776337647841</v>
      </c>
    </row>
    <row r="2715" spans="32:33" x14ac:dyDescent="0.4">
      <c r="AF2715" s="19">
        <v>20130911</v>
      </c>
      <c r="AG2715" s="17">
        <v>2417.5698243142228</v>
      </c>
    </row>
    <row r="2716" spans="32:33" x14ac:dyDescent="0.4">
      <c r="AF2716" s="19">
        <v>20130912</v>
      </c>
      <c r="AG2716" s="18">
        <v>2419.2875077672461</v>
      </c>
    </row>
    <row r="2717" spans="32:33" x14ac:dyDescent="0.4">
      <c r="AF2717" s="19">
        <v>20130913</v>
      </c>
      <c r="AG2717" s="17">
        <v>2415.6896572913201</v>
      </c>
    </row>
    <row r="2718" spans="32:33" x14ac:dyDescent="0.4">
      <c r="AF2718" s="19">
        <v>20130914</v>
      </c>
      <c r="AG2718" s="17">
        <v>2415.5968095371022</v>
      </c>
    </row>
    <row r="2719" spans="32:33" x14ac:dyDescent="0.4">
      <c r="AF2719" s="19">
        <v>20130915</v>
      </c>
      <c r="AG2719" s="17">
        <v>2415.4807498443311</v>
      </c>
    </row>
    <row r="2720" spans="32:33" x14ac:dyDescent="0.4">
      <c r="AF2720" s="19">
        <v>20130916</v>
      </c>
      <c r="AG2720" s="17">
        <v>2425.7636386239142</v>
      </c>
    </row>
    <row r="2721" spans="32:33" x14ac:dyDescent="0.4">
      <c r="AF2721" s="19">
        <v>20130917</v>
      </c>
      <c r="AG2721" s="18">
        <v>2418.196546655191</v>
      </c>
    </row>
    <row r="2722" spans="32:33" x14ac:dyDescent="0.4">
      <c r="AF2722" s="19">
        <v>20130918</v>
      </c>
      <c r="AG2722" s="17">
        <v>2418.0804869624199</v>
      </c>
    </row>
    <row r="2723" spans="32:33" x14ac:dyDescent="0.4">
      <c r="AF2723" s="19">
        <v>20130919</v>
      </c>
      <c r="AG2723" s="17">
        <v>2417.9876392082019</v>
      </c>
    </row>
    <row r="2724" spans="32:33" x14ac:dyDescent="0.4">
      <c r="AF2724" s="19">
        <v>20130920</v>
      </c>
      <c r="AG2724" s="17">
        <v>2417.8715795154299</v>
      </c>
    </row>
    <row r="2725" spans="32:33" x14ac:dyDescent="0.4">
      <c r="AF2725" s="19">
        <v>20130921</v>
      </c>
      <c r="AG2725" s="17">
        <v>2417.7787317612128</v>
      </c>
    </row>
    <row r="2726" spans="32:33" x14ac:dyDescent="0.4">
      <c r="AF2726" s="19">
        <v>20130922</v>
      </c>
      <c r="AG2726" s="18">
        <v>2417.6626720684412</v>
      </c>
    </row>
    <row r="2727" spans="32:33" x14ac:dyDescent="0.4">
      <c r="AF2727" s="19">
        <v>20130923</v>
      </c>
      <c r="AG2727" s="17">
        <v>2412.8810127262418</v>
      </c>
    </row>
    <row r="2728" spans="32:33" x14ac:dyDescent="0.4">
      <c r="AF2728" s="19">
        <v>20130924</v>
      </c>
      <c r="AG2728" s="17">
        <v>2425.6011550540338</v>
      </c>
    </row>
    <row r="2729" spans="32:33" x14ac:dyDescent="0.4">
      <c r="AF2729" s="19">
        <v>20130925</v>
      </c>
      <c r="AG2729" s="17">
        <v>2421.5158538684659</v>
      </c>
    </row>
    <row r="2730" spans="32:33" x14ac:dyDescent="0.4">
      <c r="AF2730" s="19">
        <v>20130926</v>
      </c>
      <c r="AG2730" s="17">
        <v>2437.1374885155528</v>
      </c>
    </row>
    <row r="2731" spans="32:33" x14ac:dyDescent="0.4">
      <c r="AF2731" s="19">
        <v>20130927</v>
      </c>
      <c r="AG2731" s="18">
        <v>2438.8783839071311</v>
      </c>
    </row>
    <row r="2732" spans="32:33" x14ac:dyDescent="0.4">
      <c r="AF2732" s="19">
        <v>20130928</v>
      </c>
      <c r="AG2732" s="17">
        <v>2438.7855361529132</v>
      </c>
    </row>
    <row r="2733" spans="32:33" x14ac:dyDescent="0.4">
      <c r="AF2733" s="19">
        <v>20130929</v>
      </c>
      <c r="AG2733" s="17">
        <v>2438.6694764601411</v>
      </c>
    </row>
    <row r="2734" spans="32:33" x14ac:dyDescent="0.4">
      <c r="AF2734" s="19">
        <v>20130930</v>
      </c>
      <c r="AG2734" s="17">
        <v>2425.345823729936</v>
      </c>
    </row>
    <row r="2735" spans="32:33" x14ac:dyDescent="0.4">
      <c r="AF2735" s="19">
        <v>20131001</v>
      </c>
      <c r="AG2735" s="17">
        <v>2423.767411908239</v>
      </c>
    </row>
    <row r="2736" spans="32:33" x14ac:dyDescent="0.4">
      <c r="AF2736" s="19">
        <v>20131002</v>
      </c>
      <c r="AG2736" s="18">
        <v>2439.9925569577399</v>
      </c>
    </row>
    <row r="2737" spans="32:33" x14ac:dyDescent="0.4">
      <c r="AF2737" s="19">
        <v>20131003</v>
      </c>
      <c r="AG2737" s="17">
        <v>2439.8764972649678</v>
      </c>
    </row>
    <row r="2738" spans="32:33" x14ac:dyDescent="0.4">
      <c r="AF2738" s="19">
        <v>20131004</v>
      </c>
      <c r="AG2738" s="17">
        <v>2444.5420969143961</v>
      </c>
    </row>
    <row r="2739" spans="32:33" x14ac:dyDescent="0.4">
      <c r="AF2739" s="19">
        <v>20131005</v>
      </c>
      <c r="AG2739" s="17">
        <v>2444.426037221624</v>
      </c>
    </row>
    <row r="2740" spans="32:33" x14ac:dyDescent="0.4">
      <c r="AF2740" s="19">
        <v>20131006</v>
      </c>
      <c r="AG2740" s="17">
        <v>2444.309977528852</v>
      </c>
    </row>
    <row r="2741" spans="32:33" x14ac:dyDescent="0.4">
      <c r="AF2741" s="19">
        <v>20131007</v>
      </c>
      <c r="AG2741" s="18">
        <v>2444.611732730059</v>
      </c>
    </row>
    <row r="2742" spans="32:33" x14ac:dyDescent="0.4">
      <c r="AF2742" s="19">
        <v>20131008</v>
      </c>
      <c r="AG2742" s="17">
        <v>2440.5264315444902</v>
      </c>
    </row>
    <row r="2743" spans="32:33" x14ac:dyDescent="0.4">
      <c r="AF2743" s="19">
        <v>20131009</v>
      </c>
      <c r="AG2743" s="17">
        <v>2440.410371851719</v>
      </c>
    </row>
    <row r="2744" spans="32:33" x14ac:dyDescent="0.4">
      <c r="AF2744" s="19">
        <v>20131010</v>
      </c>
      <c r="AG2744" s="17">
        <v>2442.1280553047418</v>
      </c>
    </row>
    <row r="2745" spans="32:33" x14ac:dyDescent="0.4">
      <c r="AF2745" s="19">
        <v>20131011</v>
      </c>
      <c r="AG2745" s="17">
        <v>2461.1386329807669</v>
      </c>
    </row>
    <row r="2746" spans="32:33" x14ac:dyDescent="0.4">
      <c r="AF2746" s="19">
        <v>20131012</v>
      </c>
      <c r="AG2746" s="18">
        <v>2461.0225732879949</v>
      </c>
    </row>
    <row r="2747" spans="32:33" x14ac:dyDescent="0.4">
      <c r="AF2747" s="19">
        <v>20131013</v>
      </c>
      <c r="AG2747" s="17">
        <v>2460.9297255337769</v>
      </c>
    </row>
    <row r="2748" spans="32:33" x14ac:dyDescent="0.4">
      <c r="AF2748" s="19">
        <v>20131014</v>
      </c>
      <c r="AG2748" s="17">
        <v>2458.7710152482209</v>
      </c>
    </row>
    <row r="2749" spans="32:33" x14ac:dyDescent="0.4">
      <c r="AF2749" s="19">
        <v>20131015</v>
      </c>
      <c r="AG2749" s="17">
        <v>2475.228279683266</v>
      </c>
    </row>
    <row r="2750" spans="32:33" x14ac:dyDescent="0.4">
      <c r="AF2750" s="19">
        <v>20131016</v>
      </c>
      <c r="AG2750" s="17">
        <v>2475.7621542700172</v>
      </c>
    </row>
    <row r="2751" spans="32:33" x14ac:dyDescent="0.4">
      <c r="AF2751" s="19">
        <v>20131017</v>
      </c>
      <c r="AG2751" s="18">
        <v>2474.067682755548</v>
      </c>
    </row>
    <row r="2752" spans="32:33" x14ac:dyDescent="0.4">
      <c r="AF2752" s="19">
        <v>20131018</v>
      </c>
      <c r="AG2752" s="17">
        <v>2478.2226197567788</v>
      </c>
    </row>
    <row r="2753" spans="32:33" x14ac:dyDescent="0.4">
      <c r="AF2753" s="19">
        <v>20131019</v>
      </c>
      <c r="AG2753" s="17">
        <v>2478.1065600640072</v>
      </c>
    </row>
    <row r="2754" spans="32:33" x14ac:dyDescent="0.4">
      <c r="AF2754" s="19">
        <v>20131020</v>
      </c>
      <c r="AG2754" s="17">
        <v>2478.0137123097902</v>
      </c>
    </row>
    <row r="2755" spans="32:33" x14ac:dyDescent="0.4">
      <c r="AF2755" s="19">
        <v>20131021</v>
      </c>
      <c r="AG2755" s="17">
        <v>2482.4007686965651</v>
      </c>
    </row>
    <row r="2756" spans="32:33" x14ac:dyDescent="0.4">
      <c r="AF2756" s="19">
        <v>20131022</v>
      </c>
      <c r="AG2756" s="18">
        <v>2484.513055105012</v>
      </c>
    </row>
    <row r="2757" spans="32:33" x14ac:dyDescent="0.4">
      <c r="AF2757" s="19">
        <v>20131023</v>
      </c>
      <c r="AG2757" s="17">
        <v>2471.0733426820352</v>
      </c>
    </row>
    <row r="2758" spans="32:33" x14ac:dyDescent="0.4">
      <c r="AF2758" s="19">
        <v>20131024</v>
      </c>
      <c r="AG2758" s="17">
        <v>2480.891992690531</v>
      </c>
    </row>
    <row r="2759" spans="32:33" x14ac:dyDescent="0.4">
      <c r="AF2759" s="19">
        <v>20131025</v>
      </c>
      <c r="AG2759" s="17">
        <v>2481.7508344170428</v>
      </c>
    </row>
    <row r="2760" spans="32:33" x14ac:dyDescent="0.4">
      <c r="AF2760" s="19">
        <v>20131026</v>
      </c>
      <c r="AG2760" s="17">
        <v>2481.6579866628249</v>
      </c>
    </row>
    <row r="2761" spans="32:33" x14ac:dyDescent="0.4">
      <c r="AF2761" s="19">
        <v>20131027</v>
      </c>
      <c r="AG2761" s="18">
        <v>2481.5419269700528</v>
      </c>
    </row>
    <row r="2762" spans="32:33" x14ac:dyDescent="0.4">
      <c r="AF2762" s="19">
        <v>20131028</v>
      </c>
      <c r="AG2762" s="17">
        <v>2493.1711081857902</v>
      </c>
    </row>
    <row r="2763" spans="32:33" x14ac:dyDescent="0.4">
      <c r="AF2763" s="19">
        <v>20131029</v>
      </c>
      <c r="AG2763" s="17">
        <v>2491.1284575930058</v>
      </c>
    </row>
    <row r="2764" spans="32:33" x14ac:dyDescent="0.4">
      <c r="AF2764" s="19">
        <v>20131030</v>
      </c>
      <c r="AG2764" s="17">
        <v>2497.5581645725651</v>
      </c>
    </row>
    <row r="2765" spans="32:33" x14ac:dyDescent="0.4">
      <c r="AF2765" s="19">
        <v>20131031</v>
      </c>
      <c r="AG2765" s="17">
        <v>2476.0639094712228</v>
      </c>
    </row>
    <row r="2766" spans="32:33" x14ac:dyDescent="0.4">
      <c r="AF2766" s="19">
        <v>20131101</v>
      </c>
      <c r="AG2766" s="18">
        <v>2491.1980934086691</v>
      </c>
    </row>
    <row r="2767" spans="32:33" x14ac:dyDescent="0.4">
      <c r="AF2767" s="19">
        <v>20131102</v>
      </c>
      <c r="AG2767" s="17">
        <v>2491.0820337158971</v>
      </c>
    </row>
    <row r="2768" spans="32:33" x14ac:dyDescent="0.4">
      <c r="AF2768" s="19">
        <v>20131103</v>
      </c>
      <c r="AG2768" s="17">
        <v>2490.9659740231259</v>
      </c>
    </row>
    <row r="2769" spans="32:33" x14ac:dyDescent="0.4">
      <c r="AF2769" s="19">
        <v>20131104</v>
      </c>
      <c r="AG2769" s="17">
        <v>2480.6366613664331</v>
      </c>
    </row>
    <row r="2770" spans="32:33" x14ac:dyDescent="0.4">
      <c r="AF2770" s="19">
        <v>20131105</v>
      </c>
      <c r="AG2770" s="17">
        <v>2472.396423179634</v>
      </c>
    </row>
    <row r="2771" spans="32:33" x14ac:dyDescent="0.4">
      <c r="AF2771" s="19">
        <v>20131106</v>
      </c>
      <c r="AG2771" s="18">
        <v>2460.2101554385922</v>
      </c>
    </row>
    <row r="2772" spans="32:33" x14ac:dyDescent="0.4">
      <c r="AF2772" s="19">
        <v>20131107</v>
      </c>
      <c r="AG2772" s="17">
        <v>2456.4962452698942</v>
      </c>
    </row>
    <row r="2773" spans="32:33" x14ac:dyDescent="0.4">
      <c r="AF2773" s="19">
        <v>20131108</v>
      </c>
      <c r="AG2773" s="17">
        <v>2436.394706481813</v>
      </c>
    </row>
    <row r="2774" spans="32:33" x14ac:dyDescent="0.4">
      <c r="AF2774" s="19">
        <v>20131109</v>
      </c>
      <c r="AG2774" s="17">
        <v>2436.2786467890419</v>
      </c>
    </row>
    <row r="2775" spans="32:33" x14ac:dyDescent="0.4">
      <c r="AF2775" s="19">
        <v>20131110</v>
      </c>
      <c r="AG2775" s="17">
        <v>2436.1625870962698</v>
      </c>
    </row>
    <row r="2776" spans="32:33" x14ac:dyDescent="0.4">
      <c r="AF2776" s="19">
        <v>20131111</v>
      </c>
      <c r="AG2776" s="18">
        <v>2428.66513094321</v>
      </c>
    </row>
    <row r="2777" spans="32:33" x14ac:dyDescent="0.4">
      <c r="AF2777" s="19">
        <v>20131112</v>
      </c>
      <c r="AG2777" s="17">
        <v>2454.1750514144569</v>
      </c>
    </row>
    <row r="2778" spans="32:33" x14ac:dyDescent="0.4">
      <c r="AF2778" s="19">
        <v>20131113</v>
      </c>
      <c r="AG2778" s="17">
        <v>2429.8953636865908</v>
      </c>
    </row>
    <row r="2779" spans="32:33" x14ac:dyDescent="0.4">
      <c r="AF2779" s="19">
        <v>20131114</v>
      </c>
      <c r="AG2779" s="17">
        <v>2438.2748735047171</v>
      </c>
    </row>
    <row r="2780" spans="32:33" x14ac:dyDescent="0.4">
      <c r="AF2780" s="19">
        <v>20131115</v>
      </c>
      <c r="AG2780" s="17">
        <v>2479.452852500161</v>
      </c>
    </row>
    <row r="2781" spans="32:33" x14ac:dyDescent="0.4">
      <c r="AF2781" s="19">
        <v>20131116</v>
      </c>
      <c r="AG2781" s="18">
        <v>2479.336792807389</v>
      </c>
    </row>
    <row r="2782" spans="32:33" x14ac:dyDescent="0.4">
      <c r="AF2782" s="19">
        <v>20131117</v>
      </c>
      <c r="AG2782" s="17">
        <v>2479.2207331146169</v>
      </c>
    </row>
    <row r="2783" spans="32:33" x14ac:dyDescent="0.4">
      <c r="AF2783" s="19">
        <v>20131118</v>
      </c>
      <c r="AG2783" s="17">
        <v>2480.613449427879</v>
      </c>
    </row>
    <row r="2784" spans="32:33" x14ac:dyDescent="0.4">
      <c r="AF2784" s="19">
        <v>20131119</v>
      </c>
      <c r="AG2784" s="17">
        <v>2496.9778661087062</v>
      </c>
    </row>
    <row r="2785" spans="32:33" x14ac:dyDescent="0.4">
      <c r="AF2785" s="19">
        <v>20131120</v>
      </c>
      <c r="AG2785" s="17">
        <v>2485.7200759098391</v>
      </c>
    </row>
    <row r="2786" spans="32:33" x14ac:dyDescent="0.4">
      <c r="AF2786" s="19">
        <v>20131121</v>
      </c>
      <c r="AG2786" s="18">
        <v>2462.8795283723439</v>
      </c>
    </row>
    <row r="2787" spans="32:33" x14ac:dyDescent="0.4">
      <c r="AF2787" s="19">
        <v>20131122</v>
      </c>
      <c r="AG2787" s="17">
        <v>2477.8512287399089</v>
      </c>
    </row>
    <row r="2788" spans="32:33" x14ac:dyDescent="0.4">
      <c r="AF2788" s="19">
        <v>20131123</v>
      </c>
      <c r="AG2788" s="17">
        <v>2477.7351690471378</v>
      </c>
    </row>
    <row r="2789" spans="32:33" x14ac:dyDescent="0.4">
      <c r="AF2789" s="19">
        <v>20131124</v>
      </c>
      <c r="AG2789" s="17">
        <v>2477.6423212929199</v>
      </c>
    </row>
    <row r="2790" spans="32:33" x14ac:dyDescent="0.4">
      <c r="AF2790" s="19">
        <v>20131125</v>
      </c>
      <c r="AG2790" s="17">
        <v>2487.3216996700899</v>
      </c>
    </row>
    <row r="2791" spans="32:33" x14ac:dyDescent="0.4">
      <c r="AF2791" s="19">
        <v>20131126</v>
      </c>
      <c r="AG2791" s="18">
        <v>2488.7840517990148</v>
      </c>
    </row>
    <row r="2792" spans="32:33" x14ac:dyDescent="0.4">
      <c r="AF2792" s="19">
        <v>20131127</v>
      </c>
      <c r="AG2792" s="17">
        <v>2494.0995857279649</v>
      </c>
    </row>
    <row r="2793" spans="32:33" x14ac:dyDescent="0.4">
      <c r="AF2793" s="19">
        <v>20131128</v>
      </c>
      <c r="AG2793" s="17">
        <v>2512.878044018446</v>
      </c>
    </row>
    <row r="2794" spans="32:33" x14ac:dyDescent="0.4">
      <c r="AF2794" s="19">
        <v>20131129</v>
      </c>
      <c r="AG2794" s="17">
        <v>2514.6653632871321</v>
      </c>
    </row>
    <row r="2795" spans="32:33" x14ac:dyDescent="0.4">
      <c r="AF2795" s="19">
        <v>20131130</v>
      </c>
      <c r="AG2795" s="17">
        <v>2514.54930359436</v>
      </c>
    </row>
    <row r="2796" spans="32:33" x14ac:dyDescent="0.4">
      <c r="AF2796" s="19">
        <v>20131201</v>
      </c>
      <c r="AG2796" s="18">
        <v>2514.4332439015889</v>
      </c>
    </row>
    <row r="2797" spans="32:33" x14ac:dyDescent="0.4">
      <c r="AF2797" s="19">
        <v>20131202</v>
      </c>
      <c r="AG2797" s="17">
        <v>2498.8812450701639</v>
      </c>
    </row>
    <row r="2798" spans="32:33" x14ac:dyDescent="0.4">
      <c r="AF2798" s="19">
        <v>20131203</v>
      </c>
      <c r="AG2798" s="17">
        <v>2481.7044105399341</v>
      </c>
    </row>
    <row r="2799" spans="32:33" x14ac:dyDescent="0.4">
      <c r="AF2799" s="19">
        <v>20131204</v>
      </c>
      <c r="AG2799" s="17">
        <v>2467.5451280217708</v>
      </c>
    </row>
    <row r="2800" spans="32:33" x14ac:dyDescent="0.4">
      <c r="AF2800" s="19">
        <v>20131205</v>
      </c>
      <c r="AG2800" s="17">
        <v>2461.1618449193211</v>
      </c>
    </row>
    <row r="2801" spans="32:33" x14ac:dyDescent="0.4">
      <c r="AF2801" s="19">
        <v>20131206</v>
      </c>
      <c r="AG2801" s="18">
        <v>2456.2409139457959</v>
      </c>
    </row>
    <row r="2802" spans="32:33" x14ac:dyDescent="0.4">
      <c r="AF2802" s="19">
        <v>20131207</v>
      </c>
      <c r="AG2802" s="17">
        <v>2456.148066191578</v>
      </c>
    </row>
    <row r="2803" spans="32:33" x14ac:dyDescent="0.4">
      <c r="AF2803" s="19">
        <v>20131208</v>
      </c>
      <c r="AG2803" s="17">
        <v>2456.0320064988059</v>
      </c>
    </row>
    <row r="2804" spans="32:33" x14ac:dyDescent="0.4">
      <c r="AF2804" s="19">
        <v>20131209</v>
      </c>
      <c r="AG2804" s="17">
        <v>2473.765927554341</v>
      </c>
    </row>
    <row r="2805" spans="32:33" x14ac:dyDescent="0.4">
      <c r="AF2805" s="19">
        <v>20131210</v>
      </c>
      <c r="AG2805" s="17">
        <v>2465.3167819205519</v>
      </c>
    </row>
    <row r="2806" spans="32:33" x14ac:dyDescent="0.4">
      <c r="AF2806" s="19">
        <v>20131211</v>
      </c>
      <c r="AG2806" s="18">
        <v>2453.3626335650538</v>
      </c>
    </row>
    <row r="2807" spans="32:33" x14ac:dyDescent="0.4">
      <c r="AF2807" s="19">
        <v>20131212</v>
      </c>
      <c r="AG2807" s="17">
        <v>2453.107302240956</v>
      </c>
    </row>
    <row r="2808" spans="32:33" x14ac:dyDescent="0.4">
      <c r="AF2808" s="19">
        <v>20131213</v>
      </c>
      <c r="AG2808" s="17">
        <v>2451.1342874638349</v>
      </c>
    </row>
    <row r="2809" spans="32:33" x14ac:dyDescent="0.4">
      <c r="AF2809" s="19">
        <v>20131214</v>
      </c>
      <c r="AG2809" s="17">
        <v>2451.0182277710628</v>
      </c>
    </row>
    <row r="2810" spans="32:33" x14ac:dyDescent="0.4">
      <c r="AF2810" s="19">
        <v>20131215</v>
      </c>
      <c r="AG2810" s="17">
        <v>2450.9021680782921</v>
      </c>
    </row>
    <row r="2811" spans="32:33" x14ac:dyDescent="0.4">
      <c r="AF2811" s="19">
        <v>20131216</v>
      </c>
      <c r="AG2811" s="18">
        <v>2450.6236248156388</v>
      </c>
    </row>
    <row r="2812" spans="32:33" x14ac:dyDescent="0.4">
      <c r="AF2812" s="19">
        <v>20131217</v>
      </c>
      <c r="AG2812" s="17">
        <v>2456.4730333313391</v>
      </c>
    </row>
    <row r="2813" spans="32:33" x14ac:dyDescent="0.4">
      <c r="AF2813" s="19">
        <v>20131218</v>
      </c>
      <c r="AG2813" s="17">
        <v>2458.4460481084602</v>
      </c>
    </row>
    <row r="2814" spans="32:33" x14ac:dyDescent="0.4">
      <c r="AF2814" s="19">
        <v>20131219</v>
      </c>
      <c r="AG2814" s="17">
        <v>2467.7308235302062</v>
      </c>
    </row>
    <row r="2815" spans="32:33" x14ac:dyDescent="0.4">
      <c r="AF2815" s="19">
        <v>20131220</v>
      </c>
      <c r="AG2815" s="17">
        <v>2474.6015573422978</v>
      </c>
    </row>
    <row r="2816" spans="32:33" x14ac:dyDescent="0.4">
      <c r="AF2816" s="19">
        <v>20131221</v>
      </c>
      <c r="AG2816" s="18">
        <v>2474.4854976495262</v>
      </c>
    </row>
    <row r="2817" spans="32:33" x14ac:dyDescent="0.4">
      <c r="AF2817" s="19">
        <v>20131222</v>
      </c>
      <c r="AG2817" s="17">
        <v>2474.3694379567551</v>
      </c>
    </row>
    <row r="2818" spans="32:33" x14ac:dyDescent="0.4">
      <c r="AF2818" s="19">
        <v>20131223</v>
      </c>
      <c r="AG2818" s="17">
        <v>2493.4496514484431</v>
      </c>
    </row>
    <row r="2819" spans="32:33" x14ac:dyDescent="0.4">
      <c r="AF2819" s="19">
        <v>20131224</v>
      </c>
      <c r="AG2819" s="17">
        <v>2491.476636671322</v>
      </c>
    </row>
    <row r="2820" spans="32:33" x14ac:dyDescent="0.4">
      <c r="AF2820" s="19">
        <v>20131225</v>
      </c>
      <c r="AG2820" s="17">
        <v>2491.3605769785499</v>
      </c>
    </row>
    <row r="2821" spans="32:33" x14ac:dyDescent="0.4">
      <c r="AF2821" s="19">
        <v>20131226</v>
      </c>
      <c r="AG2821" s="18">
        <v>2483.4685178700661</v>
      </c>
    </row>
    <row r="2822" spans="32:33" x14ac:dyDescent="0.4">
      <c r="AF2822" s="19">
        <v>20131227</v>
      </c>
      <c r="AG2822" s="17">
        <v>2517.1490407124488</v>
      </c>
    </row>
    <row r="2823" spans="32:33" x14ac:dyDescent="0.4">
      <c r="AF2823" s="19">
        <v>20131228</v>
      </c>
      <c r="AG2823" s="17">
        <v>2517.0329810196781</v>
      </c>
    </row>
    <row r="2824" spans="32:33" x14ac:dyDescent="0.4">
      <c r="AF2824" s="19">
        <v>20131229</v>
      </c>
      <c r="AG2824" s="17">
        <v>2516.916921326906</v>
      </c>
    </row>
    <row r="2825" spans="32:33" x14ac:dyDescent="0.4">
      <c r="AF2825" s="19">
        <v>20131230</v>
      </c>
      <c r="AG2825" s="17">
        <v>2532.4921320968851</v>
      </c>
    </row>
    <row r="2826" spans="32:33" x14ac:dyDescent="0.4">
      <c r="AF2826" s="19">
        <v>20131231</v>
      </c>
      <c r="AG2826" s="18">
        <v>2532.3992843426672</v>
      </c>
    </row>
    <row r="2827" spans="32:33" x14ac:dyDescent="0.4">
      <c r="AF2827" s="19">
        <v>20140101</v>
      </c>
      <c r="AG2827" s="17">
        <v>2532.260012711341</v>
      </c>
    </row>
    <row r="2828" spans="32:33" x14ac:dyDescent="0.4">
      <c r="AF2828" s="19">
        <v>20140102</v>
      </c>
      <c r="AG2828" s="17">
        <v>2492.63723359904</v>
      </c>
    </row>
    <row r="2829" spans="32:33" x14ac:dyDescent="0.4">
      <c r="AF2829" s="19">
        <v>20140103</v>
      </c>
      <c r="AG2829" s="17">
        <v>2486.393222127916</v>
      </c>
    </row>
    <row r="2830" spans="32:33" x14ac:dyDescent="0.4">
      <c r="AF2830" s="19">
        <v>20140104</v>
      </c>
      <c r="AG2830" s="17">
        <v>2486.277162435144</v>
      </c>
    </row>
    <row r="2831" spans="32:33" x14ac:dyDescent="0.4">
      <c r="AF2831" s="19">
        <v>20140105</v>
      </c>
      <c r="AG2831" s="18">
        <v>2486.1611027423719</v>
      </c>
    </row>
    <row r="2832" spans="32:33" x14ac:dyDescent="0.4">
      <c r="AF2832" s="19">
        <v>20140106</v>
      </c>
      <c r="AG2832" s="17">
        <v>2507.121483256964</v>
      </c>
    </row>
    <row r="2833" spans="32:33" x14ac:dyDescent="0.4">
      <c r="AF2833" s="19">
        <v>20140107</v>
      </c>
      <c r="AG2833" s="17">
        <v>2519.0059957967992</v>
      </c>
    </row>
    <row r="2834" spans="32:33" x14ac:dyDescent="0.4">
      <c r="AF2834" s="19">
        <v>20140108</v>
      </c>
      <c r="AG2834" s="17">
        <v>2520.120168847408</v>
      </c>
    </row>
    <row r="2835" spans="32:33" x14ac:dyDescent="0.4">
      <c r="AF2835" s="19">
        <v>20140109</v>
      </c>
      <c r="AG2835" s="17">
        <v>2514.5725155329151</v>
      </c>
    </row>
    <row r="2836" spans="32:33" x14ac:dyDescent="0.4">
      <c r="AF2836" s="19">
        <v>20140110</v>
      </c>
      <c r="AG2836" s="18">
        <v>2501.0631672942741</v>
      </c>
    </row>
    <row r="2837" spans="32:33" x14ac:dyDescent="0.4">
      <c r="AF2837" s="19">
        <v>20140111</v>
      </c>
      <c r="AG2837" s="17">
        <v>2500.9471076015029</v>
      </c>
    </row>
    <row r="2838" spans="32:33" x14ac:dyDescent="0.4">
      <c r="AF2838" s="19">
        <v>20140112</v>
      </c>
      <c r="AG2838" s="17">
        <v>2500.8310479087309</v>
      </c>
    </row>
    <row r="2839" spans="32:33" x14ac:dyDescent="0.4">
      <c r="AF2839" s="19">
        <v>20140113</v>
      </c>
      <c r="AG2839" s="17">
        <v>2508.2356563075732</v>
      </c>
    </row>
    <row r="2840" spans="32:33" x14ac:dyDescent="0.4">
      <c r="AF2840" s="19">
        <v>20140114</v>
      </c>
      <c r="AG2840" s="17">
        <v>2504.962772971408</v>
      </c>
    </row>
    <row r="2841" spans="32:33" x14ac:dyDescent="0.4">
      <c r="AF2841" s="19">
        <v>20140115</v>
      </c>
      <c r="AG2841" s="18">
        <v>2507.3536026425072</v>
      </c>
    </row>
    <row r="2842" spans="32:33" x14ac:dyDescent="0.4">
      <c r="AF2842" s="19">
        <v>20140116</v>
      </c>
      <c r="AG2842" s="17">
        <v>2515.7795363377418</v>
      </c>
    </row>
    <row r="2843" spans="32:33" x14ac:dyDescent="0.4">
      <c r="AF2843" s="19">
        <v>20140117</v>
      </c>
      <c r="AG2843" s="17">
        <v>2503.2218775798301</v>
      </c>
    </row>
    <row r="2844" spans="32:33" x14ac:dyDescent="0.4">
      <c r="AF2844" s="19">
        <v>20140118</v>
      </c>
      <c r="AG2844" s="17">
        <v>2503.1058178870589</v>
      </c>
    </row>
    <row r="2845" spans="32:33" x14ac:dyDescent="0.4">
      <c r="AF2845" s="19">
        <v>20140119</v>
      </c>
      <c r="AG2845" s="17">
        <v>2502.9897581942869</v>
      </c>
    </row>
    <row r="2846" spans="32:33" x14ac:dyDescent="0.4">
      <c r="AF2846" s="19">
        <v>20140120</v>
      </c>
      <c r="AG2846" s="18">
        <v>2508.7231070172152</v>
      </c>
    </row>
    <row r="2847" spans="32:33" x14ac:dyDescent="0.4">
      <c r="AF2847" s="19">
        <v>20140121</v>
      </c>
      <c r="AG2847" s="17">
        <v>2521.1879180209089</v>
      </c>
    </row>
    <row r="2848" spans="32:33" x14ac:dyDescent="0.4">
      <c r="AF2848" s="19">
        <v>20140122</v>
      </c>
      <c r="AG2848" s="17">
        <v>2522.5109985185081</v>
      </c>
    </row>
    <row r="2849" spans="32:33" x14ac:dyDescent="0.4">
      <c r="AF2849" s="19">
        <v>20140123</v>
      </c>
      <c r="AG2849" s="17">
        <v>2496.6064750918358</v>
      </c>
    </row>
    <row r="2850" spans="32:33" x14ac:dyDescent="0.4">
      <c r="AF2850" s="19">
        <v>20140124</v>
      </c>
      <c r="AG2850" s="17">
        <v>2497.5117406954569</v>
      </c>
    </row>
    <row r="2851" spans="32:33" x14ac:dyDescent="0.4">
      <c r="AF2851" s="19">
        <v>20140125</v>
      </c>
      <c r="AG2851" s="18">
        <v>2497.3956810026848</v>
      </c>
    </row>
    <row r="2852" spans="32:33" x14ac:dyDescent="0.4">
      <c r="AF2852" s="19">
        <v>20140126</v>
      </c>
      <c r="AG2852" s="17">
        <v>2497.2796213099132</v>
      </c>
    </row>
    <row r="2853" spans="32:33" x14ac:dyDescent="0.4">
      <c r="AF2853" s="19">
        <v>20140127</v>
      </c>
      <c r="AG2853" s="17">
        <v>2471.0733426820352</v>
      </c>
    </row>
    <row r="2854" spans="32:33" x14ac:dyDescent="0.4">
      <c r="AF2854" s="19">
        <v>20140128</v>
      </c>
      <c r="AG2854" s="17">
        <v>2487.368123547199</v>
      </c>
    </row>
    <row r="2855" spans="32:33" x14ac:dyDescent="0.4">
      <c r="AF2855" s="19">
        <v>20140129</v>
      </c>
      <c r="AG2855" s="17">
        <v>2510.9050292413249</v>
      </c>
    </row>
    <row r="2856" spans="32:33" x14ac:dyDescent="0.4">
      <c r="AF2856" s="19">
        <v>20140130</v>
      </c>
      <c r="AG2856" s="18">
        <v>2510.7889695485528</v>
      </c>
    </row>
    <row r="2857" spans="32:33" x14ac:dyDescent="0.4">
      <c r="AF2857" s="19">
        <v>20140131</v>
      </c>
      <c r="AG2857" s="17">
        <v>2510.6496979172271</v>
      </c>
    </row>
    <row r="2858" spans="32:33" x14ac:dyDescent="0.4">
      <c r="AF2858" s="19">
        <v>20140201</v>
      </c>
      <c r="AG2858" s="17">
        <v>2510.533638224455</v>
      </c>
    </row>
    <row r="2859" spans="32:33" x14ac:dyDescent="0.4">
      <c r="AF2859" s="19">
        <v>20140202</v>
      </c>
      <c r="AG2859" s="17">
        <v>2510.4175785316829</v>
      </c>
    </row>
    <row r="2860" spans="32:33" x14ac:dyDescent="0.4">
      <c r="AF2860" s="19">
        <v>20140203</v>
      </c>
      <c r="AG2860" s="17">
        <v>2483.9791805182622</v>
      </c>
    </row>
    <row r="2861" spans="32:33" x14ac:dyDescent="0.4">
      <c r="AF2861" s="19">
        <v>20140204</v>
      </c>
      <c r="AG2861" s="18">
        <v>2453.4322693807171</v>
      </c>
    </row>
    <row r="2862" spans="32:33" x14ac:dyDescent="0.4">
      <c r="AF2862" s="19">
        <v>20140205</v>
      </c>
      <c r="AG2862" s="17">
        <v>2457.2390273036331</v>
      </c>
    </row>
    <row r="2863" spans="32:33" x14ac:dyDescent="0.4">
      <c r="AF2863" s="19">
        <v>20140206</v>
      </c>
      <c r="AG2863" s="17">
        <v>2472.094667978427</v>
      </c>
    </row>
    <row r="2864" spans="32:33" x14ac:dyDescent="0.4">
      <c r="AF2864" s="19">
        <v>20140207</v>
      </c>
      <c r="AG2864" s="17">
        <v>2486.1146788652632</v>
      </c>
    </row>
    <row r="2865" spans="32:33" x14ac:dyDescent="0.4">
      <c r="AF2865" s="19">
        <v>20140208</v>
      </c>
      <c r="AG2865" s="17">
        <v>2485.998619172492</v>
      </c>
    </row>
    <row r="2866" spans="32:33" x14ac:dyDescent="0.4">
      <c r="AF2866" s="19">
        <v>20140209</v>
      </c>
      <c r="AG2866" s="18">
        <v>2485.8593475411649</v>
      </c>
    </row>
    <row r="2867" spans="32:33" x14ac:dyDescent="0.4">
      <c r="AF2867" s="19">
        <v>20140210</v>
      </c>
      <c r="AG2867" s="17">
        <v>2487.7627265026231</v>
      </c>
    </row>
    <row r="2868" spans="32:33" x14ac:dyDescent="0.4">
      <c r="AF2868" s="19">
        <v>20140211</v>
      </c>
      <c r="AG2868" s="17">
        <v>2506.332277346115</v>
      </c>
    </row>
    <row r="2869" spans="32:33" x14ac:dyDescent="0.4">
      <c r="AF2869" s="19">
        <v>20140212</v>
      </c>
      <c r="AG2869" s="17">
        <v>2514.3868200244801</v>
      </c>
    </row>
    <row r="2870" spans="32:33" x14ac:dyDescent="0.4">
      <c r="AF2870" s="19">
        <v>20140213</v>
      </c>
      <c r="AG2870" s="17">
        <v>2505.2645281726141</v>
      </c>
    </row>
    <row r="2871" spans="32:33" x14ac:dyDescent="0.4">
      <c r="AF2871" s="19">
        <v>20140214</v>
      </c>
      <c r="AG2871" s="18">
        <v>2514.9671184883391</v>
      </c>
    </row>
    <row r="2872" spans="32:33" x14ac:dyDescent="0.4">
      <c r="AF2872" s="19">
        <v>20140215</v>
      </c>
      <c r="AG2872" s="17">
        <v>2514.851058795567</v>
      </c>
    </row>
    <row r="2873" spans="32:33" x14ac:dyDescent="0.4">
      <c r="AF2873" s="19">
        <v>20140216</v>
      </c>
      <c r="AG2873" s="17">
        <v>2514.734999102795</v>
      </c>
    </row>
    <row r="2874" spans="32:33" x14ac:dyDescent="0.4">
      <c r="AF2874" s="19">
        <v>20140217</v>
      </c>
      <c r="AG2874" s="17">
        <v>2529.5674278390352</v>
      </c>
    </row>
    <row r="2875" spans="32:33" x14ac:dyDescent="0.4">
      <c r="AF2875" s="19">
        <v>20140218</v>
      </c>
      <c r="AG2875" s="17">
        <v>2539.502137540303</v>
      </c>
    </row>
    <row r="2876" spans="32:33" x14ac:dyDescent="0.4">
      <c r="AF2876" s="19">
        <v>20140219</v>
      </c>
      <c r="AG2876" s="18">
        <v>2537.5523347017361</v>
      </c>
    </row>
    <row r="2877" spans="32:33" x14ac:dyDescent="0.4">
      <c r="AF2877" s="19">
        <v>20140220</v>
      </c>
      <c r="AG2877" s="17">
        <v>2528.5693144811971</v>
      </c>
    </row>
    <row r="2878" spans="32:33" x14ac:dyDescent="0.4">
      <c r="AF2878" s="19">
        <v>20140221</v>
      </c>
      <c r="AG2878" s="17">
        <v>2557.7467212440338</v>
      </c>
    </row>
    <row r="2879" spans="32:33" x14ac:dyDescent="0.4">
      <c r="AF2879" s="19">
        <v>20140222</v>
      </c>
      <c r="AG2879" s="17">
        <v>2557.607449612708</v>
      </c>
    </row>
    <row r="2880" spans="32:33" x14ac:dyDescent="0.4">
      <c r="AF2880" s="19">
        <v>20140223</v>
      </c>
      <c r="AG2880" s="17">
        <v>2557.491389919936</v>
      </c>
    </row>
    <row r="2881" spans="32:33" x14ac:dyDescent="0.4">
      <c r="AF2881" s="19">
        <v>20140224</v>
      </c>
      <c r="AG2881" s="18">
        <v>2547.626316034331</v>
      </c>
    </row>
    <row r="2882" spans="32:33" x14ac:dyDescent="0.4">
      <c r="AF2882" s="19">
        <v>20140225</v>
      </c>
      <c r="AG2882" s="17">
        <v>2561.6231149826131</v>
      </c>
    </row>
    <row r="2883" spans="32:33" x14ac:dyDescent="0.4">
      <c r="AF2883" s="19">
        <v>20140226</v>
      </c>
      <c r="AG2883" s="17">
        <v>2568.6099084874768</v>
      </c>
    </row>
    <row r="2884" spans="32:33" x14ac:dyDescent="0.4">
      <c r="AF2884" s="19">
        <v>20140227</v>
      </c>
      <c r="AG2884" s="17">
        <v>2577.45365707669</v>
      </c>
    </row>
    <row r="2885" spans="32:33" x14ac:dyDescent="0.4">
      <c r="AF2885" s="19">
        <v>20140228</v>
      </c>
      <c r="AG2885" s="17">
        <v>2578.1035913562118</v>
      </c>
    </row>
    <row r="2886" spans="32:33" x14ac:dyDescent="0.4">
      <c r="AF2886" s="19">
        <v>20140301</v>
      </c>
      <c r="AG2886" s="18">
        <v>2577.9875316634402</v>
      </c>
    </row>
    <row r="2887" spans="32:33" x14ac:dyDescent="0.4">
      <c r="AF2887" s="19">
        <v>20140302</v>
      </c>
      <c r="AG2887" s="17">
        <v>2577.8714719706682</v>
      </c>
    </row>
    <row r="2888" spans="32:33" x14ac:dyDescent="0.4">
      <c r="AF2888" s="19">
        <v>20140303</v>
      </c>
      <c r="AG2888" s="17">
        <v>2566.1958668778229</v>
      </c>
    </row>
    <row r="2889" spans="32:33" x14ac:dyDescent="0.4">
      <c r="AF2889" s="19">
        <v>20140304</v>
      </c>
      <c r="AG2889" s="17">
        <v>2556.818243701859</v>
      </c>
    </row>
    <row r="2890" spans="32:33" x14ac:dyDescent="0.4">
      <c r="AF2890" s="19">
        <v>20140305</v>
      </c>
      <c r="AG2890" s="17">
        <v>2577.4304451381349</v>
      </c>
    </row>
    <row r="2891" spans="32:33" x14ac:dyDescent="0.4">
      <c r="AF2891" s="19">
        <v>20140306</v>
      </c>
      <c r="AG2891" s="18">
        <v>2580.7497523514089</v>
      </c>
    </row>
    <row r="2892" spans="32:33" x14ac:dyDescent="0.4">
      <c r="AF2892" s="19">
        <v>20140307</v>
      </c>
      <c r="AG2892" s="17">
        <v>2578.1035913562118</v>
      </c>
    </row>
    <row r="2893" spans="32:33" x14ac:dyDescent="0.4">
      <c r="AF2893" s="19">
        <v>20140308</v>
      </c>
      <c r="AG2893" s="17">
        <v>2577.9643197248861</v>
      </c>
    </row>
    <row r="2894" spans="32:33" x14ac:dyDescent="0.4">
      <c r="AF2894" s="19">
        <v>20140309</v>
      </c>
      <c r="AG2894" s="17">
        <v>2577.848260032114</v>
      </c>
    </row>
    <row r="2895" spans="32:33" x14ac:dyDescent="0.4">
      <c r="AF2895" s="19">
        <v>20140310</v>
      </c>
      <c r="AG2895" s="17">
        <v>2561.0660284573082</v>
      </c>
    </row>
    <row r="2896" spans="32:33" x14ac:dyDescent="0.4">
      <c r="AF2896" s="19">
        <v>20140311</v>
      </c>
      <c r="AG2896" s="18">
        <v>2567.843914515182</v>
      </c>
    </row>
    <row r="2897" spans="32:33" x14ac:dyDescent="0.4">
      <c r="AF2897" s="19">
        <v>20140312</v>
      </c>
      <c r="AG2897" s="17">
        <v>2530.7048128281981</v>
      </c>
    </row>
    <row r="2898" spans="32:33" x14ac:dyDescent="0.4">
      <c r="AF2898" s="19">
        <v>20140313</v>
      </c>
      <c r="AG2898" s="17">
        <v>2530.2869979342199</v>
      </c>
    </row>
    <row r="2899" spans="32:33" x14ac:dyDescent="0.4">
      <c r="AF2899" s="19">
        <v>20140314</v>
      </c>
      <c r="AG2899" s="17">
        <v>2516.7544377570248</v>
      </c>
    </row>
    <row r="2900" spans="32:33" x14ac:dyDescent="0.4">
      <c r="AF2900" s="19">
        <v>20140315</v>
      </c>
      <c r="AG2900" s="17">
        <v>2516.615166125699</v>
      </c>
    </row>
    <row r="2901" spans="32:33" x14ac:dyDescent="0.4">
      <c r="AF2901" s="19">
        <v>20140316</v>
      </c>
      <c r="AG2901" s="18">
        <v>2516.499106432927</v>
      </c>
    </row>
    <row r="2902" spans="32:33" x14ac:dyDescent="0.4">
      <c r="AF2902" s="19">
        <v>20140317</v>
      </c>
      <c r="AG2902" s="17">
        <v>2518.4256973329389</v>
      </c>
    </row>
    <row r="2903" spans="32:33" x14ac:dyDescent="0.4">
      <c r="AF2903" s="19">
        <v>20140318</v>
      </c>
      <c r="AG2903" s="17">
        <v>2531.2386874149488</v>
      </c>
    </row>
    <row r="2904" spans="32:33" x14ac:dyDescent="0.4">
      <c r="AF2904" s="19">
        <v>20140319</v>
      </c>
      <c r="AG2904" s="17">
        <v>2530.7744486438619</v>
      </c>
    </row>
    <row r="2905" spans="32:33" x14ac:dyDescent="0.4">
      <c r="AF2905" s="19">
        <v>20140320</v>
      </c>
      <c r="AG2905" s="17">
        <v>2520.6540434341582</v>
      </c>
    </row>
    <row r="2906" spans="32:33" x14ac:dyDescent="0.4">
      <c r="AF2906" s="19">
        <v>20140321</v>
      </c>
      <c r="AG2906" s="18">
        <v>2534.0937558571359</v>
      </c>
    </row>
    <row r="2907" spans="32:33" x14ac:dyDescent="0.4">
      <c r="AF2907" s="19">
        <v>20140322</v>
      </c>
      <c r="AG2907" s="17">
        <v>2533.9776961643638</v>
      </c>
    </row>
    <row r="2908" spans="32:33" x14ac:dyDescent="0.4">
      <c r="AF2908" s="19">
        <v>20140323</v>
      </c>
      <c r="AG2908" s="17">
        <v>2533.8616364715922</v>
      </c>
    </row>
    <row r="2909" spans="32:33" x14ac:dyDescent="0.4">
      <c r="AF2909" s="19">
        <v>20140324</v>
      </c>
      <c r="AG2909" s="17">
        <v>2542.1018746583918</v>
      </c>
    </row>
    <row r="2910" spans="32:33" x14ac:dyDescent="0.4">
      <c r="AF2910" s="19">
        <v>20140325</v>
      </c>
      <c r="AG2910" s="17">
        <v>2528.4068309113159</v>
      </c>
    </row>
    <row r="2911" spans="32:33" x14ac:dyDescent="0.4">
      <c r="AF2911" s="19">
        <v>20140326</v>
      </c>
      <c r="AG2911" s="18">
        <v>2553.870327505455</v>
      </c>
    </row>
    <row r="2912" spans="32:33" x14ac:dyDescent="0.4">
      <c r="AF2912" s="19">
        <v>20140327</v>
      </c>
      <c r="AG2912" s="17">
        <v>2571.76673213087</v>
      </c>
    </row>
    <row r="2913" spans="32:33" x14ac:dyDescent="0.4">
      <c r="AF2913" s="19">
        <v>20140328</v>
      </c>
      <c r="AG2913" s="17">
        <v>2582.0960447875632</v>
      </c>
    </row>
    <row r="2914" spans="32:33" x14ac:dyDescent="0.4">
      <c r="AF2914" s="19">
        <v>20140329</v>
      </c>
      <c r="AG2914" s="17">
        <v>2581.9799850947911</v>
      </c>
    </row>
    <row r="2915" spans="32:33" x14ac:dyDescent="0.4">
      <c r="AF2915" s="19">
        <v>20140330</v>
      </c>
      <c r="AG2915" s="17">
        <v>2581.863925402019</v>
      </c>
    </row>
    <row r="2916" spans="32:33" x14ac:dyDescent="0.4">
      <c r="AF2916" s="19">
        <v>20140331</v>
      </c>
      <c r="AG2916" s="18">
        <v>2589.9184680803842</v>
      </c>
    </row>
    <row r="2917" spans="32:33" x14ac:dyDescent="0.4">
      <c r="AF2917" s="19">
        <v>20140401</v>
      </c>
      <c r="AG2917" s="17">
        <v>2596.2089034286168</v>
      </c>
    </row>
    <row r="2918" spans="32:33" x14ac:dyDescent="0.4">
      <c r="AF2918" s="19">
        <v>20140402</v>
      </c>
      <c r="AG2918" s="17">
        <v>2606.0043414985589</v>
      </c>
    </row>
    <row r="2919" spans="32:33" x14ac:dyDescent="0.4">
      <c r="AF2919" s="19">
        <v>20140403</v>
      </c>
      <c r="AG2919" s="17">
        <v>2603.4278163190238</v>
      </c>
    </row>
    <row r="2920" spans="32:33" x14ac:dyDescent="0.4">
      <c r="AF2920" s="19">
        <v>20140404</v>
      </c>
      <c r="AG2920" s="17">
        <v>2605.818645990124</v>
      </c>
    </row>
    <row r="2921" spans="32:33" x14ac:dyDescent="0.4">
      <c r="AF2921" s="19">
        <v>20140405</v>
      </c>
      <c r="AG2921" s="18">
        <v>2605.6793743587968</v>
      </c>
    </row>
    <row r="2922" spans="32:33" x14ac:dyDescent="0.4">
      <c r="AF2922" s="19">
        <v>20140406</v>
      </c>
      <c r="AG2922" s="17">
        <v>2605.5633146660261</v>
      </c>
    </row>
    <row r="2923" spans="32:33" x14ac:dyDescent="0.4">
      <c r="AF2923" s="19">
        <v>20140407</v>
      </c>
      <c r="AG2923" s="17">
        <v>2607.8612965829079</v>
      </c>
    </row>
    <row r="2924" spans="32:33" x14ac:dyDescent="0.4">
      <c r="AF2924" s="19">
        <v>20140408</v>
      </c>
      <c r="AG2924" s="17">
        <v>2614.8945139648799</v>
      </c>
    </row>
    <row r="2925" spans="32:33" x14ac:dyDescent="0.4">
      <c r="AF2925" s="19">
        <v>20140409</v>
      </c>
      <c r="AG2925" s="17">
        <v>2621.0224657432332</v>
      </c>
    </row>
    <row r="2926" spans="32:33" x14ac:dyDescent="0.4">
      <c r="AF2926" s="19">
        <v>20140410</v>
      </c>
      <c r="AG2926" s="18">
        <v>2635.3906557083851</v>
      </c>
    </row>
    <row r="2927" spans="32:33" x14ac:dyDescent="0.4">
      <c r="AF2927" s="19">
        <v>20140411</v>
      </c>
      <c r="AG2927" s="17">
        <v>2624.4578326492792</v>
      </c>
    </row>
    <row r="2928" spans="32:33" x14ac:dyDescent="0.4">
      <c r="AF2928" s="19">
        <v>20140412</v>
      </c>
      <c r="AG2928" s="17">
        <v>2624.318561017953</v>
      </c>
    </row>
    <row r="2929" spans="32:33" x14ac:dyDescent="0.4">
      <c r="AF2929" s="19">
        <v>20140413</v>
      </c>
      <c r="AG2929" s="17">
        <v>2624.2025013251809</v>
      </c>
    </row>
    <row r="2930" spans="32:33" x14ac:dyDescent="0.4">
      <c r="AF2930" s="19">
        <v>20140414</v>
      </c>
      <c r="AG2930" s="17">
        <v>2623.5757789842128</v>
      </c>
    </row>
    <row r="2931" spans="32:33" x14ac:dyDescent="0.4">
      <c r="AF2931" s="19">
        <v>20140415</v>
      </c>
      <c r="AG2931" s="18">
        <v>2620.1636240167209</v>
      </c>
    </row>
    <row r="2932" spans="32:33" x14ac:dyDescent="0.4">
      <c r="AF2932" s="19">
        <v>20140416</v>
      </c>
      <c r="AG2932" s="17">
        <v>2628.2413786336401</v>
      </c>
    </row>
    <row r="2933" spans="32:33" x14ac:dyDescent="0.4">
      <c r="AF2933" s="19">
        <v>20140417</v>
      </c>
      <c r="AG2933" s="17">
        <v>2625.8273370239858</v>
      </c>
    </row>
    <row r="2934" spans="32:33" x14ac:dyDescent="0.4">
      <c r="AF2934" s="19">
        <v>20140418</v>
      </c>
      <c r="AG2934" s="17">
        <v>2639.1927981694521</v>
      </c>
    </row>
    <row r="2935" spans="32:33" x14ac:dyDescent="0.4">
      <c r="AF2935" s="19">
        <v>20140419</v>
      </c>
      <c r="AG2935" s="17">
        <v>2639.0615068026009</v>
      </c>
    </row>
    <row r="2936" spans="32:33" x14ac:dyDescent="0.4">
      <c r="AF2936" s="19">
        <v>20140420</v>
      </c>
      <c r="AG2936" s="18">
        <v>2638.95647370912</v>
      </c>
    </row>
    <row r="2937" spans="32:33" x14ac:dyDescent="0.4">
      <c r="AF2937" s="19">
        <v>20140421</v>
      </c>
      <c r="AG2937" s="17">
        <v>2633.9148852220342</v>
      </c>
    </row>
    <row r="2938" spans="32:33" x14ac:dyDescent="0.4">
      <c r="AF2938" s="19">
        <v>20140422</v>
      </c>
      <c r="AG2938" s="17">
        <v>2634.0724348622548</v>
      </c>
    </row>
    <row r="2939" spans="32:33" x14ac:dyDescent="0.4">
      <c r="AF2939" s="19">
        <v>20140423</v>
      </c>
      <c r="AG2939" s="17">
        <v>2632.9170708339652</v>
      </c>
    </row>
    <row r="2940" spans="32:33" x14ac:dyDescent="0.4">
      <c r="AF2940" s="19">
        <v>20140424</v>
      </c>
      <c r="AG2940" s="17">
        <v>2637.3547190335348</v>
      </c>
    </row>
    <row r="2941" spans="32:33" x14ac:dyDescent="0.4">
      <c r="AF2941" s="19">
        <v>20140425</v>
      </c>
      <c r="AG2941" s="18">
        <v>2611.0701873899252</v>
      </c>
    </row>
    <row r="2942" spans="32:33" x14ac:dyDescent="0.4">
      <c r="AF2942" s="19">
        <v>20140426</v>
      </c>
      <c r="AG2942" s="17">
        <v>2610.938896023074</v>
      </c>
    </row>
    <row r="2943" spans="32:33" x14ac:dyDescent="0.4">
      <c r="AF2943" s="19">
        <v>20140427</v>
      </c>
      <c r="AG2943" s="17">
        <v>2610.8338629295931</v>
      </c>
    </row>
    <row r="2944" spans="32:33" x14ac:dyDescent="0.4">
      <c r="AF2944" s="19">
        <v>20140428</v>
      </c>
      <c r="AG2944" s="17">
        <v>2606.8163471039461</v>
      </c>
    </row>
    <row r="2945" spans="32:33" x14ac:dyDescent="0.4">
      <c r="AF2945" s="19">
        <v>20140429</v>
      </c>
      <c r="AG2945" s="17">
        <v>2603.297738472334</v>
      </c>
    </row>
    <row r="2946" spans="32:33" x14ac:dyDescent="0.4">
      <c r="AF2946" s="19">
        <v>20140430</v>
      </c>
      <c r="AG2946" s="18">
        <v>2595.1051571808189</v>
      </c>
    </row>
    <row r="2947" spans="32:33" x14ac:dyDescent="0.4">
      <c r="AF2947" s="19">
        <v>20140501</v>
      </c>
      <c r="AG2947" s="17">
        <v>2594.9738658139681</v>
      </c>
    </row>
    <row r="2948" spans="32:33" x14ac:dyDescent="0.4">
      <c r="AF2948" s="19">
        <v>20140502</v>
      </c>
      <c r="AG2948" s="17">
        <v>2591.1138996285431</v>
      </c>
    </row>
    <row r="2949" spans="32:33" x14ac:dyDescent="0.4">
      <c r="AF2949" s="19">
        <v>20140503</v>
      </c>
      <c r="AG2949" s="17">
        <v>2590.9826082616919</v>
      </c>
    </row>
    <row r="2950" spans="32:33" x14ac:dyDescent="0.4">
      <c r="AF2950" s="19">
        <v>20140504</v>
      </c>
      <c r="AG2950" s="17">
        <v>2590.8513168948398</v>
      </c>
    </row>
    <row r="2951" spans="32:33" x14ac:dyDescent="0.4">
      <c r="AF2951" s="19">
        <v>20140505</v>
      </c>
      <c r="AG2951" s="18">
        <v>2590.7462838013589</v>
      </c>
    </row>
    <row r="2952" spans="32:33" x14ac:dyDescent="0.4">
      <c r="AF2952" s="19">
        <v>20140506</v>
      </c>
      <c r="AG2952" s="17">
        <v>2590.6149924345082</v>
      </c>
    </row>
    <row r="2953" spans="32:33" x14ac:dyDescent="0.4">
      <c r="AF2953" s="19">
        <v>20140507</v>
      </c>
      <c r="AG2953" s="17">
        <v>2573.8622140242951</v>
      </c>
    </row>
    <row r="2954" spans="32:33" x14ac:dyDescent="0.4">
      <c r="AF2954" s="19">
        <v>20140508</v>
      </c>
      <c r="AG2954" s="17">
        <v>2586.702509702342</v>
      </c>
    </row>
    <row r="2955" spans="32:33" x14ac:dyDescent="0.4">
      <c r="AF2955" s="19">
        <v>20140509</v>
      </c>
      <c r="AG2955" s="17">
        <v>2591.297707542134</v>
      </c>
    </row>
    <row r="2956" spans="32:33" x14ac:dyDescent="0.4">
      <c r="AF2956" s="19">
        <v>20140510</v>
      </c>
      <c r="AG2956" s="18">
        <v>2591.1926744486532</v>
      </c>
    </row>
    <row r="2957" spans="32:33" x14ac:dyDescent="0.4">
      <c r="AF2957" s="19">
        <v>20140511</v>
      </c>
      <c r="AG2957" s="17">
        <v>2591.061383081802</v>
      </c>
    </row>
    <row r="2958" spans="32:33" x14ac:dyDescent="0.4">
      <c r="AF2958" s="19">
        <v>20140512</v>
      </c>
      <c r="AG2958" s="17">
        <v>2601.5121758831579</v>
      </c>
    </row>
    <row r="2959" spans="32:33" x14ac:dyDescent="0.4">
      <c r="AF2959" s="19">
        <v>20140513</v>
      </c>
      <c r="AG2959" s="17">
        <v>2612.908266525842</v>
      </c>
    </row>
    <row r="2960" spans="32:33" x14ac:dyDescent="0.4">
      <c r="AF2960" s="19">
        <v>20140514</v>
      </c>
      <c r="AG2960" s="17">
        <v>2637.065878026463</v>
      </c>
    </row>
    <row r="2961" spans="32:33" x14ac:dyDescent="0.4">
      <c r="AF2961" s="19">
        <v>20140515</v>
      </c>
      <c r="AG2961" s="18">
        <v>2637.7485931340889</v>
      </c>
    </row>
    <row r="2962" spans="32:33" x14ac:dyDescent="0.4">
      <c r="AF2962" s="19">
        <v>20140516</v>
      </c>
      <c r="AG2962" s="17">
        <v>2641.923658599957</v>
      </c>
    </row>
    <row r="2963" spans="32:33" x14ac:dyDescent="0.4">
      <c r="AF2963" s="19">
        <v>20140517</v>
      </c>
      <c r="AG2963" s="17">
        <v>2641.7923672331058</v>
      </c>
    </row>
    <row r="2964" spans="32:33" x14ac:dyDescent="0.4">
      <c r="AF2964" s="19">
        <v>20140518</v>
      </c>
      <c r="AG2964" s="17">
        <v>2641.661075866255</v>
      </c>
    </row>
    <row r="2965" spans="32:33" x14ac:dyDescent="0.4">
      <c r="AF2965" s="19">
        <v>20140519</v>
      </c>
      <c r="AG2965" s="17">
        <v>2644.3919362967599</v>
      </c>
    </row>
    <row r="2966" spans="32:33" x14ac:dyDescent="0.4">
      <c r="AF2966" s="19">
        <v>20140520</v>
      </c>
      <c r="AG2966" s="18">
        <v>2633.3372032078892</v>
      </c>
    </row>
    <row r="2967" spans="32:33" x14ac:dyDescent="0.4">
      <c r="AF2967" s="19">
        <v>20140521</v>
      </c>
      <c r="AG2967" s="17">
        <v>2631.0264751513082</v>
      </c>
    </row>
    <row r="2968" spans="32:33" x14ac:dyDescent="0.4">
      <c r="AF2968" s="19">
        <v>20140522</v>
      </c>
      <c r="AG2968" s="17">
        <v>2639.8492550037081</v>
      </c>
    </row>
    <row r="2969" spans="32:33" x14ac:dyDescent="0.4">
      <c r="AF2969" s="19">
        <v>20140523</v>
      </c>
      <c r="AG2969" s="17">
        <v>2646.4925981663791</v>
      </c>
    </row>
    <row r="2970" spans="32:33" x14ac:dyDescent="0.4">
      <c r="AF2970" s="19">
        <v>20140524</v>
      </c>
      <c r="AG2970" s="17">
        <v>2646.3875650728978</v>
      </c>
    </row>
    <row r="2971" spans="32:33" x14ac:dyDescent="0.4">
      <c r="AF2971" s="19">
        <v>20140525</v>
      </c>
      <c r="AG2971" s="18">
        <v>2646.2562737060471</v>
      </c>
    </row>
    <row r="2972" spans="32:33" x14ac:dyDescent="0.4">
      <c r="AF2972" s="19">
        <v>20140526</v>
      </c>
      <c r="AG2972" s="17">
        <v>2637.564785220497</v>
      </c>
    </row>
    <row r="2973" spans="32:33" x14ac:dyDescent="0.4">
      <c r="AF2973" s="19">
        <v>20140527</v>
      </c>
      <c r="AG2973" s="17">
        <v>2623.7791917011209</v>
      </c>
    </row>
    <row r="2974" spans="32:33" x14ac:dyDescent="0.4">
      <c r="AF2974" s="19">
        <v>20140528</v>
      </c>
      <c r="AG2974" s="17">
        <v>2646.9652470870428</v>
      </c>
    </row>
    <row r="2975" spans="32:33" x14ac:dyDescent="0.4">
      <c r="AF2975" s="19">
        <v>20140529</v>
      </c>
      <c r="AG2975" s="17">
        <v>2650.1687564382119</v>
      </c>
    </row>
    <row r="2976" spans="32:33" x14ac:dyDescent="0.4">
      <c r="AF2976" s="19">
        <v>20140530</v>
      </c>
      <c r="AG2976" s="18">
        <v>2636.5932291057979</v>
      </c>
    </row>
    <row r="2977" spans="32:33" x14ac:dyDescent="0.4">
      <c r="AF2977" s="19">
        <v>20140531</v>
      </c>
      <c r="AG2977" s="17">
        <v>2636.4619377389472</v>
      </c>
    </row>
    <row r="2978" spans="32:33" x14ac:dyDescent="0.4">
      <c r="AF2978" s="19">
        <v>20140601</v>
      </c>
      <c r="AG2978" s="17">
        <v>2636.330646372096</v>
      </c>
    </row>
    <row r="2979" spans="32:33" x14ac:dyDescent="0.4">
      <c r="AF2979" s="19">
        <v>20140602</v>
      </c>
      <c r="AG2979" s="17">
        <v>2638.0111758677908</v>
      </c>
    </row>
    <row r="2980" spans="32:33" x14ac:dyDescent="0.4">
      <c r="AF2980" s="19">
        <v>20140603</v>
      </c>
      <c r="AG2980" s="17">
        <v>2641.345976585812</v>
      </c>
    </row>
    <row r="2981" spans="32:33" x14ac:dyDescent="0.4">
      <c r="AF2981" s="19">
        <v>20140604</v>
      </c>
      <c r="AG2981" s="18">
        <v>2641.2146852189612</v>
      </c>
    </row>
    <row r="2982" spans="32:33" x14ac:dyDescent="0.4">
      <c r="AF2982" s="19">
        <v>20140605</v>
      </c>
      <c r="AG2982" s="17">
        <v>2622.5713111260902</v>
      </c>
    </row>
    <row r="2983" spans="32:33" x14ac:dyDescent="0.4">
      <c r="AF2983" s="19">
        <v>20140606</v>
      </c>
      <c r="AG2983" s="17">
        <v>2622.4662780326089</v>
      </c>
    </row>
    <row r="2984" spans="32:33" x14ac:dyDescent="0.4">
      <c r="AF2984" s="19">
        <v>20140607</v>
      </c>
      <c r="AG2984" s="17">
        <v>2622.3349866657582</v>
      </c>
    </row>
    <row r="2985" spans="32:33" x14ac:dyDescent="0.4">
      <c r="AF2985" s="19">
        <v>20140608</v>
      </c>
      <c r="AG2985" s="17">
        <v>2622.2299535722768</v>
      </c>
    </row>
    <row r="2986" spans="32:33" x14ac:dyDescent="0.4">
      <c r="AF2986" s="19">
        <v>20140609</v>
      </c>
      <c r="AG2986" s="18">
        <v>2617.6872722792259</v>
      </c>
    </row>
    <row r="2987" spans="32:33" x14ac:dyDescent="0.4">
      <c r="AF2987" s="19">
        <v>20140610</v>
      </c>
      <c r="AG2987" s="17">
        <v>2630.9477003311972</v>
      </c>
    </row>
    <row r="2988" spans="32:33" x14ac:dyDescent="0.4">
      <c r="AF2988" s="19">
        <v>20140611</v>
      </c>
      <c r="AG2988" s="17">
        <v>2638.3525334216042</v>
      </c>
    </row>
    <row r="2989" spans="32:33" x14ac:dyDescent="0.4">
      <c r="AF2989" s="19">
        <v>20140612</v>
      </c>
      <c r="AG2989" s="17">
        <v>2636.6720039259089</v>
      </c>
    </row>
    <row r="2990" spans="32:33" x14ac:dyDescent="0.4">
      <c r="AF2990" s="19">
        <v>20140613</v>
      </c>
      <c r="AG2990" s="17">
        <v>2614.87763702861</v>
      </c>
    </row>
    <row r="2991" spans="32:33" x14ac:dyDescent="0.4">
      <c r="AF2991" s="19">
        <v>20140614</v>
      </c>
      <c r="AG2991" s="18">
        <v>2614.7463456617588</v>
      </c>
    </row>
    <row r="2992" spans="32:33" x14ac:dyDescent="0.4">
      <c r="AF2992" s="19">
        <v>20140615</v>
      </c>
      <c r="AG2992" s="17">
        <v>2614.641312568278</v>
      </c>
    </row>
    <row r="2993" spans="32:33" x14ac:dyDescent="0.4">
      <c r="AF2993" s="19">
        <v>20140616</v>
      </c>
      <c r="AG2993" s="17">
        <v>2614.9038953019799</v>
      </c>
    </row>
    <row r="2994" spans="32:33" x14ac:dyDescent="0.4">
      <c r="AF2994" s="19">
        <v>20140617</v>
      </c>
      <c r="AG2994" s="17">
        <v>2623.2802845070869</v>
      </c>
    </row>
    <row r="2995" spans="32:33" x14ac:dyDescent="0.4">
      <c r="AF2995" s="19">
        <v>20140618</v>
      </c>
      <c r="AG2995" s="17">
        <v>2607.5515787583131</v>
      </c>
    </row>
    <row r="2996" spans="32:33" x14ac:dyDescent="0.4">
      <c r="AF2996" s="19">
        <v>20140619</v>
      </c>
      <c r="AG2996" s="18">
        <v>2610.0461147284859</v>
      </c>
    </row>
    <row r="2997" spans="32:33" x14ac:dyDescent="0.4">
      <c r="AF2997" s="19">
        <v>20140620</v>
      </c>
      <c r="AG2997" s="17">
        <v>2587.5690327235602</v>
      </c>
    </row>
    <row r="2998" spans="32:33" x14ac:dyDescent="0.4">
      <c r="AF2998" s="19">
        <v>20140621</v>
      </c>
      <c r="AG2998" s="17">
        <v>2587.437741356709</v>
      </c>
    </row>
    <row r="2999" spans="32:33" x14ac:dyDescent="0.4">
      <c r="AF2999" s="19">
        <v>20140622</v>
      </c>
      <c r="AG2999" s="17">
        <v>2587.3327082632281</v>
      </c>
    </row>
    <row r="3000" spans="32:33" x14ac:dyDescent="0.4">
      <c r="AF3000" s="19">
        <v>20140623</v>
      </c>
      <c r="AG3000" s="17">
        <v>2588.3830391980382</v>
      </c>
    </row>
    <row r="3001" spans="32:33" x14ac:dyDescent="0.4">
      <c r="AF3001" s="19">
        <v>20140624</v>
      </c>
      <c r="AG3001" s="18">
        <v>2601.4334010630469</v>
      </c>
    </row>
    <row r="3002" spans="32:33" x14ac:dyDescent="0.4">
      <c r="AF3002" s="19">
        <v>20140625</v>
      </c>
      <c r="AG3002" s="17">
        <v>2587.0176089827851</v>
      </c>
    </row>
    <row r="3003" spans="32:33" x14ac:dyDescent="0.4">
      <c r="AF3003" s="19">
        <v>20140626</v>
      </c>
      <c r="AG3003" s="17">
        <v>2599.1226730064659</v>
      </c>
    </row>
    <row r="3004" spans="32:33" x14ac:dyDescent="0.4">
      <c r="AF3004" s="19">
        <v>20140627</v>
      </c>
      <c r="AG3004" s="17">
        <v>2596.5493622161821</v>
      </c>
    </row>
    <row r="3005" spans="32:33" x14ac:dyDescent="0.4">
      <c r="AF3005" s="19">
        <v>20140628</v>
      </c>
      <c r="AG3005" s="17">
        <v>2596.4180708493309</v>
      </c>
    </row>
    <row r="3006" spans="32:33" x14ac:dyDescent="0.4">
      <c r="AF3006" s="19">
        <v>20140629</v>
      </c>
      <c r="AG3006" s="18">
        <v>2596.31303775585</v>
      </c>
    </row>
    <row r="3007" spans="32:33" x14ac:dyDescent="0.4">
      <c r="AF3007" s="19">
        <v>20140630</v>
      </c>
      <c r="AG3007" s="17">
        <v>2612.8820082524721</v>
      </c>
    </row>
    <row r="3008" spans="32:33" x14ac:dyDescent="0.4">
      <c r="AF3008" s="19">
        <v>20140701</v>
      </c>
      <c r="AG3008" s="17">
        <v>2619.3152852281801</v>
      </c>
    </row>
    <row r="3009" spans="32:33" x14ac:dyDescent="0.4">
      <c r="AF3009" s="19">
        <v>20140702</v>
      </c>
      <c r="AG3009" s="17">
        <v>2628.4006478142842</v>
      </c>
    </row>
    <row r="3010" spans="32:33" x14ac:dyDescent="0.4">
      <c r="AF3010" s="19">
        <v>20140703</v>
      </c>
      <c r="AG3010" s="17">
        <v>2627.8492240735081</v>
      </c>
    </row>
    <row r="3011" spans="32:33" x14ac:dyDescent="0.4">
      <c r="AF3011" s="19">
        <v>20140704</v>
      </c>
      <c r="AG3011" s="18">
        <v>2623.8842247946018</v>
      </c>
    </row>
    <row r="3012" spans="32:33" x14ac:dyDescent="0.4">
      <c r="AF3012" s="19">
        <v>20140705</v>
      </c>
      <c r="AG3012" s="17">
        <v>2623.752933427751</v>
      </c>
    </row>
    <row r="3013" spans="32:33" x14ac:dyDescent="0.4">
      <c r="AF3013" s="19">
        <v>20140706</v>
      </c>
      <c r="AG3013" s="17">
        <v>2623.6479003342702</v>
      </c>
    </row>
    <row r="3014" spans="32:33" x14ac:dyDescent="0.4">
      <c r="AF3014" s="19">
        <v>20140707</v>
      </c>
      <c r="AG3014" s="17">
        <v>2615.7704183231981</v>
      </c>
    </row>
    <row r="3015" spans="32:33" x14ac:dyDescent="0.4">
      <c r="AF3015" s="19">
        <v>20140708</v>
      </c>
      <c r="AG3015" s="17">
        <v>2620.39187443636</v>
      </c>
    </row>
    <row r="3016" spans="32:33" x14ac:dyDescent="0.4">
      <c r="AF3016" s="19">
        <v>20140709</v>
      </c>
      <c r="AG3016" s="18">
        <v>2627.7179327066569</v>
      </c>
    </row>
    <row r="3017" spans="32:33" x14ac:dyDescent="0.4">
      <c r="AF3017" s="19">
        <v>20140710</v>
      </c>
      <c r="AG3017" s="17">
        <v>2630.081177309979</v>
      </c>
    </row>
    <row r="3018" spans="32:33" x14ac:dyDescent="0.4">
      <c r="AF3018" s="19">
        <v>20140711</v>
      </c>
      <c r="AG3018" s="17">
        <v>2612.4356176051779</v>
      </c>
    </row>
    <row r="3019" spans="32:33" x14ac:dyDescent="0.4">
      <c r="AF3019" s="19">
        <v>20140712</v>
      </c>
      <c r="AG3019" s="17">
        <v>2612.330584511697</v>
      </c>
    </row>
    <row r="3020" spans="32:33" x14ac:dyDescent="0.4">
      <c r="AF3020" s="19">
        <v>20140713</v>
      </c>
      <c r="AG3020" s="17">
        <v>2612.1992931448449</v>
      </c>
    </row>
    <row r="3021" spans="32:33" x14ac:dyDescent="0.4">
      <c r="AF3021" s="19">
        <v>20140714</v>
      </c>
      <c r="AG3021" s="18">
        <v>2612.330584511697</v>
      </c>
    </row>
    <row r="3022" spans="32:33" x14ac:dyDescent="0.4">
      <c r="AF3022" s="19">
        <v>20140715</v>
      </c>
      <c r="AG3022" s="17">
        <v>2637.5910434938678</v>
      </c>
    </row>
    <row r="3023" spans="32:33" x14ac:dyDescent="0.4">
      <c r="AF3023" s="19">
        <v>20140716</v>
      </c>
      <c r="AG3023" s="17">
        <v>2636.6194873791692</v>
      </c>
    </row>
    <row r="3024" spans="32:33" x14ac:dyDescent="0.4">
      <c r="AF3024" s="19">
        <v>20140717</v>
      </c>
      <c r="AG3024" s="17">
        <v>2645.8098830587528</v>
      </c>
    </row>
    <row r="3025" spans="32:33" x14ac:dyDescent="0.4">
      <c r="AF3025" s="19">
        <v>20140718</v>
      </c>
      <c r="AG3025" s="17">
        <v>2642.9214729880259</v>
      </c>
    </row>
    <row r="3026" spans="32:33" x14ac:dyDescent="0.4">
      <c r="AF3026" s="19">
        <v>20140719</v>
      </c>
      <c r="AG3026" s="18">
        <v>2642.7901816211752</v>
      </c>
    </row>
    <row r="3027" spans="32:33" x14ac:dyDescent="0.4">
      <c r="AF3027" s="19">
        <v>20140720</v>
      </c>
      <c r="AG3027" s="17">
        <v>2642.658890254324</v>
      </c>
    </row>
    <row r="3028" spans="32:33" x14ac:dyDescent="0.4">
      <c r="AF3028" s="19">
        <v>20140721</v>
      </c>
      <c r="AG3028" s="17">
        <v>2646.5451147131189</v>
      </c>
    </row>
    <row r="3029" spans="32:33" x14ac:dyDescent="0.4">
      <c r="AF3029" s="19">
        <v>20140722</v>
      </c>
      <c r="AG3029" s="17">
        <v>2657.1534571546958</v>
      </c>
    </row>
    <row r="3030" spans="32:33" x14ac:dyDescent="0.4">
      <c r="AF3030" s="19">
        <v>20140723</v>
      </c>
      <c r="AG3030" s="17">
        <v>2667.2891506756091</v>
      </c>
    </row>
    <row r="3031" spans="32:33" x14ac:dyDescent="0.4">
      <c r="AF3031" s="19">
        <v>20140724</v>
      </c>
      <c r="AG3031" s="18">
        <v>2663.3241513967032</v>
      </c>
    </row>
    <row r="3032" spans="32:33" x14ac:dyDescent="0.4">
      <c r="AF3032" s="19">
        <v>20140725</v>
      </c>
      <c r="AG3032" s="17">
        <v>2679.4992477927708</v>
      </c>
    </row>
    <row r="3033" spans="32:33" x14ac:dyDescent="0.4">
      <c r="AF3033" s="19">
        <v>20140726</v>
      </c>
      <c r="AG3033" s="17">
        <v>2679.3942146992899</v>
      </c>
    </row>
    <row r="3034" spans="32:33" x14ac:dyDescent="0.4">
      <c r="AF3034" s="19">
        <v>20140727</v>
      </c>
      <c r="AG3034" s="17">
        <v>2679.2629233324378</v>
      </c>
    </row>
    <row r="3035" spans="32:33" x14ac:dyDescent="0.4">
      <c r="AF3035" s="19">
        <v>20140728</v>
      </c>
      <c r="AG3035" s="17">
        <v>2697.066032677461</v>
      </c>
    </row>
    <row r="3036" spans="32:33" x14ac:dyDescent="0.4">
      <c r="AF3036" s="19">
        <v>20140729</v>
      </c>
      <c r="AG3036" s="18">
        <v>2722.9829484938882</v>
      </c>
    </row>
    <row r="3037" spans="32:33" x14ac:dyDescent="0.4">
      <c r="AF3037" s="19">
        <v>20140730</v>
      </c>
      <c r="AG3037" s="17">
        <v>2754.2828103512138</v>
      </c>
    </row>
    <row r="3038" spans="32:33" x14ac:dyDescent="0.4">
      <c r="AF3038" s="19">
        <v>20140731</v>
      </c>
      <c r="AG3038" s="17">
        <v>2749.7926456049031</v>
      </c>
    </row>
    <row r="3039" spans="32:33" x14ac:dyDescent="0.4">
      <c r="AF3039" s="19">
        <v>20140801</v>
      </c>
      <c r="AG3039" s="17">
        <v>2741.2849650329449</v>
      </c>
    </row>
    <row r="3040" spans="32:33" x14ac:dyDescent="0.4">
      <c r="AF3040" s="19">
        <v>20140802</v>
      </c>
      <c r="AG3040" s="17">
        <v>2741.1536736660942</v>
      </c>
    </row>
    <row r="3041" spans="32:33" x14ac:dyDescent="0.4">
      <c r="AF3041" s="19">
        <v>20140803</v>
      </c>
      <c r="AG3041" s="18">
        <v>2741.022382299243</v>
      </c>
    </row>
    <row r="3042" spans="32:33" x14ac:dyDescent="0.4">
      <c r="AF3042" s="19">
        <v>20140804</v>
      </c>
      <c r="AG3042" s="17">
        <v>2748.821089490204</v>
      </c>
    </row>
    <row r="3043" spans="32:33" x14ac:dyDescent="0.4">
      <c r="AF3043" s="19">
        <v>20140805</v>
      </c>
      <c r="AG3043" s="17">
        <v>2740.2608923715061</v>
      </c>
    </row>
    <row r="3044" spans="32:33" x14ac:dyDescent="0.4">
      <c r="AF3044" s="19">
        <v>20140806</v>
      </c>
      <c r="AG3044" s="17">
        <v>2732.6197348207661</v>
      </c>
    </row>
    <row r="3045" spans="32:33" x14ac:dyDescent="0.4">
      <c r="AF3045" s="19">
        <v>20140807</v>
      </c>
      <c r="AG3045" s="17">
        <v>2716.7072211584009</v>
      </c>
    </row>
    <row r="3046" spans="32:33" x14ac:dyDescent="0.4">
      <c r="AF3046" s="19">
        <v>20140808</v>
      </c>
      <c r="AG3046" s="18">
        <v>2690.895338435455</v>
      </c>
    </row>
    <row r="3047" spans="32:33" x14ac:dyDescent="0.4">
      <c r="AF3047" s="19">
        <v>20140809</v>
      </c>
      <c r="AG3047" s="17">
        <v>2690.7640470686042</v>
      </c>
    </row>
    <row r="3048" spans="32:33" x14ac:dyDescent="0.4">
      <c r="AF3048" s="19">
        <v>20140810</v>
      </c>
      <c r="AG3048" s="17">
        <v>2690.6590139751229</v>
      </c>
    </row>
    <row r="3049" spans="32:33" x14ac:dyDescent="0.4">
      <c r="AF3049" s="19">
        <v>20140811</v>
      </c>
      <c r="AG3049" s="17">
        <v>2708.8034808739581</v>
      </c>
    </row>
    <row r="3050" spans="32:33" x14ac:dyDescent="0.4">
      <c r="AF3050" s="19">
        <v>20140812</v>
      </c>
      <c r="AG3050" s="17">
        <v>2711.9807319517572</v>
      </c>
    </row>
    <row r="3051" spans="32:33" x14ac:dyDescent="0.4">
      <c r="AF3051" s="19">
        <v>20140813</v>
      </c>
      <c r="AG3051" s="18">
        <v>2731.9370197131402</v>
      </c>
    </row>
    <row r="3052" spans="32:33" x14ac:dyDescent="0.4">
      <c r="AF3052" s="19">
        <v>20140814</v>
      </c>
      <c r="AG3052" s="17">
        <v>2740.3134089182458</v>
      </c>
    </row>
    <row r="3053" spans="32:33" x14ac:dyDescent="0.4">
      <c r="AF3053" s="19">
        <v>20140815</v>
      </c>
      <c r="AG3053" s="17">
        <v>2740.1821175513951</v>
      </c>
    </row>
    <row r="3054" spans="32:33" x14ac:dyDescent="0.4">
      <c r="AF3054" s="19">
        <v>20140816</v>
      </c>
      <c r="AG3054" s="17">
        <v>2740.0508261845439</v>
      </c>
    </row>
    <row r="3055" spans="32:33" x14ac:dyDescent="0.4">
      <c r="AF3055" s="19">
        <v>20140817</v>
      </c>
      <c r="AG3055" s="17">
        <v>2739.945793091063</v>
      </c>
    </row>
    <row r="3056" spans="32:33" x14ac:dyDescent="0.4">
      <c r="AF3056" s="19">
        <v>20140818</v>
      </c>
      <c r="AG3056" s="18">
        <v>2727.9195038874932</v>
      </c>
    </row>
    <row r="3057" spans="32:33" x14ac:dyDescent="0.4">
      <c r="AF3057" s="19">
        <v>20140819</v>
      </c>
      <c r="AG3057" s="17">
        <v>2744.147116830301</v>
      </c>
    </row>
    <row r="3058" spans="32:33" x14ac:dyDescent="0.4">
      <c r="AF3058" s="19">
        <v>20140820</v>
      </c>
      <c r="AG3058" s="17">
        <v>2743.5431765427861</v>
      </c>
    </row>
    <row r="3059" spans="32:33" x14ac:dyDescent="0.4">
      <c r="AF3059" s="19">
        <v>20140821</v>
      </c>
      <c r="AG3059" s="17">
        <v>2713.2148708001591</v>
      </c>
    </row>
    <row r="3060" spans="32:33" x14ac:dyDescent="0.4">
      <c r="AF3060" s="19">
        <v>20140822</v>
      </c>
      <c r="AG3060" s="17">
        <v>2727.5781463336798</v>
      </c>
    </row>
    <row r="3061" spans="32:33" x14ac:dyDescent="0.4">
      <c r="AF3061" s="19">
        <v>20140823</v>
      </c>
      <c r="AG3061" s="18">
        <v>2727.4731132401989</v>
      </c>
    </row>
    <row r="3062" spans="32:33" x14ac:dyDescent="0.4">
      <c r="AF3062" s="19">
        <v>20140824</v>
      </c>
      <c r="AG3062" s="17">
        <v>2727.3418218733482</v>
      </c>
    </row>
    <row r="3063" spans="32:33" x14ac:dyDescent="0.4">
      <c r="AF3063" s="19">
        <v>20140825</v>
      </c>
      <c r="AG3063" s="17">
        <v>2730.9392053250708</v>
      </c>
    </row>
    <row r="3064" spans="32:33" x14ac:dyDescent="0.4">
      <c r="AF3064" s="19">
        <v>20140826</v>
      </c>
      <c r="AG3064" s="17">
        <v>2743.0180110753809</v>
      </c>
    </row>
    <row r="3065" spans="32:33" x14ac:dyDescent="0.4">
      <c r="AF3065" s="19">
        <v>20140827</v>
      </c>
      <c r="AG3065" s="17">
        <v>2759.4819484785221</v>
      </c>
    </row>
    <row r="3066" spans="32:33" x14ac:dyDescent="0.4">
      <c r="AF3066" s="19">
        <v>20140828</v>
      </c>
      <c r="AG3066" s="18">
        <v>2762.5804247362098</v>
      </c>
    </row>
    <row r="3067" spans="32:33" x14ac:dyDescent="0.4">
      <c r="AF3067" s="19">
        <v>20140829</v>
      </c>
      <c r="AG3067" s="17">
        <v>2752.8648635892209</v>
      </c>
    </row>
    <row r="3068" spans="32:33" x14ac:dyDescent="0.4">
      <c r="AF3068" s="19">
        <v>20140830</v>
      </c>
      <c r="AG3068" s="17">
        <v>2752.7335722223702</v>
      </c>
    </row>
    <row r="3069" spans="32:33" x14ac:dyDescent="0.4">
      <c r="AF3069" s="19">
        <v>20140831</v>
      </c>
      <c r="AG3069" s="17">
        <v>2752.602280855519</v>
      </c>
    </row>
    <row r="3070" spans="32:33" x14ac:dyDescent="0.4">
      <c r="AF3070" s="19">
        <v>20140901</v>
      </c>
      <c r="AG3070" s="17">
        <v>2752.3922146685568</v>
      </c>
    </row>
    <row r="3071" spans="32:33" x14ac:dyDescent="0.4">
      <c r="AF3071" s="19">
        <v>20140902</v>
      </c>
      <c r="AG3071" s="18">
        <v>2739.6569520839898</v>
      </c>
    </row>
    <row r="3072" spans="32:33" x14ac:dyDescent="0.4">
      <c r="AF3072" s="19">
        <v>20140903</v>
      </c>
      <c r="AG3072" s="17">
        <v>2745.1449312183709</v>
      </c>
    </row>
    <row r="3073" spans="32:33" x14ac:dyDescent="0.4">
      <c r="AF3073" s="19">
        <v>20140904</v>
      </c>
      <c r="AG3073" s="17">
        <v>2751.7620161076711</v>
      </c>
    </row>
    <row r="3074" spans="32:33" x14ac:dyDescent="0.4">
      <c r="AF3074" s="19">
        <v>20140905</v>
      </c>
      <c r="AG3074" s="17">
        <v>2742.9392362552699</v>
      </c>
    </row>
    <row r="3075" spans="32:33" x14ac:dyDescent="0.4">
      <c r="AF3075" s="19">
        <v>20140906</v>
      </c>
      <c r="AG3075" s="17">
        <v>2742.8079448884191</v>
      </c>
    </row>
    <row r="3076" spans="32:33" x14ac:dyDescent="0.4">
      <c r="AF3076" s="19">
        <v>20140907</v>
      </c>
      <c r="AG3076" s="18">
        <v>2742.6766535215679</v>
      </c>
    </row>
    <row r="3077" spans="32:33" x14ac:dyDescent="0.4">
      <c r="AF3077" s="19">
        <v>20140908</v>
      </c>
      <c r="AG3077" s="17">
        <v>2742.571620428087</v>
      </c>
    </row>
    <row r="3078" spans="32:33" x14ac:dyDescent="0.4">
      <c r="AF3078" s="19">
        <v>20140909</v>
      </c>
      <c r="AG3078" s="17">
        <v>2742.4403290612358</v>
      </c>
    </row>
    <row r="3079" spans="32:33" x14ac:dyDescent="0.4">
      <c r="AF3079" s="19">
        <v>20140910</v>
      </c>
      <c r="AG3079" s="17">
        <v>2742.3090376943851</v>
      </c>
    </row>
    <row r="3080" spans="32:33" x14ac:dyDescent="0.4">
      <c r="AF3080" s="19">
        <v>20140911</v>
      </c>
      <c r="AG3080" s="17">
        <v>2729.0748679157841</v>
      </c>
    </row>
    <row r="3081" spans="32:33" x14ac:dyDescent="0.4">
      <c r="AF3081" s="19">
        <v>20140912</v>
      </c>
      <c r="AG3081" s="18">
        <v>2730.5453312245172</v>
      </c>
    </row>
    <row r="3082" spans="32:33" x14ac:dyDescent="0.4">
      <c r="AF3082" s="19">
        <v>20140913</v>
      </c>
      <c r="AG3082" s="17">
        <v>2730.4402981310359</v>
      </c>
    </row>
    <row r="3083" spans="32:33" x14ac:dyDescent="0.4">
      <c r="AF3083" s="19">
        <v>20140914</v>
      </c>
      <c r="AG3083" s="17">
        <v>2730.3090067641851</v>
      </c>
    </row>
    <row r="3084" spans="32:33" x14ac:dyDescent="0.4">
      <c r="AF3084" s="19">
        <v>20140915</v>
      </c>
      <c r="AG3084" s="17">
        <v>2718.6240751144278</v>
      </c>
    </row>
    <row r="3085" spans="32:33" x14ac:dyDescent="0.4">
      <c r="AF3085" s="19">
        <v>20140916</v>
      </c>
      <c r="AG3085" s="17">
        <v>2719.9632470563101</v>
      </c>
    </row>
    <row r="3086" spans="32:33" x14ac:dyDescent="0.4">
      <c r="AF3086" s="19">
        <v>20140917</v>
      </c>
      <c r="AG3086" s="18">
        <v>2744.803573664557</v>
      </c>
    </row>
    <row r="3087" spans="32:33" x14ac:dyDescent="0.4">
      <c r="AF3087" s="19">
        <v>20140918</v>
      </c>
      <c r="AG3087" s="17">
        <v>2719.6744060492379</v>
      </c>
    </row>
    <row r="3088" spans="32:33" x14ac:dyDescent="0.4">
      <c r="AF3088" s="19">
        <v>20140919</v>
      </c>
      <c r="AG3088" s="17">
        <v>2722.5628161199638</v>
      </c>
    </row>
    <row r="3089" spans="32:33" x14ac:dyDescent="0.4">
      <c r="AF3089" s="19">
        <v>20140920</v>
      </c>
      <c r="AG3089" s="17">
        <v>2722.4315247531131</v>
      </c>
    </row>
    <row r="3090" spans="32:33" x14ac:dyDescent="0.4">
      <c r="AF3090" s="19">
        <v>20140921</v>
      </c>
      <c r="AG3090" s="17">
        <v>2722.3264916596322</v>
      </c>
    </row>
    <row r="3091" spans="32:33" x14ac:dyDescent="0.4">
      <c r="AF3091" s="19">
        <v>20140922</v>
      </c>
      <c r="AG3091" s="18">
        <v>2711.0616923837988</v>
      </c>
    </row>
    <row r="3092" spans="32:33" x14ac:dyDescent="0.4">
      <c r="AF3092" s="19">
        <v>20140923</v>
      </c>
      <c r="AG3092" s="17">
        <v>2701.004773682997</v>
      </c>
    </row>
    <row r="3093" spans="32:33" x14ac:dyDescent="0.4">
      <c r="AF3093" s="19">
        <v>20140924</v>
      </c>
      <c r="AG3093" s="17">
        <v>2712.5584139659031</v>
      </c>
    </row>
    <row r="3094" spans="32:33" x14ac:dyDescent="0.4">
      <c r="AF3094" s="19">
        <v>20140925</v>
      </c>
      <c r="AG3094" s="17">
        <v>2708.8559974206992</v>
      </c>
    </row>
    <row r="3095" spans="32:33" x14ac:dyDescent="0.4">
      <c r="AF3095" s="19">
        <v>20140926</v>
      </c>
      <c r="AG3095" s="17">
        <v>2714.2126851882281</v>
      </c>
    </row>
    <row r="3096" spans="32:33" x14ac:dyDescent="0.4">
      <c r="AF3096" s="19">
        <v>20140927</v>
      </c>
      <c r="AG3096" s="18">
        <v>2714.0813938213769</v>
      </c>
    </row>
    <row r="3097" spans="32:33" x14ac:dyDescent="0.4">
      <c r="AF3097" s="19">
        <v>20140928</v>
      </c>
      <c r="AG3097" s="17">
        <v>2713.976360727896</v>
      </c>
    </row>
    <row r="3098" spans="32:33" x14ac:dyDescent="0.4">
      <c r="AF3098" s="19">
        <v>20140929</v>
      </c>
      <c r="AG3098" s="17">
        <v>2719.9895053296809</v>
      </c>
    </row>
    <row r="3099" spans="32:33" x14ac:dyDescent="0.4">
      <c r="AF3099" s="19">
        <v>20140930</v>
      </c>
      <c r="AG3099" s="17">
        <v>2710.5102686430241</v>
      </c>
    </row>
    <row r="3100" spans="32:33" x14ac:dyDescent="0.4">
      <c r="AF3100" s="19">
        <v>20141001</v>
      </c>
      <c r="AG3100" s="17">
        <v>2684.88219383367</v>
      </c>
    </row>
    <row r="3101" spans="32:33" x14ac:dyDescent="0.4">
      <c r="AF3101" s="19">
        <v>20141002</v>
      </c>
      <c r="AG3101" s="18">
        <v>2672.6983549898782</v>
      </c>
    </row>
    <row r="3102" spans="32:33" x14ac:dyDescent="0.4">
      <c r="AF3102" s="19">
        <v>20141003</v>
      </c>
      <c r="AG3102" s="17">
        <v>2672.567063623027</v>
      </c>
    </row>
    <row r="3103" spans="32:33" x14ac:dyDescent="0.4">
      <c r="AF3103" s="19">
        <v>20141004</v>
      </c>
      <c r="AG3103" s="17">
        <v>2672.4620305295462</v>
      </c>
    </row>
    <row r="3104" spans="32:33" x14ac:dyDescent="0.4">
      <c r="AF3104" s="19">
        <v>20141005</v>
      </c>
      <c r="AG3104" s="17">
        <v>2672.330739162695</v>
      </c>
    </row>
    <row r="3105" spans="32:33" x14ac:dyDescent="0.4">
      <c r="AF3105" s="19">
        <v>20141006</v>
      </c>
      <c r="AG3105" s="17">
        <v>2672.068156428993</v>
      </c>
    </row>
    <row r="3106" spans="32:33" x14ac:dyDescent="0.4">
      <c r="AF3106" s="19">
        <v>20141007</v>
      </c>
      <c r="AG3106" s="18">
        <v>2678.5276916780722</v>
      </c>
    </row>
    <row r="3107" spans="32:33" x14ac:dyDescent="0.4">
      <c r="AF3107" s="19">
        <v>20141008</v>
      </c>
      <c r="AG3107" s="17">
        <v>2661.9062046347099</v>
      </c>
    </row>
    <row r="3108" spans="32:33" x14ac:dyDescent="0.4">
      <c r="AF3108" s="19">
        <v>20141009</v>
      </c>
      <c r="AG3108" s="17">
        <v>2661.7749132678591</v>
      </c>
    </row>
    <row r="3109" spans="32:33" x14ac:dyDescent="0.4">
      <c r="AF3109" s="19">
        <v>20141010</v>
      </c>
      <c r="AG3109" s="17">
        <v>2649.5122996039559</v>
      </c>
    </row>
    <row r="3110" spans="32:33" x14ac:dyDescent="0.4">
      <c r="AF3110" s="19">
        <v>20141011</v>
      </c>
      <c r="AG3110" s="17">
        <v>2649.3810082371051</v>
      </c>
    </row>
    <row r="3111" spans="32:33" x14ac:dyDescent="0.4">
      <c r="AF3111" s="19">
        <v>20141012</v>
      </c>
      <c r="AG3111" s="18">
        <v>2649.2759751436238</v>
      </c>
    </row>
    <row r="3112" spans="32:33" x14ac:dyDescent="0.4">
      <c r="AF3112" s="19">
        <v>20141013</v>
      </c>
      <c r="AG3112" s="17">
        <v>2629.6610449360551</v>
      </c>
    </row>
    <row r="3113" spans="32:33" x14ac:dyDescent="0.4">
      <c r="AF3113" s="19">
        <v>20141014</v>
      </c>
      <c r="AG3113" s="17">
        <v>2630.6851175974939</v>
      </c>
    </row>
    <row r="3114" spans="32:33" x14ac:dyDescent="0.4">
      <c r="AF3114" s="19">
        <v>20141015</v>
      </c>
      <c r="AG3114" s="17">
        <v>2624.2780988951558</v>
      </c>
    </row>
    <row r="3115" spans="32:33" x14ac:dyDescent="0.4">
      <c r="AF3115" s="19">
        <v>20141016</v>
      </c>
      <c r="AG3115" s="17">
        <v>2606.6062809169839</v>
      </c>
    </row>
    <row r="3116" spans="32:33" x14ac:dyDescent="0.4">
      <c r="AF3116" s="19">
        <v>20141017</v>
      </c>
      <c r="AG3116" s="18">
        <v>2585.3108212137199</v>
      </c>
    </row>
    <row r="3117" spans="32:33" x14ac:dyDescent="0.4">
      <c r="AF3117" s="19">
        <v>20141018</v>
      </c>
      <c r="AG3117" s="17">
        <v>2585.205788120239</v>
      </c>
    </row>
    <row r="3118" spans="32:33" x14ac:dyDescent="0.4">
      <c r="AF3118" s="19">
        <v>20141019</v>
      </c>
      <c r="AG3118" s="17">
        <v>2585.0744967533878</v>
      </c>
    </row>
    <row r="3119" spans="32:33" x14ac:dyDescent="0.4">
      <c r="AF3119" s="19">
        <v>20141020</v>
      </c>
      <c r="AG3119" s="17">
        <v>2609.284624800749</v>
      </c>
    </row>
    <row r="3120" spans="32:33" x14ac:dyDescent="0.4">
      <c r="AF3120" s="19">
        <v>20141021</v>
      </c>
      <c r="AG3120" s="17">
        <v>2602.3261823576349</v>
      </c>
    </row>
    <row r="3121" spans="32:33" x14ac:dyDescent="0.4">
      <c r="AF3121" s="19">
        <v>20141022</v>
      </c>
      <c r="AG3121" s="18">
        <v>2625.2759132832248</v>
      </c>
    </row>
    <row r="3122" spans="32:33" x14ac:dyDescent="0.4">
      <c r="AF3122" s="19">
        <v>20141023</v>
      </c>
      <c r="AG3122" s="17">
        <v>2626.9301845055502</v>
      </c>
    </row>
    <row r="3123" spans="32:33" x14ac:dyDescent="0.4">
      <c r="AF3123" s="19">
        <v>20141024</v>
      </c>
      <c r="AG3123" s="17">
        <v>2631.9980312660059</v>
      </c>
    </row>
    <row r="3124" spans="32:33" x14ac:dyDescent="0.4">
      <c r="AF3124" s="19">
        <v>20141025</v>
      </c>
      <c r="AG3124" s="17">
        <v>2631.8667398991552</v>
      </c>
    </row>
    <row r="3125" spans="32:33" x14ac:dyDescent="0.4">
      <c r="AF3125" s="19">
        <v>20141026</v>
      </c>
      <c r="AG3125" s="17">
        <v>2631.7617068056738</v>
      </c>
    </row>
    <row r="3126" spans="32:33" x14ac:dyDescent="0.4">
      <c r="AF3126" s="19">
        <v>20141027</v>
      </c>
      <c r="AG3126" s="18">
        <v>2656.6282916872919</v>
      </c>
    </row>
    <row r="3127" spans="32:33" x14ac:dyDescent="0.4">
      <c r="AF3127" s="19">
        <v>20141028</v>
      </c>
      <c r="AG3127" s="17">
        <v>2644.9171017641638</v>
      </c>
    </row>
    <row r="3128" spans="32:33" x14ac:dyDescent="0.4">
      <c r="AF3128" s="19">
        <v>20141029</v>
      </c>
      <c r="AG3128" s="17">
        <v>2665.818687366876</v>
      </c>
    </row>
    <row r="3129" spans="32:33" x14ac:dyDescent="0.4">
      <c r="AF3129" s="19">
        <v>20141030</v>
      </c>
      <c r="AG3129" s="17">
        <v>2652.3481931279421</v>
      </c>
    </row>
    <row r="3130" spans="32:33" x14ac:dyDescent="0.4">
      <c r="AF3130" s="19">
        <v>20141031</v>
      </c>
      <c r="AG3130" s="17">
        <v>2643.9192873760949</v>
      </c>
    </row>
    <row r="3131" spans="32:33" x14ac:dyDescent="0.4">
      <c r="AF3131" s="19">
        <v>20141101</v>
      </c>
      <c r="AG3131" s="18">
        <v>2643.7879960092441</v>
      </c>
    </row>
    <row r="3132" spans="32:33" x14ac:dyDescent="0.4">
      <c r="AF3132" s="19">
        <v>20141102</v>
      </c>
      <c r="AG3132" s="17">
        <v>2643.6829629157628</v>
      </c>
    </row>
    <row r="3133" spans="32:33" x14ac:dyDescent="0.4">
      <c r="AF3133" s="19">
        <v>20141103</v>
      </c>
      <c r="AG3133" s="17">
        <v>2625.3809463767061</v>
      </c>
    </row>
    <row r="3134" spans="32:33" x14ac:dyDescent="0.4">
      <c r="AF3134" s="19">
        <v>20141104</v>
      </c>
      <c r="AG3134" s="17">
        <v>2612.4618758785482</v>
      </c>
    </row>
    <row r="3135" spans="32:33" x14ac:dyDescent="0.4">
      <c r="AF3135" s="19">
        <v>20141105</v>
      </c>
      <c r="AG3135" s="17">
        <v>2614.483762928056</v>
      </c>
    </row>
    <row r="3136" spans="32:33" x14ac:dyDescent="0.4">
      <c r="AF3136" s="19">
        <v>20141106</v>
      </c>
      <c r="AG3136" s="18">
        <v>2604.8469766011781</v>
      </c>
    </row>
    <row r="3137" spans="32:33" x14ac:dyDescent="0.4">
      <c r="AF3137" s="19">
        <v>20141107</v>
      </c>
      <c r="AG3137" s="17">
        <v>2609.5734658078209</v>
      </c>
    </row>
    <row r="3138" spans="32:33" x14ac:dyDescent="0.4">
      <c r="AF3138" s="19">
        <v>20141108</v>
      </c>
      <c r="AG3138" s="17">
        <v>2609.4421744409701</v>
      </c>
    </row>
    <row r="3139" spans="32:33" x14ac:dyDescent="0.4">
      <c r="AF3139" s="19">
        <v>20141109</v>
      </c>
      <c r="AG3139" s="17">
        <v>2609.3371413474888</v>
      </c>
    </row>
    <row r="3140" spans="32:33" x14ac:dyDescent="0.4">
      <c r="AF3140" s="19">
        <v>20141110</v>
      </c>
      <c r="AG3140" s="17">
        <v>2604.3480694071441</v>
      </c>
    </row>
    <row r="3141" spans="32:33" x14ac:dyDescent="0.4">
      <c r="AF3141" s="19">
        <v>20141111</v>
      </c>
      <c r="AG3141" s="18">
        <v>2613.485948539987</v>
      </c>
    </row>
    <row r="3142" spans="32:33" x14ac:dyDescent="0.4">
      <c r="AF3142" s="19">
        <v>20141112</v>
      </c>
      <c r="AG3142" s="17">
        <v>2609.46843271434</v>
      </c>
    </row>
    <row r="3143" spans="32:33" x14ac:dyDescent="0.4">
      <c r="AF3143" s="19">
        <v>20141113</v>
      </c>
      <c r="AG3143" s="17">
        <v>2616.531908250935</v>
      </c>
    </row>
    <row r="3144" spans="32:33" x14ac:dyDescent="0.4">
      <c r="AF3144" s="19">
        <v>20141114</v>
      </c>
      <c r="AG3144" s="17">
        <v>2605.1620758816211</v>
      </c>
    </row>
    <row r="3145" spans="32:33" x14ac:dyDescent="0.4">
      <c r="AF3145" s="19">
        <v>20141115</v>
      </c>
      <c r="AG3145" s="17">
        <v>2605.0570427881398</v>
      </c>
    </row>
    <row r="3146" spans="32:33" x14ac:dyDescent="0.4">
      <c r="AF3146" s="19">
        <v>20141116</v>
      </c>
      <c r="AG3146" s="18">
        <v>2604.9257514212891</v>
      </c>
    </row>
    <row r="3147" spans="32:33" x14ac:dyDescent="0.4">
      <c r="AF3147" s="19">
        <v>20141117</v>
      </c>
      <c r="AG3147" s="17">
        <v>2593.765985238937</v>
      </c>
    </row>
    <row r="3148" spans="32:33" x14ac:dyDescent="0.4">
      <c r="AF3148" s="19">
        <v>20141118</v>
      </c>
      <c r="AG3148" s="17">
        <v>2616.2430672438618</v>
      </c>
    </row>
    <row r="3149" spans="32:33" x14ac:dyDescent="0.4">
      <c r="AF3149" s="19">
        <v>20141119</v>
      </c>
      <c r="AG3149" s="17">
        <v>2629.424720475723</v>
      </c>
    </row>
    <row r="3150" spans="32:33" x14ac:dyDescent="0.4">
      <c r="AF3150" s="19">
        <v>20141120</v>
      </c>
      <c r="AG3150" s="17">
        <v>2615.8229348699392</v>
      </c>
    </row>
    <row r="3151" spans="32:33" x14ac:dyDescent="0.4">
      <c r="AF3151" s="19">
        <v>20141121</v>
      </c>
      <c r="AG3151" s="18">
        <v>2612.3043262383262</v>
      </c>
    </row>
    <row r="3152" spans="32:33" x14ac:dyDescent="0.4">
      <c r="AF3152" s="19">
        <v>20141122</v>
      </c>
      <c r="AG3152" s="17">
        <v>2612.173034871475</v>
      </c>
    </row>
    <row r="3153" spans="32:33" x14ac:dyDescent="0.4">
      <c r="AF3153" s="19">
        <v>20141123</v>
      </c>
      <c r="AG3153" s="17">
        <v>2612.0680017779941</v>
      </c>
    </row>
    <row r="3154" spans="32:33" x14ac:dyDescent="0.4">
      <c r="AF3154" s="19">
        <v>20141124</v>
      </c>
      <c r="AG3154" s="17">
        <v>2607.3415125713509</v>
      </c>
    </row>
    <row r="3155" spans="32:33" x14ac:dyDescent="0.4">
      <c r="AF3155" s="19">
        <v>20141125</v>
      </c>
      <c r="AG3155" s="17">
        <v>2606.422473003393</v>
      </c>
    </row>
    <row r="3156" spans="32:33" x14ac:dyDescent="0.4">
      <c r="AF3156" s="19">
        <v>20141126</v>
      </c>
      <c r="AG3156" s="18">
        <v>2611.8054190442922</v>
      </c>
    </row>
    <row r="3157" spans="32:33" x14ac:dyDescent="0.4">
      <c r="AF3157" s="19">
        <v>20141127</v>
      </c>
      <c r="AG3157" s="17">
        <v>2608.2605521393089</v>
      </c>
    </row>
    <row r="3158" spans="32:33" x14ac:dyDescent="0.4">
      <c r="AF3158" s="19">
        <v>20141128</v>
      </c>
      <c r="AG3158" s="17">
        <v>2604.1905197669221</v>
      </c>
    </row>
    <row r="3159" spans="32:33" x14ac:dyDescent="0.4">
      <c r="AF3159" s="19">
        <v>20141129</v>
      </c>
      <c r="AG3159" s="17">
        <v>2604.0592284000709</v>
      </c>
    </row>
    <row r="3160" spans="32:33" x14ac:dyDescent="0.4">
      <c r="AF3160" s="19">
        <v>20141130</v>
      </c>
      <c r="AG3160" s="17">
        <v>2603.95419530659</v>
      </c>
    </row>
    <row r="3161" spans="32:33" x14ac:dyDescent="0.4">
      <c r="AF3161" s="19">
        <v>20141201</v>
      </c>
      <c r="AG3161" s="18">
        <v>2586.124827688197</v>
      </c>
    </row>
    <row r="3162" spans="32:33" x14ac:dyDescent="0.4">
      <c r="AF3162" s="19">
        <v>20141202</v>
      </c>
      <c r="AG3162" s="17">
        <v>2584.0504240919481</v>
      </c>
    </row>
    <row r="3163" spans="32:33" x14ac:dyDescent="0.4">
      <c r="AF3163" s="19">
        <v>20141203</v>
      </c>
      <c r="AG3163" s="17">
        <v>2587.3327082632281</v>
      </c>
    </row>
    <row r="3164" spans="32:33" x14ac:dyDescent="0.4">
      <c r="AF3164" s="19">
        <v>20141204</v>
      </c>
      <c r="AG3164" s="17">
        <v>2603.0088974652608</v>
      </c>
    </row>
    <row r="3165" spans="32:33" x14ac:dyDescent="0.4">
      <c r="AF3165" s="19">
        <v>20141205</v>
      </c>
      <c r="AG3165" s="17">
        <v>2595.7616140150749</v>
      </c>
    </row>
    <row r="3166" spans="32:33" x14ac:dyDescent="0.4">
      <c r="AF3166" s="19">
        <v>20141206</v>
      </c>
      <c r="AG3166" s="18">
        <v>2595.656580921594</v>
      </c>
    </row>
    <row r="3167" spans="32:33" x14ac:dyDescent="0.4">
      <c r="AF3167" s="19">
        <v>20141207</v>
      </c>
      <c r="AG3167" s="17">
        <v>2595.5515478281131</v>
      </c>
    </row>
    <row r="3168" spans="32:33" x14ac:dyDescent="0.4">
      <c r="AF3168" s="19">
        <v>20141208</v>
      </c>
      <c r="AG3168" s="17">
        <v>2586.938834162675</v>
      </c>
    </row>
    <row r="3169" spans="32:33" x14ac:dyDescent="0.4">
      <c r="AF3169" s="19">
        <v>20141209</v>
      </c>
      <c r="AG3169" s="17">
        <v>2573.888472297665</v>
      </c>
    </row>
    <row r="3170" spans="32:33" x14ac:dyDescent="0.4">
      <c r="AF3170" s="19">
        <v>20141210</v>
      </c>
      <c r="AG3170" s="17">
        <v>2558.8162233831481</v>
      </c>
    </row>
    <row r="3171" spans="32:33" x14ac:dyDescent="0.4">
      <c r="AF3171" s="19">
        <v>20141211</v>
      </c>
      <c r="AG3171" s="18">
        <v>2539.201293175578</v>
      </c>
    </row>
    <row r="3172" spans="32:33" x14ac:dyDescent="0.4">
      <c r="AF3172" s="19">
        <v>20141212</v>
      </c>
      <c r="AG3172" s="17">
        <v>2549.7571190704148</v>
      </c>
    </row>
    <row r="3173" spans="32:33" x14ac:dyDescent="0.4">
      <c r="AF3173" s="19">
        <v>20141213</v>
      </c>
      <c r="AG3173" s="17">
        <v>2549.6520859769339</v>
      </c>
    </row>
    <row r="3174" spans="32:33" x14ac:dyDescent="0.4">
      <c r="AF3174" s="19">
        <v>20141214</v>
      </c>
      <c r="AG3174" s="17">
        <v>2549.547052883453</v>
      </c>
    </row>
    <row r="3175" spans="32:33" x14ac:dyDescent="0.4">
      <c r="AF3175" s="19">
        <v>20141215</v>
      </c>
      <c r="AG3175" s="17">
        <v>2552.6455291411412</v>
      </c>
    </row>
    <row r="3176" spans="32:33" x14ac:dyDescent="0.4">
      <c r="AF3176" s="19">
        <v>20141216</v>
      </c>
      <c r="AG3176" s="18">
        <v>2527.621394619302</v>
      </c>
    </row>
    <row r="3177" spans="32:33" x14ac:dyDescent="0.4">
      <c r="AF3177" s="19">
        <v>20141217</v>
      </c>
      <c r="AG3177" s="17">
        <v>2525.8358320301259</v>
      </c>
    </row>
    <row r="3178" spans="32:33" x14ac:dyDescent="0.4">
      <c r="AF3178" s="19">
        <v>20141218</v>
      </c>
      <c r="AG3178" s="17">
        <v>2514.308450020591</v>
      </c>
    </row>
    <row r="3179" spans="32:33" x14ac:dyDescent="0.4">
      <c r="AF3179" s="19">
        <v>20141219</v>
      </c>
      <c r="AG3179" s="17">
        <v>2538.3347701543598</v>
      </c>
    </row>
    <row r="3180" spans="32:33" x14ac:dyDescent="0.4">
      <c r="AF3180" s="19">
        <v>20141220</v>
      </c>
      <c r="AG3180" s="17">
        <v>2538.229737060879</v>
      </c>
    </row>
    <row r="3181" spans="32:33" x14ac:dyDescent="0.4">
      <c r="AF3181" s="19">
        <v>20141221</v>
      </c>
      <c r="AG3181" s="18">
        <v>2538.0984456940282</v>
      </c>
    </row>
    <row r="3182" spans="32:33" x14ac:dyDescent="0.4">
      <c r="AF3182" s="19">
        <v>20141222</v>
      </c>
      <c r="AG3182" s="17">
        <v>2557.6608593548572</v>
      </c>
    </row>
    <row r="3183" spans="32:33" x14ac:dyDescent="0.4">
      <c r="AF3183" s="19">
        <v>20141223</v>
      </c>
      <c r="AG3183" s="17">
        <v>2554.6148996439092</v>
      </c>
    </row>
    <row r="3184" spans="32:33" x14ac:dyDescent="0.4">
      <c r="AF3184" s="19">
        <v>20141224</v>
      </c>
      <c r="AG3184" s="17">
        <v>2563.3851629495689</v>
      </c>
    </row>
    <row r="3185" spans="32:33" x14ac:dyDescent="0.4">
      <c r="AF3185" s="19">
        <v>20141225</v>
      </c>
      <c r="AG3185" s="17">
        <v>2563.280129856088</v>
      </c>
    </row>
    <row r="3186" spans="32:33" x14ac:dyDescent="0.4">
      <c r="AF3186" s="19">
        <v>20141226</v>
      </c>
      <c r="AG3186" s="18">
        <v>2561.9409579142061</v>
      </c>
    </row>
    <row r="3187" spans="32:33" x14ac:dyDescent="0.4">
      <c r="AF3187" s="19">
        <v>20141227</v>
      </c>
      <c r="AG3187" s="17">
        <v>2561.8359248207248</v>
      </c>
    </row>
    <row r="3188" spans="32:33" x14ac:dyDescent="0.4">
      <c r="AF3188" s="19">
        <v>20141228</v>
      </c>
      <c r="AG3188" s="17">
        <v>2561.7308917272439</v>
      </c>
    </row>
    <row r="3189" spans="32:33" x14ac:dyDescent="0.4">
      <c r="AF3189" s="19">
        <v>20141229</v>
      </c>
      <c r="AG3189" s="17">
        <v>2564.9081428050431</v>
      </c>
    </row>
    <row r="3190" spans="32:33" x14ac:dyDescent="0.4">
      <c r="AF3190" s="19">
        <v>20141230</v>
      </c>
      <c r="AG3190" s="17">
        <v>2557.030660793971</v>
      </c>
    </row>
    <row r="3191" spans="32:33" x14ac:dyDescent="0.4">
      <c r="AF3191" s="19">
        <v>20141231</v>
      </c>
      <c r="AG3191" s="18">
        <v>2556.9256277004902</v>
      </c>
    </row>
    <row r="3192" spans="32:33" x14ac:dyDescent="0.4">
      <c r="AF3192" s="19">
        <v>20150101</v>
      </c>
      <c r="AG3192" s="17">
        <v>2556.8205946070088</v>
      </c>
    </row>
    <row r="3193" spans="32:33" x14ac:dyDescent="0.4">
      <c r="AF3193" s="19">
        <v>20150102</v>
      </c>
      <c r="AG3193" s="17">
        <v>2564.9869176251541</v>
      </c>
    </row>
    <row r="3194" spans="32:33" x14ac:dyDescent="0.4">
      <c r="AF3194" s="19">
        <v>20150103</v>
      </c>
      <c r="AG3194" s="17">
        <v>2564.8818845316732</v>
      </c>
    </row>
    <row r="3195" spans="32:33" x14ac:dyDescent="0.4">
      <c r="AF3195" s="19">
        <v>20150104</v>
      </c>
      <c r="AG3195" s="17">
        <v>2564.7768514381919</v>
      </c>
    </row>
    <row r="3196" spans="32:33" x14ac:dyDescent="0.4">
      <c r="AF3196" s="19">
        <v>20150105</v>
      </c>
      <c r="AG3196" s="18">
        <v>2558.763706836407</v>
      </c>
    </row>
    <row r="3197" spans="32:33" x14ac:dyDescent="0.4">
      <c r="AF3197" s="19">
        <v>20150106</v>
      </c>
      <c r="AG3197" s="17">
        <v>2541.9584118794528</v>
      </c>
    </row>
    <row r="3198" spans="32:33" x14ac:dyDescent="0.4">
      <c r="AF3198" s="19">
        <v>20150107</v>
      </c>
      <c r="AG3198" s="17">
        <v>2540.1203327435369</v>
      </c>
    </row>
    <row r="3199" spans="32:33" x14ac:dyDescent="0.4">
      <c r="AF3199" s="19">
        <v>20150108</v>
      </c>
      <c r="AG3199" s="17">
        <v>2553.1181780618049</v>
      </c>
    </row>
    <row r="3200" spans="32:33" x14ac:dyDescent="0.4">
      <c r="AF3200" s="19">
        <v>20150109</v>
      </c>
      <c r="AG3200" s="17">
        <v>2569.0832082709112</v>
      </c>
    </row>
    <row r="3201" spans="32:33" x14ac:dyDescent="0.4">
      <c r="AF3201" s="19">
        <v>20150110</v>
      </c>
      <c r="AG3201" s="18">
        <v>2568.9781751774299</v>
      </c>
    </row>
    <row r="3202" spans="32:33" x14ac:dyDescent="0.4">
      <c r="AF3202" s="19">
        <v>20150111</v>
      </c>
      <c r="AG3202" s="17">
        <v>2568.8468838105791</v>
      </c>
    </row>
    <row r="3203" spans="32:33" x14ac:dyDescent="0.4">
      <c r="AF3203" s="19">
        <v>20150112</v>
      </c>
      <c r="AG3203" s="17">
        <v>2566.6149305741092</v>
      </c>
    </row>
    <row r="3204" spans="32:33" x14ac:dyDescent="0.4">
      <c r="AF3204" s="19">
        <v>20150113</v>
      </c>
      <c r="AG3204" s="17">
        <v>2565.1182089920048</v>
      </c>
    </row>
    <row r="3205" spans="32:33" x14ac:dyDescent="0.4">
      <c r="AF3205" s="19">
        <v>20150114</v>
      </c>
      <c r="AG3205" s="17">
        <v>2552.2253967672168</v>
      </c>
    </row>
    <row r="3206" spans="32:33" x14ac:dyDescent="0.4">
      <c r="AF3206" s="19">
        <v>20150115</v>
      </c>
      <c r="AG3206" s="18">
        <v>2557.5033097146361</v>
      </c>
    </row>
    <row r="3207" spans="32:33" x14ac:dyDescent="0.4">
      <c r="AF3207" s="19">
        <v>20150116</v>
      </c>
      <c r="AG3207" s="17">
        <v>2537.2056643994401</v>
      </c>
    </row>
    <row r="3208" spans="32:33" x14ac:dyDescent="0.4">
      <c r="AF3208" s="19">
        <v>20150117</v>
      </c>
      <c r="AG3208" s="17">
        <v>2537.1006313059588</v>
      </c>
    </row>
    <row r="3209" spans="32:33" x14ac:dyDescent="0.4">
      <c r="AF3209" s="19">
        <v>20150118</v>
      </c>
      <c r="AG3209" s="17">
        <v>2536.9693399391081</v>
      </c>
    </row>
    <row r="3210" spans="32:33" x14ac:dyDescent="0.4">
      <c r="AF3210" s="19">
        <v>20150119</v>
      </c>
      <c r="AG3210" s="17">
        <v>2541.8796370593432</v>
      </c>
    </row>
    <row r="3211" spans="32:33" x14ac:dyDescent="0.4">
      <c r="AF3211" s="19">
        <v>20150120</v>
      </c>
      <c r="AG3211" s="18">
        <v>2544.7155305833289</v>
      </c>
    </row>
    <row r="3212" spans="32:33" x14ac:dyDescent="0.4">
      <c r="AF3212" s="19">
        <v>20150121</v>
      </c>
      <c r="AG3212" s="17">
        <v>2551.9102974867742</v>
      </c>
    </row>
    <row r="3213" spans="32:33" x14ac:dyDescent="0.4">
      <c r="AF3213" s="19">
        <v>20150122</v>
      </c>
      <c r="AG3213" s="17">
        <v>2549.547052883453</v>
      </c>
    </row>
    <row r="3214" spans="32:33" x14ac:dyDescent="0.4">
      <c r="AF3214" s="19">
        <v>20150123</v>
      </c>
      <c r="AG3214" s="17">
        <v>2561.4157924468009</v>
      </c>
    </row>
    <row r="3215" spans="32:33" x14ac:dyDescent="0.4">
      <c r="AF3215" s="19">
        <v>20150124</v>
      </c>
      <c r="AG3215" s="17">
        <v>2561.2845010799501</v>
      </c>
    </row>
    <row r="3216" spans="32:33" x14ac:dyDescent="0.4">
      <c r="AF3216" s="19">
        <v>20150125</v>
      </c>
      <c r="AG3216" s="18">
        <v>2561.1794679864688</v>
      </c>
    </row>
    <row r="3217" spans="32:33" x14ac:dyDescent="0.4">
      <c r="AF3217" s="19">
        <v>20150126</v>
      </c>
      <c r="AG3217" s="17">
        <v>2561.3370176266908</v>
      </c>
    </row>
    <row r="3218" spans="32:33" x14ac:dyDescent="0.4">
      <c r="AF3218" s="19">
        <v>20150127</v>
      </c>
      <c r="AG3218" s="17">
        <v>2559.6302298576252</v>
      </c>
    </row>
    <row r="3219" spans="32:33" x14ac:dyDescent="0.4">
      <c r="AF3219" s="19">
        <v>20150128</v>
      </c>
      <c r="AG3219" s="17">
        <v>2560.15539532503</v>
      </c>
    </row>
    <row r="3220" spans="32:33" x14ac:dyDescent="0.4">
      <c r="AF3220" s="19">
        <v>20150129</v>
      </c>
      <c r="AG3220" s="17">
        <v>2551.043774465556</v>
      </c>
    </row>
    <row r="3221" spans="32:33" x14ac:dyDescent="0.4">
      <c r="AF3221" s="19">
        <v>20150130</v>
      </c>
      <c r="AG3221" s="18">
        <v>2548.811821229086</v>
      </c>
    </row>
    <row r="3222" spans="32:33" x14ac:dyDescent="0.4">
      <c r="AF3222" s="19">
        <v>20150131</v>
      </c>
      <c r="AG3222" s="17">
        <v>2548.6805298622348</v>
      </c>
    </row>
    <row r="3223" spans="32:33" x14ac:dyDescent="0.4">
      <c r="AF3223" s="19">
        <v>20150201</v>
      </c>
      <c r="AG3223" s="17">
        <v>2548.575496768754</v>
      </c>
    </row>
    <row r="3224" spans="32:33" x14ac:dyDescent="0.4">
      <c r="AF3224" s="19">
        <v>20150202</v>
      </c>
      <c r="AG3224" s="17">
        <v>2558.3173161891132</v>
      </c>
    </row>
    <row r="3225" spans="32:33" x14ac:dyDescent="0.4">
      <c r="AF3225" s="19">
        <v>20150203</v>
      </c>
      <c r="AG3225" s="17">
        <v>2553.013144968324</v>
      </c>
    </row>
    <row r="3226" spans="32:33" x14ac:dyDescent="0.4">
      <c r="AF3226" s="19">
        <v>20150204</v>
      </c>
      <c r="AG3226" s="18">
        <v>2566.7987384877001</v>
      </c>
    </row>
    <row r="3227" spans="32:33" x14ac:dyDescent="0.4">
      <c r="AF3227" s="19">
        <v>20150205</v>
      </c>
      <c r="AG3227" s="17">
        <v>2558.0809917287811</v>
      </c>
    </row>
    <row r="3228" spans="32:33" x14ac:dyDescent="0.4">
      <c r="AF3228" s="19">
        <v>20150206</v>
      </c>
      <c r="AG3228" s="17">
        <v>2556.794336333639</v>
      </c>
    </row>
    <row r="3229" spans="32:33" x14ac:dyDescent="0.4">
      <c r="AF3229" s="19">
        <v>20150207</v>
      </c>
      <c r="AG3229" s="17">
        <v>2556.6893032401581</v>
      </c>
    </row>
    <row r="3230" spans="32:33" x14ac:dyDescent="0.4">
      <c r="AF3230" s="19">
        <v>20150208</v>
      </c>
      <c r="AG3230" s="17">
        <v>2556.5842701466772</v>
      </c>
    </row>
    <row r="3231" spans="32:33" x14ac:dyDescent="0.4">
      <c r="AF3231" s="19">
        <v>20150209</v>
      </c>
      <c r="AG3231" s="18">
        <v>2543.7964910153701</v>
      </c>
    </row>
    <row r="3232" spans="32:33" x14ac:dyDescent="0.4">
      <c r="AF3232" s="19">
        <v>20150210</v>
      </c>
      <c r="AG3232" s="17">
        <v>2539.280067995689</v>
      </c>
    </row>
    <row r="3233" spans="32:33" x14ac:dyDescent="0.4">
      <c r="AF3233" s="19">
        <v>20150211</v>
      </c>
      <c r="AG3233" s="17">
        <v>2550.9649996454459</v>
      </c>
    </row>
    <row r="3234" spans="32:33" x14ac:dyDescent="0.4">
      <c r="AF3234" s="19">
        <v>20150212</v>
      </c>
      <c r="AG3234" s="17">
        <v>2546.8687089996879</v>
      </c>
    </row>
    <row r="3235" spans="32:33" x14ac:dyDescent="0.4">
      <c r="AF3235" s="19">
        <v>20150213</v>
      </c>
      <c r="AG3235" s="17">
        <v>2552.3829464074388</v>
      </c>
    </row>
    <row r="3236" spans="32:33" x14ac:dyDescent="0.4">
      <c r="AF3236" s="19">
        <v>20150214</v>
      </c>
      <c r="AG3236" s="18">
        <v>2552.2779133139579</v>
      </c>
    </row>
    <row r="3237" spans="32:33" x14ac:dyDescent="0.4">
      <c r="AF3237" s="19">
        <v>20150215</v>
      </c>
      <c r="AG3237" s="17">
        <v>2552.1466219471072</v>
      </c>
    </row>
    <row r="3238" spans="32:33" x14ac:dyDescent="0.4">
      <c r="AF3238" s="19">
        <v>20150216</v>
      </c>
      <c r="AG3238" s="17">
        <v>2545.6345701512869</v>
      </c>
    </row>
    <row r="3239" spans="32:33" x14ac:dyDescent="0.4">
      <c r="AF3239" s="19">
        <v>20150217</v>
      </c>
      <c r="AG3239" s="17">
        <v>2563.43767949631</v>
      </c>
    </row>
    <row r="3240" spans="32:33" x14ac:dyDescent="0.4">
      <c r="AF3240" s="19">
        <v>20150218</v>
      </c>
      <c r="AG3240" s="17">
        <v>2563.3063881294588</v>
      </c>
    </row>
    <row r="3241" spans="32:33" x14ac:dyDescent="0.4">
      <c r="AF3241" s="19">
        <v>20150219</v>
      </c>
      <c r="AG3241" s="18">
        <v>2563.2013550359779</v>
      </c>
    </row>
    <row r="3242" spans="32:33" x14ac:dyDescent="0.4">
      <c r="AF3242" s="19">
        <v>20150220</v>
      </c>
      <c r="AG3242" s="17">
        <v>2563.0963219424971</v>
      </c>
    </row>
    <row r="3243" spans="32:33" x14ac:dyDescent="0.4">
      <c r="AF3243" s="19">
        <v>20150221</v>
      </c>
      <c r="AG3243" s="17">
        <v>2562.965030575645</v>
      </c>
    </row>
    <row r="3244" spans="32:33" x14ac:dyDescent="0.4">
      <c r="AF3244" s="19">
        <v>20150222</v>
      </c>
      <c r="AG3244" s="17">
        <v>2562.8599974821641</v>
      </c>
    </row>
    <row r="3245" spans="32:33" x14ac:dyDescent="0.4">
      <c r="AF3245" s="19">
        <v>20150223</v>
      </c>
      <c r="AG3245" s="17">
        <v>2577.2232730156861</v>
      </c>
    </row>
    <row r="3246" spans="32:33" x14ac:dyDescent="0.4">
      <c r="AF3246" s="19">
        <v>20150224</v>
      </c>
      <c r="AG3246" s="18">
        <v>2582.579960783215</v>
      </c>
    </row>
    <row r="3247" spans="32:33" x14ac:dyDescent="0.4">
      <c r="AF3247" s="19">
        <v>20150225</v>
      </c>
      <c r="AG3247" s="17">
        <v>2602.641281638078</v>
      </c>
    </row>
    <row r="3248" spans="32:33" x14ac:dyDescent="0.4">
      <c r="AF3248" s="19">
        <v>20150226</v>
      </c>
      <c r="AG3248" s="17">
        <v>2616.269325517233</v>
      </c>
    </row>
    <row r="3249" spans="32:33" x14ac:dyDescent="0.4">
      <c r="AF3249" s="19">
        <v>20150227</v>
      </c>
      <c r="AG3249" s="17">
        <v>2610.4662471024099</v>
      </c>
    </row>
    <row r="3250" spans="32:33" x14ac:dyDescent="0.4">
      <c r="AF3250" s="19">
        <v>20150228</v>
      </c>
      <c r="AG3250" s="17">
        <v>2610.3349557355582</v>
      </c>
    </row>
    <row r="3251" spans="32:33" x14ac:dyDescent="0.4">
      <c r="AF3251" s="19">
        <v>20150301</v>
      </c>
      <c r="AG3251" s="18">
        <v>2610.2299226420769</v>
      </c>
    </row>
    <row r="3252" spans="32:33" x14ac:dyDescent="0.4">
      <c r="AF3252" s="19">
        <v>20150302</v>
      </c>
      <c r="AG3252" s="17">
        <v>2603.0351557386321</v>
      </c>
    </row>
    <row r="3253" spans="32:33" x14ac:dyDescent="0.4">
      <c r="AF3253" s="19">
        <v>20150303</v>
      </c>
      <c r="AG3253" s="17">
        <v>2612.4093593318071</v>
      </c>
    </row>
    <row r="3254" spans="32:33" x14ac:dyDescent="0.4">
      <c r="AF3254" s="19">
        <v>20150304</v>
      </c>
      <c r="AG3254" s="17">
        <v>2605.844790989247</v>
      </c>
    </row>
    <row r="3255" spans="32:33" x14ac:dyDescent="0.4">
      <c r="AF3255" s="19">
        <v>20150305</v>
      </c>
      <c r="AG3255" s="17">
        <v>2608.9432672469361</v>
      </c>
    </row>
    <row r="3256" spans="32:33" x14ac:dyDescent="0.4">
      <c r="AF3256" s="19">
        <v>20150306</v>
      </c>
      <c r="AG3256" s="18">
        <v>2610.860121202963</v>
      </c>
    </row>
    <row r="3257" spans="32:33" x14ac:dyDescent="0.4">
      <c r="AF3257" s="19">
        <v>20150307</v>
      </c>
      <c r="AG3257" s="17">
        <v>2610.7550881094821</v>
      </c>
    </row>
    <row r="3258" spans="32:33" x14ac:dyDescent="0.4">
      <c r="AF3258" s="19">
        <v>20150308</v>
      </c>
      <c r="AG3258" s="17">
        <v>2610.6237967426309</v>
      </c>
    </row>
    <row r="3259" spans="32:33" x14ac:dyDescent="0.4">
      <c r="AF3259" s="19">
        <v>20150309</v>
      </c>
      <c r="AG3259" s="17">
        <v>2588.8031715719621</v>
      </c>
    </row>
    <row r="3260" spans="32:33" x14ac:dyDescent="0.4">
      <c r="AF3260" s="19">
        <v>20150310</v>
      </c>
      <c r="AG3260" s="17">
        <v>2578.9825773314919</v>
      </c>
    </row>
    <row r="3261" spans="32:33" x14ac:dyDescent="0.4">
      <c r="AF3261" s="19">
        <v>20150311</v>
      </c>
      <c r="AG3261" s="18">
        <v>2566.8512550344408</v>
      </c>
    </row>
    <row r="3262" spans="32:33" x14ac:dyDescent="0.4">
      <c r="AF3262" s="19">
        <v>20150312</v>
      </c>
      <c r="AG3262" s="17">
        <v>2582.1335701359212</v>
      </c>
    </row>
    <row r="3263" spans="32:33" x14ac:dyDescent="0.4">
      <c r="AF3263" s="19">
        <v>20150313</v>
      </c>
      <c r="AG3263" s="17">
        <v>2599.674096747241</v>
      </c>
    </row>
    <row r="3264" spans="32:33" x14ac:dyDescent="0.4">
      <c r="AF3264" s="19">
        <v>20150314</v>
      </c>
      <c r="AG3264" s="17">
        <v>2599.5428053803898</v>
      </c>
    </row>
    <row r="3265" spans="32:33" x14ac:dyDescent="0.4">
      <c r="AF3265" s="19">
        <v>20150315</v>
      </c>
      <c r="AG3265" s="17">
        <v>2599.437772286909</v>
      </c>
    </row>
    <row r="3266" spans="32:33" x14ac:dyDescent="0.4">
      <c r="AF3266" s="19">
        <v>20150316</v>
      </c>
      <c r="AG3266" s="18">
        <v>2603.0614140120019</v>
      </c>
    </row>
    <row r="3267" spans="32:33" x14ac:dyDescent="0.4">
      <c r="AF3267" s="19">
        <v>20150317</v>
      </c>
      <c r="AG3267" s="17">
        <v>2625.4334629234459</v>
      </c>
    </row>
    <row r="3268" spans="32:33" x14ac:dyDescent="0.4">
      <c r="AF3268" s="19">
        <v>20150318</v>
      </c>
      <c r="AG3268" s="17">
        <v>2619.8667089689561</v>
      </c>
    </row>
    <row r="3269" spans="32:33" x14ac:dyDescent="0.4">
      <c r="AF3269" s="19">
        <v>20150319</v>
      </c>
      <c r="AG3269" s="17">
        <v>2636.6720039259089</v>
      </c>
    </row>
    <row r="3270" spans="32:33" x14ac:dyDescent="0.4">
      <c r="AF3270" s="19">
        <v>20150320</v>
      </c>
      <c r="AG3270" s="17">
        <v>2628.5319391811349</v>
      </c>
    </row>
    <row r="3271" spans="32:33" x14ac:dyDescent="0.4">
      <c r="AF3271" s="19">
        <v>20150321</v>
      </c>
      <c r="AG3271" s="18">
        <v>2628.4269060876541</v>
      </c>
    </row>
    <row r="3272" spans="32:33" x14ac:dyDescent="0.4">
      <c r="AF3272" s="19">
        <v>20150322</v>
      </c>
      <c r="AG3272" s="17">
        <v>2628.2956147208029</v>
      </c>
    </row>
    <row r="3273" spans="32:33" x14ac:dyDescent="0.4">
      <c r="AF3273" s="19">
        <v>20150323</v>
      </c>
      <c r="AG3273" s="17">
        <v>2622.203695298907</v>
      </c>
    </row>
    <row r="3274" spans="32:33" x14ac:dyDescent="0.4">
      <c r="AF3274" s="19">
        <v>20150324</v>
      </c>
      <c r="AG3274" s="17">
        <v>2625.065847096263</v>
      </c>
    </row>
    <row r="3275" spans="32:33" x14ac:dyDescent="0.4">
      <c r="AF3275" s="19">
        <v>20150325</v>
      </c>
      <c r="AG3275" s="17">
        <v>2625.2233967364841</v>
      </c>
    </row>
    <row r="3276" spans="32:33" x14ac:dyDescent="0.4">
      <c r="AF3276" s="19">
        <v>20150326</v>
      </c>
      <c r="AG3276" s="18">
        <v>2630.0549190366091</v>
      </c>
    </row>
    <row r="3277" spans="32:33" x14ac:dyDescent="0.4">
      <c r="AF3277" s="19">
        <v>20150327</v>
      </c>
      <c r="AG3277" s="17">
        <v>2629.345945655612</v>
      </c>
    </row>
    <row r="3278" spans="32:33" x14ac:dyDescent="0.4">
      <c r="AF3278" s="19">
        <v>20150328</v>
      </c>
      <c r="AG3278" s="17">
        <v>2629.2146542887608</v>
      </c>
    </row>
    <row r="3279" spans="32:33" x14ac:dyDescent="0.4">
      <c r="AF3279" s="19">
        <v>20150329</v>
      </c>
      <c r="AG3279" s="17">
        <v>2629.1096211952799</v>
      </c>
    </row>
    <row r="3280" spans="32:33" x14ac:dyDescent="0.4">
      <c r="AF3280" s="19">
        <v>20150330</v>
      </c>
      <c r="AG3280" s="17">
        <v>2633.626044214961</v>
      </c>
    </row>
    <row r="3281" spans="32:33" x14ac:dyDescent="0.4">
      <c r="AF3281" s="19">
        <v>20150331</v>
      </c>
      <c r="AG3281" s="18">
        <v>2643.4466384554312</v>
      </c>
    </row>
    <row r="3282" spans="32:33" x14ac:dyDescent="0.4">
      <c r="AF3282" s="19">
        <v>20150401</v>
      </c>
      <c r="AG3282" s="17">
        <v>2643.0002478081369</v>
      </c>
    </row>
    <row r="3283" spans="32:33" x14ac:dyDescent="0.4">
      <c r="AF3283" s="19">
        <v>20150402</v>
      </c>
      <c r="AG3283" s="17">
        <v>2656.8908744209939</v>
      </c>
    </row>
    <row r="3284" spans="32:33" x14ac:dyDescent="0.4">
      <c r="AF3284" s="19">
        <v>20150403</v>
      </c>
      <c r="AG3284" s="17">
        <v>2674.4314010323142</v>
      </c>
    </row>
    <row r="3285" spans="32:33" x14ac:dyDescent="0.4">
      <c r="AF3285" s="19">
        <v>20150404</v>
      </c>
      <c r="AG3285" s="17">
        <v>2674.300109665463</v>
      </c>
    </row>
    <row r="3286" spans="32:33" x14ac:dyDescent="0.4">
      <c r="AF3286" s="19">
        <v>20150405</v>
      </c>
      <c r="AG3286" s="18">
        <v>2674.1950765719821</v>
      </c>
    </row>
    <row r="3287" spans="32:33" x14ac:dyDescent="0.4">
      <c r="AF3287" s="19">
        <v>20150406</v>
      </c>
      <c r="AG3287" s="17">
        <v>2660.4357413259759</v>
      </c>
    </row>
    <row r="3288" spans="32:33" x14ac:dyDescent="0.4">
      <c r="AF3288" s="19">
        <v>20150407</v>
      </c>
      <c r="AG3288" s="17">
        <v>2653.7136233431952</v>
      </c>
    </row>
    <row r="3289" spans="32:33" x14ac:dyDescent="0.4">
      <c r="AF3289" s="19">
        <v>20150408</v>
      </c>
      <c r="AG3289" s="17">
        <v>2650.4313391719152</v>
      </c>
    </row>
    <row r="3290" spans="32:33" x14ac:dyDescent="0.4">
      <c r="AF3290" s="19">
        <v>20150409</v>
      </c>
      <c r="AG3290" s="17">
        <v>2650.3788226251741</v>
      </c>
    </row>
    <row r="3291" spans="32:33" x14ac:dyDescent="0.4">
      <c r="AF3291" s="19">
        <v>20150410</v>
      </c>
      <c r="AG3291" s="18">
        <v>2678.2651089443689</v>
      </c>
    </row>
    <row r="3292" spans="32:33" x14ac:dyDescent="0.4">
      <c r="AF3292" s="19">
        <v>20150411</v>
      </c>
      <c r="AG3292" s="17">
        <v>2678.1338175775181</v>
      </c>
    </row>
    <row r="3293" spans="32:33" x14ac:dyDescent="0.4">
      <c r="AF3293" s="19">
        <v>20150412</v>
      </c>
      <c r="AG3293" s="17">
        <v>2678.0287844840368</v>
      </c>
    </row>
    <row r="3294" spans="32:33" x14ac:dyDescent="0.4">
      <c r="AF3294" s="19">
        <v>20150413</v>
      </c>
      <c r="AG3294" s="17">
        <v>2675.9018643410482</v>
      </c>
    </row>
    <row r="3295" spans="32:33" x14ac:dyDescent="0.4">
      <c r="AF3295" s="19">
        <v>20150414</v>
      </c>
      <c r="AG3295" s="17">
        <v>2714.3702348284492</v>
      </c>
    </row>
    <row r="3296" spans="32:33" x14ac:dyDescent="0.4">
      <c r="AF3296" s="19">
        <v>20150415</v>
      </c>
      <c r="AG3296" s="18">
        <v>2715.5255988567401</v>
      </c>
    </row>
    <row r="3297" spans="32:33" x14ac:dyDescent="0.4">
      <c r="AF3297" s="19">
        <v>20150416</v>
      </c>
      <c r="AG3297" s="17">
        <v>2732.3571520870642</v>
      </c>
    </row>
    <row r="3298" spans="32:33" x14ac:dyDescent="0.4">
      <c r="AF3298" s="19">
        <v>20150417</v>
      </c>
      <c r="AG3298" s="17">
        <v>2758.431617543712</v>
      </c>
    </row>
    <row r="3299" spans="32:33" x14ac:dyDescent="0.4">
      <c r="AF3299" s="19">
        <v>20150418</v>
      </c>
      <c r="AG3299" s="17">
        <v>2758.3212802789981</v>
      </c>
    </row>
    <row r="3300" spans="32:33" x14ac:dyDescent="0.4">
      <c r="AF3300" s="19">
        <v>20150419</v>
      </c>
      <c r="AG3300" s="17">
        <v>2758.1833586981211</v>
      </c>
    </row>
    <row r="3301" spans="32:33" x14ac:dyDescent="0.4">
      <c r="AF3301" s="19">
        <v>20150420</v>
      </c>
      <c r="AG3301" s="18">
        <v>2764.8863475287521</v>
      </c>
    </row>
    <row r="3302" spans="32:33" x14ac:dyDescent="0.4">
      <c r="AF3302" s="19">
        <v>20150421</v>
      </c>
      <c r="AG3302" s="17">
        <v>2758.3212802789981</v>
      </c>
    </row>
    <row r="3303" spans="32:33" x14ac:dyDescent="0.4">
      <c r="AF3303" s="19">
        <v>20150422</v>
      </c>
      <c r="AG3303" s="17">
        <v>2747.2875538088228</v>
      </c>
    </row>
    <row r="3304" spans="32:33" x14ac:dyDescent="0.4">
      <c r="AF3304" s="19">
        <v>20150423</v>
      </c>
      <c r="AG3304" s="17">
        <v>2769.2170851682959</v>
      </c>
    </row>
    <row r="3305" spans="32:33" x14ac:dyDescent="0.4">
      <c r="AF3305" s="19">
        <v>20150424</v>
      </c>
      <c r="AG3305" s="17">
        <v>2776.6096819033128</v>
      </c>
    </row>
    <row r="3306" spans="32:33" x14ac:dyDescent="0.4">
      <c r="AF3306" s="19">
        <v>20150425</v>
      </c>
      <c r="AG3306" s="18">
        <v>2776.4993446386111</v>
      </c>
    </row>
    <row r="3307" spans="32:33" x14ac:dyDescent="0.4">
      <c r="AF3307" s="19">
        <v>20150426</v>
      </c>
      <c r="AG3307" s="17">
        <v>2776.3614230577341</v>
      </c>
    </row>
    <row r="3308" spans="32:33" x14ac:dyDescent="0.4">
      <c r="AF3308" s="19">
        <v>20150427</v>
      </c>
      <c r="AG3308" s="17">
        <v>2777.4096270724008</v>
      </c>
    </row>
    <row r="3309" spans="32:33" x14ac:dyDescent="0.4">
      <c r="AF3309" s="19">
        <v>20150428</v>
      </c>
      <c r="AG3309" s="17">
        <v>2773.7684973372429</v>
      </c>
    </row>
    <row r="3310" spans="32:33" x14ac:dyDescent="0.4">
      <c r="AF3310" s="19">
        <v>20150429</v>
      </c>
      <c r="AG3310" s="17">
        <v>2773.1064737490319</v>
      </c>
    </row>
    <row r="3311" spans="32:33" x14ac:dyDescent="0.4">
      <c r="AF3311" s="19">
        <v>20150430</v>
      </c>
      <c r="AG3311" s="18">
        <v>2759.6177431392439</v>
      </c>
    </row>
    <row r="3312" spans="32:33" x14ac:dyDescent="0.4">
      <c r="AF3312" s="19">
        <v>20150501</v>
      </c>
      <c r="AG3312" s="17">
        <v>2759.4798215583669</v>
      </c>
    </row>
    <row r="3313" spans="32:33" x14ac:dyDescent="0.4">
      <c r="AF3313" s="19">
        <v>20150502</v>
      </c>
      <c r="AG3313" s="17">
        <v>2759.3694842936652</v>
      </c>
    </row>
    <row r="3314" spans="32:33" x14ac:dyDescent="0.4">
      <c r="AF3314" s="19">
        <v>20150503</v>
      </c>
      <c r="AG3314" s="17">
        <v>2759.2315627127882</v>
      </c>
    </row>
    <row r="3315" spans="32:33" x14ac:dyDescent="0.4">
      <c r="AF3315" s="19">
        <v>20150504</v>
      </c>
      <c r="AG3315" s="17">
        <v>2780.471486167874</v>
      </c>
    </row>
    <row r="3316" spans="32:33" x14ac:dyDescent="0.4">
      <c r="AF3316" s="19">
        <v>20150505</v>
      </c>
      <c r="AG3316" s="18">
        <v>2780.3611489031719</v>
      </c>
    </row>
    <row r="3317" spans="32:33" x14ac:dyDescent="0.4">
      <c r="AF3317" s="19">
        <v>20150506</v>
      </c>
      <c r="AG3317" s="17">
        <v>2744.9980555662619</v>
      </c>
    </row>
    <row r="3318" spans="32:33" x14ac:dyDescent="0.4">
      <c r="AF3318" s="19">
        <v>20150507</v>
      </c>
      <c r="AG3318" s="17">
        <v>2734.516015419596</v>
      </c>
    </row>
    <row r="3319" spans="32:33" x14ac:dyDescent="0.4">
      <c r="AF3319" s="19">
        <v>20150508</v>
      </c>
      <c r="AG3319" s="17">
        <v>2739.7846198091052</v>
      </c>
    </row>
    <row r="3320" spans="32:33" x14ac:dyDescent="0.4">
      <c r="AF3320" s="19">
        <v>20150509</v>
      </c>
      <c r="AG3320" s="17">
        <v>2739.674282544403</v>
      </c>
    </row>
    <row r="3321" spans="32:33" x14ac:dyDescent="0.4">
      <c r="AF3321" s="19">
        <v>20150510</v>
      </c>
      <c r="AG3321" s="18">
        <v>2739.536360963526</v>
      </c>
    </row>
    <row r="3322" spans="32:33" x14ac:dyDescent="0.4">
      <c r="AF3322" s="19">
        <v>20150511</v>
      </c>
      <c r="AG3322" s="17">
        <v>2753.3009347350689</v>
      </c>
    </row>
    <row r="3323" spans="32:33" x14ac:dyDescent="0.4">
      <c r="AF3323" s="19">
        <v>20150512</v>
      </c>
      <c r="AG3323" s="17">
        <v>2758.4040332275249</v>
      </c>
    </row>
    <row r="3324" spans="32:33" x14ac:dyDescent="0.4">
      <c r="AF3324" s="19">
        <v>20150513</v>
      </c>
      <c r="AG3324" s="17">
        <v>2778.4854154032432</v>
      </c>
    </row>
    <row r="3325" spans="32:33" x14ac:dyDescent="0.4">
      <c r="AF3325" s="19">
        <v>20150514</v>
      </c>
      <c r="AG3325" s="17">
        <v>2787.119306366154</v>
      </c>
    </row>
    <row r="3326" spans="32:33" x14ac:dyDescent="0.4">
      <c r="AF3326" s="19">
        <v>20150515</v>
      </c>
      <c r="AG3326" s="18">
        <v>2785.298741498576</v>
      </c>
    </row>
    <row r="3327" spans="32:33" x14ac:dyDescent="0.4">
      <c r="AF3327" s="19">
        <v>20150516</v>
      </c>
      <c r="AG3327" s="17">
        <v>2785.1884042338738</v>
      </c>
    </row>
    <row r="3328" spans="32:33" x14ac:dyDescent="0.4">
      <c r="AF3328" s="19">
        <v>20150517</v>
      </c>
      <c r="AG3328" s="17">
        <v>2785.0780669691721</v>
      </c>
    </row>
    <row r="3329" spans="32:33" x14ac:dyDescent="0.4">
      <c r="AF3329" s="19">
        <v>20150518</v>
      </c>
      <c r="AG3329" s="17">
        <v>2777.1613682268221</v>
      </c>
    </row>
    <row r="3330" spans="32:33" x14ac:dyDescent="0.4">
      <c r="AF3330" s="19">
        <v>20150519</v>
      </c>
      <c r="AG3330" s="17">
        <v>2779.064686042927</v>
      </c>
    </row>
    <row r="3331" spans="32:33" x14ac:dyDescent="0.4">
      <c r="AF3331" s="19">
        <v>20150520</v>
      </c>
      <c r="AG3331" s="18">
        <v>2791.946561696856</v>
      </c>
    </row>
    <row r="3332" spans="32:33" x14ac:dyDescent="0.4">
      <c r="AF3332" s="19">
        <v>20150521</v>
      </c>
      <c r="AG3332" s="17">
        <v>2767.865453675699</v>
      </c>
    </row>
    <row r="3333" spans="32:33" x14ac:dyDescent="0.4">
      <c r="AF3333" s="19">
        <v>20150522</v>
      </c>
      <c r="AG3333" s="17">
        <v>2800.4701153950659</v>
      </c>
    </row>
    <row r="3334" spans="32:33" x14ac:dyDescent="0.4">
      <c r="AF3334" s="19">
        <v>20150523</v>
      </c>
      <c r="AG3334" s="17">
        <v>2800.3321938141889</v>
      </c>
    </row>
    <row r="3335" spans="32:33" x14ac:dyDescent="0.4">
      <c r="AF3335" s="19">
        <v>20150524</v>
      </c>
      <c r="AG3335" s="17">
        <v>2800.2218565494868</v>
      </c>
    </row>
    <row r="3336" spans="32:33" x14ac:dyDescent="0.4">
      <c r="AF3336" s="19">
        <v>20150525</v>
      </c>
      <c r="AG3336" s="18">
        <v>2800.0839349686098</v>
      </c>
    </row>
    <row r="3337" spans="32:33" x14ac:dyDescent="0.4">
      <c r="AF3337" s="19">
        <v>20150526</v>
      </c>
      <c r="AG3337" s="17">
        <v>2796.7186483952069</v>
      </c>
    </row>
    <row r="3338" spans="32:33" x14ac:dyDescent="0.4">
      <c r="AF3338" s="19">
        <v>20150527</v>
      </c>
      <c r="AG3338" s="17">
        <v>2759.8935863009979</v>
      </c>
    </row>
    <row r="3339" spans="32:33" x14ac:dyDescent="0.4">
      <c r="AF3339" s="19">
        <v>20150528</v>
      </c>
      <c r="AG3339" s="17">
        <v>2759.2315627127882</v>
      </c>
    </row>
    <row r="3340" spans="32:33" x14ac:dyDescent="0.4">
      <c r="AF3340" s="19">
        <v>20150529</v>
      </c>
      <c r="AG3340" s="17">
        <v>2773.4650698593132</v>
      </c>
    </row>
    <row r="3341" spans="32:33" x14ac:dyDescent="0.4">
      <c r="AF3341" s="19">
        <v>20150530</v>
      </c>
      <c r="AG3341" s="18">
        <v>2773.3271482784362</v>
      </c>
    </row>
    <row r="3342" spans="32:33" x14ac:dyDescent="0.4">
      <c r="AF3342" s="19">
        <v>20150531</v>
      </c>
      <c r="AG3342" s="17">
        <v>2773.2168110137341</v>
      </c>
    </row>
    <row r="3343" spans="32:33" x14ac:dyDescent="0.4">
      <c r="AF3343" s="19">
        <v>20150601</v>
      </c>
      <c r="AG3343" s="17">
        <v>2763.4795474038051</v>
      </c>
    </row>
    <row r="3344" spans="32:33" x14ac:dyDescent="0.4">
      <c r="AF3344" s="19">
        <v>20150602</v>
      </c>
      <c r="AG3344" s="17">
        <v>2732.4196073902631</v>
      </c>
    </row>
    <row r="3345" spans="32:33" x14ac:dyDescent="0.4">
      <c r="AF3345" s="19">
        <v>20150603</v>
      </c>
      <c r="AG3345" s="17">
        <v>2720.5859357509999</v>
      </c>
    </row>
    <row r="3346" spans="32:33" x14ac:dyDescent="0.4">
      <c r="AF3346" s="19">
        <v>20150604</v>
      </c>
      <c r="AG3346" s="18">
        <v>2716.5862099055621</v>
      </c>
    </row>
    <row r="3347" spans="32:33" x14ac:dyDescent="0.4">
      <c r="AF3347" s="19">
        <v>20150605</v>
      </c>
      <c r="AG3347" s="17">
        <v>2698.352976913598</v>
      </c>
    </row>
    <row r="3348" spans="32:33" x14ac:dyDescent="0.4">
      <c r="AF3348" s="19">
        <v>20150606</v>
      </c>
      <c r="AG3348" s="17">
        <v>2698.215055332721</v>
      </c>
    </row>
    <row r="3349" spans="32:33" x14ac:dyDescent="0.4">
      <c r="AF3349" s="19">
        <v>20150607</v>
      </c>
      <c r="AG3349" s="17">
        <v>2698.1047180680189</v>
      </c>
    </row>
    <row r="3350" spans="32:33" x14ac:dyDescent="0.4">
      <c r="AF3350" s="19">
        <v>20150608</v>
      </c>
      <c r="AG3350" s="17">
        <v>2703.511244038405</v>
      </c>
    </row>
    <row r="3351" spans="32:33" x14ac:dyDescent="0.4">
      <c r="AF3351" s="19">
        <v>20150609</v>
      </c>
      <c r="AG3351" s="18">
        <v>2711.2900211998781</v>
      </c>
    </row>
    <row r="3352" spans="32:33" x14ac:dyDescent="0.4">
      <c r="AF3352" s="19">
        <v>20150610</v>
      </c>
      <c r="AG3352" s="17">
        <v>2715.5104215747201</v>
      </c>
    </row>
    <row r="3353" spans="32:33" x14ac:dyDescent="0.4">
      <c r="AF3353" s="19">
        <v>20150611</v>
      </c>
      <c r="AG3353" s="17">
        <v>2723.785716427351</v>
      </c>
    </row>
    <row r="3354" spans="32:33" x14ac:dyDescent="0.4">
      <c r="AF3354" s="19">
        <v>20150612</v>
      </c>
      <c r="AG3354" s="17">
        <v>2720.1721710083689</v>
      </c>
    </row>
    <row r="3355" spans="32:33" x14ac:dyDescent="0.4">
      <c r="AF3355" s="19">
        <v>20150613</v>
      </c>
      <c r="AG3355" s="17">
        <v>2720.0618337436672</v>
      </c>
    </row>
    <row r="3356" spans="32:33" x14ac:dyDescent="0.4">
      <c r="AF3356" s="19">
        <v>20150614</v>
      </c>
      <c r="AG3356" s="18">
        <v>2719.9239121627902</v>
      </c>
    </row>
    <row r="3357" spans="32:33" x14ac:dyDescent="0.4">
      <c r="AF3357" s="19">
        <v>20150615</v>
      </c>
      <c r="AG3357" s="17">
        <v>2709.552209280826</v>
      </c>
    </row>
    <row r="3358" spans="32:33" x14ac:dyDescent="0.4">
      <c r="AF3358" s="19">
        <v>20150616</v>
      </c>
      <c r="AG3358" s="17">
        <v>2689.6087486859851</v>
      </c>
    </row>
    <row r="3359" spans="32:33" x14ac:dyDescent="0.4">
      <c r="AF3359" s="19">
        <v>20150617</v>
      </c>
      <c r="AG3359" s="17">
        <v>2693.1119568402651</v>
      </c>
    </row>
    <row r="3360" spans="32:33" x14ac:dyDescent="0.4">
      <c r="AF3360" s="19">
        <v>20150618</v>
      </c>
      <c r="AG3360" s="17">
        <v>2693.1119568402651</v>
      </c>
    </row>
    <row r="3361" spans="32:33" x14ac:dyDescent="0.4">
      <c r="AF3361" s="19">
        <v>20150619</v>
      </c>
      <c r="AG3361" s="18">
        <v>2689.5535800536341</v>
      </c>
    </row>
    <row r="3362" spans="32:33" x14ac:dyDescent="0.4">
      <c r="AF3362" s="19">
        <v>20150620</v>
      </c>
      <c r="AG3362" s="17">
        <v>2689.4432427889319</v>
      </c>
    </row>
    <row r="3363" spans="32:33" x14ac:dyDescent="0.4">
      <c r="AF3363" s="19">
        <v>20150621</v>
      </c>
      <c r="AG3363" s="17">
        <v>2689.3329055242298</v>
      </c>
    </row>
    <row r="3364" spans="32:33" x14ac:dyDescent="0.4">
      <c r="AF3364" s="19">
        <v>20150622</v>
      </c>
      <c r="AG3364" s="17">
        <v>2699.6770240900191</v>
      </c>
    </row>
    <row r="3365" spans="32:33" x14ac:dyDescent="0.4">
      <c r="AF3365" s="19">
        <v>20150623</v>
      </c>
      <c r="AG3365" s="17">
        <v>2720.9997004936322</v>
      </c>
    </row>
    <row r="3366" spans="32:33" x14ac:dyDescent="0.4">
      <c r="AF3366" s="19">
        <v>20150624</v>
      </c>
      <c r="AG3366" s="18">
        <v>2729.1922423977371</v>
      </c>
    </row>
    <row r="3367" spans="32:33" x14ac:dyDescent="0.4">
      <c r="AF3367" s="19">
        <v>20150625</v>
      </c>
      <c r="AG3367" s="17">
        <v>2733.9367447799118</v>
      </c>
    </row>
    <row r="3368" spans="32:33" x14ac:dyDescent="0.4">
      <c r="AF3368" s="19">
        <v>20150626</v>
      </c>
      <c r="AG3368" s="17">
        <v>2747.5633969705782</v>
      </c>
    </row>
    <row r="3369" spans="32:33" x14ac:dyDescent="0.4">
      <c r="AF3369" s="19">
        <v>20150627</v>
      </c>
      <c r="AG3369" s="17">
        <v>2747.4530597058761</v>
      </c>
    </row>
    <row r="3370" spans="32:33" x14ac:dyDescent="0.4">
      <c r="AF3370" s="19">
        <v>20150628</v>
      </c>
      <c r="AG3370" s="17">
        <v>2747.3151381249991</v>
      </c>
    </row>
    <row r="3371" spans="32:33" x14ac:dyDescent="0.4">
      <c r="AF3371" s="19">
        <v>20150629</v>
      </c>
      <c r="AG3371" s="18">
        <v>2720.696273015702</v>
      </c>
    </row>
    <row r="3372" spans="32:33" x14ac:dyDescent="0.4">
      <c r="AF3372" s="19">
        <v>20150630</v>
      </c>
      <c r="AG3372" s="17">
        <v>2729.4405012433158</v>
      </c>
    </row>
    <row r="3373" spans="32:33" x14ac:dyDescent="0.4">
      <c r="AF3373" s="19">
        <v>20150701</v>
      </c>
      <c r="AG3373" s="17">
        <v>2748.5012637205432</v>
      </c>
    </row>
    <row r="3374" spans="32:33" x14ac:dyDescent="0.4">
      <c r="AF3374" s="19">
        <v>20150702</v>
      </c>
      <c r="AG3374" s="17">
        <v>2739.8397884414549</v>
      </c>
    </row>
    <row r="3375" spans="32:33" x14ac:dyDescent="0.4">
      <c r="AF3375" s="19">
        <v>20150703</v>
      </c>
      <c r="AG3375" s="17">
        <v>2739.674282544403</v>
      </c>
    </row>
    <row r="3376" spans="32:33" x14ac:dyDescent="0.4">
      <c r="AF3376" s="19">
        <v>20150704</v>
      </c>
      <c r="AG3376" s="18">
        <v>2739.536360963526</v>
      </c>
    </row>
    <row r="3377" spans="32:33" x14ac:dyDescent="0.4">
      <c r="AF3377" s="19">
        <v>20150705</v>
      </c>
      <c r="AG3377" s="17">
        <v>2739.4260236988239</v>
      </c>
    </row>
    <row r="3378" spans="32:33" x14ac:dyDescent="0.4">
      <c r="AF3378" s="19">
        <v>20150706</v>
      </c>
      <c r="AG3378" s="17">
        <v>2697.3047728989318</v>
      </c>
    </row>
    <row r="3379" spans="32:33" x14ac:dyDescent="0.4">
      <c r="AF3379" s="19">
        <v>20150707</v>
      </c>
      <c r="AG3379" s="17">
        <v>2706.3800129206502</v>
      </c>
    </row>
    <row r="3380" spans="32:33" x14ac:dyDescent="0.4">
      <c r="AF3380" s="19">
        <v>20150708</v>
      </c>
      <c r="AG3380" s="17">
        <v>2682.4092421641958</v>
      </c>
    </row>
    <row r="3381" spans="32:33" x14ac:dyDescent="0.4">
      <c r="AF3381" s="19">
        <v>20150709</v>
      </c>
      <c r="AG3381" s="18">
        <v>2666.7689348927229</v>
      </c>
    </row>
    <row r="3382" spans="32:33" x14ac:dyDescent="0.4">
      <c r="AF3382" s="19">
        <v>20150710</v>
      </c>
      <c r="AG3382" s="17">
        <v>2675.0166454291789</v>
      </c>
    </row>
    <row r="3383" spans="32:33" x14ac:dyDescent="0.4">
      <c r="AF3383" s="19">
        <v>20150711</v>
      </c>
      <c r="AG3383" s="17">
        <v>2674.878723848301</v>
      </c>
    </row>
    <row r="3384" spans="32:33" x14ac:dyDescent="0.4">
      <c r="AF3384" s="19">
        <v>20150712</v>
      </c>
      <c r="AG3384" s="17">
        <v>2674.7683865836002</v>
      </c>
    </row>
    <row r="3385" spans="32:33" x14ac:dyDescent="0.4">
      <c r="AF3385" s="19">
        <v>20150713</v>
      </c>
      <c r="AG3385" s="17">
        <v>2707.8695659941241</v>
      </c>
    </row>
    <row r="3386" spans="32:33" x14ac:dyDescent="0.4">
      <c r="AF3386" s="19">
        <v>20150714</v>
      </c>
      <c r="AG3386" s="18">
        <v>2703.4009067737029</v>
      </c>
    </row>
    <row r="3387" spans="32:33" x14ac:dyDescent="0.4">
      <c r="AF3387" s="19">
        <v>20150715</v>
      </c>
      <c r="AG3387" s="17">
        <v>2706.1869227074221</v>
      </c>
    </row>
    <row r="3388" spans="32:33" x14ac:dyDescent="0.4">
      <c r="AF3388" s="19">
        <v>20150716</v>
      </c>
      <c r="AG3388" s="17">
        <v>2723.8684693758769</v>
      </c>
    </row>
    <row r="3389" spans="32:33" x14ac:dyDescent="0.4">
      <c r="AF3389" s="19">
        <v>20150717</v>
      </c>
      <c r="AG3389" s="17">
        <v>2738.2398981032802</v>
      </c>
    </row>
    <row r="3390" spans="32:33" x14ac:dyDescent="0.4">
      <c r="AF3390" s="19">
        <v>20150718</v>
      </c>
      <c r="AG3390" s="17">
        <v>2738.1019765224032</v>
      </c>
    </row>
    <row r="3391" spans="32:33" x14ac:dyDescent="0.4">
      <c r="AF3391" s="19">
        <v>20150719</v>
      </c>
      <c r="AG3391" s="18">
        <v>2737.9916392577011</v>
      </c>
    </row>
    <row r="3392" spans="32:33" x14ac:dyDescent="0.4">
      <c r="AF3392" s="19">
        <v>20150720</v>
      </c>
      <c r="AG3392" s="17">
        <v>2718.130931611387</v>
      </c>
    </row>
    <row r="3393" spans="32:33" x14ac:dyDescent="0.4">
      <c r="AF3393" s="19">
        <v>20150721</v>
      </c>
      <c r="AG3393" s="17">
        <v>2720.5859357509999</v>
      </c>
    </row>
    <row r="3394" spans="32:33" x14ac:dyDescent="0.4">
      <c r="AF3394" s="19">
        <v>20150722</v>
      </c>
      <c r="AG3394" s="17">
        <v>2700.4493849429309</v>
      </c>
    </row>
    <row r="3395" spans="32:33" x14ac:dyDescent="0.4">
      <c r="AF3395" s="19">
        <v>20150723</v>
      </c>
      <c r="AG3395" s="17">
        <v>2694.6015099137389</v>
      </c>
    </row>
    <row r="3396" spans="32:33" x14ac:dyDescent="0.4">
      <c r="AF3396" s="19">
        <v>20150724</v>
      </c>
      <c r="AG3396" s="18">
        <v>2675.2373199585818</v>
      </c>
    </row>
    <row r="3397" spans="32:33" x14ac:dyDescent="0.4">
      <c r="AF3397" s="19">
        <v>20150725</v>
      </c>
      <c r="AG3397" s="17">
        <v>2675.1269826938801</v>
      </c>
    </row>
    <row r="3398" spans="32:33" x14ac:dyDescent="0.4">
      <c r="AF3398" s="19">
        <v>20150726</v>
      </c>
      <c r="AG3398" s="17">
        <v>2675.0166454291789</v>
      </c>
    </row>
    <row r="3399" spans="32:33" x14ac:dyDescent="0.4">
      <c r="AF3399" s="19">
        <v>20150727</v>
      </c>
      <c r="AG3399" s="17">
        <v>2656.2593104298812</v>
      </c>
    </row>
    <row r="3400" spans="32:33" x14ac:dyDescent="0.4">
      <c r="AF3400" s="19">
        <v>20150728</v>
      </c>
      <c r="AG3400" s="17">
        <v>2658.438471407741</v>
      </c>
    </row>
    <row r="3401" spans="32:33" x14ac:dyDescent="0.4">
      <c r="AF3401" s="19">
        <v>20150729</v>
      </c>
      <c r="AG3401" s="18">
        <v>2662.0796011428988</v>
      </c>
    </row>
    <row r="3402" spans="32:33" x14ac:dyDescent="0.4">
      <c r="AF3402" s="19">
        <v>20150730</v>
      </c>
      <c r="AG3402" s="17">
        <v>2632.5919671513561</v>
      </c>
    </row>
    <row r="3403" spans="32:33" x14ac:dyDescent="0.4">
      <c r="AF3403" s="19">
        <v>20150731</v>
      </c>
      <c r="AG3403" s="17">
        <v>2650.5769412977411</v>
      </c>
    </row>
    <row r="3404" spans="32:33" x14ac:dyDescent="0.4">
      <c r="AF3404" s="19">
        <v>20150801</v>
      </c>
      <c r="AG3404" s="17">
        <v>2650.4390197168641</v>
      </c>
    </row>
    <row r="3405" spans="32:33" x14ac:dyDescent="0.4">
      <c r="AF3405" s="19">
        <v>20150802</v>
      </c>
      <c r="AG3405" s="17">
        <v>2650.328682452162</v>
      </c>
    </row>
    <row r="3406" spans="32:33" x14ac:dyDescent="0.4">
      <c r="AF3406" s="19">
        <v>20150803</v>
      </c>
      <c r="AG3406" s="18">
        <v>2638.7432696584792</v>
      </c>
    </row>
    <row r="3407" spans="32:33" x14ac:dyDescent="0.4">
      <c r="AF3407" s="19">
        <v>20150804</v>
      </c>
      <c r="AG3407" s="17">
        <v>2655.7352084225481</v>
      </c>
    </row>
    <row r="3408" spans="32:33" x14ac:dyDescent="0.4">
      <c r="AF3408" s="19">
        <v>20150805</v>
      </c>
      <c r="AG3408" s="17">
        <v>2650.4941883492152</v>
      </c>
    </row>
    <row r="3409" spans="32:33" x14ac:dyDescent="0.4">
      <c r="AF3409" s="19">
        <v>20150806</v>
      </c>
      <c r="AG3409" s="17">
        <v>2623.5167271296382</v>
      </c>
    </row>
    <row r="3410" spans="32:33" x14ac:dyDescent="0.4">
      <c r="AF3410" s="19">
        <v>20150807</v>
      </c>
      <c r="AG3410" s="17">
        <v>2627.571621607427</v>
      </c>
    </row>
    <row r="3411" spans="32:33" x14ac:dyDescent="0.4">
      <c r="AF3411" s="19">
        <v>20150808</v>
      </c>
      <c r="AG3411" s="18">
        <v>2627.43370002655</v>
      </c>
    </row>
    <row r="3412" spans="32:33" x14ac:dyDescent="0.4">
      <c r="AF3412" s="19">
        <v>20150809</v>
      </c>
      <c r="AG3412" s="17">
        <v>2627.3233627618479</v>
      </c>
    </row>
    <row r="3413" spans="32:33" x14ac:dyDescent="0.4">
      <c r="AF3413" s="19">
        <v>20150810</v>
      </c>
      <c r="AG3413" s="17">
        <v>2627.7922961368299</v>
      </c>
    </row>
    <row r="3414" spans="32:33" x14ac:dyDescent="0.4">
      <c r="AF3414" s="19">
        <v>20150811</v>
      </c>
      <c r="AG3414" s="17">
        <v>2630.6058963867249</v>
      </c>
    </row>
    <row r="3415" spans="32:33" x14ac:dyDescent="0.4">
      <c r="AF3415" s="19">
        <v>20150812</v>
      </c>
      <c r="AG3415" s="17">
        <v>2624.7304370413572</v>
      </c>
    </row>
    <row r="3416" spans="32:33" x14ac:dyDescent="0.4">
      <c r="AF3416" s="19">
        <v>20150813</v>
      </c>
      <c r="AG3416" s="18">
        <v>2626.6061705412872</v>
      </c>
    </row>
    <row r="3417" spans="32:33" x14ac:dyDescent="0.4">
      <c r="AF3417" s="19">
        <v>20150814</v>
      </c>
      <c r="AG3417" s="17">
        <v>2626.495833276585</v>
      </c>
    </row>
    <row r="3418" spans="32:33" x14ac:dyDescent="0.4">
      <c r="AF3418" s="19">
        <v>20150815</v>
      </c>
      <c r="AG3418" s="17">
        <v>2626.3854960118829</v>
      </c>
    </row>
    <row r="3419" spans="32:33" x14ac:dyDescent="0.4">
      <c r="AF3419" s="19">
        <v>20150816</v>
      </c>
      <c r="AG3419" s="17">
        <v>2626.2751587471812</v>
      </c>
    </row>
    <row r="3420" spans="32:33" x14ac:dyDescent="0.4">
      <c r="AF3420" s="19">
        <v>20150817</v>
      </c>
      <c r="AG3420" s="17">
        <v>2603.7111881156738</v>
      </c>
    </row>
    <row r="3421" spans="32:33" x14ac:dyDescent="0.4">
      <c r="AF3421" s="19">
        <v>20150818</v>
      </c>
      <c r="AG3421" s="18">
        <v>2616.6206480857782</v>
      </c>
    </row>
    <row r="3422" spans="32:33" x14ac:dyDescent="0.4">
      <c r="AF3422" s="19">
        <v>20150819</v>
      </c>
      <c r="AG3422" s="17">
        <v>2610.193502416902</v>
      </c>
    </row>
    <row r="3423" spans="32:33" x14ac:dyDescent="0.4">
      <c r="AF3423" s="19">
        <v>20150820</v>
      </c>
      <c r="AG3423" s="17">
        <v>2586.250315976622</v>
      </c>
    </row>
    <row r="3424" spans="32:33" x14ac:dyDescent="0.4">
      <c r="AF3424" s="19">
        <v>20150821</v>
      </c>
      <c r="AG3424" s="17">
        <v>2547.9081164927652</v>
      </c>
    </row>
    <row r="3425" spans="32:33" x14ac:dyDescent="0.4">
      <c r="AF3425" s="19">
        <v>20150822</v>
      </c>
      <c r="AG3425" s="17">
        <v>2547.7977792280631</v>
      </c>
    </row>
    <row r="3426" spans="32:33" x14ac:dyDescent="0.4">
      <c r="AF3426" s="19">
        <v>20150823</v>
      </c>
      <c r="AG3426" s="18">
        <v>2547.6874419633609</v>
      </c>
    </row>
    <row r="3427" spans="32:33" x14ac:dyDescent="0.4">
      <c r="AF3427" s="19">
        <v>20150824</v>
      </c>
      <c r="AG3427" s="17">
        <v>2491.6636958110489</v>
      </c>
    </row>
    <row r="3428" spans="32:33" x14ac:dyDescent="0.4">
      <c r="AF3428" s="19">
        <v>20150825</v>
      </c>
      <c r="AG3428" s="17">
        <v>2504.931751891434</v>
      </c>
    </row>
    <row r="3429" spans="32:33" x14ac:dyDescent="0.4">
      <c r="AF3429" s="19">
        <v>20150826</v>
      </c>
      <c r="AG3429" s="17">
        <v>2535.0262408388362</v>
      </c>
    </row>
    <row r="3430" spans="32:33" x14ac:dyDescent="0.4">
      <c r="AF3430" s="19">
        <v>20150827</v>
      </c>
      <c r="AG3430" s="17">
        <v>2550.032108838273</v>
      </c>
    </row>
    <row r="3431" spans="32:33" x14ac:dyDescent="0.4">
      <c r="AF3431" s="19">
        <v>20150828</v>
      </c>
      <c r="AG3431" s="18">
        <v>2584.8711001678498</v>
      </c>
    </row>
    <row r="3432" spans="32:33" x14ac:dyDescent="0.4">
      <c r="AF3432" s="19">
        <v>20150829</v>
      </c>
      <c r="AG3432" s="17">
        <v>2584.760762903149</v>
      </c>
    </row>
    <row r="3433" spans="32:33" x14ac:dyDescent="0.4">
      <c r="AF3433" s="19">
        <v>20150830</v>
      </c>
      <c r="AG3433" s="17">
        <v>2584.6228413222711</v>
      </c>
    </row>
    <row r="3434" spans="32:33" x14ac:dyDescent="0.4">
      <c r="AF3434" s="19">
        <v>20150831</v>
      </c>
      <c r="AG3434" s="17">
        <v>2585.17452764578</v>
      </c>
    </row>
    <row r="3435" spans="32:33" x14ac:dyDescent="0.4">
      <c r="AF3435" s="19">
        <v>20150901</v>
      </c>
      <c r="AG3435" s="17">
        <v>2559.9624626614309</v>
      </c>
    </row>
    <row r="3436" spans="32:33" x14ac:dyDescent="0.4">
      <c r="AF3436" s="19">
        <v>20150902</v>
      </c>
      <c r="AG3436" s="18">
        <v>2552.1285168676068</v>
      </c>
    </row>
    <row r="3437" spans="32:33" x14ac:dyDescent="0.4">
      <c r="AF3437" s="19">
        <v>20150903</v>
      </c>
      <c r="AG3437" s="17">
        <v>2573.6718678006232</v>
      </c>
    </row>
    <row r="3438" spans="32:33" x14ac:dyDescent="0.4">
      <c r="AF3438" s="19">
        <v>20150904</v>
      </c>
      <c r="AG3438" s="17">
        <v>2545.0669319266949</v>
      </c>
    </row>
    <row r="3439" spans="32:33" x14ac:dyDescent="0.4">
      <c r="AF3439" s="19">
        <v>20150905</v>
      </c>
      <c r="AG3439" s="17">
        <v>2544.9565946619932</v>
      </c>
    </row>
    <row r="3440" spans="32:33" x14ac:dyDescent="0.4">
      <c r="AF3440" s="19">
        <v>20150906</v>
      </c>
      <c r="AG3440" s="17">
        <v>2544.8462573972911</v>
      </c>
    </row>
    <row r="3441" spans="32:33" x14ac:dyDescent="0.4">
      <c r="AF3441" s="19">
        <v>20150907</v>
      </c>
      <c r="AG3441" s="18">
        <v>2532.4884837506961</v>
      </c>
    </row>
    <row r="3442" spans="32:33" x14ac:dyDescent="0.4">
      <c r="AF3442" s="19">
        <v>20150908</v>
      </c>
      <c r="AG3442" s="17">
        <v>2540.6810256548001</v>
      </c>
    </row>
    <row r="3443" spans="32:33" x14ac:dyDescent="0.4">
      <c r="AF3443" s="19">
        <v>20150909</v>
      </c>
      <c r="AG3443" s="17">
        <v>2591.1879085720252</v>
      </c>
    </row>
    <row r="3444" spans="32:33" x14ac:dyDescent="0.4">
      <c r="AF3444" s="19">
        <v>20150910</v>
      </c>
      <c r="AG3444" s="17">
        <v>2610.2210867330768</v>
      </c>
    </row>
    <row r="3445" spans="32:33" x14ac:dyDescent="0.4">
      <c r="AF3445" s="19">
        <v>20150911</v>
      </c>
      <c r="AG3445" s="17">
        <v>2598.3046621452881</v>
      </c>
    </row>
    <row r="3446" spans="32:33" x14ac:dyDescent="0.4">
      <c r="AF3446" s="19">
        <v>20150912</v>
      </c>
      <c r="AG3446" s="18">
        <v>2598.194324880586</v>
      </c>
    </row>
    <row r="3447" spans="32:33" x14ac:dyDescent="0.4">
      <c r="AF3447" s="19">
        <v>20150913</v>
      </c>
      <c r="AG3447" s="17">
        <v>2598.0839876158848</v>
      </c>
    </row>
    <row r="3448" spans="32:33" x14ac:dyDescent="0.4">
      <c r="AF3448" s="19">
        <v>20150914</v>
      </c>
      <c r="AG3448" s="17">
        <v>2583.6573902561308</v>
      </c>
    </row>
    <row r="3449" spans="32:33" x14ac:dyDescent="0.4">
      <c r="AF3449" s="19">
        <v>20150915</v>
      </c>
      <c r="AG3449" s="17">
        <v>2583.6849745723071</v>
      </c>
    </row>
    <row r="3450" spans="32:33" x14ac:dyDescent="0.4">
      <c r="AF3450" s="19">
        <v>20150916</v>
      </c>
      <c r="AG3450" s="17">
        <v>2618.0274482107261</v>
      </c>
    </row>
    <row r="3451" spans="32:33" x14ac:dyDescent="0.4">
      <c r="AF3451" s="19">
        <v>20150917</v>
      </c>
      <c r="AG3451" s="18">
        <v>2622.0271740561639</v>
      </c>
    </row>
    <row r="3452" spans="32:33" x14ac:dyDescent="0.4">
      <c r="AF3452" s="19">
        <v>20150918</v>
      </c>
      <c r="AG3452" s="17">
        <v>2639.9293952540229</v>
      </c>
    </row>
    <row r="3453" spans="32:33" x14ac:dyDescent="0.4">
      <c r="AF3453" s="19">
        <v>20150919</v>
      </c>
      <c r="AG3453" s="17">
        <v>2639.8190579893212</v>
      </c>
    </row>
    <row r="3454" spans="32:33" x14ac:dyDescent="0.4">
      <c r="AF3454" s="19">
        <v>20150920</v>
      </c>
      <c r="AG3454" s="17">
        <v>2639.6811364084442</v>
      </c>
    </row>
    <row r="3455" spans="32:33" x14ac:dyDescent="0.4">
      <c r="AF3455" s="19">
        <v>20150921</v>
      </c>
      <c r="AG3455" s="17">
        <v>2606.6902942626211</v>
      </c>
    </row>
    <row r="3456" spans="32:33" x14ac:dyDescent="0.4">
      <c r="AF3456" s="19">
        <v>20150922</v>
      </c>
      <c r="AG3456" s="18">
        <v>2616.3999735563748</v>
      </c>
    </row>
    <row r="3457" spans="32:33" x14ac:dyDescent="0.4">
      <c r="AF3457" s="19">
        <v>20150923</v>
      </c>
      <c r="AG3457" s="17">
        <v>2582.223005815008</v>
      </c>
    </row>
    <row r="3458" spans="32:33" x14ac:dyDescent="0.4">
      <c r="AF3458" s="19">
        <v>20150924</v>
      </c>
      <c r="AG3458" s="17">
        <v>2582.0023312856051</v>
      </c>
    </row>
    <row r="3459" spans="32:33" x14ac:dyDescent="0.4">
      <c r="AF3459" s="19">
        <v>20150925</v>
      </c>
      <c r="AG3459" s="17">
        <v>2581.7816567562008</v>
      </c>
    </row>
    <row r="3460" spans="32:33" x14ac:dyDescent="0.4">
      <c r="AF3460" s="19">
        <v>20150926</v>
      </c>
      <c r="AG3460" s="17">
        <v>2581.6713194915001</v>
      </c>
    </row>
    <row r="3461" spans="32:33" x14ac:dyDescent="0.4">
      <c r="AF3461" s="19">
        <v>20150927</v>
      </c>
      <c r="AG3461" s="18">
        <v>2581.5609822267979</v>
      </c>
    </row>
    <row r="3462" spans="32:33" x14ac:dyDescent="0.4">
      <c r="AF3462" s="19">
        <v>20150928</v>
      </c>
      <c r="AG3462" s="17">
        <v>2581.4230606459209</v>
      </c>
    </row>
    <row r="3463" spans="32:33" x14ac:dyDescent="0.4">
      <c r="AF3463" s="19">
        <v>20150929</v>
      </c>
      <c r="AG3463" s="17">
        <v>2581.3127233812188</v>
      </c>
    </row>
    <row r="3464" spans="32:33" x14ac:dyDescent="0.4">
      <c r="AF3464" s="19">
        <v>20150930</v>
      </c>
      <c r="AG3464" s="17">
        <v>2590.4983006676398</v>
      </c>
    </row>
    <row r="3465" spans="32:33" x14ac:dyDescent="0.4">
      <c r="AF3465" s="19">
        <v>20151001</v>
      </c>
      <c r="AG3465" s="17">
        <v>2599.5735406893582</v>
      </c>
    </row>
    <row r="3466" spans="32:33" x14ac:dyDescent="0.4">
      <c r="AF3466" s="19">
        <v>20151002</v>
      </c>
      <c r="AG3466" s="18">
        <v>2592.015438057289</v>
      </c>
    </row>
    <row r="3467" spans="32:33" x14ac:dyDescent="0.4">
      <c r="AF3467" s="19">
        <v>20151003</v>
      </c>
      <c r="AG3467" s="17">
        <v>2591.9051007925868</v>
      </c>
    </row>
    <row r="3468" spans="32:33" x14ac:dyDescent="0.4">
      <c r="AF3468" s="19">
        <v>20151004</v>
      </c>
      <c r="AG3468" s="17">
        <v>2591.7671792117098</v>
      </c>
    </row>
    <row r="3469" spans="32:33" x14ac:dyDescent="0.4">
      <c r="AF3469" s="19">
        <v>20151005</v>
      </c>
      <c r="AG3469" s="17">
        <v>2596.4565129615339</v>
      </c>
    </row>
    <row r="3470" spans="32:33" x14ac:dyDescent="0.4">
      <c r="AF3470" s="19">
        <v>20151006</v>
      </c>
      <c r="AG3470" s="17">
        <v>2621.9168367914622</v>
      </c>
    </row>
    <row r="3471" spans="32:33" x14ac:dyDescent="0.4">
      <c r="AF3471" s="19">
        <v>20151007</v>
      </c>
      <c r="AG3471" s="18">
        <v>2650.1355922389339</v>
      </c>
    </row>
    <row r="3472" spans="32:33" x14ac:dyDescent="0.4">
      <c r="AF3472" s="19">
        <v>20151008</v>
      </c>
      <c r="AG3472" s="17">
        <v>2662.520950201706</v>
      </c>
    </row>
    <row r="3473" spans="32:33" x14ac:dyDescent="0.4">
      <c r="AF3473" s="19">
        <v>20151009</v>
      </c>
      <c r="AG3473" s="17">
        <v>2662.3830286208281</v>
      </c>
    </row>
    <row r="3474" spans="32:33" x14ac:dyDescent="0.4">
      <c r="AF3474" s="19">
        <v>20151010</v>
      </c>
      <c r="AG3474" s="17">
        <v>2662.2726913561269</v>
      </c>
    </row>
    <row r="3475" spans="32:33" x14ac:dyDescent="0.4">
      <c r="AF3475" s="19">
        <v>20151011</v>
      </c>
      <c r="AG3475" s="17">
        <v>2662.1623540914252</v>
      </c>
    </row>
    <row r="3476" spans="32:33" x14ac:dyDescent="0.4">
      <c r="AF3476" s="19">
        <v>20151012</v>
      </c>
      <c r="AG3476" s="18">
        <v>2664.9759543413188</v>
      </c>
    </row>
    <row r="3477" spans="32:33" x14ac:dyDescent="0.4">
      <c r="AF3477" s="19">
        <v>20151013</v>
      </c>
      <c r="AG3477" s="17">
        <v>2649.5563215992502</v>
      </c>
    </row>
    <row r="3478" spans="32:33" x14ac:dyDescent="0.4">
      <c r="AF3478" s="19">
        <v>20151014</v>
      </c>
      <c r="AG3478" s="17">
        <v>2648.5908705331099</v>
      </c>
    </row>
    <row r="3479" spans="32:33" x14ac:dyDescent="0.4">
      <c r="AF3479" s="19">
        <v>20151015</v>
      </c>
      <c r="AG3479" s="17">
        <v>2669.030848819109</v>
      </c>
    </row>
    <row r="3480" spans="32:33" x14ac:dyDescent="0.4">
      <c r="AF3480" s="19">
        <v>20151016</v>
      </c>
      <c r="AG3480" s="17">
        <v>2657.1695928636709</v>
      </c>
    </row>
    <row r="3481" spans="32:33" x14ac:dyDescent="0.4">
      <c r="AF3481" s="19">
        <v>20151017</v>
      </c>
      <c r="AG3481" s="18">
        <v>2657.0592555989688</v>
      </c>
    </row>
    <row r="3482" spans="32:33" x14ac:dyDescent="0.4">
      <c r="AF3482" s="19">
        <v>20151018</v>
      </c>
      <c r="AG3482" s="17">
        <v>2656.9489183342671</v>
      </c>
    </row>
    <row r="3483" spans="32:33" x14ac:dyDescent="0.4">
      <c r="AF3483" s="19">
        <v>20151019</v>
      </c>
      <c r="AG3483" s="17">
        <v>2659.0177420474251</v>
      </c>
    </row>
    <row r="3484" spans="32:33" x14ac:dyDescent="0.4">
      <c r="AF3484" s="19">
        <v>20151020</v>
      </c>
      <c r="AG3484" s="17">
        <v>2661.6658364002669</v>
      </c>
    </row>
    <row r="3485" spans="32:33" x14ac:dyDescent="0.4">
      <c r="AF3485" s="19">
        <v>20151021</v>
      </c>
      <c r="AG3485" s="17">
        <v>2659.2935852091791</v>
      </c>
    </row>
    <row r="3486" spans="32:33" x14ac:dyDescent="0.4">
      <c r="AF3486" s="19">
        <v>20151022</v>
      </c>
      <c r="AG3486" s="18">
        <v>2637.970908805567</v>
      </c>
    </row>
    <row r="3487" spans="32:33" x14ac:dyDescent="0.4">
      <c r="AF3487" s="19">
        <v>20151023</v>
      </c>
      <c r="AG3487" s="17">
        <v>2654.7973416725831</v>
      </c>
    </row>
    <row r="3488" spans="32:33" x14ac:dyDescent="0.4">
      <c r="AF3488" s="19">
        <v>20151024</v>
      </c>
      <c r="AG3488" s="17">
        <v>2654.687004407881</v>
      </c>
    </row>
    <row r="3489" spans="32:33" x14ac:dyDescent="0.4">
      <c r="AF3489" s="19">
        <v>20151025</v>
      </c>
      <c r="AG3489" s="17">
        <v>2654.5766671431802</v>
      </c>
    </row>
    <row r="3490" spans="32:33" x14ac:dyDescent="0.4">
      <c r="AF3490" s="19">
        <v>20151026</v>
      </c>
      <c r="AG3490" s="17">
        <v>2661.252071657635</v>
      </c>
    </row>
    <row r="3491" spans="32:33" x14ac:dyDescent="0.4">
      <c r="AF3491" s="19">
        <v>20151027</v>
      </c>
      <c r="AG3491" s="18">
        <v>2650.4390197168641</v>
      </c>
    </row>
    <row r="3492" spans="32:33" x14ac:dyDescent="0.4">
      <c r="AF3492" s="19">
        <v>20151028</v>
      </c>
      <c r="AG3492" s="17">
        <v>2652.5630120623732</v>
      </c>
    </row>
    <row r="3493" spans="32:33" x14ac:dyDescent="0.4">
      <c r="AF3493" s="19">
        <v>20151029</v>
      </c>
      <c r="AG3493" s="17">
        <v>2646.963395878759</v>
      </c>
    </row>
    <row r="3494" spans="32:33" x14ac:dyDescent="0.4">
      <c r="AF3494" s="19">
        <v>20151030</v>
      </c>
      <c r="AG3494" s="17">
        <v>2648.5357019007588</v>
      </c>
    </row>
    <row r="3495" spans="32:33" x14ac:dyDescent="0.4">
      <c r="AF3495" s="19">
        <v>20151031</v>
      </c>
      <c r="AG3495" s="17">
        <v>2648.4253646360571</v>
      </c>
    </row>
    <row r="3496" spans="32:33" x14ac:dyDescent="0.4">
      <c r="AF3496" s="19">
        <v>20151101</v>
      </c>
      <c r="AG3496" s="18">
        <v>2648.315027371355</v>
      </c>
    </row>
    <row r="3497" spans="32:33" x14ac:dyDescent="0.4">
      <c r="AF3497" s="19">
        <v>20151102</v>
      </c>
      <c r="AG3497" s="17">
        <v>2659.431506790057</v>
      </c>
    </row>
    <row r="3498" spans="32:33" x14ac:dyDescent="0.4">
      <c r="AF3498" s="19">
        <v>20151103</v>
      </c>
      <c r="AG3498" s="17">
        <v>2646.1082820773208</v>
      </c>
    </row>
    <row r="3499" spans="32:33" x14ac:dyDescent="0.4">
      <c r="AF3499" s="19">
        <v>20151104</v>
      </c>
      <c r="AG3499" s="17">
        <v>2649.7494118124778</v>
      </c>
    </row>
    <row r="3500" spans="32:33" x14ac:dyDescent="0.4">
      <c r="AF3500" s="19">
        <v>20151105</v>
      </c>
      <c r="AG3500" s="17">
        <v>2646.9358115625841</v>
      </c>
    </row>
    <row r="3501" spans="32:33" x14ac:dyDescent="0.4">
      <c r="AF3501" s="19">
        <v>20151106</v>
      </c>
      <c r="AG3501" s="18">
        <v>2627.7647118206551</v>
      </c>
    </row>
    <row r="3502" spans="32:33" x14ac:dyDescent="0.4">
      <c r="AF3502" s="19">
        <v>20151107</v>
      </c>
      <c r="AG3502" s="17">
        <v>2627.6543745559529</v>
      </c>
    </row>
    <row r="3503" spans="32:33" x14ac:dyDescent="0.4">
      <c r="AF3503" s="19">
        <v>20151108</v>
      </c>
      <c r="AG3503" s="17">
        <v>2627.5440372912508</v>
      </c>
    </row>
    <row r="3504" spans="32:33" x14ac:dyDescent="0.4">
      <c r="AF3504" s="19">
        <v>20151109</v>
      </c>
      <c r="AG3504" s="17">
        <v>2619.1584051739192</v>
      </c>
    </row>
    <row r="3505" spans="32:33" x14ac:dyDescent="0.4">
      <c r="AF3505" s="19">
        <v>20151110</v>
      </c>
      <c r="AG3505" s="17">
        <v>2581.0368802194648</v>
      </c>
    </row>
    <row r="3506" spans="32:33" x14ac:dyDescent="0.4">
      <c r="AF3506" s="19">
        <v>20151111</v>
      </c>
      <c r="AG3506" s="18">
        <v>2587.850206314798</v>
      </c>
    </row>
    <row r="3507" spans="32:33" x14ac:dyDescent="0.4">
      <c r="AF3507" s="19">
        <v>20151112</v>
      </c>
      <c r="AG3507" s="17">
        <v>2588.7604887485868</v>
      </c>
    </row>
    <row r="3508" spans="32:33" x14ac:dyDescent="0.4">
      <c r="AF3508" s="19">
        <v>20151113</v>
      </c>
      <c r="AG3508" s="17">
        <v>2562.8588158598518</v>
      </c>
    </row>
    <row r="3509" spans="32:33" x14ac:dyDescent="0.4">
      <c r="AF3509" s="19">
        <v>20151114</v>
      </c>
      <c r="AG3509" s="17">
        <v>2562.7484785951501</v>
      </c>
    </row>
    <row r="3510" spans="32:33" x14ac:dyDescent="0.4">
      <c r="AF3510" s="19">
        <v>20151115</v>
      </c>
      <c r="AG3510" s="17">
        <v>2562.638141330448</v>
      </c>
    </row>
    <row r="3511" spans="32:33" x14ac:dyDescent="0.4">
      <c r="AF3511" s="19">
        <v>20151116</v>
      </c>
      <c r="AG3511" s="18">
        <v>2538.805292154871</v>
      </c>
    </row>
    <row r="3512" spans="32:33" x14ac:dyDescent="0.4">
      <c r="AF3512" s="19">
        <v>20151117</v>
      </c>
      <c r="AG3512" s="17">
        <v>2554.114587632238</v>
      </c>
    </row>
    <row r="3513" spans="32:33" x14ac:dyDescent="0.4">
      <c r="AF3513" s="19">
        <v>20151118</v>
      </c>
      <c r="AG3513" s="17">
        <v>2553.6732385734308</v>
      </c>
    </row>
    <row r="3514" spans="32:33" x14ac:dyDescent="0.4">
      <c r="AF3514" s="19">
        <v>20151119</v>
      </c>
      <c r="AG3514" s="17">
        <v>2565.727584742097</v>
      </c>
    </row>
    <row r="3515" spans="32:33" x14ac:dyDescent="0.4">
      <c r="AF3515" s="19">
        <v>20151120</v>
      </c>
      <c r="AG3515" s="17">
        <v>2558.2246507423779</v>
      </c>
    </row>
    <row r="3516" spans="32:33" x14ac:dyDescent="0.4">
      <c r="AF3516" s="19">
        <v>20151121</v>
      </c>
      <c r="AG3516" s="18">
        <v>2558.0867291615009</v>
      </c>
    </row>
    <row r="3517" spans="32:33" x14ac:dyDescent="0.4">
      <c r="AF3517" s="19">
        <v>20151122</v>
      </c>
      <c r="AG3517" s="17">
        <v>2557.9763918967992</v>
      </c>
    </row>
    <row r="3518" spans="32:33" x14ac:dyDescent="0.4">
      <c r="AF3518" s="19">
        <v>20151123</v>
      </c>
      <c r="AG3518" s="17">
        <v>2558.8039213820621</v>
      </c>
    </row>
    <row r="3519" spans="32:33" x14ac:dyDescent="0.4">
      <c r="AF3519" s="19">
        <v>20151124</v>
      </c>
      <c r="AG3519" s="17">
        <v>2575.6855228814302</v>
      </c>
    </row>
    <row r="3520" spans="32:33" x14ac:dyDescent="0.4">
      <c r="AF3520" s="19">
        <v>20151125</v>
      </c>
      <c r="AG3520" s="17">
        <v>2575.7406915137808</v>
      </c>
    </row>
    <row r="3521" spans="32:33" x14ac:dyDescent="0.4">
      <c r="AF3521" s="19">
        <v>20151126</v>
      </c>
      <c r="AG3521" s="18">
        <v>2598.9666857334992</v>
      </c>
    </row>
    <row r="3522" spans="32:33" x14ac:dyDescent="0.4">
      <c r="AF3522" s="19">
        <v>20151127</v>
      </c>
      <c r="AG3522" s="17">
        <v>2595.5186462115689</v>
      </c>
    </row>
    <row r="3523" spans="32:33" x14ac:dyDescent="0.4">
      <c r="AF3523" s="19">
        <v>20151128</v>
      </c>
      <c r="AG3523" s="17">
        <v>2595.3807246306919</v>
      </c>
    </row>
    <row r="3524" spans="32:33" x14ac:dyDescent="0.4">
      <c r="AF3524" s="19">
        <v>20151129</v>
      </c>
      <c r="AG3524" s="17">
        <v>2595.2703873659898</v>
      </c>
    </row>
    <row r="3525" spans="32:33" x14ac:dyDescent="0.4">
      <c r="AF3525" s="19">
        <v>20151130</v>
      </c>
      <c r="AG3525" s="17">
        <v>2558.7211684335361</v>
      </c>
    </row>
    <row r="3526" spans="32:33" x14ac:dyDescent="0.4">
      <c r="AF3526" s="19">
        <v>20151201</v>
      </c>
      <c r="AG3526" s="18">
        <v>2580.6231154768329</v>
      </c>
    </row>
    <row r="3527" spans="32:33" x14ac:dyDescent="0.4">
      <c r="AF3527" s="19">
        <v>20151202</v>
      </c>
      <c r="AG3527" s="17">
        <v>2561.8106118451851</v>
      </c>
    </row>
    <row r="3528" spans="32:33" x14ac:dyDescent="0.4">
      <c r="AF3528" s="19">
        <v>20151203</v>
      </c>
      <c r="AG3528" s="17">
        <v>2544.322155389958</v>
      </c>
    </row>
    <row r="3529" spans="32:33" x14ac:dyDescent="0.4">
      <c r="AF3529" s="19">
        <v>20151204</v>
      </c>
      <c r="AG3529" s="17">
        <v>2530.1162325596079</v>
      </c>
    </row>
    <row r="3530" spans="32:33" x14ac:dyDescent="0.4">
      <c r="AF3530" s="19">
        <v>20151205</v>
      </c>
      <c r="AG3530" s="17">
        <v>2529.9783109787309</v>
      </c>
    </row>
    <row r="3531" spans="32:33" x14ac:dyDescent="0.4">
      <c r="AF3531" s="19">
        <v>20151206</v>
      </c>
      <c r="AG3531" s="18">
        <v>2529.8679737140292</v>
      </c>
    </row>
    <row r="3532" spans="32:33" x14ac:dyDescent="0.4">
      <c r="AF3532" s="19">
        <v>20151207</v>
      </c>
      <c r="AG3532" s="17">
        <v>2516.7654235306959</v>
      </c>
    </row>
    <row r="3533" spans="32:33" x14ac:dyDescent="0.4">
      <c r="AF3533" s="19">
        <v>20151208</v>
      </c>
      <c r="AG3533" s="17">
        <v>2497.7322453696452</v>
      </c>
    </row>
    <row r="3534" spans="32:33" x14ac:dyDescent="0.4">
      <c r="AF3534" s="19">
        <v>20151209</v>
      </c>
      <c r="AG3534" s="17">
        <v>2492.9601586712938</v>
      </c>
    </row>
    <row r="3535" spans="32:33" x14ac:dyDescent="0.4">
      <c r="AF3535" s="19">
        <v>20151210</v>
      </c>
      <c r="AG3535" s="17">
        <v>2503.3870301856091</v>
      </c>
    </row>
    <row r="3536" spans="32:33" x14ac:dyDescent="0.4">
      <c r="AF3536" s="19">
        <v>20151211</v>
      </c>
      <c r="AG3536" s="18">
        <v>2494.2290372153639</v>
      </c>
    </row>
    <row r="3537" spans="32:33" x14ac:dyDescent="0.4">
      <c r="AF3537" s="19">
        <v>20151212</v>
      </c>
      <c r="AG3537" s="17">
        <v>2494.1186999506631</v>
      </c>
    </row>
    <row r="3538" spans="32:33" x14ac:dyDescent="0.4">
      <c r="AF3538" s="19">
        <v>20151213</v>
      </c>
      <c r="AG3538" s="17">
        <v>2494.0083626859609</v>
      </c>
    </row>
    <row r="3539" spans="32:33" x14ac:dyDescent="0.4">
      <c r="AF3539" s="19">
        <v>20151214</v>
      </c>
      <c r="AG3539" s="17">
        <v>2463.00359130477</v>
      </c>
    </row>
    <row r="3540" spans="32:33" x14ac:dyDescent="0.4">
      <c r="AF3540" s="19">
        <v>20151215</v>
      </c>
      <c r="AG3540" s="17">
        <v>2463.0863442532959</v>
      </c>
    </row>
    <row r="3541" spans="32:33" x14ac:dyDescent="0.4">
      <c r="AF3541" s="19">
        <v>20151216</v>
      </c>
      <c r="AG3541" s="18">
        <v>2497.2357276784869</v>
      </c>
    </row>
    <row r="3542" spans="32:33" x14ac:dyDescent="0.4">
      <c r="AF3542" s="19">
        <v>20151217</v>
      </c>
      <c r="AG3542" s="17">
        <v>2506.9729912884159</v>
      </c>
    </row>
    <row r="3543" spans="32:33" x14ac:dyDescent="0.4">
      <c r="AF3543" s="19">
        <v>20151218</v>
      </c>
      <c r="AG3543" s="17">
        <v>2515.7723881483812</v>
      </c>
    </row>
    <row r="3544" spans="32:33" x14ac:dyDescent="0.4">
      <c r="AF3544" s="19">
        <v>20151219</v>
      </c>
      <c r="AG3544" s="17">
        <v>2515.6620508836791</v>
      </c>
    </row>
    <row r="3545" spans="32:33" x14ac:dyDescent="0.4">
      <c r="AF3545" s="19">
        <v>20151220</v>
      </c>
      <c r="AG3545" s="17">
        <v>2515.5517136189769</v>
      </c>
    </row>
    <row r="3546" spans="32:33" x14ac:dyDescent="0.4">
      <c r="AF3546" s="19">
        <v>20151221</v>
      </c>
      <c r="AG3546" s="18">
        <v>2514.4759252881349</v>
      </c>
    </row>
    <row r="3547" spans="32:33" x14ac:dyDescent="0.4">
      <c r="AF3547" s="19">
        <v>20151222</v>
      </c>
      <c r="AG3547" s="17">
        <v>2529.3162873905198</v>
      </c>
    </row>
    <row r="3548" spans="32:33" x14ac:dyDescent="0.4">
      <c r="AF3548" s="19">
        <v>20151223</v>
      </c>
      <c r="AG3548" s="17">
        <v>2540.2396765959929</v>
      </c>
    </row>
    <row r="3549" spans="32:33" x14ac:dyDescent="0.4">
      <c r="AF3549" s="19">
        <v>20151224</v>
      </c>
      <c r="AG3549" s="17">
        <v>2537.4812449784499</v>
      </c>
    </row>
    <row r="3550" spans="32:33" x14ac:dyDescent="0.4">
      <c r="AF3550" s="19">
        <v>20151225</v>
      </c>
      <c r="AG3550" s="17">
        <v>2537.3709077137478</v>
      </c>
    </row>
    <row r="3551" spans="32:33" x14ac:dyDescent="0.4">
      <c r="AF3551" s="19">
        <v>20151226</v>
      </c>
      <c r="AG3551" s="18">
        <v>2537.2605704490461</v>
      </c>
    </row>
    <row r="3552" spans="32:33" x14ac:dyDescent="0.4">
      <c r="AF3552" s="19">
        <v>20151227</v>
      </c>
      <c r="AG3552" s="17">
        <v>2537.150233184344</v>
      </c>
    </row>
    <row r="3553" spans="32:33" x14ac:dyDescent="0.4">
      <c r="AF3553" s="19">
        <v>20151228</v>
      </c>
      <c r="AG3553" s="17">
        <v>2520.9582395893631</v>
      </c>
    </row>
    <row r="3554" spans="32:33" x14ac:dyDescent="0.4">
      <c r="AF3554" s="19">
        <v>20151229</v>
      </c>
      <c r="AG3554" s="17">
        <v>2544.597998551712</v>
      </c>
    </row>
    <row r="3555" spans="32:33" x14ac:dyDescent="0.4">
      <c r="AF3555" s="19">
        <v>20151230</v>
      </c>
      <c r="AG3555" s="17">
        <v>2564.1001100877461</v>
      </c>
    </row>
    <row r="3556" spans="32:33" x14ac:dyDescent="0.4">
      <c r="AF3556" s="19">
        <v>20151231</v>
      </c>
      <c r="AG3556" s="18">
        <v>2563.9897728230449</v>
      </c>
    </row>
    <row r="3557" spans="32:33" x14ac:dyDescent="0.4">
      <c r="AF3557" s="19">
        <v>20160101</v>
      </c>
      <c r="AG3557" s="17">
        <v>2563.8794355583432</v>
      </c>
    </row>
    <row r="3558" spans="32:33" x14ac:dyDescent="0.4">
      <c r="AF3558" s="19">
        <v>20160102</v>
      </c>
      <c r="AG3558" s="17">
        <v>2563.769098293641</v>
      </c>
    </row>
    <row r="3559" spans="32:33" x14ac:dyDescent="0.4">
      <c r="AF3559" s="19">
        <v>20160103</v>
      </c>
      <c r="AG3559" s="17">
        <v>2563.6587610289389</v>
      </c>
    </row>
    <row r="3560" spans="32:33" x14ac:dyDescent="0.4">
      <c r="AF3560" s="19">
        <v>20160104</v>
      </c>
      <c r="AG3560" s="17">
        <v>2511.6071564058898</v>
      </c>
    </row>
    <row r="3561" spans="32:33" x14ac:dyDescent="0.4">
      <c r="AF3561" s="19">
        <v>20160105</v>
      </c>
      <c r="AG3561" s="18">
        <v>2515.1655331925208</v>
      </c>
    </row>
    <row r="3562" spans="32:33" x14ac:dyDescent="0.4">
      <c r="AF3562" s="19">
        <v>20160106</v>
      </c>
      <c r="AG3562" s="17">
        <v>2492.98774298747</v>
      </c>
    </row>
    <row r="3563" spans="32:33" x14ac:dyDescent="0.4">
      <c r="AF3563" s="19">
        <v>20160107</v>
      </c>
      <c r="AG3563" s="17">
        <v>2479.581765326207</v>
      </c>
    </row>
    <row r="3564" spans="32:33" x14ac:dyDescent="0.4">
      <c r="AF3564" s="19">
        <v>20160108</v>
      </c>
      <c r="AG3564" s="17">
        <v>2479.8576084879619</v>
      </c>
    </row>
    <row r="3565" spans="32:33" x14ac:dyDescent="0.4">
      <c r="AF3565" s="19">
        <v>20160109</v>
      </c>
      <c r="AG3565" s="17">
        <v>2479.7472712232602</v>
      </c>
    </row>
    <row r="3566" spans="32:33" x14ac:dyDescent="0.4">
      <c r="AF3566" s="19">
        <v>20160110</v>
      </c>
      <c r="AG3566" s="18">
        <v>2479.6369339585581</v>
      </c>
    </row>
    <row r="3567" spans="32:33" x14ac:dyDescent="0.4">
      <c r="AF3567" s="19">
        <v>20160111</v>
      </c>
      <c r="AG3567" s="17">
        <v>2449.9286254376129</v>
      </c>
    </row>
    <row r="3568" spans="32:33" x14ac:dyDescent="0.4">
      <c r="AF3568" s="19">
        <v>20160112</v>
      </c>
      <c r="AG3568" s="17">
        <v>2440.4120363570869</v>
      </c>
    </row>
    <row r="3569" spans="32:33" x14ac:dyDescent="0.4">
      <c r="AF3569" s="19">
        <v>20160113</v>
      </c>
      <c r="AG3569" s="17">
        <v>2453.2663276948401</v>
      </c>
    </row>
    <row r="3570" spans="32:33" x14ac:dyDescent="0.4">
      <c r="AF3570" s="19">
        <v>20160114</v>
      </c>
      <c r="AG3570" s="17">
        <v>2434.9503417543501</v>
      </c>
    </row>
    <row r="3571" spans="32:33" x14ac:dyDescent="0.4">
      <c r="AF3571" s="19">
        <v>20160115</v>
      </c>
      <c r="AG3571" s="18">
        <v>2415.5861517991939</v>
      </c>
    </row>
    <row r="3572" spans="32:33" x14ac:dyDescent="0.4">
      <c r="AF3572" s="19">
        <v>20160116</v>
      </c>
      <c r="AG3572" s="17">
        <v>2415.4758145344922</v>
      </c>
    </row>
    <row r="3573" spans="32:33" x14ac:dyDescent="0.4">
      <c r="AF3573" s="19">
        <v>20160117</v>
      </c>
      <c r="AG3573" s="17">
        <v>2415.3930615859649</v>
      </c>
    </row>
    <row r="3574" spans="32:33" x14ac:dyDescent="0.4">
      <c r="AF3574" s="19">
        <v>20160118</v>
      </c>
      <c r="AG3574" s="17">
        <v>2409.5727708729478</v>
      </c>
    </row>
    <row r="3575" spans="32:33" x14ac:dyDescent="0.4">
      <c r="AF3575" s="19">
        <v>20160119</v>
      </c>
      <c r="AG3575" s="17">
        <v>2425.102740879719</v>
      </c>
    </row>
    <row r="3576" spans="32:33" x14ac:dyDescent="0.4">
      <c r="AF3576" s="19">
        <v>20160120</v>
      </c>
      <c r="AG3576" s="18">
        <v>2363.5069628599681</v>
      </c>
    </row>
    <row r="3577" spans="32:33" x14ac:dyDescent="0.4">
      <c r="AF3577" s="19">
        <v>20160121</v>
      </c>
      <c r="AG3577" s="17">
        <v>2363.1483667496882</v>
      </c>
    </row>
    <row r="3578" spans="32:33" x14ac:dyDescent="0.4">
      <c r="AF3578" s="19">
        <v>20160122</v>
      </c>
      <c r="AG3578" s="17">
        <v>2399.0355620939308</v>
      </c>
    </row>
    <row r="3579" spans="32:33" x14ac:dyDescent="0.4">
      <c r="AF3579" s="19">
        <v>20160123</v>
      </c>
      <c r="AG3579" s="17">
        <v>2398.92522482923</v>
      </c>
    </row>
    <row r="3580" spans="32:33" x14ac:dyDescent="0.4">
      <c r="AF3580" s="19">
        <v>20160124</v>
      </c>
      <c r="AG3580" s="17">
        <v>2398.8424718807032</v>
      </c>
    </row>
    <row r="3581" spans="32:33" x14ac:dyDescent="0.4">
      <c r="AF3581" s="19">
        <v>20160125</v>
      </c>
      <c r="AG3581" s="18">
        <v>2408.2763080127029</v>
      </c>
    </row>
    <row r="3582" spans="32:33" x14ac:dyDescent="0.4">
      <c r="AF3582" s="19">
        <v>20160126</v>
      </c>
      <c r="AG3582" s="17">
        <v>2396.6081422704929</v>
      </c>
    </row>
    <row r="3583" spans="32:33" x14ac:dyDescent="0.4">
      <c r="AF3583" s="19">
        <v>20160127</v>
      </c>
      <c r="AG3583" s="17">
        <v>2412.358786806667</v>
      </c>
    </row>
    <row r="3584" spans="32:33" x14ac:dyDescent="0.4">
      <c r="AF3584" s="19">
        <v>20160128</v>
      </c>
      <c r="AG3584" s="17">
        <v>2417.4343009829481</v>
      </c>
    </row>
    <row r="3585" spans="32:33" x14ac:dyDescent="0.4">
      <c r="AF3585" s="19">
        <v>20160129</v>
      </c>
      <c r="AG3585" s="17">
        <v>2430.8402786442098</v>
      </c>
    </row>
    <row r="3586" spans="32:33" x14ac:dyDescent="0.4">
      <c r="AF3586" s="19">
        <v>20160130</v>
      </c>
      <c r="AG3586" s="18">
        <v>2430.7299413795081</v>
      </c>
    </row>
    <row r="3587" spans="32:33" x14ac:dyDescent="0.4">
      <c r="AF3587" s="19">
        <v>20160131</v>
      </c>
      <c r="AG3587" s="17">
        <v>2430.6196041148069</v>
      </c>
    </row>
    <row r="3588" spans="32:33" x14ac:dyDescent="0.4">
      <c r="AF3588" s="19">
        <v>20160201</v>
      </c>
      <c r="AG3588" s="17">
        <v>2438.2328753792272</v>
      </c>
    </row>
    <row r="3589" spans="32:33" x14ac:dyDescent="0.4">
      <c r="AF3589" s="19">
        <v>20160202</v>
      </c>
      <c r="AG3589" s="17">
        <v>2425.5440899385262</v>
      </c>
    </row>
    <row r="3590" spans="32:33" x14ac:dyDescent="0.4">
      <c r="AF3590" s="19">
        <v>20160203</v>
      </c>
      <c r="AG3590" s="17">
        <v>2412.6070456522461</v>
      </c>
    </row>
    <row r="3591" spans="32:33" x14ac:dyDescent="0.4">
      <c r="AF3591" s="19">
        <v>20160204</v>
      </c>
      <c r="AG3591" s="18">
        <v>2439.391416658596</v>
      </c>
    </row>
    <row r="3592" spans="32:33" x14ac:dyDescent="0.4">
      <c r="AF3592" s="19">
        <v>20160205</v>
      </c>
      <c r="AG3592" s="17">
        <v>2453.0732374816121</v>
      </c>
    </row>
    <row r="3593" spans="32:33" x14ac:dyDescent="0.4">
      <c r="AF3593" s="19">
        <v>20160206</v>
      </c>
      <c r="AG3593" s="17">
        <v>2452.9629002169108</v>
      </c>
    </row>
    <row r="3594" spans="32:33" x14ac:dyDescent="0.4">
      <c r="AF3594" s="19">
        <v>20160207</v>
      </c>
      <c r="AG3594" s="17">
        <v>2452.8525629522092</v>
      </c>
    </row>
    <row r="3595" spans="32:33" x14ac:dyDescent="0.4">
      <c r="AF3595" s="19">
        <v>20160208</v>
      </c>
      <c r="AG3595" s="17">
        <v>2452.7698100036828</v>
      </c>
    </row>
    <row r="3596" spans="32:33" x14ac:dyDescent="0.4">
      <c r="AF3596" s="19">
        <v>20160209</v>
      </c>
      <c r="AG3596" s="18">
        <v>2452.6594727389811</v>
      </c>
    </row>
    <row r="3597" spans="32:33" x14ac:dyDescent="0.4">
      <c r="AF3597" s="19">
        <v>20160210</v>
      </c>
      <c r="AG3597" s="17">
        <v>2452.549135474279</v>
      </c>
    </row>
    <row r="3598" spans="32:33" x14ac:dyDescent="0.4">
      <c r="AF3598" s="19">
        <v>20160211</v>
      </c>
      <c r="AG3598" s="17">
        <v>2412.3036181743169</v>
      </c>
    </row>
    <row r="3599" spans="32:33" x14ac:dyDescent="0.4">
      <c r="AF3599" s="19">
        <v>20160212</v>
      </c>
      <c r="AG3599" s="17">
        <v>2378.9817642343892</v>
      </c>
    </row>
    <row r="3600" spans="32:33" x14ac:dyDescent="0.4">
      <c r="AF3600" s="19">
        <v>20160213</v>
      </c>
      <c r="AG3600" s="17">
        <v>2378.871426969687</v>
      </c>
    </row>
    <row r="3601" spans="32:33" x14ac:dyDescent="0.4">
      <c r="AF3601" s="19">
        <v>20160214</v>
      </c>
      <c r="AG3601" s="18">
        <v>2378.7886740211611</v>
      </c>
    </row>
    <row r="3602" spans="32:33" x14ac:dyDescent="0.4">
      <c r="AF3602" s="19">
        <v>20160215</v>
      </c>
      <c r="AG3602" s="17">
        <v>2404.1938292187378</v>
      </c>
    </row>
    <row r="3603" spans="32:33" x14ac:dyDescent="0.4">
      <c r="AF3603" s="19">
        <v>20160216</v>
      </c>
      <c r="AG3603" s="17">
        <v>2432.136741504456</v>
      </c>
    </row>
    <row r="3604" spans="32:33" x14ac:dyDescent="0.4">
      <c r="AF3604" s="19">
        <v>20160217</v>
      </c>
      <c r="AG3604" s="17">
        <v>2436.16405166607</v>
      </c>
    </row>
    <row r="3605" spans="32:33" x14ac:dyDescent="0.4">
      <c r="AF3605" s="19">
        <v>20160218</v>
      </c>
      <c r="AG3605" s="17">
        <v>2449.1562645846998</v>
      </c>
    </row>
    <row r="3606" spans="32:33" x14ac:dyDescent="0.4">
      <c r="AF3606" s="19">
        <v>20160219</v>
      </c>
      <c r="AG3606" s="18">
        <v>2459.5279674666649</v>
      </c>
    </row>
    <row r="3607" spans="32:33" x14ac:dyDescent="0.4">
      <c r="AF3607" s="19">
        <v>20160220</v>
      </c>
      <c r="AG3607" s="17">
        <v>2459.4176302019632</v>
      </c>
    </row>
    <row r="3608" spans="32:33" x14ac:dyDescent="0.4">
      <c r="AF3608" s="19">
        <v>20160221</v>
      </c>
      <c r="AG3608" s="17">
        <v>2459.3348772534368</v>
      </c>
    </row>
    <row r="3609" spans="32:33" x14ac:dyDescent="0.4">
      <c r="AF3609" s="19">
        <v>20160222</v>
      </c>
      <c r="AG3609" s="17">
        <v>2454.7282964521391</v>
      </c>
    </row>
    <row r="3610" spans="32:33" x14ac:dyDescent="0.4">
      <c r="AF3610" s="19">
        <v>20160223</v>
      </c>
      <c r="AG3610" s="17">
        <v>2460.189991054875</v>
      </c>
    </row>
    <row r="3611" spans="32:33" x14ac:dyDescent="0.4">
      <c r="AF3611" s="19">
        <v>20160224</v>
      </c>
      <c r="AG3611" s="18">
        <v>2465.7068542899628</v>
      </c>
    </row>
    <row r="3612" spans="32:33" x14ac:dyDescent="0.4">
      <c r="AF3612" s="19">
        <v>20160225</v>
      </c>
      <c r="AG3612" s="17">
        <v>2475.1958590543131</v>
      </c>
    </row>
    <row r="3613" spans="32:33" x14ac:dyDescent="0.4">
      <c r="AF3613" s="19">
        <v>20160226</v>
      </c>
      <c r="AG3613" s="17">
        <v>2482.5057028408041</v>
      </c>
    </row>
    <row r="3614" spans="32:33" x14ac:dyDescent="0.4">
      <c r="AF3614" s="19">
        <v>20160227</v>
      </c>
      <c r="AG3614" s="17">
        <v>2482.395365576102</v>
      </c>
    </row>
    <row r="3615" spans="32:33" x14ac:dyDescent="0.4">
      <c r="AF3615" s="19">
        <v>20160228</v>
      </c>
      <c r="AG3615" s="17">
        <v>2482.3126126275761</v>
      </c>
    </row>
    <row r="3616" spans="32:33" x14ac:dyDescent="0.4">
      <c r="AF3616" s="19">
        <v>20160229</v>
      </c>
      <c r="AG3616" s="18">
        <v>2494.3669587962422</v>
      </c>
    </row>
    <row r="3617" spans="32:33" x14ac:dyDescent="0.4">
      <c r="AF3617" s="19">
        <v>20160301</v>
      </c>
      <c r="AG3617" s="17">
        <v>2494.2566215315401</v>
      </c>
    </row>
    <row r="3618" spans="32:33" x14ac:dyDescent="0.4">
      <c r="AF3618" s="19">
        <v>20160302</v>
      </c>
      <c r="AG3618" s="17">
        <v>2500.5458456195388</v>
      </c>
    </row>
    <row r="3619" spans="32:33" x14ac:dyDescent="0.4">
      <c r="AF3619" s="19">
        <v>20160303</v>
      </c>
      <c r="AG3619" s="17">
        <v>2512.517438839679</v>
      </c>
    </row>
    <row r="3620" spans="32:33" x14ac:dyDescent="0.4">
      <c r="AF3620" s="19">
        <v>20160304</v>
      </c>
      <c r="AG3620" s="17">
        <v>2512.8484506337841</v>
      </c>
    </row>
    <row r="3621" spans="32:33" x14ac:dyDescent="0.4">
      <c r="AF3621" s="19">
        <v>20160305</v>
      </c>
      <c r="AG3621" s="18">
        <v>2512.7381133690828</v>
      </c>
    </row>
    <row r="3622" spans="32:33" x14ac:dyDescent="0.4">
      <c r="AF3622" s="19">
        <v>20160306</v>
      </c>
      <c r="AG3622" s="17">
        <v>2512.6277761043812</v>
      </c>
    </row>
    <row r="3623" spans="32:33" x14ac:dyDescent="0.4">
      <c r="AF3623" s="19">
        <v>20160307</v>
      </c>
      <c r="AG3623" s="17">
        <v>2507.0557442369432</v>
      </c>
    </row>
    <row r="3624" spans="32:33" x14ac:dyDescent="0.4">
      <c r="AF3624" s="19">
        <v>20160308</v>
      </c>
      <c r="AG3624" s="17">
        <v>2505.2627636855391</v>
      </c>
    </row>
    <row r="3625" spans="32:33" x14ac:dyDescent="0.4">
      <c r="AF3625" s="19">
        <v>20160309</v>
      </c>
      <c r="AG3625" s="17">
        <v>2516.4344117365908</v>
      </c>
    </row>
    <row r="3626" spans="32:33" x14ac:dyDescent="0.4">
      <c r="AF3626" s="19">
        <v>20160310</v>
      </c>
      <c r="AG3626" s="18">
        <v>2527.3578009420639</v>
      </c>
    </row>
    <row r="3627" spans="32:33" x14ac:dyDescent="0.4">
      <c r="AF3627" s="19">
        <v>20160311</v>
      </c>
      <c r="AG3627" s="17">
        <v>2526.199259662696</v>
      </c>
    </row>
    <row r="3628" spans="32:33" x14ac:dyDescent="0.4">
      <c r="AF3628" s="19">
        <v>20160312</v>
      </c>
      <c r="AG3628" s="17">
        <v>2526.0889223979939</v>
      </c>
    </row>
    <row r="3629" spans="32:33" x14ac:dyDescent="0.4">
      <c r="AF3629" s="19">
        <v>20160313</v>
      </c>
      <c r="AG3629" s="17">
        <v>2525.9785851332922</v>
      </c>
    </row>
    <row r="3630" spans="32:33" x14ac:dyDescent="0.4">
      <c r="AF3630" s="19">
        <v>20160314</v>
      </c>
      <c r="AG3630" s="17">
        <v>2507.8556894060298</v>
      </c>
    </row>
    <row r="3631" spans="32:33" x14ac:dyDescent="0.4">
      <c r="AF3631" s="19">
        <v>20160315</v>
      </c>
      <c r="AG3631" s="18">
        <v>2525.8958321847658</v>
      </c>
    </row>
    <row r="3632" spans="32:33" x14ac:dyDescent="0.4">
      <c r="AF3632" s="19">
        <v>20160316</v>
      </c>
      <c r="AG3632" s="17">
        <v>2524.792459537749</v>
      </c>
    </row>
    <row r="3633" spans="32:33" x14ac:dyDescent="0.4">
      <c r="AF3633" s="19">
        <v>20160317</v>
      </c>
      <c r="AG3633" s="17">
        <v>2531.1368522580992</v>
      </c>
    </row>
    <row r="3634" spans="32:33" x14ac:dyDescent="0.4">
      <c r="AF3634" s="19">
        <v>20160318</v>
      </c>
      <c r="AG3634" s="17">
        <v>2541.1499590297831</v>
      </c>
    </row>
    <row r="3635" spans="32:33" x14ac:dyDescent="0.4">
      <c r="AF3635" s="19">
        <v>20160319</v>
      </c>
      <c r="AG3635" s="17">
        <v>2541.0672060812558</v>
      </c>
    </row>
    <row r="3636" spans="32:33" x14ac:dyDescent="0.4">
      <c r="AF3636" s="19">
        <v>20160320</v>
      </c>
      <c r="AG3636" s="18">
        <v>2540.956868816555</v>
      </c>
    </row>
    <row r="3637" spans="32:33" x14ac:dyDescent="0.4">
      <c r="AF3637" s="19">
        <v>20160321</v>
      </c>
      <c r="AG3637" s="17">
        <v>2531.1920208904498</v>
      </c>
    </row>
    <row r="3638" spans="32:33" x14ac:dyDescent="0.4">
      <c r="AF3638" s="19">
        <v>20160322</v>
      </c>
      <c r="AG3638" s="17">
        <v>2536.929558654941</v>
      </c>
    </row>
    <row r="3639" spans="32:33" x14ac:dyDescent="0.4">
      <c r="AF3639" s="19">
        <v>20160323</v>
      </c>
      <c r="AG3639" s="17">
        <v>2541.8119826179932</v>
      </c>
    </row>
    <row r="3640" spans="32:33" x14ac:dyDescent="0.4">
      <c r="AF3640" s="19">
        <v>20160324</v>
      </c>
      <c r="AG3640" s="17">
        <v>2534.860734941783</v>
      </c>
    </row>
    <row r="3641" spans="32:33" x14ac:dyDescent="0.4">
      <c r="AF3641" s="19">
        <v>20160325</v>
      </c>
      <c r="AG3641" s="18">
        <v>2530.0610639272568</v>
      </c>
    </row>
    <row r="3642" spans="32:33" x14ac:dyDescent="0.4">
      <c r="AF3642" s="19">
        <v>20160326</v>
      </c>
      <c r="AG3642" s="17">
        <v>2529.9783109787309</v>
      </c>
    </row>
    <row r="3643" spans="32:33" x14ac:dyDescent="0.4">
      <c r="AF3643" s="19">
        <v>20160327</v>
      </c>
      <c r="AG3643" s="17">
        <v>2529.8679737140292</v>
      </c>
    </row>
    <row r="3644" spans="32:33" x14ac:dyDescent="0.4">
      <c r="AF3644" s="19">
        <v>20160328</v>
      </c>
      <c r="AG3644" s="17">
        <v>2533.2332602874321</v>
      </c>
    </row>
    <row r="3645" spans="32:33" x14ac:dyDescent="0.4">
      <c r="AF3645" s="19">
        <v>20160329</v>
      </c>
      <c r="AG3645" s="17">
        <v>2541.1775433459579</v>
      </c>
    </row>
    <row r="3646" spans="32:33" x14ac:dyDescent="0.4">
      <c r="AF3646" s="19">
        <v>20160330</v>
      </c>
      <c r="AG3646" s="18">
        <v>2546.390979103116</v>
      </c>
    </row>
    <row r="3647" spans="32:33" x14ac:dyDescent="0.4">
      <c r="AF3647" s="19">
        <v>20160331</v>
      </c>
      <c r="AG3647" s="17">
        <v>2544.9014260296422</v>
      </c>
    </row>
    <row r="3648" spans="32:33" x14ac:dyDescent="0.4">
      <c r="AF3648" s="19">
        <v>20160401</v>
      </c>
      <c r="AG3648" s="17">
        <v>2536.26753506673</v>
      </c>
    </row>
    <row r="3649" spans="32:33" x14ac:dyDescent="0.4">
      <c r="AF3649" s="19">
        <v>20160402</v>
      </c>
      <c r="AG3649" s="17">
        <v>2536.1571978020288</v>
      </c>
    </row>
    <row r="3650" spans="32:33" x14ac:dyDescent="0.4">
      <c r="AF3650" s="19">
        <v>20160403</v>
      </c>
      <c r="AG3650" s="17">
        <v>2536.074444853502</v>
      </c>
    </row>
    <row r="3651" spans="32:33" x14ac:dyDescent="0.4">
      <c r="AF3651" s="19">
        <v>20160404</v>
      </c>
      <c r="AG3651" s="18">
        <v>2541.0120374489061</v>
      </c>
    </row>
    <row r="3652" spans="32:33" x14ac:dyDescent="0.4">
      <c r="AF3652" s="19">
        <v>20160405</v>
      </c>
      <c r="AG3652" s="17">
        <v>2531.440279736029</v>
      </c>
    </row>
    <row r="3653" spans="32:33" x14ac:dyDescent="0.4">
      <c r="AF3653" s="19">
        <v>20160406</v>
      </c>
      <c r="AG3653" s="17">
        <v>2533.4815191330108</v>
      </c>
    </row>
    <row r="3654" spans="32:33" x14ac:dyDescent="0.4">
      <c r="AF3654" s="19">
        <v>20160407</v>
      </c>
      <c r="AG3654" s="17">
        <v>2538.0329313019579</v>
      </c>
    </row>
    <row r="3655" spans="32:33" x14ac:dyDescent="0.4">
      <c r="AF3655" s="19">
        <v>20160408</v>
      </c>
      <c r="AG3655" s="17">
        <v>2534.4193858829758</v>
      </c>
    </row>
    <row r="3656" spans="32:33" x14ac:dyDescent="0.4">
      <c r="AF3656" s="19">
        <v>20160409</v>
      </c>
      <c r="AG3656" s="18">
        <v>2534.3090486182741</v>
      </c>
    </row>
    <row r="3657" spans="32:33" x14ac:dyDescent="0.4">
      <c r="AF3657" s="19">
        <v>20160410</v>
      </c>
      <c r="AG3657" s="17">
        <v>2534.1987113535729</v>
      </c>
    </row>
    <row r="3658" spans="32:33" x14ac:dyDescent="0.4">
      <c r="AF3658" s="19">
        <v>20160411</v>
      </c>
      <c r="AG3658" s="17">
        <v>2531.164436574275</v>
      </c>
    </row>
    <row r="3659" spans="32:33" x14ac:dyDescent="0.4">
      <c r="AF3659" s="19">
        <v>20160412</v>
      </c>
      <c r="AG3659" s="17">
        <v>2537.867425404906</v>
      </c>
    </row>
    <row r="3660" spans="32:33" x14ac:dyDescent="0.4">
      <c r="AF3660" s="19">
        <v>20160413</v>
      </c>
      <c r="AG3660" s="17">
        <v>2537.7570881402039</v>
      </c>
    </row>
    <row r="3661" spans="32:33" x14ac:dyDescent="0.4">
      <c r="AF3661" s="19">
        <v>20160414</v>
      </c>
      <c r="AG3661" s="18">
        <v>2562.1692079554659</v>
      </c>
    </row>
    <row r="3662" spans="32:33" x14ac:dyDescent="0.4">
      <c r="AF3662" s="19">
        <v>20160415</v>
      </c>
      <c r="AG3662" s="17">
        <v>2568.1550045655358</v>
      </c>
    </row>
    <row r="3663" spans="32:33" x14ac:dyDescent="0.4">
      <c r="AF3663" s="19">
        <v>20160416</v>
      </c>
      <c r="AG3663" s="17">
        <v>2568.0446673008341</v>
      </c>
    </row>
    <row r="3664" spans="32:33" x14ac:dyDescent="0.4">
      <c r="AF3664" s="19">
        <v>20160417</v>
      </c>
      <c r="AG3664" s="17">
        <v>2567.934330036132</v>
      </c>
    </row>
    <row r="3665" spans="32:33" x14ac:dyDescent="0.4">
      <c r="AF3665" s="19">
        <v>20160418</v>
      </c>
      <c r="AG3665" s="17">
        <v>2547.3564301692559</v>
      </c>
    </row>
    <row r="3666" spans="32:33" x14ac:dyDescent="0.4">
      <c r="AF3666" s="19">
        <v>20160419</v>
      </c>
      <c r="AG3666" s="18">
        <v>2555.5489720733608</v>
      </c>
    </row>
    <row r="3667" spans="32:33" x14ac:dyDescent="0.4">
      <c r="AF3667" s="19">
        <v>20160420</v>
      </c>
      <c r="AG3667" s="17">
        <v>2558.472909587957</v>
      </c>
    </row>
    <row r="3668" spans="32:33" x14ac:dyDescent="0.4">
      <c r="AF3668" s="19">
        <v>20160421</v>
      </c>
      <c r="AG3668" s="17">
        <v>2566.3620240141322</v>
      </c>
    </row>
    <row r="3669" spans="32:33" x14ac:dyDescent="0.4">
      <c r="AF3669" s="19">
        <v>20160422</v>
      </c>
      <c r="AG3669" s="17">
        <v>2557.2867839924129</v>
      </c>
    </row>
    <row r="3670" spans="32:33" x14ac:dyDescent="0.4">
      <c r="AF3670" s="19">
        <v>20160423</v>
      </c>
      <c r="AG3670" s="17">
        <v>2557.1764467277121</v>
      </c>
    </row>
    <row r="3671" spans="32:33" x14ac:dyDescent="0.4">
      <c r="AF3671" s="19">
        <v>20160424</v>
      </c>
      <c r="AG3671" s="18">
        <v>2557.06610946301</v>
      </c>
    </row>
    <row r="3672" spans="32:33" x14ac:dyDescent="0.4">
      <c r="AF3672" s="19">
        <v>20160425</v>
      </c>
      <c r="AG3672" s="17">
        <v>2561.286509837852</v>
      </c>
    </row>
    <row r="3673" spans="32:33" x14ac:dyDescent="0.4">
      <c r="AF3673" s="19">
        <v>20160426</v>
      </c>
      <c r="AG3673" s="17">
        <v>2559.9348783452551</v>
      </c>
    </row>
    <row r="3674" spans="32:33" x14ac:dyDescent="0.4">
      <c r="AF3674" s="19">
        <v>20160427</v>
      </c>
      <c r="AG3674" s="17">
        <v>2549.2873323015369</v>
      </c>
    </row>
    <row r="3675" spans="32:33" x14ac:dyDescent="0.4">
      <c r="AF3675" s="19">
        <v>20160428</v>
      </c>
      <c r="AG3675" s="17">
        <v>2546.5013163678182</v>
      </c>
    </row>
    <row r="3676" spans="32:33" x14ac:dyDescent="0.4">
      <c r="AF3676" s="19">
        <v>20160429</v>
      </c>
      <c r="AG3676" s="18">
        <v>2531.8540444786599</v>
      </c>
    </row>
    <row r="3677" spans="32:33" x14ac:dyDescent="0.4">
      <c r="AF3677" s="19">
        <v>20160430</v>
      </c>
      <c r="AG3677" s="17">
        <v>2531.7437072139592</v>
      </c>
    </row>
    <row r="3678" spans="32:33" x14ac:dyDescent="0.4">
      <c r="AF3678" s="19">
        <v>20160501</v>
      </c>
      <c r="AG3678" s="17">
        <v>2531.633369949257</v>
      </c>
    </row>
    <row r="3679" spans="32:33" x14ac:dyDescent="0.4">
      <c r="AF3679" s="19">
        <v>20160502</v>
      </c>
      <c r="AG3679" s="17">
        <v>2514.393172339609</v>
      </c>
    </row>
    <row r="3680" spans="32:33" x14ac:dyDescent="0.4">
      <c r="AF3680" s="19">
        <v>20160503</v>
      </c>
      <c r="AG3680" s="17">
        <v>2521.5099259128719</v>
      </c>
    </row>
    <row r="3681" spans="32:33" x14ac:dyDescent="0.4">
      <c r="AF3681" s="19">
        <v>20160504</v>
      </c>
      <c r="AG3681" s="18">
        <v>2510.1176033324159</v>
      </c>
    </row>
    <row r="3682" spans="32:33" x14ac:dyDescent="0.4">
      <c r="AF3682" s="19">
        <v>20160505</v>
      </c>
      <c r="AG3682" s="17">
        <v>2510.03485038389</v>
      </c>
    </row>
    <row r="3683" spans="32:33" x14ac:dyDescent="0.4">
      <c r="AF3683" s="19">
        <v>20160506</v>
      </c>
      <c r="AG3683" s="17">
        <v>2509.9245131191878</v>
      </c>
    </row>
    <row r="3684" spans="32:33" x14ac:dyDescent="0.4">
      <c r="AF3684" s="19">
        <v>20160507</v>
      </c>
      <c r="AG3684" s="17">
        <v>2509.8141758544862</v>
      </c>
    </row>
    <row r="3685" spans="32:33" x14ac:dyDescent="0.4">
      <c r="AF3685" s="19">
        <v>20160508</v>
      </c>
      <c r="AG3685" s="17">
        <v>2509.7038385897849</v>
      </c>
    </row>
    <row r="3686" spans="32:33" x14ac:dyDescent="0.4">
      <c r="AF3686" s="19">
        <v>20160509</v>
      </c>
      <c r="AG3686" s="18">
        <v>2510.9451328176792</v>
      </c>
    </row>
    <row r="3687" spans="32:33" x14ac:dyDescent="0.4">
      <c r="AF3687" s="19">
        <v>20160510</v>
      </c>
      <c r="AG3687" s="17">
        <v>2514.0897448616788</v>
      </c>
    </row>
    <row r="3688" spans="32:33" x14ac:dyDescent="0.4">
      <c r="AF3688" s="19">
        <v>20160511</v>
      </c>
      <c r="AG3688" s="17">
        <v>2512.2691799940999</v>
      </c>
    </row>
    <row r="3689" spans="32:33" x14ac:dyDescent="0.4">
      <c r="AF3689" s="19">
        <v>20160512</v>
      </c>
      <c r="AG3689" s="17">
        <v>2512.5726074720301</v>
      </c>
    </row>
    <row r="3690" spans="32:33" x14ac:dyDescent="0.4">
      <c r="AF3690" s="19">
        <v>20160513</v>
      </c>
      <c r="AG3690" s="17">
        <v>2511.4968191411881</v>
      </c>
    </row>
    <row r="3691" spans="32:33" x14ac:dyDescent="0.4">
      <c r="AF3691" s="19">
        <v>20160514</v>
      </c>
      <c r="AG3691" s="18">
        <v>2511.386481876486</v>
      </c>
    </row>
    <row r="3692" spans="32:33" x14ac:dyDescent="0.4">
      <c r="AF3692" s="19">
        <v>20160515</v>
      </c>
      <c r="AG3692" s="17">
        <v>2511.2761446117838</v>
      </c>
    </row>
    <row r="3693" spans="32:33" x14ac:dyDescent="0.4">
      <c r="AF3693" s="19">
        <v>20160516</v>
      </c>
      <c r="AG3693" s="17">
        <v>2515.2482861410472</v>
      </c>
    </row>
    <row r="3694" spans="32:33" x14ac:dyDescent="0.4">
      <c r="AF3694" s="19">
        <v>20160517</v>
      </c>
      <c r="AG3694" s="17">
        <v>2510.7796269206269</v>
      </c>
    </row>
    <row r="3695" spans="32:33" x14ac:dyDescent="0.4">
      <c r="AF3695" s="19">
        <v>20160518</v>
      </c>
      <c r="AG3695" s="17">
        <v>2500.849273097469</v>
      </c>
    </row>
    <row r="3696" spans="32:33" x14ac:dyDescent="0.4">
      <c r="AF3696" s="19">
        <v>20160519</v>
      </c>
      <c r="AG3696" s="18">
        <v>2501.787139847434</v>
      </c>
    </row>
    <row r="3697" spans="32:33" x14ac:dyDescent="0.4">
      <c r="AF3697" s="19">
        <v>20160520</v>
      </c>
      <c r="AG3697" s="17">
        <v>2504.0490537738201</v>
      </c>
    </row>
    <row r="3698" spans="32:33" x14ac:dyDescent="0.4">
      <c r="AF3698" s="19">
        <v>20160521</v>
      </c>
      <c r="AG3698" s="17">
        <v>2503.938716509118</v>
      </c>
    </row>
    <row r="3699" spans="32:33" x14ac:dyDescent="0.4">
      <c r="AF3699" s="19">
        <v>20160522</v>
      </c>
      <c r="AG3699" s="17">
        <v>2503.8283792444158</v>
      </c>
    </row>
    <row r="3700" spans="32:33" x14ac:dyDescent="0.4">
      <c r="AF3700" s="19">
        <v>20160523</v>
      </c>
      <c r="AG3700" s="17">
        <v>2499.63556318575</v>
      </c>
    </row>
    <row r="3701" spans="32:33" x14ac:dyDescent="0.4">
      <c r="AF3701" s="19">
        <v>20160524</v>
      </c>
      <c r="AG3701" s="18">
        <v>2497.621908104943</v>
      </c>
    </row>
    <row r="3702" spans="32:33" x14ac:dyDescent="0.4">
      <c r="AF3702" s="19">
        <v>20160525</v>
      </c>
      <c r="AG3702" s="17">
        <v>2512.9312035823109</v>
      </c>
    </row>
    <row r="3703" spans="32:33" x14ac:dyDescent="0.4">
      <c r="AF3703" s="19">
        <v>20160526</v>
      </c>
      <c r="AG3703" s="17">
        <v>2506.2282147516798</v>
      </c>
    </row>
    <row r="3704" spans="32:33" x14ac:dyDescent="0.4">
      <c r="AF3704" s="19">
        <v>20160527</v>
      </c>
      <c r="AG3704" s="17">
        <v>2512.7381133690828</v>
      </c>
    </row>
    <row r="3705" spans="32:33" x14ac:dyDescent="0.4">
      <c r="AF3705" s="19">
        <v>20160528</v>
      </c>
      <c r="AG3705" s="17">
        <v>2512.6277761043812</v>
      </c>
    </row>
    <row r="3706" spans="32:33" x14ac:dyDescent="0.4">
      <c r="AF3706" s="19">
        <v>20160529</v>
      </c>
      <c r="AG3706" s="18">
        <v>2512.5450231558548</v>
      </c>
    </row>
    <row r="3707" spans="32:33" x14ac:dyDescent="0.4">
      <c r="AF3707" s="19">
        <v>20160530</v>
      </c>
      <c r="AG3707" s="17">
        <v>2500.0493279283819</v>
      </c>
    </row>
    <row r="3708" spans="32:33" x14ac:dyDescent="0.4">
      <c r="AF3708" s="19">
        <v>20160531</v>
      </c>
      <c r="AG3708" s="17">
        <v>2510.6141210235742</v>
      </c>
    </row>
    <row r="3709" spans="32:33" x14ac:dyDescent="0.4">
      <c r="AF3709" s="19">
        <v>20160601</v>
      </c>
      <c r="AG3709" s="17">
        <v>2511.8829995676442</v>
      </c>
    </row>
    <row r="3710" spans="32:33" x14ac:dyDescent="0.4">
      <c r="AF3710" s="19">
        <v>20160602</v>
      </c>
      <c r="AG3710" s="17">
        <v>2514.0069919131529</v>
      </c>
    </row>
    <row r="3711" spans="32:33" x14ac:dyDescent="0.4">
      <c r="AF3711" s="19">
        <v>20160603</v>
      </c>
      <c r="AG3711" s="18">
        <v>2514.2000821263809</v>
      </c>
    </row>
    <row r="3712" spans="32:33" x14ac:dyDescent="0.4">
      <c r="AF3712" s="19">
        <v>20160604</v>
      </c>
      <c r="AG3712" s="17">
        <v>2514.0897448616788</v>
      </c>
    </row>
    <row r="3713" spans="32:33" x14ac:dyDescent="0.4">
      <c r="AF3713" s="19">
        <v>20160605</v>
      </c>
      <c r="AG3713" s="17">
        <v>2513.9794075969771</v>
      </c>
    </row>
    <row r="3714" spans="32:33" x14ac:dyDescent="0.4">
      <c r="AF3714" s="19">
        <v>20160606</v>
      </c>
      <c r="AG3714" s="17">
        <v>2513.8690703322759</v>
      </c>
    </row>
    <row r="3715" spans="32:33" x14ac:dyDescent="0.4">
      <c r="AF3715" s="19">
        <v>20160607</v>
      </c>
      <c r="AG3715" s="17">
        <v>2530.22656982431</v>
      </c>
    </row>
    <row r="3716" spans="32:33" x14ac:dyDescent="0.4">
      <c r="AF3716" s="19">
        <v>20160608</v>
      </c>
      <c r="AG3716" s="18">
        <v>2538.3639430960638</v>
      </c>
    </row>
    <row r="3717" spans="32:33" x14ac:dyDescent="0.4">
      <c r="AF3717" s="19">
        <v>20160609</v>
      </c>
      <c r="AG3717" s="17">
        <v>2538.9156294195718</v>
      </c>
    </row>
    <row r="3718" spans="32:33" x14ac:dyDescent="0.4">
      <c r="AF3718" s="19">
        <v>20160610</v>
      </c>
      <c r="AG3718" s="17">
        <v>2525.5096517583102</v>
      </c>
    </row>
    <row r="3719" spans="32:33" x14ac:dyDescent="0.4">
      <c r="AF3719" s="19">
        <v>20160611</v>
      </c>
      <c r="AG3719" s="17">
        <v>2525.399314493608</v>
      </c>
    </row>
    <row r="3720" spans="32:33" x14ac:dyDescent="0.4">
      <c r="AF3720" s="19">
        <v>20160612</v>
      </c>
      <c r="AG3720" s="17">
        <v>2525.261392912731</v>
      </c>
    </row>
    <row r="3721" spans="32:33" x14ac:dyDescent="0.4">
      <c r="AF3721" s="19">
        <v>20160613</v>
      </c>
      <c r="AG3721" s="18">
        <v>2491.8292017081012</v>
      </c>
    </row>
    <row r="3722" spans="32:33" x14ac:dyDescent="0.4">
      <c r="AF3722" s="19">
        <v>20160614</v>
      </c>
      <c r="AG3722" s="17">
        <v>2488.8225112449791</v>
      </c>
    </row>
    <row r="3723" spans="32:33" x14ac:dyDescent="0.4">
      <c r="AF3723" s="19">
        <v>20160615</v>
      </c>
      <c r="AG3723" s="17">
        <v>2478.5335613115408</v>
      </c>
    </row>
    <row r="3724" spans="32:33" x14ac:dyDescent="0.4">
      <c r="AF3724" s="19">
        <v>20160616</v>
      </c>
      <c r="AG3724" s="17">
        <v>2457.7901555476119</v>
      </c>
    </row>
    <row r="3725" spans="32:33" x14ac:dyDescent="0.4">
      <c r="AF3725" s="19">
        <v>20160617</v>
      </c>
      <c r="AG3725" s="17">
        <v>2462.0381402386288</v>
      </c>
    </row>
    <row r="3726" spans="32:33" x14ac:dyDescent="0.4">
      <c r="AF3726" s="19">
        <v>20160618</v>
      </c>
      <c r="AG3726" s="18">
        <v>2461.927802973928</v>
      </c>
    </row>
    <row r="3727" spans="32:33" x14ac:dyDescent="0.4">
      <c r="AF3727" s="19">
        <v>20160619</v>
      </c>
      <c r="AG3727" s="17">
        <v>2461.8174657092259</v>
      </c>
    </row>
    <row r="3728" spans="32:33" x14ac:dyDescent="0.4">
      <c r="AF3728" s="19">
        <v>20160620</v>
      </c>
      <c r="AG3728" s="17">
        <v>2483.6918284363469</v>
      </c>
    </row>
    <row r="3729" spans="32:33" x14ac:dyDescent="0.4">
      <c r="AF3729" s="19">
        <v>20160621</v>
      </c>
      <c r="AG3729" s="17">
        <v>2480.1610359658921</v>
      </c>
    </row>
    <row r="3730" spans="32:33" x14ac:dyDescent="0.4">
      <c r="AF3730" s="19">
        <v>20160622</v>
      </c>
      <c r="AG3730" s="17">
        <v>2482.0367694658212</v>
      </c>
    </row>
    <row r="3731" spans="32:33" x14ac:dyDescent="0.4">
      <c r="AF3731" s="19">
        <v>20160623</v>
      </c>
      <c r="AG3731" s="18">
        <v>2482.671208737856</v>
      </c>
    </row>
    <row r="3732" spans="32:33" x14ac:dyDescent="0.4">
      <c r="AF3732" s="19">
        <v>20160624</v>
      </c>
      <c r="AG3732" s="17">
        <v>2429.5989844163159</v>
      </c>
    </row>
    <row r="3733" spans="32:33" x14ac:dyDescent="0.4">
      <c r="AF3733" s="19">
        <v>20160625</v>
      </c>
      <c r="AG3733" s="17">
        <v>2429.4886471516138</v>
      </c>
    </row>
    <row r="3734" spans="32:33" x14ac:dyDescent="0.4">
      <c r="AF3734" s="19">
        <v>20160626</v>
      </c>
      <c r="AG3734" s="17">
        <v>2429.3783098869121</v>
      </c>
    </row>
    <row r="3735" spans="32:33" x14ac:dyDescent="0.4">
      <c r="AF3735" s="19">
        <v>20160627</v>
      </c>
      <c r="AG3735" s="17">
        <v>2428.854207879579</v>
      </c>
    </row>
    <row r="3736" spans="32:33" x14ac:dyDescent="0.4">
      <c r="AF3736" s="19">
        <v>20160628</v>
      </c>
      <c r="AG3736" s="18">
        <v>2424.6613918209118</v>
      </c>
    </row>
    <row r="3737" spans="32:33" x14ac:dyDescent="0.4">
      <c r="AF3737" s="19">
        <v>20160629</v>
      </c>
      <c r="AG3737" s="17">
        <v>2433.7090475264558</v>
      </c>
    </row>
    <row r="3738" spans="32:33" x14ac:dyDescent="0.4">
      <c r="AF3738" s="19">
        <v>20160630</v>
      </c>
      <c r="AG3738" s="17">
        <v>2450.866492187577</v>
      </c>
    </row>
    <row r="3739" spans="32:33" x14ac:dyDescent="0.4">
      <c r="AF3739" s="19">
        <v>20160701</v>
      </c>
      <c r="AG3739" s="17">
        <v>2462.0105559224539</v>
      </c>
    </row>
    <row r="3740" spans="32:33" x14ac:dyDescent="0.4">
      <c r="AF3740" s="19">
        <v>20160702</v>
      </c>
      <c r="AG3740" s="17">
        <v>2461.9002186577518</v>
      </c>
    </row>
    <row r="3741" spans="32:33" x14ac:dyDescent="0.4">
      <c r="AF3741" s="19">
        <v>20160703</v>
      </c>
      <c r="AG3741" s="18">
        <v>2461.789881393051</v>
      </c>
    </row>
    <row r="3742" spans="32:33" x14ac:dyDescent="0.4">
      <c r="AF3742" s="19">
        <v>20160704</v>
      </c>
      <c r="AG3742" s="17">
        <v>2463.555277628278</v>
      </c>
    </row>
    <row r="3743" spans="32:33" x14ac:dyDescent="0.4">
      <c r="AF3743" s="19">
        <v>20160705</v>
      </c>
      <c r="AG3743" s="17">
        <v>2449.8182881729108</v>
      </c>
    </row>
    <row r="3744" spans="32:33" x14ac:dyDescent="0.4">
      <c r="AF3744" s="19">
        <v>20160706</v>
      </c>
      <c r="AG3744" s="17">
        <v>2412.4691240713692</v>
      </c>
    </row>
    <row r="3745" spans="32:33" x14ac:dyDescent="0.4">
      <c r="AF3745" s="19">
        <v>20160707</v>
      </c>
      <c r="AG3745" s="17">
        <v>2431.1712904383148</v>
      </c>
    </row>
    <row r="3746" spans="32:33" x14ac:dyDescent="0.4">
      <c r="AF3746" s="19">
        <v>20160708</v>
      </c>
      <c r="AG3746" s="18">
        <v>2421.5167797769118</v>
      </c>
    </row>
    <row r="3747" spans="32:33" x14ac:dyDescent="0.4">
      <c r="AF3747" s="19">
        <v>20160709</v>
      </c>
      <c r="AG3747" s="17">
        <v>2421.406442512211</v>
      </c>
    </row>
    <row r="3748" spans="32:33" x14ac:dyDescent="0.4">
      <c r="AF3748" s="19">
        <v>20160710</v>
      </c>
      <c r="AG3748" s="17">
        <v>2421.2961052475089</v>
      </c>
    </row>
    <row r="3749" spans="32:33" x14ac:dyDescent="0.4">
      <c r="AF3749" s="19">
        <v>20160711</v>
      </c>
      <c r="AG3749" s="17">
        <v>2439.1155734968411</v>
      </c>
    </row>
    <row r="3750" spans="32:33" x14ac:dyDescent="0.4">
      <c r="AF3750" s="19">
        <v>20160712</v>
      </c>
      <c r="AG3750" s="17">
        <v>2450.673401974349</v>
      </c>
    </row>
    <row r="3751" spans="32:33" x14ac:dyDescent="0.4">
      <c r="AF3751" s="19">
        <v>20160713</v>
      </c>
      <c r="AG3751" s="18">
        <v>2466.3137092458219</v>
      </c>
    </row>
    <row r="3752" spans="32:33" x14ac:dyDescent="0.4">
      <c r="AF3752" s="19">
        <v>20160714</v>
      </c>
      <c r="AG3752" s="17">
        <v>2462.7001638268398</v>
      </c>
    </row>
    <row r="3753" spans="32:33" x14ac:dyDescent="0.4">
      <c r="AF3753" s="19">
        <v>20160715</v>
      </c>
      <c r="AG3753" s="17">
        <v>2466.699889672278</v>
      </c>
    </row>
    <row r="3754" spans="32:33" x14ac:dyDescent="0.4">
      <c r="AF3754" s="19">
        <v>20160716</v>
      </c>
      <c r="AG3754" s="17">
        <v>2466.5895524075768</v>
      </c>
    </row>
    <row r="3755" spans="32:33" x14ac:dyDescent="0.4">
      <c r="AF3755" s="19">
        <v>20160717</v>
      </c>
      <c r="AG3755" s="17">
        <v>2466.4792151428751</v>
      </c>
    </row>
    <row r="3756" spans="32:33" x14ac:dyDescent="0.4">
      <c r="AF3756" s="19">
        <v>20160718</v>
      </c>
      <c r="AG3756" s="18">
        <v>2463.5828619444542</v>
      </c>
    </row>
    <row r="3757" spans="32:33" x14ac:dyDescent="0.4">
      <c r="AF3757" s="19">
        <v>20160719</v>
      </c>
      <c r="AG3757" s="17">
        <v>2447.2253624524201</v>
      </c>
    </row>
    <row r="3758" spans="32:33" x14ac:dyDescent="0.4">
      <c r="AF3758" s="19">
        <v>20160720</v>
      </c>
      <c r="AG3758" s="17">
        <v>2448.4942409964901</v>
      </c>
    </row>
    <row r="3759" spans="32:33" x14ac:dyDescent="0.4">
      <c r="AF3759" s="19">
        <v>20160721</v>
      </c>
      <c r="AG3759" s="17">
        <v>2452.3836295772262</v>
      </c>
    </row>
    <row r="3760" spans="32:33" x14ac:dyDescent="0.4">
      <c r="AF3760" s="19">
        <v>20160722</v>
      </c>
      <c r="AG3760" s="17">
        <v>2454.8662180330161</v>
      </c>
    </row>
    <row r="3761" spans="32:33" x14ac:dyDescent="0.4">
      <c r="AF3761" s="19">
        <v>20160723</v>
      </c>
      <c r="AG3761" s="18">
        <v>2454.755880768314</v>
      </c>
    </row>
    <row r="3762" spans="32:33" x14ac:dyDescent="0.4">
      <c r="AF3762" s="19">
        <v>20160724</v>
      </c>
      <c r="AG3762" s="17">
        <v>2454.617959187437</v>
      </c>
    </row>
    <row r="3763" spans="32:33" x14ac:dyDescent="0.4">
      <c r="AF3763" s="19">
        <v>20160725</v>
      </c>
      <c r="AG3763" s="17">
        <v>2466.1757876649449</v>
      </c>
    </row>
    <row r="3764" spans="32:33" x14ac:dyDescent="0.4">
      <c r="AF3764" s="19">
        <v>20160726</v>
      </c>
      <c r="AG3764" s="17">
        <v>2473.1822039735061</v>
      </c>
    </row>
    <row r="3765" spans="32:33" x14ac:dyDescent="0.4">
      <c r="AF3765" s="19">
        <v>20160727</v>
      </c>
      <c r="AG3765" s="17">
        <v>2477.7336161424528</v>
      </c>
    </row>
    <row r="3766" spans="32:33" x14ac:dyDescent="0.4">
      <c r="AF3766" s="19">
        <v>20160728</v>
      </c>
      <c r="AG3766" s="18">
        <v>2473.4028785029091</v>
      </c>
    </row>
    <row r="3767" spans="32:33" x14ac:dyDescent="0.4">
      <c r="AF3767" s="19">
        <v>20160729</v>
      </c>
      <c r="AG3767" s="17">
        <v>2469.9548389809802</v>
      </c>
    </row>
    <row r="3768" spans="32:33" x14ac:dyDescent="0.4">
      <c r="AF3768" s="19">
        <v>20160730</v>
      </c>
      <c r="AG3768" s="17">
        <v>2469.844501716278</v>
      </c>
    </row>
    <row r="3769" spans="32:33" x14ac:dyDescent="0.4">
      <c r="AF3769" s="19">
        <v>20160731</v>
      </c>
      <c r="AG3769" s="17">
        <v>2469.7341644515759</v>
      </c>
    </row>
    <row r="3770" spans="32:33" x14ac:dyDescent="0.4">
      <c r="AF3770" s="19">
        <v>20160801</v>
      </c>
      <c r="AG3770" s="17">
        <v>2481.2644086129089</v>
      </c>
    </row>
    <row r="3771" spans="32:33" x14ac:dyDescent="0.4">
      <c r="AF3771" s="19">
        <v>20160802</v>
      </c>
      <c r="AG3771" s="18">
        <v>2480.5472163923482</v>
      </c>
    </row>
    <row r="3772" spans="32:33" x14ac:dyDescent="0.4">
      <c r="AF3772" s="19">
        <v>20160803</v>
      </c>
      <c r="AG3772" s="17">
        <v>2468.1894427457519</v>
      </c>
    </row>
    <row r="3773" spans="32:33" x14ac:dyDescent="0.4">
      <c r="AF3773" s="19">
        <v>20160804</v>
      </c>
      <c r="AG3773" s="17">
        <v>2467.168823047261</v>
      </c>
    </row>
    <row r="3774" spans="32:33" x14ac:dyDescent="0.4">
      <c r="AF3774" s="19">
        <v>20160805</v>
      </c>
      <c r="AG3774" s="17">
        <v>2486.284754156839</v>
      </c>
    </row>
    <row r="3775" spans="32:33" x14ac:dyDescent="0.4">
      <c r="AF3775" s="19">
        <v>20160806</v>
      </c>
      <c r="AG3775" s="17">
        <v>2486.1744168921368</v>
      </c>
    </row>
    <row r="3776" spans="32:33" x14ac:dyDescent="0.4">
      <c r="AF3776" s="19">
        <v>20160807</v>
      </c>
      <c r="AG3776" s="18">
        <v>2486.0640796274351</v>
      </c>
    </row>
    <row r="3777" spans="32:33" x14ac:dyDescent="0.4">
      <c r="AF3777" s="19">
        <v>20160808</v>
      </c>
      <c r="AG3777" s="17">
        <v>2496.4081981932241</v>
      </c>
    </row>
    <row r="3778" spans="32:33" x14ac:dyDescent="0.4">
      <c r="AF3778" s="19">
        <v>20160809</v>
      </c>
      <c r="AG3778" s="17">
        <v>2503.4697831341359</v>
      </c>
    </row>
    <row r="3779" spans="32:33" x14ac:dyDescent="0.4">
      <c r="AF3779" s="19">
        <v>20160810</v>
      </c>
      <c r="AG3779" s="17">
        <v>2499.6079788695752</v>
      </c>
    </row>
    <row r="3780" spans="32:33" x14ac:dyDescent="0.4">
      <c r="AF3780" s="19">
        <v>20160811</v>
      </c>
      <c r="AG3780" s="17">
        <v>2498.0356728475749</v>
      </c>
    </row>
    <row r="3781" spans="32:33" x14ac:dyDescent="0.4">
      <c r="AF3781" s="19">
        <v>20160812</v>
      </c>
      <c r="AG3781" s="18">
        <v>2505.207595053188</v>
      </c>
    </row>
    <row r="3782" spans="32:33" x14ac:dyDescent="0.4">
      <c r="AF3782" s="19">
        <v>20160813</v>
      </c>
      <c r="AG3782" s="17">
        <v>2505.0972577884868</v>
      </c>
    </row>
    <row r="3783" spans="32:33" x14ac:dyDescent="0.4">
      <c r="AF3783" s="19">
        <v>20160814</v>
      </c>
      <c r="AG3783" s="17">
        <v>2504.9869205237851</v>
      </c>
    </row>
    <row r="3784" spans="32:33" x14ac:dyDescent="0.4">
      <c r="AF3784" s="19">
        <v>20160815</v>
      </c>
      <c r="AG3784" s="17">
        <v>2504.8489989429081</v>
      </c>
    </row>
    <row r="3785" spans="32:33" x14ac:dyDescent="0.4">
      <c r="AF3785" s="19">
        <v>20160816</v>
      </c>
      <c r="AG3785" s="17">
        <v>2490.3672329508031</v>
      </c>
    </row>
    <row r="3786" spans="32:33" x14ac:dyDescent="0.4">
      <c r="AF3786" s="19">
        <v>20160817</v>
      </c>
      <c r="AG3786" s="18">
        <v>2495.4979157594348</v>
      </c>
    </row>
    <row r="3787" spans="32:33" x14ac:dyDescent="0.4">
      <c r="AF3787" s="19">
        <v>20160818</v>
      </c>
      <c r="AG3787" s="17">
        <v>2488.6845896641021</v>
      </c>
    </row>
    <row r="3788" spans="32:33" x14ac:dyDescent="0.4">
      <c r="AF3788" s="19">
        <v>20160819</v>
      </c>
      <c r="AG3788" s="17">
        <v>2470.9478743632958</v>
      </c>
    </row>
    <row r="3789" spans="32:33" x14ac:dyDescent="0.4">
      <c r="AF3789" s="19">
        <v>20160820</v>
      </c>
      <c r="AG3789" s="17">
        <v>2470.8375370985941</v>
      </c>
    </row>
    <row r="3790" spans="32:33" x14ac:dyDescent="0.4">
      <c r="AF3790" s="19">
        <v>20160821</v>
      </c>
      <c r="AG3790" s="17">
        <v>2470.727199833892</v>
      </c>
    </row>
    <row r="3791" spans="32:33" x14ac:dyDescent="0.4">
      <c r="AF3791" s="19">
        <v>20160822</v>
      </c>
      <c r="AG3791" s="18">
        <v>2452.4387982095768</v>
      </c>
    </row>
    <row r="3792" spans="32:33" x14ac:dyDescent="0.4">
      <c r="AF3792" s="19">
        <v>20160823</v>
      </c>
      <c r="AG3792" s="17">
        <v>2444.2738406216481</v>
      </c>
    </row>
    <row r="3793" spans="32:33" x14ac:dyDescent="0.4">
      <c r="AF3793" s="19">
        <v>20160824</v>
      </c>
      <c r="AG3793" s="17">
        <v>2455.1420611947701</v>
      </c>
    </row>
    <row r="3794" spans="32:33" x14ac:dyDescent="0.4">
      <c r="AF3794" s="19">
        <v>20160825</v>
      </c>
      <c r="AG3794" s="17">
        <v>2454.5627905550859</v>
      </c>
    </row>
    <row r="3795" spans="32:33" x14ac:dyDescent="0.4">
      <c r="AF3795" s="19">
        <v>20160826</v>
      </c>
      <c r="AG3795" s="17">
        <v>2459.8038106284189</v>
      </c>
    </row>
    <row r="3796" spans="32:33" x14ac:dyDescent="0.4">
      <c r="AF3796" s="19">
        <v>20160827</v>
      </c>
      <c r="AG3796" s="18">
        <v>2459.6934733637172</v>
      </c>
    </row>
    <row r="3797" spans="32:33" x14ac:dyDescent="0.4">
      <c r="AF3797" s="19">
        <v>20160828</v>
      </c>
      <c r="AG3797" s="17">
        <v>2459.583136099016</v>
      </c>
    </row>
    <row r="3798" spans="32:33" x14ac:dyDescent="0.4">
      <c r="AF3798" s="19">
        <v>20160829</v>
      </c>
      <c r="AG3798" s="17">
        <v>2445.1841230554369</v>
      </c>
    </row>
    <row r="3799" spans="32:33" x14ac:dyDescent="0.4">
      <c r="AF3799" s="19">
        <v>20160830</v>
      </c>
      <c r="AG3799" s="17">
        <v>2442.7567032319989</v>
      </c>
    </row>
    <row r="3800" spans="32:33" x14ac:dyDescent="0.4">
      <c r="AF3800" s="19">
        <v>20160831</v>
      </c>
      <c r="AG3800" s="17">
        <v>2439.1155734968411</v>
      </c>
    </row>
    <row r="3801" spans="32:33" x14ac:dyDescent="0.4">
      <c r="AF3801" s="19">
        <v>20160901</v>
      </c>
      <c r="AG3801" s="18">
        <v>2443.0601307099291</v>
      </c>
    </row>
    <row r="3802" spans="32:33" x14ac:dyDescent="0.4">
      <c r="AF3802" s="19">
        <v>20160902</v>
      </c>
      <c r="AG3802" s="17">
        <v>2438.8948989674382</v>
      </c>
    </row>
    <row r="3803" spans="32:33" x14ac:dyDescent="0.4">
      <c r="AF3803" s="19">
        <v>20160903</v>
      </c>
      <c r="AG3803" s="17">
        <v>2438.784561702736</v>
      </c>
    </row>
    <row r="3804" spans="32:33" x14ac:dyDescent="0.4">
      <c r="AF3804" s="19">
        <v>20160904</v>
      </c>
      <c r="AG3804" s="17">
        <v>2438.6742244380339</v>
      </c>
    </row>
    <row r="3805" spans="32:33" x14ac:dyDescent="0.4">
      <c r="AF3805" s="19">
        <v>20160905</v>
      </c>
      <c r="AG3805" s="17">
        <v>2456.5212770035419</v>
      </c>
    </row>
    <row r="3806" spans="32:33" x14ac:dyDescent="0.4">
      <c r="AF3806" s="19">
        <v>20160906</v>
      </c>
      <c r="AG3806" s="18">
        <v>2461.6243754959978</v>
      </c>
    </row>
    <row r="3807" spans="32:33" x14ac:dyDescent="0.4">
      <c r="AF3807" s="19">
        <v>20160907</v>
      </c>
      <c r="AG3807" s="17">
        <v>2462.203646135682</v>
      </c>
    </row>
    <row r="3808" spans="32:33" x14ac:dyDescent="0.4">
      <c r="AF3808" s="19">
        <v>20160908</v>
      </c>
      <c r="AG3808" s="17">
        <v>2456.10751226091</v>
      </c>
    </row>
    <row r="3809" spans="32:33" x14ac:dyDescent="0.4">
      <c r="AF3809" s="19">
        <v>20160909</v>
      </c>
      <c r="AG3809" s="17">
        <v>2455.8868377315071</v>
      </c>
    </row>
    <row r="3810" spans="32:33" x14ac:dyDescent="0.4">
      <c r="AF3810" s="19">
        <v>20160910</v>
      </c>
      <c r="AG3810" s="17">
        <v>2455.7765004668049</v>
      </c>
    </row>
    <row r="3811" spans="32:33" x14ac:dyDescent="0.4">
      <c r="AF3811" s="19">
        <v>20160911</v>
      </c>
      <c r="AG3811" s="18">
        <v>2455.6661632021028</v>
      </c>
    </row>
    <row r="3812" spans="32:33" x14ac:dyDescent="0.4">
      <c r="AF3812" s="19">
        <v>20160912</v>
      </c>
      <c r="AG3812" s="17">
        <v>2436.9364125189818</v>
      </c>
    </row>
    <row r="3813" spans="32:33" x14ac:dyDescent="0.4">
      <c r="AF3813" s="19">
        <v>20160913</v>
      </c>
      <c r="AG3813" s="17">
        <v>2436.1088830337189</v>
      </c>
    </row>
    <row r="3814" spans="32:33" x14ac:dyDescent="0.4">
      <c r="AF3814" s="19">
        <v>20160914</v>
      </c>
      <c r="AG3814" s="17">
        <v>2436.0261300851921</v>
      </c>
    </row>
    <row r="3815" spans="32:33" x14ac:dyDescent="0.4">
      <c r="AF3815" s="19">
        <v>20160915</v>
      </c>
      <c r="AG3815" s="17">
        <v>2435.9157928204909</v>
      </c>
    </row>
    <row r="3816" spans="32:33" x14ac:dyDescent="0.4">
      <c r="AF3816" s="19">
        <v>20160916</v>
      </c>
      <c r="AG3816" s="18">
        <v>2435.8054555557892</v>
      </c>
    </row>
    <row r="3817" spans="32:33" x14ac:dyDescent="0.4">
      <c r="AF3817" s="19">
        <v>20160917</v>
      </c>
      <c r="AG3817" s="17">
        <v>2435.6951182910871</v>
      </c>
    </row>
    <row r="3818" spans="32:33" x14ac:dyDescent="0.4">
      <c r="AF3818" s="19">
        <v>20160918</v>
      </c>
      <c r="AG3818" s="17">
        <v>2435.5847810263849</v>
      </c>
    </row>
    <row r="3819" spans="32:33" x14ac:dyDescent="0.4">
      <c r="AF3819" s="19">
        <v>20160919</v>
      </c>
      <c r="AG3819" s="17">
        <v>2435.5847810263849</v>
      </c>
    </row>
    <row r="3820" spans="32:33" x14ac:dyDescent="0.4">
      <c r="AF3820" s="19">
        <v>20160920</v>
      </c>
      <c r="AG3820" s="17">
        <v>2440.329283408561</v>
      </c>
    </row>
    <row r="3821" spans="32:33" x14ac:dyDescent="0.4">
      <c r="AF3821" s="19">
        <v>20160921</v>
      </c>
      <c r="AG3821" s="18">
        <v>2442.011926695262</v>
      </c>
    </row>
    <row r="3822" spans="32:33" x14ac:dyDescent="0.4">
      <c r="AF3822" s="19">
        <v>20160922</v>
      </c>
      <c r="AG3822" s="17">
        <v>2451.9146962022442</v>
      </c>
    </row>
    <row r="3823" spans="32:33" x14ac:dyDescent="0.4">
      <c r="AF3823" s="19">
        <v>20160923</v>
      </c>
      <c r="AG3823" s="17">
        <v>2462.479489297436</v>
      </c>
    </row>
    <row r="3824" spans="32:33" x14ac:dyDescent="0.4">
      <c r="AF3824" s="19">
        <v>20160924</v>
      </c>
      <c r="AG3824" s="17">
        <v>2462.3691520327352</v>
      </c>
    </row>
    <row r="3825" spans="32:33" x14ac:dyDescent="0.4">
      <c r="AF3825" s="19">
        <v>20160925</v>
      </c>
      <c r="AG3825" s="17">
        <v>2462.2588147680331</v>
      </c>
    </row>
    <row r="3826" spans="32:33" x14ac:dyDescent="0.4">
      <c r="AF3826" s="19">
        <v>20160926</v>
      </c>
      <c r="AG3826" s="18">
        <v>2451.0871667169808</v>
      </c>
    </row>
    <row r="3827" spans="32:33" x14ac:dyDescent="0.4">
      <c r="AF3827" s="19">
        <v>20160927</v>
      </c>
      <c r="AG3827" s="17">
        <v>2466.093034716419</v>
      </c>
    </row>
    <row r="3828" spans="32:33" x14ac:dyDescent="0.4">
      <c r="AF3828" s="19">
        <v>20160928</v>
      </c>
      <c r="AG3828" s="17">
        <v>2457.4315594373311</v>
      </c>
    </row>
    <row r="3829" spans="32:33" x14ac:dyDescent="0.4">
      <c r="AF3829" s="19">
        <v>20160929</v>
      </c>
      <c r="AG3829" s="17">
        <v>2460.9623519077868</v>
      </c>
    </row>
    <row r="3830" spans="32:33" x14ac:dyDescent="0.4">
      <c r="AF3830" s="19">
        <v>20160930</v>
      </c>
      <c r="AG3830" s="17">
        <v>2446.3150800186299</v>
      </c>
    </row>
    <row r="3831" spans="32:33" x14ac:dyDescent="0.4">
      <c r="AF3831" s="19">
        <v>20161001</v>
      </c>
      <c r="AG3831" s="18">
        <v>2446.2047427539292</v>
      </c>
    </row>
    <row r="3832" spans="32:33" x14ac:dyDescent="0.4">
      <c r="AF3832" s="19">
        <v>20161002</v>
      </c>
      <c r="AG3832" s="17">
        <v>2446.094405489227</v>
      </c>
    </row>
    <row r="3833" spans="32:33" x14ac:dyDescent="0.4">
      <c r="AF3833" s="19">
        <v>20161003</v>
      </c>
      <c r="AG3833" s="17">
        <v>2445.9840682245249</v>
      </c>
    </row>
    <row r="3834" spans="32:33" x14ac:dyDescent="0.4">
      <c r="AF3834" s="19">
        <v>20161004</v>
      </c>
      <c r="AG3834" s="17">
        <v>2450.3423901802439</v>
      </c>
    </row>
    <row r="3835" spans="32:33" x14ac:dyDescent="0.4">
      <c r="AF3835" s="19">
        <v>20161005</v>
      </c>
      <c r="AG3835" s="17">
        <v>2441.2119815261749</v>
      </c>
    </row>
    <row r="3836" spans="32:33" x14ac:dyDescent="0.4">
      <c r="AF3836" s="19">
        <v>20161006</v>
      </c>
      <c r="AG3836" s="18">
        <v>2435.8606241881398</v>
      </c>
    </row>
    <row r="3837" spans="32:33" x14ac:dyDescent="0.4">
      <c r="AF3837" s="19">
        <v>20161007</v>
      </c>
      <c r="AG3837" s="17">
        <v>2426.647462585544</v>
      </c>
    </row>
    <row r="3838" spans="32:33" x14ac:dyDescent="0.4">
      <c r="AF3838" s="19">
        <v>20161008</v>
      </c>
      <c r="AG3838" s="17">
        <v>2426.5371253208418</v>
      </c>
    </row>
    <row r="3839" spans="32:33" x14ac:dyDescent="0.4">
      <c r="AF3839" s="19">
        <v>20161009</v>
      </c>
      <c r="AG3839" s="17">
        <v>2426.4267880561401</v>
      </c>
    </row>
    <row r="3840" spans="32:33" x14ac:dyDescent="0.4">
      <c r="AF3840" s="19">
        <v>20161010</v>
      </c>
      <c r="AG3840" s="17">
        <v>2425.433752673825</v>
      </c>
    </row>
    <row r="3841" spans="32:33" x14ac:dyDescent="0.4">
      <c r="AF3841" s="19">
        <v>20161011</v>
      </c>
      <c r="AG3841" s="18">
        <v>2428.2197686075442</v>
      </c>
    </row>
    <row r="3842" spans="32:33" x14ac:dyDescent="0.4">
      <c r="AF3842" s="19">
        <v>20161012</v>
      </c>
      <c r="AG3842" s="17">
        <v>2424.8820663503161</v>
      </c>
    </row>
    <row r="3843" spans="32:33" x14ac:dyDescent="0.4">
      <c r="AF3843" s="19">
        <v>20161013</v>
      </c>
      <c r="AG3843" s="17">
        <v>2415.1172184242109</v>
      </c>
    </row>
    <row r="3844" spans="32:33" x14ac:dyDescent="0.4">
      <c r="AF3844" s="19">
        <v>20161014</v>
      </c>
      <c r="AG3844" s="17">
        <v>2418.261830468211</v>
      </c>
    </row>
    <row r="3845" spans="32:33" x14ac:dyDescent="0.4">
      <c r="AF3845" s="19">
        <v>20161015</v>
      </c>
      <c r="AG3845" s="17">
        <v>2418.1514932035088</v>
      </c>
    </row>
    <row r="3846" spans="32:33" x14ac:dyDescent="0.4">
      <c r="AF3846" s="19">
        <v>20161016</v>
      </c>
      <c r="AG3846" s="18">
        <v>2418.0687402549829</v>
      </c>
    </row>
    <row r="3847" spans="32:33" x14ac:dyDescent="0.4">
      <c r="AF3847" s="19">
        <v>20161017</v>
      </c>
      <c r="AG3847" s="17">
        <v>2422.0684661004211</v>
      </c>
    </row>
    <row r="3848" spans="32:33" x14ac:dyDescent="0.4">
      <c r="AF3848" s="19">
        <v>20161018</v>
      </c>
      <c r="AG3848" s="17">
        <v>2427.3094861737541</v>
      </c>
    </row>
    <row r="3849" spans="32:33" x14ac:dyDescent="0.4">
      <c r="AF3849" s="19">
        <v>20161019</v>
      </c>
      <c r="AG3849" s="17">
        <v>2422.344309262176</v>
      </c>
    </row>
    <row r="3850" spans="32:33" x14ac:dyDescent="0.4">
      <c r="AF3850" s="19">
        <v>20161020</v>
      </c>
      <c r="AG3850" s="17">
        <v>2421.5995327254391</v>
      </c>
    </row>
    <row r="3851" spans="32:33" x14ac:dyDescent="0.4">
      <c r="AF3851" s="19">
        <v>20161021</v>
      </c>
      <c r="AG3851" s="18">
        <v>2419.3652031152278</v>
      </c>
    </row>
    <row r="3852" spans="32:33" x14ac:dyDescent="0.4">
      <c r="AF3852" s="19">
        <v>20161022</v>
      </c>
      <c r="AG3852" s="17">
        <v>2419.254865850527</v>
      </c>
    </row>
    <row r="3853" spans="32:33" x14ac:dyDescent="0.4">
      <c r="AF3853" s="19">
        <v>20161023</v>
      </c>
      <c r="AG3853" s="17">
        <v>2419.1445285858249</v>
      </c>
    </row>
    <row r="3854" spans="32:33" x14ac:dyDescent="0.4">
      <c r="AF3854" s="19">
        <v>20161024</v>
      </c>
      <c r="AG3854" s="17">
        <v>2408.7728257038611</v>
      </c>
    </row>
    <row r="3855" spans="32:33" x14ac:dyDescent="0.4">
      <c r="AF3855" s="19">
        <v>20161025</v>
      </c>
      <c r="AG3855" s="17">
        <v>2393.8772949691252</v>
      </c>
    </row>
    <row r="3856" spans="32:33" x14ac:dyDescent="0.4">
      <c r="AF3856" s="19">
        <v>20161026</v>
      </c>
      <c r="AG3856" s="18">
        <v>2384.305537256248</v>
      </c>
    </row>
    <row r="3857" spans="32:33" x14ac:dyDescent="0.4">
      <c r="AF3857" s="19">
        <v>20161027</v>
      </c>
      <c r="AG3857" s="17">
        <v>2401.9870839247028</v>
      </c>
    </row>
    <row r="3858" spans="32:33" x14ac:dyDescent="0.4">
      <c r="AF3858" s="19">
        <v>20161028</v>
      </c>
      <c r="AG3858" s="17">
        <v>2398.3735385057212</v>
      </c>
    </row>
    <row r="3859" spans="32:33" x14ac:dyDescent="0.4">
      <c r="AF3859" s="19">
        <v>20161029</v>
      </c>
      <c r="AG3859" s="17">
        <v>2398.263201241019</v>
      </c>
    </row>
    <row r="3860" spans="32:33" x14ac:dyDescent="0.4">
      <c r="AF3860" s="19">
        <v>20161030</v>
      </c>
      <c r="AG3860" s="17">
        <v>2398.1528639763169</v>
      </c>
    </row>
    <row r="3861" spans="32:33" x14ac:dyDescent="0.4">
      <c r="AF3861" s="19">
        <v>20161031</v>
      </c>
      <c r="AG3861" s="18">
        <v>2399.007977777756</v>
      </c>
    </row>
    <row r="3862" spans="32:33" x14ac:dyDescent="0.4">
      <c r="AF3862" s="19">
        <v>20161101</v>
      </c>
      <c r="AG3862" s="17">
        <v>2386.1536864400018</v>
      </c>
    </row>
    <row r="3863" spans="32:33" x14ac:dyDescent="0.4">
      <c r="AF3863" s="19">
        <v>20161102</v>
      </c>
      <c r="AG3863" s="17">
        <v>2361.8794882056181</v>
      </c>
    </row>
    <row r="3864" spans="32:33" x14ac:dyDescent="0.4">
      <c r="AF3864" s="19">
        <v>20161103</v>
      </c>
      <c r="AG3864" s="17">
        <v>2373.4924853154771</v>
      </c>
    </row>
    <row r="3865" spans="32:33" x14ac:dyDescent="0.4">
      <c r="AF3865" s="19">
        <v>20161104</v>
      </c>
      <c r="AG3865" s="17">
        <v>2375.6716462933359</v>
      </c>
    </row>
    <row r="3866" spans="32:33" x14ac:dyDescent="0.4">
      <c r="AF3866" s="19">
        <v>20161105</v>
      </c>
      <c r="AG3866" s="18">
        <v>2375.58889334481</v>
      </c>
    </row>
    <row r="3867" spans="32:33" x14ac:dyDescent="0.4">
      <c r="AF3867" s="19">
        <v>20161106</v>
      </c>
      <c r="AG3867" s="17">
        <v>2375.4785560801079</v>
      </c>
    </row>
    <row r="3868" spans="32:33" x14ac:dyDescent="0.4">
      <c r="AF3868" s="19">
        <v>20161107</v>
      </c>
      <c r="AG3868" s="17">
        <v>2367.810116183337</v>
      </c>
    </row>
    <row r="3869" spans="32:33" x14ac:dyDescent="0.4">
      <c r="AF3869" s="19">
        <v>20161108</v>
      </c>
      <c r="AG3869" s="17">
        <v>2375.1199599698271</v>
      </c>
    </row>
    <row r="3870" spans="32:33" x14ac:dyDescent="0.4">
      <c r="AF3870" s="19">
        <v>20161109</v>
      </c>
      <c r="AG3870" s="17">
        <v>2356.1419504411269</v>
      </c>
    </row>
    <row r="3871" spans="32:33" x14ac:dyDescent="0.4">
      <c r="AF3871" s="19">
        <v>20161110</v>
      </c>
      <c r="AG3871" s="18">
        <v>2374.4579363816169</v>
      </c>
    </row>
    <row r="3872" spans="32:33" x14ac:dyDescent="0.4">
      <c r="AF3872" s="19">
        <v>20161111</v>
      </c>
      <c r="AG3872" s="17">
        <v>2382.4022194401432</v>
      </c>
    </row>
    <row r="3873" spans="32:33" x14ac:dyDescent="0.4">
      <c r="AF3873" s="19">
        <v>20161112</v>
      </c>
      <c r="AG3873" s="17">
        <v>2382.2918821754411</v>
      </c>
    </row>
    <row r="3874" spans="32:33" x14ac:dyDescent="0.4">
      <c r="AF3874" s="19">
        <v>20161113</v>
      </c>
      <c r="AG3874" s="17">
        <v>2382.2091292269151</v>
      </c>
    </row>
    <row r="3875" spans="32:33" x14ac:dyDescent="0.4">
      <c r="AF3875" s="19">
        <v>20161114</v>
      </c>
      <c r="AG3875" s="17">
        <v>2381.0505879475459</v>
      </c>
    </row>
    <row r="3876" spans="32:33" x14ac:dyDescent="0.4">
      <c r="AF3876" s="19">
        <v>20161115</v>
      </c>
      <c r="AG3876" s="18">
        <v>2396.5805579543171</v>
      </c>
    </row>
    <row r="3877" spans="32:33" x14ac:dyDescent="0.4">
      <c r="AF3877" s="19">
        <v>20161116</v>
      </c>
      <c r="AG3877" s="17">
        <v>2404.1110762702119</v>
      </c>
    </row>
    <row r="3878" spans="32:33" x14ac:dyDescent="0.4">
      <c r="AF3878" s="19">
        <v>20161117</v>
      </c>
      <c r="AG3878" s="17">
        <v>2405.9592254539662</v>
      </c>
    </row>
    <row r="3879" spans="32:33" x14ac:dyDescent="0.4">
      <c r="AF3879" s="19">
        <v>20161118</v>
      </c>
      <c r="AG3879" s="17">
        <v>2408.0556334832991</v>
      </c>
    </row>
    <row r="3880" spans="32:33" x14ac:dyDescent="0.4">
      <c r="AF3880" s="19">
        <v>20161119</v>
      </c>
      <c r="AG3880" s="17">
        <v>2407.9452962185969</v>
      </c>
    </row>
    <row r="3881" spans="32:33" x14ac:dyDescent="0.4">
      <c r="AF3881" s="19">
        <v>20161120</v>
      </c>
      <c r="AG3881" s="18">
        <v>2407.8349589538961</v>
      </c>
    </row>
    <row r="3882" spans="32:33" x14ac:dyDescent="0.4">
      <c r="AF3882" s="19">
        <v>20161121</v>
      </c>
      <c r="AG3882" s="17">
        <v>2395.6978598367032</v>
      </c>
    </row>
    <row r="3883" spans="32:33" x14ac:dyDescent="0.4">
      <c r="AF3883" s="19">
        <v>20161122</v>
      </c>
      <c r="AG3883" s="17">
        <v>2396.5805579543171</v>
      </c>
    </row>
    <row r="3884" spans="32:33" x14ac:dyDescent="0.4">
      <c r="AF3884" s="19">
        <v>20161123</v>
      </c>
      <c r="AG3884" s="17">
        <v>2400.083766108598</v>
      </c>
    </row>
    <row r="3885" spans="32:33" x14ac:dyDescent="0.4">
      <c r="AF3885" s="19">
        <v>20161124</v>
      </c>
      <c r="AG3885" s="17">
        <v>2390.5120083957208</v>
      </c>
    </row>
    <row r="3886" spans="32:33" x14ac:dyDescent="0.4">
      <c r="AF3886" s="19">
        <v>20161125</v>
      </c>
      <c r="AG3886" s="18">
        <v>2386.181270756178</v>
      </c>
    </row>
    <row r="3887" spans="32:33" x14ac:dyDescent="0.4">
      <c r="AF3887" s="19">
        <v>20161126</v>
      </c>
      <c r="AG3887" s="17">
        <v>2386.0709334914759</v>
      </c>
    </row>
    <row r="3888" spans="32:33" x14ac:dyDescent="0.4">
      <c r="AF3888" s="19">
        <v>20161127</v>
      </c>
      <c r="AG3888" s="17">
        <v>2385.9605962267742</v>
      </c>
    </row>
    <row r="3889" spans="32:33" x14ac:dyDescent="0.4">
      <c r="AF3889" s="19">
        <v>20161128</v>
      </c>
      <c r="AG3889" s="17">
        <v>2374.2648461683889</v>
      </c>
    </row>
    <row r="3890" spans="32:33" x14ac:dyDescent="0.4">
      <c r="AF3890" s="19">
        <v>20161129</v>
      </c>
      <c r="AG3890" s="17">
        <v>2375.864736506564</v>
      </c>
    </row>
    <row r="3891" spans="32:33" x14ac:dyDescent="0.4">
      <c r="AF3891" s="19">
        <v>20161130</v>
      </c>
      <c r="AG3891" s="18">
        <v>2374.32001480074</v>
      </c>
    </row>
    <row r="3892" spans="32:33" x14ac:dyDescent="0.4">
      <c r="AF3892" s="19">
        <v>20161201</v>
      </c>
      <c r="AG3892" s="17">
        <v>2379.4506976093712</v>
      </c>
    </row>
    <row r="3893" spans="32:33" x14ac:dyDescent="0.4">
      <c r="AF3893" s="19">
        <v>20161202</v>
      </c>
      <c r="AG3893" s="17">
        <v>2369.8513555803188</v>
      </c>
    </row>
    <row r="3894" spans="32:33" x14ac:dyDescent="0.4">
      <c r="AF3894" s="19">
        <v>20161203</v>
      </c>
      <c r="AG3894" s="17">
        <v>2369.7410183156171</v>
      </c>
    </row>
    <row r="3895" spans="32:33" x14ac:dyDescent="0.4">
      <c r="AF3895" s="19">
        <v>20161204</v>
      </c>
      <c r="AG3895" s="17">
        <v>2369.630681050915</v>
      </c>
    </row>
    <row r="3896" spans="32:33" x14ac:dyDescent="0.4">
      <c r="AF3896" s="19">
        <v>20161205</v>
      </c>
      <c r="AG3896" s="18">
        <v>2346.9012045223549</v>
      </c>
    </row>
    <row r="3897" spans="32:33" x14ac:dyDescent="0.4">
      <c r="AF3897" s="19">
        <v>20161206</v>
      </c>
      <c r="AG3897" s="17">
        <v>2359.8106644924601</v>
      </c>
    </row>
    <row r="3898" spans="32:33" x14ac:dyDescent="0.4">
      <c r="AF3898" s="19">
        <v>20161207</v>
      </c>
      <c r="AG3898" s="17">
        <v>2368.1962966097931</v>
      </c>
    </row>
    <row r="3899" spans="32:33" x14ac:dyDescent="0.4">
      <c r="AF3899" s="19">
        <v>20161208</v>
      </c>
      <c r="AG3899" s="17">
        <v>2400.8561269615102</v>
      </c>
    </row>
    <row r="3900" spans="32:33" x14ac:dyDescent="0.4">
      <c r="AF3900" s="19">
        <v>20161209</v>
      </c>
      <c r="AG3900" s="17">
        <v>2389.0224553222479</v>
      </c>
    </row>
    <row r="3901" spans="32:33" x14ac:dyDescent="0.4">
      <c r="AF3901" s="19">
        <v>20161210</v>
      </c>
      <c r="AG3901" s="18">
        <v>2388.939702373721</v>
      </c>
    </row>
    <row r="3902" spans="32:33" x14ac:dyDescent="0.4">
      <c r="AF3902" s="19">
        <v>20161211</v>
      </c>
      <c r="AG3902" s="17">
        <v>2388.8293651090198</v>
      </c>
    </row>
    <row r="3903" spans="32:33" x14ac:dyDescent="0.4">
      <c r="AF3903" s="19">
        <v>20161212</v>
      </c>
      <c r="AG3903" s="17">
        <v>2395.1461735131952</v>
      </c>
    </row>
    <row r="3904" spans="32:33" x14ac:dyDescent="0.4">
      <c r="AF3904" s="19">
        <v>20161213</v>
      </c>
      <c r="AG3904" s="17">
        <v>2415.5033988506671</v>
      </c>
    </row>
    <row r="3905" spans="32:33" x14ac:dyDescent="0.4">
      <c r="AF3905" s="19">
        <v>20161214</v>
      </c>
      <c r="AG3905" s="17">
        <v>2418.6480108946671</v>
      </c>
    </row>
    <row r="3906" spans="32:33" x14ac:dyDescent="0.4">
      <c r="AF3906" s="19">
        <v>20161215</v>
      </c>
      <c r="AG3906" s="18">
        <v>2421.268520931334</v>
      </c>
    </row>
    <row r="3907" spans="32:33" x14ac:dyDescent="0.4">
      <c r="AF3907" s="19">
        <v>20161216</v>
      </c>
      <c r="AG3907" s="17">
        <v>2422.0408817842458</v>
      </c>
    </row>
    <row r="3908" spans="32:33" x14ac:dyDescent="0.4">
      <c r="AF3908" s="19">
        <v>20161217</v>
      </c>
      <c r="AG3908" s="17">
        <v>2421.9305445195441</v>
      </c>
    </row>
    <row r="3909" spans="32:33" x14ac:dyDescent="0.4">
      <c r="AF3909" s="19">
        <v>20161218</v>
      </c>
      <c r="AG3909" s="17">
        <v>2421.820207254842</v>
      </c>
    </row>
    <row r="3910" spans="32:33" x14ac:dyDescent="0.4">
      <c r="AF3910" s="19">
        <v>20161219</v>
      </c>
      <c r="AG3910" s="17">
        <v>2407.3384412627379</v>
      </c>
    </row>
    <row r="3911" spans="32:33" x14ac:dyDescent="0.4">
      <c r="AF3911" s="19">
        <v>20161220</v>
      </c>
      <c r="AG3911" s="18">
        <v>2397.8218521822118</v>
      </c>
    </row>
    <row r="3912" spans="32:33" x14ac:dyDescent="0.4">
      <c r="AF3912" s="19">
        <v>20161221</v>
      </c>
      <c r="AG3912" s="17">
        <v>2406.0419784024921</v>
      </c>
    </row>
    <row r="3913" spans="32:33" x14ac:dyDescent="0.4">
      <c r="AF3913" s="19">
        <v>20161222</v>
      </c>
      <c r="AG3913" s="17">
        <v>2402.5387702482121</v>
      </c>
    </row>
    <row r="3914" spans="32:33" x14ac:dyDescent="0.4">
      <c r="AF3914" s="19">
        <v>20161223</v>
      </c>
      <c r="AG3914" s="17">
        <v>2403.3111311011239</v>
      </c>
    </row>
    <row r="3915" spans="32:33" x14ac:dyDescent="0.4">
      <c r="AF3915" s="19">
        <v>20161224</v>
      </c>
      <c r="AG3915" s="17">
        <v>2403.2007938364218</v>
      </c>
    </row>
    <row r="3916" spans="32:33" x14ac:dyDescent="0.4">
      <c r="AF3916" s="19">
        <v>20161225</v>
      </c>
      <c r="AG3916" s="18">
        <v>2403.0628722555448</v>
      </c>
    </row>
    <row r="3917" spans="32:33" x14ac:dyDescent="0.4">
      <c r="AF3917" s="19">
        <v>20161226</v>
      </c>
      <c r="AG3917" s="17">
        <v>2409.2417590788432</v>
      </c>
    </row>
    <row r="3918" spans="32:33" x14ac:dyDescent="0.4">
      <c r="AF3918" s="19">
        <v>20161227</v>
      </c>
      <c r="AG3918" s="17">
        <v>2425.433752673825</v>
      </c>
    </row>
    <row r="3919" spans="32:33" x14ac:dyDescent="0.4">
      <c r="AF3919" s="19">
        <v>20161228</v>
      </c>
      <c r="AG3919" s="17">
        <v>2440.7706324673682</v>
      </c>
    </row>
    <row r="3920" spans="32:33" x14ac:dyDescent="0.4">
      <c r="AF3920" s="19">
        <v>20161229</v>
      </c>
      <c r="AG3920" s="17">
        <v>2441.0188913129459</v>
      </c>
    </row>
    <row r="3921" spans="32:33" x14ac:dyDescent="0.4">
      <c r="AF3921" s="19">
        <v>20161230</v>
      </c>
      <c r="AG3921" s="18">
        <v>2440.9085540482452</v>
      </c>
    </row>
    <row r="3922" spans="32:33" x14ac:dyDescent="0.4">
      <c r="AF3922" s="19">
        <v>20161231</v>
      </c>
      <c r="AG3922" s="17">
        <v>2440.798216783543</v>
      </c>
    </row>
    <row r="3923" spans="32:33" x14ac:dyDescent="0.4">
      <c r="AF3923" s="19">
        <v>20170101</v>
      </c>
      <c r="AG3923" s="17">
        <v>2440.6878795188409</v>
      </c>
    </row>
    <row r="3924" spans="32:33" x14ac:dyDescent="0.4">
      <c r="AF3924" s="19">
        <v>20170102</v>
      </c>
      <c r="AG3924" s="17">
        <v>2437.8742792689468</v>
      </c>
    </row>
    <row r="3925" spans="32:33" x14ac:dyDescent="0.4">
      <c r="AF3925" s="19">
        <v>20170103</v>
      </c>
      <c r="AG3925" s="17">
        <v>2441.2119815261749</v>
      </c>
    </row>
    <row r="3926" spans="32:33" x14ac:dyDescent="0.4">
      <c r="AF3926" s="19">
        <v>20170104</v>
      </c>
      <c r="AG3926" s="18">
        <v>2440.605126570315</v>
      </c>
    </row>
    <row r="3927" spans="32:33" x14ac:dyDescent="0.4">
      <c r="AF3927" s="19">
        <v>20170105</v>
      </c>
      <c r="AG3927" s="17">
        <v>2435.2537692322799</v>
      </c>
    </row>
    <row r="3928" spans="32:33" x14ac:dyDescent="0.4">
      <c r="AF3928" s="19">
        <v>20170106</v>
      </c>
      <c r="AG3928" s="17">
        <v>2427.7508352325608</v>
      </c>
    </row>
    <row r="3929" spans="32:33" x14ac:dyDescent="0.4">
      <c r="AF3929" s="19">
        <v>20170107</v>
      </c>
      <c r="AG3929" s="17">
        <v>2427.6404979678591</v>
      </c>
    </row>
    <row r="3930" spans="32:33" x14ac:dyDescent="0.4">
      <c r="AF3930" s="19">
        <v>20170108</v>
      </c>
      <c r="AG3930" s="17">
        <v>2427.5301607031579</v>
      </c>
    </row>
    <row r="3931" spans="32:33" x14ac:dyDescent="0.4">
      <c r="AF3931" s="19">
        <v>20170109</v>
      </c>
      <c r="AG3931" s="18">
        <v>2423.7786937032979</v>
      </c>
    </row>
    <row r="3932" spans="32:33" x14ac:dyDescent="0.4">
      <c r="AF3932" s="19">
        <v>20170110</v>
      </c>
      <c r="AG3932" s="17">
        <v>2410.8968180493689</v>
      </c>
    </row>
    <row r="3933" spans="32:33" x14ac:dyDescent="0.4">
      <c r="AF3933" s="19">
        <v>20170111</v>
      </c>
      <c r="AG3933" s="17">
        <v>2413.3794065051588</v>
      </c>
    </row>
    <row r="3934" spans="32:33" x14ac:dyDescent="0.4">
      <c r="AF3934" s="19">
        <v>20170112</v>
      </c>
      <c r="AG3934" s="17">
        <v>2432.5229219309122</v>
      </c>
    </row>
    <row r="3935" spans="32:33" x14ac:dyDescent="0.4">
      <c r="AF3935" s="19">
        <v>20170113</v>
      </c>
      <c r="AG3935" s="17">
        <v>2436.6881536734031</v>
      </c>
    </row>
    <row r="3936" spans="32:33" x14ac:dyDescent="0.4">
      <c r="AF3936" s="19">
        <v>20170114</v>
      </c>
      <c r="AG3936" s="18">
        <v>2436.577816408701</v>
      </c>
    </row>
    <row r="3937" spans="32:33" x14ac:dyDescent="0.4">
      <c r="AF3937" s="19">
        <v>20170115</v>
      </c>
      <c r="AG3937" s="17">
        <v>2436.4674791439988</v>
      </c>
    </row>
    <row r="3938" spans="32:33" x14ac:dyDescent="0.4">
      <c r="AF3938" s="19">
        <v>20170116</v>
      </c>
      <c r="AG3938" s="17">
        <v>2425.2682467767718</v>
      </c>
    </row>
    <row r="3939" spans="32:33" x14ac:dyDescent="0.4">
      <c r="AF3939" s="19">
        <v>20170117</v>
      </c>
      <c r="AG3939" s="17">
        <v>2424.026952548877</v>
      </c>
    </row>
    <row r="3940" spans="32:33" x14ac:dyDescent="0.4">
      <c r="AF3940" s="19">
        <v>20170118</v>
      </c>
      <c r="AG3940" s="17">
        <v>2431.14370612214</v>
      </c>
    </row>
    <row r="3941" spans="32:33" x14ac:dyDescent="0.4">
      <c r="AF3941" s="19">
        <v>20170119</v>
      </c>
      <c r="AG3941" s="18">
        <v>2413.5173280860358</v>
      </c>
    </row>
    <row r="3942" spans="32:33" x14ac:dyDescent="0.4">
      <c r="AF3942" s="19">
        <v>20170120</v>
      </c>
      <c r="AG3942" s="17">
        <v>2410.3175474096852</v>
      </c>
    </row>
    <row r="3943" spans="32:33" x14ac:dyDescent="0.4">
      <c r="AF3943" s="19">
        <v>20170121</v>
      </c>
      <c r="AG3943" s="17">
        <v>2410.207210144983</v>
      </c>
    </row>
    <row r="3944" spans="32:33" x14ac:dyDescent="0.4">
      <c r="AF3944" s="19">
        <v>20170122</v>
      </c>
      <c r="AG3944" s="17">
        <v>2410.0968728802818</v>
      </c>
    </row>
    <row r="3945" spans="32:33" x14ac:dyDescent="0.4">
      <c r="AF3945" s="19">
        <v>20170123</v>
      </c>
      <c r="AG3945" s="17">
        <v>2404.0834919540362</v>
      </c>
    </row>
    <row r="3946" spans="32:33" x14ac:dyDescent="0.4">
      <c r="AF3946" s="19">
        <v>20170124</v>
      </c>
      <c r="AG3946" s="18">
        <v>2414.5379477845272</v>
      </c>
    </row>
    <row r="3947" spans="32:33" x14ac:dyDescent="0.4">
      <c r="AF3947" s="19">
        <v>20170125</v>
      </c>
      <c r="AG3947" s="17">
        <v>2400.55269948358</v>
      </c>
    </row>
    <row r="3948" spans="32:33" x14ac:dyDescent="0.4">
      <c r="AF3948" s="19">
        <v>20170126</v>
      </c>
      <c r="AG3948" s="17">
        <v>2403.6145585790541</v>
      </c>
    </row>
    <row r="3949" spans="32:33" x14ac:dyDescent="0.4">
      <c r="AF3949" s="19">
        <v>20170127</v>
      </c>
      <c r="AG3949" s="17">
        <v>2403.504221314352</v>
      </c>
    </row>
    <row r="3950" spans="32:33" x14ac:dyDescent="0.4">
      <c r="AF3950" s="19">
        <v>20170128</v>
      </c>
      <c r="AG3950" s="17">
        <v>2403.3938840496498</v>
      </c>
    </row>
    <row r="3951" spans="32:33" x14ac:dyDescent="0.4">
      <c r="AF3951" s="19">
        <v>20170129</v>
      </c>
      <c r="AG3951" s="18">
        <v>2403.2835467849491</v>
      </c>
    </row>
    <row r="3952" spans="32:33" x14ac:dyDescent="0.4">
      <c r="AF3952" s="19">
        <v>20170130</v>
      </c>
      <c r="AG3952" s="17">
        <v>2403.1732095202469</v>
      </c>
    </row>
    <row r="3953" spans="32:33" x14ac:dyDescent="0.4">
      <c r="AF3953" s="19">
        <v>20170131</v>
      </c>
      <c r="AG3953" s="17">
        <v>2392.1946516824228</v>
      </c>
    </row>
    <row r="3954" spans="32:33" x14ac:dyDescent="0.4">
      <c r="AF3954" s="19">
        <v>20170201</v>
      </c>
      <c r="AG3954" s="17">
        <v>2401.8767466600011</v>
      </c>
    </row>
    <row r="3955" spans="32:33" x14ac:dyDescent="0.4">
      <c r="AF3955" s="19">
        <v>20170202</v>
      </c>
      <c r="AG3955" s="17">
        <v>2402.1250055055798</v>
      </c>
    </row>
    <row r="3956" spans="32:33" x14ac:dyDescent="0.4">
      <c r="AF3956" s="19">
        <v>20170203</v>
      </c>
      <c r="AG3956" s="18">
        <v>2404.9386057554748</v>
      </c>
    </row>
    <row r="3957" spans="32:33" x14ac:dyDescent="0.4">
      <c r="AF3957" s="19">
        <v>20170204</v>
      </c>
      <c r="AG3957" s="17">
        <v>2404.8282684907731</v>
      </c>
    </row>
    <row r="3958" spans="32:33" x14ac:dyDescent="0.4">
      <c r="AF3958" s="19">
        <v>20170205</v>
      </c>
      <c r="AG3958" s="17">
        <v>2404.717931226071</v>
      </c>
    </row>
    <row r="3959" spans="32:33" x14ac:dyDescent="0.4">
      <c r="AF3959" s="19">
        <v>20170206</v>
      </c>
      <c r="AG3959" s="17">
        <v>2400.1665190571239</v>
      </c>
    </row>
    <row r="3960" spans="32:33" x14ac:dyDescent="0.4">
      <c r="AF3960" s="19">
        <v>20170207</v>
      </c>
      <c r="AG3960" s="17">
        <v>2406.7315863068779</v>
      </c>
    </row>
    <row r="3961" spans="32:33" x14ac:dyDescent="0.4">
      <c r="AF3961" s="19">
        <v>20170208</v>
      </c>
      <c r="AG3961" s="18">
        <v>2406.9798451524571</v>
      </c>
    </row>
    <row r="3962" spans="32:33" x14ac:dyDescent="0.4">
      <c r="AF3962" s="19">
        <v>20170209</v>
      </c>
      <c r="AG3962" s="17">
        <v>2410.0417042479312</v>
      </c>
    </row>
    <row r="3963" spans="32:33" x14ac:dyDescent="0.4">
      <c r="AF3963" s="19">
        <v>20170210</v>
      </c>
      <c r="AG3963" s="17">
        <v>2425.0751565635442</v>
      </c>
    </row>
    <row r="3964" spans="32:33" x14ac:dyDescent="0.4">
      <c r="AF3964" s="19">
        <v>20170211</v>
      </c>
      <c r="AG3964" s="17">
        <v>2424.964819298842</v>
      </c>
    </row>
    <row r="3965" spans="32:33" x14ac:dyDescent="0.4">
      <c r="AF3965" s="19">
        <v>20170212</v>
      </c>
      <c r="AG3965" s="17">
        <v>2424.8544820341399</v>
      </c>
    </row>
    <row r="3966" spans="32:33" x14ac:dyDescent="0.4">
      <c r="AF3966" s="19">
        <v>20170213</v>
      </c>
      <c r="AG3966" s="18">
        <v>2435.1986005999288</v>
      </c>
    </row>
    <row r="3967" spans="32:33" x14ac:dyDescent="0.4">
      <c r="AF3967" s="19">
        <v>20170214</v>
      </c>
      <c r="AG3967" s="17">
        <v>2437.4053458939638</v>
      </c>
    </row>
    <row r="3968" spans="32:33" x14ac:dyDescent="0.4">
      <c r="AF3968" s="19">
        <v>20170215</v>
      </c>
      <c r="AG3968" s="17">
        <v>2436.715737989578</v>
      </c>
    </row>
    <row r="3969" spans="32:33" x14ac:dyDescent="0.4">
      <c r="AF3969" s="19">
        <v>20170216</v>
      </c>
      <c r="AG3969" s="17">
        <v>2440.5499579379639</v>
      </c>
    </row>
    <row r="3970" spans="32:33" x14ac:dyDescent="0.4">
      <c r="AF3970" s="19">
        <v>20170217</v>
      </c>
      <c r="AG3970" s="17">
        <v>2448.5494096288412</v>
      </c>
    </row>
    <row r="3971" spans="32:33" x14ac:dyDescent="0.4">
      <c r="AF3971" s="19">
        <v>20170218</v>
      </c>
      <c r="AG3971" s="18">
        <v>2448.4390723641391</v>
      </c>
    </row>
    <row r="3972" spans="32:33" x14ac:dyDescent="0.4">
      <c r="AF3972" s="19">
        <v>20170219</v>
      </c>
      <c r="AG3972" s="17">
        <v>2448.3287350994369</v>
      </c>
    </row>
    <row r="3973" spans="32:33" x14ac:dyDescent="0.4">
      <c r="AF3973" s="19">
        <v>20170220</v>
      </c>
      <c r="AG3973" s="17">
        <v>2454.342116025683</v>
      </c>
    </row>
    <row r="3974" spans="32:33" x14ac:dyDescent="0.4">
      <c r="AF3974" s="19">
        <v>20170221</v>
      </c>
      <c r="AG3974" s="17">
        <v>2467.9687682163481</v>
      </c>
    </row>
    <row r="3975" spans="32:33" x14ac:dyDescent="0.4">
      <c r="AF3975" s="19">
        <v>20170222</v>
      </c>
      <c r="AG3975" s="17">
        <v>2463.417356047401</v>
      </c>
    </row>
    <row r="3976" spans="32:33" x14ac:dyDescent="0.4">
      <c r="AF3976" s="19">
        <v>20170223</v>
      </c>
      <c r="AG3976" s="18">
        <v>2480.9058125026281</v>
      </c>
    </row>
    <row r="3977" spans="32:33" x14ac:dyDescent="0.4">
      <c r="AF3977" s="19">
        <v>20170224</v>
      </c>
      <c r="AG3977" s="17">
        <v>2487.5260483847328</v>
      </c>
    </row>
    <row r="3978" spans="32:33" x14ac:dyDescent="0.4">
      <c r="AF3978" s="19">
        <v>20170225</v>
      </c>
      <c r="AG3978" s="17">
        <v>2487.4157111200311</v>
      </c>
    </row>
    <row r="3979" spans="32:33" x14ac:dyDescent="0.4">
      <c r="AF3979" s="19">
        <v>20170226</v>
      </c>
      <c r="AG3979" s="17">
        <v>2487.2777895391541</v>
      </c>
    </row>
    <row r="3980" spans="32:33" x14ac:dyDescent="0.4">
      <c r="AF3980" s="19">
        <v>20170227</v>
      </c>
      <c r="AG3980" s="17">
        <v>2502.6422536488731</v>
      </c>
    </row>
    <row r="3981" spans="32:33" x14ac:dyDescent="0.4">
      <c r="AF3981" s="19">
        <v>20170228</v>
      </c>
      <c r="AG3981" s="18">
        <v>2495.5806687079612</v>
      </c>
    </row>
    <row r="3982" spans="32:33" x14ac:dyDescent="0.4">
      <c r="AF3982" s="19">
        <v>20170301</v>
      </c>
      <c r="AG3982" s="17">
        <v>2495.4703314432591</v>
      </c>
    </row>
    <row r="3983" spans="32:33" x14ac:dyDescent="0.4">
      <c r="AF3983" s="19">
        <v>20170302</v>
      </c>
      <c r="AG3983" s="17">
        <v>2482.0643537819969</v>
      </c>
    </row>
    <row r="3984" spans="32:33" x14ac:dyDescent="0.4">
      <c r="AF3984" s="19">
        <v>20170303</v>
      </c>
      <c r="AG3984" s="17">
        <v>2463.472524679752</v>
      </c>
    </row>
    <row r="3985" spans="32:33" x14ac:dyDescent="0.4">
      <c r="AF3985" s="19">
        <v>20170304</v>
      </c>
      <c r="AG3985" s="17">
        <v>2463.3621874150499</v>
      </c>
    </row>
    <row r="3986" spans="32:33" x14ac:dyDescent="0.4">
      <c r="AF3986" s="19">
        <v>20170305</v>
      </c>
      <c r="AG3986" s="18">
        <v>2463.2242658341729</v>
      </c>
    </row>
    <row r="3987" spans="32:33" x14ac:dyDescent="0.4">
      <c r="AF3987" s="19">
        <v>20170306</v>
      </c>
      <c r="AG3987" s="17">
        <v>2457.045379010875</v>
      </c>
    </row>
    <row r="3988" spans="32:33" x14ac:dyDescent="0.4">
      <c r="AF3988" s="19">
        <v>20170307</v>
      </c>
      <c r="AG3988" s="17">
        <v>2461.1002734886652</v>
      </c>
    </row>
    <row r="3989" spans="32:33" x14ac:dyDescent="0.4">
      <c r="AF3989" s="19">
        <v>20170308</v>
      </c>
      <c r="AG3989" s="17">
        <v>2457.3212221726299</v>
      </c>
    </row>
    <row r="3990" spans="32:33" x14ac:dyDescent="0.4">
      <c r="AF3990" s="19">
        <v>20170309</v>
      </c>
      <c r="AG3990" s="17">
        <v>2460.3830812681031</v>
      </c>
    </row>
    <row r="3991" spans="32:33" x14ac:dyDescent="0.4">
      <c r="AF3991" s="19">
        <v>20170310</v>
      </c>
      <c r="AG3991" s="18">
        <v>2467.4446662090149</v>
      </c>
    </row>
    <row r="3992" spans="32:33" x14ac:dyDescent="0.4">
      <c r="AF3992" s="19">
        <v>20170311</v>
      </c>
      <c r="AG3992" s="17">
        <v>2467.3343289443128</v>
      </c>
    </row>
    <row r="3993" spans="32:33" x14ac:dyDescent="0.4">
      <c r="AF3993" s="19">
        <v>20170312</v>
      </c>
      <c r="AG3993" s="17">
        <v>2467.1964073634358</v>
      </c>
    </row>
    <row r="3994" spans="32:33" x14ac:dyDescent="0.4">
      <c r="AF3994" s="19">
        <v>20170313</v>
      </c>
      <c r="AG3994" s="17">
        <v>2463.141512885647</v>
      </c>
    </row>
    <row r="3995" spans="32:33" x14ac:dyDescent="0.4">
      <c r="AF3995" s="19">
        <v>20170314</v>
      </c>
      <c r="AG3995" s="17">
        <v>2453.404249275718</v>
      </c>
    </row>
    <row r="3996" spans="32:33" x14ac:dyDescent="0.4">
      <c r="AF3996" s="19">
        <v>20170315</v>
      </c>
      <c r="AG3996" s="18">
        <v>2442.673950283473</v>
      </c>
    </row>
    <row r="3997" spans="32:33" x14ac:dyDescent="0.4">
      <c r="AF3997" s="19">
        <v>20170316</v>
      </c>
      <c r="AG3997" s="17">
        <v>2447.5287899303498</v>
      </c>
    </row>
    <row r="3998" spans="32:33" x14ac:dyDescent="0.4">
      <c r="AF3998" s="19">
        <v>20170317</v>
      </c>
      <c r="AG3998" s="17">
        <v>2456.2730181579632</v>
      </c>
    </row>
    <row r="3999" spans="32:33" x14ac:dyDescent="0.4">
      <c r="AF3999" s="19">
        <v>20170318</v>
      </c>
      <c r="AG3999" s="17">
        <v>2456.1350965770862</v>
      </c>
    </row>
    <row r="4000" spans="32:33" x14ac:dyDescent="0.4">
      <c r="AF4000" s="19">
        <v>20170319</v>
      </c>
      <c r="AG4000" s="17">
        <v>2456.024759312384</v>
      </c>
    </row>
    <row r="4001" spans="32:33" x14ac:dyDescent="0.4">
      <c r="AF4001" s="19">
        <v>20170320</v>
      </c>
      <c r="AG4001" s="18">
        <v>2451.7767746213672</v>
      </c>
    </row>
    <row r="4002" spans="32:33" x14ac:dyDescent="0.4">
      <c r="AF4002" s="19">
        <v>20170321</v>
      </c>
      <c r="AG4002" s="17">
        <v>2452.5767197904552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M1024"/>
  <sheetViews>
    <sheetView topLeftCell="A975" workbookViewId="0">
      <selection activeCell="H979" sqref="H979"/>
    </sheetView>
  </sheetViews>
  <sheetFormatPr defaultRowHeight="17.399999999999999" x14ac:dyDescent="0.4"/>
  <sheetData>
    <row r="1" spans="1:76" x14ac:dyDescent="0.4">
      <c r="B1">
        <v>20080229</v>
      </c>
      <c r="D1">
        <v>20080530</v>
      </c>
      <c r="F1">
        <v>20080829</v>
      </c>
      <c r="H1">
        <v>20081128</v>
      </c>
      <c r="J1">
        <v>20090227</v>
      </c>
      <c r="L1">
        <v>20090529</v>
      </c>
      <c r="N1">
        <v>20090831</v>
      </c>
      <c r="P1">
        <v>20091130</v>
      </c>
      <c r="R1">
        <v>20100226</v>
      </c>
      <c r="T1">
        <v>20100531</v>
      </c>
      <c r="V1">
        <v>20100831</v>
      </c>
      <c r="X1">
        <v>20101130</v>
      </c>
      <c r="Z1">
        <v>20110228</v>
      </c>
      <c r="AB1">
        <v>20110531</v>
      </c>
      <c r="AD1">
        <v>20110831</v>
      </c>
      <c r="AF1">
        <v>20111130</v>
      </c>
      <c r="AH1">
        <v>20120229</v>
      </c>
      <c r="AJ1">
        <v>20120531</v>
      </c>
      <c r="AL1">
        <v>20120831</v>
      </c>
      <c r="AN1">
        <v>20121130</v>
      </c>
      <c r="AP1">
        <v>20130228</v>
      </c>
      <c r="AR1">
        <v>20130531</v>
      </c>
      <c r="AT1">
        <v>20130830</v>
      </c>
      <c r="AV1">
        <v>20131129</v>
      </c>
      <c r="AX1">
        <v>20140228</v>
      </c>
      <c r="AZ1">
        <v>20140530</v>
      </c>
      <c r="BB1">
        <v>20140829</v>
      </c>
      <c r="BD1">
        <v>20141128</v>
      </c>
      <c r="BF1">
        <v>20150227</v>
      </c>
      <c r="BH1">
        <v>20150529</v>
      </c>
      <c r="BJ1">
        <v>20150831</v>
      </c>
      <c r="BL1">
        <v>20151130</v>
      </c>
      <c r="BN1">
        <v>20160229</v>
      </c>
      <c r="BP1">
        <v>20160531</v>
      </c>
      <c r="BR1">
        <v>20160831</v>
      </c>
      <c r="BT1">
        <v>20161130</v>
      </c>
      <c r="BV1">
        <v>20170228</v>
      </c>
      <c r="BX1">
        <v>20170531</v>
      </c>
    </row>
    <row r="2" spans="1:76" x14ac:dyDescent="0.4">
      <c r="A2">
        <v>0</v>
      </c>
      <c r="B2" t="s">
        <v>29</v>
      </c>
      <c r="C2">
        <v>1.0033435987681401</v>
      </c>
      <c r="D2" t="s">
        <v>32</v>
      </c>
      <c r="E2">
        <v>0.82812745251922704</v>
      </c>
      <c r="F2" t="s">
        <v>31</v>
      </c>
      <c r="G2">
        <v>0.76281287246722196</v>
      </c>
      <c r="H2" t="s">
        <v>31</v>
      </c>
      <c r="I2">
        <v>1.175</v>
      </c>
      <c r="J2" t="s">
        <v>31</v>
      </c>
      <c r="K2">
        <v>1.20345744680851</v>
      </c>
      <c r="L2" t="s">
        <v>31</v>
      </c>
      <c r="M2">
        <v>0.94475138121546898</v>
      </c>
      <c r="N2" t="s">
        <v>31</v>
      </c>
      <c r="O2">
        <v>0.783625730994152</v>
      </c>
      <c r="P2" t="s">
        <v>31</v>
      </c>
      <c r="Q2">
        <v>0.89253731343283504</v>
      </c>
      <c r="R2" t="s">
        <v>31</v>
      </c>
      <c r="S2">
        <v>0.90301003344481601</v>
      </c>
      <c r="T2" t="s">
        <v>31</v>
      </c>
      <c r="U2">
        <v>0.89722222222222203</v>
      </c>
      <c r="V2" t="s">
        <v>31</v>
      </c>
      <c r="W2">
        <v>0.98968008255933904</v>
      </c>
      <c r="X2" t="s">
        <v>31</v>
      </c>
      <c r="Y2">
        <v>0.934306569343065</v>
      </c>
      <c r="Z2" t="s">
        <v>31</v>
      </c>
      <c r="AA2">
        <v>1.05133928571428</v>
      </c>
      <c r="AB2" t="s">
        <v>31</v>
      </c>
      <c r="AC2">
        <v>1.0976645435244099</v>
      </c>
      <c r="AD2" t="s">
        <v>31</v>
      </c>
      <c r="AE2">
        <v>0.83365570599613104</v>
      </c>
      <c r="AF2" t="s">
        <v>31</v>
      </c>
      <c r="AG2">
        <v>1.08584686774942</v>
      </c>
      <c r="AH2" t="s">
        <v>31</v>
      </c>
      <c r="AI2">
        <v>1.06623931623931</v>
      </c>
      <c r="AJ2" t="s">
        <v>31</v>
      </c>
      <c r="AK2">
        <v>1.1022044088176299</v>
      </c>
      <c r="AL2" t="s">
        <v>31</v>
      </c>
      <c r="AM2">
        <v>1.13636363636363</v>
      </c>
      <c r="AN2" t="s">
        <v>31</v>
      </c>
      <c r="AO2">
        <v>0.96479999999999999</v>
      </c>
      <c r="AP2" t="s">
        <v>31</v>
      </c>
      <c r="AQ2">
        <v>1.14925373134328</v>
      </c>
      <c r="AR2" t="s">
        <v>31</v>
      </c>
      <c r="AS2">
        <v>0.89610389610389596</v>
      </c>
      <c r="AT2" t="s">
        <v>31</v>
      </c>
      <c r="AU2">
        <v>0.80515297906602201</v>
      </c>
      <c r="AV2" t="s">
        <v>31</v>
      </c>
      <c r="AW2">
        <v>1.038</v>
      </c>
      <c r="AX2" t="s">
        <v>31</v>
      </c>
      <c r="AY2">
        <v>1.11368015414258</v>
      </c>
      <c r="AZ2" t="s">
        <v>31</v>
      </c>
      <c r="BA2">
        <v>0.89446366782006903</v>
      </c>
      <c r="BB2" t="s">
        <v>31</v>
      </c>
      <c r="BC2">
        <v>1.11992263056092</v>
      </c>
      <c r="BD2" t="s">
        <v>31</v>
      </c>
      <c r="BE2">
        <v>1.0794473229706301</v>
      </c>
      <c r="BF2" t="s">
        <v>31</v>
      </c>
      <c r="BG2">
        <v>1.4992000000000001</v>
      </c>
      <c r="BH2" t="s">
        <v>33</v>
      </c>
      <c r="BI2">
        <v>0.86857142857142799</v>
      </c>
      <c r="BJ2" t="s">
        <v>33</v>
      </c>
      <c r="BK2">
        <v>1.0405701754385901</v>
      </c>
      <c r="BL2" t="s">
        <v>33</v>
      </c>
      <c r="BM2">
        <v>0.91780821917808197</v>
      </c>
      <c r="BN2" t="s">
        <v>33</v>
      </c>
      <c r="BO2">
        <v>1.1423650975889701</v>
      </c>
      <c r="BP2" t="s">
        <v>33</v>
      </c>
      <c r="BQ2">
        <v>1.06532663316582</v>
      </c>
      <c r="BR2" t="s">
        <v>33</v>
      </c>
      <c r="BS2">
        <v>1.1320754716981101</v>
      </c>
      <c r="BT2" t="s">
        <v>33</v>
      </c>
      <c r="BU2">
        <v>1.1083333333333301</v>
      </c>
      <c r="BV2" t="s">
        <v>33</v>
      </c>
      <c r="BW2">
        <v>1.1503759398496201</v>
      </c>
    </row>
    <row r="3" spans="1:76" x14ac:dyDescent="0.4">
      <c r="A3">
        <v>1</v>
      </c>
      <c r="B3" t="s">
        <v>32</v>
      </c>
      <c r="C3">
        <v>1.06667286764021</v>
      </c>
      <c r="D3" t="s">
        <v>34</v>
      </c>
      <c r="E3">
        <v>0.55141700404858296</v>
      </c>
      <c r="F3" t="s">
        <v>29</v>
      </c>
      <c r="G3">
        <v>0.44837665727111298</v>
      </c>
      <c r="H3" t="s">
        <v>29</v>
      </c>
      <c r="I3">
        <v>1.1399301513387601</v>
      </c>
      <c r="J3" t="s">
        <v>29</v>
      </c>
      <c r="K3">
        <v>2.1970996732026098</v>
      </c>
      <c r="L3" t="s">
        <v>29</v>
      </c>
      <c r="M3">
        <v>0.99646741656595705</v>
      </c>
      <c r="N3" t="s">
        <v>29</v>
      </c>
      <c r="O3">
        <v>0.82274465901669902</v>
      </c>
      <c r="P3" t="s">
        <v>29</v>
      </c>
      <c r="Q3">
        <v>0.96552897153872297</v>
      </c>
      <c r="R3" t="s">
        <v>29</v>
      </c>
      <c r="S3">
        <v>0.93294186729301198</v>
      </c>
      <c r="T3" t="s">
        <v>29</v>
      </c>
      <c r="U3">
        <v>1.10057905337361</v>
      </c>
      <c r="V3" t="s">
        <v>29</v>
      </c>
      <c r="W3">
        <v>0.99130733157954898</v>
      </c>
      <c r="X3" t="s">
        <v>29</v>
      </c>
      <c r="Y3">
        <v>0.97807776623975995</v>
      </c>
      <c r="Z3" t="s">
        <v>29</v>
      </c>
      <c r="AA3">
        <v>1.23758405096142</v>
      </c>
      <c r="AB3" t="s">
        <v>29</v>
      </c>
      <c r="AC3">
        <v>0.82975884091125696</v>
      </c>
      <c r="AD3" t="s">
        <v>29</v>
      </c>
      <c r="AE3">
        <v>0.84009190120620303</v>
      </c>
      <c r="AF3" t="s">
        <v>29</v>
      </c>
      <c r="AG3">
        <v>1.2371119923424001</v>
      </c>
      <c r="AH3" t="s">
        <v>29</v>
      </c>
      <c r="AI3">
        <v>0.73527136067204601</v>
      </c>
      <c r="AJ3" t="s">
        <v>29</v>
      </c>
      <c r="AK3">
        <v>1.126879134095</v>
      </c>
      <c r="AL3" t="s">
        <v>29</v>
      </c>
      <c r="AM3">
        <v>1.0546958377801401</v>
      </c>
      <c r="AN3" t="s">
        <v>29</v>
      </c>
      <c r="AO3">
        <v>1.03971667088287</v>
      </c>
      <c r="AP3" t="s">
        <v>29</v>
      </c>
      <c r="AQ3">
        <v>1.5115571776155701</v>
      </c>
      <c r="AR3" t="s">
        <v>29</v>
      </c>
      <c r="AS3">
        <v>0.94873239436619705</v>
      </c>
      <c r="AT3" t="s">
        <v>29</v>
      </c>
      <c r="AU3">
        <v>0.82626399728537403</v>
      </c>
      <c r="AV3" t="s">
        <v>29</v>
      </c>
      <c r="AW3">
        <v>1.2217659137576999</v>
      </c>
      <c r="AX3" t="s">
        <v>29</v>
      </c>
      <c r="AY3">
        <v>1.01680672268907</v>
      </c>
      <c r="AZ3" t="s">
        <v>29</v>
      </c>
      <c r="BA3">
        <v>1.4793388429751999</v>
      </c>
      <c r="BB3" t="s">
        <v>29</v>
      </c>
      <c r="BC3">
        <v>1.0558659217877</v>
      </c>
      <c r="BD3" t="s">
        <v>29</v>
      </c>
      <c r="BE3">
        <v>0.90476190476190399</v>
      </c>
      <c r="BF3" t="s">
        <v>29</v>
      </c>
      <c r="BG3">
        <v>1.42105263157894</v>
      </c>
      <c r="BH3" t="s">
        <v>32</v>
      </c>
      <c r="BI3">
        <v>1.6574074074073999</v>
      </c>
      <c r="BJ3" t="s">
        <v>35</v>
      </c>
      <c r="BK3">
        <v>0.965871438038436</v>
      </c>
      <c r="BL3" t="s">
        <v>29</v>
      </c>
      <c r="BM3">
        <v>1.10290237467018</v>
      </c>
      <c r="BN3" t="s">
        <v>36</v>
      </c>
      <c r="BO3">
        <v>0.83040935672514604</v>
      </c>
      <c r="BP3" t="s">
        <v>29</v>
      </c>
      <c r="BQ3">
        <v>1.05555555555555</v>
      </c>
      <c r="BR3" t="s">
        <v>29</v>
      </c>
      <c r="BS3">
        <v>1.02923976608187</v>
      </c>
      <c r="BT3" t="s">
        <v>29</v>
      </c>
      <c r="BU3">
        <v>0.80681818181818099</v>
      </c>
      <c r="BV3" t="s">
        <v>29</v>
      </c>
      <c r="BW3">
        <v>1.1514084507042199</v>
      </c>
    </row>
    <row r="4" spans="1:76" x14ac:dyDescent="0.4">
      <c r="A4">
        <v>2</v>
      </c>
      <c r="B4" t="s">
        <v>37</v>
      </c>
      <c r="C4">
        <v>0.92742228135962201</v>
      </c>
      <c r="D4" t="s">
        <v>37</v>
      </c>
      <c r="E4">
        <v>0.77018390504760603</v>
      </c>
      <c r="F4" t="s">
        <v>32</v>
      </c>
      <c r="G4">
        <v>0.70754359363153896</v>
      </c>
      <c r="H4" t="s">
        <v>30</v>
      </c>
      <c r="I4">
        <v>0.97084548104956203</v>
      </c>
      <c r="J4" t="s">
        <v>30</v>
      </c>
      <c r="K4">
        <v>1.81514848181514</v>
      </c>
      <c r="L4" t="s">
        <v>32</v>
      </c>
      <c r="M4">
        <v>1.04124090950934</v>
      </c>
      <c r="N4" t="s">
        <v>32</v>
      </c>
      <c r="O4">
        <v>0.95172840597648301</v>
      </c>
      <c r="P4" t="s">
        <v>32</v>
      </c>
      <c r="Q4">
        <v>1.00910357640501</v>
      </c>
      <c r="R4" t="s">
        <v>32</v>
      </c>
      <c r="S4">
        <v>1.2216468747123199</v>
      </c>
      <c r="T4" t="s">
        <v>32</v>
      </c>
      <c r="U4">
        <v>1.1498031384812399</v>
      </c>
      <c r="V4" t="s">
        <v>32</v>
      </c>
      <c r="W4">
        <v>1.25319898418939</v>
      </c>
      <c r="X4" t="s">
        <v>32</v>
      </c>
      <c r="Y4">
        <v>0.834551373400096</v>
      </c>
      <c r="Z4" t="s">
        <v>32</v>
      </c>
      <c r="AA4">
        <v>1.67370053576463</v>
      </c>
      <c r="AB4" t="s">
        <v>32</v>
      </c>
      <c r="AC4">
        <v>1.1582755360870001</v>
      </c>
      <c r="AD4" t="s">
        <v>32</v>
      </c>
      <c r="AE4">
        <v>0.73212712830002602</v>
      </c>
      <c r="AF4" t="s">
        <v>32</v>
      </c>
      <c r="AG4">
        <v>0.81015452538631305</v>
      </c>
      <c r="AH4" t="s">
        <v>32</v>
      </c>
      <c r="AI4">
        <v>0.71525885558583102</v>
      </c>
      <c r="AJ4" t="s">
        <v>32</v>
      </c>
      <c r="AK4">
        <v>1.0761904761904699</v>
      </c>
      <c r="AL4" t="s">
        <v>32</v>
      </c>
      <c r="AM4">
        <v>1.30265486725663</v>
      </c>
      <c r="AN4" t="s">
        <v>32</v>
      </c>
      <c r="AO4">
        <v>0.94293478260869501</v>
      </c>
      <c r="AP4" t="s">
        <v>32</v>
      </c>
      <c r="AQ4">
        <v>1.2680115273775201</v>
      </c>
      <c r="AR4" t="s">
        <v>32</v>
      </c>
      <c r="AS4">
        <v>0.96704545454545399</v>
      </c>
      <c r="AT4" t="s">
        <v>32</v>
      </c>
      <c r="AU4">
        <v>1.01645123384253</v>
      </c>
      <c r="AV4" t="s">
        <v>32</v>
      </c>
      <c r="AW4">
        <v>0.84739884393063503</v>
      </c>
      <c r="AX4" t="s">
        <v>32</v>
      </c>
      <c r="AY4">
        <v>0.98772169167803503</v>
      </c>
      <c r="AZ4" t="s">
        <v>32</v>
      </c>
      <c r="BA4">
        <v>1.15469613259668</v>
      </c>
      <c r="BB4" t="s">
        <v>32</v>
      </c>
      <c r="BC4">
        <v>1.0622009569377899</v>
      </c>
      <c r="BD4" t="s">
        <v>32</v>
      </c>
      <c r="BE4">
        <v>1.0180180180180101</v>
      </c>
      <c r="BF4" t="s">
        <v>32</v>
      </c>
      <c r="BG4">
        <v>1.19469026548672</v>
      </c>
      <c r="BH4" t="s">
        <v>38</v>
      </c>
      <c r="BI4">
        <v>0.87531806615775998</v>
      </c>
      <c r="BJ4" t="s">
        <v>34</v>
      </c>
      <c r="BK4">
        <v>1.07280832095096</v>
      </c>
      <c r="BL4" t="s">
        <v>35</v>
      </c>
      <c r="BM4">
        <v>1.3893653516294999</v>
      </c>
      <c r="BN4" t="s">
        <v>34</v>
      </c>
      <c r="BO4">
        <v>1.01119402985074</v>
      </c>
      <c r="BP4" t="s">
        <v>36</v>
      </c>
      <c r="BQ4">
        <v>0.89084507042253502</v>
      </c>
      <c r="BR4" t="s">
        <v>30</v>
      </c>
      <c r="BS4">
        <v>1.0610932475884201</v>
      </c>
      <c r="BT4" t="s">
        <v>36</v>
      </c>
      <c r="BU4">
        <v>0.95901639344262202</v>
      </c>
      <c r="BV4" t="s">
        <v>36</v>
      </c>
      <c r="BW4">
        <v>1.0085470085470001</v>
      </c>
    </row>
    <row r="5" spans="1:76" x14ac:dyDescent="0.4">
      <c r="A5">
        <v>3</v>
      </c>
      <c r="B5" t="s">
        <v>38</v>
      </c>
      <c r="C5">
        <v>1.02068101107165</v>
      </c>
      <c r="D5" t="s">
        <v>40</v>
      </c>
      <c r="E5">
        <v>0.78388278388278299</v>
      </c>
      <c r="F5" t="s">
        <v>41</v>
      </c>
      <c r="G5">
        <v>0.893043442823376</v>
      </c>
      <c r="H5" t="s">
        <v>32</v>
      </c>
      <c r="I5">
        <v>1.0666726195791201</v>
      </c>
      <c r="J5" t="s">
        <v>32</v>
      </c>
      <c r="K5">
        <v>1.21248988475597</v>
      </c>
      <c r="L5" t="s">
        <v>41</v>
      </c>
      <c r="M5">
        <v>0.73578947368420999</v>
      </c>
      <c r="N5" t="s">
        <v>41</v>
      </c>
      <c r="O5">
        <v>0.74678111587982798</v>
      </c>
      <c r="P5" t="s">
        <v>41</v>
      </c>
      <c r="Q5">
        <v>1.07471264367816</v>
      </c>
      <c r="R5" t="s">
        <v>41</v>
      </c>
      <c r="S5">
        <v>0.989304812834224</v>
      </c>
      <c r="T5" t="s">
        <v>41</v>
      </c>
      <c r="U5">
        <v>1.05765765765765</v>
      </c>
      <c r="V5" t="s">
        <v>41</v>
      </c>
      <c r="W5">
        <v>1.28960817717206</v>
      </c>
      <c r="X5" t="s">
        <v>41</v>
      </c>
      <c r="Y5">
        <v>1.4200792602377801</v>
      </c>
      <c r="Z5" t="s">
        <v>36</v>
      </c>
      <c r="AA5">
        <v>0.85994397759103602</v>
      </c>
      <c r="AB5" t="s">
        <v>36</v>
      </c>
      <c r="AC5">
        <v>0.95765472312703503</v>
      </c>
      <c r="AD5" t="s">
        <v>41</v>
      </c>
      <c r="AE5">
        <v>0.80703745743473299</v>
      </c>
      <c r="AF5" t="s">
        <v>41</v>
      </c>
      <c r="AG5">
        <v>1.15330520393811</v>
      </c>
      <c r="AH5" t="s">
        <v>41</v>
      </c>
      <c r="AI5">
        <v>0.76219512195121897</v>
      </c>
      <c r="AJ5" t="s">
        <v>41</v>
      </c>
      <c r="AK5">
        <v>1.496</v>
      </c>
      <c r="AL5" t="s">
        <v>36</v>
      </c>
      <c r="AM5">
        <v>1.4979959919839601</v>
      </c>
      <c r="AN5" t="s">
        <v>36</v>
      </c>
      <c r="AO5">
        <v>1.0836120401337701</v>
      </c>
      <c r="AP5" t="s">
        <v>36</v>
      </c>
      <c r="AQ5">
        <v>0.88580246913580196</v>
      </c>
      <c r="AR5" t="s">
        <v>36</v>
      </c>
      <c r="AS5">
        <v>0.81533101045296097</v>
      </c>
      <c r="AT5" t="s">
        <v>36</v>
      </c>
      <c r="AU5">
        <v>1.0085470085470001</v>
      </c>
      <c r="AV5" t="s">
        <v>36</v>
      </c>
      <c r="AW5">
        <v>1.0932203389830499</v>
      </c>
      <c r="AX5" t="s">
        <v>36</v>
      </c>
      <c r="AY5">
        <v>0.99612403100775104</v>
      </c>
      <c r="AZ5" t="s">
        <v>36</v>
      </c>
      <c r="BA5">
        <v>1.0544747081712</v>
      </c>
      <c r="BB5" t="s">
        <v>36</v>
      </c>
      <c r="BC5">
        <v>0.93357933579335795</v>
      </c>
      <c r="BD5" t="s">
        <v>36</v>
      </c>
      <c r="BE5">
        <v>0.94861660079051302</v>
      </c>
      <c r="BF5" t="s">
        <v>36</v>
      </c>
      <c r="BG5">
        <v>1.2666666666666599</v>
      </c>
      <c r="BH5" t="s">
        <v>42</v>
      </c>
      <c r="BI5">
        <v>1.02203567681007</v>
      </c>
      <c r="BJ5" t="s">
        <v>38</v>
      </c>
      <c r="BK5">
        <v>1.06395348837209</v>
      </c>
      <c r="BL5" t="s">
        <v>34</v>
      </c>
      <c r="BM5">
        <v>1.1135734072022101</v>
      </c>
      <c r="BN5" t="s">
        <v>38</v>
      </c>
      <c r="BO5">
        <v>1.1616915422885501</v>
      </c>
      <c r="BP5" t="s">
        <v>35</v>
      </c>
      <c r="BQ5">
        <v>0.78100263852242702</v>
      </c>
      <c r="BR5" t="s">
        <v>36</v>
      </c>
      <c r="BS5">
        <v>0.96442687747035505</v>
      </c>
      <c r="BT5" t="s">
        <v>35</v>
      </c>
      <c r="BU5">
        <v>1.0064724919093799</v>
      </c>
      <c r="BV5" t="s">
        <v>35</v>
      </c>
      <c r="BW5">
        <v>0.99839228295819904</v>
      </c>
    </row>
    <row r="6" spans="1:76" x14ac:dyDescent="0.4">
      <c r="A6">
        <v>4</v>
      </c>
      <c r="B6" t="s">
        <v>42</v>
      </c>
      <c r="C6">
        <v>1.2525667351129299</v>
      </c>
      <c r="D6" t="s">
        <v>43</v>
      </c>
      <c r="E6">
        <v>0.71307590216772998</v>
      </c>
      <c r="F6" t="s">
        <v>36</v>
      </c>
      <c r="G6">
        <v>0.51808972503617901</v>
      </c>
      <c r="H6" t="s">
        <v>41</v>
      </c>
      <c r="I6">
        <v>1.1046386930431</v>
      </c>
      <c r="J6" t="s">
        <v>41</v>
      </c>
      <c r="K6">
        <v>1.96228285791006</v>
      </c>
      <c r="L6" t="s">
        <v>36</v>
      </c>
      <c r="M6">
        <v>1.3864818024263399</v>
      </c>
      <c r="N6" t="s">
        <v>39</v>
      </c>
      <c r="O6">
        <v>0.84153337546793705</v>
      </c>
      <c r="P6" t="s">
        <v>36</v>
      </c>
      <c r="Q6">
        <v>0.76261682242990603</v>
      </c>
      <c r="R6" t="s">
        <v>36</v>
      </c>
      <c r="S6">
        <v>1.0269607843137201</v>
      </c>
      <c r="T6" t="s">
        <v>36</v>
      </c>
      <c r="U6">
        <v>0.98090692124104994</v>
      </c>
      <c r="V6" t="s">
        <v>36</v>
      </c>
      <c r="W6">
        <v>0.97080291970802901</v>
      </c>
      <c r="X6" t="s">
        <v>36</v>
      </c>
      <c r="Y6">
        <v>0.89473684210526305</v>
      </c>
      <c r="Z6" t="s">
        <v>34</v>
      </c>
      <c r="AA6">
        <v>1.08053007135575</v>
      </c>
      <c r="AB6" t="s">
        <v>39</v>
      </c>
      <c r="AC6">
        <v>1.1065560165975099</v>
      </c>
      <c r="AD6" t="s">
        <v>36</v>
      </c>
      <c r="AE6">
        <v>0.73129251700680198</v>
      </c>
      <c r="AF6" t="s">
        <v>36</v>
      </c>
      <c r="AG6">
        <v>1.1162790697674401</v>
      </c>
      <c r="AH6" t="s">
        <v>36</v>
      </c>
      <c r="AI6">
        <v>0.75249999999999995</v>
      </c>
      <c r="AJ6" t="s">
        <v>36</v>
      </c>
      <c r="AK6">
        <v>1.1052048726467301</v>
      </c>
      <c r="AL6" t="s">
        <v>34</v>
      </c>
      <c r="AM6">
        <v>0.88851351351351304</v>
      </c>
      <c r="AN6" t="s">
        <v>39</v>
      </c>
      <c r="AO6">
        <v>1.03245427988314</v>
      </c>
      <c r="AP6" t="s">
        <v>34</v>
      </c>
      <c r="AQ6">
        <v>0.98241985522233699</v>
      </c>
      <c r="AR6" t="s">
        <v>35</v>
      </c>
      <c r="AS6">
        <v>0.791860958033064</v>
      </c>
      <c r="AT6" t="s">
        <v>35</v>
      </c>
      <c r="AU6">
        <v>0.93683083511777299</v>
      </c>
      <c r="AV6" t="s">
        <v>35</v>
      </c>
      <c r="AW6">
        <v>1.1457142857142799</v>
      </c>
      <c r="AX6" t="s">
        <v>35</v>
      </c>
      <c r="AY6">
        <v>1.09576059850374</v>
      </c>
      <c r="AZ6" t="s">
        <v>35</v>
      </c>
      <c r="BA6">
        <v>1.0673645880746401</v>
      </c>
      <c r="BB6" t="s">
        <v>35</v>
      </c>
      <c r="BC6">
        <v>0.82601279317697196</v>
      </c>
      <c r="BD6" t="s">
        <v>35</v>
      </c>
      <c r="BE6">
        <v>1.16210635002581</v>
      </c>
      <c r="BF6" t="s">
        <v>35</v>
      </c>
      <c r="BG6">
        <v>2.0004442470013299</v>
      </c>
      <c r="BH6" t="s">
        <v>44</v>
      </c>
      <c r="BI6">
        <v>1.2105263157894699</v>
      </c>
      <c r="BJ6" t="s">
        <v>42</v>
      </c>
      <c r="BK6">
        <v>1.0780287474332599</v>
      </c>
      <c r="BL6" t="s">
        <v>38</v>
      </c>
      <c r="BM6">
        <v>1.0983606557376999</v>
      </c>
      <c r="BN6" t="s">
        <v>42</v>
      </c>
      <c r="BO6">
        <v>1.0119305856832901</v>
      </c>
      <c r="BP6" t="s">
        <v>34</v>
      </c>
      <c r="BQ6">
        <v>0.99753997539975403</v>
      </c>
      <c r="BR6" t="s">
        <v>35</v>
      </c>
      <c r="BS6">
        <v>1.04391891891891</v>
      </c>
      <c r="BT6" t="s">
        <v>34</v>
      </c>
      <c r="BU6">
        <v>1.09424083769633</v>
      </c>
      <c r="BV6" t="s">
        <v>34</v>
      </c>
      <c r="BW6">
        <v>1.1052631578947301</v>
      </c>
    </row>
    <row r="7" spans="1:76" x14ac:dyDescent="0.4">
      <c r="A7">
        <v>5</v>
      </c>
      <c r="B7" t="s">
        <v>40</v>
      </c>
      <c r="C7">
        <v>0.96694214876033002</v>
      </c>
      <c r="D7" t="s">
        <v>45</v>
      </c>
      <c r="E7">
        <v>0.87578845220766599</v>
      </c>
      <c r="F7" t="s">
        <v>34</v>
      </c>
      <c r="G7">
        <v>0.48458149779735599</v>
      </c>
      <c r="H7" t="s">
        <v>36</v>
      </c>
      <c r="I7">
        <v>0.91340782122904995</v>
      </c>
      <c r="J7" t="s">
        <v>36</v>
      </c>
      <c r="K7">
        <v>1.7645259938837901</v>
      </c>
      <c r="L7" t="s">
        <v>34</v>
      </c>
      <c r="M7">
        <v>1.18976897689768</v>
      </c>
      <c r="N7" t="s">
        <v>34</v>
      </c>
      <c r="O7">
        <v>1.1428571428571399</v>
      </c>
      <c r="P7" t="s">
        <v>39</v>
      </c>
      <c r="Q7">
        <v>1.5406568647274601</v>
      </c>
      <c r="R7" t="s">
        <v>34</v>
      </c>
      <c r="S7">
        <v>0.80364656381486599</v>
      </c>
      <c r="T7" t="s">
        <v>34</v>
      </c>
      <c r="U7">
        <v>1.31588132635253</v>
      </c>
      <c r="V7" t="s">
        <v>34</v>
      </c>
      <c r="W7">
        <v>1.43899204244031</v>
      </c>
      <c r="X7" t="s">
        <v>34</v>
      </c>
      <c r="Y7">
        <v>0.90414746543778801</v>
      </c>
      <c r="Z7" t="s">
        <v>43</v>
      </c>
      <c r="AA7">
        <v>0.76891070982774401</v>
      </c>
      <c r="AB7" t="s">
        <v>34</v>
      </c>
      <c r="AC7">
        <v>1.0896226415094299</v>
      </c>
      <c r="AD7" t="s">
        <v>34</v>
      </c>
      <c r="AE7">
        <v>0.83030303030302999</v>
      </c>
      <c r="AF7" t="s">
        <v>34</v>
      </c>
      <c r="AG7">
        <v>1.3138686131386801</v>
      </c>
      <c r="AH7" t="s">
        <v>37</v>
      </c>
      <c r="AI7">
        <v>0.95125980999586901</v>
      </c>
      <c r="AJ7" t="s">
        <v>39</v>
      </c>
      <c r="AK7">
        <v>1.0840008747559899</v>
      </c>
      <c r="AL7" t="s">
        <v>37</v>
      </c>
      <c r="AM7">
        <v>1.1711229946524</v>
      </c>
      <c r="AN7" t="s">
        <v>34</v>
      </c>
      <c r="AO7">
        <v>1.2256020278833899</v>
      </c>
      <c r="AP7" t="s">
        <v>37</v>
      </c>
      <c r="AQ7">
        <v>1.1351722783940299</v>
      </c>
      <c r="AR7" t="s">
        <v>34</v>
      </c>
      <c r="AS7">
        <v>0.92105263157894701</v>
      </c>
      <c r="AT7" t="s">
        <v>34</v>
      </c>
      <c r="AU7">
        <v>1.1485714285714199</v>
      </c>
      <c r="AV7" t="s">
        <v>34</v>
      </c>
      <c r="AW7">
        <v>0.876616915422885</v>
      </c>
      <c r="AX7" t="s">
        <v>34</v>
      </c>
      <c r="AY7">
        <v>0.91486946651532297</v>
      </c>
      <c r="AZ7" t="s">
        <v>34</v>
      </c>
      <c r="BA7">
        <v>1.0843672456575599</v>
      </c>
      <c r="BB7" t="s">
        <v>34</v>
      </c>
      <c r="BC7">
        <v>0.77231121281464499</v>
      </c>
      <c r="BD7" t="s">
        <v>34</v>
      </c>
      <c r="BE7">
        <v>0.96</v>
      </c>
      <c r="BF7" t="s">
        <v>34</v>
      </c>
      <c r="BG7">
        <v>1.2083333333333299</v>
      </c>
      <c r="BH7" t="s">
        <v>46</v>
      </c>
      <c r="BI7">
        <v>1.02835538752362</v>
      </c>
      <c r="BJ7" t="s">
        <v>40</v>
      </c>
      <c r="BK7">
        <v>0.88644688644688596</v>
      </c>
      <c r="BL7" t="s">
        <v>42</v>
      </c>
      <c r="BM7">
        <v>0.87809523809523804</v>
      </c>
      <c r="BN7" t="s">
        <v>40</v>
      </c>
      <c r="BO7">
        <v>1.00477326968973</v>
      </c>
      <c r="BP7" t="s">
        <v>38</v>
      </c>
      <c r="BQ7">
        <v>0.91648822269807195</v>
      </c>
      <c r="BR7" t="s">
        <v>34</v>
      </c>
      <c r="BS7">
        <v>0.94204685573366198</v>
      </c>
      <c r="BT7" t="s">
        <v>37</v>
      </c>
      <c r="BU7">
        <v>0.76503759398496196</v>
      </c>
      <c r="BV7" t="s">
        <v>37</v>
      </c>
      <c r="BW7">
        <v>0.91400491400491402</v>
      </c>
    </row>
    <row r="8" spans="1:76" x14ac:dyDescent="0.4">
      <c r="A8">
        <v>6</v>
      </c>
      <c r="B8" t="s">
        <v>43</v>
      </c>
      <c r="C8">
        <v>1.0972193329172699</v>
      </c>
      <c r="D8" t="s">
        <v>47</v>
      </c>
      <c r="E8">
        <v>0.92738589211618205</v>
      </c>
      <c r="F8" t="s">
        <v>37</v>
      </c>
      <c r="G8">
        <v>0.80999153259949197</v>
      </c>
      <c r="H8" t="s">
        <v>34</v>
      </c>
      <c r="I8">
        <v>1.2242424242424199</v>
      </c>
      <c r="J8" t="s">
        <v>34</v>
      </c>
      <c r="K8">
        <v>1.5</v>
      </c>
      <c r="L8" t="s">
        <v>37</v>
      </c>
      <c r="M8">
        <v>0.87249964023600501</v>
      </c>
      <c r="N8" t="s">
        <v>37</v>
      </c>
      <c r="O8">
        <v>0.92858320963219498</v>
      </c>
      <c r="P8" t="s">
        <v>34</v>
      </c>
      <c r="Q8">
        <v>0.865291262135922</v>
      </c>
      <c r="R8" t="s">
        <v>37</v>
      </c>
      <c r="S8">
        <v>0.97066136250621504</v>
      </c>
      <c r="T8" t="s">
        <v>37</v>
      </c>
      <c r="U8">
        <v>1.1764002732240399</v>
      </c>
      <c r="V8" t="s">
        <v>37</v>
      </c>
      <c r="W8">
        <v>1.1114820728697901</v>
      </c>
      <c r="X8" t="s">
        <v>37</v>
      </c>
      <c r="Y8">
        <v>1.0231161029123601</v>
      </c>
      <c r="Z8" t="s">
        <v>45</v>
      </c>
      <c r="AA8">
        <v>1.4018691588784999</v>
      </c>
      <c r="AB8" t="s">
        <v>47</v>
      </c>
      <c r="AC8">
        <v>1.0528</v>
      </c>
      <c r="AD8" t="s">
        <v>40</v>
      </c>
      <c r="AE8">
        <v>0.86346396965865901</v>
      </c>
      <c r="AF8" t="s">
        <v>44</v>
      </c>
      <c r="AG8">
        <v>0.94963433144749498</v>
      </c>
      <c r="AH8" t="s">
        <v>40</v>
      </c>
      <c r="AI8">
        <v>0.922885572139303</v>
      </c>
      <c r="AJ8" t="s">
        <v>34</v>
      </c>
      <c r="AK8">
        <v>0.89067201604814406</v>
      </c>
      <c r="AL8" t="s">
        <v>40</v>
      </c>
      <c r="AM8">
        <v>1.09759036144578</v>
      </c>
      <c r="AN8" t="s">
        <v>37</v>
      </c>
      <c r="AO8">
        <v>1.2921106037544301</v>
      </c>
      <c r="AP8" t="s">
        <v>38</v>
      </c>
      <c r="AQ8">
        <v>1.02659574468085</v>
      </c>
      <c r="AR8" t="s">
        <v>37</v>
      </c>
      <c r="AS8">
        <v>0.842615012106537</v>
      </c>
      <c r="AT8" t="s">
        <v>37</v>
      </c>
      <c r="AU8">
        <v>1.16153530377668</v>
      </c>
      <c r="AV8" t="s">
        <v>37</v>
      </c>
      <c r="AW8">
        <v>1.1957059551157401</v>
      </c>
      <c r="AX8" t="s">
        <v>38</v>
      </c>
      <c r="AY8">
        <v>1.0860465116278999</v>
      </c>
      <c r="AZ8" t="s">
        <v>38</v>
      </c>
      <c r="BA8">
        <v>0.93576017130620903</v>
      </c>
      <c r="BB8" t="s">
        <v>38</v>
      </c>
      <c r="BC8">
        <v>0.97482837528604105</v>
      </c>
      <c r="BD8" t="s">
        <v>38</v>
      </c>
      <c r="BE8">
        <v>1.11267605633802</v>
      </c>
      <c r="BF8" t="s">
        <v>38</v>
      </c>
      <c r="BG8">
        <v>0.829113924050632</v>
      </c>
      <c r="BH8" t="s">
        <v>45</v>
      </c>
      <c r="BI8">
        <v>0.84380610412926305</v>
      </c>
      <c r="BJ8" t="s">
        <v>44</v>
      </c>
      <c r="BK8">
        <v>1.12201963534361</v>
      </c>
      <c r="BL8" t="s">
        <v>40</v>
      </c>
      <c r="BM8">
        <v>0.86570247933884203</v>
      </c>
      <c r="BN8" t="s">
        <v>44</v>
      </c>
      <c r="BO8">
        <v>1.05696202531645</v>
      </c>
      <c r="BP8" t="s">
        <v>42</v>
      </c>
      <c r="BQ8">
        <v>0.89924973204715897</v>
      </c>
      <c r="BR8" t="s">
        <v>38</v>
      </c>
      <c r="BS8">
        <v>0.96495327102803696</v>
      </c>
      <c r="BT8" t="s">
        <v>38</v>
      </c>
      <c r="BU8">
        <v>0.99273607748184001</v>
      </c>
      <c r="BV8" t="s">
        <v>38</v>
      </c>
      <c r="BW8">
        <v>1.0170731707317</v>
      </c>
    </row>
    <row r="9" spans="1:76" x14ac:dyDescent="0.4">
      <c r="A9">
        <v>7</v>
      </c>
      <c r="B9" t="s">
        <v>45</v>
      </c>
      <c r="C9">
        <v>1.1572150477259899</v>
      </c>
      <c r="D9" t="s">
        <v>50</v>
      </c>
      <c r="E9">
        <v>0.85638551513281502</v>
      </c>
      <c r="F9" t="s">
        <v>43</v>
      </c>
      <c r="G9">
        <v>0.36922804218736099</v>
      </c>
      <c r="H9" t="s">
        <v>37</v>
      </c>
      <c r="I9">
        <v>1.0351243989128101</v>
      </c>
      <c r="J9" t="s">
        <v>37</v>
      </c>
      <c r="K9">
        <v>1.40355483740658</v>
      </c>
      <c r="L9" t="s">
        <v>42</v>
      </c>
      <c r="M9">
        <v>1.4142259414225899</v>
      </c>
      <c r="N9" t="s">
        <v>42</v>
      </c>
      <c r="O9">
        <v>1.01479289940828</v>
      </c>
      <c r="P9" t="s">
        <v>37</v>
      </c>
      <c r="Q9">
        <v>1.0715808170515</v>
      </c>
      <c r="R9" t="s">
        <v>42</v>
      </c>
      <c r="S9">
        <v>1.4390804597701099</v>
      </c>
      <c r="T9" t="s">
        <v>43</v>
      </c>
      <c r="U9">
        <v>0.99531926167976603</v>
      </c>
      <c r="V9" t="s">
        <v>43</v>
      </c>
      <c r="W9">
        <v>1.1492457852706299</v>
      </c>
      <c r="X9" t="s">
        <v>43</v>
      </c>
      <c r="Y9">
        <v>0.92781037677578704</v>
      </c>
      <c r="Z9" t="s">
        <v>49</v>
      </c>
      <c r="AA9">
        <v>1.1164705882352901</v>
      </c>
      <c r="AB9" t="s">
        <v>51</v>
      </c>
      <c r="AC9">
        <v>0.91608391608391604</v>
      </c>
      <c r="AD9" t="s">
        <v>47</v>
      </c>
      <c r="AE9">
        <v>0.96656534954407203</v>
      </c>
      <c r="AF9" t="s">
        <v>45</v>
      </c>
      <c r="AG9">
        <v>1.1598360655737701</v>
      </c>
      <c r="AH9" t="s">
        <v>44</v>
      </c>
      <c r="AI9">
        <v>0.82548677709967999</v>
      </c>
      <c r="AJ9" t="s">
        <v>37</v>
      </c>
      <c r="AK9">
        <v>0.97438124185844499</v>
      </c>
      <c r="AL9" t="s">
        <v>44</v>
      </c>
      <c r="AM9">
        <v>0.76644694325966101</v>
      </c>
      <c r="AN9" t="s">
        <v>38</v>
      </c>
      <c r="AO9">
        <v>1.2617449664429501</v>
      </c>
      <c r="AP9" t="s">
        <v>40</v>
      </c>
      <c r="AQ9">
        <v>1.5760869565217299</v>
      </c>
      <c r="AR9" t="s">
        <v>38</v>
      </c>
      <c r="AS9">
        <v>1.2487046632124299</v>
      </c>
      <c r="AT9" t="s">
        <v>38</v>
      </c>
      <c r="AU9">
        <v>0.99170124481327804</v>
      </c>
      <c r="AV9" t="s">
        <v>46</v>
      </c>
      <c r="AW9">
        <v>1.2311075569772001</v>
      </c>
      <c r="AX9" t="s">
        <v>44</v>
      </c>
      <c r="AY9">
        <v>1.04239917269906</v>
      </c>
      <c r="AZ9" t="s">
        <v>44</v>
      </c>
      <c r="BA9">
        <v>1.2083333333333299</v>
      </c>
      <c r="BB9" t="s">
        <v>40</v>
      </c>
      <c r="BC9">
        <v>1.1352657004830899</v>
      </c>
      <c r="BD9" t="s">
        <v>44</v>
      </c>
      <c r="BE9">
        <v>0.91872427983539096</v>
      </c>
      <c r="BF9" t="s">
        <v>42</v>
      </c>
      <c r="BG9">
        <v>1.04725274725274</v>
      </c>
      <c r="BH9" t="s">
        <v>47</v>
      </c>
      <c r="BI9">
        <v>0.79148936170212703</v>
      </c>
      <c r="BJ9" t="s">
        <v>46</v>
      </c>
      <c r="BK9">
        <v>1.0716911764705801</v>
      </c>
      <c r="BL9" t="s">
        <v>44</v>
      </c>
      <c r="BM9">
        <v>0.98750000000000004</v>
      </c>
      <c r="BN9" t="s">
        <v>45</v>
      </c>
      <c r="BO9">
        <v>1.08111111111111</v>
      </c>
      <c r="BP9" t="s">
        <v>40</v>
      </c>
      <c r="BQ9">
        <v>0.821852731591448</v>
      </c>
      <c r="BR9" t="s">
        <v>42</v>
      </c>
      <c r="BS9">
        <v>0.89153754469606605</v>
      </c>
      <c r="BT9" t="s">
        <v>42</v>
      </c>
      <c r="BU9">
        <v>1.02272727272727</v>
      </c>
      <c r="BV9" t="s">
        <v>42</v>
      </c>
      <c r="BW9">
        <v>1.0209150326797301</v>
      </c>
    </row>
    <row r="10" spans="1:76" x14ac:dyDescent="0.4">
      <c r="A10">
        <v>8</v>
      </c>
      <c r="B10" t="s">
        <v>49</v>
      </c>
      <c r="C10">
        <v>1.1314741035856499</v>
      </c>
      <c r="D10" t="s">
        <v>53</v>
      </c>
      <c r="E10">
        <v>1.0169851380042401</v>
      </c>
      <c r="F10" t="s">
        <v>44</v>
      </c>
      <c r="G10">
        <v>0.49274267975501301</v>
      </c>
      <c r="H10" t="s">
        <v>42</v>
      </c>
      <c r="I10">
        <v>0.95857142857142796</v>
      </c>
      <c r="J10" t="s">
        <v>42</v>
      </c>
      <c r="K10">
        <v>1.78092399403874</v>
      </c>
      <c r="L10" t="s">
        <v>43</v>
      </c>
      <c r="M10">
        <v>0.81785599657644104</v>
      </c>
      <c r="N10" t="s">
        <v>43</v>
      </c>
      <c r="O10">
        <v>0.92576362090391695</v>
      </c>
      <c r="P10" t="s">
        <v>42</v>
      </c>
      <c r="Q10">
        <v>1.2682215743440199</v>
      </c>
      <c r="R10" t="s">
        <v>43</v>
      </c>
      <c r="S10">
        <v>0.92176815369586396</v>
      </c>
      <c r="T10" t="s">
        <v>54</v>
      </c>
      <c r="U10">
        <v>1.0277777777777699</v>
      </c>
      <c r="V10" t="s">
        <v>54</v>
      </c>
      <c r="W10">
        <v>1.0270270270270201</v>
      </c>
      <c r="X10" t="s">
        <v>54</v>
      </c>
      <c r="Y10">
        <v>0.83789473684210503</v>
      </c>
      <c r="Z10" t="s">
        <v>47</v>
      </c>
      <c r="AA10">
        <v>1.04340567612687</v>
      </c>
      <c r="AB10" t="s">
        <v>53</v>
      </c>
      <c r="AC10">
        <v>1.36459554513481</v>
      </c>
      <c r="AD10" t="s">
        <v>55</v>
      </c>
      <c r="AE10">
        <v>0.91966173361522197</v>
      </c>
      <c r="AF10" t="s">
        <v>47</v>
      </c>
      <c r="AG10">
        <v>1.02830188679245</v>
      </c>
      <c r="AH10" t="s">
        <v>47</v>
      </c>
      <c r="AI10">
        <v>0.91131498470948002</v>
      </c>
      <c r="AJ10" t="s">
        <v>40</v>
      </c>
      <c r="AK10">
        <v>1.11859838274932</v>
      </c>
      <c r="AL10" t="s">
        <v>47</v>
      </c>
      <c r="AM10">
        <v>0.98719999999999997</v>
      </c>
      <c r="AN10" t="s">
        <v>40</v>
      </c>
      <c r="AO10">
        <v>1.0098792535675001</v>
      </c>
      <c r="AP10" t="s">
        <v>44</v>
      </c>
      <c r="AQ10">
        <v>0.908056358381502</v>
      </c>
      <c r="AR10" t="s">
        <v>40</v>
      </c>
      <c r="AS10">
        <v>1.2620689655172399</v>
      </c>
      <c r="AT10" t="s">
        <v>44</v>
      </c>
      <c r="AU10">
        <v>1.13927105961863</v>
      </c>
      <c r="AV10" t="s">
        <v>47</v>
      </c>
      <c r="AW10">
        <v>1.00750938673341</v>
      </c>
      <c r="AX10" t="s">
        <v>47</v>
      </c>
      <c r="AY10">
        <v>1.23602484472049</v>
      </c>
      <c r="AZ10" t="s">
        <v>47</v>
      </c>
      <c r="BA10">
        <v>1.23115577889447</v>
      </c>
      <c r="BB10" t="s">
        <v>46</v>
      </c>
      <c r="BC10">
        <v>0.93724917913170303</v>
      </c>
      <c r="BD10" t="s">
        <v>54</v>
      </c>
      <c r="BE10">
        <v>1.2270742358078599</v>
      </c>
      <c r="BF10" t="s">
        <v>44</v>
      </c>
      <c r="BG10">
        <v>1.31914893617021</v>
      </c>
      <c r="BH10" t="s">
        <v>50</v>
      </c>
      <c r="BI10">
        <v>0.83132530120481896</v>
      </c>
      <c r="BJ10" t="s">
        <v>45</v>
      </c>
      <c r="BK10">
        <v>1.0414893617021199</v>
      </c>
      <c r="BL10" t="s">
        <v>46</v>
      </c>
      <c r="BM10">
        <v>0.921097770154373</v>
      </c>
      <c r="BN10" t="s">
        <v>47</v>
      </c>
      <c r="BO10">
        <v>0.98441247002398002</v>
      </c>
      <c r="BP10" t="s">
        <v>44</v>
      </c>
      <c r="BQ10">
        <v>0.76886227544910102</v>
      </c>
      <c r="BR10" t="s">
        <v>40</v>
      </c>
      <c r="BS10">
        <v>0.84104046242774499</v>
      </c>
      <c r="BT10" t="s">
        <v>40</v>
      </c>
      <c r="BU10">
        <v>1.04810996563573</v>
      </c>
      <c r="BV10" t="s">
        <v>40</v>
      </c>
      <c r="BW10">
        <v>1.0163934426229499</v>
      </c>
    </row>
    <row r="11" spans="1:76" x14ac:dyDescent="0.4">
      <c r="A11">
        <v>9</v>
      </c>
      <c r="B11" t="s">
        <v>47</v>
      </c>
      <c r="C11">
        <v>0.99896373056994803</v>
      </c>
      <c r="D11" t="s">
        <v>57</v>
      </c>
      <c r="E11">
        <v>0.60509554140127297</v>
      </c>
      <c r="F11" t="s">
        <v>45</v>
      </c>
      <c r="G11">
        <v>0.79889196675900198</v>
      </c>
      <c r="H11" t="s">
        <v>44</v>
      </c>
      <c r="I11">
        <v>0.99012429763323595</v>
      </c>
      <c r="J11" t="s">
        <v>43</v>
      </c>
      <c r="K11">
        <v>1.5890853451207001</v>
      </c>
      <c r="L11" t="s">
        <v>44</v>
      </c>
      <c r="M11">
        <v>1.13992925509779</v>
      </c>
      <c r="N11" t="s">
        <v>45</v>
      </c>
      <c r="O11">
        <v>0.99222222222222201</v>
      </c>
      <c r="P11" t="s">
        <v>43</v>
      </c>
      <c r="Q11">
        <v>0.86788187084922896</v>
      </c>
      <c r="R11" t="s">
        <v>45</v>
      </c>
      <c r="S11">
        <v>1.39839572192513</v>
      </c>
      <c r="T11" t="s">
        <v>45</v>
      </c>
      <c r="U11">
        <v>0.94837476099426299</v>
      </c>
      <c r="V11" t="s">
        <v>45</v>
      </c>
      <c r="W11">
        <v>1.69354838709677</v>
      </c>
      <c r="X11" t="s">
        <v>45</v>
      </c>
      <c r="Y11">
        <v>1.0190476190476101</v>
      </c>
      <c r="Z11" t="s">
        <v>51</v>
      </c>
      <c r="AA11">
        <v>0.88453608247422599</v>
      </c>
      <c r="AB11" t="s">
        <v>55</v>
      </c>
      <c r="AC11">
        <v>0.90095238095238095</v>
      </c>
      <c r="AD11" t="s">
        <v>56</v>
      </c>
      <c r="AE11">
        <v>0.693493150684931</v>
      </c>
      <c r="AF11" t="s">
        <v>55</v>
      </c>
      <c r="AG11">
        <v>1.18160919540229</v>
      </c>
      <c r="AH11" t="s">
        <v>51</v>
      </c>
      <c r="AI11">
        <v>1.02433628318584</v>
      </c>
      <c r="AJ11" t="s">
        <v>44</v>
      </c>
      <c r="AK11">
        <v>1.3619081147685199</v>
      </c>
      <c r="AL11" t="s">
        <v>51</v>
      </c>
      <c r="AM11">
        <v>0.96380952380952301</v>
      </c>
      <c r="AN11" t="s">
        <v>44</v>
      </c>
      <c r="AO11">
        <v>0.933558178752107</v>
      </c>
      <c r="AP11" t="s">
        <v>54</v>
      </c>
      <c r="AQ11">
        <v>1.26595744680851</v>
      </c>
      <c r="AR11" t="s">
        <v>44</v>
      </c>
      <c r="AS11">
        <v>0.82414959220210804</v>
      </c>
      <c r="AT11" t="s">
        <v>54</v>
      </c>
      <c r="AU11">
        <v>1.2176724137931001</v>
      </c>
      <c r="AV11" t="s">
        <v>51</v>
      </c>
      <c r="AW11">
        <v>1.1247947454844001</v>
      </c>
      <c r="AX11" t="s">
        <v>51</v>
      </c>
      <c r="AY11">
        <v>1.35620437956204</v>
      </c>
      <c r="AZ11" t="s">
        <v>50</v>
      </c>
      <c r="BA11">
        <v>0.84326018808777403</v>
      </c>
      <c r="BB11" t="s">
        <v>47</v>
      </c>
      <c r="BC11">
        <v>1.0408163265306101</v>
      </c>
      <c r="BD11" t="s">
        <v>46</v>
      </c>
      <c r="BE11">
        <v>1.17360840794083</v>
      </c>
      <c r="BF11" t="s">
        <v>46</v>
      </c>
      <c r="BG11">
        <v>0.87728026533996595</v>
      </c>
      <c r="BH11" t="s">
        <v>58</v>
      </c>
      <c r="BI11">
        <v>0.98666666666666603</v>
      </c>
      <c r="BJ11" t="s">
        <v>47</v>
      </c>
      <c r="BK11">
        <v>1.00430107526881</v>
      </c>
      <c r="BL11" t="s">
        <v>45</v>
      </c>
      <c r="BM11">
        <v>0.91930541368743601</v>
      </c>
      <c r="BN11" t="s">
        <v>58</v>
      </c>
      <c r="BO11">
        <v>0.96875</v>
      </c>
      <c r="BP11" t="s">
        <v>45</v>
      </c>
      <c r="BQ11">
        <v>1.0955806783144899</v>
      </c>
      <c r="BR11" t="s">
        <v>44</v>
      </c>
      <c r="BS11">
        <v>1.21028037383177</v>
      </c>
      <c r="BT11" t="s">
        <v>44</v>
      </c>
      <c r="BU11">
        <v>0.86872586872586799</v>
      </c>
      <c r="BV11" t="s">
        <v>44</v>
      </c>
      <c r="BW11">
        <v>1.1437037037036999</v>
      </c>
    </row>
    <row r="12" spans="1:76" x14ac:dyDescent="0.4">
      <c r="A12">
        <v>10</v>
      </c>
      <c r="B12" t="s">
        <v>50</v>
      </c>
      <c r="C12">
        <v>0.94995869860641102</v>
      </c>
      <c r="D12" t="s">
        <v>60</v>
      </c>
      <c r="E12">
        <v>0.45087719298245599</v>
      </c>
      <c r="F12" t="s">
        <v>47</v>
      </c>
      <c r="G12">
        <v>0.59843400447427297</v>
      </c>
      <c r="H12" t="s">
        <v>47</v>
      </c>
      <c r="I12">
        <v>1.3271028037383099</v>
      </c>
      <c r="J12" t="s">
        <v>44</v>
      </c>
      <c r="K12">
        <v>1.6529664660361101</v>
      </c>
      <c r="L12" t="s">
        <v>47</v>
      </c>
      <c r="M12">
        <v>1.0909090909090899</v>
      </c>
      <c r="N12" t="s">
        <v>47</v>
      </c>
      <c r="O12">
        <v>0.94934640522875802</v>
      </c>
      <c r="P12" t="s">
        <v>45</v>
      </c>
      <c r="Q12">
        <v>1.0470324748040301</v>
      </c>
      <c r="R12" t="s">
        <v>47</v>
      </c>
      <c r="S12">
        <v>0.94862385321100895</v>
      </c>
      <c r="T12" t="s">
        <v>47</v>
      </c>
      <c r="U12">
        <v>1.0580270793036699</v>
      </c>
      <c r="V12" t="s">
        <v>47</v>
      </c>
      <c r="W12">
        <v>1.17915904936014</v>
      </c>
      <c r="X12" t="s">
        <v>47</v>
      </c>
      <c r="Y12">
        <v>0.92868217054263502</v>
      </c>
      <c r="Z12" t="s">
        <v>53</v>
      </c>
      <c r="AA12">
        <v>1.1717032967032901</v>
      </c>
      <c r="AB12" t="s">
        <v>56</v>
      </c>
      <c r="AC12">
        <v>0.82439299830604096</v>
      </c>
      <c r="AD12" t="s">
        <v>60</v>
      </c>
      <c r="AE12">
        <v>0.73802816901408397</v>
      </c>
      <c r="AF12" t="s">
        <v>56</v>
      </c>
      <c r="AG12">
        <v>1.2083950617283901</v>
      </c>
      <c r="AH12" t="s">
        <v>55</v>
      </c>
      <c r="AI12">
        <v>0.83171206225680905</v>
      </c>
      <c r="AJ12" t="s">
        <v>47</v>
      </c>
      <c r="AK12">
        <v>1.0486577181208001</v>
      </c>
      <c r="AL12" t="s">
        <v>58</v>
      </c>
      <c r="AM12">
        <v>0.99700598802395202</v>
      </c>
      <c r="AN12" t="s">
        <v>46</v>
      </c>
      <c r="AO12">
        <v>1.0610496251338799</v>
      </c>
      <c r="AP12" t="s">
        <v>46</v>
      </c>
      <c r="AQ12">
        <v>1.0434051144010701</v>
      </c>
      <c r="AR12" t="s">
        <v>54</v>
      </c>
      <c r="AS12">
        <v>1.5596638655462101</v>
      </c>
      <c r="AT12" t="s">
        <v>46</v>
      </c>
      <c r="AU12">
        <v>0.966756861229223</v>
      </c>
      <c r="AV12" t="s">
        <v>58</v>
      </c>
      <c r="AW12">
        <v>0.93485714285714205</v>
      </c>
      <c r="AX12" t="s">
        <v>58</v>
      </c>
      <c r="AY12">
        <v>0.98533007334963296</v>
      </c>
      <c r="AZ12" t="s">
        <v>58</v>
      </c>
      <c r="BA12">
        <v>1.0322580645161199</v>
      </c>
      <c r="BB12" t="s">
        <v>50</v>
      </c>
      <c r="BC12">
        <v>1.0427509293680199</v>
      </c>
      <c r="BD12" t="s">
        <v>47</v>
      </c>
      <c r="BE12">
        <v>0.84313725490196001</v>
      </c>
      <c r="BF12" t="s">
        <v>47</v>
      </c>
      <c r="BG12">
        <v>1.0930232558139501</v>
      </c>
      <c r="BH12" t="s">
        <v>55</v>
      </c>
      <c r="BI12">
        <v>0.98902439024390199</v>
      </c>
      <c r="BJ12" t="s">
        <v>58</v>
      </c>
      <c r="BK12">
        <v>0.99754299754299702</v>
      </c>
      <c r="BL12" t="s">
        <v>47</v>
      </c>
      <c r="BM12">
        <v>0.89293361884368305</v>
      </c>
      <c r="BN12" t="s">
        <v>52</v>
      </c>
      <c r="BO12">
        <v>0.956666666666666</v>
      </c>
      <c r="BP12" t="s">
        <v>47</v>
      </c>
      <c r="BQ12">
        <v>1.03775883069427</v>
      </c>
      <c r="BR12" t="s">
        <v>46</v>
      </c>
      <c r="BS12">
        <v>0.97660818713450204</v>
      </c>
      <c r="BT12" t="s">
        <v>46</v>
      </c>
      <c r="BU12">
        <v>0.97604790419161602</v>
      </c>
      <c r="BV12" t="s">
        <v>46</v>
      </c>
      <c r="BW12">
        <v>1.1288343558282199</v>
      </c>
    </row>
    <row r="13" spans="1:76" x14ac:dyDescent="0.4">
      <c r="A13">
        <v>11</v>
      </c>
      <c r="B13" t="s">
        <v>53</v>
      </c>
      <c r="C13">
        <v>1.06681766704416</v>
      </c>
      <c r="D13" t="s">
        <v>62</v>
      </c>
      <c r="E13">
        <v>0.78112449799196704</v>
      </c>
      <c r="F13" t="s">
        <v>50</v>
      </c>
      <c r="G13">
        <v>0.56152762765713504</v>
      </c>
      <c r="H13" t="s">
        <v>61</v>
      </c>
      <c r="I13">
        <v>1.2235294117647</v>
      </c>
      <c r="J13" t="s">
        <v>47</v>
      </c>
      <c r="K13">
        <v>0.79014084507042204</v>
      </c>
      <c r="L13" t="s">
        <v>50</v>
      </c>
      <c r="M13">
        <v>0.98097394478050703</v>
      </c>
      <c r="N13" t="s">
        <v>51</v>
      </c>
      <c r="O13">
        <v>0.85341365461847296</v>
      </c>
      <c r="P13" t="s">
        <v>47</v>
      </c>
      <c r="Q13">
        <v>0.93803786574870895</v>
      </c>
      <c r="R13" t="s">
        <v>51</v>
      </c>
      <c r="S13">
        <v>0.95192307692307598</v>
      </c>
      <c r="T13" t="s">
        <v>51</v>
      </c>
      <c r="U13">
        <v>1.01459034792368</v>
      </c>
      <c r="V13" t="s">
        <v>51</v>
      </c>
      <c r="W13">
        <v>1.05641592920353</v>
      </c>
      <c r="X13" t="s">
        <v>51</v>
      </c>
      <c r="Y13">
        <v>1.0157068062827199</v>
      </c>
      <c r="Z13" t="s">
        <v>55</v>
      </c>
      <c r="AA13">
        <v>0.94086021505376305</v>
      </c>
      <c r="AB13" t="s">
        <v>60</v>
      </c>
      <c r="AC13">
        <v>0.91416309012875496</v>
      </c>
      <c r="AD13" t="s">
        <v>62</v>
      </c>
      <c r="AE13">
        <v>0.82263513513513498</v>
      </c>
      <c r="AF13" t="s">
        <v>60</v>
      </c>
      <c r="AG13">
        <v>1.3422391857506299</v>
      </c>
      <c r="AH13" t="s">
        <v>60</v>
      </c>
      <c r="AI13">
        <v>0.63696682464454901</v>
      </c>
      <c r="AJ13" t="s">
        <v>51</v>
      </c>
      <c r="AK13">
        <v>1.13390928725701</v>
      </c>
      <c r="AL13" t="s">
        <v>55</v>
      </c>
      <c r="AM13">
        <v>0.96275395033860001</v>
      </c>
      <c r="AN13" t="s">
        <v>47</v>
      </c>
      <c r="AO13">
        <v>1.0372771474878399</v>
      </c>
      <c r="AP13" t="s">
        <v>47</v>
      </c>
      <c r="AQ13">
        <v>1.16875</v>
      </c>
      <c r="AR13" t="s">
        <v>46</v>
      </c>
      <c r="AS13">
        <v>0.83424701709126003</v>
      </c>
      <c r="AT13" t="s">
        <v>47</v>
      </c>
      <c r="AU13">
        <v>1.0540897097625299</v>
      </c>
      <c r="AV13" t="s">
        <v>55</v>
      </c>
      <c r="AW13">
        <v>1.0022598870056401</v>
      </c>
      <c r="AX13" t="s">
        <v>55</v>
      </c>
      <c r="AY13">
        <v>0.99774520856820703</v>
      </c>
      <c r="AZ13" t="s">
        <v>55</v>
      </c>
      <c r="BA13">
        <v>1.08474576271186</v>
      </c>
      <c r="BB13" t="s">
        <v>58</v>
      </c>
      <c r="BC13">
        <v>0.90264423076922995</v>
      </c>
      <c r="BD13" t="s">
        <v>50</v>
      </c>
      <c r="BE13">
        <v>0.88770053475935795</v>
      </c>
      <c r="BF13" t="s">
        <v>50</v>
      </c>
      <c r="BG13">
        <v>1</v>
      </c>
      <c r="BH13" t="s">
        <v>56</v>
      </c>
      <c r="BI13">
        <v>0.77907949790794895</v>
      </c>
      <c r="BJ13" t="s">
        <v>55</v>
      </c>
      <c r="BK13">
        <v>0.92725030826140498</v>
      </c>
      <c r="BL13" t="s">
        <v>58</v>
      </c>
      <c r="BM13">
        <v>0.94581280788177302</v>
      </c>
      <c r="BN13" t="s">
        <v>53</v>
      </c>
      <c r="BO13">
        <v>0.896584440227704</v>
      </c>
      <c r="BP13" t="s">
        <v>58</v>
      </c>
      <c r="BQ13">
        <v>0.896505376344086</v>
      </c>
      <c r="BR13" t="s">
        <v>45</v>
      </c>
      <c r="BS13">
        <v>0.87429643527204504</v>
      </c>
      <c r="BT13" t="s">
        <v>45</v>
      </c>
      <c r="BU13">
        <v>1.0021459227467799</v>
      </c>
      <c r="BV13" t="s">
        <v>45</v>
      </c>
      <c r="BW13">
        <v>1.00428265524625</v>
      </c>
    </row>
    <row r="14" spans="1:76" x14ac:dyDescent="0.4">
      <c r="A14">
        <v>12</v>
      </c>
      <c r="B14" t="s">
        <v>57</v>
      </c>
      <c r="C14">
        <v>0.80102040816326503</v>
      </c>
      <c r="D14" t="s">
        <v>64</v>
      </c>
      <c r="E14">
        <v>0.93529411764705805</v>
      </c>
      <c r="F14" t="s">
        <v>53</v>
      </c>
      <c r="G14">
        <v>1.0187891440501</v>
      </c>
      <c r="H14" t="s">
        <v>53</v>
      </c>
      <c r="I14">
        <v>0.85040983606557297</v>
      </c>
      <c r="J14" t="s">
        <v>61</v>
      </c>
      <c r="K14">
        <v>1.6519230769230699</v>
      </c>
      <c r="L14" t="s">
        <v>53</v>
      </c>
      <c r="M14">
        <v>1.08883553421368</v>
      </c>
      <c r="N14" t="s">
        <v>50</v>
      </c>
      <c r="O14">
        <v>0.98704698911395805</v>
      </c>
      <c r="P14" t="s">
        <v>51</v>
      </c>
      <c r="Q14">
        <v>1.1011764705882301</v>
      </c>
      <c r="R14" t="s">
        <v>50</v>
      </c>
      <c r="S14">
        <v>1.01039273215737</v>
      </c>
      <c r="T14" t="s">
        <v>50</v>
      </c>
      <c r="U14">
        <v>0.88146800545778903</v>
      </c>
      <c r="V14" t="s">
        <v>50</v>
      </c>
      <c r="W14">
        <v>0.95514983131573705</v>
      </c>
      <c r="X14" t="s">
        <v>50</v>
      </c>
      <c r="Y14">
        <v>0.81653854145023896</v>
      </c>
      <c r="Z14" t="s">
        <v>56</v>
      </c>
      <c r="AA14">
        <v>0.85062439961575398</v>
      </c>
      <c r="AB14" t="s">
        <v>62</v>
      </c>
      <c r="AC14">
        <v>0.92500000000000004</v>
      </c>
      <c r="AD14" t="s">
        <v>65</v>
      </c>
      <c r="AE14">
        <v>0.88168574135238198</v>
      </c>
      <c r="AF14" t="s">
        <v>62</v>
      </c>
      <c r="AG14">
        <v>1.1416837782340801</v>
      </c>
      <c r="AH14" t="s">
        <v>62</v>
      </c>
      <c r="AI14">
        <v>0.83812949640287704</v>
      </c>
      <c r="AJ14" t="s">
        <v>55</v>
      </c>
      <c r="AK14">
        <v>1.03625730994152</v>
      </c>
      <c r="AL14" t="s">
        <v>60</v>
      </c>
      <c r="AM14">
        <v>0.890625</v>
      </c>
      <c r="AN14" t="s">
        <v>51</v>
      </c>
      <c r="AO14">
        <v>1.2055335968379399</v>
      </c>
      <c r="AP14" t="s">
        <v>51</v>
      </c>
      <c r="AQ14">
        <v>1.0491803278688501</v>
      </c>
      <c r="AR14" t="s">
        <v>47</v>
      </c>
      <c r="AS14">
        <v>1.01336898395721</v>
      </c>
      <c r="AT14" t="s">
        <v>51</v>
      </c>
      <c r="AU14">
        <v>0.94565217391304301</v>
      </c>
      <c r="AV14" t="s">
        <v>63</v>
      </c>
      <c r="AW14">
        <v>0.995253164556962</v>
      </c>
      <c r="AX14" t="s">
        <v>63</v>
      </c>
      <c r="AY14">
        <v>1.16057233704292</v>
      </c>
      <c r="AZ14" t="s">
        <v>62</v>
      </c>
      <c r="BA14">
        <v>1.21317157712305</v>
      </c>
      <c r="BB14" t="s">
        <v>55</v>
      </c>
      <c r="BC14">
        <v>0.92291666666666605</v>
      </c>
      <c r="BD14" t="s">
        <v>58</v>
      </c>
      <c r="BE14">
        <v>1.09853528628495</v>
      </c>
      <c r="BF14" t="s">
        <v>58</v>
      </c>
      <c r="BG14">
        <v>1</v>
      </c>
      <c r="BH14" t="s">
        <v>59</v>
      </c>
      <c r="BI14">
        <v>0.75028248587570601</v>
      </c>
      <c r="BJ14" t="s">
        <v>59</v>
      </c>
      <c r="BK14">
        <v>0.96234939759036098</v>
      </c>
      <c r="BL14" t="s">
        <v>53</v>
      </c>
      <c r="BM14">
        <v>0.93605683836589604</v>
      </c>
      <c r="BN14" t="s">
        <v>55</v>
      </c>
      <c r="BO14">
        <v>1.10651828298887</v>
      </c>
      <c r="BP14" t="s">
        <v>52</v>
      </c>
      <c r="BQ14">
        <v>1.2700348432055699</v>
      </c>
      <c r="BR14" t="s">
        <v>47</v>
      </c>
      <c r="BS14">
        <v>1.01056338028169</v>
      </c>
      <c r="BT14" t="s">
        <v>47</v>
      </c>
      <c r="BU14">
        <v>0.99535423925667799</v>
      </c>
      <c r="BV14" t="s">
        <v>47</v>
      </c>
      <c r="BW14">
        <v>1.05717619603267</v>
      </c>
    </row>
    <row r="15" spans="1:76" x14ac:dyDescent="0.4">
      <c r="A15">
        <v>13</v>
      </c>
      <c r="B15" t="s">
        <v>62</v>
      </c>
      <c r="C15">
        <v>1.0375000000000001</v>
      </c>
      <c r="D15" t="s">
        <v>66</v>
      </c>
      <c r="E15">
        <v>0.69642504444005504</v>
      </c>
      <c r="F15" t="s">
        <v>56</v>
      </c>
      <c r="G15">
        <v>0.564299692479731</v>
      </c>
      <c r="H15" t="s">
        <v>55</v>
      </c>
      <c r="I15">
        <v>1</v>
      </c>
      <c r="J15" t="s">
        <v>53</v>
      </c>
      <c r="K15">
        <v>1.00361445783132</v>
      </c>
      <c r="L15" t="s">
        <v>55</v>
      </c>
      <c r="M15">
        <v>0.94413323239969704</v>
      </c>
      <c r="N15" t="s">
        <v>53</v>
      </c>
      <c r="O15">
        <v>1.19073869900771</v>
      </c>
      <c r="P15" t="s">
        <v>50</v>
      </c>
      <c r="Q15">
        <v>0.98733072734887595</v>
      </c>
      <c r="R15" t="s">
        <v>53</v>
      </c>
      <c r="S15">
        <v>0.95038167938931295</v>
      </c>
      <c r="T15" t="s">
        <v>53</v>
      </c>
      <c r="U15">
        <v>1.20281124497991</v>
      </c>
      <c r="V15" t="s">
        <v>53</v>
      </c>
      <c r="W15">
        <v>1.35225375626043</v>
      </c>
      <c r="X15" t="s">
        <v>55</v>
      </c>
      <c r="Y15">
        <v>0.87874015748031498</v>
      </c>
      <c r="Z15" t="s">
        <v>60</v>
      </c>
      <c r="AA15">
        <v>1.17085427135678</v>
      </c>
      <c r="AB15" t="s">
        <v>65</v>
      </c>
      <c r="AC15">
        <v>0.85424640755888903</v>
      </c>
      <c r="AD15" t="s">
        <v>66</v>
      </c>
      <c r="AE15">
        <v>0.73737373737373701</v>
      </c>
      <c r="AF15" t="s">
        <v>65</v>
      </c>
      <c r="AG15">
        <v>0.99860610988500398</v>
      </c>
      <c r="AH15" t="s">
        <v>64</v>
      </c>
      <c r="AI15">
        <v>0.85755813953488302</v>
      </c>
      <c r="AJ15" t="s">
        <v>60</v>
      </c>
      <c r="AK15">
        <v>0.952380952380952</v>
      </c>
      <c r="AL15" t="s">
        <v>64</v>
      </c>
      <c r="AM15">
        <v>1.23780487804878</v>
      </c>
      <c r="AN15" t="s">
        <v>58</v>
      </c>
      <c r="AO15">
        <v>1.0070070070070001</v>
      </c>
      <c r="AP15" t="s">
        <v>58</v>
      </c>
      <c r="AQ15">
        <v>1</v>
      </c>
      <c r="AR15" t="s">
        <v>51</v>
      </c>
      <c r="AS15">
        <v>1.0062500000000001</v>
      </c>
      <c r="AT15" t="s">
        <v>55</v>
      </c>
      <c r="AU15">
        <v>0.84770114942528696</v>
      </c>
      <c r="AV15" t="s">
        <v>62</v>
      </c>
      <c r="AW15">
        <v>1.05284552845528</v>
      </c>
      <c r="AX15" t="s">
        <v>62</v>
      </c>
      <c r="AY15">
        <v>1.11389961389961</v>
      </c>
      <c r="AZ15" t="s">
        <v>64</v>
      </c>
      <c r="BA15">
        <v>0.98131868131868105</v>
      </c>
      <c r="BB15" t="s">
        <v>62</v>
      </c>
      <c r="BC15">
        <v>0.96857142857142797</v>
      </c>
      <c r="BD15" t="s">
        <v>55</v>
      </c>
      <c r="BE15">
        <v>0.914221218961625</v>
      </c>
      <c r="BF15" t="s">
        <v>67</v>
      </c>
      <c r="BG15">
        <v>0.95563139931740604</v>
      </c>
      <c r="BH15" t="s">
        <v>63</v>
      </c>
      <c r="BI15">
        <v>0.763492063492063</v>
      </c>
      <c r="BJ15" t="s">
        <v>62</v>
      </c>
      <c r="BK15">
        <v>0.80030487804878003</v>
      </c>
      <c r="BL15" t="s">
        <v>55</v>
      </c>
      <c r="BM15">
        <v>0.83643617021276595</v>
      </c>
      <c r="BN15" t="s">
        <v>59</v>
      </c>
      <c r="BO15">
        <v>0.9</v>
      </c>
      <c r="BP15" t="s">
        <v>53</v>
      </c>
      <c r="BQ15">
        <v>1.1523809523809501</v>
      </c>
      <c r="BR15" t="s">
        <v>58</v>
      </c>
      <c r="BS15">
        <v>1.07496251874062</v>
      </c>
      <c r="BT15" t="s">
        <v>58</v>
      </c>
      <c r="BU15">
        <v>1.0320781032078099</v>
      </c>
      <c r="BV15" t="s">
        <v>58</v>
      </c>
      <c r="BW15">
        <v>1.2986486486486399</v>
      </c>
    </row>
    <row r="16" spans="1:76" x14ac:dyDescent="0.4">
      <c r="A16">
        <v>14</v>
      </c>
      <c r="B16" t="s">
        <v>64</v>
      </c>
      <c r="C16">
        <v>0.94972067039106101</v>
      </c>
      <c r="D16" t="s">
        <v>70</v>
      </c>
      <c r="E16">
        <v>0.92644483362521801</v>
      </c>
      <c r="F16" t="s">
        <v>60</v>
      </c>
      <c r="G16">
        <v>0.41712062256809301</v>
      </c>
      <c r="H16" t="s">
        <v>56</v>
      </c>
      <c r="I16">
        <v>0.97473371315333102</v>
      </c>
      <c r="J16" t="s">
        <v>55</v>
      </c>
      <c r="K16">
        <v>1.63855122798313</v>
      </c>
      <c r="L16" t="s">
        <v>56</v>
      </c>
      <c r="M16">
        <v>1.10152990264255</v>
      </c>
      <c r="N16" t="s">
        <v>55</v>
      </c>
      <c r="O16">
        <v>1.1432007697241799</v>
      </c>
      <c r="P16" t="s">
        <v>53</v>
      </c>
      <c r="Q16">
        <v>0.97037037037036999</v>
      </c>
      <c r="R16" t="s">
        <v>55</v>
      </c>
      <c r="S16">
        <v>0.77887092996017804</v>
      </c>
      <c r="T16" t="s">
        <v>55</v>
      </c>
      <c r="U16">
        <v>1.0210526315789401</v>
      </c>
      <c r="V16" t="s">
        <v>55</v>
      </c>
      <c r="W16">
        <v>0.93519882179675995</v>
      </c>
      <c r="X16" t="s">
        <v>56</v>
      </c>
      <c r="Y16">
        <v>0.88501594048884102</v>
      </c>
      <c r="Z16" t="s">
        <v>66</v>
      </c>
      <c r="AA16">
        <v>1.12805443860191</v>
      </c>
      <c r="AB16" t="s">
        <v>66</v>
      </c>
      <c r="AC16">
        <v>0.65149437894159501</v>
      </c>
      <c r="AD16" t="s">
        <v>68</v>
      </c>
      <c r="AE16">
        <v>0.89438202247191001</v>
      </c>
      <c r="AF16" t="s">
        <v>68</v>
      </c>
      <c r="AG16">
        <v>1.0427135678391899</v>
      </c>
      <c r="AH16" t="s">
        <v>65</v>
      </c>
      <c r="AI16">
        <v>0.79632429917412995</v>
      </c>
      <c r="AJ16" t="s">
        <v>62</v>
      </c>
      <c r="AK16">
        <v>0.88948497854077202</v>
      </c>
      <c r="AL16" t="s">
        <v>65</v>
      </c>
      <c r="AM16">
        <v>0.966617789286494</v>
      </c>
      <c r="AN16" t="s">
        <v>55</v>
      </c>
      <c r="AO16">
        <v>0.99179366940211</v>
      </c>
      <c r="AP16" t="s">
        <v>55</v>
      </c>
      <c r="AQ16">
        <v>1.0862884160756501</v>
      </c>
      <c r="AR16" t="s">
        <v>58</v>
      </c>
      <c r="AS16">
        <v>0.91451292246520799</v>
      </c>
      <c r="AT16" t="s">
        <v>56</v>
      </c>
      <c r="AU16">
        <v>0.97011308562197096</v>
      </c>
      <c r="AV16" t="s">
        <v>64</v>
      </c>
      <c r="AW16">
        <v>1.2175438596491199</v>
      </c>
      <c r="AX16" t="s">
        <v>64</v>
      </c>
      <c r="AY16">
        <v>1.3112391930835701</v>
      </c>
      <c r="AZ16" t="s">
        <v>65</v>
      </c>
      <c r="BA16">
        <v>1.1162658371898899</v>
      </c>
      <c r="BB16" t="s">
        <v>64</v>
      </c>
      <c r="BC16">
        <v>0.90705487122060402</v>
      </c>
      <c r="BD16" t="s">
        <v>56</v>
      </c>
      <c r="BE16">
        <v>2.0627417275461899</v>
      </c>
      <c r="BF16" t="s">
        <v>55</v>
      </c>
      <c r="BG16">
        <v>1.01234567901234</v>
      </c>
      <c r="BH16" t="s">
        <v>62</v>
      </c>
      <c r="BI16">
        <v>0.92655367231638397</v>
      </c>
      <c r="BJ16" t="s">
        <v>64</v>
      </c>
      <c r="BK16">
        <v>0.74646464646464605</v>
      </c>
      <c r="BL16" t="s">
        <v>59</v>
      </c>
      <c r="BM16">
        <v>1.1893583724569601</v>
      </c>
      <c r="BN16" t="s">
        <v>62</v>
      </c>
      <c r="BO16">
        <v>0.95740740740740704</v>
      </c>
      <c r="BP16" t="s">
        <v>59</v>
      </c>
      <c r="BQ16">
        <v>1.12719298245614</v>
      </c>
      <c r="BR16" t="s">
        <v>67</v>
      </c>
      <c r="BS16">
        <v>0.90888382687927105</v>
      </c>
      <c r="BT16" t="s">
        <v>53</v>
      </c>
      <c r="BU16">
        <v>0.946462715105162</v>
      </c>
      <c r="BV16" t="s">
        <v>48</v>
      </c>
      <c r="BW16">
        <v>1.234375</v>
      </c>
    </row>
    <row r="17" spans="1:75" x14ac:dyDescent="0.4">
      <c r="A17">
        <v>15</v>
      </c>
      <c r="B17" t="s">
        <v>66</v>
      </c>
      <c r="C17">
        <v>1.0724422791781401</v>
      </c>
      <c r="D17" t="s">
        <v>69</v>
      </c>
      <c r="E17">
        <v>0.99056603773584895</v>
      </c>
      <c r="F17" t="s">
        <v>64</v>
      </c>
      <c r="G17">
        <v>0.62893081761006198</v>
      </c>
      <c r="H17" t="s">
        <v>65</v>
      </c>
      <c r="I17">
        <v>1.3054567681707001</v>
      </c>
      <c r="J17" t="s">
        <v>56</v>
      </c>
      <c r="K17">
        <v>1.27903430749682</v>
      </c>
      <c r="L17" t="s">
        <v>60</v>
      </c>
      <c r="M17">
        <v>1.5504587155963301</v>
      </c>
      <c r="N17" t="s">
        <v>60</v>
      </c>
      <c r="O17">
        <v>0.58757396449704102</v>
      </c>
      <c r="P17" t="s">
        <v>60</v>
      </c>
      <c r="Q17">
        <v>0.93856998992950602</v>
      </c>
      <c r="R17" t="s">
        <v>60</v>
      </c>
      <c r="S17">
        <v>0.87553648068669498</v>
      </c>
      <c r="T17" t="s">
        <v>60</v>
      </c>
      <c r="U17">
        <v>0.94852941176470495</v>
      </c>
      <c r="V17" t="s">
        <v>60</v>
      </c>
      <c r="W17">
        <v>1.26356589147286</v>
      </c>
      <c r="X17" t="s">
        <v>60</v>
      </c>
      <c r="Y17">
        <v>1.0173824130879301</v>
      </c>
      <c r="Z17" t="s">
        <v>68</v>
      </c>
      <c r="AA17">
        <v>1.0661040787623</v>
      </c>
      <c r="AB17" t="s">
        <v>68</v>
      </c>
      <c r="AC17">
        <v>1.17414248021108</v>
      </c>
      <c r="AD17" t="s">
        <v>72</v>
      </c>
      <c r="AE17">
        <v>0.97887323943661897</v>
      </c>
      <c r="AF17" t="s">
        <v>72</v>
      </c>
      <c r="AG17">
        <v>1.19424460431654</v>
      </c>
      <c r="AH17" t="s">
        <v>66</v>
      </c>
      <c r="AI17">
        <v>0.71212121212121204</v>
      </c>
      <c r="AJ17" t="s">
        <v>65</v>
      </c>
      <c r="AK17">
        <v>1.17050102249488</v>
      </c>
      <c r="AL17" t="s">
        <v>68</v>
      </c>
      <c r="AM17">
        <v>1.3174019607843099</v>
      </c>
      <c r="AN17" t="s">
        <v>63</v>
      </c>
      <c r="AO17">
        <v>1.11447811447811</v>
      </c>
      <c r="AP17" t="s">
        <v>56</v>
      </c>
      <c r="AQ17">
        <v>0.82291666666666596</v>
      </c>
      <c r="AR17" t="s">
        <v>55</v>
      </c>
      <c r="AS17">
        <v>1.1360174102284999</v>
      </c>
      <c r="AT17" t="s">
        <v>63</v>
      </c>
      <c r="AU17">
        <v>1.1029668411867299</v>
      </c>
      <c r="AV17" t="s">
        <v>65</v>
      </c>
      <c r="AW17">
        <v>0.90793601410386005</v>
      </c>
      <c r="AX17" t="s">
        <v>65</v>
      </c>
      <c r="AY17">
        <v>0.75276984580239803</v>
      </c>
      <c r="AZ17" t="s">
        <v>71</v>
      </c>
      <c r="BA17">
        <v>1.02385321100917</v>
      </c>
      <c r="BB17" t="s">
        <v>65</v>
      </c>
      <c r="BC17">
        <v>0.98181941754171298</v>
      </c>
      <c r="BD17" t="s">
        <v>62</v>
      </c>
      <c r="BE17">
        <v>1.01327433628318</v>
      </c>
      <c r="BF17" t="s">
        <v>56</v>
      </c>
      <c r="BG17">
        <v>1.2447916666666601</v>
      </c>
      <c r="BH17" t="s">
        <v>64</v>
      </c>
      <c r="BI17">
        <v>0.92178770949720601</v>
      </c>
      <c r="BJ17" t="s">
        <v>65</v>
      </c>
      <c r="BK17">
        <v>0.86357095822256902</v>
      </c>
      <c r="BL17" t="s">
        <v>62</v>
      </c>
      <c r="BM17">
        <v>1.02857142857142</v>
      </c>
      <c r="BN17" t="s">
        <v>64</v>
      </c>
      <c r="BO17">
        <v>1.0272479564032599</v>
      </c>
      <c r="BP17" t="s">
        <v>62</v>
      </c>
      <c r="BQ17">
        <v>0.99613152804642102</v>
      </c>
      <c r="BR17" t="s">
        <v>53</v>
      </c>
      <c r="BS17">
        <v>0.96051423324150598</v>
      </c>
      <c r="BT17" t="s">
        <v>55</v>
      </c>
      <c r="BU17">
        <v>0.96789727126805702</v>
      </c>
      <c r="BV17" t="s">
        <v>53</v>
      </c>
      <c r="BW17">
        <v>1.0606060606060601</v>
      </c>
    </row>
    <row r="18" spans="1:75" x14ac:dyDescent="0.4">
      <c r="A18">
        <v>16</v>
      </c>
      <c r="B18" t="s">
        <v>70</v>
      </c>
      <c r="C18">
        <v>1.11960784313725</v>
      </c>
      <c r="D18" t="s">
        <v>72</v>
      </c>
      <c r="E18">
        <v>1.0231958762886499</v>
      </c>
      <c r="F18" t="s">
        <v>66</v>
      </c>
      <c r="G18">
        <v>0.50453771979580198</v>
      </c>
      <c r="H18" t="s">
        <v>69</v>
      </c>
      <c r="I18">
        <v>1.09319526627218</v>
      </c>
      <c r="J18" t="s">
        <v>63</v>
      </c>
      <c r="K18">
        <v>1.4075757575757499</v>
      </c>
      <c r="L18" t="s">
        <v>65</v>
      </c>
      <c r="M18">
        <v>1.2514465297970401</v>
      </c>
      <c r="N18" t="s">
        <v>65</v>
      </c>
      <c r="O18">
        <v>0.97031073976717896</v>
      </c>
      <c r="P18" t="s">
        <v>63</v>
      </c>
      <c r="Q18">
        <v>1.29605263157894</v>
      </c>
      <c r="R18" t="s">
        <v>70</v>
      </c>
      <c r="S18">
        <v>0.88546255506607896</v>
      </c>
      <c r="T18" t="s">
        <v>65</v>
      </c>
      <c r="U18">
        <v>1.2931785629028401</v>
      </c>
      <c r="V18" t="s">
        <v>69</v>
      </c>
      <c r="W18">
        <v>1.24439461883408</v>
      </c>
      <c r="X18" t="s">
        <v>64</v>
      </c>
      <c r="Y18">
        <v>0.88509316770186297</v>
      </c>
      <c r="Z18" t="s">
        <v>75</v>
      </c>
      <c r="AA18">
        <v>1.00758681062153</v>
      </c>
      <c r="AB18" t="s">
        <v>75</v>
      </c>
      <c r="AC18">
        <v>1.3655758277826</v>
      </c>
      <c r="AD18" t="s">
        <v>74</v>
      </c>
      <c r="AE18">
        <v>0.83854316030972098</v>
      </c>
      <c r="AF18" t="s">
        <v>74</v>
      </c>
      <c r="AG18">
        <v>1.1816005471956199</v>
      </c>
      <c r="AH18" t="s">
        <v>70</v>
      </c>
      <c r="AI18">
        <v>0.73737373737373701</v>
      </c>
      <c r="AJ18" t="s">
        <v>68</v>
      </c>
      <c r="AK18">
        <v>1.0074074074074</v>
      </c>
      <c r="AL18" t="s">
        <v>71</v>
      </c>
      <c r="AM18">
        <v>1.11179361179361</v>
      </c>
      <c r="AN18" t="s">
        <v>64</v>
      </c>
      <c r="AO18">
        <v>1.10837438423645</v>
      </c>
      <c r="AP18" t="s">
        <v>60</v>
      </c>
      <c r="AQ18">
        <v>1.0060514372163301</v>
      </c>
      <c r="AR18" t="s">
        <v>56</v>
      </c>
      <c r="AS18">
        <v>0.979430379746835</v>
      </c>
      <c r="AT18" t="s">
        <v>62</v>
      </c>
      <c r="AU18">
        <v>0.95719844357976602</v>
      </c>
      <c r="AV18" t="s">
        <v>71</v>
      </c>
      <c r="AW18">
        <v>0.96923076923076901</v>
      </c>
      <c r="AX18" t="s">
        <v>71</v>
      </c>
      <c r="AY18">
        <v>0.96119929453262698</v>
      </c>
      <c r="AZ18" t="s">
        <v>72</v>
      </c>
      <c r="BA18">
        <v>1.3838709677419301</v>
      </c>
      <c r="BB18" t="s">
        <v>70</v>
      </c>
      <c r="BC18">
        <v>0.93062605752961003</v>
      </c>
      <c r="BD18" t="s">
        <v>64</v>
      </c>
      <c r="BE18">
        <v>1.3753086419753</v>
      </c>
      <c r="BF18" t="s">
        <v>63</v>
      </c>
      <c r="BG18">
        <v>1.0396039603960301</v>
      </c>
      <c r="BH18" t="s">
        <v>76</v>
      </c>
      <c r="BI18">
        <v>0.80923694779116395</v>
      </c>
      <c r="BJ18" t="s">
        <v>71</v>
      </c>
      <c r="BK18">
        <v>1.38403041825095</v>
      </c>
      <c r="BL18" t="s">
        <v>64</v>
      </c>
      <c r="BM18">
        <v>0.99323410013531799</v>
      </c>
      <c r="BN18" t="s">
        <v>72</v>
      </c>
      <c r="BO18">
        <v>1.0916905444125999</v>
      </c>
      <c r="BP18" t="s">
        <v>64</v>
      </c>
      <c r="BQ18">
        <v>1.0079575596816901</v>
      </c>
      <c r="BR18" t="s">
        <v>56</v>
      </c>
      <c r="BS18">
        <v>0.85917496443812202</v>
      </c>
      <c r="BT18" t="s">
        <v>59</v>
      </c>
      <c r="BU18">
        <v>1.2147395171537401</v>
      </c>
      <c r="BV18" t="s">
        <v>62</v>
      </c>
      <c r="BW18">
        <v>1.0290135396518301</v>
      </c>
    </row>
    <row r="19" spans="1:75" x14ac:dyDescent="0.4">
      <c r="A19">
        <v>17</v>
      </c>
      <c r="B19" t="s">
        <v>69</v>
      </c>
      <c r="C19">
        <v>0.95280898876404496</v>
      </c>
      <c r="D19" t="s">
        <v>73</v>
      </c>
      <c r="E19">
        <v>0.83671251004300695</v>
      </c>
      <c r="F19" t="s">
        <v>70</v>
      </c>
      <c r="G19">
        <v>0.41871455576559502</v>
      </c>
      <c r="H19" t="s">
        <v>68</v>
      </c>
      <c r="I19">
        <v>1.0943708609271501</v>
      </c>
      <c r="J19" t="s">
        <v>65</v>
      </c>
      <c r="K19">
        <v>1.44924019920827</v>
      </c>
      <c r="L19" t="s">
        <v>70</v>
      </c>
      <c r="M19">
        <v>0.75464684014869798</v>
      </c>
      <c r="N19" t="s">
        <v>68</v>
      </c>
      <c r="O19">
        <v>1.0439121756487</v>
      </c>
      <c r="P19" t="s">
        <v>64</v>
      </c>
      <c r="Q19">
        <v>0.92556634304207097</v>
      </c>
      <c r="R19" t="s">
        <v>69</v>
      </c>
      <c r="S19">
        <v>1.696</v>
      </c>
      <c r="T19" t="s">
        <v>68</v>
      </c>
      <c r="U19">
        <v>1.45874587458745</v>
      </c>
      <c r="V19" t="s">
        <v>68</v>
      </c>
      <c r="W19">
        <v>0.89819004524886803</v>
      </c>
      <c r="X19" t="s">
        <v>66</v>
      </c>
      <c r="Y19">
        <v>1.0579188481675299</v>
      </c>
      <c r="Z19" t="s">
        <v>72</v>
      </c>
      <c r="AA19">
        <v>1.0032154340835999</v>
      </c>
      <c r="AB19" t="s">
        <v>72</v>
      </c>
      <c r="AC19">
        <v>0.91025641025641002</v>
      </c>
      <c r="AD19" t="s">
        <v>78</v>
      </c>
      <c r="AE19">
        <v>0.93512304250559197</v>
      </c>
      <c r="AF19" t="s">
        <v>78</v>
      </c>
      <c r="AG19">
        <v>1.3301435406698501</v>
      </c>
      <c r="AH19" t="s">
        <v>68</v>
      </c>
      <c r="AI19">
        <v>0.97590361445783103</v>
      </c>
      <c r="AJ19" t="s">
        <v>71</v>
      </c>
      <c r="AK19">
        <v>1.0598958333333299</v>
      </c>
      <c r="AL19" t="s">
        <v>72</v>
      </c>
      <c r="AM19">
        <v>1.1271186440677901</v>
      </c>
      <c r="AN19" t="s">
        <v>65</v>
      </c>
      <c r="AO19">
        <v>1.0957621921698899</v>
      </c>
      <c r="AP19" t="s">
        <v>63</v>
      </c>
      <c r="AQ19">
        <v>0.92749244712990897</v>
      </c>
      <c r="AR19" t="s">
        <v>60</v>
      </c>
      <c r="AS19">
        <v>0.81503759398496201</v>
      </c>
      <c r="AT19" t="s">
        <v>64</v>
      </c>
      <c r="AU19">
        <v>1.0401459854014501</v>
      </c>
      <c r="AV19" t="s">
        <v>72</v>
      </c>
      <c r="AW19">
        <v>0.96969696969696895</v>
      </c>
      <c r="AX19" t="s">
        <v>72</v>
      </c>
      <c r="AY19">
        <v>1.07638888888888</v>
      </c>
      <c r="AZ19" t="s">
        <v>74</v>
      </c>
      <c r="BA19">
        <v>0.97840755735492502</v>
      </c>
      <c r="BB19" t="s">
        <v>71</v>
      </c>
      <c r="BC19">
        <v>1.02150537634408</v>
      </c>
      <c r="BD19" t="s">
        <v>65</v>
      </c>
      <c r="BE19">
        <v>1.0302852000553699</v>
      </c>
      <c r="BF19" t="s">
        <v>62</v>
      </c>
      <c r="BG19">
        <v>1.0305676855895101</v>
      </c>
      <c r="BH19" t="s">
        <v>72</v>
      </c>
      <c r="BI19">
        <v>0.97465437788018405</v>
      </c>
      <c r="BJ19" t="s">
        <v>72</v>
      </c>
      <c r="BK19">
        <v>0.89598108747044902</v>
      </c>
      <c r="BL19" t="s">
        <v>65</v>
      </c>
      <c r="BM19">
        <v>0.93131689683413799</v>
      </c>
      <c r="BN19" t="s">
        <v>74</v>
      </c>
      <c r="BO19">
        <v>0.86896551724137905</v>
      </c>
      <c r="BP19" t="s">
        <v>72</v>
      </c>
      <c r="BQ19">
        <v>0.91338582677165303</v>
      </c>
      <c r="BR19" t="s">
        <v>59</v>
      </c>
      <c r="BS19">
        <v>1.0207522697795</v>
      </c>
      <c r="BT19" t="s">
        <v>62</v>
      </c>
      <c r="BU19">
        <v>1.0561797752808899</v>
      </c>
      <c r="BV19" t="s">
        <v>64</v>
      </c>
      <c r="BW19">
        <v>1.0631868131868101</v>
      </c>
    </row>
    <row r="20" spans="1:75" x14ac:dyDescent="0.4">
      <c r="A20">
        <v>18</v>
      </c>
      <c r="B20" t="s">
        <v>72</v>
      </c>
      <c r="C20">
        <v>1.0402144772117901</v>
      </c>
      <c r="D20" t="s">
        <v>80</v>
      </c>
      <c r="E20">
        <v>0.94163424124513595</v>
      </c>
      <c r="F20" t="s">
        <v>69</v>
      </c>
      <c r="G20">
        <v>0.40238095238095201</v>
      </c>
      <c r="H20" t="s">
        <v>71</v>
      </c>
      <c r="I20">
        <v>1.1592592592592501</v>
      </c>
      <c r="J20" t="s">
        <v>69</v>
      </c>
      <c r="K20">
        <v>2.5683355886332802</v>
      </c>
      <c r="L20" t="s">
        <v>68</v>
      </c>
      <c r="M20">
        <v>1.0481171548117101</v>
      </c>
      <c r="N20" t="s">
        <v>75</v>
      </c>
      <c r="O20">
        <v>0.91005291005291</v>
      </c>
      <c r="P20" t="s">
        <v>65</v>
      </c>
      <c r="Q20">
        <v>1.0082480710156401</v>
      </c>
      <c r="R20" t="s">
        <v>68</v>
      </c>
      <c r="S20">
        <v>0.88081395348837199</v>
      </c>
      <c r="T20" t="s">
        <v>75</v>
      </c>
      <c r="U20">
        <v>0.98180789133247004</v>
      </c>
      <c r="V20" t="s">
        <v>75</v>
      </c>
      <c r="W20">
        <v>0.94424771473276703</v>
      </c>
      <c r="X20" t="s">
        <v>69</v>
      </c>
      <c r="Y20">
        <v>1.42342342342342</v>
      </c>
      <c r="Z20" t="s">
        <v>78</v>
      </c>
      <c r="AA20">
        <v>0.76815642458100497</v>
      </c>
      <c r="AB20" t="s">
        <v>78</v>
      </c>
      <c r="AC20">
        <v>0.81272727272727197</v>
      </c>
      <c r="AD20" t="s">
        <v>73</v>
      </c>
      <c r="AE20">
        <v>0.71802969254782301</v>
      </c>
      <c r="AF20" t="s">
        <v>73</v>
      </c>
      <c r="AG20">
        <v>1.15070016682675</v>
      </c>
      <c r="AH20" t="s">
        <v>72</v>
      </c>
      <c r="AI20">
        <v>0.63554216867469804</v>
      </c>
      <c r="AJ20" t="s">
        <v>72</v>
      </c>
      <c r="AK20">
        <v>1.11848341232227</v>
      </c>
      <c r="AL20" t="s">
        <v>78</v>
      </c>
      <c r="AM20">
        <v>1.2313829787234001</v>
      </c>
      <c r="AN20" t="s">
        <v>68</v>
      </c>
      <c r="AO20">
        <v>1.3906976744185999</v>
      </c>
      <c r="AP20" t="s">
        <v>64</v>
      </c>
      <c r="AQ20">
        <v>1.16888888888888</v>
      </c>
      <c r="AR20" t="s">
        <v>63</v>
      </c>
      <c r="AS20">
        <v>0.93322475570032504</v>
      </c>
      <c r="AT20" t="s">
        <v>65</v>
      </c>
      <c r="AU20">
        <v>1.2162520102166301</v>
      </c>
      <c r="AV20" t="s">
        <v>74</v>
      </c>
      <c r="AW20">
        <v>1.0045045045045</v>
      </c>
      <c r="AX20" t="s">
        <v>74</v>
      </c>
      <c r="AY20">
        <v>1.1076233183856501</v>
      </c>
      <c r="AZ20" t="s">
        <v>73</v>
      </c>
      <c r="BA20">
        <v>0.87799043062200899</v>
      </c>
      <c r="BB20" t="s">
        <v>72</v>
      </c>
      <c r="BC20">
        <v>0.80652680652680597</v>
      </c>
      <c r="BD20" t="s">
        <v>70</v>
      </c>
      <c r="BE20">
        <v>1.5909090909090899</v>
      </c>
      <c r="BF20" t="s">
        <v>64</v>
      </c>
      <c r="BG20">
        <v>0.96409335727109502</v>
      </c>
      <c r="BH20" t="s">
        <v>74</v>
      </c>
      <c r="BI20">
        <v>0.87426035502958499</v>
      </c>
      <c r="BJ20" t="s">
        <v>74</v>
      </c>
      <c r="BK20">
        <v>0.94247038917089598</v>
      </c>
      <c r="BL20" t="s">
        <v>72</v>
      </c>
      <c r="BM20">
        <v>0.920844327176781</v>
      </c>
      <c r="BN20" t="s">
        <v>73</v>
      </c>
      <c r="BO20">
        <v>1.4234693877550999</v>
      </c>
      <c r="BP20" t="s">
        <v>74</v>
      </c>
      <c r="BQ20">
        <v>1.00595238095238</v>
      </c>
      <c r="BR20" t="s">
        <v>62</v>
      </c>
      <c r="BS20">
        <v>0.95048543689320297</v>
      </c>
      <c r="BT20" t="s">
        <v>64</v>
      </c>
      <c r="BU20">
        <v>1.0027548209366299</v>
      </c>
      <c r="BV20" t="s">
        <v>65</v>
      </c>
      <c r="BW20">
        <v>1.31456043956043</v>
      </c>
    </row>
    <row r="21" spans="1:75" x14ac:dyDescent="0.4">
      <c r="A21">
        <v>19</v>
      </c>
      <c r="B21" t="s">
        <v>78</v>
      </c>
      <c r="C21">
        <v>1.31305903398926</v>
      </c>
      <c r="D21" t="s">
        <v>82</v>
      </c>
      <c r="E21">
        <v>0.616865869853917</v>
      </c>
      <c r="F21" t="s">
        <v>72</v>
      </c>
      <c r="G21">
        <v>0.579345088161209</v>
      </c>
      <c r="H21" t="s">
        <v>72</v>
      </c>
      <c r="I21">
        <v>0.860869565217391</v>
      </c>
      <c r="J21" t="s">
        <v>68</v>
      </c>
      <c r="K21">
        <v>1.4462934947049899</v>
      </c>
      <c r="L21" t="s">
        <v>75</v>
      </c>
      <c r="M21">
        <v>1.33098591549295</v>
      </c>
      <c r="N21" t="s">
        <v>72</v>
      </c>
      <c r="O21">
        <v>1.04</v>
      </c>
      <c r="P21" t="s">
        <v>68</v>
      </c>
      <c r="Q21">
        <v>1.31548757170172</v>
      </c>
      <c r="R21" t="s">
        <v>75</v>
      </c>
      <c r="S21">
        <v>0.90881034609449596</v>
      </c>
      <c r="T21" t="s">
        <v>72</v>
      </c>
      <c r="U21">
        <v>1</v>
      </c>
      <c r="V21" t="s">
        <v>72</v>
      </c>
      <c r="W21">
        <v>1.0385964912280701</v>
      </c>
      <c r="X21" t="s">
        <v>68</v>
      </c>
      <c r="Y21">
        <v>0.89546599496221602</v>
      </c>
      <c r="Z21" t="s">
        <v>73</v>
      </c>
      <c r="AA21">
        <v>1.1092538609439899</v>
      </c>
      <c r="AB21" t="s">
        <v>73</v>
      </c>
      <c r="AC21">
        <v>0.770192065755262</v>
      </c>
      <c r="AD21" t="s">
        <v>80</v>
      </c>
      <c r="AE21">
        <v>1.01152737752161</v>
      </c>
      <c r="AF21" t="s">
        <v>80</v>
      </c>
      <c r="AG21">
        <v>0.98290598290598197</v>
      </c>
      <c r="AH21" t="s">
        <v>74</v>
      </c>
      <c r="AI21">
        <v>0.73429811866859596</v>
      </c>
      <c r="AJ21" t="s">
        <v>74</v>
      </c>
      <c r="AK21">
        <v>0.88687426093811506</v>
      </c>
      <c r="AL21" t="s">
        <v>73</v>
      </c>
      <c r="AM21">
        <v>0.79685083649655497</v>
      </c>
      <c r="AN21" t="s">
        <v>72</v>
      </c>
      <c r="AO21">
        <v>1.0150375939849601</v>
      </c>
      <c r="AP21" t="s">
        <v>65</v>
      </c>
      <c r="AQ21">
        <v>0.90830633284241502</v>
      </c>
      <c r="AR21" t="s">
        <v>62</v>
      </c>
      <c r="AS21">
        <v>1.0118110236220399</v>
      </c>
      <c r="AT21" t="s">
        <v>71</v>
      </c>
      <c r="AU21">
        <v>0.925632911392405</v>
      </c>
      <c r="AV21" t="s">
        <v>73</v>
      </c>
      <c r="AW21">
        <v>0.88928834055069805</v>
      </c>
      <c r="AX21" t="s">
        <v>73</v>
      </c>
      <c r="AY21">
        <v>0.76809996324880503</v>
      </c>
      <c r="AZ21" t="s">
        <v>83</v>
      </c>
      <c r="BA21">
        <v>1.0298350824587701</v>
      </c>
      <c r="BB21" t="s">
        <v>74</v>
      </c>
      <c r="BC21">
        <v>0.92873563218390798</v>
      </c>
      <c r="BD21" t="s">
        <v>71</v>
      </c>
      <c r="BE21">
        <v>1.3017543859649101</v>
      </c>
      <c r="BF21" t="s">
        <v>65</v>
      </c>
      <c r="BG21">
        <v>1.4117647058823499</v>
      </c>
      <c r="BH21" t="s">
        <v>83</v>
      </c>
      <c r="BI21">
        <v>0.75726842461122301</v>
      </c>
      <c r="BJ21" t="s">
        <v>73</v>
      </c>
      <c r="BK21">
        <v>1.1008403361344501</v>
      </c>
      <c r="BL21" t="s">
        <v>74</v>
      </c>
      <c r="BM21">
        <v>1.04129263913824</v>
      </c>
      <c r="BN21" t="s">
        <v>80</v>
      </c>
      <c r="BO21">
        <v>1.190625</v>
      </c>
      <c r="BP21" t="s">
        <v>73</v>
      </c>
      <c r="BQ21">
        <v>1.01314217443249</v>
      </c>
      <c r="BR21" t="s">
        <v>64</v>
      </c>
      <c r="BS21">
        <v>0.95526315789473604</v>
      </c>
      <c r="BT21" t="s">
        <v>65</v>
      </c>
      <c r="BU21">
        <v>1.03116147308781</v>
      </c>
      <c r="BV21" t="s">
        <v>72</v>
      </c>
      <c r="BW21">
        <v>1.01086956521739</v>
      </c>
    </row>
    <row r="22" spans="1:75" x14ac:dyDescent="0.4">
      <c r="A22">
        <v>20</v>
      </c>
      <c r="B22" t="s">
        <v>73</v>
      </c>
      <c r="C22">
        <v>1.0895468589083399</v>
      </c>
      <c r="D22" t="s">
        <v>85</v>
      </c>
      <c r="E22">
        <v>1.1863207547169801</v>
      </c>
      <c r="F22" t="s">
        <v>74</v>
      </c>
      <c r="G22">
        <v>1.10650339576044</v>
      </c>
      <c r="H22" t="s">
        <v>78</v>
      </c>
      <c r="I22">
        <v>1.5476839237057201</v>
      </c>
      <c r="J22" t="s">
        <v>75</v>
      </c>
      <c r="K22">
        <v>1.15911886391591</v>
      </c>
      <c r="L22" t="s">
        <v>72</v>
      </c>
      <c r="M22">
        <v>1.07758620689655</v>
      </c>
      <c r="N22" t="s">
        <v>73</v>
      </c>
      <c r="O22">
        <v>0.84587677725118404</v>
      </c>
      <c r="P22" t="s">
        <v>75</v>
      </c>
      <c r="Q22">
        <v>1.0838642879897999</v>
      </c>
      <c r="R22" t="s">
        <v>72</v>
      </c>
      <c r="S22">
        <v>1.1089494163424101</v>
      </c>
      <c r="T22" t="s">
        <v>73</v>
      </c>
      <c r="U22">
        <v>1.15659179426986</v>
      </c>
      <c r="V22" t="s">
        <v>74</v>
      </c>
      <c r="W22">
        <v>1.0317290006131199</v>
      </c>
      <c r="X22" t="s">
        <v>75</v>
      </c>
      <c r="Y22">
        <v>0.89665096807953903</v>
      </c>
      <c r="Z22" t="s">
        <v>80</v>
      </c>
      <c r="AA22">
        <v>1.00882352941176</v>
      </c>
      <c r="AB22" t="s">
        <v>80</v>
      </c>
      <c r="AC22">
        <v>1.01166180758017</v>
      </c>
      <c r="AD22" t="s">
        <v>86</v>
      </c>
      <c r="AE22">
        <v>0.89387880652106999</v>
      </c>
      <c r="AF22" t="s">
        <v>86</v>
      </c>
      <c r="AG22">
        <v>1.3103922918100399</v>
      </c>
      <c r="AH22" t="s">
        <v>78</v>
      </c>
      <c r="AI22">
        <v>0.62769784172661802</v>
      </c>
      <c r="AJ22" t="s">
        <v>78</v>
      </c>
      <c r="AK22">
        <v>1.0773638968481301</v>
      </c>
      <c r="AL22" t="s">
        <v>80</v>
      </c>
      <c r="AM22">
        <v>0.95810055865921695</v>
      </c>
      <c r="AN22" t="s">
        <v>74</v>
      </c>
      <c r="AO22">
        <v>1.0377107364685001</v>
      </c>
      <c r="AP22" t="s">
        <v>71</v>
      </c>
      <c r="AQ22">
        <v>0.85294117647058798</v>
      </c>
      <c r="AR22" t="s">
        <v>64</v>
      </c>
      <c r="AS22">
        <v>1.04182509505703</v>
      </c>
      <c r="AT22" t="s">
        <v>72</v>
      </c>
      <c r="AU22">
        <v>0.99664429530201304</v>
      </c>
      <c r="AV22" t="s">
        <v>83</v>
      </c>
      <c r="AW22">
        <v>0.96272335181762103</v>
      </c>
      <c r="AX22" t="s">
        <v>83</v>
      </c>
      <c r="AY22">
        <v>1.0671999999999999</v>
      </c>
      <c r="AZ22" t="s">
        <v>80</v>
      </c>
      <c r="BA22">
        <v>1.09055118110236</v>
      </c>
      <c r="BB22" t="s">
        <v>73</v>
      </c>
      <c r="BC22">
        <v>0.85286103542234304</v>
      </c>
      <c r="BD22" t="s">
        <v>72</v>
      </c>
      <c r="BE22">
        <v>1.03468208092485</v>
      </c>
      <c r="BF22" t="s">
        <v>72</v>
      </c>
      <c r="BG22">
        <v>1.21229050279329</v>
      </c>
      <c r="BH22" t="s">
        <v>80</v>
      </c>
      <c r="BI22">
        <v>0.97694524495677204</v>
      </c>
      <c r="BJ22" t="s">
        <v>83</v>
      </c>
      <c r="BK22">
        <v>0.95401785714285703</v>
      </c>
      <c r="BL22" t="s">
        <v>78</v>
      </c>
      <c r="BM22">
        <v>0.84175084175084103</v>
      </c>
      <c r="BN22" t="s">
        <v>87</v>
      </c>
      <c r="BO22">
        <v>0.97288135593220304</v>
      </c>
      <c r="BP22" t="s">
        <v>80</v>
      </c>
      <c r="BQ22">
        <v>1.0498687664041899</v>
      </c>
      <c r="BR22" t="s">
        <v>65</v>
      </c>
      <c r="BS22">
        <v>0.96316507503410598</v>
      </c>
      <c r="BT22" t="s">
        <v>72</v>
      </c>
      <c r="BU22">
        <v>1.0424929178470199</v>
      </c>
      <c r="BV22" t="s">
        <v>74</v>
      </c>
      <c r="BW22">
        <v>1.3358070500927599</v>
      </c>
    </row>
    <row r="23" spans="1:75" x14ac:dyDescent="0.4">
      <c r="A23">
        <v>21</v>
      </c>
      <c r="B23" t="s">
        <v>80</v>
      </c>
      <c r="C23">
        <v>0.85809682804674403</v>
      </c>
      <c r="D23" t="s">
        <v>89</v>
      </c>
      <c r="E23">
        <v>1.0679611650485401</v>
      </c>
      <c r="F23" t="s">
        <v>78</v>
      </c>
      <c r="G23">
        <v>0.772631578947368</v>
      </c>
      <c r="H23" t="s">
        <v>73</v>
      </c>
      <c r="I23">
        <v>0.92843419788664705</v>
      </c>
      <c r="J23" t="s">
        <v>71</v>
      </c>
      <c r="K23">
        <v>1.7571884984025501</v>
      </c>
      <c r="L23" t="s">
        <v>78</v>
      </c>
      <c r="M23">
        <v>1.67599410898379</v>
      </c>
      <c r="N23" t="s">
        <v>80</v>
      </c>
      <c r="O23">
        <v>0.903345724907063</v>
      </c>
      <c r="P23" t="s">
        <v>72</v>
      </c>
      <c r="Q23">
        <v>0.98846153846153795</v>
      </c>
      <c r="R23" t="s">
        <v>74</v>
      </c>
      <c r="S23">
        <v>0.89652529381706603</v>
      </c>
      <c r="T23" t="s">
        <v>77</v>
      </c>
      <c r="U23">
        <v>0.99093655532534297</v>
      </c>
      <c r="V23" t="s">
        <v>78</v>
      </c>
      <c r="W23">
        <v>1.02713178294573</v>
      </c>
      <c r="X23" t="s">
        <v>72</v>
      </c>
      <c r="Y23">
        <v>1.0506756756756701</v>
      </c>
      <c r="Z23" t="s">
        <v>86</v>
      </c>
      <c r="AA23">
        <v>1.16574943347361</v>
      </c>
      <c r="AB23" t="s">
        <v>86</v>
      </c>
      <c r="AC23">
        <v>0.902804776450985</v>
      </c>
      <c r="AD23" t="s">
        <v>89</v>
      </c>
      <c r="AE23">
        <v>0.92647058823529405</v>
      </c>
      <c r="AF23" t="s">
        <v>89</v>
      </c>
      <c r="AG23">
        <v>1.06984126984126</v>
      </c>
      <c r="AH23" t="s">
        <v>73</v>
      </c>
      <c r="AI23">
        <v>0.64880063263333598</v>
      </c>
      <c r="AJ23" t="s">
        <v>73</v>
      </c>
      <c r="AK23">
        <v>0.96329902491874297</v>
      </c>
      <c r="AL23" t="s">
        <v>86</v>
      </c>
      <c r="AM23">
        <v>1.2579885637403201</v>
      </c>
      <c r="AN23" t="s">
        <v>78</v>
      </c>
      <c r="AO23">
        <v>1.4470842332613301</v>
      </c>
      <c r="AP23" t="s">
        <v>72</v>
      </c>
      <c r="AQ23">
        <v>1.06666666666666</v>
      </c>
      <c r="AR23" t="s">
        <v>65</v>
      </c>
      <c r="AS23">
        <v>1.02840743262963</v>
      </c>
      <c r="AT23" t="s">
        <v>74</v>
      </c>
      <c r="AU23">
        <v>1.0422535211267601</v>
      </c>
      <c r="AV23" t="s">
        <v>80</v>
      </c>
      <c r="AW23">
        <v>0.98814229249011798</v>
      </c>
      <c r="AX23" t="s">
        <v>80</v>
      </c>
      <c r="AY23">
        <v>1.016</v>
      </c>
      <c r="AZ23" t="s">
        <v>85</v>
      </c>
      <c r="BA23">
        <v>1.26725663716814</v>
      </c>
      <c r="BB23" t="s">
        <v>83</v>
      </c>
      <c r="BC23">
        <v>0.93477944387829304</v>
      </c>
      <c r="BD23" t="s">
        <v>74</v>
      </c>
      <c r="BE23">
        <v>1.08168316831683</v>
      </c>
      <c r="BF23" t="s">
        <v>74</v>
      </c>
      <c r="BG23">
        <v>1.54691075514874</v>
      </c>
      <c r="BH23" t="s">
        <v>85</v>
      </c>
      <c r="BI23">
        <v>0.75502958579881596</v>
      </c>
      <c r="BJ23" t="s">
        <v>80</v>
      </c>
      <c r="BK23">
        <v>1.0029498525073699</v>
      </c>
      <c r="BL23" t="s">
        <v>73</v>
      </c>
      <c r="BM23">
        <v>0.89770992366412194</v>
      </c>
      <c r="BN23" t="s">
        <v>85</v>
      </c>
      <c r="BO23">
        <v>0.9375</v>
      </c>
      <c r="BP23" t="s">
        <v>87</v>
      </c>
      <c r="BQ23">
        <v>0.98606271777003396</v>
      </c>
      <c r="BR23" t="s">
        <v>72</v>
      </c>
      <c r="BS23">
        <v>1.01436781609195</v>
      </c>
      <c r="BT23" t="s">
        <v>74</v>
      </c>
      <c r="BU23">
        <v>1.16919739696312</v>
      </c>
      <c r="BV23" t="s">
        <v>73</v>
      </c>
      <c r="BW23">
        <v>0.99206349206349198</v>
      </c>
    </row>
    <row r="24" spans="1:75" x14ac:dyDescent="0.4">
      <c r="A24">
        <v>22</v>
      </c>
      <c r="B24" t="s">
        <v>79</v>
      </c>
      <c r="C24">
        <v>1.2372093023255799</v>
      </c>
      <c r="D24" t="s">
        <v>91</v>
      </c>
      <c r="E24">
        <v>0.85697258641239504</v>
      </c>
      <c r="F24" t="s">
        <v>73</v>
      </c>
      <c r="G24">
        <v>0.58800271125169401</v>
      </c>
      <c r="H24" t="s">
        <v>80</v>
      </c>
      <c r="I24">
        <v>1.234375</v>
      </c>
      <c r="J24" t="s">
        <v>72</v>
      </c>
      <c r="K24">
        <v>1.1717171717171699</v>
      </c>
      <c r="L24" t="s">
        <v>73</v>
      </c>
      <c r="M24">
        <v>0.989829617953914</v>
      </c>
      <c r="N24" t="s">
        <v>90</v>
      </c>
      <c r="O24">
        <v>0.74258970358814302</v>
      </c>
      <c r="P24" t="s">
        <v>73</v>
      </c>
      <c r="Q24">
        <v>0.92308381891528402</v>
      </c>
      <c r="R24" t="s">
        <v>73</v>
      </c>
      <c r="S24">
        <v>0.91011945226765001</v>
      </c>
      <c r="T24" t="s">
        <v>80</v>
      </c>
      <c r="U24">
        <v>0.95061728395061695</v>
      </c>
      <c r="V24" t="s">
        <v>73</v>
      </c>
      <c r="W24">
        <v>1.1875172986437801</v>
      </c>
      <c r="X24" t="s">
        <v>74</v>
      </c>
      <c r="Y24">
        <v>0.90774030604664901</v>
      </c>
      <c r="Z24" t="s">
        <v>89</v>
      </c>
      <c r="AA24">
        <v>1.0469798657718099</v>
      </c>
      <c r="AB24" t="s">
        <v>89</v>
      </c>
      <c r="AC24">
        <v>1.0897435897435801</v>
      </c>
      <c r="AD24" t="s">
        <v>92</v>
      </c>
      <c r="AE24">
        <v>0.80923076923076898</v>
      </c>
      <c r="AF24" t="s">
        <v>92</v>
      </c>
      <c r="AG24">
        <v>1.1939163498098799</v>
      </c>
      <c r="AH24" t="s">
        <v>80</v>
      </c>
      <c r="AI24">
        <v>0.96811594202898499</v>
      </c>
      <c r="AJ24" t="s">
        <v>80</v>
      </c>
      <c r="AK24">
        <v>1.0718562874251401</v>
      </c>
      <c r="AL24" t="s">
        <v>85</v>
      </c>
      <c r="AM24">
        <v>0.73691654879773605</v>
      </c>
      <c r="AN24" t="s">
        <v>73</v>
      </c>
      <c r="AO24">
        <v>1.0079393083980199</v>
      </c>
      <c r="AP24" t="s">
        <v>74</v>
      </c>
      <c r="AQ24">
        <v>0.98845660538691704</v>
      </c>
      <c r="AR24" t="s">
        <v>71</v>
      </c>
      <c r="AS24">
        <v>0.87172413793103398</v>
      </c>
      <c r="AT24" t="s">
        <v>73</v>
      </c>
      <c r="AU24">
        <v>1.0343108256570599</v>
      </c>
      <c r="AV24" t="s">
        <v>87</v>
      </c>
      <c r="AW24">
        <v>1.17133956386292</v>
      </c>
      <c r="AX24" t="s">
        <v>85</v>
      </c>
      <c r="AY24">
        <v>1.17463617463617</v>
      </c>
      <c r="AZ24" t="s">
        <v>89</v>
      </c>
      <c r="BA24">
        <v>1.10917030567685</v>
      </c>
      <c r="BB24" t="s">
        <v>80</v>
      </c>
      <c r="BC24">
        <v>1.01805054151624</v>
      </c>
      <c r="BD24" t="s">
        <v>78</v>
      </c>
      <c r="BE24">
        <v>1.1977401129943499</v>
      </c>
      <c r="BF24" t="s">
        <v>73</v>
      </c>
      <c r="BG24">
        <v>0.863924050632911</v>
      </c>
      <c r="BH24" t="s">
        <v>93</v>
      </c>
      <c r="BI24">
        <v>1.0071942446043101</v>
      </c>
      <c r="BJ24" t="s">
        <v>85</v>
      </c>
      <c r="BK24">
        <v>0.90125391849529701</v>
      </c>
      <c r="BL24" t="s">
        <v>83</v>
      </c>
      <c r="BM24">
        <v>0.78778661675245598</v>
      </c>
      <c r="BN24" t="s">
        <v>92</v>
      </c>
      <c r="BO24">
        <v>1.0350154479917599</v>
      </c>
      <c r="BP24" t="s">
        <v>85</v>
      </c>
      <c r="BQ24">
        <v>0.94509803921568603</v>
      </c>
      <c r="BR24" t="s">
        <v>74</v>
      </c>
      <c r="BS24">
        <v>0.90927021696252397</v>
      </c>
      <c r="BT24" t="s">
        <v>73</v>
      </c>
      <c r="BU24">
        <v>1.29763130792996</v>
      </c>
      <c r="BV24" t="s">
        <v>80</v>
      </c>
      <c r="BW24">
        <v>1.16483516483516</v>
      </c>
    </row>
    <row r="25" spans="1:75" x14ac:dyDescent="0.4">
      <c r="A25">
        <v>23</v>
      </c>
      <c r="B25" t="s">
        <v>82</v>
      </c>
      <c r="C25">
        <v>0.86551724137930997</v>
      </c>
      <c r="D25" t="s">
        <v>84</v>
      </c>
      <c r="E25">
        <v>0.81769911504424697</v>
      </c>
      <c r="F25" t="s">
        <v>80</v>
      </c>
      <c r="G25">
        <v>0.52892561983470998</v>
      </c>
      <c r="H25" t="s">
        <v>79</v>
      </c>
      <c r="I25">
        <v>0.92230576441102696</v>
      </c>
      <c r="J25" t="s">
        <v>74</v>
      </c>
      <c r="K25">
        <v>1.3955795554439201</v>
      </c>
      <c r="L25" t="s">
        <v>80</v>
      </c>
      <c r="M25">
        <v>0.97287522603978305</v>
      </c>
      <c r="N25" t="s">
        <v>86</v>
      </c>
      <c r="O25">
        <v>0.86772645470905796</v>
      </c>
      <c r="P25" t="s">
        <v>80</v>
      </c>
      <c r="Q25">
        <v>0.90123456790123402</v>
      </c>
      <c r="R25" t="s">
        <v>77</v>
      </c>
      <c r="S25">
        <v>0.52208201866522697</v>
      </c>
      <c r="T25" t="s">
        <v>86</v>
      </c>
      <c r="U25">
        <v>0.938322938322938</v>
      </c>
      <c r="V25" t="s">
        <v>80</v>
      </c>
      <c r="W25">
        <v>1.1590909090909001</v>
      </c>
      <c r="X25" t="s">
        <v>78</v>
      </c>
      <c r="Y25">
        <v>0.90062893081760997</v>
      </c>
      <c r="Z25" t="s">
        <v>95</v>
      </c>
      <c r="AA25">
        <v>0.819935691318328</v>
      </c>
      <c r="AB25" t="s">
        <v>91</v>
      </c>
      <c r="AC25">
        <v>0.83649688652943999</v>
      </c>
      <c r="AD25" t="s">
        <v>91</v>
      </c>
      <c r="AE25">
        <v>0.93833196958508702</v>
      </c>
      <c r="AF25" t="s">
        <v>96</v>
      </c>
      <c r="AG25">
        <v>1.2307692307692299</v>
      </c>
      <c r="AH25" t="s">
        <v>86</v>
      </c>
      <c r="AI25">
        <v>0.82431722689075604</v>
      </c>
      <c r="AJ25" t="s">
        <v>86</v>
      </c>
      <c r="AK25">
        <v>0.94711691621535499</v>
      </c>
      <c r="AL25" t="s">
        <v>89</v>
      </c>
      <c r="AM25">
        <v>1.1124260355029501</v>
      </c>
      <c r="AN25" t="s">
        <v>80</v>
      </c>
      <c r="AO25">
        <v>0.99708454810495595</v>
      </c>
      <c r="AP25" t="s">
        <v>73</v>
      </c>
      <c r="AQ25">
        <v>0.99212322772623796</v>
      </c>
      <c r="AR25" t="s">
        <v>72</v>
      </c>
      <c r="AS25">
        <v>1.0347222222222201</v>
      </c>
      <c r="AT25" t="s">
        <v>83</v>
      </c>
      <c r="AU25">
        <v>1.0398846708313301</v>
      </c>
      <c r="AV25" t="s">
        <v>85</v>
      </c>
      <c r="AW25">
        <v>0.88745387453874502</v>
      </c>
      <c r="AX25" t="s">
        <v>89</v>
      </c>
      <c r="AY25">
        <v>1.10895883777239</v>
      </c>
      <c r="AZ25" t="s">
        <v>92</v>
      </c>
      <c r="BA25">
        <v>1.24757281553398</v>
      </c>
      <c r="BB25" t="s">
        <v>87</v>
      </c>
      <c r="BC25">
        <v>1.2464285714285701</v>
      </c>
      <c r="BD25" t="s">
        <v>73</v>
      </c>
      <c r="BE25">
        <v>1.0095846645367399</v>
      </c>
      <c r="BF25" t="s">
        <v>83</v>
      </c>
      <c r="BG25">
        <v>1.0322805793055301</v>
      </c>
      <c r="BH25" t="s">
        <v>89</v>
      </c>
      <c r="BI25">
        <v>0.893877551020408</v>
      </c>
      <c r="BJ25" t="s">
        <v>89</v>
      </c>
      <c r="BK25">
        <v>1.41856925418569</v>
      </c>
      <c r="BL25" t="s">
        <v>80</v>
      </c>
      <c r="BM25">
        <v>0.94117647058823495</v>
      </c>
      <c r="BN25" t="s">
        <v>96</v>
      </c>
      <c r="BO25">
        <v>1.00467289719626</v>
      </c>
      <c r="BP25" t="s">
        <v>95</v>
      </c>
      <c r="BQ25">
        <v>0.91351351351351295</v>
      </c>
      <c r="BR25" t="s">
        <v>73</v>
      </c>
      <c r="BS25">
        <v>1.14504716981132</v>
      </c>
      <c r="BT25" t="s">
        <v>80</v>
      </c>
      <c r="BU25">
        <v>0.930946291560102</v>
      </c>
      <c r="BV25" t="s">
        <v>87</v>
      </c>
      <c r="BW25">
        <v>1.00709219858156</v>
      </c>
    </row>
    <row r="26" spans="1:75" x14ac:dyDescent="0.4">
      <c r="A26">
        <v>24</v>
      </c>
      <c r="B26" t="s">
        <v>85</v>
      </c>
      <c r="C26">
        <v>1.3167701863354</v>
      </c>
      <c r="D26" t="s">
        <v>98</v>
      </c>
      <c r="E26">
        <v>0.824824824824824</v>
      </c>
      <c r="F26" t="s">
        <v>90</v>
      </c>
      <c r="G26">
        <v>0.68515205724507999</v>
      </c>
      <c r="H26" t="s">
        <v>86</v>
      </c>
      <c r="I26">
        <v>1.1191675058744499</v>
      </c>
      <c r="J26" t="s">
        <v>78</v>
      </c>
      <c r="K26">
        <v>1.19542253521126</v>
      </c>
      <c r="L26" t="s">
        <v>90</v>
      </c>
      <c r="M26">
        <v>1.0031298904538299</v>
      </c>
      <c r="N26" t="s">
        <v>99</v>
      </c>
      <c r="O26">
        <v>0.96556291390728399</v>
      </c>
      <c r="P26" t="s">
        <v>86</v>
      </c>
      <c r="Q26">
        <v>1.0138264777048001</v>
      </c>
      <c r="R26" t="s">
        <v>80</v>
      </c>
      <c r="S26">
        <v>0.73972602739726001</v>
      </c>
      <c r="T26" t="s">
        <v>87</v>
      </c>
      <c r="U26">
        <v>1.03381642512077</v>
      </c>
      <c r="V26" t="s">
        <v>87</v>
      </c>
      <c r="W26">
        <v>0.91682242990654195</v>
      </c>
      <c r="X26" t="s">
        <v>73</v>
      </c>
      <c r="Y26">
        <v>1.2526123606417201</v>
      </c>
      <c r="Z26" t="s">
        <v>92</v>
      </c>
      <c r="AA26">
        <v>1.0273631840796</v>
      </c>
      <c r="AB26" t="s">
        <v>100</v>
      </c>
      <c r="AC26">
        <v>0.93361165684348302</v>
      </c>
      <c r="AD26" t="s">
        <v>100</v>
      </c>
      <c r="AE26">
        <v>0.72358614642700503</v>
      </c>
      <c r="AF26" t="s">
        <v>91</v>
      </c>
      <c r="AG26">
        <v>1.0859476359614599</v>
      </c>
      <c r="AH26" t="s">
        <v>89</v>
      </c>
      <c r="AI26">
        <v>1.0178041543026699</v>
      </c>
      <c r="AJ26" t="s">
        <v>89</v>
      </c>
      <c r="AK26">
        <v>0.98542274052478096</v>
      </c>
      <c r="AL26" t="s">
        <v>92</v>
      </c>
      <c r="AM26">
        <v>1.0504201680672201</v>
      </c>
      <c r="AN26" t="s">
        <v>86</v>
      </c>
      <c r="AO26">
        <v>1.0743315508021301</v>
      </c>
      <c r="AP26" t="s">
        <v>80</v>
      </c>
      <c r="AQ26">
        <v>0.95614035087719296</v>
      </c>
      <c r="AR26" t="s">
        <v>74</v>
      </c>
      <c r="AS26">
        <v>0.82915224913494801</v>
      </c>
      <c r="AT26" t="s">
        <v>80</v>
      </c>
      <c r="AU26">
        <v>0.84333333333333305</v>
      </c>
      <c r="AV26" t="s">
        <v>89</v>
      </c>
      <c r="AW26">
        <v>1.0897097625329799</v>
      </c>
      <c r="AX26" t="s">
        <v>92</v>
      </c>
      <c r="AY26">
        <v>1.0751565762004101</v>
      </c>
      <c r="AZ26" t="s">
        <v>96</v>
      </c>
      <c r="BA26">
        <v>1.4355062413314801</v>
      </c>
      <c r="BB26" t="s">
        <v>85</v>
      </c>
      <c r="BC26">
        <v>0.92737430167597701</v>
      </c>
      <c r="BD26" t="s">
        <v>83</v>
      </c>
      <c r="BE26">
        <v>0.892540102787727</v>
      </c>
      <c r="BF26" t="s">
        <v>80</v>
      </c>
      <c r="BG26">
        <v>0.97198879551820705</v>
      </c>
      <c r="BH26" t="s">
        <v>92</v>
      </c>
      <c r="BI26">
        <v>0.86307053941908696</v>
      </c>
      <c r="BJ26" t="s">
        <v>92</v>
      </c>
      <c r="BK26">
        <v>0.96634615384615297</v>
      </c>
      <c r="BL26" t="s">
        <v>85</v>
      </c>
      <c r="BM26">
        <v>0.94608695652173902</v>
      </c>
      <c r="BN26" t="s">
        <v>101</v>
      </c>
      <c r="BO26">
        <v>1.1423895253682399</v>
      </c>
      <c r="BP26" t="s">
        <v>92</v>
      </c>
      <c r="BQ26">
        <v>1.0298507462686499</v>
      </c>
      <c r="BR26" t="s">
        <v>80</v>
      </c>
      <c r="BS26">
        <v>0.97750000000000004</v>
      </c>
      <c r="BT26" t="s">
        <v>87</v>
      </c>
      <c r="BU26">
        <v>0.98947368421052595</v>
      </c>
      <c r="BV26" t="s">
        <v>85</v>
      </c>
      <c r="BW26">
        <v>1.0921305182341601</v>
      </c>
    </row>
    <row r="27" spans="1:75" x14ac:dyDescent="0.4">
      <c r="A27">
        <v>25</v>
      </c>
      <c r="B27" t="s">
        <v>89</v>
      </c>
      <c r="C27">
        <v>0.94712643678160902</v>
      </c>
      <c r="D27" t="s">
        <v>103</v>
      </c>
      <c r="E27">
        <v>0.53317535545023698</v>
      </c>
      <c r="F27" t="s">
        <v>85</v>
      </c>
      <c r="G27">
        <v>0.71570576540755404</v>
      </c>
      <c r="H27" t="s">
        <v>94</v>
      </c>
      <c r="I27">
        <v>0.75675675675675602</v>
      </c>
      <c r="J27" t="s">
        <v>73</v>
      </c>
      <c r="K27">
        <v>1.3784790481117399</v>
      </c>
      <c r="L27" t="s">
        <v>85</v>
      </c>
      <c r="M27">
        <v>1.0675241157556199</v>
      </c>
      <c r="N27" t="s">
        <v>87</v>
      </c>
      <c r="O27">
        <v>0.99492900608519197</v>
      </c>
      <c r="P27" t="s">
        <v>87</v>
      </c>
      <c r="Q27">
        <v>1.28440366972477</v>
      </c>
      <c r="R27" t="s">
        <v>90</v>
      </c>
      <c r="S27">
        <v>0.92635658914728602</v>
      </c>
      <c r="T27" t="s">
        <v>85</v>
      </c>
      <c r="U27">
        <v>1.2359550561797701</v>
      </c>
      <c r="V27" t="s">
        <v>85</v>
      </c>
      <c r="W27">
        <v>1.52272727272727</v>
      </c>
      <c r="X27" t="s">
        <v>80</v>
      </c>
      <c r="Y27">
        <v>0.952380952380952</v>
      </c>
      <c r="Z27" t="s">
        <v>91</v>
      </c>
      <c r="AA27">
        <v>1.0430444548921201</v>
      </c>
      <c r="AB27" t="s">
        <v>84</v>
      </c>
      <c r="AC27">
        <v>1.48</v>
      </c>
      <c r="AD27" t="s">
        <v>98</v>
      </c>
      <c r="AE27">
        <v>0.88187702265372103</v>
      </c>
      <c r="AF27" t="s">
        <v>100</v>
      </c>
      <c r="AG27">
        <v>1.07864283550439</v>
      </c>
      <c r="AH27" t="s">
        <v>92</v>
      </c>
      <c r="AI27">
        <v>0.80573248407643305</v>
      </c>
      <c r="AJ27" t="s">
        <v>92</v>
      </c>
      <c r="AK27">
        <v>0.94071146245059201</v>
      </c>
      <c r="AL27" t="s">
        <v>100</v>
      </c>
      <c r="AM27">
        <v>1.3945317436912801</v>
      </c>
      <c r="AN27" t="s">
        <v>87</v>
      </c>
      <c r="AO27">
        <v>1.1324200913242</v>
      </c>
      <c r="AP27" t="s">
        <v>86</v>
      </c>
      <c r="AQ27">
        <v>1.21976107516177</v>
      </c>
      <c r="AR27" t="s">
        <v>73</v>
      </c>
      <c r="AS27">
        <v>1.04384262526464</v>
      </c>
      <c r="AT27" t="s">
        <v>86</v>
      </c>
      <c r="AU27">
        <v>0.78828571428571403</v>
      </c>
      <c r="AV27" t="s">
        <v>92</v>
      </c>
      <c r="AW27">
        <v>0.93921568627450902</v>
      </c>
      <c r="AX27" t="s">
        <v>96</v>
      </c>
      <c r="AY27">
        <v>0.97696476964769596</v>
      </c>
      <c r="AZ27" t="s">
        <v>91</v>
      </c>
      <c r="BA27">
        <v>1.12314983490834</v>
      </c>
      <c r="BB27" t="s">
        <v>89</v>
      </c>
      <c r="BC27">
        <v>1.08070866141732</v>
      </c>
      <c r="BD27" t="s">
        <v>80</v>
      </c>
      <c r="BE27">
        <v>1.26595744680851</v>
      </c>
      <c r="BF27" t="s">
        <v>85</v>
      </c>
      <c r="BG27">
        <v>1.2175792507204599</v>
      </c>
      <c r="BH27" t="s">
        <v>101</v>
      </c>
      <c r="BI27">
        <v>1.8040540540540499</v>
      </c>
      <c r="BJ27" t="s">
        <v>101</v>
      </c>
      <c r="BK27">
        <v>1.0280898876404401</v>
      </c>
      <c r="BL27" t="s">
        <v>92</v>
      </c>
      <c r="BM27">
        <v>0.96616915422885497</v>
      </c>
      <c r="BN27" t="s">
        <v>91</v>
      </c>
      <c r="BO27">
        <v>1.0113391017717299</v>
      </c>
      <c r="BP27" t="s">
        <v>101</v>
      </c>
      <c r="BQ27">
        <v>0.86819484240687606</v>
      </c>
      <c r="BR27" t="s">
        <v>87</v>
      </c>
      <c r="BS27">
        <v>1.00706713780918</v>
      </c>
      <c r="BT27" t="s">
        <v>85</v>
      </c>
      <c r="BU27">
        <v>1.05679513184584</v>
      </c>
      <c r="BV27" t="s">
        <v>93</v>
      </c>
      <c r="BW27">
        <v>1.1651234567901201</v>
      </c>
    </row>
    <row r="28" spans="1:75" x14ac:dyDescent="0.4">
      <c r="A28">
        <v>26</v>
      </c>
      <c r="B28" t="s">
        <v>91</v>
      </c>
      <c r="C28">
        <v>1.03947330509695</v>
      </c>
      <c r="D28" t="s">
        <v>105</v>
      </c>
      <c r="E28">
        <v>1.05862068965517</v>
      </c>
      <c r="F28" t="s">
        <v>89</v>
      </c>
      <c r="G28">
        <v>0.64090909090908998</v>
      </c>
      <c r="H28" t="s">
        <v>85</v>
      </c>
      <c r="I28">
        <v>0.80555555555555503</v>
      </c>
      <c r="J28" t="s">
        <v>80</v>
      </c>
      <c r="K28">
        <v>1.75</v>
      </c>
      <c r="L28" t="s">
        <v>95</v>
      </c>
      <c r="M28">
        <v>1.0042923028018</v>
      </c>
      <c r="N28" t="s">
        <v>85</v>
      </c>
      <c r="O28">
        <v>0.86144578313252995</v>
      </c>
      <c r="P28" t="s">
        <v>85</v>
      </c>
      <c r="Q28">
        <v>1.1048951048950999</v>
      </c>
      <c r="R28" t="s">
        <v>87</v>
      </c>
      <c r="S28">
        <v>0.82142857142857095</v>
      </c>
      <c r="T28" t="s">
        <v>89</v>
      </c>
      <c r="U28">
        <v>0.91496598639455695</v>
      </c>
      <c r="V28" t="s">
        <v>81</v>
      </c>
      <c r="W28">
        <v>0.98601151550684696</v>
      </c>
      <c r="X28" t="s">
        <v>90</v>
      </c>
      <c r="Y28">
        <v>0.71692607003890996</v>
      </c>
      <c r="Z28" t="s">
        <v>100</v>
      </c>
      <c r="AA28">
        <v>1.1456438150614201</v>
      </c>
      <c r="AB28" t="s">
        <v>98</v>
      </c>
      <c r="AC28">
        <v>0.94207317073170704</v>
      </c>
      <c r="AD28" t="s">
        <v>88</v>
      </c>
      <c r="AE28">
        <v>0.89565217391304297</v>
      </c>
      <c r="AF28" t="s">
        <v>84</v>
      </c>
      <c r="AG28">
        <v>1.14229249011857</v>
      </c>
      <c r="AH28" t="s">
        <v>91</v>
      </c>
      <c r="AI28">
        <v>0.87523992322456801</v>
      </c>
      <c r="AJ28" t="s">
        <v>91</v>
      </c>
      <c r="AK28">
        <v>0.92765395631936898</v>
      </c>
      <c r="AL28" t="s">
        <v>98</v>
      </c>
      <c r="AM28">
        <v>1.13403880070546</v>
      </c>
      <c r="AN28" t="s">
        <v>85</v>
      </c>
      <c r="AO28">
        <v>1.28406909788867</v>
      </c>
      <c r="AP28" t="s">
        <v>85</v>
      </c>
      <c r="AQ28">
        <v>1</v>
      </c>
      <c r="AR28" t="s">
        <v>83</v>
      </c>
      <c r="AS28">
        <v>0.85240305843801201</v>
      </c>
      <c r="AT28" t="s">
        <v>85</v>
      </c>
      <c r="AU28">
        <v>0.91245791245791197</v>
      </c>
      <c r="AV28" t="s">
        <v>96</v>
      </c>
      <c r="AW28">
        <v>0.94252873563218298</v>
      </c>
      <c r="AX28" t="s">
        <v>91</v>
      </c>
      <c r="AY28">
        <v>1.11127981274119</v>
      </c>
      <c r="AZ28" t="s">
        <v>100</v>
      </c>
      <c r="BA28">
        <v>1.04189044038668</v>
      </c>
      <c r="BB28" t="s">
        <v>92</v>
      </c>
      <c r="BC28">
        <v>0.86381322957198403</v>
      </c>
      <c r="BD28" t="s">
        <v>85</v>
      </c>
      <c r="BE28">
        <v>1.0451807228915599</v>
      </c>
      <c r="BF28" t="s">
        <v>89</v>
      </c>
      <c r="BG28">
        <v>1.2068965517241299</v>
      </c>
      <c r="BH28" t="s">
        <v>91</v>
      </c>
      <c r="BI28">
        <v>0.79401653482424295</v>
      </c>
      <c r="BJ28" t="s">
        <v>91</v>
      </c>
      <c r="BK28">
        <v>0.88694961722272903</v>
      </c>
      <c r="BL28" t="s">
        <v>101</v>
      </c>
      <c r="BM28">
        <v>1.1129326047358801</v>
      </c>
      <c r="BN28" t="s">
        <v>98</v>
      </c>
      <c r="BO28">
        <v>1.0077519379844899</v>
      </c>
      <c r="BP28" t="s">
        <v>91</v>
      </c>
      <c r="BQ28">
        <v>0.97115525642488099</v>
      </c>
      <c r="BR28" t="s">
        <v>85</v>
      </c>
      <c r="BS28">
        <v>1.0228215767634801</v>
      </c>
      <c r="BT28" t="s">
        <v>89</v>
      </c>
      <c r="BU28">
        <v>0.95208070617906604</v>
      </c>
      <c r="BV28" t="s">
        <v>89</v>
      </c>
      <c r="BW28">
        <v>1.03311258278145</v>
      </c>
    </row>
    <row r="29" spans="1:75" x14ac:dyDescent="0.4">
      <c r="A29">
        <v>27</v>
      </c>
      <c r="B29" t="s">
        <v>100</v>
      </c>
      <c r="C29">
        <v>1.14358650757228</v>
      </c>
      <c r="D29" t="s">
        <v>107</v>
      </c>
      <c r="E29">
        <v>0.42406417112299399</v>
      </c>
      <c r="F29" t="s">
        <v>95</v>
      </c>
      <c r="G29">
        <v>0.30661073454641702</v>
      </c>
      <c r="H29" t="s">
        <v>81</v>
      </c>
      <c r="I29">
        <v>0.92483612775641999</v>
      </c>
      <c r="J29" t="s">
        <v>79</v>
      </c>
      <c r="K29">
        <v>1.2459239130434701</v>
      </c>
      <c r="L29" t="s">
        <v>91</v>
      </c>
      <c r="M29">
        <v>0.99207479018378797</v>
      </c>
      <c r="N29" t="s">
        <v>95</v>
      </c>
      <c r="O29">
        <v>0.95726484391301403</v>
      </c>
      <c r="P29" t="s">
        <v>95</v>
      </c>
      <c r="Q29">
        <v>0.95239221170018296</v>
      </c>
      <c r="R29" t="s">
        <v>85</v>
      </c>
      <c r="S29">
        <v>1.12658227848101</v>
      </c>
      <c r="T29" t="s">
        <v>95</v>
      </c>
      <c r="U29">
        <v>0.94326224783861601</v>
      </c>
      <c r="V29" t="s">
        <v>95</v>
      </c>
      <c r="W29">
        <v>1.1428575793127</v>
      </c>
      <c r="X29" t="s">
        <v>86</v>
      </c>
      <c r="Y29">
        <v>1.00162127107652</v>
      </c>
      <c r="Z29" t="s">
        <v>84</v>
      </c>
      <c r="AA29">
        <v>1.4184397163120499</v>
      </c>
      <c r="AB29" t="s">
        <v>88</v>
      </c>
      <c r="AC29">
        <v>0.99137931034482696</v>
      </c>
      <c r="AD29" t="s">
        <v>105</v>
      </c>
      <c r="AE29">
        <v>0.66665359733385599</v>
      </c>
      <c r="AF29" t="s">
        <v>98</v>
      </c>
      <c r="AG29">
        <v>1.1522935779816501</v>
      </c>
      <c r="AH29" t="s">
        <v>100</v>
      </c>
      <c r="AI29">
        <v>0.72656293883053402</v>
      </c>
      <c r="AJ29" t="s">
        <v>100</v>
      </c>
      <c r="AK29">
        <v>1.83509856977193</v>
      </c>
      <c r="AL29" t="s">
        <v>88</v>
      </c>
      <c r="AM29">
        <v>0.87605932203389802</v>
      </c>
      <c r="AN29" t="s">
        <v>89</v>
      </c>
      <c r="AO29">
        <v>1.0505319148936101</v>
      </c>
      <c r="AP29" t="s">
        <v>89</v>
      </c>
      <c r="AQ29">
        <v>1.10126582278481</v>
      </c>
      <c r="AR29" t="s">
        <v>80</v>
      </c>
      <c r="AS29">
        <v>0.91743119266054995</v>
      </c>
      <c r="AT29" t="s">
        <v>89</v>
      </c>
      <c r="AU29">
        <v>0.99736842105263102</v>
      </c>
      <c r="AV29" t="s">
        <v>91</v>
      </c>
      <c r="AW29">
        <v>1.3299957930163999</v>
      </c>
      <c r="AX29" t="s">
        <v>100</v>
      </c>
      <c r="AY29">
        <v>0.966770508826583</v>
      </c>
      <c r="AZ29" t="s">
        <v>98</v>
      </c>
      <c r="BA29">
        <v>1.4959349593495901</v>
      </c>
      <c r="BB29" t="s">
        <v>91</v>
      </c>
      <c r="BC29">
        <v>1.01203796393679</v>
      </c>
      <c r="BD29" t="s">
        <v>89</v>
      </c>
      <c r="BE29">
        <v>1.10928961748633</v>
      </c>
      <c r="BF29" t="s">
        <v>92</v>
      </c>
      <c r="BG29">
        <v>1.11574074074074</v>
      </c>
      <c r="BH29" t="s">
        <v>98</v>
      </c>
      <c r="BI29">
        <v>0.91638225255972605</v>
      </c>
      <c r="BJ29" t="s">
        <v>98</v>
      </c>
      <c r="BK29">
        <v>0.96275605214152704</v>
      </c>
      <c r="BL29" t="s">
        <v>91</v>
      </c>
      <c r="BM29">
        <v>1.02486360488488</v>
      </c>
      <c r="BN29" t="s">
        <v>88</v>
      </c>
      <c r="BO29">
        <v>1.03523489932885</v>
      </c>
      <c r="BP29" t="s">
        <v>98</v>
      </c>
      <c r="BQ29">
        <v>0.97692307692307601</v>
      </c>
      <c r="BR29" t="s">
        <v>95</v>
      </c>
      <c r="BS29">
        <v>0.40769230769230702</v>
      </c>
      <c r="BT29" t="s">
        <v>92</v>
      </c>
      <c r="BU29">
        <v>1.03205791106515</v>
      </c>
      <c r="BV29" t="s">
        <v>92</v>
      </c>
      <c r="BW29">
        <v>1.1973947895791499</v>
      </c>
    </row>
    <row r="30" spans="1:75" x14ac:dyDescent="0.4">
      <c r="A30">
        <v>28</v>
      </c>
      <c r="B30" t="s">
        <v>98</v>
      </c>
      <c r="C30">
        <v>0.82561983471074296</v>
      </c>
      <c r="D30" t="s">
        <v>108</v>
      </c>
      <c r="E30">
        <v>0.50769197102654395</v>
      </c>
      <c r="F30" t="s">
        <v>91</v>
      </c>
      <c r="G30">
        <v>0.73854190251317997</v>
      </c>
      <c r="H30" t="s">
        <v>93</v>
      </c>
      <c r="I30">
        <v>0.81297709923664097</v>
      </c>
      <c r="J30" t="s">
        <v>85</v>
      </c>
      <c r="K30">
        <v>1.0724137931034401</v>
      </c>
      <c r="L30" t="s">
        <v>100</v>
      </c>
      <c r="M30">
        <v>1.1547589616810801</v>
      </c>
      <c r="N30" t="s">
        <v>91</v>
      </c>
      <c r="O30">
        <v>0.91317570461749298</v>
      </c>
      <c r="P30" t="s">
        <v>92</v>
      </c>
      <c r="Q30">
        <v>1.1198830409356699</v>
      </c>
      <c r="R30" t="s">
        <v>89</v>
      </c>
      <c r="S30">
        <v>1.03157894736842</v>
      </c>
      <c r="T30" t="s">
        <v>92</v>
      </c>
      <c r="U30">
        <v>0.98542274052478096</v>
      </c>
      <c r="V30" t="s">
        <v>92</v>
      </c>
      <c r="W30">
        <v>1.0739644970414199</v>
      </c>
      <c r="X30" t="s">
        <v>87</v>
      </c>
      <c r="Y30">
        <v>0.81957186544342497</v>
      </c>
      <c r="Z30" t="s">
        <v>98</v>
      </c>
      <c r="AA30">
        <v>0.92134831460674105</v>
      </c>
      <c r="AB30" t="s">
        <v>103</v>
      </c>
      <c r="AC30">
        <v>0.97883597883597795</v>
      </c>
      <c r="AD30" t="s">
        <v>108</v>
      </c>
      <c r="AE30">
        <v>0.90589887640449396</v>
      </c>
      <c r="AF30" t="s">
        <v>88</v>
      </c>
      <c r="AG30">
        <v>1.0436893203883399</v>
      </c>
      <c r="AH30" t="s">
        <v>84</v>
      </c>
      <c r="AI30">
        <v>1.26989619377162</v>
      </c>
      <c r="AJ30" t="s">
        <v>98</v>
      </c>
      <c r="AK30">
        <v>0.99125874125874103</v>
      </c>
      <c r="AL30" t="s">
        <v>105</v>
      </c>
      <c r="AM30">
        <v>1.2342019723431199</v>
      </c>
      <c r="AN30" t="s">
        <v>92</v>
      </c>
      <c r="AO30">
        <v>1.1040000000000001</v>
      </c>
      <c r="AP30" t="s">
        <v>92</v>
      </c>
      <c r="AQ30">
        <v>0.92753623188405798</v>
      </c>
      <c r="AR30" t="s">
        <v>85</v>
      </c>
      <c r="AS30">
        <v>0.88789237668161403</v>
      </c>
      <c r="AT30" t="s">
        <v>92</v>
      </c>
      <c r="AU30">
        <v>0.95327102803738295</v>
      </c>
      <c r="AV30" t="s">
        <v>98</v>
      </c>
      <c r="AW30">
        <v>1.03359173126614</v>
      </c>
      <c r="AX30" t="s">
        <v>98</v>
      </c>
      <c r="AY30">
        <v>1.0762499999999999</v>
      </c>
      <c r="AZ30" t="s">
        <v>105</v>
      </c>
      <c r="BA30">
        <v>1.10093150684931</v>
      </c>
      <c r="BB30" t="s">
        <v>100</v>
      </c>
      <c r="BC30">
        <v>1.4350515463917499</v>
      </c>
      <c r="BD30" t="s">
        <v>92</v>
      </c>
      <c r="BE30">
        <v>0.97297297297297303</v>
      </c>
      <c r="BF30" t="s">
        <v>101</v>
      </c>
      <c r="BG30">
        <v>1.0647482014388401</v>
      </c>
      <c r="BH30" t="s">
        <v>103</v>
      </c>
      <c r="BI30">
        <v>0.99161676646706498</v>
      </c>
      <c r="BJ30" t="s">
        <v>88</v>
      </c>
      <c r="BK30">
        <v>0.92846270928462704</v>
      </c>
      <c r="BL30" t="s">
        <v>98</v>
      </c>
      <c r="BM30">
        <v>0.99806576402321001</v>
      </c>
      <c r="BN30" t="s">
        <v>105</v>
      </c>
      <c r="BO30">
        <v>0.93123772102161095</v>
      </c>
      <c r="BP30" t="s">
        <v>88</v>
      </c>
      <c r="BQ30">
        <v>1.02593192868719</v>
      </c>
      <c r="BR30" t="s">
        <v>92</v>
      </c>
      <c r="BS30">
        <v>0.934299516908212</v>
      </c>
      <c r="BT30" t="s">
        <v>101</v>
      </c>
      <c r="BU30">
        <v>0.93097643097643101</v>
      </c>
      <c r="BV30" t="s">
        <v>91</v>
      </c>
      <c r="BW30">
        <v>0.98327759197324405</v>
      </c>
    </row>
    <row r="31" spans="1:75" x14ac:dyDescent="0.4">
      <c r="A31">
        <v>29</v>
      </c>
      <c r="B31" t="s">
        <v>88</v>
      </c>
      <c r="C31">
        <v>0.99736842105263102</v>
      </c>
      <c r="D31" t="s">
        <v>97</v>
      </c>
      <c r="E31">
        <v>0.96933560477001701</v>
      </c>
      <c r="F31" t="s">
        <v>84</v>
      </c>
      <c r="G31">
        <v>0.57900432900432897</v>
      </c>
      <c r="H31" t="s">
        <v>92</v>
      </c>
      <c r="I31">
        <v>1.4183127371801101</v>
      </c>
      <c r="J31" t="s">
        <v>81</v>
      </c>
      <c r="K31">
        <v>1.5583046848358</v>
      </c>
      <c r="L31" t="s">
        <v>84</v>
      </c>
      <c r="M31">
        <v>1.20341614906832</v>
      </c>
      <c r="N31" t="s">
        <v>100</v>
      </c>
      <c r="O31">
        <v>1.1414044101905301</v>
      </c>
      <c r="P31" t="s">
        <v>84</v>
      </c>
      <c r="Q31">
        <v>0.92277486910994699</v>
      </c>
      <c r="R31" t="s">
        <v>95</v>
      </c>
      <c r="S31">
        <v>0.67303104476917097</v>
      </c>
      <c r="T31" t="s">
        <v>91</v>
      </c>
      <c r="U31">
        <v>1.04142505211294</v>
      </c>
      <c r="V31" t="s">
        <v>91</v>
      </c>
      <c r="W31">
        <v>1.01730475289322</v>
      </c>
      <c r="X31" t="s">
        <v>89</v>
      </c>
      <c r="Y31">
        <v>1.0170648464163801</v>
      </c>
      <c r="Z31" t="s">
        <v>88</v>
      </c>
      <c r="AA31">
        <v>1.0043290043290001</v>
      </c>
      <c r="AB31" t="s">
        <v>105</v>
      </c>
      <c r="AC31">
        <v>1.35744318484219</v>
      </c>
      <c r="AD31" t="s">
        <v>97</v>
      </c>
      <c r="AE31">
        <v>0.91397849462365499</v>
      </c>
      <c r="AF31" t="s">
        <v>105</v>
      </c>
      <c r="AG31">
        <v>1.1225077927424501</v>
      </c>
      <c r="AH31" t="s">
        <v>98</v>
      </c>
      <c r="AI31">
        <v>0.91082802547770703</v>
      </c>
      <c r="AJ31" t="s">
        <v>88</v>
      </c>
      <c r="AK31">
        <v>1.11848341232227</v>
      </c>
      <c r="AL31" t="s">
        <v>108</v>
      </c>
      <c r="AM31">
        <v>0.97605633802816905</v>
      </c>
      <c r="AN31" t="s">
        <v>98</v>
      </c>
      <c r="AO31">
        <v>1.0948678071539599</v>
      </c>
      <c r="AP31" t="s">
        <v>96</v>
      </c>
      <c r="AQ31">
        <v>0.92407407407407405</v>
      </c>
      <c r="AR31" t="s">
        <v>89</v>
      </c>
      <c r="AS31">
        <v>0.87356321839080397</v>
      </c>
      <c r="AT31" t="s">
        <v>96</v>
      </c>
      <c r="AU31">
        <v>0.98988621997471504</v>
      </c>
      <c r="AV31" t="s">
        <v>88</v>
      </c>
      <c r="AW31">
        <v>1.11512717536813</v>
      </c>
      <c r="AX31" t="s">
        <v>110</v>
      </c>
      <c r="AY31">
        <v>1.40263157894736</v>
      </c>
      <c r="AZ31" t="s">
        <v>108</v>
      </c>
      <c r="BA31">
        <v>1.0951871657754</v>
      </c>
      <c r="BB31" t="s">
        <v>105</v>
      </c>
      <c r="BC31">
        <v>0.79690092242351795</v>
      </c>
      <c r="BD31" t="s">
        <v>96</v>
      </c>
      <c r="BE31">
        <v>1.1010638297872299</v>
      </c>
      <c r="BF31" t="s">
        <v>91</v>
      </c>
      <c r="BG31">
        <v>1.0495268296336899</v>
      </c>
      <c r="BH31" t="s">
        <v>105</v>
      </c>
      <c r="BI31">
        <v>0.90812720848056505</v>
      </c>
      <c r="BJ31" t="s">
        <v>103</v>
      </c>
      <c r="BK31">
        <v>1.0132850241545801</v>
      </c>
      <c r="BL31" t="s">
        <v>88</v>
      </c>
      <c r="BM31">
        <v>0.97704918032786803</v>
      </c>
      <c r="BN31" t="s">
        <v>108</v>
      </c>
      <c r="BO31">
        <v>1.03993344425956</v>
      </c>
      <c r="BP31" t="s">
        <v>105</v>
      </c>
      <c r="BQ31">
        <v>1.00632911392405</v>
      </c>
      <c r="BR31" t="s">
        <v>101</v>
      </c>
      <c r="BS31">
        <v>0.98019801980197996</v>
      </c>
      <c r="BT31" t="s">
        <v>91</v>
      </c>
      <c r="BU31">
        <v>1.0220125786163501</v>
      </c>
      <c r="BV31" t="s">
        <v>105</v>
      </c>
      <c r="BW31">
        <v>1.0709939148073</v>
      </c>
    </row>
    <row r="32" spans="1:75" x14ac:dyDescent="0.4">
      <c r="A32">
        <v>30</v>
      </c>
      <c r="B32" t="s">
        <v>103</v>
      </c>
      <c r="C32">
        <v>1.08762886597938</v>
      </c>
      <c r="D32" t="s">
        <v>112</v>
      </c>
      <c r="E32">
        <v>0.90327101410382504</v>
      </c>
      <c r="F32" t="s">
        <v>98</v>
      </c>
      <c r="G32">
        <v>0.55339805825242705</v>
      </c>
      <c r="H32" t="s">
        <v>91</v>
      </c>
      <c r="I32">
        <v>1.01020430507806</v>
      </c>
      <c r="J32" t="s">
        <v>93</v>
      </c>
      <c r="K32">
        <v>1.36619718309859</v>
      </c>
      <c r="L32" t="s">
        <v>98</v>
      </c>
      <c r="M32">
        <v>1.0484927916120499</v>
      </c>
      <c r="N32" t="s">
        <v>84</v>
      </c>
      <c r="O32">
        <v>0.98580645161290303</v>
      </c>
      <c r="P32" t="s">
        <v>98</v>
      </c>
      <c r="Q32">
        <v>1.1209439528023599</v>
      </c>
      <c r="R32" t="s">
        <v>92</v>
      </c>
      <c r="S32">
        <v>0.89556135770234901</v>
      </c>
      <c r="T32" t="s">
        <v>100</v>
      </c>
      <c r="U32">
        <v>1.3517150395778299</v>
      </c>
      <c r="V32" t="s">
        <v>84</v>
      </c>
      <c r="W32">
        <v>1.0972222222222201</v>
      </c>
      <c r="X32" t="s">
        <v>95</v>
      </c>
      <c r="Y32">
        <v>1.0392412135664</v>
      </c>
      <c r="Z32" t="s">
        <v>103</v>
      </c>
      <c r="AA32">
        <v>0.84187082405345204</v>
      </c>
      <c r="AB32" t="s">
        <v>108</v>
      </c>
      <c r="AC32">
        <v>0.97400820793433596</v>
      </c>
      <c r="AD32" t="s">
        <v>113</v>
      </c>
      <c r="AE32">
        <v>0.62146050670640796</v>
      </c>
      <c r="AF32" t="s">
        <v>108</v>
      </c>
      <c r="AG32">
        <v>1.2124031007751901</v>
      </c>
      <c r="AH32" t="s">
        <v>88</v>
      </c>
      <c r="AI32">
        <v>0.785116279069767</v>
      </c>
      <c r="AJ32" t="s">
        <v>105</v>
      </c>
      <c r="AK32">
        <v>1.04148496672022</v>
      </c>
      <c r="AL32" t="s">
        <v>97</v>
      </c>
      <c r="AM32">
        <v>1.03097345132743</v>
      </c>
      <c r="AN32" t="s">
        <v>88</v>
      </c>
      <c r="AO32">
        <v>0.96614268440145101</v>
      </c>
      <c r="AP32" t="s">
        <v>98</v>
      </c>
      <c r="AQ32">
        <v>1.1235795454545401</v>
      </c>
      <c r="AR32" t="s">
        <v>92</v>
      </c>
      <c r="AS32">
        <v>0.8359375</v>
      </c>
      <c r="AT32" t="s">
        <v>91</v>
      </c>
      <c r="AU32">
        <v>0.96338176586215896</v>
      </c>
      <c r="AV32" t="s">
        <v>105</v>
      </c>
      <c r="AW32">
        <v>0.96780574025755395</v>
      </c>
      <c r="AX32" t="s">
        <v>105</v>
      </c>
      <c r="AY32">
        <v>1.1903726573031199</v>
      </c>
      <c r="AZ32" t="s">
        <v>97</v>
      </c>
      <c r="BA32">
        <v>1.1422413793103401</v>
      </c>
      <c r="BB32" t="s">
        <v>108</v>
      </c>
      <c r="BC32">
        <v>0.970703125</v>
      </c>
      <c r="BD32" t="s">
        <v>101</v>
      </c>
      <c r="BE32">
        <v>1.48345784418356</v>
      </c>
      <c r="BF32" t="s">
        <v>103</v>
      </c>
      <c r="BG32">
        <v>1.07881136950904</v>
      </c>
      <c r="BH32" t="s">
        <v>108</v>
      </c>
      <c r="BI32">
        <v>1.0759493670886</v>
      </c>
      <c r="BJ32" t="s">
        <v>105</v>
      </c>
      <c r="BK32">
        <v>0.86575875486381304</v>
      </c>
      <c r="BL32" t="s">
        <v>103</v>
      </c>
      <c r="BM32">
        <v>0.85220500595947501</v>
      </c>
      <c r="BN32" t="s">
        <v>97</v>
      </c>
      <c r="BO32">
        <v>1.0983606557376999</v>
      </c>
      <c r="BP32" t="s">
        <v>107</v>
      </c>
      <c r="BQ32">
        <v>1.1298701298701299</v>
      </c>
      <c r="BR32" t="s">
        <v>91</v>
      </c>
      <c r="BS32">
        <v>0.98186028560401395</v>
      </c>
      <c r="BT32" t="s">
        <v>88</v>
      </c>
      <c r="BU32">
        <v>1.08970588235294</v>
      </c>
      <c r="BV32" t="s">
        <v>107</v>
      </c>
      <c r="BW32">
        <v>1.2279635258358601</v>
      </c>
    </row>
    <row r="33" spans="1:75" x14ac:dyDescent="0.4">
      <c r="A33">
        <v>31</v>
      </c>
      <c r="B33" t="s">
        <v>105</v>
      </c>
      <c r="C33">
        <v>0.95341090972011899</v>
      </c>
      <c r="D33" t="s">
        <v>115</v>
      </c>
      <c r="E33">
        <v>0.81612903225806399</v>
      </c>
      <c r="F33" t="s">
        <v>103</v>
      </c>
      <c r="G33">
        <v>0.62577777777777699</v>
      </c>
      <c r="H33" t="s">
        <v>100</v>
      </c>
      <c r="I33">
        <v>1.41401971522453</v>
      </c>
      <c r="J33" t="s">
        <v>95</v>
      </c>
      <c r="K33">
        <v>1.3546502117013</v>
      </c>
      <c r="L33" t="s">
        <v>103</v>
      </c>
      <c r="M33">
        <v>1.0216450216450199</v>
      </c>
      <c r="N33" t="s">
        <v>98</v>
      </c>
      <c r="O33">
        <v>0.84750000000000003</v>
      </c>
      <c r="P33" t="s">
        <v>88</v>
      </c>
      <c r="Q33">
        <v>1.0145631067961101</v>
      </c>
      <c r="R33" t="s">
        <v>91</v>
      </c>
      <c r="S33">
        <v>1.13267080212067</v>
      </c>
      <c r="T33" t="s">
        <v>84</v>
      </c>
      <c r="U33">
        <v>0.82568807339449501</v>
      </c>
      <c r="V33" t="s">
        <v>98</v>
      </c>
      <c r="W33">
        <v>1.0307262569832401</v>
      </c>
      <c r="X33" t="s">
        <v>92</v>
      </c>
      <c r="Y33">
        <v>1.1074380165289199</v>
      </c>
      <c r="Z33" t="s">
        <v>105</v>
      </c>
      <c r="AA33">
        <v>1.05615514333895</v>
      </c>
      <c r="AB33" t="s">
        <v>97</v>
      </c>
      <c r="AC33">
        <v>0.91927512355848395</v>
      </c>
      <c r="AD33" t="s">
        <v>112</v>
      </c>
      <c r="AE33">
        <v>0.84773601657294995</v>
      </c>
      <c r="AF33" t="s">
        <v>97</v>
      </c>
      <c r="AG33">
        <v>1.0647058823529401</v>
      </c>
      <c r="AH33" t="s">
        <v>105</v>
      </c>
      <c r="AI33">
        <v>0.91313004296342803</v>
      </c>
      <c r="AJ33" t="s">
        <v>108</v>
      </c>
      <c r="AK33">
        <v>1.03498542274052</v>
      </c>
      <c r="AL33" t="s">
        <v>113</v>
      </c>
      <c r="AM33">
        <v>0.76376146788990795</v>
      </c>
      <c r="AN33" t="s">
        <v>105</v>
      </c>
      <c r="AO33">
        <v>1.07021694491563</v>
      </c>
      <c r="AP33" t="s">
        <v>88</v>
      </c>
      <c r="AQ33">
        <v>0.87609511889862302</v>
      </c>
      <c r="AR33" t="s">
        <v>96</v>
      </c>
      <c r="AS33">
        <v>0.79258517034068099</v>
      </c>
      <c r="AT33" t="s">
        <v>98</v>
      </c>
      <c r="AU33">
        <v>1.0487804878048701</v>
      </c>
      <c r="AV33" t="s">
        <v>108</v>
      </c>
      <c r="AW33">
        <v>1.05852417302798</v>
      </c>
      <c r="AX33" t="s">
        <v>108</v>
      </c>
      <c r="AY33">
        <v>1.12379807692307</v>
      </c>
      <c r="AZ33" t="s">
        <v>113</v>
      </c>
      <c r="BA33">
        <v>1.23266219239373</v>
      </c>
      <c r="BB33" t="s">
        <v>97</v>
      </c>
      <c r="BC33">
        <v>1.0188679245283001</v>
      </c>
      <c r="BD33" t="s">
        <v>91</v>
      </c>
      <c r="BE33">
        <v>1.0028923084628101</v>
      </c>
      <c r="BF33" t="s">
        <v>105</v>
      </c>
      <c r="BG33">
        <v>1.0760456273764201</v>
      </c>
      <c r="BH33" t="s">
        <v>97</v>
      </c>
      <c r="BI33">
        <v>0.82018927444794898</v>
      </c>
      <c r="BJ33" t="s">
        <v>108</v>
      </c>
      <c r="BK33">
        <v>0.95294117647058796</v>
      </c>
      <c r="BL33" t="s">
        <v>105</v>
      </c>
      <c r="BM33">
        <v>1.1438202247191001</v>
      </c>
      <c r="BN33" t="s">
        <v>112</v>
      </c>
      <c r="BO33">
        <v>1.05092592592592</v>
      </c>
      <c r="BP33" t="s">
        <v>108</v>
      </c>
      <c r="BQ33">
        <v>1.08</v>
      </c>
      <c r="BR33" t="s">
        <v>88</v>
      </c>
      <c r="BS33">
        <v>1.0742496050552901</v>
      </c>
      <c r="BT33" t="s">
        <v>105</v>
      </c>
      <c r="BU33">
        <v>1.0185950413223099</v>
      </c>
      <c r="BV33" t="s">
        <v>108</v>
      </c>
      <c r="BW33">
        <v>1.12972085385878</v>
      </c>
    </row>
    <row r="34" spans="1:75" x14ac:dyDescent="0.4">
      <c r="A34">
        <v>32</v>
      </c>
      <c r="B34" t="s">
        <v>107</v>
      </c>
      <c r="C34">
        <v>1.1032448377581101</v>
      </c>
      <c r="D34" t="s">
        <v>118</v>
      </c>
      <c r="E34">
        <v>0.84927536231884004</v>
      </c>
      <c r="F34" t="s">
        <v>105</v>
      </c>
      <c r="G34">
        <v>0.76924395679753099</v>
      </c>
      <c r="H34" t="s">
        <v>84</v>
      </c>
      <c r="I34">
        <v>0.84859813084112101</v>
      </c>
      <c r="J34" t="s">
        <v>91</v>
      </c>
      <c r="K34">
        <v>1.02020245811024</v>
      </c>
      <c r="L34" t="s">
        <v>105</v>
      </c>
      <c r="M34">
        <v>0.82166403565790602</v>
      </c>
      <c r="N34" t="s">
        <v>103</v>
      </c>
      <c r="O34">
        <v>0.88135593220338904</v>
      </c>
      <c r="P34" t="s">
        <v>103</v>
      </c>
      <c r="Q34">
        <v>1.0096153846153799</v>
      </c>
      <c r="R34" t="s">
        <v>84</v>
      </c>
      <c r="S34">
        <v>1.2368794326241099</v>
      </c>
      <c r="T34" t="s">
        <v>98</v>
      </c>
      <c r="U34">
        <v>0.98486932599724897</v>
      </c>
      <c r="V34" t="s">
        <v>88</v>
      </c>
      <c r="W34">
        <v>1.1094224924012099</v>
      </c>
      <c r="X34" t="s">
        <v>91</v>
      </c>
      <c r="Y34">
        <v>1.0272237823528301</v>
      </c>
      <c r="Z34" t="s">
        <v>108</v>
      </c>
      <c r="AA34">
        <v>0.96310935441370205</v>
      </c>
      <c r="AB34" t="s">
        <v>113</v>
      </c>
      <c r="AC34">
        <v>1.24259259259259</v>
      </c>
      <c r="AD34" t="s">
        <v>102</v>
      </c>
      <c r="AE34">
        <v>0.86923342816878901</v>
      </c>
      <c r="AF34" t="s">
        <v>113</v>
      </c>
      <c r="AG34">
        <v>1.31175059952038</v>
      </c>
      <c r="AH34" t="s">
        <v>108</v>
      </c>
      <c r="AI34">
        <v>0.87723785166240398</v>
      </c>
      <c r="AJ34" t="s">
        <v>97</v>
      </c>
      <c r="AK34">
        <v>1</v>
      </c>
      <c r="AL34" t="s">
        <v>112</v>
      </c>
      <c r="AM34">
        <v>1.3146458509257899</v>
      </c>
      <c r="AN34" t="s">
        <v>108</v>
      </c>
      <c r="AO34">
        <v>1.001443001443</v>
      </c>
      <c r="AP34" t="s">
        <v>105</v>
      </c>
      <c r="AQ34">
        <v>1.1240875912408701</v>
      </c>
      <c r="AR34" t="s">
        <v>91</v>
      </c>
      <c r="AS34">
        <v>0.96648909083787005</v>
      </c>
      <c r="AT34" t="s">
        <v>88</v>
      </c>
      <c r="AU34">
        <v>1.1318181818181801</v>
      </c>
      <c r="AV34" t="s">
        <v>97</v>
      </c>
      <c r="AW34">
        <v>1.08227848101265</v>
      </c>
      <c r="AX34" t="s">
        <v>97</v>
      </c>
      <c r="AY34">
        <v>1.3567251461988299</v>
      </c>
      <c r="AZ34" t="s">
        <v>112</v>
      </c>
      <c r="BA34">
        <v>0.89102564102564097</v>
      </c>
      <c r="BB34" t="s">
        <v>113</v>
      </c>
      <c r="BC34">
        <v>0.80580762250453697</v>
      </c>
      <c r="BD34" t="s">
        <v>100</v>
      </c>
      <c r="BE34">
        <v>0.87643678160919503</v>
      </c>
      <c r="BF34" t="s">
        <v>108</v>
      </c>
      <c r="BG34">
        <v>1.1194331983805601</v>
      </c>
      <c r="BH34" t="s">
        <v>112</v>
      </c>
      <c r="BI34">
        <v>0.83783783783783705</v>
      </c>
      <c r="BJ34" t="s">
        <v>97</v>
      </c>
      <c r="BK34">
        <v>0.93269230769230704</v>
      </c>
      <c r="BL34" t="s">
        <v>108</v>
      </c>
      <c r="BM34">
        <v>1.0599647266313901</v>
      </c>
      <c r="BN34" t="s">
        <v>115</v>
      </c>
      <c r="BO34">
        <v>1.0594059405940499</v>
      </c>
      <c r="BP34" t="s">
        <v>97</v>
      </c>
      <c r="BQ34">
        <v>1.02425373134328</v>
      </c>
      <c r="BR34" t="s">
        <v>105</v>
      </c>
      <c r="BS34">
        <v>1.0146750524109001</v>
      </c>
      <c r="BT34" t="s">
        <v>108</v>
      </c>
      <c r="BU34">
        <v>1.00329489291598</v>
      </c>
      <c r="BV34" t="s">
        <v>97</v>
      </c>
      <c r="BW34">
        <v>0.98738738738738696</v>
      </c>
    </row>
    <row r="35" spans="1:75" x14ac:dyDescent="0.4">
      <c r="A35">
        <v>33</v>
      </c>
      <c r="B35" t="s">
        <v>108</v>
      </c>
      <c r="C35">
        <v>1.1787602858100901</v>
      </c>
      <c r="D35" t="s">
        <v>102</v>
      </c>
      <c r="E35">
        <v>0.90569829760403497</v>
      </c>
      <c r="F35" t="s">
        <v>107</v>
      </c>
      <c r="G35">
        <v>0.31525851197982302</v>
      </c>
      <c r="H35" t="s">
        <v>98</v>
      </c>
      <c r="I35">
        <v>1.1973684210526301</v>
      </c>
      <c r="J35" t="s">
        <v>100</v>
      </c>
      <c r="K35">
        <v>0.96407078591431805</v>
      </c>
      <c r="L35" t="s">
        <v>108</v>
      </c>
      <c r="M35">
        <v>1.1656626506023999</v>
      </c>
      <c r="N35" t="s">
        <v>105</v>
      </c>
      <c r="O35">
        <v>1.02232016725998</v>
      </c>
      <c r="P35" t="s">
        <v>105</v>
      </c>
      <c r="Q35">
        <v>0.94047092637629803</v>
      </c>
      <c r="R35" t="s">
        <v>98</v>
      </c>
      <c r="S35">
        <v>0.95657894736842097</v>
      </c>
      <c r="T35" t="s">
        <v>103</v>
      </c>
      <c r="U35">
        <v>1.05250875145857</v>
      </c>
      <c r="V35" t="s">
        <v>103</v>
      </c>
      <c r="W35">
        <v>1.0199556541019901</v>
      </c>
      <c r="X35" t="s">
        <v>84</v>
      </c>
      <c r="Y35">
        <v>0.892405063291139</v>
      </c>
      <c r="Z35" t="s">
        <v>97</v>
      </c>
      <c r="AA35">
        <v>1.0116666666666601</v>
      </c>
      <c r="AB35" t="s">
        <v>112</v>
      </c>
      <c r="AC35">
        <v>0.838756386653703</v>
      </c>
      <c r="AD35" t="s">
        <v>120</v>
      </c>
      <c r="AE35">
        <v>1.1132596685082801</v>
      </c>
      <c r="AF35" t="s">
        <v>112</v>
      </c>
      <c r="AG35">
        <v>1.29376854599406</v>
      </c>
      <c r="AH35" t="s">
        <v>97</v>
      </c>
      <c r="AI35">
        <v>0.83241252302025703</v>
      </c>
      <c r="AJ35" t="s">
        <v>113</v>
      </c>
      <c r="AK35">
        <v>0.95196506550218296</v>
      </c>
      <c r="AL35" t="s">
        <v>102</v>
      </c>
      <c r="AM35">
        <v>0.91883951524054297</v>
      </c>
      <c r="AN35" t="s">
        <v>113</v>
      </c>
      <c r="AO35">
        <v>1.02102102102102</v>
      </c>
      <c r="AP35" t="s">
        <v>108</v>
      </c>
      <c r="AQ35">
        <v>1.4135446685878901</v>
      </c>
      <c r="AR35" t="s">
        <v>98</v>
      </c>
      <c r="AS35">
        <v>0.93299620733249</v>
      </c>
      <c r="AT35" t="s">
        <v>105</v>
      </c>
      <c r="AU35">
        <v>0.90161259723012699</v>
      </c>
      <c r="AV35" t="s">
        <v>113</v>
      </c>
      <c r="AW35">
        <v>1.02770083102493</v>
      </c>
      <c r="AX35" t="s">
        <v>113</v>
      </c>
      <c r="AY35">
        <v>1.20485175202156</v>
      </c>
      <c r="AZ35" t="s">
        <v>115</v>
      </c>
      <c r="BA35">
        <v>0.97422680412371099</v>
      </c>
      <c r="BB35" t="s">
        <v>112</v>
      </c>
      <c r="BC35">
        <v>1.05395683453237</v>
      </c>
      <c r="BD35" t="s">
        <v>105</v>
      </c>
      <c r="BE35">
        <v>1.0950576674855299</v>
      </c>
      <c r="BF35" t="s">
        <v>97</v>
      </c>
      <c r="BG35">
        <v>1.10452961672473</v>
      </c>
      <c r="BH35" t="s">
        <v>115</v>
      </c>
      <c r="BI35">
        <v>0.950089126559714</v>
      </c>
      <c r="BJ35" t="s">
        <v>112</v>
      </c>
      <c r="BK35">
        <v>0.85887096774193505</v>
      </c>
      <c r="BL35" t="s">
        <v>97</v>
      </c>
      <c r="BM35">
        <v>1.0061855670102999</v>
      </c>
      <c r="BN35" t="s">
        <v>121</v>
      </c>
      <c r="BO35">
        <v>1.0817253121452799</v>
      </c>
      <c r="BP35" t="s">
        <v>112</v>
      </c>
      <c r="BQ35">
        <v>0.876651982378854</v>
      </c>
      <c r="BR35" t="s">
        <v>107</v>
      </c>
      <c r="BS35">
        <v>0.99425287356321801</v>
      </c>
      <c r="BT35" t="s">
        <v>97</v>
      </c>
      <c r="BU35">
        <v>1.0090909090908999</v>
      </c>
      <c r="BV35" t="s">
        <v>112</v>
      </c>
      <c r="BW35">
        <v>1.0845213849287101</v>
      </c>
    </row>
    <row r="36" spans="1:75" x14ac:dyDescent="0.4">
      <c r="A36">
        <v>34</v>
      </c>
      <c r="B36" t="s">
        <v>97</v>
      </c>
      <c r="C36">
        <v>0.92733017377567095</v>
      </c>
      <c r="D36" t="s">
        <v>120</v>
      </c>
      <c r="E36">
        <v>0.96969696969696895</v>
      </c>
      <c r="F36" t="s">
        <v>108</v>
      </c>
      <c r="G36">
        <v>0.47270114942528701</v>
      </c>
      <c r="H36" t="s">
        <v>105</v>
      </c>
      <c r="I36">
        <v>1.2299977713394199</v>
      </c>
      <c r="J36" t="s">
        <v>84</v>
      </c>
      <c r="K36">
        <v>1.41850220264317</v>
      </c>
      <c r="L36" t="s">
        <v>97</v>
      </c>
      <c r="M36">
        <v>1.0534883720930199</v>
      </c>
      <c r="N36" t="s">
        <v>108</v>
      </c>
      <c r="O36">
        <v>0.91989664082687295</v>
      </c>
      <c r="P36" t="s">
        <v>108</v>
      </c>
      <c r="Q36">
        <v>0.800561797752809</v>
      </c>
      <c r="R36" t="s">
        <v>88</v>
      </c>
      <c r="S36">
        <v>1.0334928229664999</v>
      </c>
      <c r="T36" t="s">
        <v>105</v>
      </c>
      <c r="U36">
        <v>0.89299195798457198</v>
      </c>
      <c r="V36" t="s">
        <v>105</v>
      </c>
      <c r="W36">
        <v>1.55731176866997</v>
      </c>
      <c r="X36" t="s">
        <v>98</v>
      </c>
      <c r="Y36">
        <v>0.964769647696477</v>
      </c>
      <c r="Z36" t="s">
        <v>113</v>
      </c>
      <c r="AA36">
        <v>0.98901098901098905</v>
      </c>
      <c r="AB36" t="s">
        <v>121</v>
      </c>
      <c r="AC36">
        <v>1.2214765100671101</v>
      </c>
      <c r="AD36" t="s">
        <v>104</v>
      </c>
      <c r="AE36">
        <v>0.70404984423675998</v>
      </c>
      <c r="AF36" t="s">
        <v>102</v>
      </c>
      <c r="AG36">
        <v>1.1301581475023701</v>
      </c>
      <c r="AH36" t="s">
        <v>113</v>
      </c>
      <c r="AI36">
        <v>0.83729433272394804</v>
      </c>
      <c r="AJ36" t="s">
        <v>112</v>
      </c>
      <c r="AK36">
        <v>1.0593689998254401</v>
      </c>
      <c r="AL36" t="s">
        <v>104</v>
      </c>
      <c r="AM36">
        <v>1.09562841530054</v>
      </c>
      <c r="AN36" t="s">
        <v>112</v>
      </c>
      <c r="AO36">
        <v>1.23770954096819</v>
      </c>
      <c r="AP36" t="s">
        <v>97</v>
      </c>
      <c r="AQ36">
        <v>0.938271604938271</v>
      </c>
      <c r="AR36" t="s">
        <v>88</v>
      </c>
      <c r="AS36">
        <v>0.94285714285714195</v>
      </c>
      <c r="AT36" t="s">
        <v>108</v>
      </c>
      <c r="AU36">
        <v>1.04244031830238</v>
      </c>
      <c r="AV36" t="s">
        <v>112</v>
      </c>
      <c r="AW36">
        <v>1.11666666666666</v>
      </c>
      <c r="AX36" t="s">
        <v>112</v>
      </c>
      <c r="AY36">
        <v>1.16417910447761</v>
      </c>
      <c r="AZ36" t="s">
        <v>121</v>
      </c>
      <c r="BA36">
        <v>1.0691434468524199</v>
      </c>
      <c r="BB36" t="s">
        <v>115</v>
      </c>
      <c r="BC36">
        <v>0.88888888888888795</v>
      </c>
      <c r="BD36" t="s">
        <v>108</v>
      </c>
      <c r="BE36">
        <v>0.99396378269617702</v>
      </c>
      <c r="BF36" t="s">
        <v>113</v>
      </c>
      <c r="BG36">
        <v>2.6308243727598501</v>
      </c>
      <c r="BH36" t="s">
        <v>121</v>
      </c>
      <c r="BI36">
        <v>0.95459837019790394</v>
      </c>
      <c r="BJ36" t="s">
        <v>115</v>
      </c>
      <c r="BK36">
        <v>0.971857410881801</v>
      </c>
      <c r="BL36" t="s">
        <v>112</v>
      </c>
      <c r="BM36">
        <v>1.0140845070422499</v>
      </c>
      <c r="BN36" t="s">
        <v>118</v>
      </c>
      <c r="BO36">
        <v>1.05010893246187</v>
      </c>
      <c r="BP36" t="s">
        <v>115</v>
      </c>
      <c r="BQ36">
        <v>0.99813084112149497</v>
      </c>
      <c r="BR36" t="s">
        <v>108</v>
      </c>
      <c r="BS36">
        <v>0.89925925925925898</v>
      </c>
      <c r="BT36" t="s">
        <v>112</v>
      </c>
      <c r="BU36">
        <v>0.91775700934579396</v>
      </c>
      <c r="BV36" t="s">
        <v>115</v>
      </c>
      <c r="BW36">
        <v>1.1154529307282399</v>
      </c>
    </row>
    <row r="37" spans="1:75" x14ac:dyDescent="0.4">
      <c r="A37">
        <v>35</v>
      </c>
      <c r="B37" t="s">
        <v>113</v>
      </c>
      <c r="C37">
        <v>1.34708005443464</v>
      </c>
      <c r="D37" t="s">
        <v>124</v>
      </c>
      <c r="E37">
        <v>0.81599123767798398</v>
      </c>
      <c r="F37" t="s">
        <v>97</v>
      </c>
      <c r="G37">
        <v>0.75922671353251303</v>
      </c>
      <c r="H37" t="s">
        <v>97</v>
      </c>
      <c r="I37">
        <v>0.842592592592592</v>
      </c>
      <c r="J37" t="s">
        <v>98</v>
      </c>
      <c r="K37">
        <v>1.39743589743589</v>
      </c>
      <c r="L37" t="s">
        <v>113</v>
      </c>
      <c r="M37">
        <v>0.98459005244035502</v>
      </c>
      <c r="N37" t="s">
        <v>97</v>
      </c>
      <c r="O37">
        <v>0.95364238410596003</v>
      </c>
      <c r="P37" t="s">
        <v>97</v>
      </c>
      <c r="Q37">
        <v>0.967592592592592</v>
      </c>
      <c r="R37" t="s">
        <v>103</v>
      </c>
      <c r="S37">
        <v>0.81619047619047602</v>
      </c>
      <c r="T37" t="s">
        <v>108</v>
      </c>
      <c r="U37">
        <v>1.1154708520179299</v>
      </c>
      <c r="V37" t="s">
        <v>108</v>
      </c>
      <c r="W37">
        <v>1.06532663316582</v>
      </c>
      <c r="X37" t="s">
        <v>88</v>
      </c>
      <c r="Y37">
        <v>1.0547945205479401</v>
      </c>
      <c r="Z37" t="s">
        <v>112</v>
      </c>
      <c r="AA37">
        <v>1.04052948773138</v>
      </c>
      <c r="AB37" t="s">
        <v>102</v>
      </c>
      <c r="AC37">
        <v>1.1751343582052201</v>
      </c>
      <c r="AD37" t="s">
        <v>106</v>
      </c>
      <c r="AE37">
        <v>0.77013422818791899</v>
      </c>
      <c r="AF37" t="s">
        <v>120</v>
      </c>
      <c r="AG37">
        <v>1.0967741935483799</v>
      </c>
      <c r="AH37" t="s">
        <v>112</v>
      </c>
      <c r="AI37">
        <v>1.0305810397553501</v>
      </c>
      <c r="AJ37" t="s">
        <v>121</v>
      </c>
      <c r="AK37">
        <v>1.0504201680672201</v>
      </c>
      <c r="AL37" t="s">
        <v>106</v>
      </c>
      <c r="AM37">
        <v>1.0106007067137801</v>
      </c>
      <c r="AN37" t="s">
        <v>121</v>
      </c>
      <c r="AO37">
        <v>1.52637244348762</v>
      </c>
      <c r="AP37" t="s">
        <v>113</v>
      </c>
      <c r="AQ37">
        <v>1.3588235294117601</v>
      </c>
      <c r="AR37" t="s">
        <v>105</v>
      </c>
      <c r="AS37">
        <v>0.97792207792207797</v>
      </c>
      <c r="AT37" t="s">
        <v>97</v>
      </c>
      <c r="AU37">
        <v>0.94047619047619002</v>
      </c>
      <c r="AV37" t="s">
        <v>121</v>
      </c>
      <c r="AW37">
        <v>1.0244399185335999</v>
      </c>
      <c r="AX37" t="s">
        <v>121</v>
      </c>
      <c r="AY37">
        <v>0.96322067594433403</v>
      </c>
      <c r="AZ37" t="s">
        <v>118</v>
      </c>
      <c r="BA37">
        <v>2.1844380403458201</v>
      </c>
      <c r="BB37" t="s">
        <v>121</v>
      </c>
      <c r="BC37">
        <v>0.77992277992277903</v>
      </c>
      <c r="BD37" t="s">
        <v>97</v>
      </c>
      <c r="BE37">
        <v>1.06296296296296</v>
      </c>
      <c r="BF37" t="s">
        <v>112</v>
      </c>
      <c r="BG37">
        <v>1.0068027210884301</v>
      </c>
      <c r="BH37" t="s">
        <v>102</v>
      </c>
      <c r="BI37">
        <v>0.77537437603993298</v>
      </c>
      <c r="BJ37" t="s">
        <v>121</v>
      </c>
      <c r="BK37">
        <v>0.99024390243902405</v>
      </c>
      <c r="BL37" t="s">
        <v>115</v>
      </c>
      <c r="BM37">
        <v>0.97490347490347495</v>
      </c>
      <c r="BN37" t="s">
        <v>102</v>
      </c>
      <c r="BO37">
        <v>0.98873591989987397</v>
      </c>
      <c r="BP37" t="s">
        <v>121</v>
      </c>
      <c r="BQ37">
        <v>1.0136411332633699</v>
      </c>
      <c r="BR37" t="s">
        <v>97</v>
      </c>
      <c r="BS37">
        <v>1.00182149362477</v>
      </c>
      <c r="BT37" t="s">
        <v>115</v>
      </c>
      <c r="BU37">
        <v>0.96735395189003404</v>
      </c>
      <c r="BV37" t="s">
        <v>118</v>
      </c>
      <c r="BW37">
        <v>1.06692913385826</v>
      </c>
    </row>
    <row r="38" spans="1:75" x14ac:dyDescent="0.4">
      <c r="A38">
        <v>36</v>
      </c>
      <c r="B38" t="s">
        <v>112</v>
      </c>
      <c r="C38">
        <v>1.04909673887542</v>
      </c>
      <c r="D38" t="s">
        <v>127</v>
      </c>
      <c r="E38">
        <v>0.75806451612903203</v>
      </c>
      <c r="F38" t="s">
        <v>112</v>
      </c>
      <c r="G38">
        <v>0.67357145215066105</v>
      </c>
      <c r="H38" t="s">
        <v>113</v>
      </c>
      <c r="I38">
        <v>1.2225173380551799</v>
      </c>
      <c r="J38" t="s">
        <v>88</v>
      </c>
      <c r="K38">
        <v>2.3287671232876699</v>
      </c>
      <c r="L38" t="s">
        <v>112</v>
      </c>
      <c r="M38">
        <v>1.2545473208786599</v>
      </c>
      <c r="N38" t="s">
        <v>113</v>
      </c>
      <c r="O38">
        <v>0.80240674761870101</v>
      </c>
      <c r="P38" t="s">
        <v>113</v>
      </c>
      <c r="Q38">
        <v>0.68075755516288305</v>
      </c>
      <c r="R38" t="s">
        <v>105</v>
      </c>
      <c r="S38">
        <v>1.0742873934763399</v>
      </c>
      <c r="T38" t="s">
        <v>97</v>
      </c>
      <c r="U38">
        <v>1.2380952380952299</v>
      </c>
      <c r="V38" t="s">
        <v>97</v>
      </c>
      <c r="W38">
        <v>1.09523809523809</v>
      </c>
      <c r="X38" t="s">
        <v>103</v>
      </c>
      <c r="Y38">
        <v>0.97608695652173905</v>
      </c>
      <c r="Z38" t="s">
        <v>102</v>
      </c>
      <c r="AA38">
        <v>1.2482546121143501</v>
      </c>
      <c r="AB38" t="s">
        <v>120</v>
      </c>
      <c r="AC38">
        <v>1.04322766570605</v>
      </c>
      <c r="AD38" t="s">
        <v>128</v>
      </c>
      <c r="AE38">
        <v>0.91823237637156097</v>
      </c>
      <c r="AF38" t="s">
        <v>104</v>
      </c>
      <c r="AG38">
        <v>1.0663716814159201</v>
      </c>
      <c r="AH38" t="s">
        <v>102</v>
      </c>
      <c r="AI38">
        <v>0.75055486385535597</v>
      </c>
      <c r="AJ38" t="s">
        <v>102</v>
      </c>
      <c r="AK38">
        <v>0.98196898665705001</v>
      </c>
      <c r="AL38" t="s">
        <v>128</v>
      </c>
      <c r="AM38">
        <v>2.0447896120973001</v>
      </c>
      <c r="AN38" t="s">
        <v>102</v>
      </c>
      <c r="AO38">
        <v>0.98333333333333295</v>
      </c>
      <c r="AP38" t="s">
        <v>112</v>
      </c>
      <c r="AQ38">
        <v>1.0066200017720801</v>
      </c>
      <c r="AR38" t="s">
        <v>108</v>
      </c>
      <c r="AS38">
        <v>0.76860346585117201</v>
      </c>
      <c r="AT38" t="s">
        <v>113</v>
      </c>
      <c r="AU38">
        <v>0.92327365728900201</v>
      </c>
      <c r="AV38" t="s">
        <v>102</v>
      </c>
      <c r="AW38">
        <v>0.93489461358313797</v>
      </c>
      <c r="AX38" t="s">
        <v>102</v>
      </c>
      <c r="AY38">
        <v>1.0055778223112799</v>
      </c>
      <c r="AZ38" t="s">
        <v>102</v>
      </c>
      <c r="BA38">
        <v>1.44597601886604</v>
      </c>
      <c r="BB38" t="s">
        <v>102</v>
      </c>
      <c r="BC38">
        <v>1.06514448477052</v>
      </c>
      <c r="BD38" t="s">
        <v>113</v>
      </c>
      <c r="BE38">
        <v>1.2567567567567499</v>
      </c>
      <c r="BF38" t="s">
        <v>115</v>
      </c>
      <c r="BG38">
        <v>1.11976047904191</v>
      </c>
      <c r="BH38" t="s">
        <v>124</v>
      </c>
      <c r="BI38">
        <v>1.0370370370370301</v>
      </c>
      <c r="BJ38" t="s">
        <v>102</v>
      </c>
      <c r="BK38">
        <v>0.87553648068669498</v>
      </c>
      <c r="BL38" t="s">
        <v>121</v>
      </c>
      <c r="BM38">
        <v>1.0849753694581199</v>
      </c>
      <c r="BN38" t="s">
        <v>124</v>
      </c>
      <c r="BO38">
        <v>0.99677419354838703</v>
      </c>
      <c r="BP38" t="s">
        <v>118</v>
      </c>
      <c r="BQ38">
        <v>0.98029045643153501</v>
      </c>
      <c r="BR38" t="s">
        <v>112</v>
      </c>
      <c r="BS38">
        <v>1.0753768844221101</v>
      </c>
      <c r="BT38" t="s">
        <v>118</v>
      </c>
      <c r="BU38">
        <v>0.96577946768060796</v>
      </c>
      <c r="BV38" t="s">
        <v>102</v>
      </c>
      <c r="BW38">
        <v>0.97442143727162001</v>
      </c>
    </row>
    <row r="39" spans="1:75" x14ac:dyDescent="0.4">
      <c r="A39">
        <v>37</v>
      </c>
      <c r="B39" t="s">
        <v>115</v>
      </c>
      <c r="C39">
        <v>0.80589254766031104</v>
      </c>
      <c r="D39" t="s">
        <v>128</v>
      </c>
      <c r="E39">
        <v>0.97781771213567703</v>
      </c>
      <c r="F39" t="s">
        <v>102</v>
      </c>
      <c r="G39">
        <v>0.91645999216812402</v>
      </c>
      <c r="H39" t="s">
        <v>112</v>
      </c>
      <c r="I39">
        <v>0.93846945526722003</v>
      </c>
      <c r="J39" t="s">
        <v>105</v>
      </c>
      <c r="K39">
        <v>0.97562964305127697</v>
      </c>
      <c r="L39" t="s">
        <v>102</v>
      </c>
      <c r="M39">
        <v>0.89880540426684297</v>
      </c>
      <c r="N39" t="s">
        <v>112</v>
      </c>
      <c r="O39">
        <v>0.85617503150108798</v>
      </c>
      <c r="P39" t="s">
        <v>112</v>
      </c>
      <c r="Q39">
        <v>0.98599006116207899</v>
      </c>
      <c r="R39" t="s">
        <v>108</v>
      </c>
      <c r="S39">
        <v>0.78245614035087696</v>
      </c>
      <c r="T39" t="s">
        <v>113</v>
      </c>
      <c r="U39">
        <v>1.24470134874759</v>
      </c>
      <c r="V39" t="s">
        <v>113</v>
      </c>
      <c r="W39">
        <v>1.0092879256965901</v>
      </c>
      <c r="X39" t="s">
        <v>105</v>
      </c>
      <c r="Y39">
        <v>0.69984264358772597</v>
      </c>
      <c r="Z39" t="s">
        <v>120</v>
      </c>
      <c r="AA39">
        <v>1.3742574257425699</v>
      </c>
      <c r="AB39" t="s">
        <v>104</v>
      </c>
      <c r="AC39">
        <v>1.2298850574712601</v>
      </c>
      <c r="AD39" t="s">
        <v>129</v>
      </c>
      <c r="AE39">
        <v>1.10840108401084</v>
      </c>
      <c r="AF39" t="s">
        <v>106</v>
      </c>
      <c r="AG39">
        <v>1.5642701525054401</v>
      </c>
      <c r="AH39" t="s">
        <v>124</v>
      </c>
      <c r="AI39">
        <v>0.83111111111111102</v>
      </c>
      <c r="AJ39" t="s">
        <v>104</v>
      </c>
      <c r="AK39">
        <v>1.0338983050847399</v>
      </c>
      <c r="AL39" t="s">
        <v>129</v>
      </c>
      <c r="AM39">
        <v>0.84735202492211803</v>
      </c>
      <c r="AN39" t="s">
        <v>124</v>
      </c>
      <c r="AO39">
        <v>1.15384615384615</v>
      </c>
      <c r="AP39" t="s">
        <v>102</v>
      </c>
      <c r="AQ39">
        <v>1.1660773076454001</v>
      </c>
      <c r="AR39" t="s">
        <v>97</v>
      </c>
      <c r="AS39">
        <v>0.884210526315789</v>
      </c>
      <c r="AT39" t="s">
        <v>112</v>
      </c>
      <c r="AU39">
        <v>1.32272216220982</v>
      </c>
      <c r="AV39" t="s">
        <v>124</v>
      </c>
      <c r="AW39">
        <v>1.00790513833992</v>
      </c>
      <c r="AX39" t="s">
        <v>124</v>
      </c>
      <c r="AY39">
        <v>1.0196078431372499</v>
      </c>
      <c r="AZ39" t="s">
        <v>124</v>
      </c>
      <c r="BA39">
        <v>1.21923076923076</v>
      </c>
      <c r="BB39" t="s">
        <v>124</v>
      </c>
      <c r="BC39">
        <v>0.93533123028391096</v>
      </c>
      <c r="BD39" t="s">
        <v>112</v>
      </c>
      <c r="BE39">
        <v>1.0034129692832701</v>
      </c>
      <c r="BF39" t="s">
        <v>121</v>
      </c>
      <c r="BG39">
        <v>1.0312124849939901</v>
      </c>
      <c r="BH39" t="s">
        <v>130</v>
      </c>
      <c r="BI39">
        <v>0.67008547008547004</v>
      </c>
      <c r="BJ39" t="s">
        <v>124</v>
      </c>
      <c r="BK39">
        <v>0.89560439560439498</v>
      </c>
      <c r="BL39" t="s">
        <v>118</v>
      </c>
      <c r="BM39">
        <v>1.0443686006825901</v>
      </c>
      <c r="BN39" t="s">
        <v>130</v>
      </c>
      <c r="BO39">
        <v>1.0450450450450399</v>
      </c>
      <c r="BP39" t="s">
        <v>102</v>
      </c>
      <c r="BQ39">
        <v>0.95063291139240502</v>
      </c>
      <c r="BR39" t="s">
        <v>115</v>
      </c>
      <c r="BS39">
        <v>1.08988764044943</v>
      </c>
      <c r="BT39" t="s">
        <v>102</v>
      </c>
      <c r="BU39">
        <v>0.98205741626794196</v>
      </c>
      <c r="BV39" t="s">
        <v>124</v>
      </c>
      <c r="BW39">
        <v>0.915022761760242</v>
      </c>
    </row>
    <row r="40" spans="1:75" x14ac:dyDescent="0.4">
      <c r="A40">
        <v>38</v>
      </c>
      <c r="B40" t="s">
        <v>118</v>
      </c>
      <c r="C40">
        <v>0.86142322097378199</v>
      </c>
      <c r="D40" t="s">
        <v>132</v>
      </c>
      <c r="E40">
        <v>0.93817203674745597</v>
      </c>
      <c r="F40" t="s">
        <v>120</v>
      </c>
      <c r="G40">
        <v>0.73958333333333304</v>
      </c>
      <c r="H40" t="s">
        <v>102</v>
      </c>
      <c r="I40">
        <v>1.0850780990362201</v>
      </c>
      <c r="J40" t="s">
        <v>108</v>
      </c>
      <c r="K40">
        <v>1.5090909090908999</v>
      </c>
      <c r="L40" t="s">
        <v>120</v>
      </c>
      <c r="M40">
        <v>1.0689655172413699</v>
      </c>
      <c r="N40" t="s">
        <v>102</v>
      </c>
      <c r="O40">
        <v>0.82447271509876097</v>
      </c>
      <c r="P40" t="s">
        <v>102</v>
      </c>
      <c r="Q40">
        <v>1.01465870792219</v>
      </c>
      <c r="R40" t="s">
        <v>97</v>
      </c>
      <c r="S40">
        <v>1.0550239234449701</v>
      </c>
      <c r="T40" t="s">
        <v>112</v>
      </c>
      <c r="U40">
        <v>1.02201452870304</v>
      </c>
      <c r="V40" t="s">
        <v>112</v>
      </c>
      <c r="W40">
        <v>0.99659775495167502</v>
      </c>
      <c r="X40" t="s">
        <v>108</v>
      </c>
      <c r="Y40">
        <v>0.71603773584905595</v>
      </c>
      <c r="Z40" t="s">
        <v>124</v>
      </c>
      <c r="AA40">
        <v>0.80043859649122795</v>
      </c>
      <c r="AB40" t="s">
        <v>106</v>
      </c>
      <c r="AC40">
        <v>0.93563579277864894</v>
      </c>
      <c r="AD40" t="s">
        <v>133</v>
      </c>
      <c r="AE40">
        <v>1.135</v>
      </c>
      <c r="AF40" t="s">
        <v>128</v>
      </c>
      <c r="AG40">
        <v>1.0202160746439599</v>
      </c>
      <c r="AH40" t="s">
        <v>104</v>
      </c>
      <c r="AI40">
        <v>0.73443983402489599</v>
      </c>
      <c r="AJ40" t="s">
        <v>106</v>
      </c>
      <c r="AK40">
        <v>0.95608108108108103</v>
      </c>
      <c r="AL40" t="s">
        <v>126</v>
      </c>
      <c r="AM40">
        <v>1.0040816326530599</v>
      </c>
      <c r="AN40" t="s">
        <v>104</v>
      </c>
      <c r="AO40">
        <v>1.02244389027431</v>
      </c>
      <c r="AP40" t="s">
        <v>124</v>
      </c>
      <c r="AQ40">
        <v>1.0125</v>
      </c>
      <c r="AR40" t="s">
        <v>113</v>
      </c>
      <c r="AS40">
        <v>0.84632034632034603</v>
      </c>
      <c r="AT40" t="s">
        <v>121</v>
      </c>
      <c r="AU40">
        <v>1.14186046511627</v>
      </c>
      <c r="AV40" t="s">
        <v>130</v>
      </c>
      <c r="AW40">
        <v>0.89293849658314295</v>
      </c>
      <c r="AX40" t="s">
        <v>130</v>
      </c>
      <c r="AY40">
        <v>1.0153061224489699</v>
      </c>
      <c r="AZ40" t="s">
        <v>130</v>
      </c>
      <c r="BA40">
        <v>1.24371859296482</v>
      </c>
      <c r="BB40" t="s">
        <v>130</v>
      </c>
      <c r="BC40">
        <v>1.0363636363636299</v>
      </c>
      <c r="BD40" t="s">
        <v>115</v>
      </c>
      <c r="BE40">
        <v>0.99404761904761896</v>
      </c>
      <c r="BF40" t="s">
        <v>102</v>
      </c>
      <c r="BG40">
        <v>1.2760084925690001</v>
      </c>
      <c r="BH40" t="s">
        <v>104</v>
      </c>
      <c r="BI40">
        <v>0.79601990049751203</v>
      </c>
      <c r="BJ40" t="s">
        <v>130</v>
      </c>
      <c r="BK40">
        <v>0.82908163265306101</v>
      </c>
      <c r="BL40" t="s">
        <v>102</v>
      </c>
      <c r="BM40">
        <v>0.97916666666666596</v>
      </c>
      <c r="BN40" t="s">
        <v>104</v>
      </c>
      <c r="BO40">
        <v>0.73700623700623702</v>
      </c>
      <c r="BP40" t="s">
        <v>124</v>
      </c>
      <c r="BQ40">
        <v>0.90614886731391497</v>
      </c>
      <c r="BR40" t="s">
        <v>118</v>
      </c>
      <c r="BS40">
        <v>1.11322751322751</v>
      </c>
      <c r="BT40" t="s">
        <v>124</v>
      </c>
      <c r="BU40">
        <v>1.0560897435897401</v>
      </c>
      <c r="BV40" t="s">
        <v>130</v>
      </c>
      <c r="BW40">
        <v>1.0284974093264201</v>
      </c>
    </row>
    <row r="41" spans="1:75" x14ac:dyDescent="0.4">
      <c r="A41">
        <v>39</v>
      </c>
      <c r="B41" t="s">
        <v>102</v>
      </c>
      <c r="C41">
        <v>1.0447097571016799</v>
      </c>
      <c r="D41" t="s">
        <v>135</v>
      </c>
      <c r="E41">
        <v>0.58701298701298699</v>
      </c>
      <c r="F41" t="s">
        <v>124</v>
      </c>
      <c r="G41">
        <v>0.69127516778523401</v>
      </c>
      <c r="H41" t="s">
        <v>120</v>
      </c>
      <c r="I41">
        <v>0.87323943661971803</v>
      </c>
      <c r="J41" t="s">
        <v>97</v>
      </c>
      <c r="K41">
        <v>1.18131868131868</v>
      </c>
      <c r="L41" t="s">
        <v>124</v>
      </c>
      <c r="M41">
        <v>1.1414514145141399</v>
      </c>
      <c r="N41" t="s">
        <v>120</v>
      </c>
      <c r="O41">
        <v>1.1182795698924699</v>
      </c>
      <c r="P41" t="s">
        <v>120</v>
      </c>
      <c r="Q41">
        <v>1.14182692307692</v>
      </c>
      <c r="R41" t="s">
        <v>113</v>
      </c>
      <c r="S41">
        <v>0.86356073211314399</v>
      </c>
      <c r="T41" t="s">
        <v>102</v>
      </c>
      <c r="U41">
        <v>1.0311796488068401</v>
      </c>
      <c r="V41" t="s">
        <v>102</v>
      </c>
      <c r="W41">
        <v>0.99345049667066898</v>
      </c>
      <c r="X41" t="s">
        <v>97</v>
      </c>
      <c r="Y41">
        <v>1.0033444816053501</v>
      </c>
      <c r="Z41" t="s">
        <v>104</v>
      </c>
      <c r="AA41">
        <v>0.87</v>
      </c>
      <c r="AB41" t="s">
        <v>128</v>
      </c>
      <c r="AC41">
        <v>1.08029552650807</v>
      </c>
      <c r="AD41" t="s">
        <v>136</v>
      </c>
      <c r="AE41">
        <v>0.74911595012097498</v>
      </c>
      <c r="AF41" t="s">
        <v>133</v>
      </c>
      <c r="AG41">
        <v>1.19383259911894</v>
      </c>
      <c r="AH41" t="s">
        <v>106</v>
      </c>
      <c r="AI41">
        <v>0.82451253481894105</v>
      </c>
      <c r="AJ41" t="s">
        <v>128</v>
      </c>
      <c r="AK41">
        <v>1.1080958018395399</v>
      </c>
      <c r="AL41" t="s">
        <v>133</v>
      </c>
      <c r="AM41">
        <v>0.958620689655172</v>
      </c>
      <c r="AN41" t="s">
        <v>106</v>
      </c>
      <c r="AO41">
        <v>0.99650349650349601</v>
      </c>
      <c r="AP41" t="s">
        <v>130</v>
      </c>
      <c r="AQ41">
        <v>1.19705882352941</v>
      </c>
      <c r="AR41" t="s">
        <v>112</v>
      </c>
      <c r="AS41">
        <v>1.14078414606543</v>
      </c>
      <c r="AT41" t="s">
        <v>102</v>
      </c>
      <c r="AU41">
        <v>1.11143888387589</v>
      </c>
      <c r="AV41" t="s">
        <v>104</v>
      </c>
      <c r="AW41">
        <v>1.42165242165242</v>
      </c>
      <c r="AX41" t="s">
        <v>104</v>
      </c>
      <c r="AY41">
        <v>1.3807615230460899</v>
      </c>
      <c r="AZ41" t="s">
        <v>104</v>
      </c>
      <c r="BA41">
        <v>1.0914368650217701</v>
      </c>
      <c r="BB41" t="s">
        <v>104</v>
      </c>
      <c r="BC41">
        <v>1.33510638297872</v>
      </c>
      <c r="BD41" t="s">
        <v>121</v>
      </c>
      <c r="BE41">
        <v>1.0309405940594001</v>
      </c>
      <c r="BF41" t="s">
        <v>124</v>
      </c>
      <c r="BG41">
        <v>1.1878172588832401</v>
      </c>
      <c r="BH41" t="s">
        <v>106</v>
      </c>
      <c r="BI41">
        <v>0.71624087591240804</v>
      </c>
      <c r="BJ41" t="s">
        <v>104</v>
      </c>
      <c r="BK41">
        <v>0.95416666666666605</v>
      </c>
      <c r="BL41" t="s">
        <v>124</v>
      </c>
      <c r="BM41">
        <v>0.95092024539877296</v>
      </c>
      <c r="BN41" t="s">
        <v>106</v>
      </c>
      <c r="BO41">
        <v>0.94841735052754905</v>
      </c>
      <c r="BP41" t="s">
        <v>130</v>
      </c>
      <c r="BQ41">
        <v>1.27298850574712</v>
      </c>
      <c r="BR41" t="s">
        <v>102</v>
      </c>
      <c r="BS41">
        <v>1.11318242343541</v>
      </c>
      <c r="BT41" t="s">
        <v>130</v>
      </c>
      <c r="BU41">
        <v>0.90610328638497595</v>
      </c>
      <c r="BV41" t="s">
        <v>104</v>
      </c>
      <c r="BW41">
        <v>1.13518518518518</v>
      </c>
    </row>
    <row r="42" spans="1:75" x14ac:dyDescent="0.4">
      <c r="A42">
        <v>40</v>
      </c>
      <c r="B42" t="s">
        <v>120</v>
      </c>
      <c r="C42">
        <v>0.90410958904109495</v>
      </c>
      <c r="D42" t="s">
        <v>138</v>
      </c>
      <c r="E42">
        <v>0.67758770515411604</v>
      </c>
      <c r="F42" t="s">
        <v>127</v>
      </c>
      <c r="G42">
        <v>0.680851063829787</v>
      </c>
      <c r="H42" t="s">
        <v>124</v>
      </c>
      <c r="I42">
        <v>0.88932038834951399</v>
      </c>
      <c r="J42" t="s">
        <v>113</v>
      </c>
      <c r="K42">
        <v>1.6859686179843001</v>
      </c>
      <c r="L42" t="s">
        <v>106</v>
      </c>
      <c r="M42">
        <v>0.78228782287822796</v>
      </c>
      <c r="N42" t="s">
        <v>124</v>
      </c>
      <c r="O42">
        <v>0.83943965517241304</v>
      </c>
      <c r="P42" t="s">
        <v>124</v>
      </c>
      <c r="Q42">
        <v>0.72913992297817698</v>
      </c>
      <c r="R42" t="s">
        <v>112</v>
      </c>
      <c r="S42">
        <v>0.875259270746505</v>
      </c>
      <c r="T42" t="s">
        <v>120</v>
      </c>
      <c r="U42">
        <v>0.90467289719626098</v>
      </c>
      <c r="V42" t="s">
        <v>120</v>
      </c>
      <c r="W42">
        <v>1.10330578512396</v>
      </c>
      <c r="X42" t="s">
        <v>113</v>
      </c>
      <c r="Y42">
        <v>0.83742331288343497</v>
      </c>
      <c r="Z42" t="s">
        <v>106</v>
      </c>
      <c r="AA42">
        <v>1.0159489633173799</v>
      </c>
      <c r="AB42" t="s">
        <v>133</v>
      </c>
      <c r="AC42">
        <v>0.854700854700854</v>
      </c>
      <c r="AD42" t="s">
        <v>139</v>
      </c>
      <c r="AE42">
        <v>0.68318965517241304</v>
      </c>
      <c r="AF42" t="s">
        <v>139</v>
      </c>
      <c r="AG42">
        <v>1.3596214511041</v>
      </c>
      <c r="AH42" t="s">
        <v>128</v>
      </c>
      <c r="AI42">
        <v>0.88094665062174005</v>
      </c>
      <c r="AJ42" t="s">
        <v>133</v>
      </c>
      <c r="AK42">
        <v>1.0431654676258899</v>
      </c>
      <c r="AL42" t="s">
        <v>140</v>
      </c>
      <c r="AM42">
        <v>1.0714285714285701</v>
      </c>
      <c r="AN42" t="s">
        <v>126</v>
      </c>
      <c r="AO42">
        <v>0.94918699186991795</v>
      </c>
      <c r="AP42" t="s">
        <v>104</v>
      </c>
      <c r="AQ42">
        <v>1.17560975609756</v>
      </c>
      <c r="AR42" t="s">
        <v>141</v>
      </c>
      <c r="AS42">
        <v>0.92635658914728602</v>
      </c>
      <c r="AT42" t="s">
        <v>124</v>
      </c>
      <c r="AU42">
        <v>1.00596421471172</v>
      </c>
      <c r="AV42" t="s">
        <v>128</v>
      </c>
      <c r="AW42">
        <v>0.95774487471526104</v>
      </c>
      <c r="AX42" t="s">
        <v>128</v>
      </c>
      <c r="AY42">
        <v>1.4924485670115299</v>
      </c>
      <c r="AZ42" t="s">
        <v>135</v>
      </c>
      <c r="BA42">
        <v>1.1981132075471601</v>
      </c>
      <c r="BB42" t="s">
        <v>128</v>
      </c>
      <c r="BC42">
        <v>0.80042016806722605</v>
      </c>
      <c r="BD42" t="s">
        <v>102</v>
      </c>
      <c r="BE42">
        <v>1.0157429372439</v>
      </c>
      <c r="BF42" t="s">
        <v>130</v>
      </c>
      <c r="BG42">
        <v>1.0263157894736801</v>
      </c>
      <c r="BH42" t="s">
        <v>135</v>
      </c>
      <c r="BI42">
        <v>0.93924050632911305</v>
      </c>
      <c r="BJ42" t="s">
        <v>106</v>
      </c>
      <c r="BK42">
        <v>1.17070063694267</v>
      </c>
      <c r="BL42" t="s">
        <v>130</v>
      </c>
      <c r="BM42">
        <v>1.02461538461538</v>
      </c>
      <c r="BN42" t="s">
        <v>135</v>
      </c>
      <c r="BO42">
        <v>0.87822878228782197</v>
      </c>
      <c r="BP42" t="s">
        <v>104</v>
      </c>
      <c r="BQ42">
        <v>1.0507757404795399</v>
      </c>
      <c r="BR42" t="s">
        <v>124</v>
      </c>
      <c r="BS42">
        <v>1.1142857142857101</v>
      </c>
      <c r="BT42" t="s">
        <v>104</v>
      </c>
      <c r="BU42">
        <v>0.97649186256781195</v>
      </c>
      <c r="BV42" t="s">
        <v>106</v>
      </c>
      <c r="BW42">
        <v>1.17604617604617</v>
      </c>
    </row>
    <row r="43" spans="1:75" x14ac:dyDescent="0.4">
      <c r="A43">
        <v>41</v>
      </c>
      <c r="B43" t="s">
        <v>124</v>
      </c>
      <c r="C43">
        <v>1.26454293628808</v>
      </c>
      <c r="D43" t="s">
        <v>133</v>
      </c>
      <c r="E43">
        <v>0.976958525345622</v>
      </c>
      <c r="F43" t="s">
        <v>106</v>
      </c>
      <c r="G43">
        <v>0.71309192200557103</v>
      </c>
      <c r="H43" t="s">
        <v>127</v>
      </c>
      <c r="I43">
        <v>1.36363636363636</v>
      </c>
      <c r="J43" t="s">
        <v>112</v>
      </c>
      <c r="K43">
        <v>1.2718679826622801</v>
      </c>
      <c r="L43" t="s">
        <v>128</v>
      </c>
      <c r="M43">
        <v>1.5281290224880699</v>
      </c>
      <c r="N43" t="s">
        <v>106</v>
      </c>
      <c r="O43">
        <v>1.1320754716981101</v>
      </c>
      <c r="P43" t="s">
        <v>104</v>
      </c>
      <c r="Q43">
        <v>0.96470588235294097</v>
      </c>
      <c r="R43" t="s">
        <v>102</v>
      </c>
      <c r="S43">
        <v>1.0665919641427799</v>
      </c>
      <c r="T43" t="s">
        <v>124</v>
      </c>
      <c r="U43">
        <v>0.97364085667215805</v>
      </c>
      <c r="V43" t="s">
        <v>124</v>
      </c>
      <c r="W43">
        <v>0.90693739424703801</v>
      </c>
      <c r="X43" t="s">
        <v>112</v>
      </c>
      <c r="Y43">
        <v>1.0102415795081401</v>
      </c>
      <c r="Z43" t="s">
        <v>128</v>
      </c>
      <c r="AA43">
        <v>0.98417898521773794</v>
      </c>
      <c r="AB43" t="s">
        <v>136</v>
      </c>
      <c r="AC43">
        <v>0.84494417361220298</v>
      </c>
      <c r="AD43" t="s">
        <v>143</v>
      </c>
      <c r="AE43">
        <v>0.79582366589327103</v>
      </c>
      <c r="AF43" t="s">
        <v>143</v>
      </c>
      <c r="AG43">
        <v>1.70553935860058</v>
      </c>
      <c r="AH43" t="s">
        <v>133</v>
      </c>
      <c r="AI43">
        <v>1.02583025830258</v>
      </c>
      <c r="AJ43" t="s">
        <v>139</v>
      </c>
      <c r="AK43">
        <v>1.0363196125907901</v>
      </c>
      <c r="AL43" t="s">
        <v>139</v>
      </c>
      <c r="AM43">
        <v>0.75</v>
      </c>
      <c r="AN43" t="s">
        <v>133</v>
      </c>
      <c r="AO43">
        <v>1</v>
      </c>
      <c r="AP43" t="s">
        <v>106</v>
      </c>
      <c r="AQ43">
        <v>1.2052631578947299</v>
      </c>
      <c r="AR43" t="s">
        <v>102</v>
      </c>
      <c r="AS43">
        <v>1.00435707065425</v>
      </c>
      <c r="AT43" t="s">
        <v>130</v>
      </c>
      <c r="AU43">
        <v>1.20604395604395</v>
      </c>
      <c r="AV43" t="s">
        <v>129</v>
      </c>
      <c r="AW43">
        <v>0.81176470588235194</v>
      </c>
      <c r="AX43" t="s">
        <v>129</v>
      </c>
      <c r="AY43">
        <v>1.8381642512077201</v>
      </c>
      <c r="AZ43" t="s">
        <v>144</v>
      </c>
      <c r="BA43">
        <v>0.86483984447324502</v>
      </c>
      <c r="BB43" t="s">
        <v>135</v>
      </c>
      <c r="BC43">
        <v>0.87401574803149595</v>
      </c>
      <c r="BD43" t="s">
        <v>124</v>
      </c>
      <c r="BE43">
        <v>0.99662731871838095</v>
      </c>
      <c r="BF43" t="s">
        <v>135</v>
      </c>
      <c r="BG43">
        <v>1.17210682492581</v>
      </c>
      <c r="BH43" t="s">
        <v>126</v>
      </c>
      <c r="BI43">
        <v>0.91573033707865104</v>
      </c>
      <c r="BJ43" t="s">
        <v>135</v>
      </c>
      <c r="BK43">
        <v>0.75202156334231796</v>
      </c>
      <c r="BL43" t="s">
        <v>104</v>
      </c>
      <c r="BM43">
        <v>1.0502183406113501</v>
      </c>
      <c r="BN43" t="s">
        <v>144</v>
      </c>
      <c r="BO43">
        <v>0.98701298701298701</v>
      </c>
      <c r="BP43" t="s">
        <v>106</v>
      </c>
      <c r="BQ43">
        <v>1.0197775030902301</v>
      </c>
      <c r="BR43" t="s">
        <v>104</v>
      </c>
      <c r="BS43">
        <v>0.74228187919462996</v>
      </c>
      <c r="BT43" t="s">
        <v>106</v>
      </c>
      <c r="BU43">
        <v>0.93020134228187901</v>
      </c>
      <c r="BV43" t="s">
        <v>135</v>
      </c>
      <c r="BW43">
        <v>1.2296296296296201</v>
      </c>
    </row>
    <row r="44" spans="1:75" x14ac:dyDescent="0.4">
      <c r="A44">
        <v>42</v>
      </c>
      <c r="B44" t="s">
        <v>127</v>
      </c>
      <c r="C44">
        <v>0.99272197962154296</v>
      </c>
      <c r="D44" t="s">
        <v>109</v>
      </c>
      <c r="E44">
        <v>1.0691056910569099</v>
      </c>
      <c r="F44" t="s">
        <v>128</v>
      </c>
      <c r="G44">
        <v>0.68182862393751398</v>
      </c>
      <c r="H44" t="s">
        <v>106</v>
      </c>
      <c r="I44">
        <v>1.11328125</v>
      </c>
      <c r="J44" t="s">
        <v>102</v>
      </c>
      <c r="K44">
        <v>1.4540800700065599</v>
      </c>
      <c r="L44" t="s">
        <v>133</v>
      </c>
      <c r="M44">
        <v>1.109375</v>
      </c>
      <c r="N44" t="s">
        <v>133</v>
      </c>
      <c r="O44">
        <v>0.91830985915492902</v>
      </c>
      <c r="P44" t="s">
        <v>106</v>
      </c>
      <c r="Q44">
        <v>0.97916666666666596</v>
      </c>
      <c r="R44" t="s">
        <v>120</v>
      </c>
      <c r="S44">
        <v>1.1263157894736799</v>
      </c>
      <c r="T44" t="s">
        <v>104</v>
      </c>
      <c r="U44">
        <v>0.85543766578249303</v>
      </c>
      <c r="V44" t="s">
        <v>104</v>
      </c>
      <c r="W44">
        <v>1.02325581395348</v>
      </c>
      <c r="X44" t="s">
        <v>102</v>
      </c>
      <c r="Y44">
        <v>0.93905431637548897</v>
      </c>
      <c r="Z44" t="s">
        <v>133</v>
      </c>
      <c r="AA44">
        <v>0.92490118577075098</v>
      </c>
      <c r="AB44" t="s">
        <v>148</v>
      </c>
      <c r="AC44">
        <v>0.87659110195175105</v>
      </c>
      <c r="AD44" t="s">
        <v>146</v>
      </c>
      <c r="AE44">
        <v>0.97471549192364104</v>
      </c>
      <c r="AF44" t="s">
        <v>146</v>
      </c>
      <c r="AG44">
        <v>1.43867991149192</v>
      </c>
      <c r="AH44" t="s">
        <v>140</v>
      </c>
      <c r="AI44">
        <v>0.94568690095846597</v>
      </c>
      <c r="AJ44" t="s">
        <v>143</v>
      </c>
      <c r="AK44">
        <v>0.93052631578947298</v>
      </c>
      <c r="AL44" t="s">
        <v>143</v>
      </c>
      <c r="AM44">
        <v>1.0282805429864199</v>
      </c>
      <c r="AN44" t="s">
        <v>140</v>
      </c>
      <c r="AO44">
        <v>1.2833333333333301</v>
      </c>
      <c r="AP44" t="s">
        <v>128</v>
      </c>
      <c r="AQ44">
        <v>0.81435148118494705</v>
      </c>
      <c r="AR44" t="s">
        <v>124</v>
      </c>
      <c r="AS44">
        <v>1.0349794238683101</v>
      </c>
      <c r="AT44" t="s">
        <v>104</v>
      </c>
      <c r="AU44">
        <v>0.84782608695652095</v>
      </c>
      <c r="AV44" t="s">
        <v>133</v>
      </c>
      <c r="AW44">
        <v>1.2923076923076899</v>
      </c>
      <c r="AX44" t="s">
        <v>135</v>
      </c>
      <c r="AY44">
        <v>1.1635565312842999</v>
      </c>
      <c r="AZ44" t="s">
        <v>149</v>
      </c>
      <c r="BA44">
        <v>1.3403441682600299</v>
      </c>
      <c r="BB44" t="s">
        <v>144</v>
      </c>
      <c r="BC44">
        <v>0.753157782059516</v>
      </c>
      <c r="BD44" t="s">
        <v>130</v>
      </c>
      <c r="BE44">
        <v>1.1111111111111101</v>
      </c>
      <c r="BF44" t="s">
        <v>126</v>
      </c>
      <c r="BG44">
        <v>1.1125</v>
      </c>
      <c r="BH44" t="s">
        <v>144</v>
      </c>
      <c r="BI44">
        <v>1.39426877470355</v>
      </c>
      <c r="BJ44" t="s">
        <v>126</v>
      </c>
      <c r="BK44">
        <v>1.13087934560327</v>
      </c>
      <c r="BL44" t="s">
        <v>106</v>
      </c>
      <c r="BM44">
        <v>0.928182807399347</v>
      </c>
      <c r="BN44" t="s">
        <v>143</v>
      </c>
      <c r="BO44">
        <v>1.2318339100346001</v>
      </c>
      <c r="BP44" t="s">
        <v>135</v>
      </c>
      <c r="BQ44">
        <v>1</v>
      </c>
      <c r="BR44" t="s">
        <v>135</v>
      </c>
      <c r="BS44">
        <v>1.1680672268907499</v>
      </c>
      <c r="BT44" t="s">
        <v>135</v>
      </c>
      <c r="BU44">
        <v>0.97122302158273299</v>
      </c>
      <c r="BV44" t="s">
        <v>126</v>
      </c>
      <c r="BW44">
        <v>1.14990512333965</v>
      </c>
    </row>
    <row r="45" spans="1:75" x14ac:dyDescent="0.4">
      <c r="A45">
        <v>43</v>
      </c>
      <c r="B45" t="s">
        <v>128</v>
      </c>
      <c r="C45">
        <v>0.99170193807083895</v>
      </c>
      <c r="D45" t="s">
        <v>151</v>
      </c>
      <c r="E45">
        <v>0.99790575916230295</v>
      </c>
      <c r="F45" t="s">
        <v>132</v>
      </c>
      <c r="G45">
        <v>0.47277937327230402</v>
      </c>
      <c r="H45" t="s">
        <v>128</v>
      </c>
      <c r="I45">
        <v>1.14993261455525</v>
      </c>
      <c r="J45" t="s">
        <v>120</v>
      </c>
      <c r="K45">
        <v>1.4032258064516101</v>
      </c>
      <c r="L45" t="s">
        <v>109</v>
      </c>
      <c r="M45">
        <v>1.1559999999999999</v>
      </c>
      <c r="N45" t="s">
        <v>109</v>
      </c>
      <c r="O45">
        <v>1.0415224913494801</v>
      </c>
      <c r="P45" t="s">
        <v>128</v>
      </c>
      <c r="Q45">
        <v>1.3136990645314699</v>
      </c>
      <c r="R45" t="s">
        <v>124</v>
      </c>
      <c r="S45">
        <v>1.06866197183098</v>
      </c>
      <c r="T45" t="s">
        <v>127</v>
      </c>
      <c r="U45">
        <v>1.0447530864197501</v>
      </c>
      <c r="V45" t="s">
        <v>106</v>
      </c>
      <c r="W45">
        <v>1.1241610738254999</v>
      </c>
      <c r="X45" t="s">
        <v>120</v>
      </c>
      <c r="Y45">
        <v>0.94569288389513095</v>
      </c>
      <c r="Z45" t="s">
        <v>109</v>
      </c>
      <c r="AA45">
        <v>1.2419825072886199</v>
      </c>
      <c r="AB45" t="s">
        <v>139</v>
      </c>
      <c r="AC45">
        <v>1.08411214953271</v>
      </c>
      <c r="AD45" t="s">
        <v>152</v>
      </c>
      <c r="AE45">
        <v>1.02298850574712</v>
      </c>
      <c r="AF45" t="s">
        <v>152</v>
      </c>
      <c r="AG45">
        <v>1.07490636704119</v>
      </c>
      <c r="AH45" t="s">
        <v>139</v>
      </c>
      <c r="AI45">
        <v>0.95823665893271404</v>
      </c>
      <c r="AJ45" t="s">
        <v>117</v>
      </c>
      <c r="AK45">
        <v>1.08</v>
      </c>
      <c r="AL45" t="s">
        <v>146</v>
      </c>
      <c r="AM45">
        <v>0.79853765537411603</v>
      </c>
      <c r="AN45" t="s">
        <v>148</v>
      </c>
      <c r="AO45">
        <v>1.3319974525063201</v>
      </c>
      <c r="AP45" t="s">
        <v>126</v>
      </c>
      <c r="AQ45">
        <v>1.06423982869379</v>
      </c>
      <c r="AR45" t="s">
        <v>130</v>
      </c>
      <c r="AS45">
        <v>0.89434889434889397</v>
      </c>
      <c r="AT45" t="s">
        <v>128</v>
      </c>
      <c r="AU45">
        <v>1.1451676014086301</v>
      </c>
      <c r="AV45" t="s">
        <v>149</v>
      </c>
      <c r="AW45">
        <v>0.88888888888888795</v>
      </c>
      <c r="AX45" t="s">
        <v>149</v>
      </c>
      <c r="AY45">
        <v>1.1886363636363599</v>
      </c>
      <c r="AZ45" t="s">
        <v>143</v>
      </c>
      <c r="BA45">
        <v>0.724806201550387</v>
      </c>
      <c r="BB45" t="s">
        <v>149</v>
      </c>
      <c r="BC45">
        <v>0.844507845934379</v>
      </c>
      <c r="BD45" t="s">
        <v>104</v>
      </c>
      <c r="BE45">
        <v>1.1812749003984</v>
      </c>
      <c r="BF45" t="s">
        <v>144</v>
      </c>
      <c r="BG45">
        <v>1.30300429184549</v>
      </c>
      <c r="BH45" t="s">
        <v>149</v>
      </c>
      <c r="BI45">
        <v>0.75499092558983605</v>
      </c>
      <c r="BJ45" t="s">
        <v>149</v>
      </c>
      <c r="BK45">
        <v>1.0096153846153799</v>
      </c>
      <c r="BL45" t="s">
        <v>135</v>
      </c>
      <c r="BM45">
        <v>0.97132616487455103</v>
      </c>
      <c r="BN45" t="s">
        <v>146</v>
      </c>
      <c r="BO45">
        <v>1.1189591078066901</v>
      </c>
      <c r="BP45" t="s">
        <v>126</v>
      </c>
      <c r="BQ45">
        <v>0.852848101265822</v>
      </c>
      <c r="BR45" t="s">
        <v>126</v>
      </c>
      <c r="BS45">
        <v>1.0556586270871899</v>
      </c>
      <c r="BT45" t="s">
        <v>126</v>
      </c>
      <c r="BU45">
        <v>0.92618629173989397</v>
      </c>
      <c r="BV45" t="s">
        <v>144</v>
      </c>
      <c r="BW45">
        <v>1.03301886792452</v>
      </c>
    </row>
    <row r="46" spans="1:75" x14ac:dyDescent="0.4">
      <c r="A46">
        <v>44</v>
      </c>
      <c r="B46" t="s">
        <v>132</v>
      </c>
      <c r="C46">
        <v>1.1588785631437899</v>
      </c>
      <c r="D46" t="s">
        <v>143</v>
      </c>
      <c r="E46">
        <v>0.99842519685039299</v>
      </c>
      <c r="F46" t="s">
        <v>138</v>
      </c>
      <c r="G46">
        <v>0.38040828486207001</v>
      </c>
      <c r="H46" t="s">
        <v>126</v>
      </c>
      <c r="I46">
        <v>1.02755905511811</v>
      </c>
      <c r="J46" t="s">
        <v>124</v>
      </c>
      <c r="K46">
        <v>1.7751091703056701</v>
      </c>
      <c r="L46" t="s">
        <v>143</v>
      </c>
      <c r="M46">
        <v>0.92074592074591999</v>
      </c>
      <c r="N46" t="s">
        <v>147</v>
      </c>
      <c r="O46">
        <v>0.85823765960807097</v>
      </c>
      <c r="P46" t="s">
        <v>133</v>
      </c>
      <c r="Q46">
        <v>0.91717791411042904</v>
      </c>
      <c r="R46" t="s">
        <v>104</v>
      </c>
      <c r="S46">
        <v>1.1493902439024299</v>
      </c>
      <c r="T46" t="s">
        <v>106</v>
      </c>
      <c r="U46">
        <v>1.0623885918003499</v>
      </c>
      <c r="V46" t="s">
        <v>128</v>
      </c>
      <c r="W46">
        <v>1.01380271871732</v>
      </c>
      <c r="X46" t="s">
        <v>124</v>
      </c>
      <c r="Y46">
        <v>0.85074626865671599</v>
      </c>
      <c r="Z46" t="s">
        <v>143</v>
      </c>
      <c r="AA46">
        <v>1.26657060518731</v>
      </c>
      <c r="AB46" t="s">
        <v>149</v>
      </c>
      <c r="AC46">
        <v>0.71410736579275902</v>
      </c>
      <c r="AD46" t="s">
        <v>154</v>
      </c>
      <c r="AE46">
        <v>0.98137369033760102</v>
      </c>
      <c r="AF46" t="s">
        <v>154</v>
      </c>
      <c r="AG46">
        <v>0.99051008303677301</v>
      </c>
      <c r="AH46" t="s">
        <v>143</v>
      </c>
      <c r="AI46">
        <v>0.81196581196581197</v>
      </c>
      <c r="AJ46" t="s">
        <v>152</v>
      </c>
      <c r="AK46">
        <v>1.12415654520917</v>
      </c>
      <c r="AL46" t="s">
        <v>117</v>
      </c>
      <c r="AM46">
        <v>1.3179012345679</v>
      </c>
      <c r="AN46" t="s">
        <v>139</v>
      </c>
      <c r="AO46">
        <v>0.70093457943925197</v>
      </c>
      <c r="AP46" t="s">
        <v>133</v>
      </c>
      <c r="AQ46">
        <v>1.0071942446043101</v>
      </c>
      <c r="AR46" t="s">
        <v>104</v>
      </c>
      <c r="AS46">
        <v>0.85892116182572598</v>
      </c>
      <c r="AT46" t="s">
        <v>129</v>
      </c>
      <c r="AU46">
        <v>1.2623762376237599</v>
      </c>
      <c r="AV46" t="s">
        <v>143</v>
      </c>
      <c r="AW46">
        <v>1.2602579132473599</v>
      </c>
      <c r="AX46" t="s">
        <v>143</v>
      </c>
      <c r="AY46">
        <v>1.2</v>
      </c>
      <c r="AZ46" t="s">
        <v>146</v>
      </c>
      <c r="BA46">
        <v>0.68583333333333296</v>
      </c>
      <c r="BB46" t="s">
        <v>143</v>
      </c>
      <c r="BC46">
        <v>0.92620320855614902</v>
      </c>
      <c r="BD46" t="s">
        <v>128</v>
      </c>
      <c r="BE46">
        <v>1.2755905511811001</v>
      </c>
      <c r="BF46" t="s">
        <v>149</v>
      </c>
      <c r="BG46">
        <v>0.97868561278863198</v>
      </c>
      <c r="BH46" t="s">
        <v>147</v>
      </c>
      <c r="BI46">
        <v>1.03779069767441</v>
      </c>
      <c r="BJ46" t="s">
        <v>143</v>
      </c>
      <c r="BK46">
        <v>0.81014492753623102</v>
      </c>
      <c r="BL46" t="s">
        <v>144</v>
      </c>
      <c r="BM46">
        <v>0.90340242471646404</v>
      </c>
      <c r="BN46" t="s">
        <v>152</v>
      </c>
      <c r="BO46">
        <v>1.0871559633027501</v>
      </c>
      <c r="BP46" t="s">
        <v>144</v>
      </c>
      <c r="BQ46">
        <v>0.93859649122806998</v>
      </c>
      <c r="BR46" t="s">
        <v>144</v>
      </c>
      <c r="BS46">
        <v>0.97663551401869098</v>
      </c>
      <c r="BT46" t="s">
        <v>144</v>
      </c>
      <c r="BU46">
        <v>1.0143540669856399</v>
      </c>
      <c r="BV46" t="s">
        <v>149</v>
      </c>
      <c r="BW46">
        <v>1.032992036405</v>
      </c>
    </row>
    <row r="47" spans="1:75" x14ac:dyDescent="0.4">
      <c r="A47">
        <v>45</v>
      </c>
      <c r="B47" t="s">
        <v>135</v>
      </c>
      <c r="C47">
        <v>0.83393501805054104</v>
      </c>
      <c r="D47" t="s">
        <v>146</v>
      </c>
      <c r="E47">
        <v>0.72622261489880402</v>
      </c>
      <c r="F47" t="s">
        <v>133</v>
      </c>
      <c r="G47">
        <v>0.52358490566037696</v>
      </c>
      <c r="H47" t="s">
        <v>109</v>
      </c>
      <c r="I47">
        <v>0.76506024096385505</v>
      </c>
      <c r="J47" t="s">
        <v>127</v>
      </c>
      <c r="K47">
        <v>1.7958333333333301</v>
      </c>
      <c r="L47" t="s">
        <v>146</v>
      </c>
      <c r="M47">
        <v>0.89455601258165895</v>
      </c>
      <c r="N47" t="s">
        <v>143</v>
      </c>
      <c r="O47">
        <v>0.816455696202531</v>
      </c>
      <c r="P47" t="s">
        <v>156</v>
      </c>
      <c r="Q47">
        <v>0.83783583746576795</v>
      </c>
      <c r="R47" t="s">
        <v>106</v>
      </c>
      <c r="S47">
        <v>0.79574468085106298</v>
      </c>
      <c r="T47" t="s">
        <v>128</v>
      </c>
      <c r="U47">
        <v>1.05843724636611</v>
      </c>
      <c r="V47" t="s">
        <v>133</v>
      </c>
      <c r="W47">
        <v>1.12355212355212</v>
      </c>
      <c r="X47" t="s">
        <v>104</v>
      </c>
      <c r="Y47">
        <v>0.90909090909090895</v>
      </c>
      <c r="Z47" t="s">
        <v>146</v>
      </c>
      <c r="AA47">
        <v>0.80789058838566696</v>
      </c>
      <c r="AB47" t="s">
        <v>143</v>
      </c>
      <c r="AC47">
        <v>0.98065984072809997</v>
      </c>
      <c r="AD47" t="s">
        <v>114</v>
      </c>
      <c r="AE47">
        <v>0.90779127948534599</v>
      </c>
      <c r="AF47" t="s">
        <v>114</v>
      </c>
      <c r="AG47">
        <v>1.0314960629921199</v>
      </c>
      <c r="AH47" t="s">
        <v>117</v>
      </c>
      <c r="AI47">
        <v>0.95816033216224805</v>
      </c>
      <c r="AJ47" t="s">
        <v>154</v>
      </c>
      <c r="AK47">
        <v>1.0363128491620099</v>
      </c>
      <c r="AL47" t="s">
        <v>152</v>
      </c>
      <c r="AM47">
        <v>1.0048019207683001</v>
      </c>
      <c r="AN47" t="s">
        <v>143</v>
      </c>
      <c r="AO47">
        <v>1</v>
      </c>
      <c r="AP47" t="s">
        <v>143</v>
      </c>
      <c r="AQ47">
        <v>1.33663366336633</v>
      </c>
      <c r="AR47" t="s">
        <v>106</v>
      </c>
      <c r="AS47">
        <v>1.2183406113537101</v>
      </c>
      <c r="AT47" t="s">
        <v>133</v>
      </c>
      <c r="AU47">
        <v>0.94545454545454499</v>
      </c>
      <c r="AV47" t="s">
        <v>146</v>
      </c>
      <c r="AW47">
        <v>0.97288359788359702</v>
      </c>
      <c r="AX47" t="s">
        <v>146</v>
      </c>
      <c r="AY47">
        <v>0.74161053086953799</v>
      </c>
      <c r="AZ47" t="s">
        <v>152</v>
      </c>
      <c r="BA47">
        <v>1.1000000000000001</v>
      </c>
      <c r="BB47" t="s">
        <v>146</v>
      </c>
      <c r="BC47">
        <v>0.862697448359659</v>
      </c>
      <c r="BD47" t="s">
        <v>135</v>
      </c>
      <c r="BE47">
        <v>1.5180180180180101</v>
      </c>
      <c r="BF47" t="s">
        <v>143</v>
      </c>
      <c r="BG47">
        <v>0.868483412322274</v>
      </c>
      <c r="BH47" t="s">
        <v>143</v>
      </c>
      <c r="BI47">
        <v>0.94133697135061301</v>
      </c>
      <c r="BJ47" t="s">
        <v>146</v>
      </c>
      <c r="BK47">
        <v>0.66589327146171695</v>
      </c>
      <c r="BL47" t="s">
        <v>149</v>
      </c>
      <c r="BM47">
        <v>0.911904761904761</v>
      </c>
      <c r="BN47" t="s">
        <v>154</v>
      </c>
      <c r="BO47">
        <v>0.94754098360655703</v>
      </c>
      <c r="BP47" t="s">
        <v>149</v>
      </c>
      <c r="BQ47">
        <v>0.99484536082474195</v>
      </c>
      <c r="BR47" t="s">
        <v>149</v>
      </c>
      <c r="BS47">
        <v>1.0621761658030999</v>
      </c>
      <c r="BT47" t="s">
        <v>149</v>
      </c>
      <c r="BU47">
        <v>1.0719512195121901</v>
      </c>
      <c r="BV47" t="s">
        <v>143</v>
      </c>
      <c r="BW47">
        <v>0.85178571428571404</v>
      </c>
    </row>
    <row r="48" spans="1:75" x14ac:dyDescent="0.4">
      <c r="A48">
        <v>46</v>
      </c>
      <c r="B48" t="s">
        <v>138</v>
      </c>
      <c r="C48">
        <v>0.87481021899382105</v>
      </c>
      <c r="D48" t="s">
        <v>117</v>
      </c>
      <c r="E48">
        <v>0.71274738067520305</v>
      </c>
      <c r="F48" t="s">
        <v>156</v>
      </c>
      <c r="G48">
        <v>0.5</v>
      </c>
      <c r="H48" t="s">
        <v>147</v>
      </c>
      <c r="I48">
        <v>0.93999898531239601</v>
      </c>
      <c r="J48" t="s">
        <v>106</v>
      </c>
      <c r="K48">
        <v>1.42631578947368</v>
      </c>
      <c r="L48" t="s">
        <v>117</v>
      </c>
      <c r="M48">
        <v>1.1016377649325599</v>
      </c>
      <c r="N48" t="s">
        <v>146</v>
      </c>
      <c r="O48">
        <v>0.75473331169533697</v>
      </c>
      <c r="P48" t="s">
        <v>109</v>
      </c>
      <c r="Q48">
        <v>0.78737541528239197</v>
      </c>
      <c r="R48" t="s">
        <v>128</v>
      </c>
      <c r="S48">
        <v>0.81787460020517699</v>
      </c>
      <c r="T48" t="s">
        <v>133</v>
      </c>
      <c r="U48">
        <v>0.98854961832060995</v>
      </c>
      <c r="V48" t="s">
        <v>109</v>
      </c>
      <c r="W48">
        <v>1.10850439882697</v>
      </c>
      <c r="X48" t="s">
        <v>106</v>
      </c>
      <c r="Y48">
        <v>0.93582089552238801</v>
      </c>
      <c r="Z48" t="s">
        <v>152</v>
      </c>
      <c r="AA48">
        <v>0.97943444730077101</v>
      </c>
      <c r="AB48" t="s">
        <v>146</v>
      </c>
      <c r="AC48">
        <v>1.14924586014133</v>
      </c>
      <c r="AD48" t="s">
        <v>116</v>
      </c>
      <c r="AE48">
        <v>0.83229166666666599</v>
      </c>
      <c r="AF48" t="s">
        <v>116</v>
      </c>
      <c r="AG48">
        <v>1.2515644555694601</v>
      </c>
      <c r="AH48" t="s">
        <v>152</v>
      </c>
      <c r="AI48">
        <v>0.86062717770034802</v>
      </c>
      <c r="AJ48" t="s">
        <v>114</v>
      </c>
      <c r="AK48">
        <v>1.1316455696202501</v>
      </c>
      <c r="AL48" t="s">
        <v>154</v>
      </c>
      <c r="AM48">
        <v>1.0754716981132</v>
      </c>
      <c r="AN48" t="s">
        <v>146</v>
      </c>
      <c r="AO48">
        <v>1.15443779758271</v>
      </c>
      <c r="AP48" t="s">
        <v>146</v>
      </c>
      <c r="AQ48">
        <v>1.12447123519458</v>
      </c>
      <c r="AR48" t="s">
        <v>128</v>
      </c>
      <c r="AS48">
        <v>0.94223915447953699</v>
      </c>
      <c r="AT48" t="s">
        <v>149</v>
      </c>
      <c r="AU48">
        <v>0.92696629213483095</v>
      </c>
      <c r="AV48" t="s">
        <v>152</v>
      </c>
      <c r="AW48">
        <v>0.98956975228161603</v>
      </c>
      <c r="AX48" t="s">
        <v>152</v>
      </c>
      <c r="AY48">
        <v>1.0540184453227901</v>
      </c>
      <c r="AZ48" t="s">
        <v>154</v>
      </c>
      <c r="BA48">
        <v>1.1428571428571399</v>
      </c>
      <c r="BB48" t="s">
        <v>152</v>
      </c>
      <c r="BC48">
        <v>1.10227272727272</v>
      </c>
      <c r="BD48" t="s">
        <v>126</v>
      </c>
      <c r="BE48">
        <v>0.91954022988505701</v>
      </c>
      <c r="BF48" t="s">
        <v>146</v>
      </c>
      <c r="BG48">
        <v>1.7018348623853199</v>
      </c>
      <c r="BH48" t="s">
        <v>146</v>
      </c>
      <c r="BI48">
        <v>1.16172506738544</v>
      </c>
      <c r="BJ48" t="s">
        <v>154</v>
      </c>
      <c r="BK48">
        <v>0.76885644768856398</v>
      </c>
      <c r="BL48" t="s">
        <v>143</v>
      </c>
      <c r="BM48">
        <v>1.0339892665474</v>
      </c>
      <c r="BN48" t="s">
        <v>114</v>
      </c>
      <c r="BO48">
        <v>0.91133004926108296</v>
      </c>
      <c r="BP48" t="s">
        <v>143</v>
      </c>
      <c r="BQ48">
        <v>0.925561797752809</v>
      </c>
      <c r="BR48" t="s">
        <v>147</v>
      </c>
      <c r="BS48">
        <v>0.77678571428571397</v>
      </c>
      <c r="BT48" t="s">
        <v>147</v>
      </c>
      <c r="BU48">
        <v>1.06321839080459</v>
      </c>
      <c r="BV48" t="s">
        <v>146</v>
      </c>
      <c r="BW48">
        <v>0.96969696969696895</v>
      </c>
    </row>
    <row r="49" spans="1:75" x14ac:dyDescent="0.4">
      <c r="A49">
        <v>47</v>
      </c>
      <c r="B49" t="s">
        <v>133</v>
      </c>
      <c r="C49">
        <v>0.99541284403669705</v>
      </c>
      <c r="D49" t="s">
        <v>152</v>
      </c>
      <c r="E49">
        <v>1.1201923076922999</v>
      </c>
      <c r="F49" t="s">
        <v>109</v>
      </c>
      <c r="G49">
        <v>0.75741444866920105</v>
      </c>
      <c r="H49" t="s">
        <v>143</v>
      </c>
      <c r="I49">
        <v>0.99354613640327905</v>
      </c>
      <c r="J49" t="s">
        <v>128</v>
      </c>
      <c r="K49">
        <v>0.96740404336360897</v>
      </c>
      <c r="L49" t="s">
        <v>152</v>
      </c>
      <c r="M49">
        <v>1.0122324159021401</v>
      </c>
      <c r="N49" t="s">
        <v>117</v>
      </c>
      <c r="O49">
        <v>0.94425010931351105</v>
      </c>
      <c r="P49" t="s">
        <v>147</v>
      </c>
      <c r="Q49">
        <v>0.38348357360452001</v>
      </c>
      <c r="R49" t="s">
        <v>133</v>
      </c>
      <c r="S49">
        <v>1.4604236343366701</v>
      </c>
      <c r="T49" t="s">
        <v>109</v>
      </c>
      <c r="U49">
        <v>1.2916666666666601</v>
      </c>
      <c r="V49" t="s">
        <v>143</v>
      </c>
      <c r="W49">
        <v>1.20672478206724</v>
      </c>
      <c r="X49" t="s">
        <v>128</v>
      </c>
      <c r="Y49">
        <v>0.86055146806023497</v>
      </c>
      <c r="Z49" t="s">
        <v>154</v>
      </c>
      <c r="AA49">
        <v>1.23949579831932</v>
      </c>
      <c r="AB49" t="s">
        <v>152</v>
      </c>
      <c r="AC49">
        <v>1.02755905511811</v>
      </c>
      <c r="AD49" t="s">
        <v>119</v>
      </c>
      <c r="AE49">
        <v>0.76987996999249797</v>
      </c>
      <c r="AF49" t="s">
        <v>119</v>
      </c>
      <c r="AG49">
        <v>1.3422655298416499</v>
      </c>
      <c r="AH49" t="s">
        <v>154</v>
      </c>
      <c r="AI49">
        <v>0.85748502994011899</v>
      </c>
      <c r="AJ49" t="s">
        <v>116</v>
      </c>
      <c r="AK49">
        <v>1.08920187793427</v>
      </c>
      <c r="AL49" t="s">
        <v>114</v>
      </c>
      <c r="AM49">
        <v>1.0447427293064799</v>
      </c>
      <c r="AN49" t="s">
        <v>117</v>
      </c>
      <c r="AO49">
        <v>1.1615925058548</v>
      </c>
      <c r="AP49" t="s">
        <v>117</v>
      </c>
      <c r="AQ49">
        <v>1.13709677419354</v>
      </c>
      <c r="AR49" t="s">
        <v>126</v>
      </c>
      <c r="AS49">
        <v>0.98993963782696104</v>
      </c>
      <c r="AT49" t="s">
        <v>143</v>
      </c>
      <c r="AU49">
        <v>0.86598984771573595</v>
      </c>
      <c r="AV49" t="s">
        <v>154</v>
      </c>
      <c r="AW49">
        <v>1.1578947368421</v>
      </c>
      <c r="AX49" t="s">
        <v>154</v>
      </c>
      <c r="AY49">
        <v>1.0340909090909001</v>
      </c>
      <c r="AZ49" t="s">
        <v>114</v>
      </c>
      <c r="BA49">
        <v>1.0187793427230001</v>
      </c>
      <c r="BB49" t="s">
        <v>154</v>
      </c>
      <c r="BC49">
        <v>1.12179487179487</v>
      </c>
      <c r="BD49" t="s">
        <v>149</v>
      </c>
      <c r="BE49">
        <v>0.95101351351351304</v>
      </c>
      <c r="BF49" t="s">
        <v>154</v>
      </c>
      <c r="BG49">
        <v>1.04709141274238</v>
      </c>
      <c r="BH49" t="s">
        <v>154</v>
      </c>
      <c r="BI49">
        <v>1.0873015873015801</v>
      </c>
      <c r="BJ49" t="s">
        <v>114</v>
      </c>
      <c r="BK49">
        <v>0.952060555088309</v>
      </c>
      <c r="BL49" t="s">
        <v>146</v>
      </c>
      <c r="BM49">
        <v>0.93728222996515598</v>
      </c>
      <c r="BN49" t="s">
        <v>160</v>
      </c>
      <c r="BO49">
        <v>1.01370851370851</v>
      </c>
      <c r="BP49" t="s">
        <v>152</v>
      </c>
      <c r="BQ49">
        <v>0.949367088607594</v>
      </c>
      <c r="BR49" t="s">
        <v>143</v>
      </c>
      <c r="BS49">
        <v>1.31259484066767</v>
      </c>
      <c r="BT49" t="s">
        <v>143</v>
      </c>
      <c r="BU49">
        <v>1.2947976878612699</v>
      </c>
      <c r="BV49" t="s">
        <v>161</v>
      </c>
      <c r="BW49">
        <v>1.1094771241829999</v>
      </c>
    </row>
    <row r="50" spans="1:75" x14ac:dyDescent="0.4">
      <c r="A50">
        <v>48</v>
      </c>
      <c r="B50" t="s">
        <v>109</v>
      </c>
      <c r="C50">
        <v>0.89454545454545398</v>
      </c>
      <c r="D50" t="s">
        <v>154</v>
      </c>
      <c r="E50">
        <v>0.95555555555555505</v>
      </c>
      <c r="F50" t="s">
        <v>147</v>
      </c>
      <c r="G50">
        <v>0.84459575270383702</v>
      </c>
      <c r="H50" t="s">
        <v>117</v>
      </c>
      <c r="I50">
        <v>1.1165624999999999</v>
      </c>
      <c r="J50" t="s">
        <v>126</v>
      </c>
      <c r="K50">
        <v>1.17241379310344</v>
      </c>
      <c r="L50" t="s">
        <v>154</v>
      </c>
      <c r="M50">
        <v>1.03264604810996</v>
      </c>
      <c r="N50" t="s">
        <v>152</v>
      </c>
      <c r="O50">
        <v>0.83987915407854896</v>
      </c>
      <c r="P50" t="s">
        <v>143</v>
      </c>
      <c r="Q50">
        <v>1.01395348837209</v>
      </c>
      <c r="R50" t="s">
        <v>109</v>
      </c>
      <c r="S50">
        <v>1.11392405063291</v>
      </c>
      <c r="T50" t="s">
        <v>148</v>
      </c>
      <c r="U50">
        <v>1.0395506750180299</v>
      </c>
      <c r="V50" t="s">
        <v>117</v>
      </c>
      <c r="W50">
        <v>1.0197330237957001</v>
      </c>
      <c r="X50" t="s">
        <v>133</v>
      </c>
      <c r="Y50">
        <v>0.86941580756013703</v>
      </c>
      <c r="Z50" t="s">
        <v>114</v>
      </c>
      <c r="AA50">
        <v>1.5656652360515</v>
      </c>
      <c r="AB50" t="s">
        <v>154</v>
      </c>
      <c r="AC50">
        <v>0.72796610169491505</v>
      </c>
      <c r="AD50" t="s">
        <v>159</v>
      </c>
      <c r="AE50">
        <v>0.77821011673151697</v>
      </c>
      <c r="AF50" t="s">
        <v>159</v>
      </c>
      <c r="AG50">
        <v>1.2556818181818099</v>
      </c>
      <c r="AH50" t="s">
        <v>114</v>
      </c>
      <c r="AI50">
        <v>0.60305343511450304</v>
      </c>
      <c r="AJ50" t="s">
        <v>119</v>
      </c>
      <c r="AK50">
        <v>1.2311922019495101</v>
      </c>
      <c r="AL50" t="s">
        <v>116</v>
      </c>
      <c r="AM50">
        <v>1.2701149425287299</v>
      </c>
      <c r="AN50" t="s">
        <v>152</v>
      </c>
      <c r="AO50">
        <v>0.91995221027479002</v>
      </c>
      <c r="AP50" t="s">
        <v>152</v>
      </c>
      <c r="AQ50">
        <v>1.02727272727272</v>
      </c>
      <c r="AR50" t="s">
        <v>133</v>
      </c>
      <c r="AS50">
        <v>0.98214285714285698</v>
      </c>
      <c r="AT50" t="s">
        <v>152</v>
      </c>
      <c r="AU50">
        <v>0.96477987421383604</v>
      </c>
      <c r="AV50" t="s">
        <v>114</v>
      </c>
      <c r="AW50">
        <v>1.16526845637583</v>
      </c>
      <c r="AX50" t="s">
        <v>114</v>
      </c>
      <c r="AY50">
        <v>0.920086393088552</v>
      </c>
      <c r="AZ50" t="s">
        <v>160</v>
      </c>
      <c r="BA50">
        <v>1.40228013029315</v>
      </c>
      <c r="BB50" t="s">
        <v>114</v>
      </c>
      <c r="BC50">
        <v>0.91397849462365499</v>
      </c>
      <c r="BD50" t="s">
        <v>143</v>
      </c>
      <c r="BE50">
        <v>0.97459584295612001</v>
      </c>
      <c r="BF50" t="s">
        <v>114</v>
      </c>
      <c r="BG50">
        <v>1.0583690987124399</v>
      </c>
      <c r="BH50" t="s">
        <v>114</v>
      </c>
      <c r="BI50">
        <v>0.96431467964314599</v>
      </c>
      <c r="BJ50" t="s">
        <v>160</v>
      </c>
      <c r="BK50">
        <v>0.78855480116391796</v>
      </c>
      <c r="BL50" t="s">
        <v>154</v>
      </c>
      <c r="BM50">
        <v>0.965189873417721</v>
      </c>
      <c r="BN50" t="s">
        <v>116</v>
      </c>
      <c r="BO50">
        <v>0.98006644518272401</v>
      </c>
      <c r="BP50" t="s">
        <v>154</v>
      </c>
      <c r="BQ50">
        <v>0.865051903114186</v>
      </c>
      <c r="BR50" t="s">
        <v>152</v>
      </c>
      <c r="BS50">
        <v>1.0888888888888799</v>
      </c>
      <c r="BT50" t="s">
        <v>146</v>
      </c>
      <c r="BU50">
        <v>1.35</v>
      </c>
      <c r="BV50" t="s">
        <v>154</v>
      </c>
      <c r="BW50">
        <v>1.02145922746781</v>
      </c>
    </row>
    <row r="51" spans="1:75" x14ac:dyDescent="0.4">
      <c r="A51">
        <v>49</v>
      </c>
      <c r="B51" t="s">
        <v>144</v>
      </c>
      <c r="C51">
        <v>0.90491484184914805</v>
      </c>
      <c r="D51" t="s">
        <v>114</v>
      </c>
      <c r="E51">
        <v>1.0416666666666601</v>
      </c>
      <c r="F51" t="s">
        <v>143</v>
      </c>
      <c r="G51">
        <v>0.60961258994080703</v>
      </c>
      <c r="H51" t="s">
        <v>152</v>
      </c>
      <c r="I51">
        <v>0.87694483734087603</v>
      </c>
      <c r="J51" t="s">
        <v>156</v>
      </c>
      <c r="K51">
        <v>1.25103541543402</v>
      </c>
      <c r="L51" t="s">
        <v>114</v>
      </c>
      <c r="M51">
        <v>1.1742424242424201</v>
      </c>
      <c r="N51" t="s">
        <v>154</v>
      </c>
      <c r="O51">
        <v>0.97504159733776996</v>
      </c>
      <c r="P51" t="s">
        <v>146</v>
      </c>
      <c r="Q51">
        <v>0.89947677752293498</v>
      </c>
      <c r="R51" t="s">
        <v>143</v>
      </c>
      <c r="S51">
        <v>1.0825688073394399</v>
      </c>
      <c r="T51" t="s">
        <v>143</v>
      </c>
      <c r="U51">
        <v>1.13418079096045</v>
      </c>
      <c r="V51" t="s">
        <v>152</v>
      </c>
      <c r="W51">
        <v>1.14431486880466</v>
      </c>
      <c r="X51" t="s">
        <v>143</v>
      </c>
      <c r="Y51">
        <v>1.4324045407636701</v>
      </c>
      <c r="Z51" t="s">
        <v>116</v>
      </c>
      <c r="AA51">
        <v>0.93040293040292998</v>
      </c>
      <c r="AB51" t="s">
        <v>114</v>
      </c>
      <c r="AC51">
        <v>0.76699561403508698</v>
      </c>
      <c r="AD51" t="s">
        <v>166</v>
      </c>
      <c r="AE51">
        <v>1.0300751879699199</v>
      </c>
      <c r="AF51" t="s">
        <v>166</v>
      </c>
      <c r="AG51">
        <v>1.11678832116788</v>
      </c>
      <c r="AH51" t="s">
        <v>116</v>
      </c>
      <c r="AI51">
        <v>0.63900000000000001</v>
      </c>
      <c r="AJ51" t="s">
        <v>159</v>
      </c>
      <c r="AK51">
        <v>1.04049079754601</v>
      </c>
      <c r="AL51" t="s">
        <v>119</v>
      </c>
      <c r="AM51">
        <v>1.0623223710921601</v>
      </c>
      <c r="AN51" t="s">
        <v>154</v>
      </c>
      <c r="AO51">
        <v>1.0463659147869599</v>
      </c>
      <c r="AP51" t="s">
        <v>154</v>
      </c>
      <c r="AQ51">
        <v>1.3712574850299399</v>
      </c>
      <c r="AR51" t="s">
        <v>149</v>
      </c>
      <c r="AS51">
        <v>1.2027027027027</v>
      </c>
      <c r="AT51" t="s">
        <v>154</v>
      </c>
      <c r="AU51">
        <v>0.92307692307692302</v>
      </c>
      <c r="AV51" t="s">
        <v>116</v>
      </c>
      <c r="AW51">
        <v>1.1957730812013301</v>
      </c>
      <c r="AX51" t="s">
        <v>160</v>
      </c>
      <c r="AY51">
        <v>1</v>
      </c>
      <c r="AZ51" t="s">
        <v>116</v>
      </c>
      <c r="BA51">
        <v>1.2522123893805299</v>
      </c>
      <c r="BB51" t="s">
        <v>116</v>
      </c>
      <c r="BC51">
        <v>0.93992932862190803</v>
      </c>
      <c r="BD51" t="s">
        <v>146</v>
      </c>
      <c r="BE51">
        <v>1.53521126760563</v>
      </c>
      <c r="BF51" t="s">
        <v>116</v>
      </c>
      <c r="BG51">
        <v>0.85502958579881605</v>
      </c>
      <c r="BH51" t="s">
        <v>116</v>
      </c>
      <c r="BI51">
        <v>0.89619377162629699</v>
      </c>
      <c r="BJ51" t="s">
        <v>116</v>
      </c>
      <c r="BK51">
        <v>0.87258687258687195</v>
      </c>
      <c r="BL51" t="s">
        <v>114</v>
      </c>
      <c r="BM51">
        <v>0.89664310954063597</v>
      </c>
      <c r="BN51" t="s">
        <v>159</v>
      </c>
      <c r="BO51">
        <v>0.99379844961240305</v>
      </c>
      <c r="BP51" t="s">
        <v>114</v>
      </c>
      <c r="BQ51">
        <v>0.89945945945945904</v>
      </c>
      <c r="BR51" t="s">
        <v>154</v>
      </c>
      <c r="BS51">
        <v>1.0640000000000001</v>
      </c>
      <c r="BT51" t="s">
        <v>161</v>
      </c>
      <c r="BU51">
        <v>0.95774647887323905</v>
      </c>
      <c r="BV51" t="s">
        <v>114</v>
      </c>
      <c r="BW51">
        <v>1.1434511434511401</v>
      </c>
    </row>
    <row r="52" spans="1:75" x14ac:dyDescent="0.4">
      <c r="A52">
        <v>50</v>
      </c>
      <c r="B52" t="s">
        <v>151</v>
      </c>
      <c r="C52">
        <v>1.0634743875278301</v>
      </c>
      <c r="D52" t="s">
        <v>116</v>
      </c>
      <c r="E52">
        <v>0.81655480984340001</v>
      </c>
      <c r="F52" t="s">
        <v>146</v>
      </c>
      <c r="G52">
        <v>0.462195286802144</v>
      </c>
      <c r="H52" t="s">
        <v>154</v>
      </c>
      <c r="I52">
        <v>0.94679186228482004</v>
      </c>
      <c r="J52" t="s">
        <v>109</v>
      </c>
      <c r="K52">
        <v>1.64041994750656</v>
      </c>
      <c r="L52" t="s">
        <v>116</v>
      </c>
      <c r="M52">
        <v>0.98835705045278099</v>
      </c>
      <c r="N52" t="s">
        <v>114</v>
      </c>
      <c r="O52">
        <v>0.891612903225806</v>
      </c>
      <c r="P52" t="s">
        <v>117</v>
      </c>
      <c r="Q52">
        <v>0.877286408890947</v>
      </c>
      <c r="R52" t="s">
        <v>146</v>
      </c>
      <c r="S52">
        <v>0.81537113032391695</v>
      </c>
      <c r="T52" t="s">
        <v>117</v>
      </c>
      <c r="U52">
        <v>0.943592552026287</v>
      </c>
      <c r="V52" t="s">
        <v>154</v>
      </c>
      <c r="W52">
        <v>1.1341176470588199</v>
      </c>
      <c r="X52" t="s">
        <v>146</v>
      </c>
      <c r="Y52">
        <v>1.0770466226138</v>
      </c>
      <c r="Z52" t="s">
        <v>119</v>
      </c>
      <c r="AA52">
        <v>1.13173940949935</v>
      </c>
      <c r="AB52" t="s">
        <v>116</v>
      </c>
      <c r="AC52">
        <v>0.94488188976377896</v>
      </c>
      <c r="AD52" t="s">
        <v>163</v>
      </c>
      <c r="AE52">
        <v>0.78326996197718601</v>
      </c>
      <c r="AF52" t="s">
        <v>163</v>
      </c>
      <c r="AG52">
        <v>1.31067961165048</v>
      </c>
      <c r="AH52" t="s">
        <v>119</v>
      </c>
      <c r="AI52">
        <v>0.726134301270417</v>
      </c>
      <c r="AJ52" t="s">
        <v>166</v>
      </c>
      <c r="AK52">
        <v>1.0393700787401501</v>
      </c>
      <c r="AL52" t="s">
        <v>159</v>
      </c>
      <c r="AM52">
        <v>0.96226415094339601</v>
      </c>
      <c r="AN52" t="s">
        <v>114</v>
      </c>
      <c r="AO52">
        <v>1.10813704496788</v>
      </c>
      <c r="AP52" t="s">
        <v>114</v>
      </c>
      <c r="AQ52">
        <v>1.0135265700483</v>
      </c>
      <c r="AR52" t="s">
        <v>143</v>
      </c>
      <c r="AS52">
        <v>0.81069958847736601</v>
      </c>
      <c r="AT52" t="s">
        <v>114</v>
      </c>
      <c r="AU52">
        <v>1.0311418685121101</v>
      </c>
      <c r="AV52" t="s">
        <v>119</v>
      </c>
      <c r="AW52">
        <v>1.3855614119150199</v>
      </c>
      <c r="AX52" t="s">
        <v>116</v>
      </c>
      <c r="AY52">
        <v>1.0511627906976699</v>
      </c>
      <c r="AZ52" t="s">
        <v>119</v>
      </c>
      <c r="BA52">
        <v>1.0499393449251899</v>
      </c>
      <c r="BB52" t="s">
        <v>119</v>
      </c>
      <c r="BC52">
        <v>0.99046793760831797</v>
      </c>
      <c r="BD52" t="s">
        <v>152</v>
      </c>
      <c r="BE52">
        <v>1.19587628865979</v>
      </c>
      <c r="BF52" t="s">
        <v>119</v>
      </c>
      <c r="BG52">
        <v>1.20205596024235</v>
      </c>
      <c r="BH52" t="s">
        <v>119</v>
      </c>
      <c r="BI52">
        <v>1.0587868833890199</v>
      </c>
      <c r="BJ52" t="s">
        <v>159</v>
      </c>
      <c r="BK52">
        <v>0.87907608695652095</v>
      </c>
      <c r="BL52" t="s">
        <v>160</v>
      </c>
      <c r="BM52">
        <v>0.85239852398523897</v>
      </c>
      <c r="BN52" t="s">
        <v>166</v>
      </c>
      <c r="BO52">
        <v>1.06354515050167</v>
      </c>
      <c r="BP52" t="s">
        <v>116</v>
      </c>
      <c r="BQ52">
        <v>0.87909604519773998</v>
      </c>
      <c r="BR52" t="s">
        <v>114</v>
      </c>
      <c r="BS52">
        <v>1.06490384615384</v>
      </c>
      <c r="BT52" t="s">
        <v>152</v>
      </c>
      <c r="BU52">
        <v>1.04489795918367</v>
      </c>
      <c r="BV52" t="s">
        <v>116</v>
      </c>
      <c r="BW52">
        <v>1.4036996735582099</v>
      </c>
    </row>
    <row r="53" spans="1:75" x14ac:dyDescent="0.4">
      <c r="A53">
        <v>51</v>
      </c>
      <c r="B53" t="s">
        <v>143</v>
      </c>
      <c r="C53">
        <v>1.42058165548098</v>
      </c>
      <c r="D53" t="s">
        <v>159</v>
      </c>
      <c r="E53">
        <v>0.81685334915807395</v>
      </c>
      <c r="F53" t="s">
        <v>117</v>
      </c>
      <c r="G53">
        <v>0.65332788893425797</v>
      </c>
      <c r="H53" t="s">
        <v>114</v>
      </c>
      <c r="I53">
        <v>0.601045296167247</v>
      </c>
      <c r="J53" t="s">
        <v>147</v>
      </c>
      <c r="K53">
        <v>1.9319160075238</v>
      </c>
      <c r="L53" t="s">
        <v>159</v>
      </c>
      <c r="M53">
        <v>1.22349974037534</v>
      </c>
      <c r="N53" t="s">
        <v>116</v>
      </c>
      <c r="O53">
        <v>0.92539267015706805</v>
      </c>
      <c r="P53" t="s">
        <v>152</v>
      </c>
      <c r="Q53">
        <v>1.2589928057553901</v>
      </c>
      <c r="R53" t="s">
        <v>117</v>
      </c>
      <c r="S53">
        <v>0.96384270256004201</v>
      </c>
      <c r="T53" t="s">
        <v>152</v>
      </c>
      <c r="U53">
        <v>0.72669491525423702</v>
      </c>
      <c r="V53" t="s">
        <v>114</v>
      </c>
      <c r="W53">
        <v>1.54387865655471</v>
      </c>
      <c r="X53" t="s">
        <v>117</v>
      </c>
      <c r="Y53">
        <v>0.95247581104154799</v>
      </c>
      <c r="Z53" t="s">
        <v>159</v>
      </c>
      <c r="AA53">
        <v>0.94236311239193005</v>
      </c>
      <c r="AB53" t="s">
        <v>119</v>
      </c>
      <c r="AC53">
        <v>0.755990358712604</v>
      </c>
      <c r="AD53" t="s">
        <v>122</v>
      </c>
      <c r="AE53">
        <v>0.76439232409381597</v>
      </c>
      <c r="AF53" t="s">
        <v>122</v>
      </c>
      <c r="AG53">
        <v>1.2691771269177099</v>
      </c>
      <c r="AH53" t="s">
        <v>159</v>
      </c>
      <c r="AI53">
        <v>0.73755656108597201</v>
      </c>
      <c r="AJ53" t="s">
        <v>163</v>
      </c>
      <c r="AK53">
        <v>0.96401985111662503</v>
      </c>
      <c r="AL53" t="s">
        <v>166</v>
      </c>
      <c r="AM53">
        <v>0.97727272727272696</v>
      </c>
      <c r="AN53" t="s">
        <v>116</v>
      </c>
      <c r="AO53">
        <v>1.31900452488687</v>
      </c>
      <c r="AP53" t="s">
        <v>116</v>
      </c>
      <c r="AQ53">
        <v>0.97770154373927898</v>
      </c>
      <c r="AR53" t="s">
        <v>146</v>
      </c>
      <c r="AS53">
        <v>1.0388883664064701</v>
      </c>
      <c r="AT53" t="s">
        <v>160</v>
      </c>
      <c r="AU53">
        <v>0.654471544715447</v>
      </c>
      <c r="AV53" t="s">
        <v>159</v>
      </c>
      <c r="AW53">
        <v>1.13389830508474</v>
      </c>
      <c r="AX53" t="s">
        <v>119</v>
      </c>
      <c r="AY53">
        <v>1.1402881844380399</v>
      </c>
      <c r="AZ53" t="s">
        <v>159</v>
      </c>
      <c r="BA53">
        <v>1.2777777777777699</v>
      </c>
      <c r="BB53" t="s">
        <v>159</v>
      </c>
      <c r="BC53">
        <v>0.92199488491048598</v>
      </c>
      <c r="BD53" t="s">
        <v>154</v>
      </c>
      <c r="BE53">
        <v>1.03142857142857</v>
      </c>
      <c r="BF53" t="s">
        <v>159</v>
      </c>
      <c r="BG53">
        <v>1.24155844155844</v>
      </c>
      <c r="BH53" t="s">
        <v>159</v>
      </c>
      <c r="BI53">
        <v>0.76987447698744704</v>
      </c>
      <c r="BJ53" t="s">
        <v>166</v>
      </c>
      <c r="BK53">
        <v>1.16911764705882</v>
      </c>
      <c r="BL53" t="s">
        <v>116</v>
      </c>
      <c r="BM53">
        <v>0.79911504424778701</v>
      </c>
      <c r="BN53" t="s">
        <v>163</v>
      </c>
      <c r="BO53">
        <v>0.98065476190476097</v>
      </c>
      <c r="BP53" t="s">
        <v>159</v>
      </c>
      <c r="BQ53">
        <v>1.1404056162246401</v>
      </c>
      <c r="BR53" t="s">
        <v>116</v>
      </c>
      <c r="BS53">
        <v>0.93187660668380401</v>
      </c>
      <c r="BT53" t="s">
        <v>154</v>
      </c>
      <c r="BU53">
        <v>0.87593984962406002</v>
      </c>
      <c r="BV53" t="s">
        <v>119</v>
      </c>
      <c r="BW53">
        <v>1.0944055944055899</v>
      </c>
    </row>
    <row r="54" spans="1:75" x14ac:dyDescent="0.4">
      <c r="A54">
        <v>52</v>
      </c>
      <c r="B54" t="s">
        <v>146</v>
      </c>
      <c r="C54">
        <v>0.991869522882181</v>
      </c>
      <c r="D54" t="s">
        <v>166</v>
      </c>
      <c r="E54">
        <v>0.88524590163934402</v>
      </c>
      <c r="F54" t="s">
        <v>152</v>
      </c>
      <c r="G54">
        <v>0.60686695278969904</v>
      </c>
      <c r="H54" t="s">
        <v>116</v>
      </c>
      <c r="I54">
        <v>1.0780399274047101</v>
      </c>
      <c r="J54" t="s">
        <v>143</v>
      </c>
      <c r="K54">
        <v>1.25526685393258</v>
      </c>
      <c r="L54" t="s">
        <v>166</v>
      </c>
      <c r="M54">
        <v>1.0526315789473599</v>
      </c>
      <c r="N54" t="s">
        <v>119</v>
      </c>
      <c r="O54">
        <v>0.94700675518285504</v>
      </c>
      <c r="P54" t="s">
        <v>154</v>
      </c>
      <c r="Q54">
        <v>1.0494880546075001</v>
      </c>
      <c r="R54" t="s">
        <v>152</v>
      </c>
      <c r="S54">
        <v>1.3485714285714201</v>
      </c>
      <c r="T54" t="s">
        <v>154</v>
      </c>
      <c r="U54">
        <v>1.0303030303030301</v>
      </c>
      <c r="V54" t="s">
        <v>116</v>
      </c>
      <c r="W54">
        <v>1.09380530973451</v>
      </c>
      <c r="X54" t="s">
        <v>152</v>
      </c>
      <c r="Y54">
        <v>0.99108280254777004</v>
      </c>
      <c r="Z54" t="s">
        <v>166</v>
      </c>
      <c r="AA54">
        <v>0.91059602649006599</v>
      </c>
      <c r="AB54" t="s">
        <v>159</v>
      </c>
      <c r="AC54">
        <v>0.93462269609058601</v>
      </c>
      <c r="AD54" t="s">
        <v>169</v>
      </c>
      <c r="AE54">
        <v>0.77791286727456899</v>
      </c>
      <c r="AF54" t="s">
        <v>169</v>
      </c>
      <c r="AG54">
        <v>1.16176087522792</v>
      </c>
      <c r="AH54" t="s">
        <v>166</v>
      </c>
      <c r="AI54">
        <v>0.83006535947712401</v>
      </c>
      <c r="AJ54" t="s">
        <v>122</v>
      </c>
      <c r="AK54">
        <v>1.0126582278481</v>
      </c>
      <c r="AL54" t="s">
        <v>163</v>
      </c>
      <c r="AM54">
        <v>0.99099099099099097</v>
      </c>
      <c r="AN54" t="s">
        <v>119</v>
      </c>
      <c r="AO54">
        <v>1.5121345308618299</v>
      </c>
      <c r="AP54" t="s">
        <v>119</v>
      </c>
      <c r="AQ54">
        <v>1.0337419436370501</v>
      </c>
      <c r="AR54" t="s">
        <v>117</v>
      </c>
      <c r="AS54">
        <v>1.1666666666666601</v>
      </c>
      <c r="AT54" t="s">
        <v>116</v>
      </c>
      <c r="AU54">
        <v>1.5083892617449599</v>
      </c>
      <c r="AV54" t="s">
        <v>166</v>
      </c>
      <c r="AW54">
        <v>1.01673640167364</v>
      </c>
      <c r="AX54" t="s">
        <v>159</v>
      </c>
      <c r="AY54">
        <v>0.91479820627802599</v>
      </c>
      <c r="AZ54" t="s">
        <v>166</v>
      </c>
      <c r="BA54">
        <v>1.13944223107569</v>
      </c>
      <c r="BB54" t="s">
        <v>166</v>
      </c>
      <c r="BC54">
        <v>1.006993006993</v>
      </c>
      <c r="BD54" t="s">
        <v>114</v>
      </c>
      <c r="BE54">
        <v>0.97899159663865498</v>
      </c>
      <c r="BF54" t="s">
        <v>166</v>
      </c>
      <c r="BG54">
        <v>0.95192307692307598</v>
      </c>
      <c r="BH54" t="s">
        <v>166</v>
      </c>
      <c r="BI54">
        <v>0.91582491582491499</v>
      </c>
      <c r="BJ54" t="s">
        <v>122</v>
      </c>
      <c r="BK54">
        <v>0.90620272314674699</v>
      </c>
      <c r="BL54" t="s">
        <v>119</v>
      </c>
      <c r="BM54">
        <v>1.1907428144830099</v>
      </c>
      <c r="BN54" t="s">
        <v>122</v>
      </c>
      <c r="BO54">
        <v>0.91442307692307601</v>
      </c>
      <c r="BP54" t="s">
        <v>166</v>
      </c>
      <c r="BQ54">
        <v>0.98113207547169801</v>
      </c>
      <c r="BR54" t="s">
        <v>166</v>
      </c>
      <c r="BS54">
        <v>1.0128205128205101</v>
      </c>
      <c r="BT54" t="s">
        <v>114</v>
      </c>
      <c r="BU54">
        <v>1.0857787810383699</v>
      </c>
      <c r="BV54" t="s">
        <v>166</v>
      </c>
      <c r="BW54">
        <v>1.0540540540540499</v>
      </c>
    </row>
    <row r="55" spans="1:75" x14ac:dyDescent="0.4">
      <c r="A55">
        <v>53</v>
      </c>
      <c r="B55" t="s">
        <v>117</v>
      </c>
      <c r="C55">
        <v>0.83337375697307703</v>
      </c>
      <c r="D55" t="s">
        <v>163</v>
      </c>
      <c r="E55">
        <v>0.68850174216027804</v>
      </c>
      <c r="F55" t="s">
        <v>154</v>
      </c>
      <c r="G55">
        <v>0.92877906976744096</v>
      </c>
      <c r="H55" t="s">
        <v>119</v>
      </c>
      <c r="I55">
        <v>1.15995575221238</v>
      </c>
      <c r="J55" t="s">
        <v>146</v>
      </c>
      <c r="K55">
        <v>1.2331791735044</v>
      </c>
      <c r="L55" t="s">
        <v>122</v>
      </c>
      <c r="M55">
        <v>0.78342245989304804</v>
      </c>
      <c r="N55" t="s">
        <v>159</v>
      </c>
      <c r="O55">
        <v>0.82332969564690195</v>
      </c>
      <c r="P55" t="s">
        <v>173</v>
      </c>
      <c r="Q55">
        <v>0.97714285714285698</v>
      </c>
      <c r="R55" t="s">
        <v>154</v>
      </c>
      <c r="S55">
        <v>1.34146341463414</v>
      </c>
      <c r="T55" t="s">
        <v>114</v>
      </c>
      <c r="U55">
        <v>1.2819444444444399</v>
      </c>
      <c r="V55" t="s">
        <v>119</v>
      </c>
      <c r="W55">
        <v>1.0825082508250801</v>
      </c>
      <c r="X55" t="s">
        <v>154</v>
      </c>
      <c r="Y55">
        <v>0.98755186721991695</v>
      </c>
      <c r="Z55" t="s">
        <v>163</v>
      </c>
      <c r="AA55">
        <v>0.76753246753246696</v>
      </c>
      <c r="AB55" t="s">
        <v>166</v>
      </c>
      <c r="AC55">
        <v>0.96727272727272695</v>
      </c>
      <c r="AD55" t="s">
        <v>171</v>
      </c>
      <c r="AE55">
        <v>0.88065843621399098</v>
      </c>
      <c r="AF55" t="s">
        <v>171</v>
      </c>
      <c r="AG55">
        <v>1.18691588785046</v>
      </c>
      <c r="AH55" t="s">
        <v>163</v>
      </c>
      <c r="AI55">
        <v>0.74629629629629601</v>
      </c>
      <c r="AJ55" t="s">
        <v>169</v>
      </c>
      <c r="AK55">
        <v>0.97322741982936101</v>
      </c>
      <c r="AL55" t="s">
        <v>122</v>
      </c>
      <c r="AM55">
        <v>0.96250000000000002</v>
      </c>
      <c r="AN55" t="s">
        <v>159</v>
      </c>
      <c r="AO55">
        <v>1.09313725490196</v>
      </c>
      <c r="AP55" t="s">
        <v>159</v>
      </c>
      <c r="AQ55">
        <v>0.87443946188340804</v>
      </c>
      <c r="AR55" t="s">
        <v>152</v>
      </c>
      <c r="AS55">
        <v>1.00505689001264</v>
      </c>
      <c r="AT55" t="s">
        <v>119</v>
      </c>
      <c r="AU55">
        <v>1.15495296070835</v>
      </c>
      <c r="AV55" t="s">
        <v>163</v>
      </c>
      <c r="AW55">
        <v>0.89245283018867905</v>
      </c>
      <c r="AX55" t="s">
        <v>166</v>
      </c>
      <c r="AY55">
        <v>1.0329218106995799</v>
      </c>
      <c r="AZ55" t="s">
        <v>163</v>
      </c>
      <c r="BA55">
        <v>1.3223684210526301</v>
      </c>
      <c r="BB55" t="s">
        <v>122</v>
      </c>
      <c r="BC55">
        <v>0.84095238095238101</v>
      </c>
      <c r="BD55" t="s">
        <v>116</v>
      </c>
      <c r="BE55">
        <v>1.27067669172932</v>
      </c>
      <c r="BF55" t="s">
        <v>122</v>
      </c>
      <c r="BG55">
        <v>1.1493943472409101</v>
      </c>
      <c r="BH55" t="s">
        <v>169</v>
      </c>
      <c r="BI55">
        <v>0.91601049868766404</v>
      </c>
      <c r="BJ55" t="s">
        <v>169</v>
      </c>
      <c r="BK55">
        <v>0.82903533906399196</v>
      </c>
      <c r="BL55" t="s">
        <v>159</v>
      </c>
      <c r="BM55">
        <v>0.99690880989180797</v>
      </c>
      <c r="BN55" t="s">
        <v>169</v>
      </c>
      <c r="BO55">
        <v>0.87616897774911295</v>
      </c>
      <c r="BP55" t="s">
        <v>163</v>
      </c>
      <c r="BQ55">
        <v>1.0106221547799601</v>
      </c>
      <c r="BR55" t="s">
        <v>163</v>
      </c>
      <c r="BS55">
        <v>0.953453453453453</v>
      </c>
      <c r="BT55" t="s">
        <v>116</v>
      </c>
      <c r="BU55">
        <v>1.26758620689655</v>
      </c>
      <c r="BV55" t="s">
        <v>163</v>
      </c>
      <c r="BW55">
        <v>1.2018072289156601</v>
      </c>
    </row>
    <row r="56" spans="1:75" x14ac:dyDescent="0.4">
      <c r="A56">
        <v>54</v>
      </c>
      <c r="B56" t="s">
        <v>152</v>
      </c>
      <c r="C56">
        <v>0.88510638297872302</v>
      </c>
      <c r="D56" t="s">
        <v>122</v>
      </c>
      <c r="E56">
        <v>0.57023411371237398</v>
      </c>
      <c r="F56" t="s">
        <v>114</v>
      </c>
      <c r="G56">
        <v>1.20842105263157</v>
      </c>
      <c r="H56" t="s">
        <v>159</v>
      </c>
      <c r="I56">
        <v>1.2463886617606901</v>
      </c>
      <c r="J56" t="s">
        <v>117</v>
      </c>
      <c r="K56">
        <v>1.1620486985726199</v>
      </c>
      <c r="L56" t="s">
        <v>169</v>
      </c>
      <c r="M56">
        <v>0.99042075906390203</v>
      </c>
      <c r="N56" t="s">
        <v>166</v>
      </c>
      <c r="O56">
        <v>0.96666666666666601</v>
      </c>
      <c r="P56" t="s">
        <v>114</v>
      </c>
      <c r="Q56">
        <v>0.95369030390737997</v>
      </c>
      <c r="R56" t="s">
        <v>114</v>
      </c>
      <c r="S56">
        <v>1.09256449165402</v>
      </c>
      <c r="T56" t="s">
        <v>116</v>
      </c>
      <c r="U56">
        <v>0.94166666666666599</v>
      </c>
      <c r="V56" t="s">
        <v>159</v>
      </c>
      <c r="W56">
        <v>0.87109292316376197</v>
      </c>
      <c r="X56" t="s">
        <v>114</v>
      </c>
      <c r="Y56">
        <v>0.81754385964912202</v>
      </c>
      <c r="Z56" t="s">
        <v>122</v>
      </c>
      <c r="AA56">
        <v>0.94827586206896497</v>
      </c>
      <c r="AB56" t="s">
        <v>163</v>
      </c>
      <c r="AC56">
        <v>0.89001692047377301</v>
      </c>
      <c r="AD56" t="s">
        <v>175</v>
      </c>
      <c r="AE56">
        <v>1.0797546012269901</v>
      </c>
      <c r="AF56" t="s">
        <v>125</v>
      </c>
      <c r="AG56">
        <v>1.14215686274509</v>
      </c>
      <c r="AH56" t="s">
        <v>122</v>
      </c>
      <c r="AI56">
        <v>0.78131868131868099</v>
      </c>
      <c r="AJ56" t="s">
        <v>171</v>
      </c>
      <c r="AK56">
        <v>0.93721973094170397</v>
      </c>
      <c r="AL56" t="s">
        <v>169</v>
      </c>
      <c r="AM56">
        <v>0.96765417170495704</v>
      </c>
      <c r="AN56" t="s">
        <v>166</v>
      </c>
      <c r="AO56">
        <v>0.95348837209302295</v>
      </c>
      <c r="AP56" t="s">
        <v>166</v>
      </c>
      <c r="AQ56">
        <v>1.0243902439024299</v>
      </c>
      <c r="AR56" t="s">
        <v>154</v>
      </c>
      <c r="AS56">
        <v>1.07860262008733</v>
      </c>
      <c r="AT56" t="s">
        <v>159</v>
      </c>
      <c r="AU56">
        <v>1.0350877192982399</v>
      </c>
      <c r="AV56" t="s">
        <v>122</v>
      </c>
      <c r="AW56">
        <v>1.1565656565656499</v>
      </c>
      <c r="AX56" t="s">
        <v>163</v>
      </c>
      <c r="AY56">
        <v>0.96405919661733597</v>
      </c>
      <c r="AZ56" t="s">
        <v>122</v>
      </c>
      <c r="BA56">
        <v>0.97674418604651103</v>
      </c>
      <c r="BB56" t="s">
        <v>123</v>
      </c>
      <c r="BC56">
        <v>1.1522747519429799</v>
      </c>
      <c r="BD56" t="s">
        <v>119</v>
      </c>
      <c r="BE56">
        <v>1.4279187323806699</v>
      </c>
      <c r="BF56" t="s">
        <v>169</v>
      </c>
      <c r="BG56">
        <v>1.23534179951364</v>
      </c>
      <c r="BH56" t="s">
        <v>171</v>
      </c>
      <c r="BI56">
        <v>0.86864406779660996</v>
      </c>
      <c r="BJ56" t="s">
        <v>171</v>
      </c>
      <c r="BK56">
        <v>1.07317073170731</v>
      </c>
      <c r="BL56" t="s">
        <v>166</v>
      </c>
      <c r="BM56">
        <v>0.94025157232704404</v>
      </c>
      <c r="BN56" t="s">
        <v>171</v>
      </c>
      <c r="BO56">
        <v>0.88655462184873901</v>
      </c>
      <c r="BP56" t="s">
        <v>122</v>
      </c>
      <c r="BQ56">
        <v>1.1440588853838001</v>
      </c>
      <c r="BR56" t="s">
        <v>122</v>
      </c>
      <c r="BS56">
        <v>0.92647058823529405</v>
      </c>
      <c r="BT56" t="s">
        <v>166</v>
      </c>
      <c r="BU56">
        <v>0.936708860759493</v>
      </c>
      <c r="BV56" t="s">
        <v>171</v>
      </c>
      <c r="BW56">
        <v>1.1310043668122201</v>
      </c>
    </row>
    <row r="57" spans="1:75" x14ac:dyDescent="0.4">
      <c r="A57">
        <v>55</v>
      </c>
      <c r="B57" t="s">
        <v>154</v>
      </c>
      <c r="C57">
        <v>0.94117647058823495</v>
      </c>
      <c r="D57" t="s">
        <v>169</v>
      </c>
      <c r="E57">
        <v>0.75527983104540597</v>
      </c>
      <c r="F57" t="s">
        <v>116</v>
      </c>
      <c r="G57">
        <v>0.75479452054794505</v>
      </c>
      <c r="H57" t="s">
        <v>166</v>
      </c>
      <c r="I57">
        <v>1.015625</v>
      </c>
      <c r="J57" t="s">
        <v>152</v>
      </c>
      <c r="K57">
        <v>1.0548387096774099</v>
      </c>
      <c r="L57" t="s">
        <v>171</v>
      </c>
      <c r="M57">
        <v>0.98784194528875302</v>
      </c>
      <c r="N57" t="s">
        <v>122</v>
      </c>
      <c r="O57">
        <v>0.73378839590443601</v>
      </c>
      <c r="P57" t="s">
        <v>116</v>
      </c>
      <c r="Q57">
        <v>1.03253182461103</v>
      </c>
      <c r="R57" t="s">
        <v>116</v>
      </c>
      <c r="S57">
        <v>0.82191780821917804</v>
      </c>
      <c r="T57" t="s">
        <v>119</v>
      </c>
      <c r="U57">
        <v>1.1001337664819399</v>
      </c>
      <c r="V57" t="s">
        <v>166</v>
      </c>
      <c r="W57">
        <v>0.99677419354838703</v>
      </c>
      <c r="X57" t="s">
        <v>116</v>
      </c>
      <c r="Y57">
        <v>0.88349514563106801</v>
      </c>
      <c r="Z57" t="s">
        <v>169</v>
      </c>
      <c r="AA57">
        <v>0.80075471698113199</v>
      </c>
      <c r="AB57" t="s">
        <v>122</v>
      </c>
      <c r="AC57">
        <v>0.852727272727272</v>
      </c>
      <c r="AD57" t="s">
        <v>131</v>
      </c>
      <c r="AE57">
        <v>0.84802431610942197</v>
      </c>
      <c r="AF57" t="s">
        <v>175</v>
      </c>
      <c r="AG57">
        <v>1.0625</v>
      </c>
      <c r="AH57" t="s">
        <v>169</v>
      </c>
      <c r="AI57">
        <v>0.762107623318385</v>
      </c>
      <c r="AJ57" t="s">
        <v>125</v>
      </c>
      <c r="AK57">
        <v>1.13818181818181</v>
      </c>
      <c r="AL57" t="s">
        <v>171</v>
      </c>
      <c r="AM57">
        <v>1.0586124401913799</v>
      </c>
      <c r="AN57" t="s">
        <v>163</v>
      </c>
      <c r="AO57">
        <v>1.0727272727272701</v>
      </c>
      <c r="AP57" t="s">
        <v>163</v>
      </c>
      <c r="AQ57">
        <v>0.99394673123486599</v>
      </c>
      <c r="AR57" t="s">
        <v>114</v>
      </c>
      <c r="AS57">
        <v>1.10200190657769</v>
      </c>
      <c r="AT57" t="s">
        <v>166</v>
      </c>
      <c r="AU57">
        <v>1.0257510729613699</v>
      </c>
      <c r="AV57" t="s">
        <v>123</v>
      </c>
      <c r="AW57">
        <v>1.13466205780686</v>
      </c>
      <c r="AX57" t="s">
        <v>122</v>
      </c>
      <c r="AY57">
        <v>0.93886462882096</v>
      </c>
      <c r="AZ57" t="s">
        <v>123</v>
      </c>
      <c r="BA57">
        <v>1.0929693795326301</v>
      </c>
      <c r="BB57" t="s">
        <v>169</v>
      </c>
      <c r="BC57">
        <v>0.86457536342769703</v>
      </c>
      <c r="BD57" t="s">
        <v>159</v>
      </c>
      <c r="BE57">
        <v>1.0679611650485401</v>
      </c>
      <c r="BF57" t="s">
        <v>171</v>
      </c>
      <c r="BG57">
        <v>1.0727272727272701</v>
      </c>
      <c r="BH57" t="s">
        <v>125</v>
      </c>
      <c r="BI57">
        <v>0.93418940609951795</v>
      </c>
      <c r="BJ57" t="s">
        <v>125</v>
      </c>
      <c r="BK57">
        <v>1.26460481099656</v>
      </c>
      <c r="BL57" t="s">
        <v>163</v>
      </c>
      <c r="BM57">
        <v>0.894806924101198</v>
      </c>
      <c r="BN57" t="s">
        <v>175</v>
      </c>
      <c r="BO57">
        <v>0.68989547038327503</v>
      </c>
      <c r="BP57" t="s">
        <v>171</v>
      </c>
      <c r="BQ57">
        <v>0.97156398104265396</v>
      </c>
      <c r="BR57" t="s">
        <v>171</v>
      </c>
      <c r="BS57">
        <v>1.0146341463414601</v>
      </c>
      <c r="BT57" t="s">
        <v>163</v>
      </c>
      <c r="BU57">
        <v>1.0456692913385801</v>
      </c>
      <c r="BV57" t="s">
        <v>125</v>
      </c>
      <c r="BW57">
        <v>1.2898089171974501</v>
      </c>
    </row>
    <row r="58" spans="1:75" x14ac:dyDescent="0.4">
      <c r="A58">
        <v>56</v>
      </c>
      <c r="B58" t="s">
        <v>114</v>
      </c>
      <c r="C58">
        <v>0.902970297029703</v>
      </c>
      <c r="D58" t="s">
        <v>171</v>
      </c>
      <c r="E58">
        <v>0.89672544080604499</v>
      </c>
      <c r="F58" t="s">
        <v>119</v>
      </c>
      <c r="G58">
        <v>0.486126048612604</v>
      </c>
      <c r="H58" t="s">
        <v>163</v>
      </c>
      <c r="I58">
        <v>1.31627906976744</v>
      </c>
      <c r="J58" t="s">
        <v>154</v>
      </c>
      <c r="K58">
        <v>0.96198347107437998</v>
      </c>
      <c r="L58" t="s">
        <v>175</v>
      </c>
      <c r="M58">
        <v>1.0462046204620401</v>
      </c>
      <c r="N58" t="s">
        <v>169</v>
      </c>
      <c r="O58">
        <v>0.769098922624877</v>
      </c>
      <c r="P58" t="s">
        <v>119</v>
      </c>
      <c r="Q58">
        <v>0.919690075021522</v>
      </c>
      <c r="R58" t="s">
        <v>119</v>
      </c>
      <c r="S58">
        <v>0.69978603904787295</v>
      </c>
      <c r="T58" t="s">
        <v>159</v>
      </c>
      <c r="U58">
        <v>1.2928030648545099</v>
      </c>
      <c r="V58" t="s">
        <v>163</v>
      </c>
      <c r="W58">
        <v>0.90174002047082902</v>
      </c>
      <c r="X58" t="s">
        <v>119</v>
      </c>
      <c r="Y58">
        <v>1</v>
      </c>
      <c r="Z58" t="s">
        <v>171</v>
      </c>
      <c r="AA58">
        <v>0.88424437299035297</v>
      </c>
      <c r="AB58" t="s">
        <v>169</v>
      </c>
      <c r="AC58">
        <v>0.93025447690857599</v>
      </c>
      <c r="AD58" t="s">
        <v>177</v>
      </c>
      <c r="AE58">
        <v>0.77656250000000004</v>
      </c>
      <c r="AF58" t="s">
        <v>131</v>
      </c>
      <c r="AG58">
        <v>1.21505376344086</v>
      </c>
      <c r="AH58" t="s">
        <v>171</v>
      </c>
      <c r="AI58">
        <v>0.70236220472440902</v>
      </c>
      <c r="AJ58" t="s">
        <v>175</v>
      </c>
      <c r="AK58">
        <v>1.0204918032786801</v>
      </c>
      <c r="AL58" t="s">
        <v>175</v>
      </c>
      <c r="AM58">
        <v>0.93975903614457801</v>
      </c>
      <c r="AN58" t="s">
        <v>122</v>
      </c>
      <c r="AO58">
        <v>0.94805194805194803</v>
      </c>
      <c r="AP58" t="s">
        <v>122</v>
      </c>
      <c r="AQ58">
        <v>1.07610350076103</v>
      </c>
      <c r="AR58" t="s">
        <v>116</v>
      </c>
      <c r="AS58">
        <v>1.0456140350877099</v>
      </c>
      <c r="AT58" t="s">
        <v>163</v>
      </c>
      <c r="AU58">
        <v>0.88628762541806005</v>
      </c>
      <c r="AV58" t="s">
        <v>169</v>
      </c>
      <c r="AW58">
        <v>0.95546064673581399</v>
      </c>
      <c r="AX58" t="s">
        <v>123</v>
      </c>
      <c r="AY58">
        <v>0.96525797251750001</v>
      </c>
      <c r="AZ58" t="s">
        <v>169</v>
      </c>
      <c r="BA58">
        <v>1.27512195121951</v>
      </c>
      <c r="BB58" t="s">
        <v>171</v>
      </c>
      <c r="BC58">
        <v>0.79338842975206603</v>
      </c>
      <c r="BD58" t="s">
        <v>166</v>
      </c>
      <c r="BE58">
        <v>1.0833333333333299</v>
      </c>
      <c r="BF58" t="s">
        <v>125</v>
      </c>
      <c r="BG58">
        <v>0.97955974842767202</v>
      </c>
      <c r="BH58" t="s">
        <v>175</v>
      </c>
      <c r="BI58">
        <v>0.91228070175438503</v>
      </c>
      <c r="BJ58" t="s">
        <v>175</v>
      </c>
      <c r="BK58">
        <v>1.17307692307692</v>
      </c>
      <c r="BL58" t="s">
        <v>122</v>
      </c>
      <c r="BM58">
        <v>0.86811352253756202</v>
      </c>
      <c r="BN58" t="s">
        <v>179</v>
      </c>
      <c r="BO58">
        <v>0.971830985915493</v>
      </c>
      <c r="BP58" t="s">
        <v>125</v>
      </c>
      <c r="BQ58">
        <v>1</v>
      </c>
      <c r="BR58" t="s">
        <v>125</v>
      </c>
      <c r="BS58">
        <v>0.85735963581183605</v>
      </c>
      <c r="BT58" t="s">
        <v>171</v>
      </c>
      <c r="BU58">
        <v>1.1009615384615301</v>
      </c>
      <c r="BV58" t="s">
        <v>175</v>
      </c>
      <c r="BW58">
        <v>0.96346555323590799</v>
      </c>
    </row>
    <row r="59" spans="1:75" x14ac:dyDescent="0.4">
      <c r="A59">
        <v>57</v>
      </c>
      <c r="B59" t="s">
        <v>116</v>
      </c>
      <c r="C59">
        <v>0.98241758241758204</v>
      </c>
      <c r="D59" t="s">
        <v>131</v>
      </c>
      <c r="E59">
        <v>0.67592592592592504</v>
      </c>
      <c r="F59" t="s">
        <v>159</v>
      </c>
      <c r="G59">
        <v>0.66636396658190999</v>
      </c>
      <c r="H59" t="s">
        <v>122</v>
      </c>
      <c r="I59">
        <v>1.09649122807017</v>
      </c>
      <c r="J59" t="s">
        <v>173</v>
      </c>
      <c r="K59">
        <v>1.3792048929663601</v>
      </c>
      <c r="L59" t="s">
        <v>131</v>
      </c>
      <c r="M59">
        <v>0.967741935483871</v>
      </c>
      <c r="N59" t="s">
        <v>171</v>
      </c>
      <c r="O59">
        <v>0.92</v>
      </c>
      <c r="P59" t="s">
        <v>159</v>
      </c>
      <c r="Q59">
        <v>0.949116347569955</v>
      </c>
      <c r="R59" t="s">
        <v>159</v>
      </c>
      <c r="S59">
        <v>0.85057025370470896</v>
      </c>
      <c r="T59" t="s">
        <v>166</v>
      </c>
      <c r="U59">
        <v>1.09154929577464</v>
      </c>
      <c r="V59" t="s">
        <v>122</v>
      </c>
      <c r="W59">
        <v>1.2365145228215699</v>
      </c>
      <c r="X59" t="s">
        <v>159</v>
      </c>
      <c r="Y59">
        <v>1.0399319617689899</v>
      </c>
      <c r="Z59" t="s">
        <v>175</v>
      </c>
      <c r="AA59">
        <v>0.96107784431137699</v>
      </c>
      <c r="AB59" t="s">
        <v>171</v>
      </c>
      <c r="AC59">
        <v>0.883636363636363</v>
      </c>
      <c r="AD59" t="s">
        <v>134</v>
      </c>
      <c r="AE59">
        <v>0.80487804878048697</v>
      </c>
      <c r="AF59" t="s">
        <v>177</v>
      </c>
      <c r="AG59">
        <v>1.4346076458752499</v>
      </c>
      <c r="AH59" t="s">
        <v>175</v>
      </c>
      <c r="AI59">
        <v>0.65240641711229896</v>
      </c>
      <c r="AJ59" t="s">
        <v>131</v>
      </c>
      <c r="AK59">
        <v>1.36326530612244</v>
      </c>
      <c r="AL59" t="s">
        <v>131</v>
      </c>
      <c r="AM59">
        <v>1.0748502994011899</v>
      </c>
      <c r="AN59" t="s">
        <v>169</v>
      </c>
      <c r="AO59">
        <v>1.2530459231490101</v>
      </c>
      <c r="AP59" t="s">
        <v>169</v>
      </c>
      <c r="AQ59">
        <v>0.913986537023186</v>
      </c>
      <c r="AR59" t="s">
        <v>119</v>
      </c>
      <c r="AS59">
        <v>0.66271393643031695</v>
      </c>
      <c r="AT59" t="s">
        <v>122</v>
      </c>
      <c r="AU59">
        <v>1.3342318059299101</v>
      </c>
      <c r="AV59" t="s">
        <v>171</v>
      </c>
      <c r="AW59">
        <v>0.97703788748564802</v>
      </c>
      <c r="AX59" t="s">
        <v>169</v>
      </c>
      <c r="AY59">
        <v>0.98180076628352397</v>
      </c>
      <c r="AZ59" t="s">
        <v>171</v>
      </c>
      <c r="BA59">
        <v>1.32675438596491</v>
      </c>
      <c r="BB59" t="s">
        <v>175</v>
      </c>
      <c r="BC59">
        <v>0.94994892747701698</v>
      </c>
      <c r="BD59" t="s">
        <v>122</v>
      </c>
      <c r="BE59">
        <v>0.841449603624009</v>
      </c>
      <c r="BF59" t="s">
        <v>175</v>
      </c>
      <c r="BG59">
        <v>1.3013698630136901</v>
      </c>
      <c r="BH59" t="s">
        <v>179</v>
      </c>
      <c r="BI59">
        <v>1.0179856115107899</v>
      </c>
      <c r="BJ59" t="s">
        <v>179</v>
      </c>
      <c r="BK59">
        <v>0.98763250883392195</v>
      </c>
      <c r="BL59" t="s">
        <v>169</v>
      </c>
      <c r="BM59">
        <v>0.89314516129032195</v>
      </c>
      <c r="BN59" t="s">
        <v>182</v>
      </c>
      <c r="BO59">
        <v>1.0981524249422601</v>
      </c>
      <c r="BP59" t="s">
        <v>175</v>
      </c>
      <c r="BQ59">
        <v>0.92020202020202002</v>
      </c>
      <c r="BR59" t="s">
        <v>175</v>
      </c>
      <c r="BS59">
        <v>0.99670691547749701</v>
      </c>
      <c r="BT59" t="s">
        <v>125</v>
      </c>
      <c r="BU59">
        <v>1.11150442477876</v>
      </c>
      <c r="BV59" t="s">
        <v>182</v>
      </c>
      <c r="BW59">
        <v>0.96017699115044197</v>
      </c>
    </row>
    <row r="60" spans="1:75" x14ac:dyDescent="0.4">
      <c r="A60">
        <v>58</v>
      </c>
      <c r="B60" t="s">
        <v>159</v>
      </c>
      <c r="C60">
        <v>0.80768078605236304</v>
      </c>
      <c r="D60" t="s">
        <v>177</v>
      </c>
      <c r="E60">
        <v>0.55110642781875596</v>
      </c>
      <c r="F60" t="s">
        <v>166</v>
      </c>
      <c r="G60">
        <v>0.67724867724867699</v>
      </c>
      <c r="H60" t="s">
        <v>169</v>
      </c>
      <c r="I60">
        <v>1.44307304785894</v>
      </c>
      <c r="J60" t="s">
        <v>114</v>
      </c>
      <c r="K60">
        <v>0.95652173913043403</v>
      </c>
      <c r="L60" t="s">
        <v>134</v>
      </c>
      <c r="M60">
        <v>1.5178571428571399</v>
      </c>
      <c r="N60" t="s">
        <v>175</v>
      </c>
      <c r="O60">
        <v>0.94637223974763396</v>
      </c>
      <c r="P60" t="s">
        <v>166</v>
      </c>
      <c r="Q60">
        <v>1.02413793103448</v>
      </c>
      <c r="R60" t="s">
        <v>166</v>
      </c>
      <c r="S60">
        <v>0.95622895622895598</v>
      </c>
      <c r="T60" t="s">
        <v>163</v>
      </c>
      <c r="U60">
        <v>1.17286914765906</v>
      </c>
      <c r="V60" t="s">
        <v>169</v>
      </c>
      <c r="W60">
        <v>1.0951686121919499</v>
      </c>
      <c r="X60" t="s">
        <v>166</v>
      </c>
      <c r="Y60">
        <v>0.97734627831715204</v>
      </c>
      <c r="Z60" t="s">
        <v>131</v>
      </c>
      <c r="AA60">
        <v>1.5358490566037699</v>
      </c>
      <c r="AB60" t="s">
        <v>175</v>
      </c>
      <c r="AC60">
        <v>1.0155763239875299</v>
      </c>
      <c r="AD60" t="s">
        <v>184</v>
      </c>
      <c r="AE60">
        <v>0.89891696750902494</v>
      </c>
      <c r="AF60" t="s">
        <v>134</v>
      </c>
      <c r="AG60">
        <v>1.15151515151515</v>
      </c>
      <c r="AH60" t="s">
        <v>131</v>
      </c>
      <c r="AI60">
        <v>0.72271386430678397</v>
      </c>
      <c r="AJ60" t="s">
        <v>134</v>
      </c>
      <c r="AK60">
        <v>1.1196581196581099</v>
      </c>
      <c r="AL60" t="s">
        <v>134</v>
      </c>
      <c r="AM60">
        <v>0.86641221374045796</v>
      </c>
      <c r="AN60" t="s">
        <v>171</v>
      </c>
      <c r="AO60">
        <v>1.1694915254237199</v>
      </c>
      <c r="AP60" t="s">
        <v>171</v>
      </c>
      <c r="AQ60">
        <v>0.94396135265700398</v>
      </c>
      <c r="AR60" t="s">
        <v>159</v>
      </c>
      <c r="AS60">
        <v>0.73076923076922995</v>
      </c>
      <c r="AT60" t="s">
        <v>169</v>
      </c>
      <c r="AU60">
        <v>1.1782890007189</v>
      </c>
      <c r="AV60" t="s">
        <v>125</v>
      </c>
      <c r="AW60">
        <v>0.89600000000000002</v>
      </c>
      <c r="AX60" t="s">
        <v>171</v>
      </c>
      <c r="AY60">
        <v>1.0716803760282001</v>
      </c>
      <c r="AZ60" t="s">
        <v>125</v>
      </c>
      <c r="BA60">
        <v>1.16803953871499</v>
      </c>
      <c r="BB60" t="s">
        <v>131</v>
      </c>
      <c r="BC60">
        <v>1.0591900311526401</v>
      </c>
      <c r="BD60" t="s">
        <v>169</v>
      </c>
      <c r="BE60">
        <v>1.09174041297935</v>
      </c>
      <c r="BF60" t="s">
        <v>179</v>
      </c>
      <c r="BG60">
        <v>0.958620689655172</v>
      </c>
      <c r="BH60" t="s">
        <v>182</v>
      </c>
      <c r="BI60">
        <v>0.94865211810012795</v>
      </c>
      <c r="BJ60" t="s">
        <v>182</v>
      </c>
      <c r="BK60">
        <v>1.0554803788903899</v>
      </c>
      <c r="BL60" t="s">
        <v>171</v>
      </c>
      <c r="BM60">
        <v>1.08181818181818</v>
      </c>
      <c r="BN60" t="s">
        <v>181</v>
      </c>
      <c r="BO60">
        <v>0.984615384615384</v>
      </c>
      <c r="BP60" t="s">
        <v>179</v>
      </c>
      <c r="BQ60">
        <v>0.92546583850931596</v>
      </c>
      <c r="BR60" t="s">
        <v>182</v>
      </c>
      <c r="BS60">
        <v>0.98175598631698902</v>
      </c>
      <c r="BT60" t="s">
        <v>175</v>
      </c>
      <c r="BU60">
        <v>1.0550660792951501</v>
      </c>
      <c r="BV60" t="s">
        <v>181</v>
      </c>
      <c r="BW60">
        <v>1.06696428571428</v>
      </c>
    </row>
    <row r="61" spans="1:75" x14ac:dyDescent="0.4">
      <c r="A61">
        <v>59</v>
      </c>
      <c r="B61" t="s">
        <v>166</v>
      </c>
      <c r="C61">
        <v>1.0440097799510999</v>
      </c>
      <c r="D61" t="s">
        <v>134</v>
      </c>
      <c r="E61">
        <v>0.80968858131487798</v>
      </c>
      <c r="F61" t="s">
        <v>163</v>
      </c>
      <c r="G61">
        <v>0.43522267206477699</v>
      </c>
      <c r="H61" t="s">
        <v>171</v>
      </c>
      <c r="I61">
        <v>1.2723577235772301</v>
      </c>
      <c r="J61" t="s">
        <v>116</v>
      </c>
      <c r="K61">
        <v>1.3013468013467999</v>
      </c>
      <c r="L61" t="s">
        <v>137</v>
      </c>
      <c r="M61">
        <v>1.0159680638722499</v>
      </c>
      <c r="N61" t="s">
        <v>131</v>
      </c>
      <c r="O61">
        <v>0.80190476190476101</v>
      </c>
      <c r="P61" t="s">
        <v>163</v>
      </c>
      <c r="Q61">
        <v>0.91774891774891698</v>
      </c>
      <c r="R61" t="s">
        <v>163</v>
      </c>
      <c r="S61">
        <v>0.78584905660377302</v>
      </c>
      <c r="T61" t="s">
        <v>122</v>
      </c>
      <c r="U61">
        <v>1.08558558558558</v>
      </c>
      <c r="V61" t="s">
        <v>171</v>
      </c>
      <c r="W61">
        <v>1.02430555555555</v>
      </c>
      <c r="X61" t="s">
        <v>163</v>
      </c>
      <c r="Y61">
        <v>0.87400681044267803</v>
      </c>
      <c r="Z61" t="s">
        <v>134</v>
      </c>
      <c r="AA61">
        <v>1.1315789473684199</v>
      </c>
      <c r="AB61" t="s">
        <v>131</v>
      </c>
      <c r="AC61">
        <v>0.80835380835380799</v>
      </c>
      <c r="AD61" t="s">
        <v>187</v>
      </c>
      <c r="AE61">
        <v>0.78050212890911697</v>
      </c>
      <c r="AF61" t="s">
        <v>137</v>
      </c>
      <c r="AG61">
        <v>1.0025542784163399</v>
      </c>
      <c r="AH61" t="s">
        <v>134</v>
      </c>
      <c r="AI61">
        <v>0.61578947368421</v>
      </c>
      <c r="AJ61" t="s">
        <v>188</v>
      </c>
      <c r="AK61">
        <v>1.1356932153392301</v>
      </c>
      <c r="AL61" t="s">
        <v>188</v>
      </c>
      <c r="AM61">
        <v>0.84285714285714197</v>
      </c>
      <c r="AN61" t="s">
        <v>175</v>
      </c>
      <c r="AO61">
        <v>1.0384615384615301</v>
      </c>
      <c r="AP61" t="s">
        <v>175</v>
      </c>
      <c r="AQ61">
        <v>1.13168724279835</v>
      </c>
      <c r="AR61" t="s">
        <v>166</v>
      </c>
      <c r="AS61">
        <v>0.92460317460317398</v>
      </c>
      <c r="AT61" t="s">
        <v>171</v>
      </c>
      <c r="AU61">
        <v>1.02955082742316</v>
      </c>
      <c r="AV61" t="s">
        <v>175</v>
      </c>
      <c r="AW61">
        <v>0.92460317460317398</v>
      </c>
      <c r="AX61" t="s">
        <v>125</v>
      </c>
      <c r="AY61">
        <v>1.08392857142857</v>
      </c>
      <c r="AZ61" t="s">
        <v>175</v>
      </c>
      <c r="BA61">
        <v>0.89816513761467798</v>
      </c>
      <c r="BB61" t="s">
        <v>134</v>
      </c>
      <c r="BC61">
        <v>0.93913043478260805</v>
      </c>
      <c r="BD61" t="s">
        <v>171</v>
      </c>
      <c r="BE61">
        <v>1.1458333333333299</v>
      </c>
      <c r="BF61" t="s">
        <v>182</v>
      </c>
      <c r="BG61">
        <v>1.14222873900293</v>
      </c>
      <c r="BH61" t="s">
        <v>181</v>
      </c>
      <c r="BI61">
        <v>1.1487603305785099</v>
      </c>
      <c r="BJ61" t="s">
        <v>181</v>
      </c>
      <c r="BK61">
        <v>0.93525179856115104</v>
      </c>
      <c r="BL61" t="s">
        <v>175</v>
      </c>
      <c r="BM61">
        <v>0.94098360655737701</v>
      </c>
      <c r="BN61" t="s">
        <v>184</v>
      </c>
      <c r="BO61">
        <v>1.09617373319544</v>
      </c>
      <c r="BP61" t="s">
        <v>182</v>
      </c>
      <c r="BQ61">
        <v>0.92218717139852702</v>
      </c>
      <c r="BR61" t="s">
        <v>181</v>
      </c>
      <c r="BS61">
        <v>0.95815899581589903</v>
      </c>
      <c r="BT61" t="s">
        <v>182</v>
      </c>
      <c r="BU61">
        <v>1.0499419279907001</v>
      </c>
      <c r="BV61" t="s">
        <v>184</v>
      </c>
      <c r="BW61">
        <v>1.2195121951219501</v>
      </c>
    </row>
    <row r="62" spans="1:75" x14ac:dyDescent="0.4">
      <c r="A62">
        <v>60</v>
      </c>
      <c r="B62" t="s">
        <v>122</v>
      </c>
      <c r="C62">
        <v>0.87426900584795297</v>
      </c>
      <c r="D62" t="s">
        <v>184</v>
      </c>
      <c r="E62">
        <v>0.83870967741935398</v>
      </c>
      <c r="F62" t="s">
        <v>122</v>
      </c>
      <c r="G62">
        <v>0.66862170087976502</v>
      </c>
      <c r="H62" t="s">
        <v>125</v>
      </c>
      <c r="I62">
        <v>0.98313253012048196</v>
      </c>
      <c r="J62" t="s">
        <v>159</v>
      </c>
      <c r="K62">
        <v>1.4739776951672801</v>
      </c>
      <c r="L62" t="s">
        <v>186</v>
      </c>
      <c r="M62">
        <v>1.14234893704356</v>
      </c>
      <c r="N62" t="s">
        <v>134</v>
      </c>
      <c r="O62">
        <v>0.87843137254901904</v>
      </c>
      <c r="P62" t="s">
        <v>122</v>
      </c>
      <c r="Q62">
        <v>0.96744186046511604</v>
      </c>
      <c r="R62" t="s">
        <v>122</v>
      </c>
      <c r="S62">
        <v>1.0673076923076901</v>
      </c>
      <c r="T62" t="s">
        <v>169</v>
      </c>
      <c r="U62">
        <v>1.09148823217129</v>
      </c>
      <c r="V62" t="s">
        <v>131</v>
      </c>
      <c r="W62">
        <v>1.38043478260869</v>
      </c>
      <c r="X62" t="s">
        <v>122</v>
      </c>
      <c r="Y62">
        <v>0.778523489932885</v>
      </c>
      <c r="Z62" t="s">
        <v>184</v>
      </c>
      <c r="AA62">
        <v>1.1867266591676</v>
      </c>
      <c r="AB62" t="s">
        <v>134</v>
      </c>
      <c r="AC62">
        <v>0.866807610993657</v>
      </c>
      <c r="AD62" t="s">
        <v>137</v>
      </c>
      <c r="AE62">
        <v>0.95139732685297695</v>
      </c>
      <c r="AF62" t="s">
        <v>186</v>
      </c>
      <c r="AG62">
        <v>0.95687591331654298</v>
      </c>
      <c r="AH62" t="s">
        <v>184</v>
      </c>
      <c r="AI62">
        <v>0.65818584070796404</v>
      </c>
      <c r="AJ62" t="s">
        <v>137</v>
      </c>
      <c r="AK62">
        <v>1.2649310872894299</v>
      </c>
      <c r="AL62" t="s">
        <v>187</v>
      </c>
      <c r="AM62">
        <v>1.58808724832214</v>
      </c>
      <c r="AN62" t="s">
        <v>131</v>
      </c>
      <c r="AO62">
        <v>0.98050139275766002</v>
      </c>
      <c r="AP62" t="s">
        <v>131</v>
      </c>
      <c r="AQ62">
        <v>1.01136363636363</v>
      </c>
      <c r="AR62" t="s">
        <v>163</v>
      </c>
      <c r="AS62">
        <v>0.72838002436053595</v>
      </c>
      <c r="AT62" t="s">
        <v>175</v>
      </c>
      <c r="AU62">
        <v>1.008</v>
      </c>
      <c r="AV62" t="s">
        <v>131</v>
      </c>
      <c r="AW62">
        <v>1.02941176470588</v>
      </c>
      <c r="AX62" t="s">
        <v>175</v>
      </c>
      <c r="AY62">
        <v>0.935622317596566</v>
      </c>
      <c r="AZ62" t="s">
        <v>131</v>
      </c>
      <c r="BA62">
        <v>0.872282608695652</v>
      </c>
      <c r="BB62" t="s">
        <v>182</v>
      </c>
      <c r="BC62">
        <v>0.90208877284595301</v>
      </c>
      <c r="BD62" t="s">
        <v>175</v>
      </c>
      <c r="BE62">
        <v>1.1774193548387</v>
      </c>
      <c r="BF62" t="s">
        <v>181</v>
      </c>
      <c r="BG62">
        <v>1.1634615384615301</v>
      </c>
      <c r="BH62" t="s">
        <v>184</v>
      </c>
      <c r="BI62">
        <v>0.96943231441047995</v>
      </c>
      <c r="BJ62" t="s">
        <v>184</v>
      </c>
      <c r="BK62">
        <v>0.9</v>
      </c>
      <c r="BL62" t="s">
        <v>179</v>
      </c>
      <c r="BM62">
        <v>0.88908765652951705</v>
      </c>
      <c r="BN62" t="s">
        <v>137</v>
      </c>
      <c r="BO62">
        <v>0.88697788697788604</v>
      </c>
      <c r="BP62" t="s">
        <v>181</v>
      </c>
      <c r="BQ62">
        <v>0.93359375</v>
      </c>
      <c r="BR62" t="s">
        <v>184</v>
      </c>
      <c r="BS62">
        <v>1</v>
      </c>
      <c r="BT62" t="s">
        <v>181</v>
      </c>
      <c r="BU62">
        <v>0.97816593886462799</v>
      </c>
      <c r="BV62" t="s">
        <v>137</v>
      </c>
      <c r="BW62">
        <v>1.07152145643693</v>
      </c>
    </row>
    <row r="63" spans="1:75" x14ac:dyDescent="0.4">
      <c r="A63">
        <v>61</v>
      </c>
      <c r="B63" t="s">
        <v>169</v>
      </c>
      <c r="C63">
        <v>0.76186645213193804</v>
      </c>
      <c r="D63" t="s">
        <v>137</v>
      </c>
      <c r="E63">
        <v>0.85080147965474695</v>
      </c>
      <c r="F63" t="s">
        <v>169</v>
      </c>
      <c r="G63">
        <v>0.69381335197483396</v>
      </c>
      <c r="H63" t="s">
        <v>175</v>
      </c>
      <c r="I63">
        <v>1.30530973451327</v>
      </c>
      <c r="J63" t="s">
        <v>166</v>
      </c>
      <c r="K63">
        <v>1.09615384615384</v>
      </c>
      <c r="L63" t="s">
        <v>190</v>
      </c>
      <c r="M63">
        <v>0.92682926829268297</v>
      </c>
      <c r="N63" t="s">
        <v>187</v>
      </c>
      <c r="O63">
        <v>0.87572174869397801</v>
      </c>
      <c r="P63" t="s">
        <v>169</v>
      </c>
      <c r="Q63">
        <v>1.0803884113339699</v>
      </c>
      <c r="R63" t="s">
        <v>169</v>
      </c>
      <c r="S63">
        <v>0.83262118756446102</v>
      </c>
      <c r="T63" t="s">
        <v>171</v>
      </c>
      <c r="U63">
        <v>1.02857142857142</v>
      </c>
      <c r="V63" t="s">
        <v>134</v>
      </c>
      <c r="W63">
        <v>1.2214611872146099</v>
      </c>
      <c r="X63" t="s">
        <v>169</v>
      </c>
      <c r="Y63">
        <v>0.98075499629903695</v>
      </c>
      <c r="Z63" t="s">
        <v>137</v>
      </c>
      <c r="AA63">
        <v>1.0927536231884001</v>
      </c>
      <c r="AB63" t="s">
        <v>184</v>
      </c>
      <c r="AC63">
        <v>0.787677725118483</v>
      </c>
      <c r="AD63" t="s">
        <v>186</v>
      </c>
      <c r="AE63">
        <v>0.81087622433158102</v>
      </c>
      <c r="AF63" t="s">
        <v>145</v>
      </c>
      <c r="AG63">
        <v>1.1927083333333299</v>
      </c>
      <c r="AH63" t="s">
        <v>187</v>
      </c>
      <c r="AI63">
        <v>0.810447268526159</v>
      </c>
      <c r="AJ63" t="s">
        <v>186</v>
      </c>
      <c r="AK63">
        <v>0.96239887651561595</v>
      </c>
      <c r="AL63" t="s">
        <v>137</v>
      </c>
      <c r="AM63">
        <v>1.1392251815980601</v>
      </c>
      <c r="AN63" t="s">
        <v>134</v>
      </c>
      <c r="AO63">
        <v>1.13215859030837</v>
      </c>
      <c r="AP63" t="s">
        <v>134</v>
      </c>
      <c r="AQ63">
        <v>0.96498054474708095</v>
      </c>
      <c r="AR63" t="s">
        <v>122</v>
      </c>
      <c r="AS63">
        <v>1.04950495049504</v>
      </c>
      <c r="AT63" t="s">
        <v>131</v>
      </c>
      <c r="AU63">
        <v>1</v>
      </c>
      <c r="AV63" t="s">
        <v>134</v>
      </c>
      <c r="AW63">
        <v>0.98355263157894701</v>
      </c>
      <c r="AX63" t="s">
        <v>131</v>
      </c>
      <c r="AY63">
        <v>0.95584415584415505</v>
      </c>
      <c r="AZ63" t="s">
        <v>134</v>
      </c>
      <c r="BA63">
        <v>0.82437275985663006</v>
      </c>
      <c r="BB63" t="s">
        <v>181</v>
      </c>
      <c r="BC63">
        <v>0.97033898305084698</v>
      </c>
      <c r="BD63" t="s">
        <v>131</v>
      </c>
      <c r="BE63">
        <v>1.0941176470588201</v>
      </c>
      <c r="BF63" t="s">
        <v>184</v>
      </c>
      <c r="BG63">
        <v>1.4066339066339</v>
      </c>
      <c r="BH63" t="s">
        <v>137</v>
      </c>
      <c r="BI63">
        <v>1.0882352941176401</v>
      </c>
      <c r="BJ63" t="s">
        <v>137</v>
      </c>
      <c r="BK63">
        <v>0.91769041769041704</v>
      </c>
      <c r="BL63" t="s">
        <v>182</v>
      </c>
      <c r="BM63">
        <v>1.1102564102564101</v>
      </c>
      <c r="BN63" t="s">
        <v>190</v>
      </c>
      <c r="BO63">
        <v>1.1859838274932599</v>
      </c>
      <c r="BP63" t="s">
        <v>184</v>
      </c>
      <c r="BQ63">
        <v>0.98113207547169801</v>
      </c>
      <c r="BR63" t="s">
        <v>137</v>
      </c>
      <c r="BS63">
        <v>1.0255681818181801</v>
      </c>
      <c r="BT63" t="s">
        <v>184</v>
      </c>
      <c r="BU63">
        <v>0.98557692307692302</v>
      </c>
      <c r="BV63" t="s">
        <v>190</v>
      </c>
      <c r="BW63">
        <v>1.27012987012987</v>
      </c>
    </row>
    <row r="64" spans="1:75" x14ac:dyDescent="0.4">
      <c r="A64">
        <v>62</v>
      </c>
      <c r="B64" t="s">
        <v>171</v>
      </c>
      <c r="C64">
        <v>0.79241516966067804</v>
      </c>
      <c r="D64" t="s">
        <v>186</v>
      </c>
      <c r="E64">
        <v>0.88372915399521901</v>
      </c>
      <c r="F64" t="s">
        <v>171</v>
      </c>
      <c r="G64">
        <v>0.69101123595505598</v>
      </c>
      <c r="H64" t="s">
        <v>131</v>
      </c>
      <c r="I64">
        <v>0.99418604651162701</v>
      </c>
      <c r="J64" t="s">
        <v>163</v>
      </c>
      <c r="K64">
        <v>2.1908127208480499</v>
      </c>
      <c r="L64" t="s">
        <v>145</v>
      </c>
      <c r="M64">
        <v>1.3238731218697799</v>
      </c>
      <c r="N64" t="s">
        <v>137</v>
      </c>
      <c r="O64">
        <v>0.98624754420432204</v>
      </c>
      <c r="P64" t="s">
        <v>171</v>
      </c>
      <c r="Q64">
        <v>1.0434782608695601</v>
      </c>
      <c r="R64" t="s">
        <v>171</v>
      </c>
      <c r="S64">
        <v>0.89743589743589702</v>
      </c>
      <c r="T64" t="s">
        <v>125</v>
      </c>
      <c r="U64">
        <v>1.2797619047619</v>
      </c>
      <c r="V64" t="s">
        <v>137</v>
      </c>
      <c r="W64">
        <v>1.2705410821643199</v>
      </c>
      <c r="X64" t="s">
        <v>171</v>
      </c>
      <c r="Y64">
        <v>1.0542372881355899</v>
      </c>
      <c r="Z64" t="s">
        <v>186</v>
      </c>
      <c r="AA64">
        <v>1.11899123640952</v>
      </c>
      <c r="AB64" t="s">
        <v>187</v>
      </c>
      <c r="AC64">
        <v>0.84310206102618002</v>
      </c>
      <c r="AD64" t="s">
        <v>145</v>
      </c>
      <c r="AE64">
        <v>0.88479262672810999</v>
      </c>
      <c r="AF64" t="s">
        <v>150</v>
      </c>
      <c r="AG64">
        <v>1.22257053291536</v>
      </c>
      <c r="AH64" t="s">
        <v>137</v>
      </c>
      <c r="AI64">
        <v>0.83184713375796104</v>
      </c>
      <c r="AJ64" t="s">
        <v>145</v>
      </c>
      <c r="AK64">
        <v>0.98701298701298701</v>
      </c>
      <c r="AL64" t="s">
        <v>186</v>
      </c>
      <c r="AM64">
        <v>1.1552121012824701</v>
      </c>
      <c r="AN64" t="s">
        <v>188</v>
      </c>
      <c r="AO64">
        <v>1.0169491525423699</v>
      </c>
      <c r="AP64" t="s">
        <v>182</v>
      </c>
      <c r="AQ64">
        <v>1.2017045454545401</v>
      </c>
      <c r="AR64" t="s">
        <v>169</v>
      </c>
      <c r="AS64">
        <v>0.75886524822695001</v>
      </c>
      <c r="AT64" t="s">
        <v>134</v>
      </c>
      <c r="AU64">
        <v>1.15151515151515</v>
      </c>
      <c r="AV64" t="s">
        <v>182</v>
      </c>
      <c r="AW64">
        <v>0.997282608695652</v>
      </c>
      <c r="AX64" t="s">
        <v>134</v>
      </c>
      <c r="AY64">
        <v>0.93311036789297597</v>
      </c>
      <c r="AZ64" t="s">
        <v>182</v>
      </c>
      <c r="BA64">
        <v>1.06388888888888</v>
      </c>
      <c r="BB64" t="s">
        <v>184</v>
      </c>
      <c r="BC64">
        <v>0.93672316384180698</v>
      </c>
      <c r="BD64" t="s">
        <v>179</v>
      </c>
      <c r="BE64">
        <v>1.12403100775193</v>
      </c>
      <c r="BF64" t="s">
        <v>137</v>
      </c>
      <c r="BG64">
        <v>1.01768707482993</v>
      </c>
      <c r="BH64" t="s">
        <v>190</v>
      </c>
      <c r="BI64">
        <v>0.98979591836734604</v>
      </c>
      <c r="BJ64" t="s">
        <v>190</v>
      </c>
      <c r="BK64">
        <v>0.97164948453608202</v>
      </c>
      <c r="BL64" t="s">
        <v>181</v>
      </c>
      <c r="BM64">
        <v>1</v>
      </c>
      <c r="BN64" t="s">
        <v>142</v>
      </c>
      <c r="BO64">
        <v>0.95283018867924496</v>
      </c>
      <c r="BP64" t="s">
        <v>137</v>
      </c>
      <c r="BQ64">
        <v>0.97506925207756201</v>
      </c>
      <c r="BR64" t="s">
        <v>190</v>
      </c>
      <c r="BS64">
        <v>1.0657142857142801</v>
      </c>
      <c r="BT64" t="s">
        <v>137</v>
      </c>
      <c r="BU64">
        <v>1.0650969529085801</v>
      </c>
      <c r="BV64" t="s">
        <v>145</v>
      </c>
      <c r="BW64">
        <v>0.94720000000000004</v>
      </c>
    </row>
    <row r="65" spans="1:75" x14ac:dyDescent="0.4">
      <c r="A65">
        <v>63</v>
      </c>
      <c r="B65" t="s">
        <v>175</v>
      </c>
      <c r="C65">
        <v>1.44910179640718</v>
      </c>
      <c r="D65" t="s">
        <v>190</v>
      </c>
      <c r="E65">
        <v>0.86016949152542299</v>
      </c>
      <c r="F65" t="s">
        <v>131</v>
      </c>
      <c r="G65">
        <v>0.78538812785388101</v>
      </c>
      <c r="H65" t="s">
        <v>177</v>
      </c>
      <c r="I65">
        <v>1.15023474178403</v>
      </c>
      <c r="J65" t="s">
        <v>122</v>
      </c>
      <c r="K65">
        <v>1.496</v>
      </c>
      <c r="L65" t="s">
        <v>150</v>
      </c>
      <c r="M65">
        <v>1.14054054054054</v>
      </c>
      <c r="N65" t="s">
        <v>186</v>
      </c>
      <c r="O65">
        <v>0.95385674931129405</v>
      </c>
      <c r="P65" t="s">
        <v>175</v>
      </c>
      <c r="Q65">
        <v>0.96666666666666601</v>
      </c>
      <c r="R65" t="s">
        <v>175</v>
      </c>
      <c r="S65">
        <v>1.1482758620689599</v>
      </c>
      <c r="T65" t="s">
        <v>175</v>
      </c>
      <c r="U65">
        <v>1.2432432432432401</v>
      </c>
      <c r="V65" t="s">
        <v>186</v>
      </c>
      <c r="W65">
        <v>1.0283520559071799</v>
      </c>
      <c r="X65" t="s">
        <v>131</v>
      </c>
      <c r="Y65">
        <v>1.04330708661417</v>
      </c>
      <c r="Z65" t="s">
        <v>190</v>
      </c>
      <c r="AA65">
        <v>0.74821428571428505</v>
      </c>
      <c r="AB65" t="s">
        <v>137</v>
      </c>
      <c r="AC65">
        <v>1.09151193633952</v>
      </c>
      <c r="AD65" t="s">
        <v>150</v>
      </c>
      <c r="AE65">
        <v>1.1917808219178001</v>
      </c>
      <c r="AF65" t="s">
        <v>153</v>
      </c>
      <c r="AG65">
        <v>0.98329511955453597</v>
      </c>
      <c r="AH65" t="s">
        <v>186</v>
      </c>
      <c r="AI65">
        <v>0.821370548479334</v>
      </c>
      <c r="AJ65" t="s">
        <v>150</v>
      </c>
      <c r="AK65">
        <v>1.03875968992248</v>
      </c>
      <c r="AL65" t="s">
        <v>145</v>
      </c>
      <c r="AM65">
        <v>0.96052631578947301</v>
      </c>
      <c r="AN65" t="s">
        <v>137</v>
      </c>
      <c r="AO65">
        <v>1.0680127523910701</v>
      </c>
      <c r="AP65" t="s">
        <v>188</v>
      </c>
      <c r="AQ65">
        <v>0.851515151515151</v>
      </c>
      <c r="AR65" t="s">
        <v>171</v>
      </c>
      <c r="AS65">
        <v>0.86591606960081802</v>
      </c>
      <c r="AT65" t="s">
        <v>182</v>
      </c>
      <c r="AU65">
        <v>0.97872340425531901</v>
      </c>
      <c r="AV65" t="s">
        <v>181</v>
      </c>
      <c r="AW65">
        <v>0.99518029275258801</v>
      </c>
      <c r="AX65" t="s">
        <v>182</v>
      </c>
      <c r="AY65">
        <v>0.980926430517711</v>
      </c>
      <c r="AZ65" t="s">
        <v>181</v>
      </c>
      <c r="BA65">
        <v>1.18</v>
      </c>
      <c r="BB65" t="s">
        <v>186</v>
      </c>
      <c r="BC65">
        <v>0.69198606271776997</v>
      </c>
      <c r="BD65" t="s">
        <v>182</v>
      </c>
      <c r="BE65">
        <v>0.98697539797394995</v>
      </c>
      <c r="BF65" t="s">
        <v>186</v>
      </c>
      <c r="BG65">
        <v>1.8450704225352099</v>
      </c>
      <c r="BH65" t="s">
        <v>142</v>
      </c>
      <c r="BI65">
        <v>0.86707317073170698</v>
      </c>
      <c r="BJ65" t="s">
        <v>142</v>
      </c>
      <c r="BK65">
        <v>1</v>
      </c>
      <c r="BL65" t="s">
        <v>184</v>
      </c>
      <c r="BM65">
        <v>0.96796796796796702</v>
      </c>
      <c r="BN65" t="s">
        <v>145</v>
      </c>
      <c r="BO65">
        <v>0.87949640287769704</v>
      </c>
      <c r="BP65" t="s">
        <v>190</v>
      </c>
      <c r="BQ65">
        <v>0.79545454545454497</v>
      </c>
      <c r="BR65" t="s">
        <v>145</v>
      </c>
      <c r="BS65">
        <v>0.97270955165691997</v>
      </c>
      <c r="BT65" t="s">
        <v>190</v>
      </c>
      <c r="BU65">
        <v>1.0321715817694299</v>
      </c>
      <c r="BV65" t="s">
        <v>150</v>
      </c>
      <c r="BW65">
        <v>1.4347826086956501</v>
      </c>
    </row>
    <row r="66" spans="1:75" x14ac:dyDescent="0.4">
      <c r="A66">
        <v>64</v>
      </c>
      <c r="B66" t="s">
        <v>131</v>
      </c>
      <c r="C66">
        <v>0.950146627565982</v>
      </c>
      <c r="D66" t="s">
        <v>193</v>
      </c>
      <c r="E66">
        <v>0.70750000000000002</v>
      </c>
      <c r="F66" t="s">
        <v>177</v>
      </c>
      <c r="G66">
        <v>0.40726577437858502</v>
      </c>
      <c r="H66" t="s">
        <v>134</v>
      </c>
      <c r="I66">
        <v>0.91254752851710996</v>
      </c>
      <c r="J66" t="s">
        <v>169</v>
      </c>
      <c r="K66">
        <v>1.4395182405306299</v>
      </c>
      <c r="L66" t="s">
        <v>153</v>
      </c>
      <c r="M66">
        <v>1.3128221649484499</v>
      </c>
      <c r="N66" t="s">
        <v>190</v>
      </c>
      <c r="O66">
        <v>0.92894736842105197</v>
      </c>
      <c r="P66" t="s">
        <v>131</v>
      </c>
      <c r="Q66">
        <v>1.02612826603325</v>
      </c>
      <c r="R66" t="s">
        <v>131</v>
      </c>
      <c r="S66">
        <v>0.97916666666666596</v>
      </c>
      <c r="T66" t="s">
        <v>131</v>
      </c>
      <c r="U66">
        <v>1.08747044917257</v>
      </c>
      <c r="V66" t="s">
        <v>193</v>
      </c>
      <c r="W66">
        <v>1.20600858369098</v>
      </c>
      <c r="X66" t="s">
        <v>177</v>
      </c>
      <c r="Y66">
        <v>1.1123227917120999</v>
      </c>
      <c r="Z66" t="s">
        <v>150</v>
      </c>
      <c r="AA66">
        <v>1.1517412935323299</v>
      </c>
      <c r="AB66" t="s">
        <v>186</v>
      </c>
      <c r="AC66">
        <v>1.2254043282821201</v>
      </c>
      <c r="AD66" t="s">
        <v>153</v>
      </c>
      <c r="AE66">
        <v>0.90539739027283495</v>
      </c>
      <c r="AF66" t="s">
        <v>155</v>
      </c>
      <c r="AG66">
        <v>1.08921161825726</v>
      </c>
      <c r="AH66" t="s">
        <v>150</v>
      </c>
      <c r="AI66">
        <v>1.1025641025641</v>
      </c>
      <c r="AJ66" t="s">
        <v>153</v>
      </c>
      <c r="AK66">
        <v>1.2344976983482201</v>
      </c>
      <c r="AL66" t="s">
        <v>150</v>
      </c>
      <c r="AM66">
        <v>1.3432835820895499</v>
      </c>
      <c r="AN66" t="s">
        <v>186</v>
      </c>
      <c r="AO66">
        <v>1.2596071733561001</v>
      </c>
      <c r="AP66" t="s">
        <v>137</v>
      </c>
      <c r="AQ66">
        <v>0.947263681592039</v>
      </c>
      <c r="AR66" t="s">
        <v>175</v>
      </c>
      <c r="AS66">
        <v>0.90909090909090895</v>
      </c>
      <c r="AT66" t="s">
        <v>137</v>
      </c>
      <c r="AU66">
        <v>1.1167701863354</v>
      </c>
      <c r="AV66" t="s">
        <v>137</v>
      </c>
      <c r="AW66">
        <v>0.95105672969966604</v>
      </c>
      <c r="AX66" t="s">
        <v>181</v>
      </c>
      <c r="AY66">
        <v>0.89686098654708502</v>
      </c>
      <c r="AZ66" t="s">
        <v>184</v>
      </c>
      <c r="BA66">
        <v>1.1389961389961301</v>
      </c>
      <c r="BB66" t="s">
        <v>142</v>
      </c>
      <c r="BC66">
        <v>0.85499999999999998</v>
      </c>
      <c r="BD66" t="s">
        <v>181</v>
      </c>
      <c r="BE66">
        <v>0.90829694323144095</v>
      </c>
      <c r="BF66" t="s">
        <v>142</v>
      </c>
      <c r="BG66">
        <v>1.13730929264909</v>
      </c>
      <c r="BH66" t="s">
        <v>145</v>
      </c>
      <c r="BI66">
        <v>0.70911528150133996</v>
      </c>
      <c r="BJ66" t="s">
        <v>145</v>
      </c>
      <c r="BK66">
        <v>0.960302457466918</v>
      </c>
      <c r="BL66" t="s">
        <v>137</v>
      </c>
      <c r="BM66">
        <v>1.0896921017402901</v>
      </c>
      <c r="BN66" t="s">
        <v>150</v>
      </c>
      <c r="BO66">
        <v>1.26829268292682</v>
      </c>
      <c r="BP66" t="s">
        <v>145</v>
      </c>
      <c r="BQ66">
        <v>1.04907975460122</v>
      </c>
      <c r="BR66" t="s">
        <v>150</v>
      </c>
      <c r="BS66">
        <v>0.83524904214559303</v>
      </c>
      <c r="BT66" t="s">
        <v>145</v>
      </c>
      <c r="BU66">
        <v>1.2525050100200401</v>
      </c>
      <c r="BV66" t="s">
        <v>155</v>
      </c>
      <c r="BW66">
        <v>1.2205513784461099</v>
      </c>
    </row>
    <row r="67" spans="1:75" x14ac:dyDescent="0.4">
      <c r="A67">
        <v>65</v>
      </c>
      <c r="B67" t="s">
        <v>177</v>
      </c>
      <c r="C67">
        <v>0.93222003929273001</v>
      </c>
      <c r="D67" t="s">
        <v>150</v>
      </c>
      <c r="E67">
        <v>0.86369593709043202</v>
      </c>
      <c r="F67" t="s">
        <v>134</v>
      </c>
      <c r="G67">
        <v>0.56196581196581197</v>
      </c>
      <c r="H67" t="s">
        <v>137</v>
      </c>
      <c r="I67">
        <v>0.96318289786223199</v>
      </c>
      <c r="J67" t="s">
        <v>171</v>
      </c>
      <c r="K67">
        <v>1.05111821086261</v>
      </c>
      <c r="L67" t="s">
        <v>198</v>
      </c>
      <c r="M67">
        <v>1.1589147286821699</v>
      </c>
      <c r="N67" t="s">
        <v>145</v>
      </c>
      <c r="O67">
        <v>0.97856242118537196</v>
      </c>
      <c r="P67" t="s">
        <v>134</v>
      </c>
      <c r="Q67">
        <v>0.88839285714285698</v>
      </c>
      <c r="R67" t="s">
        <v>134</v>
      </c>
      <c r="S67">
        <v>1.12562814070351</v>
      </c>
      <c r="T67" t="s">
        <v>134</v>
      </c>
      <c r="U67">
        <v>0.97767857142857095</v>
      </c>
      <c r="V67" t="s">
        <v>150</v>
      </c>
      <c r="W67">
        <v>1.01940639269406</v>
      </c>
      <c r="X67" t="s">
        <v>134</v>
      </c>
      <c r="Y67">
        <v>0.78130841121495298</v>
      </c>
      <c r="Z67" t="s">
        <v>153</v>
      </c>
      <c r="AA67">
        <v>0.92949604122156504</v>
      </c>
      <c r="AB67" t="s">
        <v>190</v>
      </c>
      <c r="AC67">
        <v>0.82100238663484404</v>
      </c>
      <c r="AD67" t="s">
        <v>155</v>
      </c>
      <c r="AE67">
        <v>0.75430359937402103</v>
      </c>
      <c r="AF67" t="s">
        <v>199</v>
      </c>
      <c r="AG67">
        <v>1.09551656920077</v>
      </c>
      <c r="AH67" t="s">
        <v>153</v>
      </c>
      <c r="AI67">
        <v>0.82011992005329704</v>
      </c>
      <c r="AJ67" t="s">
        <v>155</v>
      </c>
      <c r="AK67">
        <v>0.98260869565217301</v>
      </c>
      <c r="AL67" t="s">
        <v>200</v>
      </c>
      <c r="AM67">
        <v>0.60787366548042698</v>
      </c>
      <c r="AN67" t="s">
        <v>145</v>
      </c>
      <c r="AO67">
        <v>1.05977584059775</v>
      </c>
      <c r="AP67" t="s">
        <v>186</v>
      </c>
      <c r="AQ67">
        <v>1.16525423728813</v>
      </c>
      <c r="AR67" t="s">
        <v>131</v>
      </c>
      <c r="AS67">
        <v>1.0505617977527999</v>
      </c>
      <c r="AT67" t="s">
        <v>186</v>
      </c>
      <c r="AU67">
        <v>0.94831223628691896</v>
      </c>
      <c r="AV67" t="s">
        <v>186</v>
      </c>
      <c r="AW67">
        <v>1.0511679644048899</v>
      </c>
      <c r="AX67" t="s">
        <v>137</v>
      </c>
      <c r="AY67">
        <v>1.0865497076023301</v>
      </c>
      <c r="AZ67" t="s">
        <v>186</v>
      </c>
      <c r="BA67">
        <v>1.1714285714285699</v>
      </c>
      <c r="BB67" t="s">
        <v>145</v>
      </c>
      <c r="BC67">
        <v>0.84544253632760902</v>
      </c>
      <c r="BD67" t="s">
        <v>184</v>
      </c>
      <c r="BE67">
        <v>0.981905910735826</v>
      </c>
      <c r="BF67" t="s">
        <v>145</v>
      </c>
      <c r="BG67">
        <v>1.11343283582089</v>
      </c>
      <c r="BH67" t="s">
        <v>150</v>
      </c>
      <c r="BI67">
        <v>0.83738317757009295</v>
      </c>
      <c r="BJ67" t="s">
        <v>150</v>
      </c>
      <c r="BK67">
        <v>1.1004464285714199</v>
      </c>
      <c r="BL67" t="s">
        <v>190</v>
      </c>
      <c r="BM67">
        <v>0.98408488063660404</v>
      </c>
      <c r="BN67" t="s">
        <v>155</v>
      </c>
      <c r="BO67">
        <v>0.97647058823529398</v>
      </c>
      <c r="BP67" t="s">
        <v>150</v>
      </c>
      <c r="BQ67">
        <v>1.0038461538461501</v>
      </c>
      <c r="BR67" t="s">
        <v>155</v>
      </c>
      <c r="BS67">
        <v>0.88697788697788604</v>
      </c>
      <c r="BT67" t="s">
        <v>150</v>
      </c>
      <c r="BU67">
        <v>1.1605504587155899</v>
      </c>
      <c r="BV67" t="s">
        <v>199</v>
      </c>
      <c r="BW67">
        <v>0.96323529411764697</v>
      </c>
    </row>
    <row r="68" spans="1:75" x14ac:dyDescent="0.4">
      <c r="A68">
        <v>66</v>
      </c>
      <c r="B68" t="s">
        <v>134</v>
      </c>
      <c r="C68">
        <v>1.25652173913043</v>
      </c>
      <c r="D68" t="s">
        <v>202</v>
      </c>
      <c r="E68">
        <v>0.53353658536585302</v>
      </c>
      <c r="F68" t="s">
        <v>184</v>
      </c>
      <c r="G68">
        <v>0.63749999999999996</v>
      </c>
      <c r="H68" t="s">
        <v>186</v>
      </c>
      <c r="I68">
        <v>0.88922015338171001</v>
      </c>
      <c r="J68" t="s">
        <v>125</v>
      </c>
      <c r="K68">
        <v>1.5833333333333299</v>
      </c>
      <c r="L68" t="s">
        <v>157</v>
      </c>
      <c r="M68">
        <v>1.1179245283018799</v>
      </c>
      <c r="N68" t="s">
        <v>150</v>
      </c>
      <c r="O68">
        <v>0.84360189573459698</v>
      </c>
      <c r="P68" t="s">
        <v>187</v>
      </c>
      <c r="Q68">
        <v>0.89992150706436402</v>
      </c>
      <c r="R68" t="s">
        <v>187</v>
      </c>
      <c r="S68">
        <v>0.85669428696031402</v>
      </c>
      <c r="T68" t="s">
        <v>137</v>
      </c>
      <c r="U68">
        <v>1.0494216614090399</v>
      </c>
      <c r="V68" t="s">
        <v>153</v>
      </c>
      <c r="W68">
        <v>0.76290533662934401</v>
      </c>
      <c r="X68" t="s">
        <v>182</v>
      </c>
      <c r="Y68">
        <v>0.69880418535126998</v>
      </c>
      <c r="Z68" t="s">
        <v>198</v>
      </c>
      <c r="AA68">
        <v>1.0440251572327</v>
      </c>
      <c r="AB68" t="s">
        <v>150</v>
      </c>
      <c r="AC68">
        <v>0.86717062634989195</v>
      </c>
      <c r="AD68" t="s">
        <v>199</v>
      </c>
      <c r="AE68">
        <v>0.95887850467289704</v>
      </c>
      <c r="AF68" t="s">
        <v>198</v>
      </c>
      <c r="AG68">
        <v>1.12292358803986</v>
      </c>
      <c r="AH68" t="s">
        <v>155</v>
      </c>
      <c r="AI68">
        <v>0.87619047619047596</v>
      </c>
      <c r="AJ68" t="s">
        <v>198</v>
      </c>
      <c r="AK68">
        <v>1.08813559322033</v>
      </c>
      <c r="AL68" t="s">
        <v>153</v>
      </c>
      <c r="AM68">
        <v>1.0715069094099501</v>
      </c>
      <c r="AN68" t="s">
        <v>203</v>
      </c>
      <c r="AO68">
        <v>1.5384615384615301</v>
      </c>
      <c r="AP68" t="s">
        <v>145</v>
      </c>
      <c r="AQ68">
        <v>0.84723854289071598</v>
      </c>
      <c r="AR68" t="s">
        <v>134</v>
      </c>
      <c r="AS68">
        <v>1.06451612903225</v>
      </c>
      <c r="AT68" t="s">
        <v>145</v>
      </c>
      <c r="AU68">
        <v>1.1253405994550401</v>
      </c>
      <c r="AV68" t="s">
        <v>145</v>
      </c>
      <c r="AW68">
        <v>0.82324455205811098</v>
      </c>
      <c r="AX68" t="s">
        <v>186</v>
      </c>
      <c r="AY68">
        <v>1.2962962962962901</v>
      </c>
      <c r="AZ68" t="s">
        <v>145</v>
      </c>
      <c r="BA68">
        <v>1.10029069767441</v>
      </c>
      <c r="BB68" t="s">
        <v>203</v>
      </c>
      <c r="BC68">
        <v>1.0396039603960301</v>
      </c>
      <c r="BD68" t="s">
        <v>137</v>
      </c>
      <c r="BE68">
        <v>1.1238532110091699</v>
      </c>
      <c r="BF68" t="s">
        <v>203</v>
      </c>
      <c r="BG68">
        <v>1.0263522884882099</v>
      </c>
      <c r="BH68" t="s">
        <v>155</v>
      </c>
      <c r="BI68">
        <v>1.0308641975308599</v>
      </c>
      <c r="BJ68" t="s">
        <v>153</v>
      </c>
      <c r="BK68">
        <v>0.99211563731931596</v>
      </c>
      <c r="BL68" t="s">
        <v>142</v>
      </c>
      <c r="BM68">
        <v>1.0436005625878999</v>
      </c>
      <c r="BN68" t="s">
        <v>198</v>
      </c>
      <c r="BO68">
        <v>1.00923076923076</v>
      </c>
      <c r="BP68" t="s">
        <v>155</v>
      </c>
      <c r="BQ68">
        <v>0.98072289156626502</v>
      </c>
      <c r="BR68" t="s">
        <v>199</v>
      </c>
      <c r="BS68">
        <v>0.95245398773006096</v>
      </c>
      <c r="BT68" t="s">
        <v>153</v>
      </c>
      <c r="BU68">
        <v>1.14685314685314</v>
      </c>
      <c r="BV68" t="s">
        <v>198</v>
      </c>
      <c r="BW68">
        <v>0.98722044728434499</v>
      </c>
    </row>
    <row r="69" spans="1:75" x14ac:dyDescent="0.4">
      <c r="A69">
        <v>67</v>
      </c>
      <c r="B69" t="s">
        <v>184</v>
      </c>
      <c r="C69">
        <v>0.89208633093525103</v>
      </c>
      <c r="D69" t="s">
        <v>205</v>
      </c>
      <c r="E69">
        <v>0.84378843788437796</v>
      </c>
      <c r="F69" t="s">
        <v>137</v>
      </c>
      <c r="G69">
        <v>0.61014492753623095</v>
      </c>
      <c r="H69" t="s">
        <v>142</v>
      </c>
      <c r="I69">
        <v>1.1385869565217299</v>
      </c>
      <c r="J69" t="s">
        <v>175</v>
      </c>
      <c r="K69">
        <v>1.71186440677966</v>
      </c>
      <c r="L69" t="s">
        <v>206</v>
      </c>
      <c r="M69">
        <v>0.81692573402417901</v>
      </c>
      <c r="N69" t="s">
        <v>153</v>
      </c>
      <c r="O69">
        <v>0.82666666666666599</v>
      </c>
      <c r="P69" t="s">
        <v>137</v>
      </c>
      <c r="Q69">
        <v>1.00996015936254</v>
      </c>
      <c r="R69" t="s">
        <v>137</v>
      </c>
      <c r="S69">
        <v>0.93786982248520701</v>
      </c>
      <c r="T69" t="s">
        <v>186</v>
      </c>
      <c r="U69">
        <v>0.98910110656358896</v>
      </c>
      <c r="V69" t="s">
        <v>198</v>
      </c>
      <c r="W69">
        <v>1.0506329113924</v>
      </c>
      <c r="X69" t="s">
        <v>184</v>
      </c>
      <c r="Y69">
        <v>0.93875395987328403</v>
      </c>
      <c r="Z69" t="s">
        <v>157</v>
      </c>
      <c r="AA69">
        <v>1.21204819277108</v>
      </c>
      <c r="AB69" t="s">
        <v>153</v>
      </c>
      <c r="AC69">
        <v>1.3677663601946899</v>
      </c>
      <c r="AD69" t="s">
        <v>198</v>
      </c>
      <c r="AE69">
        <v>0.94952681388012605</v>
      </c>
      <c r="AF69" t="s">
        <v>157</v>
      </c>
      <c r="AG69">
        <v>1.0341151385927501</v>
      </c>
      <c r="AH69" t="s">
        <v>199</v>
      </c>
      <c r="AI69">
        <v>0.80960854092526602</v>
      </c>
      <c r="AJ69" t="s">
        <v>207</v>
      </c>
      <c r="AK69">
        <v>1.4393939393939299</v>
      </c>
      <c r="AL69" t="s">
        <v>199</v>
      </c>
      <c r="AM69">
        <v>0.95906432748537995</v>
      </c>
      <c r="AN69" t="s">
        <v>153</v>
      </c>
      <c r="AO69">
        <v>1.13142272262026</v>
      </c>
      <c r="AP69" t="s">
        <v>203</v>
      </c>
      <c r="AQ69">
        <v>0.85</v>
      </c>
      <c r="AR69" t="s">
        <v>182</v>
      </c>
      <c r="AS69">
        <v>0.88888888888888795</v>
      </c>
      <c r="AT69" t="s">
        <v>203</v>
      </c>
      <c r="AU69">
        <v>0.92297111416781297</v>
      </c>
      <c r="AV69" t="s">
        <v>203</v>
      </c>
      <c r="AW69">
        <v>0.89567809239940299</v>
      </c>
      <c r="AX69" t="s">
        <v>145</v>
      </c>
      <c r="AY69">
        <v>1.01176470588235</v>
      </c>
      <c r="AZ69" t="s">
        <v>203</v>
      </c>
      <c r="BA69">
        <v>0.99835255354200902</v>
      </c>
      <c r="BB69" t="s">
        <v>150</v>
      </c>
      <c r="BC69">
        <v>0.85074626865671599</v>
      </c>
      <c r="BD69" t="s">
        <v>186</v>
      </c>
      <c r="BE69">
        <v>1.07250755287009</v>
      </c>
      <c r="BF69" t="s">
        <v>150</v>
      </c>
      <c r="BG69">
        <v>0.79259259259259196</v>
      </c>
      <c r="BH69" t="s">
        <v>198</v>
      </c>
      <c r="BI69">
        <v>0.90821256038647302</v>
      </c>
      <c r="BJ69" t="s">
        <v>155</v>
      </c>
      <c r="BK69">
        <v>1</v>
      </c>
      <c r="BL69" t="s">
        <v>145</v>
      </c>
      <c r="BM69">
        <v>1.09448818897637</v>
      </c>
      <c r="BN69" t="s">
        <v>206</v>
      </c>
      <c r="BO69">
        <v>1.0853333333333299</v>
      </c>
      <c r="BP69" t="s">
        <v>198</v>
      </c>
      <c r="BQ69">
        <v>0.94512195121951204</v>
      </c>
      <c r="BR69" t="s">
        <v>198</v>
      </c>
      <c r="BS69">
        <v>0.99354838709677396</v>
      </c>
      <c r="BT69" t="s">
        <v>155</v>
      </c>
      <c r="BU69">
        <v>1.1052631578947301</v>
      </c>
      <c r="BV69" t="s">
        <v>206</v>
      </c>
      <c r="BW69">
        <v>1.0759668508287199</v>
      </c>
    </row>
    <row r="70" spans="1:75" x14ac:dyDescent="0.4">
      <c r="A70">
        <v>68</v>
      </c>
      <c r="B70" t="s">
        <v>137</v>
      </c>
      <c r="C70">
        <v>1.06570302233902</v>
      </c>
      <c r="D70" t="s">
        <v>198</v>
      </c>
      <c r="E70">
        <v>0.82392026578072997</v>
      </c>
      <c r="F70" t="s">
        <v>186</v>
      </c>
      <c r="G70">
        <v>0.85361012852729801</v>
      </c>
      <c r="H70" t="s">
        <v>193</v>
      </c>
      <c r="I70">
        <v>1.0894568690095801</v>
      </c>
      <c r="J70" t="s">
        <v>131</v>
      </c>
      <c r="K70">
        <v>1.26900584795321</v>
      </c>
      <c r="L70" t="s">
        <v>165</v>
      </c>
      <c r="M70">
        <v>1.10481586402266</v>
      </c>
      <c r="N70" t="s">
        <v>202</v>
      </c>
      <c r="O70">
        <v>0.82847896440129398</v>
      </c>
      <c r="P70" t="s">
        <v>186</v>
      </c>
      <c r="Q70">
        <v>0.98386438549678201</v>
      </c>
      <c r="R70" t="s">
        <v>186</v>
      </c>
      <c r="S70">
        <v>1.05245525031109</v>
      </c>
      <c r="T70" t="s">
        <v>193</v>
      </c>
      <c r="U70">
        <v>1.14215686274509</v>
      </c>
      <c r="V70" t="s">
        <v>157</v>
      </c>
      <c r="W70">
        <v>0.960093896713615</v>
      </c>
      <c r="X70" t="s">
        <v>187</v>
      </c>
      <c r="Y70">
        <v>1.13792282039066</v>
      </c>
      <c r="Z70" t="s">
        <v>210</v>
      </c>
      <c r="AA70">
        <v>1.5882352941176401</v>
      </c>
      <c r="AB70" t="s">
        <v>199</v>
      </c>
      <c r="AC70">
        <v>0.99074074074074003</v>
      </c>
      <c r="AD70" t="s">
        <v>157</v>
      </c>
      <c r="AE70">
        <v>0.98117154811715401</v>
      </c>
      <c r="AF70" t="s">
        <v>207</v>
      </c>
      <c r="AG70">
        <v>1.06930693069306</v>
      </c>
      <c r="AH70" t="s">
        <v>198</v>
      </c>
      <c r="AI70">
        <v>0.87278106508875697</v>
      </c>
      <c r="AJ70" t="s">
        <v>206</v>
      </c>
      <c r="AK70">
        <v>1.1284722222222201</v>
      </c>
      <c r="AL70" t="s">
        <v>198</v>
      </c>
      <c r="AM70">
        <v>1.0186915887850401</v>
      </c>
      <c r="AN70" t="s">
        <v>155</v>
      </c>
      <c r="AO70">
        <v>1.12406947890818</v>
      </c>
      <c r="AP70" t="s">
        <v>153</v>
      </c>
      <c r="AQ70">
        <v>1.3271214040166399</v>
      </c>
      <c r="AR70" t="s">
        <v>181</v>
      </c>
      <c r="AS70">
        <v>1.02632988218493</v>
      </c>
      <c r="AT70" t="s">
        <v>153</v>
      </c>
      <c r="AU70">
        <v>1.0311491143879199</v>
      </c>
      <c r="AV70" t="s">
        <v>150</v>
      </c>
      <c r="AW70">
        <v>0.89005235602094201</v>
      </c>
      <c r="AX70" t="s">
        <v>203</v>
      </c>
      <c r="AY70">
        <v>1.0099833610648901</v>
      </c>
      <c r="AZ70" t="s">
        <v>150</v>
      </c>
      <c r="BA70">
        <v>0.91780821917808197</v>
      </c>
      <c r="BB70" t="s">
        <v>153</v>
      </c>
      <c r="BC70">
        <v>0.82913472070098504</v>
      </c>
      <c r="BD70" t="s">
        <v>142</v>
      </c>
      <c r="BE70">
        <v>1.05409356725146</v>
      </c>
      <c r="BF70" t="s">
        <v>153</v>
      </c>
      <c r="BG70">
        <v>1.4029255319148899</v>
      </c>
      <c r="BH70" t="s">
        <v>206</v>
      </c>
      <c r="BI70">
        <v>0.84425349087003199</v>
      </c>
      <c r="BJ70" t="s">
        <v>198</v>
      </c>
      <c r="BK70">
        <v>0.86968085106382897</v>
      </c>
      <c r="BL70" t="s">
        <v>150</v>
      </c>
      <c r="BM70">
        <v>1.0395537525354901</v>
      </c>
      <c r="BN70" t="s">
        <v>210</v>
      </c>
      <c r="BO70">
        <v>0.88436018957345897</v>
      </c>
      <c r="BP70" t="s">
        <v>206</v>
      </c>
      <c r="BQ70">
        <v>0.92874692874692799</v>
      </c>
      <c r="BR70" t="s">
        <v>206</v>
      </c>
      <c r="BS70">
        <v>1.005291005291</v>
      </c>
      <c r="BT70" t="s">
        <v>198</v>
      </c>
      <c r="BU70">
        <v>1.0162337662337599</v>
      </c>
      <c r="BV70" t="s">
        <v>210</v>
      </c>
      <c r="BW70">
        <v>0.95925925925925903</v>
      </c>
    </row>
    <row r="71" spans="1:75" x14ac:dyDescent="0.4">
      <c r="A71">
        <v>69</v>
      </c>
      <c r="B71" t="s">
        <v>186</v>
      </c>
      <c r="C71">
        <v>1.0920648161020701</v>
      </c>
      <c r="D71" t="s">
        <v>157</v>
      </c>
      <c r="E71">
        <v>1.21606648199445</v>
      </c>
      <c r="F71" t="s">
        <v>193</v>
      </c>
      <c r="G71">
        <v>0.73733804475853904</v>
      </c>
      <c r="H71" t="s">
        <v>145</v>
      </c>
      <c r="I71">
        <v>1.0500758725341399</v>
      </c>
      <c r="J71" t="s">
        <v>134</v>
      </c>
      <c r="K71">
        <v>1.4</v>
      </c>
      <c r="L71" t="s">
        <v>158</v>
      </c>
      <c r="M71">
        <v>1.01185770750988</v>
      </c>
      <c r="N71" t="s">
        <v>198</v>
      </c>
      <c r="O71">
        <v>0.93645484949832702</v>
      </c>
      <c r="P71" t="s">
        <v>145</v>
      </c>
      <c r="Q71">
        <v>1.14432989690721</v>
      </c>
      <c r="R71" t="s">
        <v>193</v>
      </c>
      <c r="S71">
        <v>0.94883720930232496</v>
      </c>
      <c r="T71" t="s">
        <v>145</v>
      </c>
      <c r="U71">
        <v>1.22448979591836</v>
      </c>
      <c r="V71" t="s">
        <v>206</v>
      </c>
      <c r="W71">
        <v>1.2083333333333299</v>
      </c>
      <c r="X71" t="s">
        <v>137</v>
      </c>
      <c r="Y71">
        <v>1.08832807570977</v>
      </c>
      <c r="Z71" t="s">
        <v>158</v>
      </c>
      <c r="AA71">
        <v>0.98529411764705799</v>
      </c>
      <c r="AB71" t="s">
        <v>198</v>
      </c>
      <c r="AC71">
        <v>0.95481927710843295</v>
      </c>
      <c r="AD71" t="s">
        <v>210</v>
      </c>
      <c r="AE71">
        <v>0.74852071005917098</v>
      </c>
      <c r="AF71" t="s">
        <v>210</v>
      </c>
      <c r="AG71">
        <v>1.1857707509881401</v>
      </c>
      <c r="AH71" t="s">
        <v>210</v>
      </c>
      <c r="AI71">
        <v>0.72666666666666602</v>
      </c>
      <c r="AJ71" t="s">
        <v>210</v>
      </c>
      <c r="AK71">
        <v>0.90550458715596305</v>
      </c>
      <c r="AL71" t="s">
        <v>206</v>
      </c>
      <c r="AM71">
        <v>0.96820512820512805</v>
      </c>
      <c r="AN71" t="s">
        <v>198</v>
      </c>
      <c r="AO71">
        <v>1.0489296636085601</v>
      </c>
      <c r="AP71" t="s">
        <v>199</v>
      </c>
      <c r="AQ71">
        <v>1.5578231292517</v>
      </c>
      <c r="AR71" t="s">
        <v>137</v>
      </c>
      <c r="AS71">
        <v>0.84558823529411697</v>
      </c>
      <c r="AT71" t="s">
        <v>155</v>
      </c>
      <c r="AU71">
        <v>1.2793017456359099</v>
      </c>
      <c r="AV71" t="s">
        <v>153</v>
      </c>
      <c r="AW71">
        <v>1.1163479438145201</v>
      </c>
      <c r="AX71" t="s">
        <v>150</v>
      </c>
      <c r="AY71">
        <v>0.85882352941176399</v>
      </c>
      <c r="AZ71" t="s">
        <v>153</v>
      </c>
      <c r="BA71">
        <v>1</v>
      </c>
      <c r="BB71" t="s">
        <v>155</v>
      </c>
      <c r="BC71">
        <v>0.84763948497854003</v>
      </c>
      <c r="BD71" t="s">
        <v>145</v>
      </c>
      <c r="BE71">
        <v>1.046875</v>
      </c>
      <c r="BF71" t="s">
        <v>155</v>
      </c>
      <c r="BG71">
        <v>1.40869565217391</v>
      </c>
      <c r="BH71" t="s">
        <v>210</v>
      </c>
      <c r="BI71">
        <v>0.71724137931034404</v>
      </c>
      <c r="BJ71" t="s">
        <v>206</v>
      </c>
      <c r="BK71">
        <v>1.0801526717557199</v>
      </c>
      <c r="BL71" t="s">
        <v>153</v>
      </c>
      <c r="BM71">
        <v>1.1298013245033101</v>
      </c>
      <c r="BN71" t="s">
        <v>158</v>
      </c>
      <c r="BO71">
        <v>1.09165808444902</v>
      </c>
      <c r="BP71" t="s">
        <v>210</v>
      </c>
      <c r="BQ71">
        <v>1.2379421221864899</v>
      </c>
      <c r="BR71" t="s">
        <v>210</v>
      </c>
      <c r="BS71">
        <v>0.96536796536796499</v>
      </c>
      <c r="BT71" t="s">
        <v>206</v>
      </c>
      <c r="BU71">
        <v>0.95263157894736805</v>
      </c>
      <c r="BV71" t="s">
        <v>158</v>
      </c>
      <c r="BW71">
        <v>1.2191358024691299</v>
      </c>
    </row>
    <row r="72" spans="1:75" x14ac:dyDescent="0.4">
      <c r="A72">
        <v>70</v>
      </c>
      <c r="B72" t="s">
        <v>190</v>
      </c>
      <c r="C72">
        <v>1.1456310679611601</v>
      </c>
      <c r="D72" t="s">
        <v>158</v>
      </c>
      <c r="E72">
        <v>0.82857142857142796</v>
      </c>
      <c r="F72" t="s">
        <v>145</v>
      </c>
      <c r="G72">
        <v>0.64734774066797596</v>
      </c>
      <c r="H72" t="s">
        <v>153</v>
      </c>
      <c r="I72">
        <v>0.83978891820580404</v>
      </c>
      <c r="J72" t="s">
        <v>137</v>
      </c>
      <c r="K72">
        <v>1.23551171393341</v>
      </c>
      <c r="L72" t="s">
        <v>214</v>
      </c>
      <c r="M72">
        <v>0.93333333333333302</v>
      </c>
      <c r="N72" t="s">
        <v>157</v>
      </c>
      <c r="O72">
        <v>1.0084388185654001</v>
      </c>
      <c r="P72" t="s">
        <v>150</v>
      </c>
      <c r="Q72">
        <v>1.0426966292134801</v>
      </c>
      <c r="R72" t="s">
        <v>145</v>
      </c>
      <c r="S72">
        <v>0.99324324324324298</v>
      </c>
      <c r="T72" t="s">
        <v>150</v>
      </c>
      <c r="U72">
        <v>0.87775551102204397</v>
      </c>
      <c r="V72" t="s">
        <v>210</v>
      </c>
      <c r="W72">
        <v>1.0047619047619001</v>
      </c>
      <c r="X72" t="s">
        <v>186</v>
      </c>
      <c r="Y72">
        <v>0.86217791091041796</v>
      </c>
      <c r="Z72" t="s">
        <v>162</v>
      </c>
      <c r="AA72">
        <v>1.0397435897435801</v>
      </c>
      <c r="AB72" t="s">
        <v>210</v>
      </c>
      <c r="AC72">
        <v>0.89417989417989396</v>
      </c>
      <c r="AD72" t="s">
        <v>158</v>
      </c>
      <c r="AE72">
        <v>0.9</v>
      </c>
      <c r="AF72" t="s">
        <v>158</v>
      </c>
      <c r="AG72">
        <v>1.12761276127612</v>
      </c>
      <c r="AH72" t="s">
        <v>158</v>
      </c>
      <c r="AI72">
        <v>0.87804878048780399</v>
      </c>
      <c r="AJ72" t="s">
        <v>158</v>
      </c>
      <c r="AK72">
        <v>1.12222222222222</v>
      </c>
      <c r="AL72" t="s">
        <v>210</v>
      </c>
      <c r="AM72">
        <v>1.0233029381965499</v>
      </c>
      <c r="AN72" t="s">
        <v>215</v>
      </c>
      <c r="AO72">
        <v>1.0806754221388299</v>
      </c>
      <c r="AP72" t="s">
        <v>198</v>
      </c>
      <c r="AQ72">
        <v>1.1545189504373099</v>
      </c>
      <c r="AR72" t="s">
        <v>186</v>
      </c>
      <c r="AS72">
        <v>1.1490909090909001</v>
      </c>
      <c r="AT72" t="s">
        <v>198</v>
      </c>
      <c r="AU72">
        <v>1.03342618384401</v>
      </c>
      <c r="AV72" t="s">
        <v>198</v>
      </c>
      <c r="AW72">
        <v>1.00539083557951</v>
      </c>
      <c r="AX72" t="s">
        <v>153</v>
      </c>
      <c r="AY72">
        <v>0.89964375047373601</v>
      </c>
      <c r="AZ72" t="s">
        <v>155</v>
      </c>
      <c r="BA72">
        <v>1.1148325358851601</v>
      </c>
      <c r="BB72" t="s">
        <v>198</v>
      </c>
      <c r="BC72">
        <v>0.91529411764705804</v>
      </c>
      <c r="BD72" t="s">
        <v>203</v>
      </c>
      <c r="BE72">
        <v>1.1444444444444399</v>
      </c>
      <c r="BF72" t="s">
        <v>198</v>
      </c>
      <c r="BG72">
        <v>1.0534351145038101</v>
      </c>
      <c r="BH72" t="s">
        <v>158</v>
      </c>
      <c r="BI72">
        <v>0.80701754385964897</v>
      </c>
      <c r="BJ72" t="s">
        <v>216</v>
      </c>
      <c r="BK72">
        <v>1.2600652883568999</v>
      </c>
      <c r="BL72" t="s">
        <v>155</v>
      </c>
      <c r="BM72">
        <v>0.84830339321357195</v>
      </c>
      <c r="BN72" t="s">
        <v>217</v>
      </c>
      <c r="BO72">
        <v>1.09052631578947</v>
      </c>
      <c r="BP72" t="s">
        <v>158</v>
      </c>
      <c r="BQ72">
        <v>0.95754716981132004</v>
      </c>
      <c r="BR72" t="s">
        <v>158</v>
      </c>
      <c r="BS72">
        <v>0.96650246305418697</v>
      </c>
      <c r="BT72" t="s">
        <v>210</v>
      </c>
      <c r="BU72">
        <v>1.2107623318385601</v>
      </c>
      <c r="BV72" t="s">
        <v>217</v>
      </c>
      <c r="BW72">
        <v>0.95022624434389102</v>
      </c>
    </row>
    <row r="73" spans="1:75" x14ac:dyDescent="0.4">
      <c r="A73">
        <v>71</v>
      </c>
      <c r="B73" t="s">
        <v>193</v>
      </c>
      <c r="C73">
        <v>1.0859728506787301</v>
      </c>
      <c r="D73" t="s">
        <v>214</v>
      </c>
      <c r="E73">
        <v>0.75463917525773105</v>
      </c>
      <c r="F73" t="s">
        <v>150</v>
      </c>
      <c r="G73">
        <v>0.64491654021244305</v>
      </c>
      <c r="H73" t="s">
        <v>198</v>
      </c>
      <c r="I73">
        <v>0.97466960352422904</v>
      </c>
      <c r="J73" t="s">
        <v>186</v>
      </c>
      <c r="K73">
        <v>1.2329249520274901</v>
      </c>
      <c r="L73" t="s">
        <v>212</v>
      </c>
      <c r="M73">
        <v>1.2159214830970499</v>
      </c>
      <c r="N73" t="s">
        <v>206</v>
      </c>
      <c r="O73">
        <v>0.88372093023255804</v>
      </c>
      <c r="P73" t="s">
        <v>153</v>
      </c>
      <c r="Q73">
        <v>1.0534336037997201</v>
      </c>
      <c r="R73" t="s">
        <v>150</v>
      </c>
      <c r="S73">
        <v>1.07543103448275</v>
      </c>
      <c r="T73" t="s">
        <v>153</v>
      </c>
      <c r="U73">
        <v>1</v>
      </c>
      <c r="V73" t="s">
        <v>158</v>
      </c>
      <c r="W73">
        <v>1</v>
      </c>
      <c r="X73" t="s">
        <v>190</v>
      </c>
      <c r="Y73">
        <v>1.2962962962962901</v>
      </c>
      <c r="Z73" t="s">
        <v>217</v>
      </c>
      <c r="AA73">
        <v>1.02161572052401</v>
      </c>
      <c r="AB73" t="s">
        <v>158</v>
      </c>
      <c r="AC73">
        <v>1.0049751243781</v>
      </c>
      <c r="AD73" t="s">
        <v>162</v>
      </c>
      <c r="AE73">
        <v>0.77763659466327795</v>
      </c>
      <c r="AF73" t="s">
        <v>162</v>
      </c>
      <c r="AG73">
        <v>1.08660130718954</v>
      </c>
      <c r="AH73" t="s">
        <v>162</v>
      </c>
      <c r="AI73">
        <v>0.79398496240601502</v>
      </c>
      <c r="AJ73" t="s">
        <v>162</v>
      </c>
      <c r="AK73">
        <v>1.1496212121212099</v>
      </c>
      <c r="AL73" t="s">
        <v>158</v>
      </c>
      <c r="AM73">
        <v>1.3217821782178201</v>
      </c>
      <c r="AN73" t="s">
        <v>206</v>
      </c>
      <c r="AO73">
        <v>1.0286016949152501</v>
      </c>
      <c r="AP73" t="s">
        <v>210</v>
      </c>
      <c r="AQ73">
        <v>1.2610619469026501</v>
      </c>
      <c r="AR73" t="s">
        <v>145</v>
      </c>
      <c r="AS73">
        <v>1.01803051317614</v>
      </c>
      <c r="AT73" t="s">
        <v>207</v>
      </c>
      <c r="AU73">
        <v>0.96330275229357798</v>
      </c>
      <c r="AV73" t="s">
        <v>207</v>
      </c>
      <c r="AW73">
        <v>0.98571428571428499</v>
      </c>
      <c r="AX73" t="s">
        <v>155</v>
      </c>
      <c r="AY73">
        <v>0.92682926829268297</v>
      </c>
      <c r="AZ73" t="s">
        <v>198</v>
      </c>
      <c r="BA73">
        <v>1.1184210526315701</v>
      </c>
      <c r="BB73" t="s">
        <v>207</v>
      </c>
      <c r="BC73">
        <v>1.0878661087866099</v>
      </c>
      <c r="BD73" t="s">
        <v>150</v>
      </c>
      <c r="BE73">
        <v>1.1842105263157801</v>
      </c>
      <c r="BF73" t="s">
        <v>207</v>
      </c>
      <c r="BG73">
        <v>1.19463869463869</v>
      </c>
      <c r="BH73" t="s">
        <v>217</v>
      </c>
      <c r="BI73">
        <v>0.97240330291177701</v>
      </c>
      <c r="BJ73" t="s">
        <v>210</v>
      </c>
      <c r="BK73">
        <v>0.92788461538461497</v>
      </c>
      <c r="BL73" t="s">
        <v>198</v>
      </c>
      <c r="BM73">
        <v>0.99388379204892896</v>
      </c>
      <c r="BN73" t="s">
        <v>214</v>
      </c>
      <c r="BO73">
        <v>0.94327390599675798</v>
      </c>
      <c r="BP73" t="s">
        <v>217</v>
      </c>
      <c r="BQ73">
        <v>1.00378378378378</v>
      </c>
      <c r="BR73" t="s">
        <v>217</v>
      </c>
      <c r="BS73">
        <v>0.84960381567812904</v>
      </c>
      <c r="BT73" t="s">
        <v>158</v>
      </c>
      <c r="BU73">
        <v>0.990825688073394</v>
      </c>
      <c r="BV73" t="s">
        <v>214</v>
      </c>
      <c r="BW73">
        <v>0.90123456790123402</v>
      </c>
    </row>
    <row r="74" spans="1:75" x14ac:dyDescent="0.4">
      <c r="A74">
        <v>72</v>
      </c>
      <c r="B74" t="s">
        <v>150</v>
      </c>
      <c r="C74">
        <v>1.0269179004037601</v>
      </c>
      <c r="D74" t="s">
        <v>212</v>
      </c>
      <c r="E74">
        <v>0.89250814332247497</v>
      </c>
      <c r="F74" t="s">
        <v>200</v>
      </c>
      <c r="G74">
        <v>0.34887824552558599</v>
      </c>
      <c r="H74" t="s">
        <v>206</v>
      </c>
      <c r="I74">
        <v>1.2717770034843201</v>
      </c>
      <c r="J74" t="s">
        <v>193</v>
      </c>
      <c r="K74">
        <v>2.1627565982404602</v>
      </c>
      <c r="L74" t="s">
        <v>222</v>
      </c>
      <c r="M74">
        <v>1.31944444444444</v>
      </c>
      <c r="N74" t="s">
        <v>165</v>
      </c>
      <c r="O74">
        <v>0.69316239316239303</v>
      </c>
      <c r="P74" t="s">
        <v>202</v>
      </c>
      <c r="Q74">
        <v>0.845703125</v>
      </c>
      <c r="R74" t="s">
        <v>153</v>
      </c>
      <c r="S74">
        <v>1.29194063498027</v>
      </c>
      <c r="T74" t="s">
        <v>198</v>
      </c>
      <c r="U74">
        <v>1.04290429042904</v>
      </c>
      <c r="V74" t="s">
        <v>217</v>
      </c>
      <c r="W74">
        <v>0.79147068046409497</v>
      </c>
      <c r="X74" t="s">
        <v>150</v>
      </c>
      <c r="Y74">
        <v>0.90033594624860003</v>
      </c>
      <c r="Z74" t="s">
        <v>214</v>
      </c>
      <c r="AA74">
        <v>1.01428571428571</v>
      </c>
      <c r="AB74" t="s">
        <v>162</v>
      </c>
      <c r="AC74">
        <v>0.97040690505548699</v>
      </c>
      <c r="AD74" t="s">
        <v>217</v>
      </c>
      <c r="AE74">
        <v>0.92369612611101704</v>
      </c>
      <c r="AF74" t="s">
        <v>217</v>
      </c>
      <c r="AG74">
        <v>1.3480392156862699</v>
      </c>
      <c r="AH74" t="s">
        <v>217</v>
      </c>
      <c r="AI74">
        <v>0.77737373737373705</v>
      </c>
      <c r="AJ74" t="s">
        <v>217</v>
      </c>
      <c r="AK74">
        <v>1.34927234927234</v>
      </c>
      <c r="AL74" t="s">
        <v>217</v>
      </c>
      <c r="AM74">
        <v>0.75398048279404195</v>
      </c>
      <c r="AN74" t="s">
        <v>216</v>
      </c>
      <c r="AO74">
        <v>1.1791907514450799</v>
      </c>
      <c r="AP74" t="s">
        <v>158</v>
      </c>
      <c r="AQ74">
        <v>1.1008771929824499</v>
      </c>
      <c r="AR74" t="s">
        <v>203</v>
      </c>
      <c r="AS74">
        <v>0.85529411764705798</v>
      </c>
      <c r="AT74" t="s">
        <v>216</v>
      </c>
      <c r="AU74">
        <v>0.99607843137254903</v>
      </c>
      <c r="AV74" t="s">
        <v>216</v>
      </c>
      <c r="AW74">
        <v>0.93110236220472398</v>
      </c>
      <c r="AX74" t="s">
        <v>198</v>
      </c>
      <c r="AY74">
        <v>1.01876675603217</v>
      </c>
      <c r="AZ74" t="s">
        <v>207</v>
      </c>
      <c r="BA74">
        <v>0.81662870159453305</v>
      </c>
      <c r="BB74" t="s">
        <v>206</v>
      </c>
      <c r="BC74">
        <v>0.85714285714285698</v>
      </c>
      <c r="BD74" t="s">
        <v>153</v>
      </c>
      <c r="BE74">
        <v>0.76414998475764595</v>
      </c>
      <c r="BF74" t="s">
        <v>206</v>
      </c>
      <c r="BG74">
        <v>1.1381418092909501</v>
      </c>
      <c r="BH74" t="s">
        <v>214</v>
      </c>
      <c r="BI74">
        <v>0.949659863945578</v>
      </c>
      <c r="BJ74" t="s">
        <v>158</v>
      </c>
      <c r="BK74">
        <v>0.88695652173912998</v>
      </c>
      <c r="BL74" t="s">
        <v>206</v>
      </c>
      <c r="BM74">
        <v>0.88339222614840895</v>
      </c>
      <c r="BN74" t="s">
        <v>223</v>
      </c>
      <c r="BO74">
        <v>1.0491803278688501</v>
      </c>
      <c r="BP74" t="s">
        <v>214</v>
      </c>
      <c r="BQ74">
        <v>1.1666666666666601</v>
      </c>
      <c r="BR74" t="s">
        <v>214</v>
      </c>
      <c r="BS74">
        <v>1.11045655375552</v>
      </c>
      <c r="BT74" t="s">
        <v>217</v>
      </c>
      <c r="BU74">
        <v>1.0005432814197699</v>
      </c>
      <c r="BV74" t="s">
        <v>223</v>
      </c>
      <c r="BW74">
        <v>0.97663551401869098</v>
      </c>
    </row>
    <row r="75" spans="1:75" x14ac:dyDescent="0.4">
      <c r="A75">
        <v>73</v>
      </c>
      <c r="B75" t="s">
        <v>200</v>
      </c>
      <c r="C75">
        <v>1.04048096192384</v>
      </c>
      <c r="D75" t="s">
        <v>222</v>
      </c>
      <c r="E75">
        <v>0.75961538461538403</v>
      </c>
      <c r="F75" t="s">
        <v>202</v>
      </c>
      <c r="G75">
        <v>0.46057142857142802</v>
      </c>
      <c r="H75" t="s">
        <v>165</v>
      </c>
      <c r="I75">
        <v>0.72072334840309105</v>
      </c>
      <c r="J75" t="s">
        <v>145</v>
      </c>
      <c r="K75">
        <v>1.73121387283237</v>
      </c>
      <c r="L75" t="s">
        <v>225</v>
      </c>
      <c r="M75">
        <v>0.99359673024523099</v>
      </c>
      <c r="N75" t="s">
        <v>158</v>
      </c>
      <c r="O75">
        <v>0.83203125</v>
      </c>
      <c r="P75" t="s">
        <v>198</v>
      </c>
      <c r="Q75">
        <v>0.92142857142857104</v>
      </c>
      <c r="R75" t="s">
        <v>198</v>
      </c>
      <c r="S75">
        <v>1.17441860465116</v>
      </c>
      <c r="T75" t="s">
        <v>206</v>
      </c>
      <c r="U75">
        <v>0.88590604026845599</v>
      </c>
      <c r="V75" t="s">
        <v>214</v>
      </c>
      <c r="W75">
        <v>1.2540861812778601</v>
      </c>
      <c r="X75" t="s">
        <v>153</v>
      </c>
      <c r="Y75">
        <v>0.75831506718764896</v>
      </c>
      <c r="Z75" t="s">
        <v>212</v>
      </c>
      <c r="AA75">
        <v>1.0197152245345</v>
      </c>
      <c r="AB75" t="s">
        <v>217</v>
      </c>
      <c r="AC75">
        <v>1.27441761060055</v>
      </c>
      <c r="AD75" t="s">
        <v>214</v>
      </c>
      <c r="AE75">
        <v>0.84852941176470498</v>
      </c>
      <c r="AF75" t="s">
        <v>214</v>
      </c>
      <c r="AG75">
        <v>1.16811091854419</v>
      </c>
      <c r="AH75" t="s">
        <v>214</v>
      </c>
      <c r="AI75">
        <v>0.72329376854599403</v>
      </c>
      <c r="AJ75" t="s">
        <v>214</v>
      </c>
      <c r="AK75">
        <v>0.98666666666666603</v>
      </c>
      <c r="AL75" t="s">
        <v>214</v>
      </c>
      <c r="AM75">
        <v>0.98440748440748405</v>
      </c>
      <c r="AN75" t="s">
        <v>210</v>
      </c>
      <c r="AO75">
        <v>1.11881188118811</v>
      </c>
      <c r="AP75" t="s">
        <v>162</v>
      </c>
      <c r="AQ75">
        <v>1.05486725663716</v>
      </c>
      <c r="AR75" t="s">
        <v>153</v>
      </c>
      <c r="AS75">
        <v>0.78125426039536405</v>
      </c>
      <c r="AT75" t="s">
        <v>210</v>
      </c>
      <c r="AU75">
        <v>0.89542483660130701</v>
      </c>
      <c r="AV75" t="s">
        <v>210</v>
      </c>
      <c r="AW75">
        <v>1.21167883211678</v>
      </c>
      <c r="AX75" t="s">
        <v>207</v>
      </c>
      <c r="AY75">
        <v>0.84830917874396095</v>
      </c>
      <c r="AZ75" t="s">
        <v>206</v>
      </c>
      <c r="BA75">
        <v>1.0021367521367499</v>
      </c>
      <c r="BB75" t="s">
        <v>216</v>
      </c>
      <c r="BC75">
        <v>0.83276450511945299</v>
      </c>
      <c r="BD75" t="s">
        <v>155</v>
      </c>
      <c r="BE75">
        <v>0.873417721518987</v>
      </c>
      <c r="BF75" t="s">
        <v>216</v>
      </c>
      <c r="BG75">
        <v>1.5194805194805101</v>
      </c>
      <c r="BH75" t="s">
        <v>225</v>
      </c>
      <c r="BI75">
        <v>0.88292682926829202</v>
      </c>
      <c r="BJ75" t="s">
        <v>217</v>
      </c>
      <c r="BK75">
        <v>0.99642458100558595</v>
      </c>
      <c r="BL75" t="s">
        <v>210</v>
      </c>
      <c r="BM75">
        <v>1.09326424870466</v>
      </c>
      <c r="BN75" t="s">
        <v>222</v>
      </c>
      <c r="BO75">
        <v>1.21929824561403</v>
      </c>
      <c r="BP75" t="s">
        <v>223</v>
      </c>
      <c r="BQ75">
        <v>0.96484375</v>
      </c>
      <c r="BR75" t="s">
        <v>223</v>
      </c>
      <c r="BS75">
        <v>0.90688259109311697</v>
      </c>
      <c r="BT75" t="s">
        <v>214</v>
      </c>
      <c r="BU75">
        <v>1.07427055702917</v>
      </c>
      <c r="BV75" t="s">
        <v>222</v>
      </c>
      <c r="BW75">
        <v>1.25471698113207</v>
      </c>
    </row>
    <row r="76" spans="1:75" x14ac:dyDescent="0.4">
      <c r="A76">
        <v>74</v>
      </c>
      <c r="B76" t="s">
        <v>202</v>
      </c>
      <c r="C76">
        <v>0.93714285714285706</v>
      </c>
      <c r="D76" t="s">
        <v>225</v>
      </c>
      <c r="E76">
        <v>0.90516491797576903</v>
      </c>
      <c r="F76" t="s">
        <v>198</v>
      </c>
      <c r="G76">
        <v>0.73225806451612896</v>
      </c>
      <c r="H76" t="s">
        <v>158</v>
      </c>
      <c r="I76">
        <v>0.83783783783783705</v>
      </c>
      <c r="J76" t="s">
        <v>150</v>
      </c>
      <c r="K76">
        <v>1.91115702479338</v>
      </c>
      <c r="L76" t="s">
        <v>209</v>
      </c>
      <c r="M76">
        <v>1.21148459383753</v>
      </c>
      <c r="N76" t="s">
        <v>214</v>
      </c>
      <c r="O76">
        <v>0.77922077922077904</v>
      </c>
      <c r="P76" t="s">
        <v>206</v>
      </c>
      <c r="Q76">
        <v>1.1244019138755901</v>
      </c>
      <c r="R76" t="s">
        <v>157</v>
      </c>
      <c r="S76">
        <v>1.04109589041095</v>
      </c>
      <c r="T76" t="s">
        <v>210</v>
      </c>
      <c r="U76">
        <v>1.17713004484304</v>
      </c>
      <c r="V76" t="s">
        <v>212</v>
      </c>
      <c r="W76">
        <v>0.88537549407114602</v>
      </c>
      <c r="X76" t="s">
        <v>198</v>
      </c>
      <c r="Y76">
        <v>0.95783132530120396</v>
      </c>
      <c r="Z76" t="s">
        <v>225</v>
      </c>
      <c r="AA76">
        <v>1.09407665505226</v>
      </c>
      <c r="AB76" t="s">
        <v>214</v>
      </c>
      <c r="AC76">
        <v>0.95774647887323905</v>
      </c>
      <c r="AD76" t="s">
        <v>212</v>
      </c>
      <c r="AE76">
        <v>1.0024783147459699</v>
      </c>
      <c r="AF76" t="s">
        <v>212</v>
      </c>
      <c r="AG76">
        <v>1.0074165636588299</v>
      </c>
      <c r="AH76" t="s">
        <v>212</v>
      </c>
      <c r="AI76">
        <v>1.00736196319018</v>
      </c>
      <c r="AJ76" t="s">
        <v>212</v>
      </c>
      <c r="AK76">
        <v>1.04141291108404</v>
      </c>
      <c r="AL76" t="s">
        <v>212</v>
      </c>
      <c r="AM76">
        <v>0.85263157894736796</v>
      </c>
      <c r="AN76" t="s">
        <v>158</v>
      </c>
      <c r="AO76">
        <v>0.85393258426966201</v>
      </c>
      <c r="AP76" t="s">
        <v>214</v>
      </c>
      <c r="AQ76">
        <v>1.0365630712979801</v>
      </c>
      <c r="AR76" t="s">
        <v>198</v>
      </c>
      <c r="AS76">
        <v>0.90656565656565602</v>
      </c>
      <c r="AT76" t="s">
        <v>158</v>
      </c>
      <c r="AU76">
        <v>1.0272373540855999</v>
      </c>
      <c r="AV76" t="s">
        <v>158</v>
      </c>
      <c r="AW76">
        <v>0.90909090909090895</v>
      </c>
      <c r="AX76" t="s">
        <v>216</v>
      </c>
      <c r="AY76">
        <v>1.06553911205074</v>
      </c>
      <c r="AZ76" t="s">
        <v>216</v>
      </c>
      <c r="BA76">
        <v>1.1626984126984099</v>
      </c>
      <c r="BB76" t="s">
        <v>158</v>
      </c>
      <c r="BC76">
        <v>0.82978723404255295</v>
      </c>
      <c r="BD76" t="s">
        <v>198</v>
      </c>
      <c r="BE76">
        <v>1.0102827763496101</v>
      </c>
      <c r="BF76" t="s">
        <v>210</v>
      </c>
      <c r="BG76">
        <v>0.93548387096774099</v>
      </c>
      <c r="BH76" t="s">
        <v>209</v>
      </c>
      <c r="BI76">
        <v>0.94656488549618301</v>
      </c>
      <c r="BJ76" t="s">
        <v>214</v>
      </c>
      <c r="BK76">
        <v>0.83954154727793695</v>
      </c>
      <c r="BL76" t="s">
        <v>158</v>
      </c>
      <c r="BM76">
        <v>0.95196078431372499</v>
      </c>
      <c r="BN76" t="s">
        <v>225</v>
      </c>
      <c r="BO76">
        <v>1.0723684210526301</v>
      </c>
      <c r="BP76" t="s">
        <v>222</v>
      </c>
      <c r="BQ76">
        <v>0.86330935251798502</v>
      </c>
      <c r="BR76" t="s">
        <v>222</v>
      </c>
      <c r="BS76">
        <v>0.86666666666666603</v>
      </c>
      <c r="BT76" t="s">
        <v>223</v>
      </c>
      <c r="BU76">
        <v>0.95535714285714202</v>
      </c>
      <c r="BV76" t="s">
        <v>225</v>
      </c>
      <c r="BW76">
        <v>0.93690851735015701</v>
      </c>
    </row>
    <row r="77" spans="1:75" x14ac:dyDescent="0.4">
      <c r="A77">
        <v>75</v>
      </c>
      <c r="B77" t="s">
        <v>205</v>
      </c>
      <c r="C77">
        <v>0.90939597315436205</v>
      </c>
      <c r="D77" t="s">
        <v>164</v>
      </c>
      <c r="E77">
        <v>1.1293103448275801</v>
      </c>
      <c r="F77" t="s">
        <v>206</v>
      </c>
      <c r="G77">
        <v>0.83918128654970703</v>
      </c>
      <c r="H77" t="s">
        <v>162</v>
      </c>
      <c r="I77">
        <v>1.48529411764705</v>
      </c>
      <c r="J77" t="s">
        <v>153</v>
      </c>
      <c r="K77">
        <v>1.1702903104184901</v>
      </c>
      <c r="L77" t="s">
        <v>164</v>
      </c>
      <c r="M77">
        <v>1.0329012961116599</v>
      </c>
      <c r="N77" t="s">
        <v>212</v>
      </c>
      <c r="O77">
        <v>1.27354260089686</v>
      </c>
      <c r="P77" t="s">
        <v>165</v>
      </c>
      <c r="Q77">
        <v>0.88779284833538796</v>
      </c>
      <c r="R77" t="s">
        <v>206</v>
      </c>
      <c r="S77">
        <v>1.2680851063829699</v>
      </c>
      <c r="T77" t="s">
        <v>158</v>
      </c>
      <c r="U77">
        <v>0.967592592592592</v>
      </c>
      <c r="V77" t="s">
        <v>225</v>
      </c>
      <c r="W77">
        <v>0.929133858267716</v>
      </c>
      <c r="X77" t="s">
        <v>157</v>
      </c>
      <c r="Y77">
        <v>1.01466992665036</v>
      </c>
      <c r="Z77" t="s">
        <v>164</v>
      </c>
      <c r="AA77">
        <v>1.1647482014388399</v>
      </c>
      <c r="AB77" t="s">
        <v>212</v>
      </c>
      <c r="AC77">
        <v>0.86680988184747498</v>
      </c>
      <c r="AD77" t="s">
        <v>225</v>
      </c>
      <c r="AE77">
        <v>0.87072243346007605</v>
      </c>
      <c r="AF77" t="s">
        <v>225</v>
      </c>
      <c r="AG77">
        <v>1.2139737991266299</v>
      </c>
      <c r="AH77" t="s">
        <v>225</v>
      </c>
      <c r="AI77">
        <v>1.0251798561151</v>
      </c>
      <c r="AJ77" t="s">
        <v>225</v>
      </c>
      <c r="AK77">
        <v>1.1929824561403499</v>
      </c>
      <c r="AL77" t="s">
        <v>225</v>
      </c>
      <c r="AM77">
        <v>1.4088235294117599</v>
      </c>
      <c r="AN77" t="s">
        <v>162</v>
      </c>
      <c r="AO77">
        <v>0.83333333333333304</v>
      </c>
      <c r="AP77" t="s">
        <v>225</v>
      </c>
      <c r="AQ77">
        <v>1.2236286919831201</v>
      </c>
      <c r="AR77" t="s">
        <v>216</v>
      </c>
      <c r="AS77">
        <v>0.89947089947089898</v>
      </c>
      <c r="AT77" t="s">
        <v>162</v>
      </c>
      <c r="AU77">
        <v>1.01549295774647</v>
      </c>
      <c r="AV77" t="s">
        <v>217</v>
      </c>
      <c r="AW77">
        <v>0.950754668713225</v>
      </c>
      <c r="AX77" t="s">
        <v>210</v>
      </c>
      <c r="AY77">
        <v>1.3524096385542099</v>
      </c>
      <c r="AZ77" t="s">
        <v>158</v>
      </c>
      <c r="BA77">
        <v>1.1040268456375799</v>
      </c>
      <c r="BB77" t="s">
        <v>217</v>
      </c>
      <c r="BC77">
        <v>0.86220832697880101</v>
      </c>
      <c r="BD77" t="s">
        <v>207</v>
      </c>
      <c r="BE77">
        <v>1.1000000000000001</v>
      </c>
      <c r="BF77" t="s">
        <v>158</v>
      </c>
      <c r="BG77">
        <v>1.15384615384615</v>
      </c>
      <c r="BH77" t="s">
        <v>228</v>
      </c>
      <c r="BI77">
        <v>0.74403470715835096</v>
      </c>
      <c r="BJ77" t="s">
        <v>225</v>
      </c>
      <c r="BK77">
        <v>0.85635359116022103</v>
      </c>
      <c r="BL77" t="s">
        <v>217</v>
      </c>
      <c r="BM77">
        <v>0.88771772445241803</v>
      </c>
      <c r="BN77" t="s">
        <v>228</v>
      </c>
      <c r="BO77">
        <v>0.95016611295680997</v>
      </c>
      <c r="BP77" t="s">
        <v>225</v>
      </c>
      <c r="BQ77">
        <v>0.90490797546012203</v>
      </c>
      <c r="BR77" t="s">
        <v>225</v>
      </c>
      <c r="BS77">
        <v>0.92203389830508398</v>
      </c>
      <c r="BT77" t="s">
        <v>222</v>
      </c>
      <c r="BU77">
        <v>1.0192307692307601</v>
      </c>
      <c r="BV77" t="s">
        <v>209</v>
      </c>
      <c r="BW77">
        <v>1.12947658402203</v>
      </c>
    </row>
    <row r="78" spans="1:75" x14ac:dyDescent="0.4">
      <c r="A78">
        <v>76</v>
      </c>
      <c r="B78" t="s">
        <v>198</v>
      </c>
      <c r="C78">
        <v>1.1576923076923</v>
      </c>
      <c r="D78" t="s">
        <v>228</v>
      </c>
      <c r="E78">
        <v>1.0394736842105201</v>
      </c>
      <c r="F78" t="s">
        <v>165</v>
      </c>
      <c r="G78">
        <v>0.406798766018035</v>
      </c>
      <c r="H78" t="s">
        <v>212</v>
      </c>
      <c r="I78">
        <v>0.75728155339805803</v>
      </c>
      <c r="J78" t="s">
        <v>198</v>
      </c>
      <c r="K78">
        <v>1.4576271186440599</v>
      </c>
      <c r="L78" t="s">
        <v>228</v>
      </c>
      <c r="M78">
        <v>0.92857142857142805</v>
      </c>
      <c r="N78" t="s">
        <v>222</v>
      </c>
      <c r="O78">
        <v>0.923684210526315</v>
      </c>
      <c r="P78" t="s">
        <v>210</v>
      </c>
      <c r="Q78">
        <v>1.0828804347826</v>
      </c>
      <c r="R78" t="s">
        <v>165</v>
      </c>
      <c r="S78">
        <v>0.35208333333333303</v>
      </c>
      <c r="T78" t="s">
        <v>162</v>
      </c>
      <c r="U78">
        <v>1.5758468335787901</v>
      </c>
      <c r="V78" t="s">
        <v>164</v>
      </c>
      <c r="W78">
        <v>1.1224655312246501</v>
      </c>
      <c r="X78" t="s">
        <v>210</v>
      </c>
      <c r="Y78">
        <v>1.1279620853080501</v>
      </c>
      <c r="Z78" t="s">
        <v>228</v>
      </c>
      <c r="AA78">
        <v>1.1818181818181801</v>
      </c>
      <c r="AB78" t="s">
        <v>225</v>
      </c>
      <c r="AC78">
        <v>0.83757961783439405</v>
      </c>
      <c r="AD78" t="s">
        <v>164</v>
      </c>
      <c r="AE78">
        <v>0.95605022831050201</v>
      </c>
      <c r="AF78" t="s">
        <v>164</v>
      </c>
      <c r="AG78">
        <v>1.08</v>
      </c>
      <c r="AH78" t="s">
        <v>228</v>
      </c>
      <c r="AI78">
        <v>0.79447322970639001</v>
      </c>
      <c r="AJ78" t="s">
        <v>164</v>
      </c>
      <c r="AK78">
        <v>1.0450450450450399</v>
      </c>
      <c r="AL78" t="s">
        <v>228</v>
      </c>
      <c r="AM78">
        <v>1.0342741935483799</v>
      </c>
      <c r="AN78" t="s">
        <v>214</v>
      </c>
      <c r="AO78">
        <v>1.1552270327349501</v>
      </c>
      <c r="AP78" t="s">
        <v>209</v>
      </c>
      <c r="AQ78">
        <v>0.96339677891654396</v>
      </c>
      <c r="AR78" t="s">
        <v>210</v>
      </c>
      <c r="AS78">
        <v>1.07368421052631</v>
      </c>
      <c r="AT78" t="s">
        <v>214</v>
      </c>
      <c r="AU78">
        <v>0.94111969111969096</v>
      </c>
      <c r="AV78" t="s">
        <v>214</v>
      </c>
      <c r="AW78">
        <v>1.0317948717948699</v>
      </c>
      <c r="AX78" t="s">
        <v>158</v>
      </c>
      <c r="AY78">
        <v>1.24166666666666</v>
      </c>
      <c r="AZ78" t="s">
        <v>214</v>
      </c>
      <c r="BA78">
        <v>1.1895551257253301</v>
      </c>
      <c r="BB78" t="s">
        <v>214</v>
      </c>
      <c r="BC78">
        <v>1.0243902439024299</v>
      </c>
      <c r="BD78" t="s">
        <v>206</v>
      </c>
      <c r="BE78">
        <v>1.0174129353233801</v>
      </c>
      <c r="BF78" t="s">
        <v>162</v>
      </c>
      <c r="BG78">
        <v>1.5710382513661201</v>
      </c>
      <c r="BH78" t="s">
        <v>174</v>
      </c>
      <c r="BI78">
        <v>0.943037974683544</v>
      </c>
      <c r="BJ78" t="s">
        <v>209</v>
      </c>
      <c r="BK78">
        <v>0.82661290322580605</v>
      </c>
      <c r="BL78" t="s">
        <v>214</v>
      </c>
      <c r="BM78">
        <v>1.0529010238907801</v>
      </c>
      <c r="BN78" t="s">
        <v>174</v>
      </c>
      <c r="BO78">
        <v>0.94576271186440597</v>
      </c>
      <c r="BP78" t="s">
        <v>174</v>
      </c>
      <c r="BQ78">
        <v>0.95340501792114696</v>
      </c>
      <c r="BR78" t="s">
        <v>174</v>
      </c>
      <c r="BS78">
        <v>1</v>
      </c>
      <c r="BT78" t="s">
        <v>225</v>
      </c>
      <c r="BU78">
        <v>1.1654411764705801</v>
      </c>
      <c r="BV78" t="s">
        <v>228</v>
      </c>
      <c r="BW78">
        <v>0.97839506172839497</v>
      </c>
    </row>
    <row r="79" spans="1:75" x14ac:dyDescent="0.4">
      <c r="A79">
        <v>77</v>
      </c>
      <c r="B79" t="s">
        <v>157</v>
      </c>
      <c r="C79">
        <v>0.94010416666666596</v>
      </c>
      <c r="D79" t="s">
        <v>230</v>
      </c>
      <c r="E79">
        <v>0.79111111111111099</v>
      </c>
      <c r="F79" t="s">
        <v>210</v>
      </c>
      <c r="G79">
        <v>0.53596127247579495</v>
      </c>
      <c r="H79" t="s">
        <v>222</v>
      </c>
      <c r="I79">
        <v>1.1578947368421</v>
      </c>
      <c r="J79" t="s">
        <v>206</v>
      </c>
      <c r="K79">
        <v>1.58630136986301</v>
      </c>
      <c r="L79" t="s">
        <v>230</v>
      </c>
      <c r="M79">
        <v>1.05186170212765</v>
      </c>
      <c r="N79" t="s">
        <v>225</v>
      </c>
      <c r="O79">
        <v>0.83333333333333304</v>
      </c>
      <c r="P79" t="s">
        <v>158</v>
      </c>
      <c r="Q79">
        <v>1.0610328638497599</v>
      </c>
      <c r="R79" t="s">
        <v>210</v>
      </c>
      <c r="S79">
        <v>1.1191969887076501</v>
      </c>
      <c r="T79" t="s">
        <v>217</v>
      </c>
      <c r="U79">
        <v>1.3778353856124399</v>
      </c>
      <c r="V79" t="s">
        <v>228</v>
      </c>
      <c r="W79">
        <v>1.04411764705882</v>
      </c>
      <c r="X79" t="s">
        <v>158</v>
      </c>
      <c r="Y79">
        <v>0.97607655502392299</v>
      </c>
      <c r="Z79" t="s">
        <v>167</v>
      </c>
      <c r="AA79">
        <v>1.1545454545454501</v>
      </c>
      <c r="AB79" t="s">
        <v>164</v>
      </c>
      <c r="AC79">
        <v>1.0821494749845499</v>
      </c>
      <c r="AD79" t="s">
        <v>228</v>
      </c>
      <c r="AE79">
        <v>0.99736842105263102</v>
      </c>
      <c r="AF79" t="s">
        <v>228</v>
      </c>
      <c r="AG79">
        <v>1.5277044854881201</v>
      </c>
      <c r="AH79" t="s">
        <v>172</v>
      </c>
      <c r="AI79">
        <v>1.0772292993630499</v>
      </c>
      <c r="AJ79" t="s">
        <v>228</v>
      </c>
      <c r="AK79">
        <v>1.0782608695652101</v>
      </c>
      <c r="AL79" t="s">
        <v>167</v>
      </c>
      <c r="AM79">
        <v>1.13970588235294</v>
      </c>
      <c r="AN79" t="s">
        <v>212</v>
      </c>
      <c r="AO79">
        <v>1.04252400548696</v>
      </c>
      <c r="AP79" t="s">
        <v>228</v>
      </c>
      <c r="AQ79">
        <v>1.0454545454545401</v>
      </c>
      <c r="AR79" t="s">
        <v>158</v>
      </c>
      <c r="AS79">
        <v>1.02390438247011</v>
      </c>
      <c r="AT79" t="s">
        <v>222</v>
      </c>
      <c r="AU79">
        <v>0.95669291338582596</v>
      </c>
      <c r="AV79" t="s">
        <v>222</v>
      </c>
      <c r="AW79">
        <v>1.1646090534979401</v>
      </c>
      <c r="AX79" t="s">
        <v>217</v>
      </c>
      <c r="AY79">
        <v>1.7579712094712701</v>
      </c>
      <c r="AZ79" t="s">
        <v>222</v>
      </c>
      <c r="BA79">
        <v>1.03741496598639</v>
      </c>
      <c r="BB79" t="s">
        <v>223</v>
      </c>
      <c r="BC79">
        <v>0.95031712473572905</v>
      </c>
      <c r="BD79" t="s">
        <v>216</v>
      </c>
      <c r="BE79">
        <v>0.94672131147540906</v>
      </c>
      <c r="BF79" t="s">
        <v>214</v>
      </c>
      <c r="BG79">
        <v>0.98923283983849197</v>
      </c>
      <c r="BH79" t="s">
        <v>231</v>
      </c>
      <c r="BI79">
        <v>0.82467532467532401</v>
      </c>
      <c r="BJ79" t="s">
        <v>228</v>
      </c>
      <c r="BK79">
        <v>0.93294460641399402</v>
      </c>
      <c r="BL79" t="s">
        <v>222</v>
      </c>
      <c r="BM79">
        <v>0.92934782608695599</v>
      </c>
      <c r="BN79" t="s">
        <v>178</v>
      </c>
      <c r="BO79">
        <v>1.04785894206549</v>
      </c>
      <c r="BP79" t="s">
        <v>231</v>
      </c>
      <c r="BQ79">
        <v>1.1959459459459401</v>
      </c>
      <c r="BR79" t="s">
        <v>231</v>
      </c>
      <c r="BS79">
        <v>0.92655367231638397</v>
      </c>
      <c r="BT79" t="s">
        <v>209</v>
      </c>
      <c r="BU79">
        <v>1.0182328190743299</v>
      </c>
      <c r="BV79" t="s">
        <v>174</v>
      </c>
      <c r="BW79">
        <v>1.09030100334448</v>
      </c>
    </row>
    <row r="80" spans="1:75" x14ac:dyDescent="0.4">
      <c r="A80">
        <v>78</v>
      </c>
      <c r="B80" t="s">
        <v>206</v>
      </c>
      <c r="C80">
        <v>3.0229746070133001</v>
      </c>
      <c r="D80" t="s">
        <v>221</v>
      </c>
      <c r="E80">
        <v>0.99863013698630099</v>
      </c>
      <c r="F80" t="s">
        <v>158</v>
      </c>
      <c r="G80">
        <v>0.74425287356321801</v>
      </c>
      <c r="H80" t="s">
        <v>225</v>
      </c>
      <c r="I80">
        <v>0.82498090145148895</v>
      </c>
      <c r="J80" t="s">
        <v>165</v>
      </c>
      <c r="K80">
        <v>2.1428571428571401</v>
      </c>
      <c r="L80" t="s">
        <v>168</v>
      </c>
      <c r="M80">
        <v>1.44776119402985</v>
      </c>
      <c r="N80" t="s">
        <v>209</v>
      </c>
      <c r="O80">
        <v>0.89479768786127101</v>
      </c>
      <c r="P80" t="s">
        <v>162</v>
      </c>
      <c r="Q80">
        <v>1.0416666666666601</v>
      </c>
      <c r="R80" t="s">
        <v>158</v>
      </c>
      <c r="S80">
        <v>0.95575221238938002</v>
      </c>
      <c r="T80" t="s">
        <v>214</v>
      </c>
      <c r="U80">
        <v>0.90945945945945905</v>
      </c>
      <c r="V80" t="s">
        <v>168</v>
      </c>
      <c r="W80">
        <v>1.0358422939068099</v>
      </c>
      <c r="X80" t="s">
        <v>217</v>
      </c>
      <c r="Y80">
        <v>0.90729001584785995</v>
      </c>
      <c r="Z80" t="s">
        <v>168</v>
      </c>
      <c r="AA80">
        <v>1.0163934426229499</v>
      </c>
      <c r="AB80" t="s">
        <v>228</v>
      </c>
      <c r="AC80">
        <v>0.91346153846153799</v>
      </c>
      <c r="AD80" t="s">
        <v>233</v>
      </c>
      <c r="AE80">
        <v>0.89133425034387803</v>
      </c>
      <c r="AF80" t="s">
        <v>172</v>
      </c>
      <c r="AG80">
        <v>0.90948587979724804</v>
      </c>
      <c r="AH80" t="s">
        <v>234</v>
      </c>
      <c r="AI80">
        <v>0.76832844574780002</v>
      </c>
      <c r="AJ80" t="s">
        <v>167</v>
      </c>
      <c r="AK80">
        <v>1.0750988142292399</v>
      </c>
      <c r="AL80" t="s">
        <v>172</v>
      </c>
      <c r="AM80">
        <v>1.0157367668097199</v>
      </c>
      <c r="AN80" t="s">
        <v>225</v>
      </c>
      <c r="AO80">
        <v>0.98956158663882998</v>
      </c>
      <c r="AP80" t="s">
        <v>172</v>
      </c>
      <c r="AQ80">
        <v>1.0457063711911301</v>
      </c>
      <c r="AR80" t="s">
        <v>162</v>
      </c>
      <c r="AS80">
        <v>1.19127516778523</v>
      </c>
      <c r="AT80" t="s">
        <v>225</v>
      </c>
      <c r="AU80">
        <v>1.0711462450592799</v>
      </c>
      <c r="AV80" t="s">
        <v>209</v>
      </c>
      <c r="AW80">
        <v>1.7409948542024001</v>
      </c>
      <c r="AX80" t="s">
        <v>214</v>
      </c>
      <c r="AY80">
        <v>1.0278330019880699</v>
      </c>
      <c r="AZ80" t="s">
        <v>209</v>
      </c>
      <c r="BA80">
        <v>0.97247706422018299</v>
      </c>
      <c r="BB80" t="s">
        <v>209</v>
      </c>
      <c r="BC80">
        <v>0.75377358490566004</v>
      </c>
      <c r="BD80" t="s">
        <v>210</v>
      </c>
      <c r="BE80">
        <v>0.89855072463768104</v>
      </c>
      <c r="BF80" t="s">
        <v>225</v>
      </c>
      <c r="BG80">
        <v>0.94688221709006903</v>
      </c>
      <c r="BH80" t="s">
        <v>178</v>
      </c>
      <c r="BI80">
        <v>0.77868852459016302</v>
      </c>
      <c r="BJ80" t="s">
        <v>174</v>
      </c>
      <c r="BK80">
        <v>0.98993288590604001</v>
      </c>
      <c r="BL80" t="s">
        <v>225</v>
      </c>
      <c r="BM80">
        <v>0.98064516129032198</v>
      </c>
      <c r="BN80" t="s">
        <v>185</v>
      </c>
      <c r="BO80">
        <v>1.05627705627705</v>
      </c>
      <c r="BP80" t="s">
        <v>178</v>
      </c>
      <c r="BQ80">
        <v>1.11057692307692</v>
      </c>
      <c r="BR80" t="s">
        <v>178</v>
      </c>
      <c r="BS80">
        <v>1.08008658008658</v>
      </c>
      <c r="BT80" t="s">
        <v>228</v>
      </c>
      <c r="BU80">
        <v>1.0253164556962</v>
      </c>
      <c r="BV80" t="s">
        <v>231</v>
      </c>
      <c r="BW80">
        <v>1.0048309178743899</v>
      </c>
    </row>
    <row r="81" spans="1:75" x14ac:dyDescent="0.4">
      <c r="A81">
        <v>79</v>
      </c>
      <c r="B81" t="s">
        <v>210</v>
      </c>
      <c r="C81">
        <v>0.84671532846715303</v>
      </c>
      <c r="D81" t="s">
        <v>168</v>
      </c>
      <c r="E81">
        <v>0.79934210526315697</v>
      </c>
      <c r="F81" t="s">
        <v>236</v>
      </c>
      <c r="G81">
        <v>0.78247201349486195</v>
      </c>
      <c r="H81" t="s">
        <v>164</v>
      </c>
      <c r="I81">
        <v>0.81224489795918298</v>
      </c>
      <c r="J81" t="s">
        <v>158</v>
      </c>
      <c r="K81">
        <v>1.16589861751152</v>
      </c>
      <c r="L81" t="s">
        <v>170</v>
      </c>
      <c r="M81">
        <v>1.44974226804123</v>
      </c>
      <c r="N81" t="s">
        <v>164</v>
      </c>
      <c r="O81">
        <v>1.20366795366795</v>
      </c>
      <c r="P81" t="s">
        <v>214</v>
      </c>
      <c r="Q81">
        <v>1.21875</v>
      </c>
      <c r="R81" t="s">
        <v>217</v>
      </c>
      <c r="S81">
        <v>0.76474475466710701</v>
      </c>
      <c r="T81" t="s">
        <v>212</v>
      </c>
      <c r="U81">
        <v>0.97683397683397599</v>
      </c>
      <c r="V81" t="s">
        <v>170</v>
      </c>
      <c r="W81">
        <v>1.0745098039215599</v>
      </c>
      <c r="X81" t="s">
        <v>214</v>
      </c>
      <c r="Y81">
        <v>0.82938388625592396</v>
      </c>
      <c r="Z81" t="s">
        <v>172</v>
      </c>
      <c r="AA81">
        <v>1.2600652883568999</v>
      </c>
      <c r="AB81" t="s">
        <v>233</v>
      </c>
      <c r="AC81">
        <v>1.0125348189415</v>
      </c>
      <c r="AD81" t="s">
        <v>172</v>
      </c>
      <c r="AE81">
        <v>1.08740157480314</v>
      </c>
      <c r="AF81" t="s">
        <v>237</v>
      </c>
      <c r="AG81">
        <v>2.04663212435233</v>
      </c>
      <c r="AH81" t="s">
        <v>231</v>
      </c>
      <c r="AI81">
        <v>0.86502177068214803</v>
      </c>
      <c r="AJ81" t="s">
        <v>172</v>
      </c>
      <c r="AK81">
        <v>1.0332594235033199</v>
      </c>
      <c r="AL81" t="s">
        <v>237</v>
      </c>
      <c r="AM81">
        <v>0.92314814814814805</v>
      </c>
      <c r="AN81" t="s">
        <v>164</v>
      </c>
      <c r="AO81">
        <v>1.2476125511596099</v>
      </c>
      <c r="AP81" t="s">
        <v>237</v>
      </c>
      <c r="AQ81">
        <v>1.2630480167014599</v>
      </c>
      <c r="AR81" t="s">
        <v>217</v>
      </c>
      <c r="AS81">
        <v>0.88210606638687505</v>
      </c>
      <c r="AT81" t="s">
        <v>209</v>
      </c>
      <c r="AU81">
        <v>1.16833667334669</v>
      </c>
      <c r="AV81" t="s">
        <v>164</v>
      </c>
      <c r="AW81">
        <v>1.0273660205245101</v>
      </c>
      <c r="AX81" t="s">
        <v>222</v>
      </c>
      <c r="AY81">
        <v>1.0388692579505301</v>
      </c>
      <c r="AZ81" t="s">
        <v>228</v>
      </c>
      <c r="BA81">
        <v>0.87409200968523004</v>
      </c>
      <c r="BB81" t="s">
        <v>228</v>
      </c>
      <c r="BC81">
        <v>1.0027700831024899</v>
      </c>
      <c r="BD81" t="s">
        <v>158</v>
      </c>
      <c r="BE81">
        <v>0.90476190476190399</v>
      </c>
      <c r="BF81" t="s">
        <v>228</v>
      </c>
      <c r="BG81">
        <v>1.21957671957671</v>
      </c>
      <c r="BH81" t="s">
        <v>185</v>
      </c>
      <c r="BI81">
        <v>0.80781758957654703</v>
      </c>
      <c r="BJ81" t="s">
        <v>231</v>
      </c>
      <c r="BK81">
        <v>0.93385826771653502</v>
      </c>
      <c r="BL81" t="s">
        <v>209</v>
      </c>
      <c r="BM81">
        <v>0.92097560975609705</v>
      </c>
      <c r="BN81" t="s">
        <v>238</v>
      </c>
      <c r="BO81">
        <v>1.1037234042553099</v>
      </c>
      <c r="BP81" t="s">
        <v>185</v>
      </c>
      <c r="BQ81">
        <v>0.98360655737704905</v>
      </c>
      <c r="BR81" t="s">
        <v>185</v>
      </c>
      <c r="BS81">
        <v>0.92500000000000004</v>
      </c>
      <c r="BT81" t="s">
        <v>174</v>
      </c>
      <c r="BU81">
        <v>1.12406015037593</v>
      </c>
      <c r="BV81" t="s">
        <v>178</v>
      </c>
      <c r="BW81">
        <v>0.99470899470899399</v>
      </c>
    </row>
    <row r="82" spans="1:75" x14ac:dyDescent="0.4">
      <c r="A82">
        <v>80</v>
      </c>
      <c r="B82" t="s">
        <v>214</v>
      </c>
      <c r="C82">
        <v>1.61666666666666</v>
      </c>
      <c r="D82" t="s">
        <v>170</v>
      </c>
      <c r="E82">
        <v>0.816039395005276</v>
      </c>
      <c r="F82" t="s">
        <v>214</v>
      </c>
      <c r="G82">
        <v>0.487021857923497</v>
      </c>
      <c r="H82" t="s">
        <v>221</v>
      </c>
      <c r="I82">
        <v>0.90249999999999997</v>
      </c>
      <c r="J82" t="s">
        <v>236</v>
      </c>
      <c r="K82">
        <v>1.2720357941834399</v>
      </c>
      <c r="L82" t="s">
        <v>172</v>
      </c>
      <c r="M82">
        <v>0.94645080946450799</v>
      </c>
      <c r="N82" t="s">
        <v>228</v>
      </c>
      <c r="O82">
        <v>0.82417582417582402</v>
      </c>
      <c r="P82" t="s">
        <v>222</v>
      </c>
      <c r="Q82">
        <v>0.77777777777777701</v>
      </c>
      <c r="R82" t="s">
        <v>214</v>
      </c>
      <c r="S82">
        <v>1.26495726495726</v>
      </c>
      <c r="T82" t="s">
        <v>225</v>
      </c>
      <c r="U82">
        <v>1.07627118644067</v>
      </c>
      <c r="V82" t="s">
        <v>172</v>
      </c>
      <c r="W82">
        <v>1.11006711409395</v>
      </c>
      <c r="X82" t="s">
        <v>212</v>
      </c>
      <c r="Y82">
        <v>0.81517857142857097</v>
      </c>
      <c r="Z82" t="s">
        <v>231</v>
      </c>
      <c r="AA82">
        <v>0.94588235294117595</v>
      </c>
      <c r="AB82" t="s">
        <v>172</v>
      </c>
      <c r="AC82">
        <v>1.09671848013816</v>
      </c>
      <c r="AD82" t="s">
        <v>234</v>
      </c>
      <c r="AE82">
        <v>1.0495867768595</v>
      </c>
      <c r="AF82" t="s">
        <v>234</v>
      </c>
      <c r="AG82">
        <v>0.89501312335958005</v>
      </c>
      <c r="AH82" t="s">
        <v>178</v>
      </c>
      <c r="AI82">
        <v>0.87019230769230704</v>
      </c>
      <c r="AJ82" t="s">
        <v>237</v>
      </c>
      <c r="AK82">
        <v>1.14406779661016</v>
      </c>
      <c r="AL82" t="s">
        <v>234</v>
      </c>
      <c r="AM82">
        <v>0.69790794979079496</v>
      </c>
      <c r="AN82" t="s">
        <v>228</v>
      </c>
      <c r="AO82">
        <v>0.94346978557504801</v>
      </c>
      <c r="AP82" t="s">
        <v>234</v>
      </c>
      <c r="AQ82">
        <v>0.85529715762273895</v>
      </c>
      <c r="AR82" t="s">
        <v>214</v>
      </c>
      <c r="AS82">
        <v>0.91358024691357997</v>
      </c>
      <c r="AT82" t="s">
        <v>164</v>
      </c>
      <c r="AU82">
        <v>1.16005291005291</v>
      </c>
      <c r="AV82" t="s">
        <v>228</v>
      </c>
      <c r="AW82">
        <v>1.04712041884816</v>
      </c>
      <c r="AX82" t="s">
        <v>209</v>
      </c>
      <c r="AY82">
        <v>1.07389162561576</v>
      </c>
      <c r="AZ82" t="s">
        <v>230</v>
      </c>
      <c r="BA82">
        <v>1.5516483516483499</v>
      </c>
      <c r="BB82" t="s">
        <v>237</v>
      </c>
      <c r="BC82">
        <v>1.2175925925925899</v>
      </c>
      <c r="BD82" t="s">
        <v>217</v>
      </c>
      <c r="BE82">
        <v>1.2715132218979299</v>
      </c>
      <c r="BF82" t="s">
        <v>174</v>
      </c>
      <c r="BG82">
        <v>0.98442367601246095</v>
      </c>
      <c r="BH82" t="s">
        <v>238</v>
      </c>
      <c r="BI82">
        <v>0.91638795986622001</v>
      </c>
      <c r="BJ82" t="s">
        <v>178</v>
      </c>
      <c r="BK82">
        <v>0.88947368421052597</v>
      </c>
      <c r="BL82" t="s">
        <v>228</v>
      </c>
      <c r="BM82">
        <v>0.94062500000000004</v>
      </c>
      <c r="BN82" t="s">
        <v>241</v>
      </c>
      <c r="BO82">
        <v>1.2243346007604501</v>
      </c>
      <c r="BP82" t="s">
        <v>238</v>
      </c>
      <c r="BQ82">
        <v>0.99397590361445698</v>
      </c>
      <c r="BR82" t="s">
        <v>238</v>
      </c>
      <c r="BS82">
        <v>0.98545454545454503</v>
      </c>
      <c r="BT82" t="s">
        <v>231</v>
      </c>
      <c r="BU82">
        <v>1.0097560975609701</v>
      </c>
      <c r="BV82" t="s">
        <v>185</v>
      </c>
      <c r="BW82">
        <v>1.07633587786259</v>
      </c>
    </row>
    <row r="83" spans="1:75" x14ac:dyDescent="0.4">
      <c r="A83">
        <v>81</v>
      </c>
      <c r="B83" t="s">
        <v>212</v>
      </c>
      <c r="C83">
        <v>1.15849056603773</v>
      </c>
      <c r="D83" t="s">
        <v>172</v>
      </c>
      <c r="E83">
        <v>0.9375</v>
      </c>
      <c r="F83" t="s">
        <v>212</v>
      </c>
      <c r="G83">
        <v>0.52627737226277305</v>
      </c>
      <c r="H83" t="s">
        <v>168</v>
      </c>
      <c r="I83">
        <v>0.84028776978417197</v>
      </c>
      <c r="J83" t="s">
        <v>162</v>
      </c>
      <c r="K83">
        <v>2.0891089108910799</v>
      </c>
      <c r="L83" t="s">
        <v>174</v>
      </c>
      <c r="M83">
        <v>1.52958152958152</v>
      </c>
      <c r="N83" t="s">
        <v>230</v>
      </c>
      <c r="O83">
        <v>0.96965865992414602</v>
      </c>
      <c r="P83" t="s">
        <v>225</v>
      </c>
      <c r="Q83">
        <v>0.97902097902097895</v>
      </c>
      <c r="R83" t="s">
        <v>212</v>
      </c>
      <c r="S83">
        <v>1.0156862745098001</v>
      </c>
      <c r="T83" t="s">
        <v>164</v>
      </c>
      <c r="U83">
        <v>0.98247011952191199</v>
      </c>
      <c r="V83" t="s">
        <v>231</v>
      </c>
      <c r="W83">
        <v>1.2002567394094901</v>
      </c>
      <c r="X83" t="s">
        <v>225</v>
      </c>
      <c r="Y83">
        <v>1.2161016949152501</v>
      </c>
      <c r="Z83" t="s">
        <v>176</v>
      </c>
      <c r="AA83">
        <v>1.2568807339449499</v>
      </c>
      <c r="AB83" t="s">
        <v>234</v>
      </c>
      <c r="AC83">
        <v>1.4756097560975601</v>
      </c>
      <c r="AD83" t="s">
        <v>231</v>
      </c>
      <c r="AE83">
        <v>0.80927152317880702</v>
      </c>
      <c r="AF83" t="s">
        <v>178</v>
      </c>
      <c r="AG83">
        <v>1.1167785234899299</v>
      </c>
      <c r="AH83" t="s">
        <v>244</v>
      </c>
      <c r="AI83">
        <v>0.97805642633228795</v>
      </c>
      <c r="AJ83" t="s">
        <v>234</v>
      </c>
      <c r="AK83">
        <v>0.91221374045801495</v>
      </c>
      <c r="AL83" t="s">
        <v>178</v>
      </c>
      <c r="AM83">
        <v>0.87669376693766898</v>
      </c>
      <c r="AN83" t="s">
        <v>172</v>
      </c>
      <c r="AO83">
        <v>1.0169014084507</v>
      </c>
      <c r="AP83" t="s">
        <v>178</v>
      </c>
      <c r="AQ83">
        <v>0.91089108910891003</v>
      </c>
      <c r="AR83" t="s">
        <v>222</v>
      </c>
      <c r="AS83">
        <v>0.96212121212121204</v>
      </c>
      <c r="AT83" t="s">
        <v>228</v>
      </c>
      <c r="AU83">
        <v>0.92944038929440298</v>
      </c>
      <c r="AV83" t="s">
        <v>230</v>
      </c>
      <c r="AW83">
        <v>1.1412803532008799</v>
      </c>
      <c r="AX83" t="s">
        <v>164</v>
      </c>
      <c r="AY83">
        <v>0.97724750277469397</v>
      </c>
      <c r="AZ83" t="s">
        <v>172</v>
      </c>
      <c r="BA83">
        <v>1.2968553459119401</v>
      </c>
      <c r="BB83" t="s">
        <v>178</v>
      </c>
      <c r="BC83">
        <v>0.90568862275449102</v>
      </c>
      <c r="BD83" t="s">
        <v>214</v>
      </c>
      <c r="BE83">
        <v>1.1793650793650701</v>
      </c>
      <c r="BF83" t="s">
        <v>231</v>
      </c>
      <c r="BG83">
        <v>1.0026041666666601</v>
      </c>
      <c r="BH83" t="s">
        <v>241</v>
      </c>
      <c r="BI83">
        <v>1.1791044776119399</v>
      </c>
      <c r="BJ83" t="s">
        <v>185</v>
      </c>
      <c r="BK83">
        <v>0.99193548387096697</v>
      </c>
      <c r="BL83" t="s">
        <v>174</v>
      </c>
      <c r="BM83">
        <v>1</v>
      </c>
      <c r="BN83" t="s">
        <v>189</v>
      </c>
      <c r="BO83">
        <v>1.09595959595959</v>
      </c>
      <c r="BP83" t="s">
        <v>241</v>
      </c>
      <c r="BQ83">
        <v>0.92236024844720499</v>
      </c>
      <c r="BR83" t="s">
        <v>241</v>
      </c>
      <c r="BS83">
        <v>1.13804713804713</v>
      </c>
      <c r="BT83" t="s">
        <v>178</v>
      </c>
      <c r="BU83">
        <v>1.1362725450901801</v>
      </c>
      <c r="BV83" t="s">
        <v>238</v>
      </c>
      <c r="BW83">
        <v>1.0825</v>
      </c>
    </row>
    <row r="84" spans="1:75" x14ac:dyDescent="0.4">
      <c r="A84">
        <v>82</v>
      </c>
      <c r="B84" t="s">
        <v>222</v>
      </c>
      <c r="C84">
        <v>0.86956521739130399</v>
      </c>
      <c r="D84" t="s">
        <v>174</v>
      </c>
      <c r="E84">
        <v>0.85357142857142798</v>
      </c>
      <c r="F84" t="s">
        <v>222</v>
      </c>
      <c r="G84">
        <v>0.52911392405063296</v>
      </c>
      <c r="H84" t="s">
        <v>170</v>
      </c>
      <c r="I84">
        <v>0.90039979141317505</v>
      </c>
      <c r="J84" t="s">
        <v>212</v>
      </c>
      <c r="K84">
        <v>1.67948717948717</v>
      </c>
      <c r="L84" t="s">
        <v>231</v>
      </c>
      <c r="M84">
        <v>0.99272197962154296</v>
      </c>
      <c r="N84" t="s">
        <v>221</v>
      </c>
      <c r="O84">
        <v>1.1499999999999999</v>
      </c>
      <c r="P84" t="s">
        <v>209</v>
      </c>
      <c r="Q84">
        <v>0.98191214470284205</v>
      </c>
      <c r="R84" t="s">
        <v>222</v>
      </c>
      <c r="S84">
        <v>0.58827838827838796</v>
      </c>
      <c r="T84" t="s">
        <v>228</v>
      </c>
      <c r="U84">
        <v>1.0828025477707</v>
      </c>
      <c r="V84" t="s">
        <v>246</v>
      </c>
      <c r="W84">
        <v>0.95769230769230695</v>
      </c>
      <c r="X84" t="s">
        <v>164</v>
      </c>
      <c r="Y84">
        <v>1.0043352601155999</v>
      </c>
      <c r="Z84" t="s">
        <v>246</v>
      </c>
      <c r="AA84">
        <v>0.87637969094922696</v>
      </c>
      <c r="AB84" t="s">
        <v>231</v>
      </c>
      <c r="AC84">
        <v>0.93905472636815901</v>
      </c>
      <c r="AD84" t="s">
        <v>178</v>
      </c>
      <c r="AE84">
        <v>0.92088998763906005</v>
      </c>
      <c r="AF84" t="s">
        <v>180</v>
      </c>
      <c r="AG84">
        <v>1.01326899879372</v>
      </c>
      <c r="AH84" t="s">
        <v>183</v>
      </c>
      <c r="AI84">
        <v>0.65707236842105199</v>
      </c>
      <c r="AJ84" t="s">
        <v>178</v>
      </c>
      <c r="AK84">
        <v>1.0193370165745801</v>
      </c>
      <c r="AL84" t="s">
        <v>244</v>
      </c>
      <c r="AM84">
        <v>1.7653061224489699</v>
      </c>
      <c r="AN84" t="s">
        <v>237</v>
      </c>
      <c r="AO84">
        <v>0.96088264794383105</v>
      </c>
      <c r="AP84" t="s">
        <v>246</v>
      </c>
      <c r="AQ84">
        <v>0.756845564074479</v>
      </c>
      <c r="AR84" t="s">
        <v>209</v>
      </c>
      <c r="AS84">
        <v>0.75835866261398099</v>
      </c>
      <c r="AT84" t="s">
        <v>172</v>
      </c>
      <c r="AU84">
        <v>1.1034482758620601</v>
      </c>
      <c r="AV84" t="s">
        <v>172</v>
      </c>
      <c r="AW84">
        <v>0.98958333333333304</v>
      </c>
      <c r="AX84" t="s">
        <v>228</v>
      </c>
      <c r="AY84">
        <v>1.0325</v>
      </c>
      <c r="AZ84" t="s">
        <v>237</v>
      </c>
      <c r="BA84">
        <v>0.874493927125506</v>
      </c>
      <c r="BB84" t="s">
        <v>185</v>
      </c>
      <c r="BC84">
        <v>0.903474903474903</v>
      </c>
      <c r="BD84" t="s">
        <v>223</v>
      </c>
      <c r="BE84">
        <v>1.4571746384872</v>
      </c>
      <c r="BF84" t="s">
        <v>178</v>
      </c>
      <c r="BG84">
        <v>0.91214953271027999</v>
      </c>
      <c r="BH84" t="s">
        <v>189</v>
      </c>
      <c r="BI84">
        <v>0.904709748083242</v>
      </c>
      <c r="BJ84" t="s">
        <v>238</v>
      </c>
      <c r="BK84">
        <v>0.934306569343065</v>
      </c>
      <c r="BL84" t="s">
        <v>178</v>
      </c>
      <c r="BM84">
        <v>1.17455621301775</v>
      </c>
      <c r="BN84" t="s">
        <v>247</v>
      </c>
      <c r="BO84">
        <v>0.88636363636363602</v>
      </c>
      <c r="BP84" t="s">
        <v>189</v>
      </c>
      <c r="BQ84">
        <v>1.0426267281105901</v>
      </c>
      <c r="BR84" t="s">
        <v>189</v>
      </c>
      <c r="BS84">
        <v>1.04972375690607</v>
      </c>
      <c r="BT84" t="s">
        <v>185</v>
      </c>
      <c r="BU84">
        <v>1.1801801801801799</v>
      </c>
      <c r="BV84" t="s">
        <v>241</v>
      </c>
      <c r="BW84">
        <v>0.98863636363636298</v>
      </c>
    </row>
    <row r="85" spans="1:75" x14ac:dyDescent="0.4">
      <c r="A85">
        <v>83</v>
      </c>
      <c r="B85" t="s">
        <v>225</v>
      </c>
      <c r="C85">
        <v>1.3666323377960801</v>
      </c>
      <c r="D85" t="s">
        <v>231</v>
      </c>
      <c r="E85">
        <v>0.82912032355915</v>
      </c>
      <c r="F85" t="s">
        <v>225</v>
      </c>
      <c r="G85">
        <v>0.83829650976625003</v>
      </c>
      <c r="H85" t="s">
        <v>172</v>
      </c>
      <c r="I85">
        <v>1.01204819277108</v>
      </c>
      <c r="J85" t="s">
        <v>222</v>
      </c>
      <c r="K85">
        <v>1.1900826446280901</v>
      </c>
      <c r="L85" t="s">
        <v>176</v>
      </c>
      <c r="M85">
        <v>1.21228070175438</v>
      </c>
      <c r="N85" t="s">
        <v>168</v>
      </c>
      <c r="O85">
        <v>1.1340206185567001</v>
      </c>
      <c r="P85" t="s">
        <v>164</v>
      </c>
      <c r="Q85">
        <v>0.98155573376102601</v>
      </c>
      <c r="R85" t="s">
        <v>225</v>
      </c>
      <c r="S85">
        <v>0.99159663865546199</v>
      </c>
      <c r="T85" t="s">
        <v>230</v>
      </c>
      <c r="U85">
        <v>1.4049382716049299</v>
      </c>
      <c r="V85" t="s">
        <v>183</v>
      </c>
      <c r="W85">
        <v>0.83105022831050201</v>
      </c>
      <c r="X85" t="s">
        <v>228</v>
      </c>
      <c r="Y85">
        <v>0.99154929577464701</v>
      </c>
      <c r="Z85" t="s">
        <v>244</v>
      </c>
      <c r="AA85">
        <v>0.99632352941176405</v>
      </c>
      <c r="AB85" t="s">
        <v>178</v>
      </c>
      <c r="AC85">
        <v>0.92457142857142804</v>
      </c>
      <c r="AD85" t="s">
        <v>180</v>
      </c>
      <c r="AE85">
        <v>0.99879518072289097</v>
      </c>
      <c r="AF85" t="s">
        <v>183</v>
      </c>
      <c r="AG85">
        <v>1.0150250417362201</v>
      </c>
      <c r="AH85" t="s">
        <v>185</v>
      </c>
      <c r="AI85">
        <v>0.76168224299065401</v>
      </c>
      <c r="AJ85" t="s">
        <v>244</v>
      </c>
      <c r="AK85">
        <v>0.94230769230769196</v>
      </c>
      <c r="AL85" t="s">
        <v>185</v>
      </c>
      <c r="AM85">
        <v>0.98039215686274495</v>
      </c>
      <c r="AN85" t="s">
        <v>234</v>
      </c>
      <c r="AO85">
        <v>0.92805755395683398</v>
      </c>
      <c r="AP85" t="s">
        <v>185</v>
      </c>
      <c r="AQ85">
        <v>1.08634772462077</v>
      </c>
      <c r="AR85" t="s">
        <v>164</v>
      </c>
      <c r="AS85">
        <v>0.86399999999999999</v>
      </c>
      <c r="AT85" t="s">
        <v>237</v>
      </c>
      <c r="AU85">
        <v>1.0049504950495001</v>
      </c>
      <c r="AV85" t="s">
        <v>237</v>
      </c>
      <c r="AW85">
        <v>0.94581280788177302</v>
      </c>
      <c r="AX85" t="s">
        <v>172</v>
      </c>
      <c r="AY85">
        <v>1.04605263157894</v>
      </c>
      <c r="AZ85" t="s">
        <v>178</v>
      </c>
      <c r="BA85">
        <v>1.15570934256055</v>
      </c>
      <c r="BB85" t="s">
        <v>238</v>
      </c>
      <c r="BC85">
        <v>0.98637911464245098</v>
      </c>
      <c r="BD85" t="s">
        <v>225</v>
      </c>
      <c r="BE85">
        <v>1.0509708737864001</v>
      </c>
      <c r="BF85" t="s">
        <v>185</v>
      </c>
      <c r="BG85">
        <v>1.2329317269076301</v>
      </c>
      <c r="BH85" t="s">
        <v>243</v>
      </c>
      <c r="BI85">
        <v>1.0350194552529099</v>
      </c>
      <c r="BJ85" t="s">
        <v>241</v>
      </c>
      <c r="BK85">
        <v>0.95253164556962</v>
      </c>
      <c r="BL85" t="s">
        <v>185</v>
      </c>
      <c r="BM85">
        <v>0.93902439024390205</v>
      </c>
      <c r="BN85" t="s">
        <v>249</v>
      </c>
      <c r="BO85">
        <v>1.13664596273291</v>
      </c>
      <c r="BP85" t="s">
        <v>247</v>
      </c>
      <c r="BQ85">
        <v>1.07371794871794</v>
      </c>
      <c r="BR85" t="s">
        <v>247</v>
      </c>
      <c r="BS85">
        <v>1.11343283582089</v>
      </c>
      <c r="BT85" t="s">
        <v>238</v>
      </c>
      <c r="BU85">
        <v>0.98400984009840098</v>
      </c>
      <c r="BV85" t="s">
        <v>189</v>
      </c>
      <c r="BW85">
        <v>1.06488156539649</v>
      </c>
    </row>
    <row r="86" spans="1:75" x14ac:dyDescent="0.4">
      <c r="A86">
        <v>84</v>
      </c>
      <c r="B86" t="s">
        <v>228</v>
      </c>
      <c r="C86">
        <v>1.4568690095846599</v>
      </c>
      <c r="D86" t="s">
        <v>176</v>
      </c>
      <c r="E86">
        <v>0.84210526315789402</v>
      </c>
      <c r="F86" t="s">
        <v>228</v>
      </c>
      <c r="G86">
        <v>0.588607594936708</v>
      </c>
      <c r="H86" t="s">
        <v>174</v>
      </c>
      <c r="I86">
        <v>1.17349397590361</v>
      </c>
      <c r="J86" t="s">
        <v>225</v>
      </c>
      <c r="K86">
        <v>1.3593851282526099</v>
      </c>
      <c r="L86" t="s">
        <v>252</v>
      </c>
      <c r="M86">
        <v>0.88698630136986301</v>
      </c>
      <c r="N86" t="s">
        <v>170</v>
      </c>
      <c r="O86">
        <v>1.13333333333333</v>
      </c>
      <c r="P86" t="s">
        <v>228</v>
      </c>
      <c r="Q86">
        <v>1.05</v>
      </c>
      <c r="R86" t="s">
        <v>209</v>
      </c>
      <c r="S86">
        <v>0.53157894736842104</v>
      </c>
      <c r="T86" t="s">
        <v>167</v>
      </c>
      <c r="U86">
        <v>1.1005208333333301</v>
      </c>
      <c r="V86" t="s">
        <v>185</v>
      </c>
      <c r="W86">
        <v>0.96296296296296202</v>
      </c>
      <c r="X86" t="s">
        <v>167</v>
      </c>
      <c r="Y86">
        <v>1.01354464203446</v>
      </c>
      <c r="Z86" t="s">
        <v>183</v>
      </c>
      <c r="AA86">
        <v>0.77127659574467999</v>
      </c>
      <c r="AB86" t="s">
        <v>180</v>
      </c>
      <c r="AC86">
        <v>1.0506329113924</v>
      </c>
      <c r="AD86" t="s">
        <v>244</v>
      </c>
      <c r="AE86">
        <v>0.84942084942084894</v>
      </c>
      <c r="AF86" t="s">
        <v>185</v>
      </c>
      <c r="AG86">
        <v>1.1955307262569801</v>
      </c>
      <c r="AH86" t="s">
        <v>238</v>
      </c>
      <c r="AI86">
        <v>1.0269360269360199</v>
      </c>
      <c r="AJ86" t="s">
        <v>185</v>
      </c>
      <c r="AK86">
        <v>1.0638036809815901</v>
      </c>
      <c r="AL86" t="s">
        <v>189</v>
      </c>
      <c r="AM86">
        <v>1.05829596412556</v>
      </c>
      <c r="AN86" t="s">
        <v>178</v>
      </c>
      <c r="AO86">
        <v>1.0927357032457401</v>
      </c>
      <c r="AP86" t="s">
        <v>238</v>
      </c>
      <c r="AQ86">
        <v>1.1677852348993201</v>
      </c>
      <c r="AR86" t="s">
        <v>228</v>
      </c>
      <c r="AS86">
        <v>0.812252964426877</v>
      </c>
      <c r="AT86" t="s">
        <v>234</v>
      </c>
      <c r="AU86">
        <v>0.810590631364562</v>
      </c>
      <c r="AV86" t="s">
        <v>234</v>
      </c>
      <c r="AW86">
        <v>0.98743718592964802</v>
      </c>
      <c r="AX86" t="s">
        <v>237</v>
      </c>
      <c r="AY86">
        <v>1.2864583333333299</v>
      </c>
      <c r="AZ86" t="s">
        <v>185</v>
      </c>
      <c r="BA86">
        <v>1.12121212121212</v>
      </c>
      <c r="BB86" t="s">
        <v>241</v>
      </c>
      <c r="BC86">
        <v>1.0170940170940099</v>
      </c>
      <c r="BD86" t="s">
        <v>209</v>
      </c>
      <c r="BE86">
        <v>1.59574468085106</v>
      </c>
      <c r="BF86" t="s">
        <v>238</v>
      </c>
      <c r="BG86">
        <v>1.0135593220338901</v>
      </c>
      <c r="BH86" t="s">
        <v>247</v>
      </c>
      <c r="BI86">
        <v>0.80989583333333304</v>
      </c>
      <c r="BJ86" t="s">
        <v>189</v>
      </c>
      <c r="BK86">
        <v>0.97457627118643997</v>
      </c>
      <c r="BL86" t="s">
        <v>238</v>
      </c>
      <c r="BM86">
        <v>0.97916666666666596</v>
      </c>
      <c r="BN86" t="s">
        <v>251</v>
      </c>
      <c r="BO86">
        <v>0.92842535787321001</v>
      </c>
      <c r="BP86" t="s">
        <v>249</v>
      </c>
      <c r="BQ86">
        <v>1.1284153005464399</v>
      </c>
      <c r="BR86" t="s">
        <v>251</v>
      </c>
      <c r="BS86">
        <v>0.97326732673267302</v>
      </c>
      <c r="BT86" t="s">
        <v>241</v>
      </c>
      <c r="BU86">
        <v>1.0414201183431899</v>
      </c>
      <c r="BV86" t="s">
        <v>247</v>
      </c>
      <c r="BW86">
        <v>0.83669354838709598</v>
      </c>
    </row>
    <row r="87" spans="1:75" x14ac:dyDescent="0.4">
      <c r="A87">
        <v>85</v>
      </c>
      <c r="B87" t="s">
        <v>221</v>
      </c>
      <c r="C87">
        <v>1.0735294117647001</v>
      </c>
      <c r="D87" t="s">
        <v>185</v>
      </c>
      <c r="E87">
        <v>0.92592592592592504</v>
      </c>
      <c r="F87" t="s">
        <v>230</v>
      </c>
      <c r="G87">
        <v>0.67415730337078605</v>
      </c>
      <c r="H87" t="s">
        <v>176</v>
      </c>
      <c r="I87">
        <v>1.0677361853832401</v>
      </c>
      <c r="J87" t="s">
        <v>164</v>
      </c>
      <c r="K87">
        <v>1.00804020100502</v>
      </c>
      <c r="L87" t="s">
        <v>178</v>
      </c>
      <c r="M87">
        <v>1.0988095238095199</v>
      </c>
      <c r="N87" t="s">
        <v>172</v>
      </c>
      <c r="O87">
        <v>1.0855263157894699</v>
      </c>
      <c r="P87" t="s">
        <v>230</v>
      </c>
      <c r="Q87">
        <v>1.0404172099087301</v>
      </c>
      <c r="R87" t="s">
        <v>164</v>
      </c>
      <c r="S87">
        <v>1.0253267973856199</v>
      </c>
      <c r="T87" t="s">
        <v>168</v>
      </c>
      <c r="U87">
        <v>0.98586572438162501</v>
      </c>
      <c r="V87" t="s">
        <v>238</v>
      </c>
      <c r="W87">
        <v>1.1448692152917499</v>
      </c>
      <c r="X87" t="s">
        <v>168</v>
      </c>
      <c r="Y87">
        <v>1.0553633217992999</v>
      </c>
      <c r="Z87" t="s">
        <v>185</v>
      </c>
      <c r="AA87">
        <v>1.1512195121951201</v>
      </c>
      <c r="AB87" t="s">
        <v>244</v>
      </c>
      <c r="AC87">
        <v>0.955719557195572</v>
      </c>
      <c r="AD87" t="s">
        <v>183</v>
      </c>
      <c r="AE87">
        <v>0.86685962373371905</v>
      </c>
      <c r="AF87" t="s">
        <v>238</v>
      </c>
      <c r="AG87">
        <v>0.74529485570890797</v>
      </c>
      <c r="AH87" t="s">
        <v>189</v>
      </c>
      <c r="AI87">
        <v>0.76923076923076905</v>
      </c>
      <c r="AJ87" t="s">
        <v>238</v>
      </c>
      <c r="AK87">
        <v>1.10163934426229</v>
      </c>
      <c r="AL87" t="s">
        <v>251</v>
      </c>
      <c r="AM87">
        <v>0.95945945945945899</v>
      </c>
      <c r="AN87" t="s">
        <v>246</v>
      </c>
      <c r="AO87">
        <v>0.89509803921568598</v>
      </c>
      <c r="AP87" t="s">
        <v>189</v>
      </c>
      <c r="AQ87">
        <v>1.0872340425531899</v>
      </c>
      <c r="AR87" t="s">
        <v>172</v>
      </c>
      <c r="AS87">
        <v>0.92185430463576101</v>
      </c>
      <c r="AT87" t="s">
        <v>178</v>
      </c>
      <c r="AU87">
        <v>1.0155038759689901</v>
      </c>
      <c r="AV87" t="s">
        <v>178</v>
      </c>
      <c r="AW87">
        <v>0.86717557251908395</v>
      </c>
      <c r="AX87" t="s">
        <v>234</v>
      </c>
      <c r="AY87">
        <v>0.853689567430025</v>
      </c>
      <c r="AZ87" t="s">
        <v>238</v>
      </c>
      <c r="BA87">
        <v>1.0438388625592401</v>
      </c>
      <c r="BB87" t="s">
        <v>189</v>
      </c>
      <c r="BC87">
        <v>0.91754756871035903</v>
      </c>
      <c r="BD87" t="s">
        <v>228</v>
      </c>
      <c r="BE87">
        <v>1.04419889502762</v>
      </c>
      <c r="BF87" t="s">
        <v>255</v>
      </c>
      <c r="BG87">
        <v>2.75714285714285</v>
      </c>
      <c r="BH87" t="s">
        <v>249</v>
      </c>
      <c r="BI87">
        <v>0.92811839323467205</v>
      </c>
      <c r="BJ87" t="s">
        <v>243</v>
      </c>
      <c r="BK87">
        <v>1.1672932330826999</v>
      </c>
      <c r="BL87" t="s">
        <v>241</v>
      </c>
      <c r="BM87">
        <v>0.87375415282391999</v>
      </c>
      <c r="BN87" t="s">
        <v>256</v>
      </c>
      <c r="BO87">
        <v>0.86738351254480195</v>
      </c>
      <c r="BP87" t="s">
        <v>251</v>
      </c>
      <c r="BQ87">
        <v>1.11233480176211</v>
      </c>
      <c r="BR87" t="s">
        <v>256</v>
      </c>
      <c r="BS87">
        <v>0.95030303030302998</v>
      </c>
      <c r="BT87" t="s">
        <v>189</v>
      </c>
      <c r="BU87">
        <v>1.02210526315789</v>
      </c>
      <c r="BV87" t="s">
        <v>251</v>
      </c>
      <c r="BW87">
        <v>1.2198275862068899</v>
      </c>
    </row>
    <row r="88" spans="1:75" x14ac:dyDescent="0.4">
      <c r="A88">
        <v>86</v>
      </c>
      <c r="B88" t="s">
        <v>168</v>
      </c>
      <c r="C88">
        <v>1.16923076923076</v>
      </c>
      <c r="D88" t="s">
        <v>259</v>
      </c>
      <c r="E88">
        <v>0.66328235445315498</v>
      </c>
      <c r="F88" t="s">
        <v>221</v>
      </c>
      <c r="G88">
        <v>1.09739368998628</v>
      </c>
      <c r="H88" t="s">
        <v>252</v>
      </c>
      <c r="I88">
        <v>0.64583333333333304</v>
      </c>
      <c r="J88" t="s">
        <v>228</v>
      </c>
      <c r="K88">
        <v>1.27272727272727</v>
      </c>
      <c r="L88" t="s">
        <v>183</v>
      </c>
      <c r="M88">
        <v>0.95524338758662097</v>
      </c>
      <c r="N88" t="s">
        <v>231</v>
      </c>
      <c r="O88">
        <v>0.89149560117301996</v>
      </c>
      <c r="P88" t="s">
        <v>170</v>
      </c>
      <c r="Q88">
        <v>0.91372549019607796</v>
      </c>
      <c r="R88" t="s">
        <v>228</v>
      </c>
      <c r="S88">
        <v>0.99682539682539595</v>
      </c>
      <c r="T88" t="s">
        <v>170</v>
      </c>
      <c r="U88">
        <v>1.17511520737327</v>
      </c>
      <c r="V88" t="s">
        <v>189</v>
      </c>
      <c r="W88">
        <v>1.4489112227805601</v>
      </c>
      <c r="X88" t="s">
        <v>170</v>
      </c>
      <c r="Y88">
        <v>0.98905109489051002</v>
      </c>
      <c r="Z88" t="s">
        <v>238</v>
      </c>
      <c r="AA88">
        <v>1.26460481099656</v>
      </c>
      <c r="AB88" t="s">
        <v>183</v>
      </c>
      <c r="AC88">
        <v>1.19137931034482</v>
      </c>
      <c r="AD88" t="s">
        <v>185</v>
      </c>
      <c r="AE88">
        <v>0.95212765957446799</v>
      </c>
      <c r="AF88" t="s">
        <v>259</v>
      </c>
      <c r="AG88">
        <v>1.24709348622392</v>
      </c>
      <c r="AH88" t="s">
        <v>251</v>
      </c>
      <c r="AI88">
        <v>0.75444839857651202</v>
      </c>
      <c r="AJ88" t="s">
        <v>189</v>
      </c>
      <c r="AK88">
        <v>1.0619047619047599</v>
      </c>
      <c r="AL88" t="s">
        <v>254</v>
      </c>
      <c r="AM88">
        <v>0.84080717488789203</v>
      </c>
      <c r="AN88" t="s">
        <v>185</v>
      </c>
      <c r="AO88">
        <v>1.00823529411764</v>
      </c>
      <c r="AP88" t="s">
        <v>251</v>
      </c>
      <c r="AQ88">
        <v>0.98039215686274495</v>
      </c>
      <c r="AR88" t="s">
        <v>237</v>
      </c>
      <c r="AS88">
        <v>0.834710743801652</v>
      </c>
      <c r="AT88" t="s">
        <v>185</v>
      </c>
      <c r="AU88">
        <v>1.07683615819209</v>
      </c>
      <c r="AV88" t="s">
        <v>185</v>
      </c>
      <c r="AW88">
        <v>1.0807974816369299</v>
      </c>
      <c r="AX88" t="s">
        <v>178</v>
      </c>
      <c r="AY88">
        <v>1.0176056338028101</v>
      </c>
      <c r="AZ88" t="s">
        <v>189</v>
      </c>
      <c r="BA88">
        <v>1.4119402985074601</v>
      </c>
      <c r="BB88" t="s">
        <v>247</v>
      </c>
      <c r="BC88">
        <v>0.88</v>
      </c>
      <c r="BD88" t="s">
        <v>174</v>
      </c>
      <c r="BE88">
        <v>0.89664804469273696</v>
      </c>
      <c r="BF88" t="s">
        <v>241</v>
      </c>
      <c r="BG88">
        <v>1.0894308943089399</v>
      </c>
      <c r="BH88" t="s">
        <v>251</v>
      </c>
      <c r="BI88">
        <v>0.76156862745097997</v>
      </c>
      <c r="BJ88" t="s">
        <v>247</v>
      </c>
      <c r="BK88">
        <v>1.1414790996784501</v>
      </c>
      <c r="BL88" t="s">
        <v>189</v>
      </c>
      <c r="BM88">
        <v>0.98385093167701798</v>
      </c>
      <c r="BN88" t="s">
        <v>194</v>
      </c>
      <c r="BO88">
        <v>1.3556085918854399</v>
      </c>
      <c r="BP88" t="s">
        <v>256</v>
      </c>
      <c r="BQ88">
        <v>1.13636363636363</v>
      </c>
      <c r="BR88" t="s">
        <v>195</v>
      </c>
      <c r="BS88">
        <v>0.82260869565217298</v>
      </c>
      <c r="BT88" t="s">
        <v>247</v>
      </c>
      <c r="BU88">
        <v>1.3297587131367199</v>
      </c>
      <c r="BV88" t="s">
        <v>196</v>
      </c>
      <c r="BW88">
        <v>1.5797872340425501</v>
      </c>
    </row>
    <row r="89" spans="1:75" x14ac:dyDescent="0.4">
      <c r="A89">
        <v>87</v>
      </c>
      <c r="B89" t="s">
        <v>170</v>
      </c>
      <c r="C89">
        <v>1.18646189800517</v>
      </c>
      <c r="D89" t="s">
        <v>241</v>
      </c>
      <c r="E89">
        <v>0.90217391304347805</v>
      </c>
      <c r="F89" t="s">
        <v>168</v>
      </c>
      <c r="G89">
        <v>0.57201646090534897</v>
      </c>
      <c r="H89" t="s">
        <v>178</v>
      </c>
      <c r="I89">
        <v>0.92647058823529405</v>
      </c>
      <c r="J89" t="s">
        <v>230</v>
      </c>
      <c r="K89">
        <v>1.7208237986270001</v>
      </c>
      <c r="L89" t="s">
        <v>185</v>
      </c>
      <c r="M89">
        <v>0.952380952380952</v>
      </c>
      <c r="N89" t="s">
        <v>176</v>
      </c>
      <c r="O89">
        <v>1.1808972503617901</v>
      </c>
      <c r="P89" t="s">
        <v>172</v>
      </c>
      <c r="Q89">
        <v>0.98303030303030303</v>
      </c>
      <c r="R89" t="s">
        <v>230</v>
      </c>
      <c r="S89">
        <v>1.0150375939849601</v>
      </c>
      <c r="T89" t="s">
        <v>172</v>
      </c>
      <c r="U89">
        <v>0.94663278271918605</v>
      </c>
      <c r="V89" t="s">
        <v>247</v>
      </c>
      <c r="W89">
        <v>1.4439461883408</v>
      </c>
      <c r="X89" t="s">
        <v>172</v>
      </c>
      <c r="Y89">
        <v>1.1112454655380799</v>
      </c>
      <c r="Z89" t="s">
        <v>189</v>
      </c>
      <c r="AA89">
        <v>0.84408602150537604</v>
      </c>
      <c r="AB89" t="s">
        <v>185</v>
      </c>
      <c r="AC89">
        <v>0.79661016949152497</v>
      </c>
      <c r="AD89" t="s">
        <v>238</v>
      </c>
      <c r="AE89">
        <v>1.1225352112675999</v>
      </c>
      <c r="AF89" t="s">
        <v>189</v>
      </c>
      <c r="AG89">
        <v>1.07692307692307</v>
      </c>
      <c r="AH89" t="s">
        <v>254</v>
      </c>
      <c r="AI89">
        <v>0.82468694096601003</v>
      </c>
      <c r="AJ89" t="s">
        <v>251</v>
      </c>
      <c r="AK89">
        <v>1.0471698113207499</v>
      </c>
      <c r="AL89" t="s">
        <v>261</v>
      </c>
      <c r="AM89">
        <v>0.92580287929125105</v>
      </c>
      <c r="AN89" t="s">
        <v>189</v>
      </c>
      <c r="AO89">
        <v>0.99576271186440601</v>
      </c>
      <c r="AP89" t="s">
        <v>254</v>
      </c>
      <c r="AQ89">
        <v>1.0361111111111101</v>
      </c>
      <c r="AR89" t="s">
        <v>178</v>
      </c>
      <c r="AS89">
        <v>1.0015527950310501</v>
      </c>
      <c r="AT89" t="s">
        <v>238</v>
      </c>
      <c r="AU89">
        <v>0.95749704840613903</v>
      </c>
      <c r="AV89" t="s">
        <v>238</v>
      </c>
      <c r="AW89">
        <v>0.96177558569666999</v>
      </c>
      <c r="AX89" t="s">
        <v>185</v>
      </c>
      <c r="AY89">
        <v>1.1213592233009699</v>
      </c>
      <c r="AZ89" t="s">
        <v>247</v>
      </c>
      <c r="BA89">
        <v>1.02564102564102</v>
      </c>
      <c r="BB89" t="s">
        <v>251</v>
      </c>
      <c r="BC89">
        <v>1.0042194092826999</v>
      </c>
      <c r="BD89" t="s">
        <v>231</v>
      </c>
      <c r="BE89">
        <v>0.85238623751387299</v>
      </c>
      <c r="BF89" t="s">
        <v>189</v>
      </c>
      <c r="BG89">
        <v>1.1000000000000001</v>
      </c>
      <c r="BH89" t="s">
        <v>256</v>
      </c>
      <c r="BI89">
        <v>0.93303571428571397</v>
      </c>
      <c r="BJ89" t="s">
        <v>251</v>
      </c>
      <c r="BK89">
        <v>1.0556127703398499</v>
      </c>
      <c r="BL89" t="s">
        <v>247</v>
      </c>
      <c r="BM89">
        <v>0.99154929577464701</v>
      </c>
      <c r="BN89" t="s">
        <v>195</v>
      </c>
      <c r="BO89">
        <v>1.17928286852589</v>
      </c>
      <c r="BP89" t="s">
        <v>195</v>
      </c>
      <c r="BQ89">
        <v>0.97128378378378299</v>
      </c>
      <c r="BR89" t="s">
        <v>262</v>
      </c>
      <c r="BS89">
        <v>1.02272727272727</v>
      </c>
      <c r="BT89" t="s">
        <v>251</v>
      </c>
      <c r="BU89">
        <v>1.1800610376398699</v>
      </c>
      <c r="BV89" t="s">
        <v>256</v>
      </c>
      <c r="BW89">
        <v>1.08839779005524</v>
      </c>
    </row>
    <row r="90" spans="1:75" x14ac:dyDescent="0.4">
      <c r="A90">
        <v>88</v>
      </c>
      <c r="B90" t="s">
        <v>172</v>
      </c>
      <c r="C90">
        <v>1.0246305418719199</v>
      </c>
      <c r="D90" t="s">
        <v>189</v>
      </c>
      <c r="E90">
        <v>0.63220005619555997</v>
      </c>
      <c r="F90" t="s">
        <v>170</v>
      </c>
      <c r="G90">
        <v>0.49594827586206802</v>
      </c>
      <c r="H90" t="s">
        <v>183</v>
      </c>
      <c r="I90">
        <v>0.96000488937782602</v>
      </c>
      <c r="J90" t="s">
        <v>221</v>
      </c>
      <c r="K90">
        <v>1.24376731301939</v>
      </c>
      <c r="L90" t="s">
        <v>189</v>
      </c>
      <c r="M90">
        <v>1.0105263157894699</v>
      </c>
      <c r="N90" t="s">
        <v>246</v>
      </c>
      <c r="O90">
        <v>0.88315217391304301</v>
      </c>
      <c r="P90" t="s">
        <v>174</v>
      </c>
      <c r="Q90">
        <v>1.16161616161616</v>
      </c>
      <c r="R90" t="s">
        <v>170</v>
      </c>
      <c r="S90">
        <v>0.93133047210300401</v>
      </c>
      <c r="T90" t="s">
        <v>231</v>
      </c>
      <c r="U90">
        <v>0.94424242424242399</v>
      </c>
      <c r="V90" t="s">
        <v>249</v>
      </c>
      <c r="W90">
        <v>0.65211330993927696</v>
      </c>
      <c r="X90" t="s">
        <v>231</v>
      </c>
      <c r="Y90">
        <v>0.90909090909090895</v>
      </c>
      <c r="Z90" t="s">
        <v>254</v>
      </c>
      <c r="AA90">
        <v>1.6059701492537299</v>
      </c>
      <c r="AB90" t="s">
        <v>238</v>
      </c>
      <c r="AC90">
        <v>0.96467391304347805</v>
      </c>
      <c r="AD90" t="s">
        <v>259</v>
      </c>
      <c r="AE90">
        <v>0.89476309226932604</v>
      </c>
      <c r="AF90" t="s">
        <v>251</v>
      </c>
      <c r="AG90">
        <v>1.4120603015075299</v>
      </c>
      <c r="AH90" t="s">
        <v>256</v>
      </c>
      <c r="AI90">
        <v>0.96385542168674698</v>
      </c>
      <c r="AJ90" t="s">
        <v>254</v>
      </c>
      <c r="AK90">
        <v>0.96746203904555295</v>
      </c>
      <c r="AL90" t="s">
        <v>195</v>
      </c>
      <c r="AM90">
        <v>0.760683365683827</v>
      </c>
      <c r="AN90" t="s">
        <v>251</v>
      </c>
      <c r="AO90">
        <v>1.1971830985915399</v>
      </c>
      <c r="AP90" t="s">
        <v>196</v>
      </c>
      <c r="AQ90">
        <v>1.0188758850937301</v>
      </c>
      <c r="AR90" t="s">
        <v>185</v>
      </c>
      <c r="AS90">
        <v>0.95059076262083697</v>
      </c>
      <c r="AT90" t="s">
        <v>189</v>
      </c>
      <c r="AU90">
        <v>1.05555555555555</v>
      </c>
      <c r="AV90" t="s">
        <v>189</v>
      </c>
      <c r="AW90">
        <v>1.09122807017543</v>
      </c>
      <c r="AX90" t="s">
        <v>238</v>
      </c>
      <c r="AY90">
        <v>1.08205128205128</v>
      </c>
      <c r="AZ90" t="s">
        <v>251</v>
      </c>
      <c r="BA90">
        <v>1.3747099767981401</v>
      </c>
      <c r="BB90" t="s">
        <v>254</v>
      </c>
      <c r="BC90">
        <v>0.81274900398406302</v>
      </c>
      <c r="BD90" t="s">
        <v>178</v>
      </c>
      <c r="BE90">
        <v>0.88429752066115697</v>
      </c>
      <c r="BF90" t="s">
        <v>247</v>
      </c>
      <c r="BG90">
        <v>1.0696378830083499</v>
      </c>
      <c r="BH90" t="s">
        <v>194</v>
      </c>
      <c r="BI90">
        <v>0.63248730964467004</v>
      </c>
      <c r="BJ90" t="s">
        <v>256</v>
      </c>
      <c r="BK90">
        <v>0.98564593301435399</v>
      </c>
      <c r="BL90" t="s">
        <v>249</v>
      </c>
      <c r="BM90">
        <v>0.94152046783625698</v>
      </c>
      <c r="BN90" t="s">
        <v>262</v>
      </c>
      <c r="BO90">
        <v>0.95221843003412898</v>
      </c>
      <c r="BP90" t="s">
        <v>262</v>
      </c>
      <c r="BQ90">
        <v>0.94623655913978499</v>
      </c>
      <c r="BR90" t="s">
        <v>197</v>
      </c>
      <c r="BS90">
        <v>0.79913419913419903</v>
      </c>
      <c r="BT90" t="s">
        <v>254</v>
      </c>
      <c r="BU90">
        <v>1.25806451612903</v>
      </c>
      <c r="BV90" t="s">
        <v>262</v>
      </c>
      <c r="BW90">
        <v>0.94982078853046503</v>
      </c>
    </row>
    <row r="91" spans="1:75" x14ac:dyDescent="0.4">
      <c r="A91">
        <v>89</v>
      </c>
      <c r="B91" t="s">
        <v>174</v>
      </c>
      <c r="C91">
        <v>1.2574850299401099</v>
      </c>
      <c r="D91" t="s">
        <v>247</v>
      </c>
      <c r="E91">
        <v>0.79479768786127103</v>
      </c>
      <c r="F91" t="s">
        <v>172</v>
      </c>
      <c r="G91">
        <v>0.76615384615384596</v>
      </c>
      <c r="H91" t="s">
        <v>185</v>
      </c>
      <c r="I91">
        <v>1.1773399014778301</v>
      </c>
      <c r="J91" t="s">
        <v>168</v>
      </c>
      <c r="K91">
        <v>1.7208904109589001</v>
      </c>
      <c r="L91" t="s">
        <v>247</v>
      </c>
      <c r="M91">
        <v>1.6588235294117599</v>
      </c>
      <c r="N91" t="s">
        <v>183</v>
      </c>
      <c r="O91">
        <v>1.083460474639</v>
      </c>
      <c r="P91" t="s">
        <v>176</v>
      </c>
      <c r="Q91">
        <v>0.91911764705882304</v>
      </c>
      <c r="R91" t="s">
        <v>172</v>
      </c>
      <c r="S91">
        <v>0.97040690505548699</v>
      </c>
      <c r="T91" t="s">
        <v>176</v>
      </c>
      <c r="U91">
        <v>1.2328767123287601</v>
      </c>
      <c r="V91" t="s">
        <v>251</v>
      </c>
      <c r="W91">
        <v>1.09121742234916</v>
      </c>
      <c r="X91" t="s">
        <v>176</v>
      </c>
      <c r="Y91">
        <v>0.93162393162393098</v>
      </c>
      <c r="Z91" t="s">
        <v>196</v>
      </c>
      <c r="AA91">
        <v>0.916904761904761</v>
      </c>
      <c r="AB91" t="s">
        <v>259</v>
      </c>
      <c r="AC91">
        <v>1.1309427880741301</v>
      </c>
      <c r="AD91" t="s">
        <v>189</v>
      </c>
      <c r="AE91">
        <v>0.82038834951456296</v>
      </c>
      <c r="AF91" t="s">
        <v>254</v>
      </c>
      <c r="AG91">
        <v>1.01821493624772</v>
      </c>
      <c r="AH91" t="s">
        <v>261</v>
      </c>
      <c r="AI91">
        <v>0.86666666666666603</v>
      </c>
      <c r="AJ91" t="s">
        <v>192</v>
      </c>
      <c r="AK91">
        <v>1.17342458166857</v>
      </c>
      <c r="AL91" t="s">
        <v>262</v>
      </c>
      <c r="AM91">
        <v>0.96739130434782605</v>
      </c>
      <c r="AN91" t="s">
        <v>254</v>
      </c>
      <c r="AO91">
        <v>0.96</v>
      </c>
      <c r="AP91" t="s">
        <v>192</v>
      </c>
      <c r="AQ91">
        <v>0.75305899424926903</v>
      </c>
      <c r="AR91" t="s">
        <v>238</v>
      </c>
      <c r="AS91">
        <v>0.97356321839080395</v>
      </c>
      <c r="AT91" t="s">
        <v>247</v>
      </c>
      <c r="AU91">
        <v>1.0562499999999999</v>
      </c>
      <c r="AV91" t="s">
        <v>247</v>
      </c>
      <c r="AW91">
        <v>0.98224852071005897</v>
      </c>
      <c r="AX91" t="s">
        <v>189</v>
      </c>
      <c r="AY91">
        <v>1.0771704180064301</v>
      </c>
      <c r="AZ91" t="s">
        <v>254</v>
      </c>
      <c r="BA91">
        <v>0.94007490636704105</v>
      </c>
      <c r="BB91" t="s">
        <v>256</v>
      </c>
      <c r="BC91">
        <v>0.94437577255871397</v>
      </c>
      <c r="BD91" t="s">
        <v>185</v>
      </c>
      <c r="BE91">
        <v>1.0641025641025601</v>
      </c>
      <c r="BF91" t="s">
        <v>251</v>
      </c>
      <c r="BG91">
        <v>1.0365853658536499</v>
      </c>
      <c r="BH91" t="s">
        <v>195</v>
      </c>
      <c r="BI91">
        <v>0.90018484288354805</v>
      </c>
      <c r="BJ91" t="s">
        <v>194</v>
      </c>
      <c r="BK91">
        <v>1.1781701444622701</v>
      </c>
      <c r="BL91" t="s">
        <v>251</v>
      </c>
      <c r="BM91">
        <v>0.95414634146341404</v>
      </c>
      <c r="BN91" t="s">
        <v>265</v>
      </c>
      <c r="BO91">
        <v>1.4235500878734599</v>
      </c>
      <c r="BP91" t="s">
        <v>265</v>
      </c>
      <c r="BQ91">
        <v>1.30123456790123</v>
      </c>
      <c r="BR91" t="s">
        <v>266</v>
      </c>
      <c r="BS91">
        <v>1.14578005115089</v>
      </c>
      <c r="BT91" t="s">
        <v>256</v>
      </c>
      <c r="BU91">
        <v>0.92346938775510201</v>
      </c>
      <c r="BV91" t="s">
        <v>267</v>
      </c>
      <c r="BW91">
        <v>1.04330708661417</v>
      </c>
    </row>
    <row r="92" spans="1:75" x14ac:dyDescent="0.4">
      <c r="A92">
        <v>90</v>
      </c>
      <c r="B92" t="s">
        <v>231</v>
      </c>
      <c r="C92">
        <v>0.88303571428571404</v>
      </c>
      <c r="D92" t="s">
        <v>249</v>
      </c>
      <c r="E92">
        <v>0.86764706193771601</v>
      </c>
      <c r="F92" t="s">
        <v>174</v>
      </c>
      <c r="G92">
        <v>0.57880055788005502</v>
      </c>
      <c r="H92" t="s">
        <v>259</v>
      </c>
      <c r="I92">
        <v>0.62563775510204001</v>
      </c>
      <c r="J92" t="s">
        <v>170</v>
      </c>
      <c r="K92">
        <v>1.49806949806949</v>
      </c>
      <c r="L92" t="s">
        <v>249</v>
      </c>
      <c r="M92">
        <v>0.71621628721694497</v>
      </c>
      <c r="N92" t="s">
        <v>185</v>
      </c>
      <c r="O92">
        <v>0.83750000000000002</v>
      </c>
      <c r="P92" t="s">
        <v>246</v>
      </c>
      <c r="Q92">
        <v>0.89230769230769202</v>
      </c>
      <c r="R92" t="s">
        <v>231</v>
      </c>
      <c r="S92">
        <v>1.2711864406779601</v>
      </c>
      <c r="T92" t="s">
        <v>246</v>
      </c>
      <c r="U92">
        <v>1.1016949152542299</v>
      </c>
      <c r="V92" t="s">
        <v>254</v>
      </c>
      <c r="W92">
        <v>1.1911357340720199</v>
      </c>
      <c r="X92" t="s">
        <v>246</v>
      </c>
      <c r="Y92">
        <v>0.72771084337349401</v>
      </c>
      <c r="Z92" t="s">
        <v>271</v>
      </c>
      <c r="AA92">
        <v>1.22085889570552</v>
      </c>
      <c r="AB92" t="s">
        <v>189</v>
      </c>
      <c r="AC92">
        <v>0.984076433121019</v>
      </c>
      <c r="AD92" t="s">
        <v>251</v>
      </c>
      <c r="AE92">
        <v>0.69497799818397699</v>
      </c>
      <c r="AF92" t="s">
        <v>196</v>
      </c>
      <c r="AG92">
        <v>1.03950325825073</v>
      </c>
      <c r="AH92" t="s">
        <v>262</v>
      </c>
      <c r="AI92">
        <v>0.873417721518987</v>
      </c>
      <c r="AJ92" t="s">
        <v>256</v>
      </c>
      <c r="AK92">
        <v>0.93958333333333299</v>
      </c>
      <c r="AL92" t="s">
        <v>265</v>
      </c>
      <c r="AM92">
        <v>0.75850340136054395</v>
      </c>
      <c r="AN92" t="s">
        <v>192</v>
      </c>
      <c r="AO92">
        <v>0.95820029525869399</v>
      </c>
      <c r="AP92" t="s">
        <v>256</v>
      </c>
      <c r="AQ92">
        <v>1.0274509803921501</v>
      </c>
      <c r="AR92" t="s">
        <v>189</v>
      </c>
      <c r="AS92">
        <v>1.05675146771037</v>
      </c>
      <c r="AT92" t="s">
        <v>251</v>
      </c>
      <c r="AU92">
        <v>0.97247706422018299</v>
      </c>
      <c r="AV92" t="s">
        <v>249</v>
      </c>
      <c r="AW92">
        <v>1.17631578947368</v>
      </c>
      <c r="AX92" t="s">
        <v>247</v>
      </c>
      <c r="AY92">
        <v>1.17469879518072</v>
      </c>
      <c r="AZ92" t="s">
        <v>256</v>
      </c>
      <c r="BA92">
        <v>1.2257575757575701</v>
      </c>
      <c r="BB92" t="s">
        <v>194</v>
      </c>
      <c r="BC92">
        <v>0.86571428571428499</v>
      </c>
      <c r="BD92" t="s">
        <v>238</v>
      </c>
      <c r="BE92">
        <v>1.01841196777905</v>
      </c>
      <c r="BF92" t="s">
        <v>254</v>
      </c>
      <c r="BG92">
        <v>1.0877192982456101</v>
      </c>
      <c r="BH92" t="s">
        <v>262</v>
      </c>
      <c r="BI92">
        <v>0.85932721712538196</v>
      </c>
      <c r="BJ92" t="s">
        <v>195</v>
      </c>
      <c r="BK92">
        <v>0.89938398357289495</v>
      </c>
      <c r="BL92" t="s">
        <v>254</v>
      </c>
      <c r="BM92">
        <v>1.3221153846153799</v>
      </c>
      <c r="BN92" t="s">
        <v>197</v>
      </c>
      <c r="BO92">
        <v>1.12612612612612</v>
      </c>
      <c r="BP92" t="s">
        <v>264</v>
      </c>
      <c r="BQ92">
        <v>1.00252206809583</v>
      </c>
      <c r="BR92" t="s">
        <v>264</v>
      </c>
      <c r="BS92">
        <v>0.87421383647798701</v>
      </c>
      <c r="BT92" t="s">
        <v>195</v>
      </c>
      <c r="BU92">
        <v>1.26004228329809</v>
      </c>
      <c r="BV92" t="s">
        <v>272</v>
      </c>
      <c r="BW92">
        <v>1.04414587332053</v>
      </c>
    </row>
    <row r="93" spans="1:75" x14ac:dyDescent="0.4">
      <c r="A93">
        <v>91</v>
      </c>
      <c r="B93" t="s">
        <v>176</v>
      </c>
      <c r="C93">
        <v>1.13506493506493</v>
      </c>
      <c r="D93" t="s">
        <v>273</v>
      </c>
      <c r="E93">
        <v>0.74788946202580597</v>
      </c>
      <c r="F93" t="s">
        <v>231</v>
      </c>
      <c r="G93">
        <v>0.65975609756097497</v>
      </c>
      <c r="H93" t="s">
        <v>243</v>
      </c>
      <c r="I93">
        <v>0.92903225806451595</v>
      </c>
      <c r="J93" t="s">
        <v>172</v>
      </c>
      <c r="K93">
        <v>1.0621693121693101</v>
      </c>
      <c r="L93" t="s">
        <v>251</v>
      </c>
      <c r="M93">
        <v>1.0478989494747299</v>
      </c>
      <c r="N93" t="s">
        <v>238</v>
      </c>
      <c r="O93">
        <v>1.2276422764227599</v>
      </c>
      <c r="P93" t="s">
        <v>183</v>
      </c>
      <c r="Q93">
        <v>1.0689185260556699</v>
      </c>
      <c r="R93" t="s">
        <v>176</v>
      </c>
      <c r="S93">
        <v>1.2653333333333301</v>
      </c>
      <c r="T93" t="s">
        <v>183</v>
      </c>
      <c r="U93">
        <v>0.97892845329304301</v>
      </c>
      <c r="V93" t="s">
        <v>196</v>
      </c>
      <c r="W93">
        <v>1.14477090419418</v>
      </c>
      <c r="X93" t="s">
        <v>183</v>
      </c>
      <c r="Y93">
        <v>0.82637362637362599</v>
      </c>
      <c r="Z93" t="s">
        <v>192</v>
      </c>
      <c r="AA93">
        <v>1.1190467877094901</v>
      </c>
      <c r="AB93" t="s">
        <v>251</v>
      </c>
      <c r="AC93">
        <v>0.85189813161965899</v>
      </c>
      <c r="AD93" t="s">
        <v>254</v>
      </c>
      <c r="AE93">
        <v>0.98387096774193505</v>
      </c>
      <c r="AF93" t="s">
        <v>256</v>
      </c>
      <c r="AG93">
        <v>0.97455968688845396</v>
      </c>
      <c r="AH93" t="s">
        <v>266</v>
      </c>
      <c r="AI93">
        <v>0.64951456310679601</v>
      </c>
      <c r="AJ93" t="s">
        <v>261</v>
      </c>
      <c r="AK93">
        <v>1.0214932126696801</v>
      </c>
      <c r="AL93" t="s">
        <v>266</v>
      </c>
      <c r="AM93">
        <v>0.619285714285714</v>
      </c>
      <c r="AN93" t="s">
        <v>261</v>
      </c>
      <c r="AO93">
        <v>1.2870813397129099</v>
      </c>
      <c r="AP93" t="s">
        <v>261</v>
      </c>
      <c r="AQ93">
        <v>1.1914498141263901</v>
      </c>
      <c r="AR93" t="s">
        <v>247</v>
      </c>
      <c r="AS93">
        <v>0.99378881987577605</v>
      </c>
      <c r="AT93" t="s">
        <v>254</v>
      </c>
      <c r="AU93">
        <v>0.99673202614378997</v>
      </c>
      <c r="AV93" t="s">
        <v>251</v>
      </c>
      <c r="AW93">
        <v>0.86981132075471701</v>
      </c>
      <c r="AX93" t="s">
        <v>249</v>
      </c>
      <c r="AY93">
        <v>1.13646532438478</v>
      </c>
      <c r="AZ93" t="s">
        <v>195</v>
      </c>
      <c r="BA93">
        <v>1.1116138763197501</v>
      </c>
      <c r="BB93" t="s">
        <v>195</v>
      </c>
      <c r="BC93">
        <v>0.72591587516960598</v>
      </c>
      <c r="BD93" t="s">
        <v>241</v>
      </c>
      <c r="BE93">
        <v>1.03361344537815</v>
      </c>
      <c r="BF93" t="s">
        <v>256</v>
      </c>
      <c r="BG93">
        <v>1.30232558139534</v>
      </c>
      <c r="BH93" t="s">
        <v>197</v>
      </c>
      <c r="BI93">
        <v>0.68979591836734699</v>
      </c>
      <c r="BJ93" t="s">
        <v>262</v>
      </c>
      <c r="BK93">
        <v>0.97153024911032004</v>
      </c>
      <c r="BL93" t="s">
        <v>256</v>
      </c>
      <c r="BM93">
        <v>0.81262135922330003</v>
      </c>
      <c r="BN93" t="s">
        <v>264</v>
      </c>
      <c r="BO93">
        <v>0.99249061326658305</v>
      </c>
      <c r="BP93" t="s">
        <v>274</v>
      </c>
      <c r="BQ93">
        <v>0.87191539365452397</v>
      </c>
      <c r="BR93" t="s">
        <v>272</v>
      </c>
      <c r="BS93">
        <v>1</v>
      </c>
      <c r="BT93" t="s">
        <v>262</v>
      </c>
      <c r="BU93">
        <v>1.0333333333333301</v>
      </c>
      <c r="BV93" t="s">
        <v>204</v>
      </c>
      <c r="BW93">
        <v>1.03313840155945</v>
      </c>
    </row>
    <row r="94" spans="1:75" x14ac:dyDescent="0.4">
      <c r="A94">
        <v>92</v>
      </c>
      <c r="B94" t="s">
        <v>185</v>
      </c>
      <c r="C94">
        <v>0.88888888888888795</v>
      </c>
      <c r="D94" t="s">
        <v>251</v>
      </c>
      <c r="E94">
        <v>0.87416363983941803</v>
      </c>
      <c r="F94" t="s">
        <v>176</v>
      </c>
      <c r="G94">
        <v>0.76222826086956497</v>
      </c>
      <c r="H94" t="s">
        <v>249</v>
      </c>
      <c r="I94">
        <v>0.93717278013212302</v>
      </c>
      <c r="J94" t="s">
        <v>174</v>
      </c>
      <c r="K94">
        <v>1.4229979466119</v>
      </c>
      <c r="L94" t="s">
        <v>254</v>
      </c>
      <c r="M94">
        <v>1.2889733840304101</v>
      </c>
      <c r="N94" t="s">
        <v>189</v>
      </c>
      <c r="O94">
        <v>1.0208333333333299</v>
      </c>
      <c r="P94" t="s">
        <v>185</v>
      </c>
      <c r="Q94">
        <v>0.98109452736318403</v>
      </c>
      <c r="R94" t="s">
        <v>246</v>
      </c>
      <c r="S94">
        <v>0.81379310344827505</v>
      </c>
      <c r="T94" t="s">
        <v>185</v>
      </c>
      <c r="U94">
        <v>1.11467889908256</v>
      </c>
      <c r="V94" t="s">
        <v>271</v>
      </c>
      <c r="W94">
        <v>1.0289256198347101</v>
      </c>
      <c r="X94" t="s">
        <v>185</v>
      </c>
      <c r="Y94">
        <v>0.87606837606837595</v>
      </c>
      <c r="Z94" t="s">
        <v>256</v>
      </c>
      <c r="AA94">
        <v>0.89285714285714202</v>
      </c>
      <c r="AB94" t="s">
        <v>254</v>
      </c>
      <c r="AC94">
        <v>1.0371747211895901</v>
      </c>
      <c r="AD94" t="s">
        <v>196</v>
      </c>
      <c r="AE94">
        <v>0.84683956838472896</v>
      </c>
      <c r="AF94" t="s">
        <v>261</v>
      </c>
      <c r="AG94">
        <v>1.03975535168195</v>
      </c>
      <c r="AH94" t="s">
        <v>201</v>
      </c>
      <c r="AI94">
        <v>0.67528181765083795</v>
      </c>
      <c r="AJ94" t="s">
        <v>262</v>
      </c>
      <c r="AK94">
        <v>1</v>
      </c>
      <c r="AL94" t="s">
        <v>201</v>
      </c>
      <c r="AM94">
        <v>0.57766157825194597</v>
      </c>
      <c r="AN94" t="s">
        <v>195</v>
      </c>
      <c r="AO94">
        <v>1.02622572348569</v>
      </c>
      <c r="AP94" t="s">
        <v>195</v>
      </c>
      <c r="AQ94">
        <v>0.61313494099538202</v>
      </c>
      <c r="AR94" t="s">
        <v>251</v>
      </c>
      <c r="AS94">
        <v>0.872</v>
      </c>
      <c r="AT94" t="s">
        <v>196</v>
      </c>
      <c r="AU94">
        <v>0.83048218400992702</v>
      </c>
      <c r="AV94" t="s">
        <v>254</v>
      </c>
      <c r="AW94">
        <v>0.91803278688524503</v>
      </c>
      <c r="AX94" t="s">
        <v>251</v>
      </c>
      <c r="AY94">
        <v>0.934924078091106</v>
      </c>
      <c r="AZ94" t="s">
        <v>262</v>
      </c>
      <c r="BA94">
        <v>0.73819742489270301</v>
      </c>
      <c r="BB94" t="s">
        <v>262</v>
      </c>
      <c r="BC94">
        <v>0.87790697674418605</v>
      </c>
      <c r="BD94" t="s">
        <v>189</v>
      </c>
      <c r="BE94">
        <v>0.95622119815668205</v>
      </c>
      <c r="BF94" t="s">
        <v>194</v>
      </c>
      <c r="BG94">
        <v>0.95631067961164995</v>
      </c>
      <c r="BH94" t="s">
        <v>274</v>
      </c>
      <c r="BI94">
        <v>1.20597652081109</v>
      </c>
      <c r="BJ94" t="s">
        <v>197</v>
      </c>
      <c r="BK94">
        <v>1.42011834319526</v>
      </c>
      <c r="BL94" t="s">
        <v>194</v>
      </c>
      <c r="BM94">
        <v>1.1416893732969999</v>
      </c>
      <c r="BN94" t="s">
        <v>274</v>
      </c>
      <c r="BO94">
        <v>0.98609501738122796</v>
      </c>
      <c r="BP94" t="s">
        <v>272</v>
      </c>
      <c r="BQ94">
        <v>0.92407407407407405</v>
      </c>
      <c r="BR94" t="s">
        <v>276</v>
      </c>
      <c r="BS94">
        <v>0.71799628942486005</v>
      </c>
      <c r="BT94" t="s">
        <v>197</v>
      </c>
      <c r="BU94">
        <v>1.397616468039</v>
      </c>
      <c r="BV94" t="s">
        <v>277</v>
      </c>
      <c r="BW94">
        <v>1.0141509433962199</v>
      </c>
    </row>
    <row r="95" spans="1:75" x14ac:dyDescent="0.4">
      <c r="A95">
        <v>93</v>
      </c>
      <c r="B95" t="s">
        <v>259</v>
      </c>
      <c r="C95">
        <v>0.77453712920565398</v>
      </c>
      <c r="D95" t="s">
        <v>254</v>
      </c>
      <c r="E95">
        <v>1.20600858369098</v>
      </c>
      <c r="F95" t="s">
        <v>246</v>
      </c>
      <c r="G95">
        <v>0.63037974683544296</v>
      </c>
      <c r="H95" t="s">
        <v>191</v>
      </c>
      <c r="I95">
        <v>0.98148148148148096</v>
      </c>
      <c r="J95" t="s">
        <v>176</v>
      </c>
      <c r="K95">
        <v>0.95158597662771205</v>
      </c>
      <c r="L95" t="s">
        <v>196</v>
      </c>
      <c r="M95">
        <v>0.97185917078356499</v>
      </c>
      <c r="N95" t="s">
        <v>251</v>
      </c>
      <c r="O95">
        <v>0.85147392290249402</v>
      </c>
      <c r="P95" t="s">
        <v>238</v>
      </c>
      <c r="Q95">
        <v>0.96357615894039705</v>
      </c>
      <c r="R95" t="s">
        <v>183</v>
      </c>
      <c r="S95">
        <v>0.95069608526407001</v>
      </c>
      <c r="T95" t="s">
        <v>238</v>
      </c>
      <c r="U95">
        <v>1.05857294994675</v>
      </c>
      <c r="V95" t="s">
        <v>256</v>
      </c>
      <c r="W95">
        <v>0.95486111111111105</v>
      </c>
      <c r="X95" t="s">
        <v>238</v>
      </c>
      <c r="Y95">
        <v>1.02284710017574</v>
      </c>
      <c r="Z95" t="s">
        <v>261</v>
      </c>
      <c r="AA95">
        <v>0.83333333333333304</v>
      </c>
      <c r="AB95" t="s">
        <v>196</v>
      </c>
      <c r="AC95">
        <v>0.90301838730818196</v>
      </c>
      <c r="AD95" t="s">
        <v>256</v>
      </c>
      <c r="AE95">
        <v>1.05035971223021</v>
      </c>
      <c r="AF95" t="s">
        <v>262</v>
      </c>
      <c r="AG95">
        <v>1.234375</v>
      </c>
      <c r="AH95" t="s">
        <v>279</v>
      </c>
      <c r="AI95">
        <v>1.0125</v>
      </c>
      <c r="AJ95" t="s">
        <v>266</v>
      </c>
      <c r="AK95">
        <v>1.0463378176382601</v>
      </c>
      <c r="AL95" t="s">
        <v>272</v>
      </c>
      <c r="AM95">
        <v>1.2817460317460301</v>
      </c>
      <c r="AN95" t="s">
        <v>262</v>
      </c>
      <c r="AO95">
        <v>1.0337078651685301</v>
      </c>
      <c r="AP95" t="s">
        <v>262</v>
      </c>
      <c r="AQ95">
        <v>1.1630434782608601</v>
      </c>
      <c r="AR95" t="s">
        <v>254</v>
      </c>
      <c r="AS95">
        <v>0.82037533512064298</v>
      </c>
      <c r="AT95" t="s">
        <v>192</v>
      </c>
      <c r="AU95">
        <v>1.1428539925463601</v>
      </c>
      <c r="AV95" t="s">
        <v>196</v>
      </c>
      <c r="AW95">
        <v>1.13036981695928</v>
      </c>
      <c r="AX95" t="s">
        <v>254</v>
      </c>
      <c r="AY95">
        <v>0.95357142857142796</v>
      </c>
      <c r="AZ95" t="s">
        <v>265</v>
      </c>
      <c r="BA95">
        <v>0.88443935926773398</v>
      </c>
      <c r="BB95" t="s">
        <v>265</v>
      </c>
      <c r="BC95">
        <v>0.81888745148771003</v>
      </c>
      <c r="BD95" t="s">
        <v>247</v>
      </c>
      <c r="BE95">
        <v>1.01988636363636</v>
      </c>
      <c r="BF95" t="s">
        <v>195</v>
      </c>
      <c r="BG95">
        <v>0.89273927392739205</v>
      </c>
      <c r="BH95" t="s">
        <v>280</v>
      </c>
      <c r="BI95">
        <v>0.93175074183976203</v>
      </c>
      <c r="BJ95" t="s">
        <v>266</v>
      </c>
      <c r="BK95">
        <v>1.1821305841924299</v>
      </c>
      <c r="BL95" t="s">
        <v>195</v>
      </c>
      <c r="BM95">
        <v>1.1461187214611801</v>
      </c>
      <c r="BN95" t="s">
        <v>272</v>
      </c>
      <c r="BO95">
        <v>1.0266159695817401</v>
      </c>
      <c r="BP95" t="s">
        <v>204</v>
      </c>
      <c r="BQ95">
        <v>0.986206896551724</v>
      </c>
      <c r="BR95" t="s">
        <v>204</v>
      </c>
      <c r="BS95">
        <v>0.95104895104895104</v>
      </c>
      <c r="BT95" t="s">
        <v>264</v>
      </c>
      <c r="BU95">
        <v>1.2848920863309301</v>
      </c>
      <c r="BV95" t="s">
        <v>281</v>
      </c>
      <c r="BW95">
        <v>1.2134062927496501</v>
      </c>
    </row>
    <row r="96" spans="1:75" x14ac:dyDescent="0.4">
      <c r="A96">
        <v>94</v>
      </c>
      <c r="B96" t="s">
        <v>241</v>
      </c>
      <c r="C96">
        <v>0.98571428571428499</v>
      </c>
      <c r="D96" t="s">
        <v>283</v>
      </c>
      <c r="E96">
        <v>0.54822335025380697</v>
      </c>
      <c r="F96" t="s">
        <v>185</v>
      </c>
      <c r="G96">
        <v>0.81200000000000006</v>
      </c>
      <c r="H96" t="s">
        <v>251</v>
      </c>
      <c r="I96">
        <v>1.31893855312279</v>
      </c>
      <c r="J96" t="s">
        <v>178</v>
      </c>
      <c r="K96">
        <v>1.3333333333333299</v>
      </c>
      <c r="L96" t="s">
        <v>256</v>
      </c>
      <c r="M96">
        <v>0.96651445966514404</v>
      </c>
      <c r="N96" t="s">
        <v>254</v>
      </c>
      <c r="O96">
        <v>0.82005899705014695</v>
      </c>
      <c r="P96" t="s">
        <v>259</v>
      </c>
      <c r="Q96">
        <v>0.83783016188582704</v>
      </c>
      <c r="R96" t="s">
        <v>185</v>
      </c>
      <c r="S96">
        <v>1.1054766734279899</v>
      </c>
      <c r="T96" t="s">
        <v>259</v>
      </c>
      <c r="U96">
        <v>1.4266983016982999</v>
      </c>
      <c r="V96" t="s">
        <v>261</v>
      </c>
      <c r="W96">
        <v>1.10328328658637</v>
      </c>
      <c r="X96" t="s">
        <v>189</v>
      </c>
      <c r="Y96">
        <v>0.86011560693641598</v>
      </c>
      <c r="Z96" t="s">
        <v>262</v>
      </c>
      <c r="AA96">
        <v>0.94560669456066904</v>
      </c>
      <c r="AB96" t="s">
        <v>192</v>
      </c>
      <c r="AC96">
        <v>1.24012855114744</v>
      </c>
      <c r="AD96" t="s">
        <v>261</v>
      </c>
      <c r="AE96">
        <v>0.99010900282599901</v>
      </c>
      <c r="AF96" t="s">
        <v>266</v>
      </c>
      <c r="AG96">
        <v>1.10752688172043</v>
      </c>
      <c r="AH96" t="s">
        <v>272</v>
      </c>
      <c r="AI96">
        <v>1.0087719298245601</v>
      </c>
      <c r="AJ96" t="s">
        <v>264</v>
      </c>
      <c r="AK96">
        <v>1.1029411764705801</v>
      </c>
      <c r="AL96" t="s">
        <v>204</v>
      </c>
      <c r="AM96">
        <v>0.87552301255230103</v>
      </c>
      <c r="AN96" t="s">
        <v>197</v>
      </c>
      <c r="AO96">
        <v>0.89389067524115695</v>
      </c>
      <c r="AP96" t="s">
        <v>197</v>
      </c>
      <c r="AQ96">
        <v>1.03237410071942</v>
      </c>
      <c r="AR96" t="s">
        <v>196</v>
      </c>
      <c r="AS96">
        <v>0.81248762220261705</v>
      </c>
      <c r="AT96" t="s">
        <v>256</v>
      </c>
      <c r="AU96">
        <v>1.0627450980392099</v>
      </c>
      <c r="AV96" t="s">
        <v>256</v>
      </c>
      <c r="AW96">
        <v>1.10332103321033</v>
      </c>
      <c r="AX96" t="s">
        <v>196</v>
      </c>
      <c r="AY96">
        <v>0.61759984892833497</v>
      </c>
      <c r="AZ96" t="s">
        <v>266</v>
      </c>
      <c r="BA96">
        <v>1.08421052631578</v>
      </c>
      <c r="BB96" t="s">
        <v>266</v>
      </c>
      <c r="BC96">
        <v>1.0915395284327301</v>
      </c>
      <c r="BD96" t="s">
        <v>251</v>
      </c>
      <c r="BE96">
        <v>1.03361344537815</v>
      </c>
      <c r="BF96" t="s">
        <v>262</v>
      </c>
      <c r="BG96">
        <v>0.99695121951219501</v>
      </c>
      <c r="BH96" t="s">
        <v>272</v>
      </c>
      <c r="BI96">
        <v>1.10212765957446</v>
      </c>
      <c r="BJ96" t="s">
        <v>272</v>
      </c>
      <c r="BK96">
        <v>0.94401544401544402</v>
      </c>
      <c r="BL96" t="s">
        <v>262</v>
      </c>
      <c r="BM96">
        <v>1.0732600732600699</v>
      </c>
      <c r="BN96" t="s">
        <v>204</v>
      </c>
      <c r="BO96">
        <v>0.96828046744574203</v>
      </c>
      <c r="BP96" t="s">
        <v>284</v>
      </c>
      <c r="BQ96">
        <v>0.85758196721311397</v>
      </c>
      <c r="BR96" t="s">
        <v>284</v>
      </c>
      <c r="BS96">
        <v>1.0011947431302199</v>
      </c>
      <c r="BT96" t="s">
        <v>280</v>
      </c>
      <c r="BU96">
        <v>1.1139817629179301</v>
      </c>
      <c r="BV96" t="s">
        <v>285</v>
      </c>
      <c r="BW96">
        <v>0.98377581120943902</v>
      </c>
    </row>
    <row r="97" spans="1:75" x14ac:dyDescent="0.4">
      <c r="A97">
        <v>95</v>
      </c>
      <c r="B97" t="s">
        <v>189</v>
      </c>
      <c r="C97">
        <v>0.86733481585280403</v>
      </c>
      <c r="D97" t="s">
        <v>256</v>
      </c>
      <c r="E97">
        <v>0.89763147330389403</v>
      </c>
      <c r="F97" t="s">
        <v>241</v>
      </c>
      <c r="G97">
        <v>0.67871485943775101</v>
      </c>
      <c r="H97" t="s">
        <v>196</v>
      </c>
      <c r="I97">
        <v>1.58241025641025</v>
      </c>
      <c r="J97" t="s">
        <v>183</v>
      </c>
      <c r="K97">
        <v>1.3541597697929599</v>
      </c>
      <c r="L97" t="s">
        <v>261</v>
      </c>
      <c r="M97">
        <v>1.0778410134018701</v>
      </c>
      <c r="N97" t="s">
        <v>196</v>
      </c>
      <c r="O97">
        <v>0.78387008558007798</v>
      </c>
      <c r="P97" t="s">
        <v>189</v>
      </c>
      <c r="Q97">
        <v>0.91581632653061196</v>
      </c>
      <c r="R97" t="s">
        <v>238</v>
      </c>
      <c r="S97">
        <v>1.07560137457044</v>
      </c>
      <c r="T97" t="s">
        <v>189</v>
      </c>
      <c r="U97">
        <v>1.25949367088607</v>
      </c>
      <c r="V97" t="s">
        <v>262</v>
      </c>
      <c r="W97">
        <v>1.0382978723404199</v>
      </c>
      <c r="X97" t="s">
        <v>249</v>
      </c>
      <c r="Y97">
        <v>0.39616037572528701</v>
      </c>
      <c r="Z97" t="s">
        <v>266</v>
      </c>
      <c r="AA97">
        <v>1.55737704918032</v>
      </c>
      <c r="AB97" t="s">
        <v>256</v>
      </c>
      <c r="AC97">
        <v>0.97299999999999998</v>
      </c>
      <c r="AD97" t="s">
        <v>262</v>
      </c>
      <c r="AE97">
        <v>0.82847896440129398</v>
      </c>
      <c r="AF97" t="s">
        <v>201</v>
      </c>
      <c r="AG97">
        <v>1.12257810707143</v>
      </c>
      <c r="AH97" t="s">
        <v>276</v>
      </c>
      <c r="AI97">
        <v>0.83545105323145696</v>
      </c>
      <c r="AJ97" t="s">
        <v>201</v>
      </c>
      <c r="AK97">
        <v>1.53833845089305</v>
      </c>
      <c r="AL97" t="s">
        <v>286</v>
      </c>
      <c r="AM97">
        <v>1.1521739130434701</v>
      </c>
      <c r="AN97" t="s">
        <v>266</v>
      </c>
      <c r="AO97">
        <v>1.05074971164936</v>
      </c>
      <c r="AP97" t="s">
        <v>266</v>
      </c>
      <c r="AQ97">
        <v>1.0537870472008699</v>
      </c>
      <c r="AR97" t="s">
        <v>192</v>
      </c>
      <c r="AS97">
        <v>1.0787914832877299</v>
      </c>
      <c r="AT97" t="s">
        <v>195</v>
      </c>
      <c r="AU97">
        <v>0.85452434777295705</v>
      </c>
      <c r="AV97" t="s">
        <v>195</v>
      </c>
      <c r="AW97">
        <v>1.1917631917631899</v>
      </c>
      <c r="AX97" t="s">
        <v>256</v>
      </c>
      <c r="AY97">
        <v>1.10367892976588</v>
      </c>
      <c r="AZ97" t="s">
        <v>264</v>
      </c>
      <c r="BA97">
        <v>1.3578826237054</v>
      </c>
      <c r="BB97" t="s">
        <v>267</v>
      </c>
      <c r="BC97">
        <v>0.91566265060240903</v>
      </c>
      <c r="BD97" t="s">
        <v>254</v>
      </c>
      <c r="BE97">
        <v>0.89411764705882302</v>
      </c>
      <c r="BF97" t="s">
        <v>265</v>
      </c>
      <c r="BG97">
        <v>0.83458646616541299</v>
      </c>
      <c r="BH97" t="s">
        <v>287</v>
      </c>
      <c r="BI97">
        <v>0.87467018469656899</v>
      </c>
      <c r="BJ97" t="s">
        <v>284</v>
      </c>
      <c r="BK97">
        <v>1.18701007838745</v>
      </c>
      <c r="BL97" t="s">
        <v>265</v>
      </c>
      <c r="BM97">
        <v>1.0106571936056801</v>
      </c>
      <c r="BN97" t="s">
        <v>277</v>
      </c>
      <c r="BO97">
        <v>0.94468085106382904</v>
      </c>
      <c r="BP97" t="s">
        <v>277</v>
      </c>
      <c r="BQ97">
        <v>1.1756756756756701</v>
      </c>
      <c r="BR97" t="s">
        <v>277</v>
      </c>
      <c r="BS97">
        <v>0.77777777777777701</v>
      </c>
      <c r="BT97" t="s">
        <v>272</v>
      </c>
      <c r="BU97">
        <v>1.0440881763526999</v>
      </c>
      <c r="BV97" t="s">
        <v>288</v>
      </c>
      <c r="BW97">
        <v>1.0192719486081301</v>
      </c>
    </row>
    <row r="98" spans="1:75" x14ac:dyDescent="0.4">
      <c r="A98">
        <v>96</v>
      </c>
      <c r="B98" t="s">
        <v>247</v>
      </c>
      <c r="C98">
        <v>0.89986996098829597</v>
      </c>
      <c r="D98" t="s">
        <v>261</v>
      </c>
      <c r="E98">
        <v>0.84876103674166903</v>
      </c>
      <c r="F98" t="s">
        <v>247</v>
      </c>
      <c r="G98">
        <v>0.381818181818181</v>
      </c>
      <c r="H98" t="s">
        <v>271</v>
      </c>
      <c r="I98">
        <v>0.93614457831325304</v>
      </c>
      <c r="J98" t="s">
        <v>185</v>
      </c>
      <c r="K98">
        <v>1.31799163179916</v>
      </c>
      <c r="L98" t="s">
        <v>195</v>
      </c>
      <c r="M98">
        <v>1.1962528387585101</v>
      </c>
      <c r="N98" t="s">
        <v>256</v>
      </c>
      <c r="O98">
        <v>1.00314960629921</v>
      </c>
      <c r="P98" t="s">
        <v>247</v>
      </c>
      <c r="Q98">
        <v>1.20504201680672</v>
      </c>
      <c r="R98" t="s">
        <v>189</v>
      </c>
      <c r="S98">
        <v>1.3203342618384399</v>
      </c>
      <c r="T98" t="s">
        <v>247</v>
      </c>
      <c r="U98">
        <v>1.06698564593301</v>
      </c>
      <c r="V98" t="s">
        <v>266</v>
      </c>
      <c r="W98">
        <v>1.1319942611190801</v>
      </c>
      <c r="X98" t="s">
        <v>251</v>
      </c>
      <c r="Y98">
        <v>1.0652707345002399</v>
      </c>
      <c r="Z98" t="s">
        <v>201</v>
      </c>
      <c r="AA98">
        <v>1.92166562073166</v>
      </c>
      <c r="AB98" t="s">
        <v>261</v>
      </c>
      <c r="AC98">
        <v>0.91996285979572801</v>
      </c>
      <c r="AD98" t="s">
        <v>201</v>
      </c>
      <c r="AE98">
        <v>0.83064647894994803</v>
      </c>
      <c r="AF98" t="s">
        <v>291</v>
      </c>
      <c r="AG98">
        <v>1.36263736263736</v>
      </c>
      <c r="AH98" t="s">
        <v>292</v>
      </c>
      <c r="AI98">
        <v>0.87132867132867098</v>
      </c>
      <c r="AJ98" t="s">
        <v>272</v>
      </c>
      <c r="AK98">
        <v>1.09565217391304</v>
      </c>
      <c r="AL98" t="s">
        <v>281</v>
      </c>
      <c r="AM98">
        <v>1.39853300733496</v>
      </c>
      <c r="AN98" t="s">
        <v>201</v>
      </c>
      <c r="AO98">
        <v>1.05893517617286</v>
      </c>
      <c r="AP98" t="s">
        <v>201</v>
      </c>
      <c r="AQ98">
        <v>1.30736706650121</v>
      </c>
      <c r="AR98" t="s">
        <v>256</v>
      </c>
      <c r="AS98">
        <v>0.97328244274809095</v>
      </c>
      <c r="AT98" t="s">
        <v>262</v>
      </c>
      <c r="AU98">
        <v>1.1328903654485001</v>
      </c>
      <c r="AV98" t="s">
        <v>262</v>
      </c>
      <c r="AW98">
        <v>1.16422287390029</v>
      </c>
      <c r="AX98" t="s">
        <v>195</v>
      </c>
      <c r="AY98">
        <v>0.99442044636428994</v>
      </c>
      <c r="AZ98" t="s">
        <v>293</v>
      </c>
      <c r="BA98">
        <v>1.14410480349344</v>
      </c>
      <c r="BB98" t="s">
        <v>280</v>
      </c>
      <c r="BC98">
        <v>0.80367231638418002</v>
      </c>
      <c r="BD98" t="s">
        <v>256</v>
      </c>
      <c r="BE98">
        <v>1.12565445026178</v>
      </c>
      <c r="BF98" t="s">
        <v>270</v>
      </c>
      <c r="BG98">
        <v>1.0254237288135499</v>
      </c>
      <c r="BH98" t="s">
        <v>204</v>
      </c>
      <c r="BI98">
        <v>1.1663947797716101</v>
      </c>
      <c r="BJ98" t="s">
        <v>277</v>
      </c>
      <c r="BK98">
        <v>1.0206611570247901</v>
      </c>
      <c r="BL98" t="s">
        <v>197</v>
      </c>
      <c r="BM98">
        <v>0.83250000000000002</v>
      </c>
      <c r="BN98" t="s">
        <v>208</v>
      </c>
      <c r="BO98">
        <v>0.87423687423687402</v>
      </c>
      <c r="BP98" t="s">
        <v>208</v>
      </c>
      <c r="BQ98">
        <v>1.0768156424580999</v>
      </c>
      <c r="BR98" t="s">
        <v>208</v>
      </c>
      <c r="BS98">
        <v>1.00648508430609</v>
      </c>
      <c r="BT98" t="s">
        <v>204</v>
      </c>
      <c r="BU98">
        <v>0.94301470588235203</v>
      </c>
      <c r="BV98" t="s">
        <v>294</v>
      </c>
      <c r="BW98">
        <v>1.0036496350364901</v>
      </c>
    </row>
    <row r="99" spans="1:75" x14ac:dyDescent="0.4">
      <c r="A99">
        <v>97</v>
      </c>
      <c r="B99" t="s">
        <v>249</v>
      </c>
      <c r="C99">
        <v>1.0149254212519501</v>
      </c>
      <c r="D99" t="s">
        <v>262</v>
      </c>
      <c r="E99">
        <v>0.77857142857142803</v>
      </c>
      <c r="F99" t="s">
        <v>249</v>
      </c>
      <c r="G99">
        <v>0.32372883189887902</v>
      </c>
      <c r="H99" t="s">
        <v>192</v>
      </c>
      <c r="I99">
        <v>1.6796730951313099</v>
      </c>
      <c r="J99" t="s">
        <v>243</v>
      </c>
      <c r="K99">
        <v>1.69444444444444</v>
      </c>
      <c r="L99" t="s">
        <v>262</v>
      </c>
      <c r="M99">
        <v>1.16336633663366</v>
      </c>
      <c r="N99" t="s">
        <v>261</v>
      </c>
      <c r="O99">
        <v>1.12025208652699</v>
      </c>
      <c r="P99" t="s">
        <v>251</v>
      </c>
      <c r="Q99">
        <v>0.99663606419510797</v>
      </c>
      <c r="R99" t="s">
        <v>247</v>
      </c>
      <c r="S99">
        <v>1.45746164574616</v>
      </c>
      <c r="T99" t="s">
        <v>251</v>
      </c>
      <c r="U99">
        <v>1.19386232862115</v>
      </c>
      <c r="V99" t="s">
        <v>201</v>
      </c>
      <c r="W99">
        <v>1.23551838642233</v>
      </c>
      <c r="X99" t="s">
        <v>254</v>
      </c>
      <c r="Y99">
        <v>0.77906976744185996</v>
      </c>
      <c r="Z99" t="s">
        <v>297</v>
      </c>
      <c r="AA99">
        <v>0.86601307189542398</v>
      </c>
      <c r="AB99" t="s">
        <v>262</v>
      </c>
      <c r="AC99">
        <v>1.3672566371681401</v>
      </c>
      <c r="AD99" t="s">
        <v>291</v>
      </c>
      <c r="AE99">
        <v>0.94300518134714995</v>
      </c>
      <c r="AF99" t="s">
        <v>279</v>
      </c>
      <c r="AG99">
        <v>1.2307692307692299</v>
      </c>
      <c r="AH99" t="s">
        <v>286</v>
      </c>
      <c r="AI99">
        <v>0.81660470879801705</v>
      </c>
      <c r="AJ99" t="s">
        <v>204</v>
      </c>
      <c r="AK99">
        <v>1.17879161528976</v>
      </c>
      <c r="AL99" t="s">
        <v>298</v>
      </c>
      <c r="AM99">
        <v>1.0526315789473599</v>
      </c>
      <c r="AN99" t="s">
        <v>291</v>
      </c>
      <c r="AO99">
        <v>0.86341463414634101</v>
      </c>
      <c r="AP99" t="s">
        <v>280</v>
      </c>
      <c r="AQ99">
        <v>0.73863636363636298</v>
      </c>
      <c r="AR99" t="s">
        <v>195</v>
      </c>
      <c r="AS99">
        <v>1.0535564853556401</v>
      </c>
      <c r="AT99" t="s">
        <v>265</v>
      </c>
      <c r="AU99">
        <v>0.91655450874831701</v>
      </c>
      <c r="AV99" t="s">
        <v>265</v>
      </c>
      <c r="AW99">
        <v>0.82378854625550602</v>
      </c>
      <c r="AX99" t="s">
        <v>262</v>
      </c>
      <c r="AY99">
        <v>1.1738035264483599</v>
      </c>
      <c r="AZ99" t="s">
        <v>272</v>
      </c>
      <c r="BA99">
        <v>1.01442307692307</v>
      </c>
      <c r="BB99" t="s">
        <v>293</v>
      </c>
      <c r="BC99">
        <v>1.0356234096692101</v>
      </c>
      <c r="BD99" t="s">
        <v>194</v>
      </c>
      <c r="BE99">
        <v>0.84983498349834896</v>
      </c>
      <c r="BF99" t="s">
        <v>197</v>
      </c>
      <c r="BG99">
        <v>0.89743589743589702</v>
      </c>
      <c r="BH99" t="s">
        <v>284</v>
      </c>
      <c r="BI99">
        <v>0.92538860103626897</v>
      </c>
      <c r="BJ99" t="s">
        <v>208</v>
      </c>
      <c r="BK99">
        <v>1.0027434842249601</v>
      </c>
      <c r="BL99" t="s">
        <v>264</v>
      </c>
      <c r="BM99">
        <v>0.77198067632850198</v>
      </c>
      <c r="BN99" t="s">
        <v>281</v>
      </c>
      <c r="BO99">
        <v>0.95789473684210502</v>
      </c>
      <c r="BP99" t="s">
        <v>299</v>
      </c>
      <c r="BQ99">
        <v>1</v>
      </c>
      <c r="BR99" t="s">
        <v>281</v>
      </c>
      <c r="BS99">
        <v>1.04881656804733</v>
      </c>
      <c r="BT99" t="s">
        <v>284</v>
      </c>
      <c r="BU99">
        <v>1.59904534606205</v>
      </c>
      <c r="BV99" t="s">
        <v>224</v>
      </c>
      <c r="BW99">
        <v>1.24775583482944</v>
      </c>
    </row>
    <row r="100" spans="1:75" x14ac:dyDescent="0.4">
      <c r="A100">
        <v>98</v>
      </c>
      <c r="B100" t="s">
        <v>273</v>
      </c>
      <c r="C100">
        <v>0.95838065335025702</v>
      </c>
      <c r="D100" t="s">
        <v>270</v>
      </c>
      <c r="E100">
        <v>0.48993202238757899</v>
      </c>
      <c r="F100" t="s">
        <v>251</v>
      </c>
      <c r="G100">
        <v>0.54185118364222795</v>
      </c>
      <c r="H100" t="s">
        <v>256</v>
      </c>
      <c r="I100">
        <v>1.02564102564102</v>
      </c>
      <c r="J100" t="s">
        <v>249</v>
      </c>
      <c r="K100">
        <v>1.37802597738315</v>
      </c>
      <c r="L100" t="s">
        <v>197</v>
      </c>
      <c r="M100">
        <v>1.42995169082125</v>
      </c>
      <c r="N100" t="s">
        <v>262</v>
      </c>
      <c r="O100">
        <v>0.927659574468085</v>
      </c>
      <c r="P100" t="s">
        <v>254</v>
      </c>
      <c r="Q100">
        <v>0.90647482014388403</v>
      </c>
      <c r="R100" t="s">
        <v>251</v>
      </c>
      <c r="S100">
        <v>0.98987412980803002</v>
      </c>
      <c r="T100" t="s">
        <v>254</v>
      </c>
      <c r="U100">
        <v>1.49173553719008</v>
      </c>
      <c r="V100" t="s">
        <v>293</v>
      </c>
      <c r="W100">
        <v>1.3063063063063001</v>
      </c>
      <c r="X100" t="s">
        <v>196</v>
      </c>
      <c r="Y100">
        <v>0.89439633317784495</v>
      </c>
      <c r="Z100" t="s">
        <v>291</v>
      </c>
      <c r="AA100">
        <v>0.98172323759791102</v>
      </c>
      <c r="AB100" t="s">
        <v>291</v>
      </c>
      <c r="AC100">
        <v>1.02659574468085</v>
      </c>
      <c r="AD100" t="s">
        <v>279</v>
      </c>
      <c r="AE100">
        <v>0.89655172413793105</v>
      </c>
      <c r="AF100" t="s">
        <v>272</v>
      </c>
      <c r="AG100">
        <v>1.1399999999999999</v>
      </c>
      <c r="AH100" t="s">
        <v>301</v>
      </c>
      <c r="AI100">
        <v>0.852739726027397</v>
      </c>
      <c r="AJ100" t="s">
        <v>301</v>
      </c>
      <c r="AK100">
        <v>1.14859437751004</v>
      </c>
      <c r="AL100" t="s">
        <v>220</v>
      </c>
      <c r="AM100">
        <v>1.0358851674641101</v>
      </c>
      <c r="AN100" t="s">
        <v>272</v>
      </c>
      <c r="AO100">
        <v>0.95975232198142402</v>
      </c>
      <c r="AP100" t="s">
        <v>291</v>
      </c>
      <c r="AQ100">
        <v>1.08757062146892</v>
      </c>
      <c r="AR100" t="s">
        <v>262</v>
      </c>
      <c r="AS100">
        <v>0.93769470404984401</v>
      </c>
      <c r="AT100" t="s">
        <v>266</v>
      </c>
      <c r="AU100">
        <v>1.57088122605363</v>
      </c>
      <c r="AV100" t="s">
        <v>266</v>
      </c>
      <c r="AW100">
        <v>0.95487804878048699</v>
      </c>
      <c r="AX100" t="s">
        <v>265</v>
      </c>
      <c r="AY100">
        <v>0.77896613190730801</v>
      </c>
      <c r="AZ100" t="s">
        <v>276</v>
      </c>
      <c r="BA100">
        <v>0.90510746154647403</v>
      </c>
      <c r="BB100" t="s">
        <v>272</v>
      </c>
      <c r="BC100">
        <v>0.90047393364928896</v>
      </c>
      <c r="BD100" t="s">
        <v>195</v>
      </c>
      <c r="BE100">
        <v>1.13271028037383</v>
      </c>
      <c r="BF100" t="s">
        <v>266</v>
      </c>
      <c r="BG100">
        <v>1.77659574468085</v>
      </c>
      <c r="BH100" t="s">
        <v>277</v>
      </c>
      <c r="BI100">
        <v>0.96031746031746001</v>
      </c>
      <c r="BJ100" t="s">
        <v>294</v>
      </c>
      <c r="BK100">
        <v>0.81612090680100702</v>
      </c>
      <c r="BL100" t="s">
        <v>274</v>
      </c>
      <c r="BM100">
        <v>0.98967889908256801</v>
      </c>
      <c r="BN100" t="s">
        <v>285</v>
      </c>
      <c r="BO100">
        <v>0.98285714285714199</v>
      </c>
      <c r="BP100" t="s">
        <v>281</v>
      </c>
      <c r="BQ100">
        <v>1.06122448979591</v>
      </c>
      <c r="BR100" t="s">
        <v>288</v>
      </c>
      <c r="BS100">
        <v>0.86462450592885298</v>
      </c>
      <c r="BT100" t="s">
        <v>277</v>
      </c>
      <c r="BU100">
        <v>1.04433497536945</v>
      </c>
      <c r="BV100" t="s">
        <v>302</v>
      </c>
      <c r="BW100">
        <v>1.07133917396745</v>
      </c>
    </row>
    <row r="101" spans="1:75" x14ac:dyDescent="0.4">
      <c r="A101">
        <v>99</v>
      </c>
      <c r="B101" t="s">
        <v>251</v>
      </c>
      <c r="C101">
        <v>1</v>
      </c>
      <c r="D101" t="s">
        <v>305</v>
      </c>
      <c r="E101">
        <v>0.48998159161710497</v>
      </c>
      <c r="F101" t="s">
        <v>254</v>
      </c>
      <c r="G101">
        <v>0.69822064056939503</v>
      </c>
      <c r="H101" t="s">
        <v>261</v>
      </c>
      <c r="I101">
        <v>0.86389337641357</v>
      </c>
      <c r="J101" t="s">
        <v>251</v>
      </c>
      <c r="K101">
        <v>1.2233782129742901</v>
      </c>
      <c r="L101" t="s">
        <v>201</v>
      </c>
      <c r="M101">
        <v>0.97629599785119503</v>
      </c>
      <c r="N101" t="s">
        <v>266</v>
      </c>
      <c r="O101">
        <v>0.90374331550802101</v>
      </c>
      <c r="P101" t="s">
        <v>196</v>
      </c>
      <c r="Q101">
        <v>0.89445601649958395</v>
      </c>
      <c r="R101" t="s">
        <v>254</v>
      </c>
      <c r="S101">
        <v>0.96031746031746001</v>
      </c>
      <c r="T101" t="s">
        <v>196</v>
      </c>
      <c r="U101">
        <v>1.0894386058099601</v>
      </c>
      <c r="V101" t="s">
        <v>297</v>
      </c>
      <c r="W101">
        <v>0.97647058823529398</v>
      </c>
      <c r="X101" t="s">
        <v>271</v>
      </c>
      <c r="Y101">
        <v>1.3092369477911601</v>
      </c>
      <c r="Z101" t="s">
        <v>279</v>
      </c>
      <c r="AA101">
        <v>1.0609756097560901</v>
      </c>
      <c r="AB101" t="s">
        <v>279</v>
      </c>
      <c r="AC101">
        <v>1.1111111111111101</v>
      </c>
      <c r="AD101" t="s">
        <v>272</v>
      </c>
      <c r="AE101">
        <v>1.0266940451745299</v>
      </c>
      <c r="AF101" t="s">
        <v>301</v>
      </c>
      <c r="AG101">
        <v>1.06181818181818</v>
      </c>
      <c r="AH101" t="s">
        <v>298</v>
      </c>
      <c r="AI101">
        <v>0.90046296296296202</v>
      </c>
      <c r="AJ101" t="s">
        <v>298</v>
      </c>
      <c r="AK101">
        <v>1.1722365038560401</v>
      </c>
      <c r="AL101" t="s">
        <v>296</v>
      </c>
      <c r="AM101">
        <v>1.8167738164815801</v>
      </c>
      <c r="AN101" t="s">
        <v>276</v>
      </c>
      <c r="AO101">
        <v>0.96615720524017401</v>
      </c>
      <c r="AP101" t="s">
        <v>272</v>
      </c>
      <c r="AQ101">
        <v>1.2</v>
      </c>
      <c r="AR101" t="s">
        <v>197</v>
      </c>
      <c r="AS101">
        <v>1.1777003484320501</v>
      </c>
      <c r="AT101" t="s">
        <v>264</v>
      </c>
      <c r="AU101">
        <v>0.98395721925133695</v>
      </c>
      <c r="AV101" t="s">
        <v>264</v>
      </c>
      <c r="AW101">
        <v>0.92826086956521703</v>
      </c>
      <c r="AX101" t="s">
        <v>266</v>
      </c>
      <c r="AY101">
        <v>0.84929757343550405</v>
      </c>
      <c r="AZ101" t="s">
        <v>306</v>
      </c>
      <c r="BA101">
        <v>1.23522595596755</v>
      </c>
      <c r="BB101" t="s">
        <v>276</v>
      </c>
      <c r="BC101">
        <v>1.2951511431640299</v>
      </c>
      <c r="BD101" t="s">
        <v>262</v>
      </c>
      <c r="BE101">
        <v>1.0860927152317801</v>
      </c>
      <c r="BF101" t="s">
        <v>264</v>
      </c>
      <c r="BG101">
        <v>1.34272300469483</v>
      </c>
      <c r="BH101" t="s">
        <v>286</v>
      </c>
      <c r="BI101">
        <v>1.02739726027397</v>
      </c>
      <c r="BJ101" t="s">
        <v>219</v>
      </c>
      <c r="BK101">
        <v>1.06798866855524</v>
      </c>
      <c r="BL101" t="s">
        <v>280</v>
      </c>
      <c r="BM101">
        <v>0.89391796322489303</v>
      </c>
      <c r="BN101" t="s">
        <v>288</v>
      </c>
      <c r="BO101">
        <v>1.02079395085066</v>
      </c>
      <c r="BP101" t="s">
        <v>285</v>
      </c>
      <c r="BQ101">
        <v>0.92587209302325502</v>
      </c>
      <c r="BR101" t="s">
        <v>294</v>
      </c>
      <c r="BS101">
        <v>0.92960288808664204</v>
      </c>
      <c r="BT101" t="s">
        <v>285</v>
      </c>
      <c r="BU101">
        <v>1.00593471810089</v>
      </c>
      <c r="BV101" t="s">
        <v>307</v>
      </c>
      <c r="BW101">
        <v>1.05111111111111</v>
      </c>
    </row>
    <row r="102" spans="1:75" x14ac:dyDescent="0.4">
      <c r="A102">
        <v>100</v>
      </c>
      <c r="B102" t="s">
        <v>254</v>
      </c>
      <c r="C102">
        <v>1</v>
      </c>
      <c r="D102" t="s">
        <v>266</v>
      </c>
      <c r="E102">
        <v>0.59226519337016503</v>
      </c>
      <c r="F102" t="s">
        <v>196</v>
      </c>
      <c r="G102">
        <v>0.421296729729145</v>
      </c>
      <c r="H102" t="s">
        <v>195</v>
      </c>
      <c r="I102">
        <v>0.958515761821366</v>
      </c>
      <c r="J102" t="s">
        <v>196</v>
      </c>
      <c r="K102">
        <v>1.38194466949692</v>
      </c>
      <c r="L102" t="s">
        <v>293</v>
      </c>
      <c r="M102">
        <v>1.31078224101479</v>
      </c>
      <c r="N102" t="s">
        <v>293</v>
      </c>
      <c r="O102">
        <v>0.869354838709677</v>
      </c>
      <c r="P102" t="s">
        <v>271</v>
      </c>
      <c r="Q102">
        <v>1.2893401015228401</v>
      </c>
      <c r="R102" t="s">
        <v>196</v>
      </c>
      <c r="S102">
        <v>0.90707918917988695</v>
      </c>
      <c r="T102" t="s">
        <v>271</v>
      </c>
      <c r="U102">
        <v>0.98373983739837401</v>
      </c>
      <c r="V102" t="s">
        <v>291</v>
      </c>
      <c r="W102">
        <v>1.1493902439024299</v>
      </c>
      <c r="X102" t="s">
        <v>256</v>
      </c>
      <c r="Y102">
        <v>1.0181818181818101</v>
      </c>
      <c r="Z102" t="s">
        <v>272</v>
      </c>
      <c r="AA102">
        <v>1.0426035502958499</v>
      </c>
      <c r="AB102" t="s">
        <v>272</v>
      </c>
      <c r="AC102">
        <v>1.1055618615209899</v>
      </c>
      <c r="AD102" t="s">
        <v>292</v>
      </c>
      <c r="AE102">
        <v>0.77471839799749598</v>
      </c>
      <c r="AF102" t="s">
        <v>220</v>
      </c>
      <c r="AG102">
        <v>0.96654719235364395</v>
      </c>
      <c r="AH102" t="s">
        <v>220</v>
      </c>
      <c r="AI102">
        <v>0.95797280593325096</v>
      </c>
      <c r="AJ102" t="s">
        <v>220</v>
      </c>
      <c r="AK102">
        <v>1.0787096774193501</v>
      </c>
      <c r="AL102" t="s">
        <v>288</v>
      </c>
      <c r="AM102">
        <v>1.3037037037037</v>
      </c>
      <c r="AN102" t="s">
        <v>204</v>
      </c>
      <c r="AO102">
        <v>0.97371565113500602</v>
      </c>
      <c r="AP102" t="s">
        <v>276</v>
      </c>
      <c r="AQ102">
        <v>1.055330781848</v>
      </c>
      <c r="AR102" t="s">
        <v>266</v>
      </c>
      <c r="AS102">
        <v>1.0874999999999999</v>
      </c>
      <c r="AT102" t="s">
        <v>201</v>
      </c>
      <c r="AU102">
        <v>0.99758556316116898</v>
      </c>
      <c r="AV102" t="s">
        <v>293</v>
      </c>
      <c r="AW102">
        <v>1.0318021201413401</v>
      </c>
      <c r="AX102" t="s">
        <v>264</v>
      </c>
      <c r="AY102">
        <v>1.0175644028102999</v>
      </c>
      <c r="AZ102" t="s">
        <v>204</v>
      </c>
      <c r="BA102">
        <v>0.85787671232876705</v>
      </c>
      <c r="BB102" t="s">
        <v>204</v>
      </c>
      <c r="BC102">
        <v>0.89421157684630703</v>
      </c>
      <c r="BD102" t="s">
        <v>265</v>
      </c>
      <c r="BE102">
        <v>1.260663507109</v>
      </c>
      <c r="BF102" t="s">
        <v>274</v>
      </c>
      <c r="BG102">
        <v>1.06841505131128</v>
      </c>
      <c r="BH102" t="s">
        <v>208</v>
      </c>
      <c r="BI102">
        <v>0.84668989547038298</v>
      </c>
      <c r="BJ102" t="s">
        <v>224</v>
      </c>
      <c r="BK102">
        <v>0.79475308641975295</v>
      </c>
      <c r="BL102" t="s">
        <v>272</v>
      </c>
      <c r="BM102">
        <v>1.0756646216768899</v>
      </c>
      <c r="BN102" t="s">
        <v>294</v>
      </c>
      <c r="BO102">
        <v>0.93267651888341496</v>
      </c>
      <c r="BP102" t="s">
        <v>288</v>
      </c>
      <c r="BQ102">
        <v>0.937037037037037</v>
      </c>
      <c r="BR102" t="s">
        <v>302</v>
      </c>
      <c r="BS102">
        <v>0.98668280871670699</v>
      </c>
      <c r="BT102" t="s">
        <v>288</v>
      </c>
      <c r="BU102">
        <v>1.0674285714285701</v>
      </c>
      <c r="BV102" t="s">
        <v>309</v>
      </c>
      <c r="BW102">
        <v>1.0893665158371</v>
      </c>
    </row>
    <row r="103" spans="1:75" x14ac:dyDescent="0.4">
      <c r="A103">
        <v>101</v>
      </c>
      <c r="B103" t="s">
        <v>283</v>
      </c>
      <c r="C103">
        <v>0.63548113771553605</v>
      </c>
      <c r="D103" t="s">
        <v>201</v>
      </c>
      <c r="E103">
        <v>0.68360660977402699</v>
      </c>
      <c r="F103" t="s">
        <v>271</v>
      </c>
      <c r="G103">
        <v>0.74107142857142805</v>
      </c>
      <c r="H103" t="s">
        <v>265</v>
      </c>
      <c r="I103">
        <v>1.3196480938416399</v>
      </c>
      <c r="J103" t="s">
        <v>271</v>
      </c>
      <c r="K103">
        <v>1.24839124839124</v>
      </c>
      <c r="L103" t="s">
        <v>297</v>
      </c>
      <c r="M103">
        <v>1.28865979381443</v>
      </c>
      <c r="N103" t="s">
        <v>297</v>
      </c>
      <c r="O103">
        <v>0.84199999999999997</v>
      </c>
      <c r="P103" t="s">
        <v>256</v>
      </c>
      <c r="Q103">
        <v>0.92935635792778604</v>
      </c>
      <c r="R103" t="s">
        <v>256</v>
      </c>
      <c r="S103">
        <v>0.89527027027026995</v>
      </c>
      <c r="T103" t="s">
        <v>256</v>
      </c>
      <c r="U103">
        <v>1.08679245283018</v>
      </c>
      <c r="V103" t="s">
        <v>279</v>
      </c>
      <c r="W103">
        <v>0.95652173913043403</v>
      </c>
      <c r="X103" t="s">
        <v>261</v>
      </c>
      <c r="Y103">
        <v>0.96635262449528903</v>
      </c>
      <c r="Z103" t="s">
        <v>306</v>
      </c>
      <c r="AA103">
        <v>0.95695364238410596</v>
      </c>
      <c r="AB103" t="s">
        <v>306</v>
      </c>
      <c r="AC103">
        <v>1.29411764705882</v>
      </c>
      <c r="AD103" t="s">
        <v>286</v>
      </c>
      <c r="AE103">
        <v>0.934306569343065</v>
      </c>
      <c r="AF103" t="s">
        <v>296</v>
      </c>
      <c r="AG103">
        <v>0.94977029096477705</v>
      </c>
      <c r="AH103" t="s">
        <v>296</v>
      </c>
      <c r="AI103">
        <v>0.96356014188971295</v>
      </c>
      <c r="AJ103" t="s">
        <v>296</v>
      </c>
      <c r="AK103">
        <v>1.1452476572958501</v>
      </c>
      <c r="AL103" t="s">
        <v>294</v>
      </c>
      <c r="AM103">
        <v>0.97233201581027595</v>
      </c>
      <c r="AN103" t="s">
        <v>277</v>
      </c>
      <c r="AO103">
        <v>1.2462987886944801</v>
      </c>
      <c r="AP103" t="s">
        <v>204</v>
      </c>
      <c r="AQ103">
        <v>1.20736196319018</v>
      </c>
      <c r="AR103" t="s">
        <v>201</v>
      </c>
      <c r="AS103">
        <v>1.41227545962667</v>
      </c>
      <c r="AT103" t="s">
        <v>293</v>
      </c>
      <c r="AU103">
        <v>0.82507288629737596</v>
      </c>
      <c r="AV103" t="s">
        <v>272</v>
      </c>
      <c r="AW103">
        <v>0.98457583547557803</v>
      </c>
      <c r="AX103" t="s">
        <v>293</v>
      </c>
      <c r="AY103">
        <v>1.1763698630136901</v>
      </c>
      <c r="AZ103" t="s">
        <v>292</v>
      </c>
      <c r="BA103">
        <v>1.00456621004566</v>
      </c>
      <c r="BB103" t="s">
        <v>292</v>
      </c>
      <c r="BC103">
        <v>1.5454545454545401</v>
      </c>
      <c r="BD103" t="s">
        <v>197</v>
      </c>
      <c r="BE103">
        <v>1.0186567164179099</v>
      </c>
      <c r="BF103" t="s">
        <v>293</v>
      </c>
      <c r="BG103">
        <v>1.6189555125725299</v>
      </c>
      <c r="BH103" t="s">
        <v>285</v>
      </c>
      <c r="BI103">
        <v>0.86122448979591804</v>
      </c>
      <c r="BJ103" t="s">
        <v>226</v>
      </c>
      <c r="BK103">
        <v>0.99015611876883503</v>
      </c>
      <c r="BL103" t="s">
        <v>204</v>
      </c>
      <c r="BM103">
        <v>0.99501661129568097</v>
      </c>
      <c r="BN103" t="s">
        <v>219</v>
      </c>
      <c r="BO103">
        <v>1.15568862275449</v>
      </c>
      <c r="BP103" t="s">
        <v>294</v>
      </c>
      <c r="BQ103">
        <v>0.97535211267605604</v>
      </c>
      <c r="BR103" t="s">
        <v>309</v>
      </c>
      <c r="BS103">
        <v>1.1042183622828701</v>
      </c>
      <c r="BT103" t="s">
        <v>294</v>
      </c>
      <c r="BU103">
        <v>1.06407766990291</v>
      </c>
      <c r="BV103" t="s">
        <v>229</v>
      </c>
      <c r="BW103">
        <v>1.17554240631163</v>
      </c>
    </row>
    <row r="104" spans="1:75" x14ac:dyDescent="0.4">
      <c r="A104">
        <v>102</v>
      </c>
      <c r="B104" t="s">
        <v>271</v>
      </c>
      <c r="C104">
        <v>1.32323232323232</v>
      </c>
      <c r="D104" t="s">
        <v>297</v>
      </c>
      <c r="E104">
        <v>0.795053003533568</v>
      </c>
      <c r="F104" t="s">
        <v>256</v>
      </c>
      <c r="G104">
        <v>0.93023255813953398</v>
      </c>
      <c r="H104" t="s">
        <v>197</v>
      </c>
      <c r="I104">
        <v>0.96801346801346799</v>
      </c>
      <c r="J104" t="s">
        <v>192</v>
      </c>
      <c r="K104">
        <v>1.6098024090666301</v>
      </c>
      <c r="L104" t="s">
        <v>279</v>
      </c>
      <c r="M104">
        <v>1</v>
      </c>
      <c r="N104" t="s">
        <v>279</v>
      </c>
      <c r="O104">
        <v>0.98909090909090902</v>
      </c>
      <c r="P104" t="s">
        <v>261</v>
      </c>
      <c r="Q104">
        <v>1.0539759768891499</v>
      </c>
      <c r="R104" t="s">
        <v>261</v>
      </c>
      <c r="S104">
        <v>0.90825158684362295</v>
      </c>
      <c r="T104" t="s">
        <v>261</v>
      </c>
      <c r="U104">
        <v>0.96267471410419303</v>
      </c>
      <c r="V104" t="s">
        <v>272</v>
      </c>
      <c r="W104">
        <v>1.1024691358024601</v>
      </c>
      <c r="X104" t="s">
        <v>262</v>
      </c>
      <c r="Y104">
        <v>0.97950819672131095</v>
      </c>
      <c r="Z104" t="s">
        <v>204</v>
      </c>
      <c r="AA104">
        <v>1.3212851405622399</v>
      </c>
      <c r="AB104" t="s">
        <v>292</v>
      </c>
      <c r="AC104">
        <v>0.96614268440145101</v>
      </c>
      <c r="AD104" t="s">
        <v>312</v>
      </c>
      <c r="AE104">
        <v>1.1974110032362399</v>
      </c>
      <c r="AF104" t="s">
        <v>288</v>
      </c>
      <c r="AG104">
        <v>1.02650176678445</v>
      </c>
      <c r="AH104" t="s">
        <v>288</v>
      </c>
      <c r="AI104">
        <v>0.846815834767642</v>
      </c>
      <c r="AJ104" t="s">
        <v>288</v>
      </c>
      <c r="AK104">
        <v>1.09756097560975</v>
      </c>
      <c r="AL104" t="s">
        <v>313</v>
      </c>
      <c r="AM104">
        <v>1.25791855203619</v>
      </c>
      <c r="AN104" t="s">
        <v>286</v>
      </c>
      <c r="AO104">
        <v>1.16627358490566</v>
      </c>
      <c r="AP104" t="s">
        <v>277</v>
      </c>
      <c r="AQ104">
        <v>1.5172786177105799</v>
      </c>
      <c r="AR104" t="s">
        <v>280</v>
      </c>
      <c r="AS104">
        <v>0.93384615384615299</v>
      </c>
      <c r="AT104" t="s">
        <v>291</v>
      </c>
      <c r="AU104">
        <v>1.318407960199</v>
      </c>
      <c r="AV104" t="s">
        <v>276</v>
      </c>
      <c r="AW104">
        <v>1.15383613390647</v>
      </c>
      <c r="AX104" t="s">
        <v>272</v>
      </c>
      <c r="AY104">
        <v>1.0861618798955599</v>
      </c>
      <c r="AZ104" t="s">
        <v>284</v>
      </c>
      <c r="BA104">
        <v>0.94380853277835497</v>
      </c>
      <c r="BB104" t="s">
        <v>284</v>
      </c>
      <c r="BC104">
        <v>0.84674751929437697</v>
      </c>
      <c r="BD104" t="s">
        <v>266</v>
      </c>
      <c r="BE104">
        <v>1.1944091486658099</v>
      </c>
      <c r="BF104" t="s">
        <v>272</v>
      </c>
      <c r="BG104">
        <v>1.13801452784503</v>
      </c>
      <c r="BH104" t="s">
        <v>213</v>
      </c>
      <c r="BI104">
        <v>1.09963768115942</v>
      </c>
      <c r="BJ104" t="s">
        <v>302</v>
      </c>
      <c r="BK104">
        <v>0.980530973451327</v>
      </c>
      <c r="BL104" t="s">
        <v>284</v>
      </c>
      <c r="BM104">
        <v>1.10849056603773</v>
      </c>
      <c r="BN104" t="s">
        <v>224</v>
      </c>
      <c r="BO104">
        <v>1.1902071563088501</v>
      </c>
      <c r="BP104" t="s">
        <v>224</v>
      </c>
      <c r="BQ104">
        <v>0.909810126582278</v>
      </c>
      <c r="BR104" t="s">
        <v>229</v>
      </c>
      <c r="BS104">
        <v>0.908203125</v>
      </c>
      <c r="BT104" t="s">
        <v>224</v>
      </c>
      <c r="BU104">
        <v>1.10079051383399</v>
      </c>
      <c r="BV104" t="s">
        <v>240</v>
      </c>
      <c r="BW104">
        <v>0.99887766554433199</v>
      </c>
    </row>
    <row r="105" spans="1:75" x14ac:dyDescent="0.4">
      <c r="A105">
        <v>103</v>
      </c>
      <c r="B105" t="s">
        <v>256</v>
      </c>
      <c r="C105">
        <v>1.0440067057837299</v>
      </c>
      <c r="D105" t="s">
        <v>291</v>
      </c>
      <c r="E105">
        <v>1.0186915887850401</v>
      </c>
      <c r="F105" t="s">
        <v>261</v>
      </c>
      <c r="G105">
        <v>0.830872483221476</v>
      </c>
      <c r="H105" t="s">
        <v>266</v>
      </c>
      <c r="I105">
        <v>0.955696202531645</v>
      </c>
      <c r="J105" t="s">
        <v>256</v>
      </c>
      <c r="K105">
        <v>1.0265625</v>
      </c>
      <c r="L105" t="s">
        <v>272</v>
      </c>
      <c r="M105">
        <v>0.90950744558991903</v>
      </c>
      <c r="N105" t="s">
        <v>272</v>
      </c>
      <c r="O105">
        <v>1.01133501259445</v>
      </c>
      <c r="P105" t="s">
        <v>262</v>
      </c>
      <c r="Q105">
        <v>1.11467889908256</v>
      </c>
      <c r="R105" t="s">
        <v>262</v>
      </c>
      <c r="S105">
        <v>0.87654320987654299</v>
      </c>
      <c r="T105" t="s">
        <v>262</v>
      </c>
      <c r="U105">
        <v>1.10328638497652</v>
      </c>
      <c r="V105" t="s">
        <v>306</v>
      </c>
      <c r="W105">
        <v>1.17077464788732</v>
      </c>
      <c r="X105" t="s">
        <v>266</v>
      </c>
      <c r="Y105">
        <v>1.1596958174904901</v>
      </c>
      <c r="Z105" t="s">
        <v>277</v>
      </c>
      <c r="AA105">
        <v>1.8777943368107299</v>
      </c>
      <c r="AB105" t="s">
        <v>284</v>
      </c>
      <c r="AC105">
        <v>0.62868654311039396</v>
      </c>
      <c r="AD105" t="s">
        <v>208</v>
      </c>
      <c r="AE105">
        <v>1.5796703296703201</v>
      </c>
      <c r="AF105" t="s">
        <v>294</v>
      </c>
      <c r="AG105">
        <v>1.1837524177949701</v>
      </c>
      <c r="AH105" t="s">
        <v>294</v>
      </c>
      <c r="AI105">
        <v>0.828431372549019</v>
      </c>
      <c r="AJ105" t="s">
        <v>294</v>
      </c>
      <c r="AK105">
        <v>0.99802761341222801</v>
      </c>
      <c r="AL105" t="s">
        <v>224</v>
      </c>
      <c r="AM105">
        <v>0.96761904761904705</v>
      </c>
      <c r="AN105" t="s">
        <v>281</v>
      </c>
      <c r="AO105">
        <v>1.1153846153846101</v>
      </c>
      <c r="AP105" t="s">
        <v>286</v>
      </c>
      <c r="AQ105">
        <v>1.31850353892821</v>
      </c>
      <c r="AR105" t="s">
        <v>293</v>
      </c>
      <c r="AS105">
        <v>0.80327868852458995</v>
      </c>
      <c r="AT105" t="s">
        <v>272</v>
      </c>
      <c r="AU105">
        <v>0.97250000000000003</v>
      </c>
      <c r="AV105" t="s">
        <v>204</v>
      </c>
      <c r="AW105">
        <v>0.96332046332046295</v>
      </c>
      <c r="AX105" t="s">
        <v>276</v>
      </c>
      <c r="AY105">
        <v>1.0838037179197699</v>
      </c>
      <c r="AZ105" t="s">
        <v>286</v>
      </c>
      <c r="BA105">
        <v>1</v>
      </c>
      <c r="BB105" t="s">
        <v>286</v>
      </c>
      <c r="BC105">
        <v>0.86062246278754995</v>
      </c>
      <c r="BD105" t="s">
        <v>264</v>
      </c>
      <c r="BE105">
        <v>0.97706422018348604</v>
      </c>
      <c r="BF105" t="s">
        <v>204</v>
      </c>
      <c r="BG105">
        <v>1.2678386763185101</v>
      </c>
      <c r="BH105" t="s">
        <v>294</v>
      </c>
      <c r="BI105">
        <v>1.13105413105413</v>
      </c>
      <c r="BJ105" t="s">
        <v>229</v>
      </c>
      <c r="BK105">
        <v>1.37190082644628</v>
      </c>
      <c r="BL105" t="s">
        <v>277</v>
      </c>
      <c r="BM105">
        <v>0.95141700404858298</v>
      </c>
      <c r="BN105" t="s">
        <v>302</v>
      </c>
      <c r="BO105">
        <v>0.95023696682464398</v>
      </c>
      <c r="BP105" t="s">
        <v>302</v>
      </c>
      <c r="BQ105">
        <v>1.02992518703241</v>
      </c>
      <c r="BR105" t="s">
        <v>315</v>
      </c>
      <c r="BS105">
        <v>0.91638795986622001</v>
      </c>
      <c r="BT105" t="s">
        <v>226</v>
      </c>
      <c r="BU105">
        <v>1.15845855087227</v>
      </c>
      <c r="BV105" t="s">
        <v>316</v>
      </c>
      <c r="BW105">
        <v>0.82621082621082598</v>
      </c>
    </row>
    <row r="106" spans="1:75" x14ac:dyDescent="0.4">
      <c r="A106">
        <v>104</v>
      </c>
      <c r="B106" t="s">
        <v>261</v>
      </c>
      <c r="C106">
        <v>0.93826830571886599</v>
      </c>
      <c r="D106" t="s">
        <v>318</v>
      </c>
      <c r="E106">
        <v>0.89075630252100801</v>
      </c>
      <c r="F106" t="s">
        <v>262</v>
      </c>
      <c r="G106">
        <v>0.652293577981651</v>
      </c>
      <c r="H106" t="s">
        <v>264</v>
      </c>
      <c r="I106">
        <v>1.3618275607958701</v>
      </c>
      <c r="J106" t="s">
        <v>261</v>
      </c>
      <c r="K106">
        <v>1.2732585320243099</v>
      </c>
      <c r="L106" t="s">
        <v>319</v>
      </c>
      <c r="M106">
        <v>0.87336775976054903</v>
      </c>
      <c r="N106" t="s">
        <v>319</v>
      </c>
      <c r="O106">
        <v>1.0314088803524999</v>
      </c>
      <c r="P106" t="s">
        <v>270</v>
      </c>
      <c r="Q106">
        <v>0.811328811856317</v>
      </c>
      <c r="R106" t="s">
        <v>266</v>
      </c>
      <c r="S106">
        <v>1.0826873385012901</v>
      </c>
      <c r="T106" t="s">
        <v>266</v>
      </c>
      <c r="U106">
        <v>1.6634844868734999</v>
      </c>
      <c r="V106" t="s">
        <v>204</v>
      </c>
      <c r="W106">
        <v>1.38055555555555</v>
      </c>
      <c r="X106" t="s">
        <v>201</v>
      </c>
      <c r="Y106">
        <v>0.89883203928595101</v>
      </c>
      <c r="Z106" t="s">
        <v>281</v>
      </c>
      <c r="AA106">
        <v>0.870488322717622</v>
      </c>
      <c r="AB106" t="s">
        <v>301</v>
      </c>
      <c r="AC106">
        <v>1.12380952380952</v>
      </c>
      <c r="AD106" t="s">
        <v>301</v>
      </c>
      <c r="AE106">
        <v>1.16525423728813</v>
      </c>
      <c r="AF106" t="s">
        <v>313</v>
      </c>
      <c r="AG106">
        <v>1.0931506849315</v>
      </c>
      <c r="AH106" t="s">
        <v>313</v>
      </c>
      <c r="AI106">
        <v>0.94611528822055102</v>
      </c>
      <c r="AJ106" t="s">
        <v>313</v>
      </c>
      <c r="AK106">
        <v>1.17086092715231</v>
      </c>
      <c r="AL106" t="s">
        <v>302</v>
      </c>
      <c r="AM106">
        <v>1.03523035230352</v>
      </c>
      <c r="AN106" t="s">
        <v>220</v>
      </c>
      <c r="AO106">
        <v>1.0023094688221701</v>
      </c>
      <c r="AP106" t="s">
        <v>281</v>
      </c>
      <c r="AQ106">
        <v>1.1293103448275801</v>
      </c>
      <c r="AR106" t="s">
        <v>291</v>
      </c>
      <c r="AS106">
        <v>1.0441558441558401</v>
      </c>
      <c r="AT106" t="s">
        <v>276</v>
      </c>
      <c r="AU106">
        <v>0.99563375410686406</v>
      </c>
      <c r="AV106" t="s">
        <v>292</v>
      </c>
      <c r="AW106">
        <v>0.99583333333333302</v>
      </c>
      <c r="AX106" t="s">
        <v>204</v>
      </c>
      <c r="AY106">
        <v>1.17034068136272</v>
      </c>
      <c r="AZ106" t="s">
        <v>208</v>
      </c>
      <c r="BA106">
        <v>1.15300546448087</v>
      </c>
      <c r="BB106" t="s">
        <v>299</v>
      </c>
      <c r="BC106">
        <v>1.1347517730496399</v>
      </c>
      <c r="BD106" t="s">
        <v>293</v>
      </c>
      <c r="BE106">
        <v>1.27027027027027</v>
      </c>
      <c r="BF106" t="s">
        <v>277</v>
      </c>
      <c r="BG106">
        <v>0.78996865203761701</v>
      </c>
      <c r="BH106" t="s">
        <v>302</v>
      </c>
      <c r="BI106">
        <v>1.2163616792249701</v>
      </c>
      <c r="BJ106" t="s">
        <v>240</v>
      </c>
      <c r="BK106">
        <v>0.93145654834761304</v>
      </c>
      <c r="BL106" t="s">
        <v>208</v>
      </c>
      <c r="BM106">
        <v>1.1203830369357</v>
      </c>
      <c r="BN106" t="s">
        <v>240</v>
      </c>
      <c r="BO106">
        <v>1.0722891566265</v>
      </c>
      <c r="BP106" t="s">
        <v>307</v>
      </c>
      <c r="BQ106">
        <v>1.04218928164196</v>
      </c>
      <c r="BR106" t="s">
        <v>240</v>
      </c>
      <c r="BS106">
        <v>0.84210526315789402</v>
      </c>
      <c r="BT106" t="s">
        <v>302</v>
      </c>
      <c r="BU106">
        <v>0.98036809815950898</v>
      </c>
      <c r="BV106" t="s">
        <v>320</v>
      </c>
      <c r="BW106">
        <v>1.22857142857142</v>
      </c>
    </row>
    <row r="107" spans="1:75" x14ac:dyDescent="0.4">
      <c r="A107">
        <v>105</v>
      </c>
      <c r="B107" t="s">
        <v>262</v>
      </c>
      <c r="C107">
        <v>0.89743589743589702</v>
      </c>
      <c r="D107" t="s">
        <v>279</v>
      </c>
      <c r="E107">
        <v>1.06493506493506</v>
      </c>
      <c r="F107" t="s">
        <v>270</v>
      </c>
      <c r="G107">
        <v>0.40383857836915099</v>
      </c>
      <c r="H107" t="s">
        <v>293</v>
      </c>
      <c r="I107">
        <v>0.93516209476309198</v>
      </c>
      <c r="J107" t="s">
        <v>195</v>
      </c>
      <c r="K107">
        <v>1.68952837729816</v>
      </c>
      <c r="L107" t="s">
        <v>204</v>
      </c>
      <c r="M107">
        <v>0.78284182305630001</v>
      </c>
      <c r="N107" t="s">
        <v>204</v>
      </c>
      <c r="O107">
        <v>0.89554794520547898</v>
      </c>
      <c r="P107" t="s">
        <v>266</v>
      </c>
      <c r="Q107">
        <v>0.91597633136094603</v>
      </c>
      <c r="R107" t="s">
        <v>293</v>
      </c>
      <c r="S107">
        <v>1.12544169611307</v>
      </c>
      <c r="T107" t="s">
        <v>201</v>
      </c>
      <c r="U107">
        <v>1.5206657939031201</v>
      </c>
      <c r="V107" t="s">
        <v>208</v>
      </c>
      <c r="W107">
        <v>1.2362804878048701</v>
      </c>
      <c r="X107" t="s">
        <v>297</v>
      </c>
      <c r="Y107">
        <v>0.92168674698795106</v>
      </c>
      <c r="Z107" t="s">
        <v>220</v>
      </c>
      <c r="AA107">
        <v>1.03869407496977</v>
      </c>
      <c r="AB107" t="s">
        <v>281</v>
      </c>
      <c r="AC107">
        <v>0.92073170731707299</v>
      </c>
      <c r="AD107" t="s">
        <v>220</v>
      </c>
      <c r="AE107">
        <v>1.0219780219780199</v>
      </c>
      <c r="AF107" t="s">
        <v>321</v>
      </c>
      <c r="AG107">
        <v>0.97021276595744599</v>
      </c>
      <c r="AH107" t="s">
        <v>321</v>
      </c>
      <c r="AI107">
        <v>0.64473684210526305</v>
      </c>
      <c r="AJ107" t="s">
        <v>224</v>
      </c>
      <c r="AK107">
        <v>1.1450381679389301</v>
      </c>
      <c r="AL107" t="s">
        <v>307</v>
      </c>
      <c r="AM107">
        <v>1.4765525982256</v>
      </c>
      <c r="AN107" t="s">
        <v>294</v>
      </c>
      <c r="AO107">
        <v>0.89837398373983701</v>
      </c>
      <c r="AP107" t="s">
        <v>220</v>
      </c>
      <c r="AQ107">
        <v>1.3306451612903201</v>
      </c>
      <c r="AR107" t="s">
        <v>272</v>
      </c>
      <c r="AS107">
        <v>1.0752688172042999</v>
      </c>
      <c r="AT107" t="s">
        <v>204</v>
      </c>
      <c r="AU107">
        <v>1.0277777777777699</v>
      </c>
      <c r="AV107" t="s">
        <v>284</v>
      </c>
      <c r="AW107">
        <v>0.91796875</v>
      </c>
      <c r="AX107" t="s">
        <v>292</v>
      </c>
      <c r="AY107">
        <v>1.2217573221757301</v>
      </c>
      <c r="AZ107" t="s">
        <v>281</v>
      </c>
      <c r="BA107">
        <v>1.48479087452471</v>
      </c>
      <c r="BB107" t="s">
        <v>285</v>
      </c>
      <c r="BC107">
        <v>0.83449235048678705</v>
      </c>
      <c r="BD107" t="s">
        <v>272</v>
      </c>
      <c r="BE107">
        <v>1.0868421052631501</v>
      </c>
      <c r="BF107" t="s">
        <v>286</v>
      </c>
      <c r="BG107">
        <v>0.99184782608695599</v>
      </c>
      <c r="BH107" t="s">
        <v>229</v>
      </c>
      <c r="BI107">
        <v>0.952755905511811</v>
      </c>
      <c r="BJ107" t="s">
        <v>316</v>
      </c>
      <c r="BK107">
        <v>1.0034423407917299</v>
      </c>
      <c r="BL107" t="s">
        <v>299</v>
      </c>
      <c r="BM107">
        <v>0.83730158730158699</v>
      </c>
      <c r="BN107" t="s">
        <v>258</v>
      </c>
      <c r="BO107">
        <v>1.1287284144426999</v>
      </c>
      <c r="BP107" t="s">
        <v>229</v>
      </c>
      <c r="BQ107">
        <v>1.0733752620545001</v>
      </c>
      <c r="BR107" t="s">
        <v>258</v>
      </c>
      <c r="BS107">
        <v>0.81233595800524905</v>
      </c>
      <c r="BT107" t="s">
        <v>309</v>
      </c>
      <c r="BU107">
        <v>0.99325842696629196</v>
      </c>
      <c r="BV107" t="s">
        <v>322</v>
      </c>
      <c r="BW107">
        <v>1.0313901345291401</v>
      </c>
    </row>
    <row r="108" spans="1:75" x14ac:dyDescent="0.4">
      <c r="A108">
        <v>106</v>
      </c>
      <c r="B108" t="s">
        <v>305</v>
      </c>
      <c r="C108">
        <v>0.95053502927518596</v>
      </c>
      <c r="D108" t="s">
        <v>272</v>
      </c>
      <c r="E108">
        <v>0.91249999999999998</v>
      </c>
      <c r="F108" t="s">
        <v>266</v>
      </c>
      <c r="G108">
        <v>0.58955223880596996</v>
      </c>
      <c r="H108" t="s">
        <v>279</v>
      </c>
      <c r="I108">
        <v>0.77210884353741405</v>
      </c>
      <c r="J108" t="s">
        <v>197</v>
      </c>
      <c r="K108">
        <v>1.8</v>
      </c>
      <c r="L108" t="s">
        <v>281</v>
      </c>
      <c r="M108">
        <v>1.03687050359712</v>
      </c>
      <c r="N108" t="s">
        <v>277</v>
      </c>
      <c r="O108">
        <v>1.29790026246719</v>
      </c>
      <c r="P108" t="s">
        <v>293</v>
      </c>
      <c r="Q108">
        <v>1.0500927643784701</v>
      </c>
      <c r="R108" t="s">
        <v>297</v>
      </c>
      <c r="S108">
        <v>0.88048780487804801</v>
      </c>
      <c r="T108" t="s">
        <v>293</v>
      </c>
      <c r="U108">
        <v>1.04552590266875</v>
      </c>
      <c r="V108" t="s">
        <v>281</v>
      </c>
      <c r="W108">
        <v>0.96392333709131905</v>
      </c>
      <c r="X108" t="s">
        <v>291</v>
      </c>
      <c r="Y108">
        <v>1.01591511936339</v>
      </c>
      <c r="Z108" t="s">
        <v>296</v>
      </c>
      <c r="AA108">
        <v>0.90350325152087196</v>
      </c>
      <c r="AB108" t="s">
        <v>220</v>
      </c>
      <c r="AC108">
        <v>0.95343422584400395</v>
      </c>
      <c r="AD108" t="s">
        <v>296</v>
      </c>
      <c r="AE108">
        <v>0.87299465240641705</v>
      </c>
      <c r="AF108" t="s">
        <v>224</v>
      </c>
      <c r="AG108">
        <v>1.02739726027397</v>
      </c>
      <c r="AH108" t="s">
        <v>224</v>
      </c>
      <c r="AI108">
        <v>0.76416666666666599</v>
      </c>
      <c r="AJ108" t="s">
        <v>302</v>
      </c>
      <c r="AK108">
        <v>0.88172043010752599</v>
      </c>
      <c r="AL108" t="s">
        <v>229</v>
      </c>
      <c r="AM108">
        <v>0.799043062200956</v>
      </c>
      <c r="AN108" t="s">
        <v>224</v>
      </c>
      <c r="AO108">
        <v>1.0925196850393699</v>
      </c>
      <c r="AP108" t="s">
        <v>288</v>
      </c>
      <c r="AQ108">
        <v>1.0802469135802399</v>
      </c>
      <c r="AR108" t="s">
        <v>276</v>
      </c>
      <c r="AS108">
        <v>0.79895002245017699</v>
      </c>
      <c r="AT108" t="s">
        <v>286</v>
      </c>
      <c r="AU108">
        <v>1.0831889081455801</v>
      </c>
      <c r="AV108" t="s">
        <v>324</v>
      </c>
      <c r="AW108">
        <v>0.94728915662650603</v>
      </c>
      <c r="AX108" t="s">
        <v>284</v>
      </c>
      <c r="AY108">
        <v>0.81787234042553103</v>
      </c>
      <c r="AZ108" t="s">
        <v>288</v>
      </c>
      <c r="BA108">
        <v>0.95244755244755197</v>
      </c>
      <c r="BB108" t="s">
        <v>288</v>
      </c>
      <c r="BC108">
        <v>0.82378854625550602</v>
      </c>
      <c r="BD108" t="s">
        <v>204</v>
      </c>
      <c r="BE108">
        <v>1.0792410714285701</v>
      </c>
      <c r="BF108" t="s">
        <v>285</v>
      </c>
      <c r="BG108">
        <v>1.0068493150684901</v>
      </c>
      <c r="BH108" t="s">
        <v>325</v>
      </c>
      <c r="BI108">
        <v>0.83832335329341301</v>
      </c>
      <c r="BJ108" t="s">
        <v>111</v>
      </c>
      <c r="BK108">
        <v>0.78590078328981705</v>
      </c>
      <c r="BL108" t="s">
        <v>294</v>
      </c>
      <c r="BM108">
        <v>0.93981481481481399</v>
      </c>
      <c r="BN108" t="s">
        <v>316</v>
      </c>
      <c r="BO108">
        <v>1.1929203539822999</v>
      </c>
      <c r="BP108" t="s">
        <v>240</v>
      </c>
      <c r="BQ108">
        <v>0.892747701736465</v>
      </c>
      <c r="BR108" t="s">
        <v>322</v>
      </c>
      <c r="BS108">
        <v>0.75604395604395602</v>
      </c>
      <c r="BT108" t="s">
        <v>229</v>
      </c>
      <c r="BU108">
        <v>1.09032258064516</v>
      </c>
      <c r="BV108" t="s">
        <v>250</v>
      </c>
      <c r="BW108">
        <v>1.04784688995215</v>
      </c>
    </row>
    <row r="109" spans="1:75" x14ac:dyDescent="0.4">
      <c r="A109">
        <v>107</v>
      </c>
      <c r="B109" t="s">
        <v>266</v>
      </c>
      <c r="C109">
        <v>0.97732181425485898</v>
      </c>
      <c r="D109" t="s">
        <v>276</v>
      </c>
      <c r="E109">
        <v>0.77081904239264598</v>
      </c>
      <c r="F109" t="s">
        <v>201</v>
      </c>
      <c r="G109">
        <v>0.52272302225546996</v>
      </c>
      <c r="H109" t="s">
        <v>272</v>
      </c>
      <c r="I109">
        <v>1.0049019607843099</v>
      </c>
      <c r="J109" t="s">
        <v>266</v>
      </c>
      <c r="K109">
        <v>2.90066225165562</v>
      </c>
      <c r="L109" t="s">
        <v>220</v>
      </c>
      <c r="M109">
        <v>1.0546163849154699</v>
      </c>
      <c r="N109" t="s">
        <v>281</v>
      </c>
      <c r="O109">
        <v>0.920208152645273</v>
      </c>
      <c r="P109" t="s">
        <v>297</v>
      </c>
      <c r="Q109">
        <v>0.97387173396674498</v>
      </c>
      <c r="R109" t="s">
        <v>279</v>
      </c>
      <c r="S109">
        <v>1.0884615384615299</v>
      </c>
      <c r="T109" t="s">
        <v>297</v>
      </c>
      <c r="U109">
        <v>0.94182825484764499</v>
      </c>
      <c r="V109" t="s">
        <v>220</v>
      </c>
      <c r="W109">
        <v>1.0076169749727899</v>
      </c>
      <c r="X109" t="s">
        <v>279</v>
      </c>
      <c r="Y109">
        <v>0.93181818181818099</v>
      </c>
      <c r="Z109" t="s">
        <v>288</v>
      </c>
      <c r="AA109">
        <v>1.47708333333333</v>
      </c>
      <c r="AB109" t="s">
        <v>296</v>
      </c>
      <c r="AC109">
        <v>0.86835384258184301</v>
      </c>
      <c r="AD109" t="s">
        <v>294</v>
      </c>
      <c r="AE109">
        <v>0.82852564102564097</v>
      </c>
      <c r="AF109" t="s">
        <v>302</v>
      </c>
      <c r="AG109">
        <v>1.28799149840595</v>
      </c>
      <c r="AH109" t="s">
        <v>302</v>
      </c>
      <c r="AI109">
        <v>0.69059405940593999</v>
      </c>
      <c r="AJ109" t="s">
        <v>307</v>
      </c>
      <c r="AK109">
        <v>1.1368876080691599</v>
      </c>
      <c r="AL109" t="s">
        <v>327</v>
      </c>
      <c r="AM109">
        <v>1.0663716814159201</v>
      </c>
      <c r="AN109" t="s">
        <v>226</v>
      </c>
      <c r="AO109">
        <v>1.01658784272346</v>
      </c>
      <c r="AP109" t="s">
        <v>224</v>
      </c>
      <c r="AQ109">
        <v>1.2018018018018</v>
      </c>
      <c r="AR109" t="s">
        <v>204</v>
      </c>
      <c r="AS109">
        <v>1.0243902439024299</v>
      </c>
      <c r="AT109" t="s">
        <v>281</v>
      </c>
      <c r="AU109">
        <v>1.3032721468475601</v>
      </c>
      <c r="AV109" t="s">
        <v>286</v>
      </c>
      <c r="AW109">
        <v>1.1599999999999999</v>
      </c>
      <c r="AX109" t="s">
        <v>324</v>
      </c>
      <c r="AY109">
        <v>1.57392686804451</v>
      </c>
      <c r="AZ109" t="s">
        <v>294</v>
      </c>
      <c r="BA109">
        <v>0.99797160243407701</v>
      </c>
      <c r="BB109" t="s">
        <v>294</v>
      </c>
      <c r="BC109">
        <v>0.91666666666666596</v>
      </c>
      <c r="BD109" t="s">
        <v>284</v>
      </c>
      <c r="BE109">
        <v>1.6276041666666601</v>
      </c>
      <c r="BF109" t="s">
        <v>288</v>
      </c>
      <c r="BG109">
        <v>1.1567164179104401</v>
      </c>
      <c r="BH109" t="s">
        <v>235</v>
      </c>
      <c r="BI109">
        <v>0.62847579814624099</v>
      </c>
      <c r="BJ109" t="s">
        <v>322</v>
      </c>
      <c r="BK109">
        <v>1.1578947368421</v>
      </c>
      <c r="BL109" t="s">
        <v>219</v>
      </c>
      <c r="BM109">
        <v>0.88594164456233404</v>
      </c>
      <c r="BN109" t="s">
        <v>322</v>
      </c>
      <c r="BO109">
        <v>0.84566210045662105</v>
      </c>
      <c r="BP109" t="s">
        <v>316</v>
      </c>
      <c r="BQ109">
        <v>1.2804154302670601</v>
      </c>
      <c r="BR109" t="s">
        <v>250</v>
      </c>
      <c r="BS109">
        <v>0.97788697788697698</v>
      </c>
      <c r="BT109" t="s">
        <v>240</v>
      </c>
      <c r="BU109">
        <v>1.2105978260869501</v>
      </c>
      <c r="BV109" t="s">
        <v>328</v>
      </c>
      <c r="BW109">
        <v>0.78463792078202699</v>
      </c>
    </row>
    <row r="110" spans="1:75" x14ac:dyDescent="0.4">
      <c r="A110">
        <v>108</v>
      </c>
      <c r="B110" t="s">
        <v>201</v>
      </c>
      <c r="C110">
        <v>1.11147820526484</v>
      </c>
      <c r="D110" t="s">
        <v>204</v>
      </c>
      <c r="E110">
        <v>0.92172211350293498</v>
      </c>
      <c r="F110" t="s">
        <v>297</v>
      </c>
      <c r="G110">
        <v>0.371111111111111</v>
      </c>
      <c r="H110" t="s">
        <v>276</v>
      </c>
      <c r="I110">
        <v>0.78769942377797797</v>
      </c>
      <c r="J110" t="s">
        <v>279</v>
      </c>
      <c r="K110">
        <v>1.2114537444933899</v>
      </c>
      <c r="L110" t="s">
        <v>211</v>
      </c>
      <c r="M110">
        <v>1.0067114093959699</v>
      </c>
      <c r="N110" t="s">
        <v>220</v>
      </c>
      <c r="O110">
        <v>1.1627620221948201</v>
      </c>
      <c r="P110" t="s">
        <v>279</v>
      </c>
      <c r="Q110">
        <v>0.95588235294117596</v>
      </c>
      <c r="R110" t="s">
        <v>272</v>
      </c>
      <c r="S110">
        <v>0.98069498069497996</v>
      </c>
      <c r="T110" t="s">
        <v>279</v>
      </c>
      <c r="U110">
        <v>0.97526501766784401</v>
      </c>
      <c r="V110" t="s">
        <v>288</v>
      </c>
      <c r="W110">
        <v>1.1183355006501901</v>
      </c>
      <c r="X110" t="s">
        <v>272</v>
      </c>
      <c r="Y110">
        <v>0.94624860022396395</v>
      </c>
      <c r="Z110" t="s">
        <v>294</v>
      </c>
      <c r="AA110">
        <v>0.80704041720990805</v>
      </c>
      <c r="AB110" t="s">
        <v>294</v>
      </c>
      <c r="AC110">
        <v>1.00807754442649</v>
      </c>
      <c r="AD110" t="s">
        <v>313</v>
      </c>
      <c r="AE110">
        <v>1.1679999999999999</v>
      </c>
      <c r="AF110" t="s">
        <v>307</v>
      </c>
      <c r="AG110">
        <v>1.2390109890109799</v>
      </c>
      <c r="AH110" t="s">
        <v>307</v>
      </c>
      <c r="AI110">
        <v>0.76940133037694003</v>
      </c>
      <c r="AJ110" t="s">
        <v>229</v>
      </c>
      <c r="AK110">
        <v>1.01210653753026</v>
      </c>
      <c r="AL110" t="s">
        <v>258</v>
      </c>
      <c r="AM110">
        <v>0.92244897959183603</v>
      </c>
      <c r="AN110" t="s">
        <v>302</v>
      </c>
      <c r="AO110">
        <v>1.0065445026177999</v>
      </c>
      <c r="AP110" t="s">
        <v>331</v>
      </c>
      <c r="AQ110">
        <v>1.3433476394849699</v>
      </c>
      <c r="AR110" t="s">
        <v>292</v>
      </c>
      <c r="AS110">
        <v>0.83866666666666601</v>
      </c>
      <c r="AT110" t="s">
        <v>288</v>
      </c>
      <c r="AU110">
        <v>1.07336523125996</v>
      </c>
      <c r="AV110" t="s">
        <v>208</v>
      </c>
      <c r="AW110">
        <v>0.82042648709315302</v>
      </c>
      <c r="AX110" t="s">
        <v>286</v>
      </c>
      <c r="AY110">
        <v>1.01931034482758</v>
      </c>
      <c r="AZ110" t="s">
        <v>219</v>
      </c>
      <c r="BA110">
        <v>1.2472527472527399</v>
      </c>
      <c r="BB110" t="s">
        <v>219</v>
      </c>
      <c r="BC110">
        <v>1.13876651982378</v>
      </c>
      <c r="BD110" t="s">
        <v>277</v>
      </c>
      <c r="BE110">
        <v>1</v>
      </c>
      <c r="BF110" t="s">
        <v>219</v>
      </c>
      <c r="BG110">
        <v>1.1191489361702101</v>
      </c>
      <c r="BH110" t="s">
        <v>316</v>
      </c>
      <c r="BI110">
        <v>0.84941520467836196</v>
      </c>
      <c r="BJ110" t="s">
        <v>332</v>
      </c>
      <c r="BK110">
        <v>0.92857142857142805</v>
      </c>
      <c r="BL110" t="s">
        <v>224</v>
      </c>
      <c r="BM110">
        <v>1.03106796116504</v>
      </c>
      <c r="BN110" t="s">
        <v>332</v>
      </c>
      <c r="BO110">
        <v>1.02521008403361</v>
      </c>
      <c r="BP110" t="s">
        <v>322</v>
      </c>
      <c r="BQ110">
        <v>0.98272138228941597</v>
      </c>
      <c r="BR110" t="s">
        <v>253</v>
      </c>
      <c r="BS110">
        <v>1.10382513661202</v>
      </c>
      <c r="BT110" t="s">
        <v>235</v>
      </c>
      <c r="BU110">
        <v>1.3493975903614399</v>
      </c>
      <c r="BV110" t="s">
        <v>257</v>
      </c>
      <c r="BW110">
        <v>1.0764705882352901</v>
      </c>
    </row>
    <row r="111" spans="1:75" x14ac:dyDescent="0.4">
      <c r="A111">
        <v>109</v>
      </c>
      <c r="B111" t="s">
        <v>297</v>
      </c>
      <c r="C111">
        <v>1.0017699115044201</v>
      </c>
      <c r="D111" t="s">
        <v>330</v>
      </c>
      <c r="E111">
        <v>0.82637362637362599</v>
      </c>
      <c r="F111" t="s">
        <v>291</v>
      </c>
      <c r="G111">
        <v>0.43669724770642199</v>
      </c>
      <c r="H111" t="s">
        <v>208</v>
      </c>
      <c r="I111">
        <v>0.87656250000000002</v>
      </c>
      <c r="J111" t="s">
        <v>272</v>
      </c>
      <c r="K111">
        <v>1.41951219512195</v>
      </c>
      <c r="L111" t="s">
        <v>294</v>
      </c>
      <c r="M111">
        <v>1.17044228694714</v>
      </c>
      <c r="N111" t="s">
        <v>294</v>
      </c>
      <c r="O111">
        <v>0.85806451612903201</v>
      </c>
      <c r="P111" t="s">
        <v>272</v>
      </c>
      <c r="Q111">
        <v>0.96762141967621396</v>
      </c>
      <c r="R111" t="s">
        <v>306</v>
      </c>
      <c r="S111">
        <v>1.1043165467625899</v>
      </c>
      <c r="T111" t="s">
        <v>272</v>
      </c>
      <c r="U111">
        <v>1.0629921259842501</v>
      </c>
      <c r="V111" t="s">
        <v>218</v>
      </c>
      <c r="W111">
        <v>1.03045133224578</v>
      </c>
      <c r="X111" t="s">
        <v>306</v>
      </c>
      <c r="Y111">
        <v>1.3624060150375901</v>
      </c>
      <c r="Z111" t="s">
        <v>313</v>
      </c>
      <c r="AA111">
        <v>1.0151006711409301</v>
      </c>
      <c r="AB111" t="s">
        <v>313</v>
      </c>
      <c r="AC111">
        <v>1.03305785123966</v>
      </c>
      <c r="AD111" t="s">
        <v>224</v>
      </c>
      <c r="AE111">
        <v>0.83787661406025804</v>
      </c>
      <c r="AF111" t="s">
        <v>229</v>
      </c>
      <c r="AG111">
        <v>1.09197651663405</v>
      </c>
      <c r="AH111" t="s">
        <v>229</v>
      </c>
      <c r="AI111">
        <v>0.74014336917562695</v>
      </c>
      <c r="AJ111" t="s">
        <v>327</v>
      </c>
      <c r="AK111">
        <v>1.00444444444444</v>
      </c>
      <c r="AL111" t="s">
        <v>332</v>
      </c>
      <c r="AM111">
        <v>1.0598958333333299</v>
      </c>
      <c r="AN111" t="s">
        <v>229</v>
      </c>
      <c r="AO111">
        <v>1.1916167664670601</v>
      </c>
      <c r="AP111" t="s">
        <v>226</v>
      </c>
      <c r="AQ111">
        <v>0.92307692307692302</v>
      </c>
      <c r="AR111" t="s">
        <v>286</v>
      </c>
      <c r="AS111">
        <v>0.88496932515337401</v>
      </c>
      <c r="AT111" t="s">
        <v>224</v>
      </c>
      <c r="AU111">
        <v>0.90625</v>
      </c>
      <c r="AV111" t="s">
        <v>299</v>
      </c>
      <c r="AW111">
        <v>1.27519379844961</v>
      </c>
      <c r="AX111" t="s">
        <v>208</v>
      </c>
      <c r="AY111">
        <v>1.00136798905608</v>
      </c>
      <c r="AZ111" t="s">
        <v>224</v>
      </c>
      <c r="BA111">
        <v>0.924193548387096</v>
      </c>
      <c r="BB111" t="s">
        <v>224</v>
      </c>
      <c r="BC111">
        <v>0.79406631762652702</v>
      </c>
      <c r="BD111" t="s">
        <v>286</v>
      </c>
      <c r="BE111">
        <v>1.1572327044025099</v>
      </c>
      <c r="BF111" t="s">
        <v>224</v>
      </c>
      <c r="BG111">
        <v>1.17592592592592</v>
      </c>
      <c r="BH111" t="s">
        <v>111</v>
      </c>
      <c r="BI111">
        <v>0.86848072562358203</v>
      </c>
      <c r="BJ111" t="s">
        <v>328</v>
      </c>
      <c r="BK111">
        <v>0.92376534261138499</v>
      </c>
      <c r="BL111" t="s">
        <v>226</v>
      </c>
      <c r="BM111">
        <v>1.1368642957825501</v>
      </c>
      <c r="BN111" t="s">
        <v>250</v>
      </c>
      <c r="BO111">
        <v>1.28292682926829</v>
      </c>
      <c r="BP111" t="s">
        <v>250</v>
      </c>
      <c r="BQ111">
        <v>0.77376425855513298</v>
      </c>
      <c r="BR111" t="s">
        <v>328</v>
      </c>
      <c r="BS111">
        <v>0.901958022256655</v>
      </c>
      <c r="BT111" t="s">
        <v>258</v>
      </c>
      <c r="BU111">
        <v>1.17932148626817</v>
      </c>
      <c r="BV111" t="s">
        <v>260</v>
      </c>
      <c r="BW111">
        <v>1.1378132118451001</v>
      </c>
    </row>
    <row r="112" spans="1:75" x14ac:dyDescent="0.4">
      <c r="A112">
        <v>110</v>
      </c>
      <c r="B112" t="s">
        <v>279</v>
      </c>
      <c r="C112">
        <v>1.2270916334661299</v>
      </c>
      <c r="D112" t="s">
        <v>286</v>
      </c>
      <c r="E112">
        <v>0.87057220708446803</v>
      </c>
      <c r="F112" t="s">
        <v>318</v>
      </c>
      <c r="G112">
        <v>0.490566037735849</v>
      </c>
      <c r="H112" t="s">
        <v>281</v>
      </c>
      <c r="I112">
        <v>0.97110552763819002</v>
      </c>
      <c r="J112" t="s">
        <v>204</v>
      </c>
      <c r="K112">
        <v>1.33214285714285</v>
      </c>
      <c r="L112" t="s">
        <v>304</v>
      </c>
      <c r="M112">
        <v>1.1253405994550401</v>
      </c>
      <c r="N112" t="s">
        <v>304</v>
      </c>
      <c r="O112">
        <v>1.2893462469733601</v>
      </c>
      <c r="P112" t="s">
        <v>319</v>
      </c>
      <c r="Q112">
        <v>1.1796837915799401</v>
      </c>
      <c r="R112" t="s">
        <v>204</v>
      </c>
      <c r="S112">
        <v>1.15357142857142</v>
      </c>
      <c r="T112" t="s">
        <v>306</v>
      </c>
      <c r="U112">
        <v>0.925081433224755</v>
      </c>
      <c r="V112" t="s">
        <v>294</v>
      </c>
      <c r="W112">
        <v>1.14039408866995</v>
      </c>
      <c r="X112" t="s">
        <v>204</v>
      </c>
      <c r="Y112">
        <v>1.0020120724346</v>
      </c>
      <c r="Z112" t="s">
        <v>224</v>
      </c>
      <c r="AA112">
        <v>1.1076320939334601</v>
      </c>
      <c r="AB112" t="s">
        <v>321</v>
      </c>
      <c r="AC112">
        <v>0.818965517241379</v>
      </c>
      <c r="AD112" t="s">
        <v>302</v>
      </c>
      <c r="AE112">
        <v>0.68089725036179405</v>
      </c>
      <c r="AF112" t="s">
        <v>327</v>
      </c>
      <c r="AG112">
        <v>1.0903614457831301</v>
      </c>
      <c r="AH112" t="s">
        <v>327</v>
      </c>
      <c r="AI112">
        <v>1.24309392265193</v>
      </c>
      <c r="AJ112" t="s">
        <v>258</v>
      </c>
      <c r="AK112">
        <v>1.03813559322033</v>
      </c>
      <c r="AL112" t="s">
        <v>250</v>
      </c>
      <c r="AM112">
        <v>0.91739335882125495</v>
      </c>
      <c r="AN112" t="s">
        <v>327</v>
      </c>
      <c r="AO112">
        <v>1.0331950207468801</v>
      </c>
      <c r="AP112" t="s">
        <v>302</v>
      </c>
      <c r="AQ112">
        <v>1.5084525357607199</v>
      </c>
      <c r="AR112" t="s">
        <v>299</v>
      </c>
      <c r="AS112">
        <v>0.83333333333333304</v>
      </c>
      <c r="AT112" t="s">
        <v>302</v>
      </c>
      <c r="AU112">
        <v>1.1635687732341999</v>
      </c>
      <c r="AV112" t="s">
        <v>281</v>
      </c>
      <c r="AW112">
        <v>1.0251071647274901</v>
      </c>
      <c r="AX112" t="s">
        <v>281</v>
      </c>
      <c r="AY112">
        <v>1.2568697729988001</v>
      </c>
      <c r="AZ112" t="s">
        <v>226</v>
      </c>
      <c r="BA112">
        <v>0.77837712358809197</v>
      </c>
      <c r="BB112" t="s">
        <v>226</v>
      </c>
      <c r="BC112">
        <v>0.85764177745687398</v>
      </c>
      <c r="BD112" t="s">
        <v>288</v>
      </c>
      <c r="BE112">
        <v>1.19429590017825</v>
      </c>
      <c r="BF112" t="s">
        <v>226</v>
      </c>
      <c r="BG112">
        <v>1.08332862443728</v>
      </c>
      <c r="BH112" t="s">
        <v>332</v>
      </c>
      <c r="BI112">
        <v>0.83291139240506296</v>
      </c>
      <c r="BJ112" t="s">
        <v>257</v>
      </c>
      <c r="BK112">
        <v>1.20823244552058</v>
      </c>
      <c r="BL112" t="s">
        <v>302</v>
      </c>
      <c r="BM112">
        <v>0.76173285198555896</v>
      </c>
      <c r="BN112" t="s">
        <v>253</v>
      </c>
      <c r="BO112">
        <v>0.89228295819935599</v>
      </c>
      <c r="BP112" t="s">
        <v>253</v>
      </c>
      <c r="BQ112">
        <v>0.98918918918918897</v>
      </c>
      <c r="BR112" t="s">
        <v>257</v>
      </c>
      <c r="BS112">
        <v>0.95585412667946201</v>
      </c>
      <c r="BT112" t="s">
        <v>316</v>
      </c>
      <c r="BU112">
        <v>1.1680532445923399</v>
      </c>
      <c r="BV112" t="s">
        <v>334</v>
      </c>
      <c r="BW112">
        <v>1.0249632892804601</v>
      </c>
    </row>
    <row r="113" spans="1:75" x14ac:dyDescent="0.4">
      <c r="A113">
        <v>111</v>
      </c>
      <c r="B113" t="s">
        <v>272</v>
      </c>
      <c r="C113">
        <v>1.09965635738831</v>
      </c>
      <c r="D113" t="s">
        <v>281</v>
      </c>
      <c r="E113">
        <v>0.65721819380355895</v>
      </c>
      <c r="F113" t="s">
        <v>272</v>
      </c>
      <c r="G113">
        <v>0.69863013698630105</v>
      </c>
      <c r="H113" t="s">
        <v>220</v>
      </c>
      <c r="I113">
        <v>0.82270408163265296</v>
      </c>
      <c r="J113" t="s">
        <v>281</v>
      </c>
      <c r="K113">
        <v>1.4385510996119</v>
      </c>
      <c r="L113" t="s">
        <v>336</v>
      </c>
      <c r="M113">
        <v>0.95117845117845101</v>
      </c>
      <c r="N113" t="s">
        <v>219</v>
      </c>
      <c r="O113">
        <v>0.97041420118343102</v>
      </c>
      <c r="P113" t="s">
        <v>204</v>
      </c>
      <c r="Q113">
        <v>1.07074569789674</v>
      </c>
      <c r="R113" t="s">
        <v>277</v>
      </c>
      <c r="S113">
        <v>1.27768014059753</v>
      </c>
      <c r="T113" t="s">
        <v>204</v>
      </c>
      <c r="U113">
        <v>1.1145510835913299</v>
      </c>
      <c r="V113" t="s">
        <v>336</v>
      </c>
      <c r="W113">
        <v>0.99255121042830496</v>
      </c>
      <c r="X113" t="s">
        <v>284</v>
      </c>
      <c r="Y113">
        <v>1.3221654363051201</v>
      </c>
      <c r="Z113" t="s">
        <v>302</v>
      </c>
      <c r="AA113">
        <v>1.1491228070175401</v>
      </c>
      <c r="AB113" t="s">
        <v>224</v>
      </c>
      <c r="AC113">
        <v>1.2314487632508799</v>
      </c>
      <c r="AD113" t="s">
        <v>307</v>
      </c>
      <c r="AE113">
        <v>0.86769964243146602</v>
      </c>
      <c r="AF113" t="s">
        <v>258</v>
      </c>
      <c r="AG113">
        <v>1.38053097345132</v>
      </c>
      <c r="AH113" t="s">
        <v>258</v>
      </c>
      <c r="AI113">
        <v>0.75641025641025605</v>
      </c>
      <c r="AJ113" t="s">
        <v>316</v>
      </c>
      <c r="AK113">
        <v>0.94758064516129004</v>
      </c>
      <c r="AL113" t="s">
        <v>337</v>
      </c>
      <c r="AM113">
        <v>0.93396295636313997</v>
      </c>
      <c r="AN113" t="s">
        <v>258</v>
      </c>
      <c r="AO113">
        <v>1.04424778761061</v>
      </c>
      <c r="AP113" t="s">
        <v>229</v>
      </c>
      <c r="AQ113">
        <v>0.90703517587939697</v>
      </c>
      <c r="AR113" t="s">
        <v>281</v>
      </c>
      <c r="AS113">
        <v>0.86953504510756396</v>
      </c>
      <c r="AT113" t="s">
        <v>309</v>
      </c>
      <c r="AU113">
        <v>1.0358490566037699</v>
      </c>
      <c r="AV113" t="s">
        <v>220</v>
      </c>
      <c r="AW113">
        <v>1.0403225806451599</v>
      </c>
      <c r="AX113" t="s">
        <v>294</v>
      </c>
      <c r="AY113">
        <v>0.83136593591905505</v>
      </c>
      <c r="AZ113" t="s">
        <v>302</v>
      </c>
      <c r="BA113">
        <v>1.1261363636363599</v>
      </c>
      <c r="BB113" t="s">
        <v>302</v>
      </c>
      <c r="BC113">
        <v>0.93642785065590295</v>
      </c>
      <c r="BD113" t="s">
        <v>224</v>
      </c>
      <c r="BE113">
        <v>1.1868131868131799</v>
      </c>
      <c r="BF113" t="s">
        <v>302</v>
      </c>
      <c r="BG113">
        <v>1.13569682151589</v>
      </c>
      <c r="BH113" t="s">
        <v>328</v>
      </c>
      <c r="BI113">
        <v>0.87451507391160999</v>
      </c>
      <c r="BJ113" t="s">
        <v>338</v>
      </c>
      <c r="BK113">
        <v>1.2610229276895899</v>
      </c>
      <c r="BL113" t="s">
        <v>240</v>
      </c>
      <c r="BM113">
        <v>1.19973718791064</v>
      </c>
      <c r="BN113" t="s">
        <v>328</v>
      </c>
      <c r="BO113">
        <v>1.0322589615951501</v>
      </c>
      <c r="BP113" t="s">
        <v>328</v>
      </c>
      <c r="BQ113">
        <v>0.956248821358334</v>
      </c>
      <c r="BR113" t="s">
        <v>334</v>
      </c>
      <c r="BS113">
        <v>0.91460055096418702</v>
      </c>
      <c r="BT113" t="s">
        <v>322</v>
      </c>
      <c r="BU113">
        <v>0.97238372093023195</v>
      </c>
      <c r="BV113" t="s">
        <v>338</v>
      </c>
      <c r="BW113">
        <v>1.02225312934631</v>
      </c>
    </row>
    <row r="114" spans="1:75" x14ac:dyDescent="0.4">
      <c r="A114">
        <v>112</v>
      </c>
      <c r="B114" t="s">
        <v>204</v>
      </c>
      <c r="C114">
        <v>1.0261044176706799</v>
      </c>
      <c r="D114" t="s">
        <v>220</v>
      </c>
      <c r="E114">
        <v>0.91071428571428503</v>
      </c>
      <c r="F114" t="s">
        <v>204</v>
      </c>
      <c r="G114">
        <v>0.69426751592356595</v>
      </c>
      <c r="H114" t="s">
        <v>294</v>
      </c>
      <c r="I114">
        <v>0.80113636363636298</v>
      </c>
      <c r="J114" t="s">
        <v>220</v>
      </c>
      <c r="K114">
        <v>1.1922480620155</v>
      </c>
      <c r="L114" t="s">
        <v>313</v>
      </c>
      <c r="M114">
        <v>1.06698564593301</v>
      </c>
      <c r="N114" t="s">
        <v>336</v>
      </c>
      <c r="O114">
        <v>0.913274336283185</v>
      </c>
      <c r="P114" t="s">
        <v>277</v>
      </c>
      <c r="Q114">
        <v>1.1506572295247699</v>
      </c>
      <c r="R114" t="s">
        <v>208</v>
      </c>
      <c r="S114">
        <v>1.1771523178807899</v>
      </c>
      <c r="T114" t="s">
        <v>277</v>
      </c>
      <c r="U114">
        <v>1.0398899587345201</v>
      </c>
      <c r="V114" t="s">
        <v>313</v>
      </c>
      <c r="W114">
        <v>1.0155709342560499</v>
      </c>
      <c r="X114" t="s">
        <v>277</v>
      </c>
      <c r="Y114">
        <v>1.0633914421552999</v>
      </c>
      <c r="Z114" t="s">
        <v>307</v>
      </c>
      <c r="AA114">
        <v>1.3370473537604399</v>
      </c>
      <c r="AB114" t="s">
        <v>302</v>
      </c>
      <c r="AC114">
        <v>1.0549618320610601</v>
      </c>
      <c r="AD114" t="s">
        <v>327</v>
      </c>
      <c r="AE114">
        <v>0.81372549019607798</v>
      </c>
      <c r="AF114" t="s">
        <v>111</v>
      </c>
      <c r="AG114">
        <v>1.1883536775130501</v>
      </c>
      <c r="AH114" t="s">
        <v>332</v>
      </c>
      <c r="AI114">
        <v>0.79300291545189505</v>
      </c>
      <c r="AJ114" t="s">
        <v>339</v>
      </c>
      <c r="AK114">
        <v>1.22535211267605</v>
      </c>
      <c r="AL114" t="s">
        <v>340</v>
      </c>
      <c r="AM114">
        <v>0.871428571428571</v>
      </c>
      <c r="AN114" t="s">
        <v>339</v>
      </c>
      <c r="AO114">
        <v>1.01932367149758</v>
      </c>
      <c r="AP114" t="s">
        <v>327</v>
      </c>
      <c r="AQ114">
        <v>0.97389558232931694</v>
      </c>
      <c r="AR114" t="s">
        <v>220</v>
      </c>
      <c r="AS114">
        <v>1.03896103896103</v>
      </c>
      <c r="AT114" t="s">
        <v>229</v>
      </c>
      <c r="AU114">
        <v>1.24011299435028</v>
      </c>
      <c r="AV114" t="s">
        <v>288</v>
      </c>
      <c r="AW114">
        <v>1.0505200594353601</v>
      </c>
      <c r="AX114" t="s">
        <v>224</v>
      </c>
      <c r="AY114">
        <v>1.0616438356164299</v>
      </c>
      <c r="AZ114" t="s">
        <v>309</v>
      </c>
      <c r="BA114">
        <v>1.03300733496332</v>
      </c>
      <c r="BB114" t="s">
        <v>309</v>
      </c>
      <c r="BC114">
        <v>0.92899408284023599</v>
      </c>
      <c r="BD114" t="s">
        <v>226</v>
      </c>
      <c r="BE114">
        <v>0.971659696739538</v>
      </c>
      <c r="BF114" t="s">
        <v>229</v>
      </c>
      <c r="BG114">
        <v>1.3510638297872299</v>
      </c>
      <c r="BH114" t="s">
        <v>257</v>
      </c>
      <c r="BI114">
        <v>0.92393736017896999</v>
      </c>
      <c r="BJ114" t="s">
        <v>341</v>
      </c>
      <c r="BK114">
        <v>1.15422885572139</v>
      </c>
      <c r="BL114" t="s">
        <v>258</v>
      </c>
      <c r="BM114">
        <v>1.01271860095389</v>
      </c>
      <c r="BN114" t="s">
        <v>257</v>
      </c>
      <c r="BO114">
        <v>1.0240963855421601</v>
      </c>
      <c r="BP114" t="s">
        <v>257</v>
      </c>
      <c r="BQ114">
        <v>1.0215686274509801</v>
      </c>
      <c r="BR114" t="s">
        <v>338</v>
      </c>
      <c r="BS114">
        <v>1.1119751166407399</v>
      </c>
      <c r="BT114" t="s">
        <v>332</v>
      </c>
      <c r="BU114">
        <v>1.0445544554455399</v>
      </c>
      <c r="BV114" t="s">
        <v>342</v>
      </c>
      <c r="BW114">
        <v>1.1299093655589101</v>
      </c>
    </row>
    <row r="115" spans="1:75" x14ac:dyDescent="0.4">
      <c r="A115">
        <v>113</v>
      </c>
      <c r="B115" t="s">
        <v>330</v>
      </c>
      <c r="C115">
        <v>0.73092369477911601</v>
      </c>
      <c r="D115" t="s">
        <v>290</v>
      </c>
      <c r="E115">
        <v>0.76161415460308401</v>
      </c>
      <c r="F115" t="s">
        <v>330</v>
      </c>
      <c r="G115">
        <v>0.253324468085106</v>
      </c>
      <c r="H115" t="s">
        <v>304</v>
      </c>
      <c r="I115">
        <v>0.96870554765291605</v>
      </c>
      <c r="J115" t="s">
        <v>211</v>
      </c>
      <c r="K115">
        <v>1.09558823529411</v>
      </c>
      <c r="L115" t="s">
        <v>224</v>
      </c>
      <c r="M115">
        <v>0.84032476319350402</v>
      </c>
      <c r="N115" t="s">
        <v>313</v>
      </c>
      <c r="O115">
        <v>0.80269058295964102</v>
      </c>
      <c r="P115" t="s">
        <v>208</v>
      </c>
      <c r="Q115">
        <v>1.15047619047619</v>
      </c>
      <c r="R115" t="s">
        <v>281</v>
      </c>
      <c r="S115">
        <v>0.87222222222222201</v>
      </c>
      <c r="T115" t="s">
        <v>208</v>
      </c>
      <c r="U115">
        <v>0.92264416315049202</v>
      </c>
      <c r="V115" t="s">
        <v>224</v>
      </c>
      <c r="W115">
        <v>1.2431332655137299</v>
      </c>
      <c r="X115" t="s">
        <v>312</v>
      </c>
      <c r="Y115">
        <v>1.3</v>
      </c>
      <c r="Z115" t="s">
        <v>315</v>
      </c>
      <c r="AA115">
        <v>1.4163934426229501</v>
      </c>
      <c r="AB115" t="s">
        <v>307</v>
      </c>
      <c r="AC115">
        <v>0.87395833333333295</v>
      </c>
      <c r="AD115" t="s">
        <v>258</v>
      </c>
      <c r="AE115">
        <v>0.82481751824817495</v>
      </c>
      <c r="AF115" t="s">
        <v>337</v>
      </c>
      <c r="AG115">
        <v>1.1879997724468701</v>
      </c>
      <c r="AH115" t="s">
        <v>337</v>
      </c>
      <c r="AI115">
        <v>0.65589137113415896</v>
      </c>
      <c r="AJ115" t="s">
        <v>111</v>
      </c>
      <c r="AK115">
        <v>0.91091481785812101</v>
      </c>
      <c r="AL115" t="s">
        <v>345</v>
      </c>
      <c r="AM115">
        <v>0.990783410138248</v>
      </c>
      <c r="AN115" t="s">
        <v>111</v>
      </c>
      <c r="AO115">
        <v>1.2390832114199499</v>
      </c>
      <c r="AP115" t="s">
        <v>258</v>
      </c>
      <c r="AQ115">
        <v>1.16525423728813</v>
      </c>
      <c r="AR115" t="s">
        <v>294</v>
      </c>
      <c r="AS115">
        <v>0.94377510040160595</v>
      </c>
      <c r="AT115" t="s">
        <v>327</v>
      </c>
      <c r="AU115">
        <v>1.1344537815125999</v>
      </c>
      <c r="AV115" t="s">
        <v>294</v>
      </c>
      <c r="AW115">
        <v>1.05704099821746</v>
      </c>
      <c r="AX115" t="s">
        <v>302</v>
      </c>
      <c r="AY115">
        <v>0.81180811808118003</v>
      </c>
      <c r="AZ115" t="s">
        <v>229</v>
      </c>
      <c r="BA115">
        <v>0.87234042553191404</v>
      </c>
      <c r="BB115" t="s">
        <v>229</v>
      </c>
      <c r="BC115">
        <v>0.76829268292682895</v>
      </c>
      <c r="BD115" t="s">
        <v>302</v>
      </c>
      <c r="BE115">
        <v>0.881465517241379</v>
      </c>
      <c r="BF115" t="s">
        <v>240</v>
      </c>
      <c r="BG115">
        <v>0.96530612244897895</v>
      </c>
      <c r="BH115" t="s">
        <v>338</v>
      </c>
      <c r="BI115">
        <v>0.83137829912023398</v>
      </c>
      <c r="BJ115" t="s">
        <v>346</v>
      </c>
      <c r="BK115">
        <v>1.08346709470304</v>
      </c>
      <c r="BL115" t="s">
        <v>316</v>
      </c>
      <c r="BM115">
        <v>0.96912521440823296</v>
      </c>
      <c r="BN115" t="s">
        <v>347</v>
      </c>
      <c r="BO115">
        <v>1.4341534008682999</v>
      </c>
      <c r="BP115" t="s">
        <v>334</v>
      </c>
      <c r="BQ115">
        <v>0.96031746031746001</v>
      </c>
      <c r="BR115" t="s">
        <v>342</v>
      </c>
      <c r="BS115">
        <v>1.0833333333333299</v>
      </c>
      <c r="BT115" t="s">
        <v>250</v>
      </c>
      <c r="BU115">
        <v>1.0502512562813999</v>
      </c>
      <c r="BV115" t="s">
        <v>348</v>
      </c>
      <c r="BW115">
        <v>1.0200729927007299</v>
      </c>
    </row>
    <row r="116" spans="1:75" x14ac:dyDescent="0.4">
      <c r="A116">
        <v>114</v>
      </c>
      <c r="B116" t="s">
        <v>286</v>
      </c>
      <c r="C116">
        <v>1.0922619047619</v>
      </c>
      <c r="D116" t="s">
        <v>288</v>
      </c>
      <c r="E116">
        <v>0.79615384615384599</v>
      </c>
      <c r="F116" t="s">
        <v>208</v>
      </c>
      <c r="G116">
        <v>0.92086330935251803</v>
      </c>
      <c r="H116" t="s">
        <v>336</v>
      </c>
      <c r="I116">
        <v>1.0674373795761001</v>
      </c>
      <c r="J116" t="s">
        <v>294</v>
      </c>
      <c r="K116">
        <v>1.3148936170212699</v>
      </c>
      <c r="L116" t="s">
        <v>302</v>
      </c>
      <c r="M116">
        <v>0.84501347708894803</v>
      </c>
      <c r="N116" t="s">
        <v>224</v>
      </c>
      <c r="O116">
        <v>0.82769726247987097</v>
      </c>
      <c r="P116" t="s">
        <v>281</v>
      </c>
      <c r="Q116">
        <v>1.01790763430725</v>
      </c>
      <c r="R116" t="s">
        <v>220</v>
      </c>
      <c r="S116">
        <v>0.94226579520697096</v>
      </c>
      <c r="T116" t="s">
        <v>281</v>
      </c>
      <c r="U116">
        <v>0.94161358811040297</v>
      </c>
      <c r="V116" t="s">
        <v>350</v>
      </c>
      <c r="W116">
        <v>0.78348214285714202</v>
      </c>
      <c r="X116" t="s">
        <v>281</v>
      </c>
      <c r="Y116">
        <v>1.1017543859649099</v>
      </c>
      <c r="Z116" t="s">
        <v>327</v>
      </c>
      <c r="AA116">
        <v>0.901913875598086</v>
      </c>
      <c r="AB116" t="s">
        <v>325</v>
      </c>
      <c r="AC116">
        <v>0.78973105134474297</v>
      </c>
      <c r="AD116" t="s">
        <v>111</v>
      </c>
      <c r="AE116">
        <v>0.74256002054178905</v>
      </c>
      <c r="AF116" t="s">
        <v>340</v>
      </c>
      <c r="AG116">
        <v>1.0978723404255299</v>
      </c>
      <c r="AH116" t="s">
        <v>340</v>
      </c>
      <c r="AI116">
        <v>0.71317829457364301</v>
      </c>
      <c r="AJ116" t="s">
        <v>337</v>
      </c>
      <c r="AK116">
        <v>0.87063773088997498</v>
      </c>
      <c r="AL116" t="s">
        <v>328</v>
      </c>
      <c r="AM116">
        <v>1.25317146364752</v>
      </c>
      <c r="AN116" t="s">
        <v>332</v>
      </c>
      <c r="AO116">
        <v>0.93857493857493801</v>
      </c>
      <c r="AP116" t="s">
        <v>339</v>
      </c>
      <c r="AQ116">
        <v>1.3459715639810399</v>
      </c>
      <c r="AR116" t="s">
        <v>224</v>
      </c>
      <c r="AS116">
        <v>0.91154422788605605</v>
      </c>
      <c r="AT116" t="s">
        <v>332</v>
      </c>
      <c r="AU116">
        <v>1.03805496828752</v>
      </c>
      <c r="AV116" t="s">
        <v>224</v>
      </c>
      <c r="AW116">
        <v>1.0598911070780399</v>
      </c>
      <c r="AX116" t="s">
        <v>309</v>
      </c>
      <c r="AY116">
        <v>0.92638731596828905</v>
      </c>
      <c r="AZ116" t="s">
        <v>239</v>
      </c>
      <c r="BA116">
        <v>1.1406896551724099</v>
      </c>
      <c r="BB116" t="s">
        <v>325</v>
      </c>
      <c r="BC116">
        <v>0.78959810874704495</v>
      </c>
      <c r="BD116" t="s">
        <v>229</v>
      </c>
      <c r="BE116">
        <v>1.11904761904761</v>
      </c>
      <c r="BF116" t="s">
        <v>325</v>
      </c>
      <c r="BG116">
        <v>1.00602409638554</v>
      </c>
      <c r="BH116" t="s">
        <v>348</v>
      </c>
      <c r="BI116">
        <v>0.83735909822866295</v>
      </c>
      <c r="BJ116" t="s">
        <v>351</v>
      </c>
      <c r="BK116">
        <v>0.79357231149567298</v>
      </c>
      <c r="BL116" t="s">
        <v>111</v>
      </c>
      <c r="BM116">
        <v>0.67940199335548102</v>
      </c>
      <c r="BN116" t="s">
        <v>334</v>
      </c>
      <c r="BO116">
        <v>0.85423728813559296</v>
      </c>
      <c r="BP116" t="s">
        <v>338</v>
      </c>
      <c r="BQ116">
        <v>1.0645695364238399</v>
      </c>
      <c r="BR116" t="s">
        <v>346</v>
      </c>
      <c r="BS116">
        <v>0.88157894736842102</v>
      </c>
      <c r="BT116" t="s">
        <v>328</v>
      </c>
      <c r="BU116">
        <v>1.0768233640481</v>
      </c>
      <c r="BV116" t="s">
        <v>341</v>
      </c>
      <c r="BW116">
        <v>1.0216718266253799</v>
      </c>
    </row>
    <row r="117" spans="1:75" x14ac:dyDescent="0.4">
      <c r="A117">
        <v>115</v>
      </c>
      <c r="B117" t="s">
        <v>208</v>
      </c>
      <c r="C117">
        <v>1.0042283298097201</v>
      </c>
      <c r="D117" t="s">
        <v>294</v>
      </c>
      <c r="E117">
        <v>1.11165048543689</v>
      </c>
      <c r="F117" t="s">
        <v>281</v>
      </c>
      <c r="G117">
        <v>0.79839518555667</v>
      </c>
      <c r="H117" t="s">
        <v>313</v>
      </c>
      <c r="I117">
        <v>1.1779141104294399</v>
      </c>
      <c r="J117" t="s">
        <v>304</v>
      </c>
      <c r="K117">
        <v>1.0778267254038101</v>
      </c>
      <c r="L117" t="s">
        <v>307</v>
      </c>
      <c r="M117">
        <v>1.04810126582278</v>
      </c>
      <c r="N117" t="s">
        <v>302</v>
      </c>
      <c r="O117">
        <v>0.80861244019138701</v>
      </c>
      <c r="P117" t="s">
        <v>220</v>
      </c>
      <c r="Q117">
        <v>0.97348886532343504</v>
      </c>
      <c r="R117" t="s">
        <v>294</v>
      </c>
      <c r="S117">
        <v>0.94431279620853004</v>
      </c>
      <c r="T117" t="s">
        <v>220</v>
      </c>
      <c r="U117">
        <v>1.06242774566474</v>
      </c>
      <c r="V117" t="s">
        <v>302</v>
      </c>
      <c r="W117">
        <v>1.5838068181818099</v>
      </c>
      <c r="X117" t="s">
        <v>220</v>
      </c>
      <c r="Y117">
        <v>0.89308855291576605</v>
      </c>
      <c r="Z117" t="s">
        <v>258</v>
      </c>
      <c r="AA117">
        <v>1.02023121387283</v>
      </c>
      <c r="AB117" t="s">
        <v>327</v>
      </c>
      <c r="AC117">
        <v>1.08222811671087</v>
      </c>
      <c r="AD117" t="s">
        <v>332</v>
      </c>
      <c r="AE117">
        <v>0.94276094276094202</v>
      </c>
      <c r="AF117" t="s">
        <v>328</v>
      </c>
      <c r="AG117">
        <v>1.1445490045451601</v>
      </c>
      <c r="AH117" t="s">
        <v>345</v>
      </c>
      <c r="AI117">
        <v>1.4877384196185199</v>
      </c>
      <c r="AJ117" t="s">
        <v>345</v>
      </c>
      <c r="AK117">
        <v>0.79487179487179405</v>
      </c>
      <c r="AL117" t="s">
        <v>347</v>
      </c>
      <c r="AM117">
        <v>0.84126984126984095</v>
      </c>
      <c r="AN117" t="s">
        <v>337</v>
      </c>
      <c r="AO117">
        <v>0.95201793470331397</v>
      </c>
      <c r="AP117" t="s">
        <v>332</v>
      </c>
      <c r="AQ117">
        <v>1.7565445026177999</v>
      </c>
      <c r="AR117" t="s">
        <v>226</v>
      </c>
      <c r="AS117">
        <v>1.14898972602739</v>
      </c>
      <c r="AT117" t="s">
        <v>345</v>
      </c>
      <c r="AU117">
        <v>0.93933054393305404</v>
      </c>
      <c r="AV117" t="s">
        <v>302</v>
      </c>
      <c r="AW117">
        <v>0.86581469648562304</v>
      </c>
      <c r="AX117" t="s">
        <v>229</v>
      </c>
      <c r="AY117">
        <v>0.89523809523809506</v>
      </c>
      <c r="AZ117" t="s">
        <v>111</v>
      </c>
      <c r="BA117">
        <v>0.86832740213523096</v>
      </c>
      <c r="BB117" t="s">
        <v>239</v>
      </c>
      <c r="BC117">
        <v>0.880290205562273</v>
      </c>
      <c r="BD117" t="s">
        <v>240</v>
      </c>
      <c r="BE117">
        <v>1.1529411764705799</v>
      </c>
      <c r="BF117" t="s">
        <v>235</v>
      </c>
      <c r="BG117">
        <v>0.90864428588138901</v>
      </c>
      <c r="BH117" t="s">
        <v>341</v>
      </c>
      <c r="BI117">
        <v>0.94366197183098499</v>
      </c>
      <c r="BJ117" t="s">
        <v>352</v>
      </c>
      <c r="BK117">
        <v>0.82352941176470495</v>
      </c>
      <c r="BL117" t="s">
        <v>332</v>
      </c>
      <c r="BM117">
        <v>0.97381342062193099</v>
      </c>
      <c r="BN117" t="s">
        <v>338</v>
      </c>
      <c r="BO117">
        <v>1.0504347826086899</v>
      </c>
      <c r="BP117" t="s">
        <v>346</v>
      </c>
      <c r="BQ117">
        <v>0.93442622950819598</v>
      </c>
      <c r="BR117" t="s">
        <v>351</v>
      </c>
      <c r="BS117">
        <v>0.91539528432732298</v>
      </c>
      <c r="BT117" t="s">
        <v>334</v>
      </c>
      <c r="BU117">
        <v>1.0256024096385501</v>
      </c>
      <c r="BV117" t="s">
        <v>353</v>
      </c>
      <c r="BW117">
        <v>0.95752427184466005</v>
      </c>
    </row>
    <row r="118" spans="1:75" x14ac:dyDescent="0.4">
      <c r="A118">
        <v>116</v>
      </c>
      <c r="B118" t="s">
        <v>281</v>
      </c>
      <c r="C118">
        <v>0.95709779179810694</v>
      </c>
      <c r="D118" t="s">
        <v>304</v>
      </c>
      <c r="E118">
        <v>1.1029585798816499</v>
      </c>
      <c r="F118" t="s">
        <v>220</v>
      </c>
      <c r="G118">
        <v>1.2810457516339799</v>
      </c>
      <c r="H118" t="s">
        <v>224</v>
      </c>
      <c r="I118">
        <v>1.0579710144927501</v>
      </c>
      <c r="J118" t="s">
        <v>336</v>
      </c>
      <c r="K118">
        <v>1.0722021660649801</v>
      </c>
      <c r="L118" t="s">
        <v>227</v>
      </c>
      <c r="M118">
        <v>0.97199999999999998</v>
      </c>
      <c r="N118" t="s">
        <v>307</v>
      </c>
      <c r="O118">
        <v>0.98550724637681097</v>
      </c>
      <c r="P118" t="s">
        <v>294</v>
      </c>
      <c r="Q118">
        <v>0.90655209452201901</v>
      </c>
      <c r="R118" t="s">
        <v>219</v>
      </c>
      <c r="S118">
        <v>0.83526011560693603</v>
      </c>
      <c r="T118" t="s">
        <v>288</v>
      </c>
      <c r="U118">
        <v>0.88901734104046204</v>
      </c>
      <c r="V118" t="s">
        <v>307</v>
      </c>
      <c r="W118">
        <v>1.0909090909090899</v>
      </c>
      <c r="X118" t="s">
        <v>288</v>
      </c>
      <c r="Y118">
        <v>1.1162790697674401</v>
      </c>
      <c r="Z118" t="s">
        <v>339</v>
      </c>
      <c r="AA118">
        <v>1.4191841055288601</v>
      </c>
      <c r="AB118" t="s">
        <v>258</v>
      </c>
      <c r="AC118">
        <v>0.77620396600566499</v>
      </c>
      <c r="AD118" t="s">
        <v>337</v>
      </c>
      <c r="AE118">
        <v>0.77399460892705496</v>
      </c>
      <c r="AF118" t="s">
        <v>263</v>
      </c>
      <c r="AG118">
        <v>1.45588235294117</v>
      </c>
      <c r="AH118" t="s">
        <v>354</v>
      </c>
      <c r="AI118">
        <v>0.84818481848184801</v>
      </c>
      <c r="AJ118" t="s">
        <v>328</v>
      </c>
      <c r="AK118">
        <v>1.0991210479956499</v>
      </c>
      <c r="AL118" t="s">
        <v>263</v>
      </c>
      <c r="AM118">
        <v>0.99280575539568305</v>
      </c>
      <c r="AN118" t="s">
        <v>340</v>
      </c>
      <c r="AO118">
        <v>1.11803278688524</v>
      </c>
      <c r="AP118" t="s">
        <v>340</v>
      </c>
      <c r="AQ118">
        <v>0.94134897360703795</v>
      </c>
      <c r="AR118" t="s">
        <v>302</v>
      </c>
      <c r="AS118">
        <v>0.92758620689655102</v>
      </c>
      <c r="AT118" t="s">
        <v>354</v>
      </c>
      <c r="AU118">
        <v>0.91900311526479705</v>
      </c>
      <c r="AV118" t="s">
        <v>309</v>
      </c>
      <c r="AW118">
        <v>1.0052367941712199</v>
      </c>
      <c r="AX118" t="s">
        <v>239</v>
      </c>
      <c r="AY118">
        <v>1.6919486581096801</v>
      </c>
      <c r="AZ118" t="s">
        <v>245</v>
      </c>
      <c r="BA118">
        <v>1.0155279503105501</v>
      </c>
      <c r="BB118" t="s">
        <v>111</v>
      </c>
      <c r="BC118">
        <v>0.83606557377049096</v>
      </c>
      <c r="BD118" t="s">
        <v>325</v>
      </c>
      <c r="BE118">
        <v>0.99401197604790403</v>
      </c>
      <c r="BF118" t="s">
        <v>316</v>
      </c>
      <c r="BG118">
        <v>0.93061224489795902</v>
      </c>
      <c r="BH118" t="s">
        <v>351</v>
      </c>
      <c r="BI118">
        <v>0.88030467899891096</v>
      </c>
      <c r="BJ118" t="s">
        <v>355</v>
      </c>
      <c r="BK118">
        <v>0.86692759295499</v>
      </c>
      <c r="BL118" t="s">
        <v>253</v>
      </c>
      <c r="BM118">
        <v>0.88226950354609901</v>
      </c>
      <c r="BN118" t="s">
        <v>353</v>
      </c>
      <c r="BO118">
        <v>1.4809160305343501</v>
      </c>
      <c r="BP118" t="s">
        <v>351</v>
      </c>
      <c r="BQ118">
        <v>1.02414772727272</v>
      </c>
      <c r="BR118" t="s">
        <v>352</v>
      </c>
      <c r="BS118">
        <v>1.06908267270668</v>
      </c>
      <c r="BT118" t="s">
        <v>338</v>
      </c>
      <c r="BU118">
        <v>1.0055944055943999</v>
      </c>
      <c r="BV118" t="s">
        <v>346</v>
      </c>
      <c r="BW118">
        <v>1.0566037735849001</v>
      </c>
    </row>
    <row r="119" spans="1:75" x14ac:dyDescent="0.4">
      <c r="A119">
        <v>117</v>
      </c>
      <c r="B119" t="s">
        <v>220</v>
      </c>
      <c r="C119">
        <v>0.86934023285899098</v>
      </c>
      <c r="D119" t="s">
        <v>219</v>
      </c>
      <c r="E119">
        <v>0.85462555066079204</v>
      </c>
      <c r="F119" t="s">
        <v>288</v>
      </c>
      <c r="G119">
        <v>0.52294685990338097</v>
      </c>
      <c r="H119" t="s">
        <v>302</v>
      </c>
      <c r="I119">
        <v>1.1220095693779899</v>
      </c>
      <c r="J119" t="s">
        <v>313</v>
      </c>
      <c r="K119">
        <v>1.0885416666666601</v>
      </c>
      <c r="L119" t="s">
        <v>229</v>
      </c>
      <c r="M119">
        <v>1.2621359223300901</v>
      </c>
      <c r="N119" t="s">
        <v>229</v>
      </c>
      <c r="O119">
        <v>0.94230769230769196</v>
      </c>
      <c r="P119" t="s">
        <v>219</v>
      </c>
      <c r="Q119">
        <v>1.0548780487804801</v>
      </c>
      <c r="R119" t="s">
        <v>336</v>
      </c>
      <c r="S119">
        <v>1.0087873462214401</v>
      </c>
      <c r="T119" t="s">
        <v>294</v>
      </c>
      <c r="U119">
        <v>1.0188205771643599</v>
      </c>
      <c r="V119" t="s">
        <v>227</v>
      </c>
      <c r="W119">
        <v>1.4361001317522999</v>
      </c>
      <c r="X119" t="s">
        <v>218</v>
      </c>
      <c r="Y119">
        <v>0.72189973614775704</v>
      </c>
      <c r="Z119" t="s">
        <v>111</v>
      </c>
      <c r="AA119">
        <v>0.81331134589940701</v>
      </c>
      <c r="AB119" t="s">
        <v>111</v>
      </c>
      <c r="AC119">
        <v>0.91818931981610197</v>
      </c>
      <c r="AD119" t="s">
        <v>340</v>
      </c>
      <c r="AE119">
        <v>0.81385281385281305</v>
      </c>
      <c r="AF119" t="s">
        <v>334</v>
      </c>
      <c r="AG119">
        <v>1.00630914826498</v>
      </c>
      <c r="AH119" t="s">
        <v>328</v>
      </c>
      <c r="AI119">
        <v>0.99481701064563599</v>
      </c>
      <c r="AJ119" t="s">
        <v>263</v>
      </c>
      <c r="AK119">
        <v>0.88535031847133705</v>
      </c>
      <c r="AL119" t="s">
        <v>356</v>
      </c>
      <c r="AM119">
        <v>1.1229508196721301</v>
      </c>
      <c r="AN119" t="s">
        <v>345</v>
      </c>
      <c r="AO119">
        <v>0.78372093023255796</v>
      </c>
      <c r="AP119" t="s">
        <v>328</v>
      </c>
      <c r="AQ119">
        <v>1.1736210822491899</v>
      </c>
      <c r="AR119" t="s">
        <v>309</v>
      </c>
      <c r="AS119">
        <v>0.94474153297682695</v>
      </c>
      <c r="AT119" t="s">
        <v>328</v>
      </c>
      <c r="AU119">
        <v>1.0222227543763001</v>
      </c>
      <c r="AV119" t="s">
        <v>229</v>
      </c>
      <c r="AW119">
        <v>0.95671981776765302</v>
      </c>
      <c r="AX119" t="s">
        <v>111</v>
      </c>
      <c r="AY119">
        <v>0.95578231292517002</v>
      </c>
      <c r="AZ119" t="s">
        <v>332</v>
      </c>
      <c r="BA119">
        <v>1.0857142857142801</v>
      </c>
      <c r="BB119" t="s">
        <v>245</v>
      </c>
      <c r="BC119">
        <v>1.07645259938837</v>
      </c>
      <c r="BD119" t="s">
        <v>235</v>
      </c>
      <c r="BE119">
        <v>0.91203925961487098</v>
      </c>
      <c r="BF119" t="s">
        <v>111</v>
      </c>
      <c r="BG119">
        <v>0.74117647058823499</v>
      </c>
      <c r="BH119" t="s">
        <v>352</v>
      </c>
      <c r="BI119">
        <v>1.1854199683042701</v>
      </c>
      <c r="BJ119" t="s">
        <v>275</v>
      </c>
      <c r="BK119">
        <v>0.92254495159059402</v>
      </c>
      <c r="BL119" t="s">
        <v>328</v>
      </c>
      <c r="BM119">
        <v>0.75242200414303895</v>
      </c>
      <c r="BN119" t="s">
        <v>346</v>
      </c>
      <c r="BO119">
        <v>1.02377622377622</v>
      </c>
      <c r="BP119" t="s">
        <v>352</v>
      </c>
      <c r="BQ119">
        <v>0.88565697091273798</v>
      </c>
      <c r="BR119" t="s">
        <v>275</v>
      </c>
      <c r="BS119">
        <v>0.98181818181818103</v>
      </c>
      <c r="BT119" t="s">
        <v>342</v>
      </c>
      <c r="BU119">
        <v>1.15734265734265</v>
      </c>
      <c r="BV119" t="s">
        <v>351</v>
      </c>
      <c r="BW119">
        <v>1.0309859154929499</v>
      </c>
    </row>
    <row r="120" spans="1:75" x14ac:dyDescent="0.4">
      <c r="A120">
        <v>118</v>
      </c>
      <c r="B120" t="s">
        <v>290</v>
      </c>
      <c r="C120">
        <v>1.1985711045588501</v>
      </c>
      <c r="D120" t="s">
        <v>336</v>
      </c>
      <c r="E120">
        <v>1</v>
      </c>
      <c r="F120" t="s">
        <v>294</v>
      </c>
      <c r="G120">
        <v>0.76855895196506496</v>
      </c>
      <c r="H120" t="s">
        <v>307</v>
      </c>
      <c r="I120">
        <v>0.94481605351170495</v>
      </c>
      <c r="J120" t="s">
        <v>224</v>
      </c>
      <c r="K120">
        <v>1.8405977584059701</v>
      </c>
      <c r="L120" t="s">
        <v>315</v>
      </c>
      <c r="M120">
        <v>1.4584425799685301</v>
      </c>
      <c r="N120" t="s">
        <v>315</v>
      </c>
      <c r="O120">
        <v>1.3483146067415701</v>
      </c>
      <c r="P120" t="s">
        <v>336</v>
      </c>
      <c r="Q120">
        <v>1.1027131782945701</v>
      </c>
      <c r="R120" t="s">
        <v>313</v>
      </c>
      <c r="S120">
        <v>0.99267399267399203</v>
      </c>
      <c r="T120" t="s">
        <v>336</v>
      </c>
      <c r="U120">
        <v>0.93554006968641101</v>
      </c>
      <c r="V120" t="s">
        <v>327</v>
      </c>
      <c r="W120">
        <v>0.91407678244972501</v>
      </c>
      <c r="X120" t="s">
        <v>294</v>
      </c>
      <c r="Y120">
        <v>0.82829373650107996</v>
      </c>
      <c r="Z120" t="s">
        <v>340</v>
      </c>
      <c r="AA120">
        <v>0.84126984126984095</v>
      </c>
      <c r="AB120" t="s">
        <v>340</v>
      </c>
      <c r="AC120">
        <v>0.87169811320754698</v>
      </c>
      <c r="AD120" t="s">
        <v>354</v>
      </c>
      <c r="AE120">
        <v>0.78142857142857103</v>
      </c>
      <c r="AF120" t="s">
        <v>342</v>
      </c>
      <c r="AG120">
        <v>1.1111111111111101</v>
      </c>
      <c r="AH120" t="s">
        <v>347</v>
      </c>
      <c r="AI120">
        <v>0.78157503714710197</v>
      </c>
      <c r="AJ120" t="s">
        <v>356</v>
      </c>
      <c r="AK120">
        <v>1.1090909090909</v>
      </c>
      <c r="AL120" t="s">
        <v>358</v>
      </c>
      <c r="AM120">
        <v>0.77572815533980499</v>
      </c>
      <c r="AN120" t="s">
        <v>328</v>
      </c>
      <c r="AO120">
        <v>0.938132687493196</v>
      </c>
      <c r="AP120" t="s">
        <v>347</v>
      </c>
      <c r="AQ120">
        <v>1.57271095152603</v>
      </c>
      <c r="AR120" t="s">
        <v>229</v>
      </c>
      <c r="AS120">
        <v>0.980609418282548</v>
      </c>
      <c r="AT120" t="s">
        <v>263</v>
      </c>
      <c r="AU120">
        <v>1.0627906976744099</v>
      </c>
      <c r="AV120" t="s">
        <v>327</v>
      </c>
      <c r="AW120">
        <v>1.18518518518518</v>
      </c>
      <c r="AX120" t="s">
        <v>332</v>
      </c>
      <c r="AY120">
        <v>1.0047846889952099</v>
      </c>
      <c r="AZ120" t="s">
        <v>354</v>
      </c>
      <c r="BA120">
        <v>1.3125</v>
      </c>
      <c r="BB120" t="s">
        <v>332</v>
      </c>
      <c r="BC120">
        <v>1.0109649122807001</v>
      </c>
      <c r="BD120" t="s">
        <v>239</v>
      </c>
      <c r="BE120">
        <v>0.88736263736263699</v>
      </c>
      <c r="BF120" t="s">
        <v>332</v>
      </c>
      <c r="BG120">
        <v>1.60569105691056</v>
      </c>
      <c r="BH120" t="s">
        <v>355</v>
      </c>
      <c r="BI120">
        <v>0.92238267148014397</v>
      </c>
      <c r="BJ120" t="s">
        <v>359</v>
      </c>
      <c r="BK120">
        <v>0.915024630541871</v>
      </c>
      <c r="BL120" t="s">
        <v>347</v>
      </c>
      <c r="BM120">
        <v>0.93126684636118595</v>
      </c>
      <c r="BN120" t="s">
        <v>351</v>
      </c>
      <c r="BO120">
        <v>1.0618401206636501</v>
      </c>
      <c r="BP120" t="s">
        <v>275</v>
      </c>
      <c r="BQ120">
        <v>1.08006042296072</v>
      </c>
      <c r="BR120" t="s">
        <v>359</v>
      </c>
      <c r="BS120">
        <v>0.94043092522179905</v>
      </c>
      <c r="BT120" t="s">
        <v>346</v>
      </c>
      <c r="BU120">
        <v>1.1426202321724701</v>
      </c>
      <c r="BV120" t="s">
        <v>358</v>
      </c>
      <c r="BW120">
        <v>1.1411901983663899</v>
      </c>
    </row>
    <row r="121" spans="1:75" x14ac:dyDescent="0.4">
      <c r="A121">
        <v>119</v>
      </c>
      <c r="B121" t="s">
        <v>294</v>
      </c>
      <c r="C121">
        <v>1.16647791619479</v>
      </c>
      <c r="D121" t="s">
        <v>313</v>
      </c>
      <c r="E121">
        <v>0.80736196319018405</v>
      </c>
      <c r="F121" t="s">
        <v>219</v>
      </c>
      <c r="G121">
        <v>0.51288659793814395</v>
      </c>
      <c r="H121" t="s">
        <v>227</v>
      </c>
      <c r="I121">
        <v>0.80451127819548796</v>
      </c>
      <c r="J121" t="s">
        <v>302</v>
      </c>
      <c r="K121">
        <v>1.5820895522388001</v>
      </c>
      <c r="L121" t="s">
        <v>360</v>
      </c>
      <c r="M121">
        <v>1.75578406169665</v>
      </c>
      <c r="N121" t="s">
        <v>232</v>
      </c>
      <c r="O121">
        <v>1.5641025641025601</v>
      </c>
      <c r="P121" t="s">
        <v>313</v>
      </c>
      <c r="Q121">
        <v>1.0167597765363099</v>
      </c>
      <c r="R121" t="s">
        <v>224</v>
      </c>
      <c r="S121">
        <v>0.82929292929292897</v>
      </c>
      <c r="T121" t="s">
        <v>313</v>
      </c>
      <c r="U121">
        <v>1.0664206642066401</v>
      </c>
      <c r="V121" t="s">
        <v>258</v>
      </c>
      <c r="W121">
        <v>1.08411214953271</v>
      </c>
      <c r="X121" t="s">
        <v>336</v>
      </c>
      <c r="Y121">
        <v>0.80300187617260699</v>
      </c>
      <c r="Z121" t="s">
        <v>328</v>
      </c>
      <c r="AA121">
        <v>1.2024828131955001</v>
      </c>
      <c r="AB121" t="s">
        <v>328</v>
      </c>
      <c r="AC121">
        <v>1.04579854398881</v>
      </c>
      <c r="AD121" t="s">
        <v>328</v>
      </c>
      <c r="AE121">
        <v>0.92153855229779902</v>
      </c>
      <c r="AF121" t="s">
        <v>358</v>
      </c>
      <c r="AG121">
        <v>1.16525423728813</v>
      </c>
      <c r="AH121" t="s">
        <v>263</v>
      </c>
      <c r="AI121">
        <v>0.95151515151515098</v>
      </c>
      <c r="AJ121" t="s">
        <v>358</v>
      </c>
      <c r="AK121">
        <v>1.12445414847161</v>
      </c>
      <c r="AL121" t="s">
        <v>352</v>
      </c>
      <c r="AM121">
        <v>0.94533868650778996</v>
      </c>
      <c r="AN121" t="s">
        <v>263</v>
      </c>
      <c r="AO121">
        <v>1.1956521739130399</v>
      </c>
      <c r="AP121" t="s">
        <v>263</v>
      </c>
      <c r="AQ121">
        <v>1.0909090909090899</v>
      </c>
      <c r="AR121" t="s">
        <v>327</v>
      </c>
      <c r="AS121">
        <v>0.98144329896907201</v>
      </c>
      <c r="AT121" t="s">
        <v>356</v>
      </c>
      <c r="AU121">
        <v>0.86071428571428499</v>
      </c>
      <c r="AV121" t="s">
        <v>332</v>
      </c>
      <c r="AW121">
        <v>0.85132382892057001</v>
      </c>
      <c r="AX121" t="s">
        <v>354</v>
      </c>
      <c r="AY121">
        <v>1.26732673267326</v>
      </c>
      <c r="AZ121" t="s">
        <v>328</v>
      </c>
      <c r="BA121">
        <v>1.0464147683353699</v>
      </c>
      <c r="BB121" t="s">
        <v>337</v>
      </c>
      <c r="BC121">
        <v>0.46037735849056599</v>
      </c>
      <c r="BD121" t="s">
        <v>316</v>
      </c>
      <c r="BE121">
        <v>0.866745283018867</v>
      </c>
      <c r="BF121" t="s">
        <v>250</v>
      </c>
      <c r="BG121">
        <v>1.5984916035072001</v>
      </c>
      <c r="BH121" t="s">
        <v>275</v>
      </c>
      <c r="BI121">
        <v>0.95634920634920595</v>
      </c>
      <c r="BJ121" t="s">
        <v>278</v>
      </c>
      <c r="BK121">
        <v>1.01979166666666</v>
      </c>
      <c r="BL121" t="s">
        <v>338</v>
      </c>
      <c r="BM121">
        <v>0.80419580419580405</v>
      </c>
      <c r="BN121" t="s">
        <v>352</v>
      </c>
      <c r="BO121">
        <v>1.03209109730848</v>
      </c>
      <c r="BP121" t="s">
        <v>359</v>
      </c>
      <c r="BQ121">
        <v>1.0562248995983901</v>
      </c>
      <c r="BR121" t="s">
        <v>278</v>
      </c>
      <c r="BS121">
        <v>0.80172413793103403</v>
      </c>
      <c r="BT121" t="s">
        <v>351</v>
      </c>
      <c r="BU121">
        <v>1.0757575757575699</v>
      </c>
      <c r="BV121" t="s">
        <v>352</v>
      </c>
      <c r="BW121">
        <v>1.13122171945701</v>
      </c>
    </row>
    <row r="122" spans="1:75" x14ac:dyDescent="0.4">
      <c r="A122">
        <v>120</v>
      </c>
      <c r="B122" t="s">
        <v>304</v>
      </c>
      <c r="C122">
        <v>1.12817089452603</v>
      </c>
      <c r="D122" t="s">
        <v>307</v>
      </c>
      <c r="E122">
        <v>0.89142857142857101</v>
      </c>
      <c r="F122" t="s">
        <v>336</v>
      </c>
      <c r="G122">
        <v>0.81093749999999998</v>
      </c>
      <c r="H122" t="s">
        <v>229</v>
      </c>
      <c r="I122">
        <v>1.3927855711422801</v>
      </c>
      <c r="J122" t="s">
        <v>307</v>
      </c>
      <c r="K122">
        <v>1.3982300884955701</v>
      </c>
      <c r="L122" t="s">
        <v>232</v>
      </c>
      <c r="M122">
        <v>0.96126760563380198</v>
      </c>
      <c r="N122" t="s">
        <v>327</v>
      </c>
      <c r="O122">
        <v>1.0323768902675401</v>
      </c>
      <c r="P122" t="s">
        <v>224</v>
      </c>
      <c r="Q122">
        <v>0.96303501945525205</v>
      </c>
      <c r="R122" t="s">
        <v>302</v>
      </c>
      <c r="S122">
        <v>0.902061855670103</v>
      </c>
      <c r="T122" t="s">
        <v>224</v>
      </c>
      <c r="U122">
        <v>1.1973203410475</v>
      </c>
      <c r="V122" t="s">
        <v>339</v>
      </c>
      <c r="W122">
        <v>1.0738742706154301</v>
      </c>
      <c r="X122" t="s">
        <v>313</v>
      </c>
      <c r="Y122">
        <v>1.0153321976149901</v>
      </c>
      <c r="Z122" t="s">
        <v>347</v>
      </c>
      <c r="AA122">
        <v>1.0561299852289501</v>
      </c>
      <c r="AB122" t="s">
        <v>347</v>
      </c>
      <c r="AC122">
        <v>0.88531468531468505</v>
      </c>
      <c r="AD122" t="s">
        <v>347</v>
      </c>
      <c r="AE122">
        <v>0.80884676145339596</v>
      </c>
      <c r="AF122" t="s">
        <v>352</v>
      </c>
      <c r="AG122">
        <v>0.99814224386814898</v>
      </c>
      <c r="AH122" t="s">
        <v>356</v>
      </c>
      <c r="AI122">
        <v>0.6875</v>
      </c>
      <c r="AJ122" t="s">
        <v>352</v>
      </c>
      <c r="AK122">
        <v>1.0252256334730501</v>
      </c>
      <c r="AL122" t="s">
        <v>275</v>
      </c>
      <c r="AM122">
        <v>1.11959287531806</v>
      </c>
      <c r="AN122" t="s">
        <v>356</v>
      </c>
      <c r="AO122">
        <v>0.99270072992700698</v>
      </c>
      <c r="AP122" t="s">
        <v>356</v>
      </c>
      <c r="AQ122">
        <v>0.95220588235294101</v>
      </c>
      <c r="AR122" t="s">
        <v>332</v>
      </c>
      <c r="AS122">
        <v>0.70491803278688503</v>
      </c>
      <c r="AT122" t="s">
        <v>348</v>
      </c>
      <c r="AU122">
        <v>1.27296587926509</v>
      </c>
      <c r="AV122" t="s">
        <v>345</v>
      </c>
      <c r="AW122">
        <v>1.0467706013363001</v>
      </c>
      <c r="AX122" t="s">
        <v>328</v>
      </c>
      <c r="AY122">
        <v>1.10746872922835</v>
      </c>
      <c r="AZ122" t="s">
        <v>338</v>
      </c>
      <c r="BA122">
        <v>0.88394639292842803</v>
      </c>
      <c r="BB122" t="s">
        <v>328</v>
      </c>
      <c r="BC122">
        <v>0.85887597876056898</v>
      </c>
      <c r="BD122" t="s">
        <v>111</v>
      </c>
      <c r="BE122">
        <v>1.1666666666666601</v>
      </c>
      <c r="BF122" t="s">
        <v>337</v>
      </c>
      <c r="BG122">
        <v>1.04602510460251</v>
      </c>
      <c r="BH122" t="s">
        <v>359</v>
      </c>
      <c r="BI122">
        <v>1.07692307692307</v>
      </c>
      <c r="BJ122" t="s">
        <v>361</v>
      </c>
      <c r="BK122">
        <v>0.97897041717035704</v>
      </c>
      <c r="BL122" t="s">
        <v>346</v>
      </c>
      <c r="BM122">
        <v>1.05925925925925</v>
      </c>
      <c r="BN122" t="s">
        <v>275</v>
      </c>
      <c r="BO122">
        <v>1.0247678018575801</v>
      </c>
      <c r="BP122" t="s">
        <v>278</v>
      </c>
      <c r="BQ122">
        <v>0.92209856915739197</v>
      </c>
      <c r="BR122" t="s">
        <v>362</v>
      </c>
      <c r="BS122">
        <v>1.0846484935437499</v>
      </c>
      <c r="BT122" t="s">
        <v>358</v>
      </c>
      <c r="BU122">
        <v>1.0106132075471601</v>
      </c>
      <c r="BV122" t="s">
        <v>275</v>
      </c>
      <c r="BW122">
        <v>1.02272727272727</v>
      </c>
    </row>
    <row r="123" spans="1:75" x14ac:dyDescent="0.4">
      <c r="A123">
        <v>121</v>
      </c>
      <c r="B123" t="s">
        <v>219</v>
      </c>
      <c r="C123">
        <v>1.1435768261964701</v>
      </c>
      <c r="D123" t="s">
        <v>229</v>
      </c>
      <c r="E123">
        <v>0.83132530120481896</v>
      </c>
      <c r="F123" t="s">
        <v>313</v>
      </c>
      <c r="G123">
        <v>0.74316109422492405</v>
      </c>
      <c r="H123" t="s">
        <v>315</v>
      </c>
      <c r="I123">
        <v>1.6119704902427401</v>
      </c>
      <c r="J123" t="s">
        <v>227</v>
      </c>
      <c r="K123">
        <v>1.1682242990654199</v>
      </c>
      <c r="L123" t="s">
        <v>327</v>
      </c>
      <c r="M123">
        <v>1.01977066034005</v>
      </c>
      <c r="N123" t="s">
        <v>258</v>
      </c>
      <c r="O123">
        <v>0.65506072874493904</v>
      </c>
      <c r="P123" t="s">
        <v>226</v>
      </c>
      <c r="Q123">
        <v>1.3720883081775099</v>
      </c>
      <c r="R123" t="s">
        <v>307</v>
      </c>
      <c r="S123">
        <v>1.2911725955204201</v>
      </c>
      <c r="T123" t="s">
        <v>302</v>
      </c>
      <c r="U123">
        <v>1.00571428571428</v>
      </c>
      <c r="V123" t="s">
        <v>111</v>
      </c>
      <c r="W123">
        <v>1.2340774506880201</v>
      </c>
      <c r="X123" t="s">
        <v>224</v>
      </c>
      <c r="Y123">
        <v>0.83633387888707</v>
      </c>
      <c r="Z123" t="s">
        <v>263</v>
      </c>
      <c r="AA123">
        <v>0.92647058823529405</v>
      </c>
      <c r="AB123" t="s">
        <v>356</v>
      </c>
      <c r="AC123">
        <v>0.81218274111675104</v>
      </c>
      <c r="AD123" t="s">
        <v>263</v>
      </c>
      <c r="AE123">
        <v>0.68136272545090104</v>
      </c>
      <c r="AF123" t="s">
        <v>275</v>
      </c>
      <c r="AG123">
        <v>0.98952879581151798</v>
      </c>
      <c r="AH123" t="s">
        <v>334</v>
      </c>
      <c r="AI123">
        <v>0.82445141065830696</v>
      </c>
      <c r="AJ123" t="s">
        <v>275</v>
      </c>
      <c r="AK123">
        <v>1.0856353591160199</v>
      </c>
      <c r="AL123" t="s">
        <v>359</v>
      </c>
      <c r="AM123">
        <v>1.1113172541743901</v>
      </c>
      <c r="AN123" t="s">
        <v>358</v>
      </c>
      <c r="AO123">
        <v>0.93867334167709604</v>
      </c>
      <c r="AP123" t="s">
        <v>358</v>
      </c>
      <c r="AQ123">
        <v>0.86</v>
      </c>
      <c r="AR123" t="s">
        <v>340</v>
      </c>
      <c r="AS123">
        <v>0.83956386292834895</v>
      </c>
      <c r="AT123" t="s">
        <v>358</v>
      </c>
      <c r="AU123">
        <v>0.96332046332046295</v>
      </c>
      <c r="AV123" t="s">
        <v>328</v>
      </c>
      <c r="AW123">
        <v>1.16304729777215</v>
      </c>
      <c r="AX123" t="s">
        <v>334</v>
      </c>
      <c r="AY123">
        <v>1.9577039274924399</v>
      </c>
      <c r="AZ123" t="s">
        <v>342</v>
      </c>
      <c r="BA123">
        <v>1.0880000000000001</v>
      </c>
      <c r="BB123" t="s">
        <v>338</v>
      </c>
      <c r="BC123">
        <v>0.83440860215053703</v>
      </c>
      <c r="BD123" t="s">
        <v>332</v>
      </c>
      <c r="BE123">
        <v>1.0672451193058501</v>
      </c>
      <c r="BF123" t="s">
        <v>354</v>
      </c>
      <c r="BG123">
        <v>1.15135834411384</v>
      </c>
      <c r="BH123" t="s">
        <v>278</v>
      </c>
      <c r="BI123">
        <v>1.03896103896103</v>
      </c>
      <c r="BJ123" t="s">
        <v>363</v>
      </c>
      <c r="BK123">
        <v>0.84628670120898097</v>
      </c>
      <c r="BL123" t="s">
        <v>351</v>
      </c>
      <c r="BM123">
        <v>1.0327102803738299</v>
      </c>
      <c r="BN123" t="s">
        <v>359</v>
      </c>
      <c r="BO123">
        <v>1.0260989010988999</v>
      </c>
      <c r="BP123" t="s">
        <v>362</v>
      </c>
      <c r="BQ123">
        <v>1.0145560407569101</v>
      </c>
      <c r="BR123" t="s">
        <v>361</v>
      </c>
      <c r="BS123">
        <v>0.91443362649645499</v>
      </c>
      <c r="BT123" t="s">
        <v>352</v>
      </c>
      <c r="BU123">
        <v>0.93644067796610098</v>
      </c>
      <c r="BV123" t="s">
        <v>359</v>
      </c>
      <c r="BW123">
        <v>1.03489932885906</v>
      </c>
    </row>
    <row r="124" spans="1:75" x14ac:dyDescent="0.4">
      <c r="A124">
        <v>122</v>
      </c>
      <c r="B124" t="s">
        <v>336</v>
      </c>
      <c r="C124">
        <v>1.0094637223974701</v>
      </c>
      <c r="D124" t="s">
        <v>315</v>
      </c>
      <c r="E124">
        <v>0.92337164750957801</v>
      </c>
      <c r="F124" t="s">
        <v>224</v>
      </c>
      <c r="G124">
        <v>0.80402542372881303</v>
      </c>
      <c r="H124" t="s">
        <v>232</v>
      </c>
      <c r="I124">
        <v>1.29768786127167</v>
      </c>
      <c r="J124" t="s">
        <v>229</v>
      </c>
      <c r="K124">
        <v>1.4820143884892001</v>
      </c>
      <c r="L124" t="s">
        <v>239</v>
      </c>
      <c r="M124">
        <v>1.4016016492229599</v>
      </c>
      <c r="N124" t="s">
        <v>339</v>
      </c>
      <c r="O124">
        <v>0.94678792569659398</v>
      </c>
      <c r="P124" t="s">
        <v>302</v>
      </c>
      <c r="Q124">
        <v>1.5305719921104499</v>
      </c>
      <c r="R124" t="s">
        <v>229</v>
      </c>
      <c r="S124">
        <v>1.0327868852458999</v>
      </c>
      <c r="T124" t="s">
        <v>307</v>
      </c>
      <c r="U124">
        <v>0.78571428571428503</v>
      </c>
      <c r="V124" t="s">
        <v>328</v>
      </c>
      <c r="W124">
        <v>1.0287751391887201</v>
      </c>
      <c r="X124" t="s">
        <v>302</v>
      </c>
      <c r="Y124">
        <v>1.0224215246636701</v>
      </c>
      <c r="Z124" t="s">
        <v>356</v>
      </c>
      <c r="AA124">
        <v>1.2160493827160399</v>
      </c>
      <c r="AB124" t="s">
        <v>342</v>
      </c>
      <c r="AC124">
        <v>1.39772727272727</v>
      </c>
      <c r="AD124" t="s">
        <v>356</v>
      </c>
      <c r="AE124">
        <v>0.63437500000000002</v>
      </c>
      <c r="AF124" t="s">
        <v>359</v>
      </c>
      <c r="AG124">
        <v>1.0811359026369101</v>
      </c>
      <c r="AH124" t="s">
        <v>342</v>
      </c>
      <c r="AI124">
        <v>0.69333333333333302</v>
      </c>
      <c r="AJ124" t="s">
        <v>359</v>
      </c>
      <c r="AK124">
        <v>1.06944444444444</v>
      </c>
      <c r="AL124" t="s">
        <v>278</v>
      </c>
      <c r="AM124">
        <v>1.08536585365853</v>
      </c>
      <c r="AN124" t="s">
        <v>352</v>
      </c>
      <c r="AO124">
        <v>1.1040327293980099</v>
      </c>
      <c r="AP124" t="s">
        <v>352</v>
      </c>
      <c r="AQ124">
        <v>1.14790894653255</v>
      </c>
      <c r="AR124" t="s">
        <v>345</v>
      </c>
      <c r="AS124">
        <v>0.96370967741935398</v>
      </c>
      <c r="AT124" t="s">
        <v>268</v>
      </c>
      <c r="AU124">
        <v>1.21428571428571</v>
      </c>
      <c r="AV124" t="s">
        <v>263</v>
      </c>
      <c r="AW124">
        <v>1.28008752735229</v>
      </c>
      <c r="AX124" t="s">
        <v>342</v>
      </c>
      <c r="AY124">
        <v>0.93984962406015005</v>
      </c>
      <c r="AZ124" t="s">
        <v>348</v>
      </c>
      <c r="BA124">
        <v>0.95550061804697095</v>
      </c>
      <c r="BB124" t="s">
        <v>342</v>
      </c>
      <c r="BC124">
        <v>0.77205882352941102</v>
      </c>
      <c r="BD124" t="s">
        <v>253</v>
      </c>
      <c r="BE124">
        <v>1.2490774907749</v>
      </c>
      <c r="BF124" t="s">
        <v>328</v>
      </c>
      <c r="BG124">
        <v>1.2499947176030499</v>
      </c>
      <c r="BH124" t="s">
        <v>363</v>
      </c>
      <c r="BI124">
        <v>0.73106060606060597</v>
      </c>
      <c r="BJ124" t="s">
        <v>364</v>
      </c>
      <c r="BK124">
        <v>0.91371681415929196</v>
      </c>
      <c r="BL124" t="s">
        <v>352</v>
      </c>
      <c r="BM124">
        <v>1.0454545454545401</v>
      </c>
      <c r="BN124" t="s">
        <v>278</v>
      </c>
      <c r="BO124">
        <v>1.0715502555366201</v>
      </c>
      <c r="BP124" t="s">
        <v>361</v>
      </c>
      <c r="BQ124">
        <v>0.98316897538968695</v>
      </c>
      <c r="BR124" t="s">
        <v>364</v>
      </c>
      <c r="BS124">
        <v>0.88674033149171205</v>
      </c>
      <c r="BT124" t="s">
        <v>275</v>
      </c>
      <c r="BU124">
        <v>1.002849002849</v>
      </c>
      <c r="BV124" t="s">
        <v>278</v>
      </c>
      <c r="BW124">
        <v>0.97935779816513702</v>
      </c>
    </row>
    <row r="125" spans="1:75" x14ac:dyDescent="0.4">
      <c r="A125">
        <v>123</v>
      </c>
      <c r="B125" t="s">
        <v>313</v>
      </c>
      <c r="C125">
        <v>1.00493218249075</v>
      </c>
      <c r="D125" t="s">
        <v>232</v>
      </c>
      <c r="E125">
        <v>0.96577946768060796</v>
      </c>
      <c r="F125" t="s">
        <v>302</v>
      </c>
      <c r="G125">
        <v>0.54285714285714204</v>
      </c>
      <c r="H125" t="s">
        <v>327</v>
      </c>
      <c r="I125">
        <v>1.1886970172684399</v>
      </c>
      <c r="J125" t="s">
        <v>315</v>
      </c>
      <c r="K125">
        <v>1.1261533918948801</v>
      </c>
      <c r="L125" t="s">
        <v>258</v>
      </c>
      <c r="M125">
        <v>0.89492753623188404</v>
      </c>
      <c r="N125" t="s">
        <v>111</v>
      </c>
      <c r="O125">
        <v>1.03112128849818</v>
      </c>
      <c r="P125" t="s">
        <v>307</v>
      </c>
      <c r="Q125">
        <v>0.93014705882352899</v>
      </c>
      <c r="R125" t="s">
        <v>327</v>
      </c>
      <c r="S125">
        <v>0.96251228529976096</v>
      </c>
      <c r="T125" t="s">
        <v>229</v>
      </c>
      <c r="U125">
        <v>1.7047619047619</v>
      </c>
      <c r="V125" t="s">
        <v>347</v>
      </c>
      <c r="W125">
        <v>1.00852272727272</v>
      </c>
      <c r="X125" t="s">
        <v>307</v>
      </c>
      <c r="Y125">
        <v>0.85476190476190395</v>
      </c>
      <c r="Z125" t="s">
        <v>334</v>
      </c>
      <c r="AA125">
        <v>1.0835380835380799</v>
      </c>
      <c r="AB125" t="s">
        <v>358</v>
      </c>
      <c r="AC125">
        <v>0.97326203208556095</v>
      </c>
      <c r="AD125" t="s">
        <v>334</v>
      </c>
      <c r="AE125">
        <v>0.875690607734806</v>
      </c>
      <c r="AF125" t="s">
        <v>278</v>
      </c>
      <c r="AG125">
        <v>1.00199600798403</v>
      </c>
      <c r="AH125" t="s">
        <v>358</v>
      </c>
      <c r="AI125">
        <v>0.66618181818181799</v>
      </c>
      <c r="AJ125" t="s">
        <v>278</v>
      </c>
      <c r="AK125">
        <v>1.0933333333333299</v>
      </c>
      <c r="AL125" t="s">
        <v>365</v>
      </c>
      <c r="AM125">
        <v>0.73171373564730802</v>
      </c>
      <c r="AN125" t="s">
        <v>275</v>
      </c>
      <c r="AO125">
        <v>1.04318181818181</v>
      </c>
      <c r="AP125" t="s">
        <v>275</v>
      </c>
      <c r="AQ125">
        <v>1.2287581699346399</v>
      </c>
      <c r="AR125" t="s">
        <v>328</v>
      </c>
      <c r="AS125">
        <v>1.0321057834898599</v>
      </c>
      <c r="AT125" t="s">
        <v>352</v>
      </c>
      <c r="AU125">
        <v>1.0519678190910999</v>
      </c>
      <c r="AV125" t="s">
        <v>334</v>
      </c>
      <c r="AW125">
        <v>0.90190735694822799</v>
      </c>
      <c r="AX125" t="s">
        <v>348</v>
      </c>
      <c r="AY125">
        <v>1.0630749014454599</v>
      </c>
      <c r="AZ125" t="s">
        <v>352</v>
      </c>
      <c r="BA125">
        <v>0.99530259305289304</v>
      </c>
      <c r="BB125" t="s">
        <v>348</v>
      </c>
      <c r="BC125">
        <v>0.80465717981888696</v>
      </c>
      <c r="BD125" t="s">
        <v>337</v>
      </c>
      <c r="BE125">
        <v>1.0883424408014499</v>
      </c>
      <c r="BF125" t="s">
        <v>338</v>
      </c>
      <c r="BG125">
        <v>1.0133729569093599</v>
      </c>
      <c r="BH125" t="s">
        <v>364</v>
      </c>
      <c r="BI125">
        <v>0.85283018867924498</v>
      </c>
      <c r="BJ125" t="s">
        <v>366</v>
      </c>
      <c r="BK125">
        <v>0.81781376518218596</v>
      </c>
      <c r="BL125" t="s">
        <v>275</v>
      </c>
      <c r="BM125">
        <v>0.96851574212893499</v>
      </c>
      <c r="BN125" t="s">
        <v>361</v>
      </c>
      <c r="BO125">
        <v>0.912928690234179</v>
      </c>
      <c r="BP125" t="s">
        <v>364</v>
      </c>
      <c r="BQ125">
        <v>1.00416088765603</v>
      </c>
      <c r="BR125" t="s">
        <v>366</v>
      </c>
      <c r="BS125">
        <v>1.09450549450549</v>
      </c>
      <c r="BT125" t="s">
        <v>359</v>
      </c>
      <c r="BU125">
        <v>1.0040431266846299</v>
      </c>
      <c r="BV125" t="s">
        <v>362</v>
      </c>
      <c r="BW125">
        <v>0.97099236641221298</v>
      </c>
    </row>
    <row r="126" spans="1:75" x14ac:dyDescent="0.4">
      <c r="A126">
        <v>124</v>
      </c>
      <c r="B126" t="s">
        <v>229</v>
      </c>
      <c r="C126">
        <v>0.78917342799188595</v>
      </c>
      <c r="D126" t="s">
        <v>327</v>
      </c>
      <c r="E126">
        <v>0.89227738911906496</v>
      </c>
      <c r="F126" t="s">
        <v>307</v>
      </c>
      <c r="G126">
        <v>0.76666666666666605</v>
      </c>
      <c r="H126" t="s">
        <v>239</v>
      </c>
      <c r="I126">
        <v>0.91616676664666996</v>
      </c>
      <c r="J126" t="s">
        <v>232</v>
      </c>
      <c r="K126">
        <v>1.5812917594654701</v>
      </c>
      <c r="L126" t="s">
        <v>339</v>
      </c>
      <c r="M126">
        <v>1.0050563982886001</v>
      </c>
      <c r="N126" t="s">
        <v>245</v>
      </c>
      <c r="O126">
        <v>1.00106609808102</v>
      </c>
      <c r="P126" t="s">
        <v>229</v>
      </c>
      <c r="Q126">
        <v>1.24489795918367</v>
      </c>
      <c r="R126" t="s">
        <v>258</v>
      </c>
      <c r="S126">
        <v>0.94615384615384601</v>
      </c>
      <c r="T126" t="s">
        <v>327</v>
      </c>
      <c r="U126">
        <v>1.03729456384323</v>
      </c>
      <c r="V126" t="s">
        <v>263</v>
      </c>
      <c r="W126">
        <v>1.2309090909090901</v>
      </c>
      <c r="X126" t="s">
        <v>360</v>
      </c>
      <c r="Y126">
        <v>1.1170212765957399</v>
      </c>
      <c r="Z126" t="s">
        <v>342</v>
      </c>
      <c r="AA126">
        <v>0.83280757097791802</v>
      </c>
      <c r="AB126" t="s">
        <v>352</v>
      </c>
      <c r="AC126">
        <v>0.94946313792658898</v>
      </c>
      <c r="AD126" t="s">
        <v>342</v>
      </c>
      <c r="AE126">
        <v>0.73170731707317005</v>
      </c>
      <c r="AF126" t="s">
        <v>368</v>
      </c>
      <c r="AG126">
        <v>1.0724637681159399</v>
      </c>
      <c r="AH126" t="s">
        <v>352</v>
      </c>
      <c r="AI126">
        <v>0.66603787821625204</v>
      </c>
      <c r="AJ126" t="s">
        <v>365</v>
      </c>
      <c r="AK126">
        <v>1.00445192615367</v>
      </c>
      <c r="AL126" t="s">
        <v>367</v>
      </c>
      <c r="AM126">
        <v>1.0010040160642499</v>
      </c>
      <c r="AN126" t="s">
        <v>359</v>
      </c>
      <c r="AO126">
        <v>1.07846410684474</v>
      </c>
      <c r="AP126" t="s">
        <v>359</v>
      </c>
      <c r="AQ126">
        <v>1.19040247678018</v>
      </c>
      <c r="AR126" t="s">
        <v>356</v>
      </c>
      <c r="AS126">
        <v>0.86486486486486402</v>
      </c>
      <c r="AT126" t="s">
        <v>275</v>
      </c>
      <c r="AU126">
        <v>1.3150442477876101</v>
      </c>
      <c r="AV126" t="s">
        <v>358</v>
      </c>
      <c r="AW126">
        <v>1.2004008016032</v>
      </c>
      <c r="AX126" t="s">
        <v>353</v>
      </c>
      <c r="AY126">
        <v>1.97358490566037</v>
      </c>
      <c r="AZ126" t="s">
        <v>355</v>
      </c>
      <c r="BA126">
        <v>1.0587084148727901</v>
      </c>
      <c r="BB126" t="s">
        <v>352</v>
      </c>
      <c r="BC126">
        <v>0.89796825396825397</v>
      </c>
      <c r="BD126" t="s">
        <v>345</v>
      </c>
      <c r="BE126">
        <v>1.09014084507042</v>
      </c>
      <c r="BF126" t="s">
        <v>342</v>
      </c>
      <c r="BG126">
        <v>0.90983606557376995</v>
      </c>
      <c r="BH126" t="s">
        <v>366</v>
      </c>
      <c r="BI126">
        <v>0.88530465949820702</v>
      </c>
      <c r="BJ126" t="s">
        <v>303</v>
      </c>
      <c r="BK126">
        <v>1.16808149405772</v>
      </c>
      <c r="BL126" t="s">
        <v>359</v>
      </c>
      <c r="BM126">
        <v>0.97981157469717295</v>
      </c>
      <c r="BN126" t="s">
        <v>364</v>
      </c>
      <c r="BO126">
        <v>0.95118733509234799</v>
      </c>
      <c r="BP126" t="s">
        <v>366</v>
      </c>
      <c r="BQ126">
        <v>0.946930280957336</v>
      </c>
      <c r="BR126" t="s">
        <v>303</v>
      </c>
      <c r="BS126">
        <v>0.87321428571428505</v>
      </c>
      <c r="BT126" t="s">
        <v>278</v>
      </c>
      <c r="BU126">
        <v>0.93763440860214997</v>
      </c>
      <c r="BV126" t="s">
        <v>361</v>
      </c>
      <c r="BW126">
        <v>1.21116138763197</v>
      </c>
    </row>
    <row r="127" spans="1:75" x14ac:dyDescent="0.4">
      <c r="A127">
        <v>125</v>
      </c>
      <c r="B127" t="s">
        <v>315</v>
      </c>
      <c r="C127">
        <v>0.98949118722979701</v>
      </c>
      <c r="D127" t="s">
        <v>239</v>
      </c>
      <c r="E127">
        <v>0.92605989232839803</v>
      </c>
      <c r="F127" t="s">
        <v>227</v>
      </c>
      <c r="G127">
        <v>0.844444444444444</v>
      </c>
      <c r="H127" t="s">
        <v>258</v>
      </c>
      <c r="I127">
        <v>0.93333333333333302</v>
      </c>
      <c r="J127" t="s">
        <v>327</v>
      </c>
      <c r="K127">
        <v>1.0687797147385101</v>
      </c>
      <c r="L127" t="s">
        <v>111</v>
      </c>
      <c r="M127">
        <v>0.910921028685024</v>
      </c>
      <c r="N127" t="s">
        <v>253</v>
      </c>
      <c r="O127">
        <v>0.84496124031007702</v>
      </c>
      <c r="P127" t="s">
        <v>360</v>
      </c>
      <c r="Q127">
        <v>1.1185344827586201</v>
      </c>
      <c r="R127" t="s">
        <v>316</v>
      </c>
      <c r="S127">
        <v>2.30846774193548</v>
      </c>
      <c r="T127" t="s">
        <v>258</v>
      </c>
      <c r="U127">
        <v>1.3048780487804801</v>
      </c>
      <c r="V127" t="s">
        <v>356</v>
      </c>
      <c r="W127">
        <v>1.04126984126984</v>
      </c>
      <c r="X127" t="s">
        <v>327</v>
      </c>
      <c r="Y127">
        <v>1.07179487179487</v>
      </c>
      <c r="Z127" t="s">
        <v>358</v>
      </c>
      <c r="AA127">
        <v>0.98421052631578898</v>
      </c>
      <c r="AB127" t="s">
        <v>275</v>
      </c>
      <c r="AC127">
        <v>0.98449612403100695</v>
      </c>
      <c r="AD127" t="s">
        <v>358</v>
      </c>
      <c r="AE127">
        <v>0.64835164835164805</v>
      </c>
      <c r="AF127" t="s">
        <v>365</v>
      </c>
      <c r="AG127">
        <v>1.1821274860203199</v>
      </c>
      <c r="AH127" t="s">
        <v>275</v>
      </c>
      <c r="AI127">
        <v>0.95767195767195701</v>
      </c>
      <c r="AJ127" t="s">
        <v>369</v>
      </c>
      <c r="AK127">
        <v>1.0944</v>
      </c>
      <c r="AL127" t="s">
        <v>369</v>
      </c>
      <c r="AM127">
        <v>1.3918128654970701</v>
      </c>
      <c r="AN127" t="s">
        <v>278</v>
      </c>
      <c r="AO127">
        <v>1.22284644194756</v>
      </c>
      <c r="AP127" t="s">
        <v>278</v>
      </c>
      <c r="AQ127">
        <v>0.82082695252679905</v>
      </c>
      <c r="AR127" t="s">
        <v>348</v>
      </c>
      <c r="AS127">
        <v>1.25535420098846</v>
      </c>
      <c r="AT127" t="s">
        <v>359</v>
      </c>
      <c r="AU127">
        <v>1.0293333333333301</v>
      </c>
      <c r="AV127" t="s">
        <v>352</v>
      </c>
      <c r="AW127">
        <v>1.06132010472647</v>
      </c>
      <c r="AX127" t="s">
        <v>358</v>
      </c>
      <c r="AY127">
        <v>1.07178631051752</v>
      </c>
      <c r="AZ127" t="s">
        <v>359</v>
      </c>
      <c r="BA127">
        <v>1.05026455026455</v>
      </c>
      <c r="BB127" t="s">
        <v>355</v>
      </c>
      <c r="BC127">
        <v>0.84103512014787396</v>
      </c>
      <c r="BD127" t="s">
        <v>354</v>
      </c>
      <c r="BE127">
        <v>0.93357487922705296</v>
      </c>
      <c r="BF127" t="s">
        <v>348</v>
      </c>
      <c r="BG127">
        <v>0.96728971962616805</v>
      </c>
      <c r="BH127" t="s">
        <v>303</v>
      </c>
      <c r="BI127">
        <v>1.2478813559322</v>
      </c>
      <c r="BJ127" t="s">
        <v>289</v>
      </c>
      <c r="BK127">
        <v>0.85294117647058798</v>
      </c>
      <c r="BL127" t="s">
        <v>278</v>
      </c>
      <c r="BM127">
        <v>1.1991828396322699</v>
      </c>
      <c r="BN127" t="s">
        <v>366</v>
      </c>
      <c r="BO127">
        <v>1.05720572057205</v>
      </c>
      <c r="BP127" t="s">
        <v>303</v>
      </c>
      <c r="BQ127">
        <v>1.00178890876565</v>
      </c>
      <c r="BR127" t="s">
        <v>289</v>
      </c>
      <c r="BS127">
        <v>0.94841735052754905</v>
      </c>
      <c r="BT127" t="s">
        <v>362</v>
      </c>
      <c r="BU127">
        <v>0.86640211640211595</v>
      </c>
      <c r="BV127" t="s">
        <v>364</v>
      </c>
      <c r="BW127">
        <v>1.12181303116147</v>
      </c>
    </row>
    <row r="128" spans="1:75" x14ac:dyDescent="0.4">
      <c r="A128">
        <v>126</v>
      </c>
      <c r="B128" t="s">
        <v>232</v>
      </c>
      <c r="C128">
        <v>0.90378006872852201</v>
      </c>
      <c r="D128" t="s">
        <v>258</v>
      </c>
      <c r="E128">
        <v>0.65560165975103701</v>
      </c>
      <c r="F128" t="s">
        <v>229</v>
      </c>
      <c r="G128">
        <v>0.48212560386473402</v>
      </c>
      <c r="H128" t="s">
        <v>111</v>
      </c>
      <c r="I128">
        <v>1.1263185481229101</v>
      </c>
      <c r="J128" t="s">
        <v>239</v>
      </c>
      <c r="K128">
        <v>2.0644950073661801</v>
      </c>
      <c r="L128" t="s">
        <v>245</v>
      </c>
      <c r="M128">
        <v>1.2213541666666601</v>
      </c>
      <c r="N128" t="s">
        <v>370</v>
      </c>
      <c r="O128">
        <v>0.58893280632411005</v>
      </c>
      <c r="P128" t="s">
        <v>327</v>
      </c>
      <c r="Q128">
        <v>1.0031455399061</v>
      </c>
      <c r="R128" t="s">
        <v>339</v>
      </c>
      <c r="S128">
        <v>1.2180183946488199</v>
      </c>
      <c r="T128" t="s">
        <v>339</v>
      </c>
      <c r="U128">
        <v>1.5587781019392399</v>
      </c>
      <c r="V128" t="s">
        <v>334</v>
      </c>
      <c r="W128">
        <v>1.4055555555555499</v>
      </c>
      <c r="X128" t="s">
        <v>258</v>
      </c>
      <c r="Y128">
        <v>0.99425287356321801</v>
      </c>
      <c r="Z128" t="s">
        <v>352</v>
      </c>
      <c r="AA128">
        <v>1.2752659886793301</v>
      </c>
      <c r="AB128" t="s">
        <v>359</v>
      </c>
      <c r="AC128">
        <v>1.0794979079497899</v>
      </c>
      <c r="AD128" t="s">
        <v>352</v>
      </c>
      <c r="AE128">
        <v>0.77266114484123105</v>
      </c>
      <c r="AF128" t="s">
        <v>371</v>
      </c>
      <c r="AG128">
        <v>1.3802149178255301</v>
      </c>
      <c r="AH128" t="s">
        <v>359</v>
      </c>
      <c r="AI128">
        <v>0.94559099437148197</v>
      </c>
      <c r="AJ128" t="s">
        <v>364</v>
      </c>
      <c r="AK128">
        <v>0.89389920424403102</v>
      </c>
      <c r="AL128" t="s">
        <v>364</v>
      </c>
      <c r="AM128">
        <v>0.95697329376854601</v>
      </c>
      <c r="AN128" t="s">
        <v>365</v>
      </c>
      <c r="AO128">
        <v>1.19241325786973</v>
      </c>
      <c r="AP128" t="s">
        <v>372</v>
      </c>
      <c r="AQ128">
        <v>1.21130551816958</v>
      </c>
      <c r="AR128" t="s">
        <v>351</v>
      </c>
      <c r="AS128">
        <v>0.84262295081967198</v>
      </c>
      <c r="AT128" t="s">
        <v>278</v>
      </c>
      <c r="AU128">
        <v>1.04234527687296</v>
      </c>
      <c r="AV128" t="s">
        <v>275</v>
      </c>
      <c r="AW128">
        <v>1.0713324360699801</v>
      </c>
      <c r="AX128" t="s">
        <v>352</v>
      </c>
      <c r="AY128">
        <v>1.0272872846879599</v>
      </c>
      <c r="AZ128" t="s">
        <v>278</v>
      </c>
      <c r="BA128">
        <v>1.0792838874680299</v>
      </c>
      <c r="BB128" t="s">
        <v>359</v>
      </c>
      <c r="BC128">
        <v>0.93954659949622099</v>
      </c>
      <c r="BD128" t="s">
        <v>328</v>
      </c>
      <c r="BE128">
        <v>0.95774562379844097</v>
      </c>
      <c r="BF128" t="s">
        <v>351</v>
      </c>
      <c r="BG128">
        <v>1.17070063694267</v>
      </c>
      <c r="BH128" t="s">
        <v>289</v>
      </c>
      <c r="BI128">
        <v>0.94444444444444398</v>
      </c>
      <c r="BJ128" t="s">
        <v>373</v>
      </c>
      <c r="BK128">
        <v>1.01327433628318</v>
      </c>
      <c r="BL128" t="s">
        <v>364</v>
      </c>
      <c r="BM128">
        <v>0.917675544794188</v>
      </c>
      <c r="BN128" t="s">
        <v>303</v>
      </c>
      <c r="BO128">
        <v>0.85736196319018398</v>
      </c>
      <c r="BP128" t="s">
        <v>289</v>
      </c>
      <c r="BQ128">
        <v>0.97597254004576595</v>
      </c>
      <c r="BR128" t="s">
        <v>374</v>
      </c>
      <c r="BS128">
        <v>0.96870109546165795</v>
      </c>
      <c r="BT128" t="s">
        <v>361</v>
      </c>
      <c r="BU128">
        <v>1.06632784354091</v>
      </c>
      <c r="BV128" t="s">
        <v>366</v>
      </c>
      <c r="BW128">
        <v>1.04615384615384</v>
      </c>
    </row>
    <row r="129" spans="1:75" x14ac:dyDescent="0.4">
      <c r="A129">
        <v>127</v>
      </c>
      <c r="B129" t="s">
        <v>327</v>
      </c>
      <c r="C129">
        <v>1.08221544341945</v>
      </c>
      <c r="D129" t="s">
        <v>339</v>
      </c>
      <c r="E129">
        <v>1.1257035647279501</v>
      </c>
      <c r="F129" t="s">
        <v>315</v>
      </c>
      <c r="G129">
        <v>0.61177840867729405</v>
      </c>
      <c r="H129" t="s">
        <v>245</v>
      </c>
      <c r="I129">
        <v>1.0621468926553601</v>
      </c>
      <c r="J129" t="s">
        <v>258</v>
      </c>
      <c r="K129">
        <v>1.1596638655462099</v>
      </c>
      <c r="L129" t="s">
        <v>248</v>
      </c>
      <c r="M129">
        <v>1.05098072941942</v>
      </c>
      <c r="N129" t="s">
        <v>328</v>
      </c>
      <c r="O129">
        <v>0.97900971333807096</v>
      </c>
      <c r="P129" t="s">
        <v>258</v>
      </c>
      <c r="Q129">
        <v>1.60692212608158</v>
      </c>
      <c r="R129" t="s">
        <v>111</v>
      </c>
      <c r="S129">
        <v>0.66246154853066297</v>
      </c>
      <c r="T129" t="s">
        <v>111</v>
      </c>
      <c r="U129">
        <v>1.15953268950527</v>
      </c>
      <c r="V129" t="s">
        <v>342</v>
      </c>
      <c r="W129">
        <v>1.1825095057034201</v>
      </c>
      <c r="X129" t="s">
        <v>339</v>
      </c>
      <c r="Y129">
        <v>1.25907320073815</v>
      </c>
      <c r="Z129" t="s">
        <v>275</v>
      </c>
      <c r="AA129">
        <v>0.97974683544303798</v>
      </c>
      <c r="AB129" t="s">
        <v>278</v>
      </c>
      <c r="AC129">
        <v>0.75544388609715196</v>
      </c>
      <c r="AD129" t="s">
        <v>275</v>
      </c>
      <c r="AE129">
        <v>1.0026246719160099</v>
      </c>
      <c r="AF129" t="s">
        <v>369</v>
      </c>
      <c r="AG129">
        <v>1.15151515151515</v>
      </c>
      <c r="AH129" t="s">
        <v>278</v>
      </c>
      <c r="AI129">
        <v>0.89641434262948205</v>
      </c>
      <c r="AJ129" t="s">
        <v>303</v>
      </c>
      <c r="AK129">
        <v>0.77617460488119505</v>
      </c>
      <c r="AL129" t="s">
        <v>289</v>
      </c>
      <c r="AM129">
        <v>1.3727087576374699</v>
      </c>
      <c r="AN129" t="s">
        <v>367</v>
      </c>
      <c r="AO129">
        <v>1.0732196589769301</v>
      </c>
      <c r="AP129" t="s">
        <v>365</v>
      </c>
      <c r="AQ129">
        <v>0.808140457821379</v>
      </c>
      <c r="AR129" t="s">
        <v>358</v>
      </c>
      <c r="AS129">
        <v>0.80310077519379797</v>
      </c>
      <c r="AT129" t="s">
        <v>368</v>
      </c>
      <c r="AU129">
        <v>1.3235294117647001</v>
      </c>
      <c r="AV129" t="s">
        <v>359</v>
      </c>
      <c r="AW129">
        <v>1.01036269430051</v>
      </c>
      <c r="AX129" t="s">
        <v>359</v>
      </c>
      <c r="AY129">
        <v>0.96923076923076901</v>
      </c>
      <c r="AZ129" t="s">
        <v>372</v>
      </c>
      <c r="BA129">
        <v>1.08465608465608</v>
      </c>
      <c r="BB129" t="s">
        <v>278</v>
      </c>
      <c r="BC129">
        <v>1.09004739336492</v>
      </c>
      <c r="BD129" t="s">
        <v>260</v>
      </c>
      <c r="BE129">
        <v>0.88454706927175797</v>
      </c>
      <c r="BF129" t="s">
        <v>358</v>
      </c>
      <c r="BG129">
        <v>0.85031847133757898</v>
      </c>
      <c r="BH129" t="s">
        <v>374</v>
      </c>
      <c r="BI129">
        <v>0.91486486486486396</v>
      </c>
      <c r="BJ129" t="s">
        <v>374</v>
      </c>
      <c r="BK129">
        <v>0.97488921713441601</v>
      </c>
      <c r="BL129" t="s">
        <v>366</v>
      </c>
      <c r="BM129">
        <v>0.9</v>
      </c>
      <c r="BN129" t="s">
        <v>289</v>
      </c>
      <c r="BO129">
        <v>1.13506493506493</v>
      </c>
      <c r="BP129" t="s">
        <v>374</v>
      </c>
      <c r="BQ129">
        <v>1.00788643533123</v>
      </c>
      <c r="BR129" t="s">
        <v>375</v>
      </c>
      <c r="BS129">
        <v>0.933544303797468</v>
      </c>
      <c r="BT129" t="s">
        <v>364</v>
      </c>
      <c r="BU129">
        <v>1.0996884735202399</v>
      </c>
      <c r="BV129" t="s">
        <v>303</v>
      </c>
      <c r="BW129">
        <v>0.96421471172962203</v>
      </c>
    </row>
    <row r="130" spans="1:75" x14ac:dyDescent="0.4">
      <c r="A130">
        <v>128</v>
      </c>
      <c r="B130" t="s">
        <v>239</v>
      </c>
      <c r="C130">
        <v>1.2734868773433301</v>
      </c>
      <c r="D130" t="s">
        <v>245</v>
      </c>
      <c r="E130">
        <v>0.73696145124716494</v>
      </c>
      <c r="F130" t="s">
        <v>360</v>
      </c>
      <c r="G130">
        <v>0.519869352204681</v>
      </c>
      <c r="H130" t="s">
        <v>250</v>
      </c>
      <c r="I130">
        <v>1.2973959078552</v>
      </c>
      <c r="J130" t="s">
        <v>111</v>
      </c>
      <c r="K130">
        <v>1.38504643902817</v>
      </c>
      <c r="L130" t="s">
        <v>253</v>
      </c>
      <c r="M130">
        <v>0.755859375</v>
      </c>
      <c r="N130" t="s">
        <v>378</v>
      </c>
      <c r="O130">
        <v>0.92</v>
      </c>
      <c r="P130" t="s">
        <v>339</v>
      </c>
      <c r="Q130">
        <v>0.97772327815246196</v>
      </c>
      <c r="R130" t="s">
        <v>245</v>
      </c>
      <c r="S130">
        <v>1.05439330543933</v>
      </c>
      <c r="T130" t="s">
        <v>245</v>
      </c>
      <c r="U130">
        <v>1.48412698412698</v>
      </c>
      <c r="V130" t="s">
        <v>379</v>
      </c>
      <c r="W130">
        <v>1.24302788844621</v>
      </c>
      <c r="X130" t="s">
        <v>111</v>
      </c>
      <c r="Y130">
        <v>0.90016397687062999</v>
      </c>
      <c r="Z130" t="s">
        <v>359</v>
      </c>
      <c r="AA130">
        <v>0.98556701030927796</v>
      </c>
      <c r="AB130" t="s">
        <v>368</v>
      </c>
      <c r="AC130">
        <v>0.78443113772454998</v>
      </c>
      <c r="AD130" t="s">
        <v>359</v>
      </c>
      <c r="AE130">
        <v>0.95542635658914699</v>
      </c>
      <c r="AF130" t="s">
        <v>364</v>
      </c>
      <c r="AG130">
        <v>1.2230576441102701</v>
      </c>
      <c r="AH130" t="s">
        <v>368</v>
      </c>
      <c r="AI130">
        <v>0.80630630630630595</v>
      </c>
      <c r="AJ130" t="s">
        <v>289</v>
      </c>
      <c r="AK130">
        <v>1.10585585585585</v>
      </c>
      <c r="AL130" t="s">
        <v>377</v>
      </c>
      <c r="AM130">
        <v>1.4115898959881099</v>
      </c>
      <c r="AN130" t="s">
        <v>364</v>
      </c>
      <c r="AO130">
        <v>1.25426356589147</v>
      </c>
      <c r="AP130" t="s">
        <v>367</v>
      </c>
      <c r="AQ130">
        <v>0.96074766355140095</v>
      </c>
      <c r="AR130" t="s">
        <v>352</v>
      </c>
      <c r="AS130">
        <v>1.27255118981737</v>
      </c>
      <c r="AT130" t="s">
        <v>372</v>
      </c>
      <c r="AU130">
        <v>1.0337552742616001</v>
      </c>
      <c r="AV130" t="s">
        <v>278</v>
      </c>
      <c r="AW130">
        <v>1.15625</v>
      </c>
      <c r="AX130" t="s">
        <v>278</v>
      </c>
      <c r="AY130">
        <v>1.05675675675675</v>
      </c>
      <c r="AZ130" t="s">
        <v>365</v>
      </c>
      <c r="BA130">
        <v>0.80000423495532103</v>
      </c>
      <c r="BB130" t="s">
        <v>372</v>
      </c>
      <c r="BC130">
        <v>1.0097560975609701</v>
      </c>
      <c r="BD130" t="s">
        <v>334</v>
      </c>
      <c r="BE130">
        <v>0.91866028708133896</v>
      </c>
      <c r="BF130" t="s">
        <v>352</v>
      </c>
      <c r="BG130">
        <v>1.0307089186540299</v>
      </c>
      <c r="BH130" t="s">
        <v>380</v>
      </c>
      <c r="BI130">
        <v>1.1089743589743499</v>
      </c>
      <c r="BJ130" t="s">
        <v>375</v>
      </c>
      <c r="BK130">
        <v>1.00329489291598</v>
      </c>
      <c r="BL130" t="s">
        <v>303</v>
      </c>
      <c r="BM130">
        <v>0.94767441860465096</v>
      </c>
      <c r="BN130" t="s">
        <v>373</v>
      </c>
      <c r="BO130">
        <v>0.98478260869565204</v>
      </c>
      <c r="BP130" t="s">
        <v>375</v>
      </c>
      <c r="BQ130">
        <v>1.0031746031746001</v>
      </c>
      <c r="BR130" t="s">
        <v>380</v>
      </c>
      <c r="BS130">
        <v>0.88</v>
      </c>
      <c r="BT130" t="s">
        <v>366</v>
      </c>
      <c r="BU130">
        <v>0.91365461847389495</v>
      </c>
      <c r="BV130" t="s">
        <v>289</v>
      </c>
      <c r="BW130">
        <v>1.0525657071339101</v>
      </c>
    </row>
    <row r="131" spans="1:75" x14ac:dyDescent="0.4">
      <c r="A131">
        <v>129</v>
      </c>
      <c r="B131" t="s">
        <v>339</v>
      </c>
      <c r="C131">
        <v>0.96951061065396205</v>
      </c>
      <c r="D131" t="s">
        <v>357</v>
      </c>
      <c r="E131">
        <v>0.62743091095189296</v>
      </c>
      <c r="F131" t="s">
        <v>232</v>
      </c>
      <c r="G131">
        <v>0.54488188976377905</v>
      </c>
      <c r="H131" t="s">
        <v>357</v>
      </c>
      <c r="I131">
        <v>0.88541666666666596</v>
      </c>
      <c r="J131" t="s">
        <v>245</v>
      </c>
      <c r="K131">
        <v>1.63404255319148</v>
      </c>
      <c r="L131" t="s">
        <v>370</v>
      </c>
      <c r="M131">
        <v>1.1370786516853899</v>
      </c>
      <c r="N131" t="s">
        <v>342</v>
      </c>
      <c r="O131">
        <v>0.89195402298850501</v>
      </c>
      <c r="P131" t="s">
        <v>111</v>
      </c>
      <c r="Q131">
        <v>0.91091470049036405</v>
      </c>
      <c r="R131" t="s">
        <v>253</v>
      </c>
      <c r="S131">
        <v>1.4814814814814801</v>
      </c>
      <c r="T131" t="s">
        <v>328</v>
      </c>
      <c r="U131">
        <v>0.91249351995852701</v>
      </c>
      <c r="V131" t="s">
        <v>358</v>
      </c>
      <c r="W131">
        <v>1.34230769230769</v>
      </c>
      <c r="X131" t="s">
        <v>328</v>
      </c>
      <c r="Y131">
        <v>1.11654747770384</v>
      </c>
      <c r="Z131" t="s">
        <v>278</v>
      </c>
      <c r="AA131">
        <v>1.0815217391304299</v>
      </c>
      <c r="AB131" t="s">
        <v>372</v>
      </c>
      <c r="AC131">
        <v>0.89863013698630101</v>
      </c>
      <c r="AD131" t="s">
        <v>278</v>
      </c>
      <c r="AE131">
        <v>1.11086474501108</v>
      </c>
      <c r="AF131" t="s">
        <v>366</v>
      </c>
      <c r="AG131">
        <v>1.1139817629179301</v>
      </c>
      <c r="AH131" t="s">
        <v>372</v>
      </c>
      <c r="AI131">
        <v>0.87752161383285299</v>
      </c>
      <c r="AJ131" t="s">
        <v>295</v>
      </c>
      <c r="AK131">
        <v>1.20746887966804</v>
      </c>
      <c r="AL131" t="s">
        <v>374</v>
      </c>
      <c r="AM131">
        <v>1.2521440823327601</v>
      </c>
      <c r="AN131" t="s">
        <v>366</v>
      </c>
      <c r="AO131">
        <v>1.06666666666666</v>
      </c>
      <c r="AP131" t="s">
        <v>364</v>
      </c>
      <c r="AQ131">
        <v>1.19406674907292</v>
      </c>
      <c r="AR131" t="s">
        <v>355</v>
      </c>
      <c r="AS131">
        <v>0.92495126705652997</v>
      </c>
      <c r="AT131" t="s">
        <v>365</v>
      </c>
      <c r="AU131">
        <v>0.89589817933739802</v>
      </c>
      <c r="AV131" t="s">
        <v>368</v>
      </c>
      <c r="AW131">
        <v>2.3037037037036998</v>
      </c>
      <c r="AX131" t="s">
        <v>372</v>
      </c>
      <c r="AY131">
        <v>1.22198275862068</v>
      </c>
      <c r="AZ131" t="s">
        <v>367</v>
      </c>
      <c r="BA131">
        <v>1.4125874125874101</v>
      </c>
      <c r="BB131" t="s">
        <v>365</v>
      </c>
      <c r="BC131">
        <v>0.66313755591434798</v>
      </c>
      <c r="BD131" t="s">
        <v>338</v>
      </c>
      <c r="BE131">
        <v>0.86726804123711299</v>
      </c>
      <c r="BF131" t="s">
        <v>275</v>
      </c>
      <c r="BG131">
        <v>1.0558659217877</v>
      </c>
      <c r="BH131" t="s">
        <v>381</v>
      </c>
      <c r="BI131">
        <v>0.78229774831100796</v>
      </c>
      <c r="BJ131" t="s">
        <v>381</v>
      </c>
      <c r="BK131">
        <v>0.91063810213773899</v>
      </c>
      <c r="BL131" t="s">
        <v>289</v>
      </c>
      <c r="BM131">
        <v>0.66379310344827502</v>
      </c>
      <c r="BN131" t="s">
        <v>374</v>
      </c>
      <c r="BO131">
        <v>1.1281138790035501</v>
      </c>
      <c r="BP131" t="s">
        <v>380</v>
      </c>
      <c r="BQ131">
        <v>0.96685082872928096</v>
      </c>
      <c r="BR131" t="s">
        <v>381</v>
      </c>
      <c r="BS131">
        <v>1.09452736318407</v>
      </c>
      <c r="BT131" t="s">
        <v>303</v>
      </c>
      <c r="BU131">
        <v>1.02862985685071</v>
      </c>
      <c r="BV131" t="s">
        <v>373</v>
      </c>
      <c r="BW131">
        <v>1.1388235294117599</v>
      </c>
    </row>
    <row r="132" spans="1:75" x14ac:dyDescent="0.4">
      <c r="A132">
        <v>130</v>
      </c>
      <c r="B132" t="s">
        <v>245</v>
      </c>
      <c r="C132">
        <v>0.94432548179871501</v>
      </c>
      <c r="D132" t="s">
        <v>253</v>
      </c>
      <c r="E132">
        <v>0.84304932735425997</v>
      </c>
      <c r="F132" t="s">
        <v>327</v>
      </c>
      <c r="G132">
        <v>0.60611250666057703</v>
      </c>
      <c r="H132" t="s">
        <v>253</v>
      </c>
      <c r="I132">
        <v>1.1378205128205101</v>
      </c>
      <c r="J132" t="s">
        <v>248</v>
      </c>
      <c r="K132">
        <v>1.0944178885728999</v>
      </c>
      <c r="L132" t="s">
        <v>328</v>
      </c>
      <c r="M132">
        <v>0.97275995575221197</v>
      </c>
      <c r="N132" t="s">
        <v>379</v>
      </c>
      <c r="O132">
        <v>1.00456621004566</v>
      </c>
      <c r="P132" t="s">
        <v>245</v>
      </c>
      <c r="Q132">
        <v>1.27263045793397</v>
      </c>
      <c r="R132" t="s">
        <v>328</v>
      </c>
      <c r="S132">
        <v>1.00437363323961</v>
      </c>
      <c r="T132" t="s">
        <v>347</v>
      </c>
      <c r="U132">
        <v>1.0586466165413499</v>
      </c>
      <c r="V132" t="s">
        <v>352</v>
      </c>
      <c r="W132">
        <v>1.1090589270008699</v>
      </c>
      <c r="X132" t="s">
        <v>347</v>
      </c>
      <c r="Y132">
        <v>0.953521126760563</v>
      </c>
      <c r="Z132" t="s">
        <v>368</v>
      </c>
      <c r="AA132">
        <v>0.87894736842105203</v>
      </c>
      <c r="AB132" t="s">
        <v>365</v>
      </c>
      <c r="AC132">
        <v>0.81242303702432195</v>
      </c>
      <c r="AD132" t="s">
        <v>368</v>
      </c>
      <c r="AE132">
        <v>0.79007633587786197</v>
      </c>
      <c r="AF132" t="s">
        <v>303</v>
      </c>
      <c r="AG132">
        <v>1.0321955806299901</v>
      </c>
      <c r="AH132" t="s">
        <v>365</v>
      </c>
      <c r="AI132">
        <v>0.65261485382240703</v>
      </c>
      <c r="AJ132" t="s">
        <v>377</v>
      </c>
      <c r="AK132">
        <v>0.92827586206896495</v>
      </c>
      <c r="AL132" t="s">
        <v>381</v>
      </c>
      <c r="AM132">
        <v>1.0034521065016599</v>
      </c>
      <c r="AN132" t="s">
        <v>376</v>
      </c>
      <c r="AO132">
        <v>0.98852772466539196</v>
      </c>
      <c r="AP132" t="s">
        <v>366</v>
      </c>
      <c r="AQ132">
        <v>1.1479591836734599</v>
      </c>
      <c r="AR132" t="s">
        <v>275</v>
      </c>
      <c r="AS132">
        <v>1.00177304964539</v>
      </c>
      <c r="AT132" t="s">
        <v>367</v>
      </c>
      <c r="AU132">
        <v>0.99068322981366397</v>
      </c>
      <c r="AV132" t="s">
        <v>372</v>
      </c>
      <c r="AW132">
        <v>0.946938775510204</v>
      </c>
      <c r="AX132" t="s">
        <v>365</v>
      </c>
      <c r="AY132">
        <v>0.90630997159745097</v>
      </c>
      <c r="AZ132" t="s">
        <v>364</v>
      </c>
      <c r="BA132">
        <v>1.31196581196581</v>
      </c>
      <c r="BB132" t="s">
        <v>363</v>
      </c>
      <c r="BC132">
        <v>0.98632218844984798</v>
      </c>
      <c r="BD132" t="s">
        <v>348</v>
      </c>
      <c r="BE132">
        <v>1.0321543408360101</v>
      </c>
      <c r="BF132" t="s">
        <v>359</v>
      </c>
      <c r="BG132">
        <v>1.06798866855524</v>
      </c>
      <c r="BH132" t="s">
        <v>382</v>
      </c>
      <c r="BI132">
        <v>0.79022082018927398</v>
      </c>
      <c r="BJ132" t="s">
        <v>383</v>
      </c>
      <c r="BK132">
        <v>0.98898071625344297</v>
      </c>
      <c r="BL132" t="s">
        <v>373</v>
      </c>
      <c r="BM132">
        <v>1.0043668122270699</v>
      </c>
      <c r="BN132" t="s">
        <v>381</v>
      </c>
      <c r="BO132">
        <v>1.1911423864175801</v>
      </c>
      <c r="BP132" t="s">
        <v>381</v>
      </c>
      <c r="BQ132">
        <v>1.1686046511627901</v>
      </c>
      <c r="BR132" t="s">
        <v>383</v>
      </c>
      <c r="BS132">
        <v>1.1385869565217299</v>
      </c>
      <c r="BT132" t="s">
        <v>289</v>
      </c>
      <c r="BU132">
        <v>0.98763906056860296</v>
      </c>
      <c r="BV132" t="s">
        <v>374</v>
      </c>
      <c r="BW132">
        <v>1.11247803163444</v>
      </c>
    </row>
    <row r="133" spans="1:75" x14ac:dyDescent="0.4">
      <c r="A133">
        <v>131</v>
      </c>
      <c r="B133" t="s">
        <v>357</v>
      </c>
      <c r="C133">
        <v>0.92870722433459996</v>
      </c>
      <c r="D133" t="s">
        <v>328</v>
      </c>
      <c r="E133">
        <v>0.89896961583708501</v>
      </c>
      <c r="F133" t="s">
        <v>239</v>
      </c>
      <c r="G133">
        <v>0.60568625669906395</v>
      </c>
      <c r="H133" t="s">
        <v>337</v>
      </c>
      <c r="I133">
        <v>1.0743253816532199</v>
      </c>
      <c r="J133" t="s">
        <v>357</v>
      </c>
      <c r="K133">
        <v>1.9</v>
      </c>
      <c r="L133" t="s">
        <v>347</v>
      </c>
      <c r="M133">
        <v>1.2978003384094701</v>
      </c>
      <c r="N133" t="s">
        <v>358</v>
      </c>
      <c r="O133">
        <v>0.8</v>
      </c>
      <c r="P133" t="s">
        <v>253</v>
      </c>
      <c r="Q133">
        <v>1.07339449541284</v>
      </c>
      <c r="R133" t="s">
        <v>347</v>
      </c>
      <c r="S133">
        <v>1.1083333333333301</v>
      </c>
      <c r="T133" t="s">
        <v>263</v>
      </c>
      <c r="U133">
        <v>1.12244897959183</v>
      </c>
      <c r="V133" t="s">
        <v>275</v>
      </c>
      <c r="W133">
        <v>1.0358851674641101</v>
      </c>
      <c r="X133" t="s">
        <v>356</v>
      </c>
      <c r="Y133">
        <v>0.98780487804878003</v>
      </c>
      <c r="Z133" t="s">
        <v>372</v>
      </c>
      <c r="AA133">
        <v>0.83811710677382301</v>
      </c>
      <c r="AB133" t="s">
        <v>367</v>
      </c>
      <c r="AC133">
        <v>0.75771901314817502</v>
      </c>
      <c r="AD133" t="s">
        <v>365</v>
      </c>
      <c r="AE133">
        <v>0.85588697305688999</v>
      </c>
      <c r="AF133" t="s">
        <v>289</v>
      </c>
      <c r="AG133">
        <v>0.98</v>
      </c>
      <c r="AH133" t="s">
        <v>369</v>
      </c>
      <c r="AI133">
        <v>0.91374269005847897</v>
      </c>
      <c r="AJ133" t="s">
        <v>374</v>
      </c>
      <c r="AK133">
        <v>1.2364793213149501</v>
      </c>
      <c r="AL133" t="s">
        <v>384</v>
      </c>
      <c r="AM133">
        <v>1.22749725576289</v>
      </c>
      <c r="AN133" t="s">
        <v>289</v>
      </c>
      <c r="AO133">
        <v>1.4540059347181</v>
      </c>
      <c r="AP133" t="s">
        <v>376</v>
      </c>
      <c r="AQ133">
        <v>1.11411992263056</v>
      </c>
      <c r="AR133" t="s">
        <v>359</v>
      </c>
      <c r="AS133">
        <v>0.97529258777633199</v>
      </c>
      <c r="AT133" t="s">
        <v>364</v>
      </c>
      <c r="AU133">
        <v>0.91598915989159801</v>
      </c>
      <c r="AV133" t="s">
        <v>365</v>
      </c>
      <c r="AW133">
        <v>1.2399876258239499</v>
      </c>
      <c r="AX133" t="s">
        <v>367</v>
      </c>
      <c r="AY133">
        <v>1.16496945010183</v>
      </c>
      <c r="AZ133" t="s">
        <v>366</v>
      </c>
      <c r="BA133">
        <v>1.11363636363636</v>
      </c>
      <c r="BB133" t="s">
        <v>364</v>
      </c>
      <c r="BC133">
        <v>0.84039087947882696</v>
      </c>
      <c r="BD133" t="s">
        <v>351</v>
      </c>
      <c r="BE133">
        <v>1.13768115942028</v>
      </c>
      <c r="BF133" t="s">
        <v>278</v>
      </c>
      <c r="BG133">
        <v>1.0335570469798601</v>
      </c>
      <c r="BH133" t="s">
        <v>383</v>
      </c>
      <c r="BI133">
        <v>0.81756756756756699</v>
      </c>
      <c r="BJ133" t="s">
        <v>385</v>
      </c>
      <c r="BK133">
        <v>1.5089722675367001</v>
      </c>
      <c r="BL133" t="s">
        <v>374</v>
      </c>
      <c r="BM133">
        <v>0.851515151515151</v>
      </c>
      <c r="BN133" t="s">
        <v>383</v>
      </c>
      <c r="BO133">
        <v>1.0053619302949</v>
      </c>
      <c r="BP133" t="s">
        <v>383</v>
      </c>
      <c r="BQ133">
        <v>0.98133333333333295</v>
      </c>
      <c r="BR133" t="s">
        <v>386</v>
      </c>
      <c r="BS133">
        <v>0.95490716180371304</v>
      </c>
      <c r="BT133" t="s">
        <v>374</v>
      </c>
      <c r="BU133">
        <v>0.91922455573505601</v>
      </c>
      <c r="BV133" t="s">
        <v>380</v>
      </c>
      <c r="BW133">
        <v>1.02666666666666</v>
      </c>
    </row>
    <row r="134" spans="1:75" x14ac:dyDescent="0.4">
      <c r="A134">
        <v>132</v>
      </c>
      <c r="B134" t="s">
        <v>253</v>
      </c>
      <c r="C134">
        <v>0.93894736842105198</v>
      </c>
      <c r="D134" t="s">
        <v>388</v>
      </c>
      <c r="E134">
        <v>0.91</v>
      </c>
      <c r="F134" t="s">
        <v>258</v>
      </c>
      <c r="G134">
        <v>0.806962025316455</v>
      </c>
      <c r="H134" t="s">
        <v>370</v>
      </c>
      <c r="I134">
        <v>1.0130718954248299</v>
      </c>
      <c r="J134" t="s">
        <v>253</v>
      </c>
      <c r="K134">
        <v>1.44225352112676</v>
      </c>
      <c r="L134" t="s">
        <v>342</v>
      </c>
      <c r="M134">
        <v>0.88775510204081598</v>
      </c>
      <c r="N134" t="s">
        <v>352</v>
      </c>
      <c r="O134">
        <v>0.94197825115447598</v>
      </c>
      <c r="P134" t="s">
        <v>370</v>
      </c>
      <c r="Q134">
        <v>0.461409395973154</v>
      </c>
      <c r="R134" t="s">
        <v>338</v>
      </c>
      <c r="S134">
        <v>1.30067753158762</v>
      </c>
      <c r="T134" t="s">
        <v>356</v>
      </c>
      <c r="U134">
        <v>1.0161290322580601</v>
      </c>
      <c r="V134" t="s">
        <v>359</v>
      </c>
      <c r="W134">
        <v>1.0210526315789401</v>
      </c>
      <c r="X134" t="s">
        <v>334</v>
      </c>
      <c r="Y134">
        <v>0.80434782608695599</v>
      </c>
      <c r="Z134" t="s">
        <v>365</v>
      </c>
      <c r="AA134">
        <v>0.86735843194117102</v>
      </c>
      <c r="AB134" t="s">
        <v>369</v>
      </c>
      <c r="AC134">
        <v>1.23563218390804</v>
      </c>
      <c r="AD134" t="s">
        <v>364</v>
      </c>
      <c r="AE134">
        <v>0.85806451612903201</v>
      </c>
      <c r="AF134" t="s">
        <v>295</v>
      </c>
      <c r="AG134">
        <v>0.95723684210526305</v>
      </c>
      <c r="AH134" t="s">
        <v>364</v>
      </c>
      <c r="AI134">
        <v>0.77254098360655699</v>
      </c>
      <c r="AJ134" t="s">
        <v>381</v>
      </c>
      <c r="AK134">
        <v>1.4694927154642701</v>
      </c>
      <c r="AL134" t="s">
        <v>389</v>
      </c>
      <c r="AM134">
        <v>1.0358361774744</v>
      </c>
      <c r="AN134" t="s">
        <v>377</v>
      </c>
      <c r="AO134">
        <v>1.08210526315789</v>
      </c>
      <c r="AP134" t="s">
        <v>289</v>
      </c>
      <c r="AQ134">
        <v>1.12244897959183</v>
      </c>
      <c r="AR134" t="s">
        <v>278</v>
      </c>
      <c r="AS134">
        <v>1.1455223880597001</v>
      </c>
      <c r="AT134" t="s">
        <v>366</v>
      </c>
      <c r="AU134">
        <v>1.08869987849331</v>
      </c>
      <c r="AV134" t="s">
        <v>367</v>
      </c>
      <c r="AW134">
        <v>1.0261233019853699</v>
      </c>
      <c r="AX134" t="s">
        <v>364</v>
      </c>
      <c r="AY134">
        <v>0.95380434782608603</v>
      </c>
      <c r="AZ134" t="s">
        <v>303</v>
      </c>
      <c r="BA134">
        <v>0.92884615384615299</v>
      </c>
      <c r="BB134" t="s">
        <v>366</v>
      </c>
      <c r="BC134">
        <v>0.91020408163265298</v>
      </c>
      <c r="BD134" t="s">
        <v>352</v>
      </c>
      <c r="BE134">
        <v>1.08216078625468</v>
      </c>
      <c r="BF134" t="s">
        <v>372</v>
      </c>
      <c r="BG134">
        <v>1.0706896551724101</v>
      </c>
      <c r="BH134" t="s">
        <v>385</v>
      </c>
      <c r="BI134">
        <v>0.75772558714462301</v>
      </c>
      <c r="BJ134" t="s">
        <v>386</v>
      </c>
      <c r="BK134">
        <v>1.02054794520547</v>
      </c>
      <c r="BL134" t="s">
        <v>380</v>
      </c>
      <c r="BM134">
        <v>1.1730205278592301</v>
      </c>
      <c r="BN134" t="s">
        <v>386</v>
      </c>
      <c r="BO134">
        <v>1.0310880829015501</v>
      </c>
      <c r="BP134" t="s">
        <v>386</v>
      </c>
      <c r="BQ134">
        <v>0.947236180904522</v>
      </c>
      <c r="BR134" t="s">
        <v>390</v>
      </c>
      <c r="BS134">
        <v>1.0891472868217</v>
      </c>
      <c r="BT134" t="s">
        <v>375</v>
      </c>
      <c r="BU134">
        <v>1.11525423728813</v>
      </c>
      <c r="BV134" t="s">
        <v>381</v>
      </c>
      <c r="BW134">
        <v>1.1327014218009399</v>
      </c>
    </row>
    <row r="135" spans="1:75" x14ac:dyDescent="0.4">
      <c r="A135">
        <v>133</v>
      </c>
      <c r="B135" t="s">
        <v>328</v>
      </c>
      <c r="C135">
        <v>0.95269565217391305</v>
      </c>
      <c r="D135" t="s">
        <v>391</v>
      </c>
      <c r="E135">
        <v>0.67123287671232801</v>
      </c>
      <c r="F135" t="s">
        <v>111</v>
      </c>
      <c r="G135">
        <v>0.790351255717614</v>
      </c>
      <c r="H135" t="s">
        <v>328</v>
      </c>
      <c r="I135">
        <v>0.783662498006788</v>
      </c>
      <c r="J135" t="s">
        <v>337</v>
      </c>
      <c r="K135">
        <v>1.6540879747605199</v>
      </c>
      <c r="L135" t="s">
        <v>379</v>
      </c>
      <c r="M135">
        <v>1.2126245847176</v>
      </c>
      <c r="N135" t="s">
        <v>275</v>
      </c>
      <c r="O135">
        <v>1.0022779043280099</v>
      </c>
      <c r="P135" t="s">
        <v>328</v>
      </c>
      <c r="Q135">
        <v>0.92953247507501602</v>
      </c>
      <c r="R135" t="s">
        <v>342</v>
      </c>
      <c r="S135">
        <v>0.66323907455012798</v>
      </c>
      <c r="T135" t="s">
        <v>334</v>
      </c>
      <c r="U135">
        <v>1.1612903225806399</v>
      </c>
      <c r="V135" t="s">
        <v>278</v>
      </c>
      <c r="W135">
        <v>0.95025728987993097</v>
      </c>
      <c r="X135" t="s">
        <v>342</v>
      </c>
      <c r="Y135">
        <v>1.0192926045016</v>
      </c>
      <c r="Z135" t="s">
        <v>367</v>
      </c>
      <c r="AA135">
        <v>0.82811353070712002</v>
      </c>
      <c r="AB135" t="s">
        <v>364</v>
      </c>
      <c r="AC135">
        <v>0.88571428571428501</v>
      </c>
      <c r="AD135" t="s">
        <v>366</v>
      </c>
      <c r="AE135">
        <v>0.752</v>
      </c>
      <c r="AF135" t="s">
        <v>377</v>
      </c>
      <c r="AG135">
        <v>1.23267326732673</v>
      </c>
      <c r="AH135" t="s">
        <v>366</v>
      </c>
      <c r="AI135">
        <v>0.834924965893588</v>
      </c>
      <c r="AJ135" t="s">
        <v>384</v>
      </c>
      <c r="AK135">
        <v>1.0346394094264599</v>
      </c>
      <c r="AL135" t="s">
        <v>387</v>
      </c>
      <c r="AM135">
        <v>1.0754039497307</v>
      </c>
      <c r="AN135" t="s">
        <v>374</v>
      </c>
      <c r="AO135">
        <v>0.87123287671232796</v>
      </c>
      <c r="AP135" t="s">
        <v>377</v>
      </c>
      <c r="AQ135">
        <v>1.11867704280155</v>
      </c>
      <c r="AR135" t="s">
        <v>372</v>
      </c>
      <c r="AS135">
        <v>1.0533333333333299</v>
      </c>
      <c r="AT135" t="s">
        <v>289</v>
      </c>
      <c r="AU135">
        <v>1.20560747663551</v>
      </c>
      <c r="AV135" t="s">
        <v>364</v>
      </c>
      <c r="AW135">
        <v>1.0887573964496999</v>
      </c>
      <c r="AX135" t="s">
        <v>366</v>
      </c>
      <c r="AY135">
        <v>0.97777777777777697</v>
      </c>
      <c r="AZ135" t="s">
        <v>289</v>
      </c>
      <c r="BA135">
        <v>1.16143497757847</v>
      </c>
      <c r="BB135" t="s">
        <v>303</v>
      </c>
      <c r="BC135">
        <v>0.84057971014492705</v>
      </c>
      <c r="BD135" t="s">
        <v>359</v>
      </c>
      <c r="BE135">
        <v>0.94638069705093797</v>
      </c>
      <c r="BF135" t="s">
        <v>363</v>
      </c>
      <c r="BG135">
        <v>1.13793103448275</v>
      </c>
      <c r="BH135" t="s">
        <v>392</v>
      </c>
      <c r="BI135">
        <v>0.73478260869565204</v>
      </c>
      <c r="BJ135" t="s">
        <v>393</v>
      </c>
      <c r="BK135">
        <v>1.05037037037037</v>
      </c>
      <c r="BL135" t="s">
        <v>381</v>
      </c>
      <c r="BM135">
        <v>0.90443237782548302</v>
      </c>
      <c r="BN135" t="s">
        <v>390</v>
      </c>
      <c r="BO135">
        <v>1.1256410256410201</v>
      </c>
      <c r="BP135" t="s">
        <v>390</v>
      </c>
      <c r="BQ135">
        <v>1.1753986332574</v>
      </c>
      <c r="BR135" t="s">
        <v>393</v>
      </c>
      <c r="BS135">
        <v>0.98039215686274495</v>
      </c>
      <c r="BT135" t="s">
        <v>380</v>
      </c>
      <c r="BU135">
        <v>0.97402597402597402</v>
      </c>
      <c r="BV135" t="s">
        <v>383</v>
      </c>
      <c r="BW135">
        <v>1.0875912408759101</v>
      </c>
    </row>
    <row r="136" spans="1:75" x14ac:dyDescent="0.4">
      <c r="A136">
        <v>134</v>
      </c>
      <c r="B136" t="s">
        <v>257</v>
      </c>
      <c r="C136">
        <v>1.25925925925925</v>
      </c>
      <c r="D136" t="s">
        <v>342</v>
      </c>
      <c r="E136">
        <v>0.58767123287671197</v>
      </c>
      <c r="F136" t="s">
        <v>245</v>
      </c>
      <c r="G136">
        <v>0.68076923076923002</v>
      </c>
      <c r="H136" t="s">
        <v>257</v>
      </c>
      <c r="I136">
        <v>1.2016129032258001</v>
      </c>
      <c r="J136" t="s">
        <v>370</v>
      </c>
      <c r="K136">
        <v>1.43548387096774</v>
      </c>
      <c r="L136" t="s">
        <v>358</v>
      </c>
      <c r="M136">
        <v>1.36663105413105</v>
      </c>
      <c r="N136" t="s">
        <v>359</v>
      </c>
      <c r="O136">
        <v>0.934333958724202</v>
      </c>
      <c r="P136" t="s">
        <v>338</v>
      </c>
      <c r="Q136">
        <v>1.44777306468716</v>
      </c>
      <c r="R136" t="s">
        <v>358</v>
      </c>
      <c r="S136">
        <v>0.93660968660968602</v>
      </c>
      <c r="T136" t="s">
        <v>338</v>
      </c>
      <c r="U136">
        <v>1.1633112769252401</v>
      </c>
      <c r="V136" t="s">
        <v>368</v>
      </c>
      <c r="W136">
        <v>0.95833333333333304</v>
      </c>
      <c r="X136" t="s">
        <v>394</v>
      </c>
      <c r="Y136">
        <v>0.450555426085605</v>
      </c>
      <c r="Z136" t="s">
        <v>369</v>
      </c>
      <c r="AA136">
        <v>1.01162790697674</v>
      </c>
      <c r="AB136" t="s">
        <v>366</v>
      </c>
      <c r="AC136">
        <v>0.99771949828962303</v>
      </c>
      <c r="AD136" t="s">
        <v>303</v>
      </c>
      <c r="AE136">
        <v>0.90770202451264803</v>
      </c>
      <c r="AF136" t="s">
        <v>373</v>
      </c>
      <c r="AG136">
        <v>1.2884990253411299</v>
      </c>
      <c r="AH136" t="s">
        <v>303</v>
      </c>
      <c r="AI136">
        <v>0.84728624264397701</v>
      </c>
      <c r="AJ136" t="s">
        <v>389</v>
      </c>
      <c r="AK136">
        <v>1.02090592334494</v>
      </c>
      <c r="AL136" t="s">
        <v>386</v>
      </c>
      <c r="AM136">
        <v>1.52272727272727</v>
      </c>
      <c r="AN136" t="s">
        <v>381</v>
      </c>
      <c r="AO136">
        <v>0.874711330143085</v>
      </c>
      <c r="AP136" t="s">
        <v>373</v>
      </c>
      <c r="AQ136">
        <v>1.36363636363636</v>
      </c>
      <c r="AR136" t="s">
        <v>365</v>
      </c>
      <c r="AS136">
        <v>0.92138760116288199</v>
      </c>
      <c r="AT136" t="s">
        <v>373</v>
      </c>
      <c r="AU136">
        <v>0.86872586872586799</v>
      </c>
      <c r="AV136" t="s">
        <v>366</v>
      </c>
      <c r="AW136">
        <v>1.2555803571428501</v>
      </c>
      <c r="AX136" t="s">
        <v>303</v>
      </c>
      <c r="AY136">
        <v>0.873949579831932</v>
      </c>
      <c r="AZ136" t="s">
        <v>373</v>
      </c>
      <c r="BA136">
        <v>0.92957746478873204</v>
      </c>
      <c r="BB136" t="s">
        <v>289</v>
      </c>
      <c r="BC136">
        <v>1.0540540540540499</v>
      </c>
      <c r="BD136" t="s">
        <v>278</v>
      </c>
      <c r="BE136">
        <v>0.97173913043478199</v>
      </c>
      <c r="BF136" t="s">
        <v>364</v>
      </c>
      <c r="BG136">
        <v>1.17777777777777</v>
      </c>
      <c r="BH136" t="s">
        <v>386</v>
      </c>
      <c r="BI136">
        <v>0.71103896103896103</v>
      </c>
      <c r="BJ136" t="s">
        <v>395</v>
      </c>
      <c r="BK136">
        <v>0.87850467289719603</v>
      </c>
      <c r="BL136" t="s">
        <v>382</v>
      </c>
      <c r="BM136">
        <v>1.0114122681883</v>
      </c>
      <c r="BN136" t="s">
        <v>393</v>
      </c>
      <c r="BO136">
        <v>1.0172413793103401</v>
      </c>
      <c r="BP136" t="s">
        <v>393</v>
      </c>
      <c r="BQ136">
        <v>1.00847457627118</v>
      </c>
      <c r="BR136" t="s">
        <v>395</v>
      </c>
      <c r="BS136">
        <v>1.0689655172413699</v>
      </c>
      <c r="BT136" t="s">
        <v>381</v>
      </c>
      <c r="BU136">
        <v>0.96682551319648002</v>
      </c>
      <c r="BV136" t="s">
        <v>386</v>
      </c>
      <c r="BW136">
        <v>1.0526315789473599</v>
      </c>
    </row>
    <row r="137" spans="1:75" x14ac:dyDescent="0.4">
      <c r="A137">
        <v>135</v>
      </c>
      <c r="B137" t="s">
        <v>388</v>
      </c>
      <c r="C137">
        <v>0.96385542168674698</v>
      </c>
      <c r="D137" t="s">
        <v>358</v>
      </c>
      <c r="E137">
        <v>0.60383147791196201</v>
      </c>
      <c r="F137" t="s">
        <v>357</v>
      </c>
      <c r="G137">
        <v>0.62642740619902104</v>
      </c>
      <c r="H137" t="s">
        <v>263</v>
      </c>
      <c r="I137">
        <v>0.94389438943894299</v>
      </c>
      <c r="J137" t="s">
        <v>328</v>
      </c>
      <c r="K137">
        <v>1.2613220161618499</v>
      </c>
      <c r="L137" t="s">
        <v>352</v>
      </c>
      <c r="M137">
        <v>0.96150678554803504</v>
      </c>
      <c r="N137" t="s">
        <v>278</v>
      </c>
      <c r="O137">
        <v>1.01754385964912</v>
      </c>
      <c r="P137" t="s">
        <v>342</v>
      </c>
      <c r="Q137">
        <v>1.00257731958762</v>
      </c>
      <c r="R137" t="s">
        <v>352</v>
      </c>
      <c r="S137">
        <v>1.0513069817882601</v>
      </c>
      <c r="T137" t="s">
        <v>342</v>
      </c>
      <c r="U137">
        <v>1.0193798449612399</v>
      </c>
      <c r="V137" t="s">
        <v>372</v>
      </c>
      <c r="W137">
        <v>1.04314159292035</v>
      </c>
      <c r="X137" t="s">
        <v>358</v>
      </c>
      <c r="Y137">
        <v>1.08882521489971</v>
      </c>
      <c r="Z137" t="s">
        <v>364</v>
      </c>
      <c r="AA137">
        <v>0.78592814371257402</v>
      </c>
      <c r="AB137" t="s">
        <v>376</v>
      </c>
      <c r="AC137">
        <v>1.05805243445692</v>
      </c>
      <c r="AD137" t="s">
        <v>289</v>
      </c>
      <c r="AE137">
        <v>1.0351966873706</v>
      </c>
      <c r="AF137" t="s">
        <v>374</v>
      </c>
      <c r="AG137">
        <v>1.1931243680485299</v>
      </c>
      <c r="AH137" t="s">
        <v>289</v>
      </c>
      <c r="AI137">
        <v>0.90612244897959104</v>
      </c>
      <c r="AJ137" t="s">
        <v>386</v>
      </c>
      <c r="AK137">
        <v>0.94827586206896497</v>
      </c>
      <c r="AL137" t="s">
        <v>390</v>
      </c>
      <c r="AM137">
        <v>1.0754098360655699</v>
      </c>
      <c r="AN137" t="s">
        <v>389</v>
      </c>
      <c r="AO137">
        <v>1.05107084019769</v>
      </c>
      <c r="AP137" t="s">
        <v>374</v>
      </c>
      <c r="AQ137">
        <v>1.17767295597484</v>
      </c>
      <c r="AR137" t="s">
        <v>367</v>
      </c>
      <c r="AS137">
        <v>0.93968871595330705</v>
      </c>
      <c r="AT137" t="s">
        <v>374</v>
      </c>
      <c r="AU137">
        <v>0.96133333333333304</v>
      </c>
      <c r="AV137" t="s">
        <v>289</v>
      </c>
      <c r="AW137">
        <v>0.95736434108527102</v>
      </c>
      <c r="AX137" t="s">
        <v>289</v>
      </c>
      <c r="AY137">
        <v>0.90283400809716596</v>
      </c>
      <c r="AZ137" t="s">
        <v>374</v>
      </c>
      <c r="BA137">
        <v>0.99144079885877301</v>
      </c>
      <c r="BB137" t="s">
        <v>373</v>
      </c>
      <c r="BC137">
        <v>0.81818181818181801</v>
      </c>
      <c r="BD137" t="s">
        <v>363</v>
      </c>
      <c r="BE137">
        <v>1.07241910631741</v>
      </c>
      <c r="BF137" t="s">
        <v>366</v>
      </c>
      <c r="BG137">
        <v>1.28571428571428</v>
      </c>
      <c r="BH137" t="s">
        <v>390</v>
      </c>
      <c r="BI137">
        <v>0.98326359832635901</v>
      </c>
      <c r="BJ137" t="s">
        <v>396</v>
      </c>
      <c r="BK137">
        <v>1.00757575757575</v>
      </c>
      <c r="BL137" t="s">
        <v>383</v>
      </c>
      <c r="BM137">
        <v>1.03899721448467</v>
      </c>
      <c r="BN137" t="s">
        <v>395</v>
      </c>
      <c r="BO137">
        <v>0.91400000000000003</v>
      </c>
      <c r="BP137" t="s">
        <v>395</v>
      </c>
      <c r="BQ137">
        <v>0.88840262582056895</v>
      </c>
      <c r="BR137" t="s">
        <v>396</v>
      </c>
      <c r="BS137">
        <v>1.1106382978723399</v>
      </c>
      <c r="BT137" t="s">
        <v>383</v>
      </c>
      <c r="BU137">
        <v>0.98090692124104994</v>
      </c>
      <c r="BV137" t="s">
        <v>390</v>
      </c>
      <c r="BW137">
        <v>1.0429104477611899</v>
      </c>
    </row>
    <row r="138" spans="1:75" x14ac:dyDescent="0.4">
      <c r="A138">
        <v>136</v>
      </c>
      <c r="B138" t="s">
        <v>399</v>
      </c>
      <c r="C138">
        <v>0.76176176176176102</v>
      </c>
      <c r="D138" t="s">
        <v>352</v>
      </c>
      <c r="E138">
        <v>0.85999797782346399</v>
      </c>
      <c r="F138" t="s">
        <v>253</v>
      </c>
      <c r="G138">
        <v>0.82978723404255295</v>
      </c>
      <c r="H138" t="s">
        <v>342</v>
      </c>
      <c r="I138">
        <v>1.40425531914893</v>
      </c>
      <c r="J138" t="s">
        <v>257</v>
      </c>
      <c r="K138">
        <v>1.5838926174496599</v>
      </c>
      <c r="L138" t="s">
        <v>275</v>
      </c>
      <c r="M138">
        <v>1.1057934508816101</v>
      </c>
      <c r="N138" t="s">
        <v>368</v>
      </c>
      <c r="O138">
        <v>0.80645161290322498</v>
      </c>
      <c r="P138" t="s">
        <v>379</v>
      </c>
      <c r="Q138">
        <v>1.0636363636363599</v>
      </c>
      <c r="R138" t="s">
        <v>275</v>
      </c>
      <c r="S138">
        <v>0.99014778325123098</v>
      </c>
      <c r="T138" t="s">
        <v>358</v>
      </c>
      <c r="U138">
        <v>0.98859315589353602</v>
      </c>
      <c r="V138" t="s">
        <v>365</v>
      </c>
      <c r="W138">
        <v>0.99897596723095095</v>
      </c>
      <c r="X138" t="s">
        <v>352</v>
      </c>
      <c r="Y138">
        <v>1.0551397700237899</v>
      </c>
      <c r="Z138" t="s">
        <v>366</v>
      </c>
      <c r="AA138">
        <v>0.696031746031746</v>
      </c>
      <c r="AB138" t="s">
        <v>303</v>
      </c>
      <c r="AC138">
        <v>0.72382435070551299</v>
      </c>
      <c r="AD138" t="s">
        <v>377</v>
      </c>
      <c r="AE138">
        <v>0.82448979591836702</v>
      </c>
      <c r="AF138" t="s">
        <v>375</v>
      </c>
      <c r="AG138">
        <v>1.6910935738444099</v>
      </c>
      <c r="AH138" t="s">
        <v>295</v>
      </c>
      <c r="AI138">
        <v>0.82817869415807499</v>
      </c>
      <c r="AJ138" t="s">
        <v>390</v>
      </c>
      <c r="AK138">
        <v>0.99348534201954397</v>
      </c>
      <c r="AL138" t="s">
        <v>395</v>
      </c>
      <c r="AM138">
        <v>1.1220657276995301</v>
      </c>
      <c r="AN138" t="s">
        <v>390</v>
      </c>
      <c r="AO138">
        <v>1.0304878048780399</v>
      </c>
      <c r="AP138" t="s">
        <v>381</v>
      </c>
      <c r="AQ138">
        <v>1.07885031504742</v>
      </c>
      <c r="AR138" t="s">
        <v>364</v>
      </c>
      <c r="AS138">
        <v>0.76397515527950299</v>
      </c>
      <c r="AT138" t="s">
        <v>381</v>
      </c>
      <c r="AU138">
        <v>1</v>
      </c>
      <c r="AV138" t="s">
        <v>377</v>
      </c>
      <c r="AW138">
        <v>1.6908752327746699</v>
      </c>
      <c r="AX138" t="s">
        <v>373</v>
      </c>
      <c r="AY138">
        <v>1.0390243902439</v>
      </c>
      <c r="AZ138" t="s">
        <v>381</v>
      </c>
      <c r="BA138">
        <v>1.1460501123782501</v>
      </c>
      <c r="BB138" t="s">
        <v>374</v>
      </c>
      <c r="BC138">
        <v>1.0359712230215801</v>
      </c>
      <c r="BD138" t="s">
        <v>364</v>
      </c>
      <c r="BE138">
        <v>1.16279069767441</v>
      </c>
      <c r="BF138" t="s">
        <v>303</v>
      </c>
      <c r="BG138">
        <v>1.03964757709251</v>
      </c>
      <c r="BH138" t="s">
        <v>393</v>
      </c>
      <c r="BI138">
        <v>0.86984536082474195</v>
      </c>
      <c r="BJ138" t="s">
        <v>397</v>
      </c>
      <c r="BK138">
        <v>0.95169946332736999</v>
      </c>
      <c r="BL138" t="s">
        <v>386</v>
      </c>
      <c r="BM138">
        <v>0.86353467561521202</v>
      </c>
      <c r="BN138" t="s">
        <v>396</v>
      </c>
      <c r="BO138">
        <v>0.97854077253218796</v>
      </c>
      <c r="BP138" t="s">
        <v>396</v>
      </c>
      <c r="BQ138">
        <v>1.03070175438596</v>
      </c>
      <c r="BR138" t="s">
        <v>397</v>
      </c>
      <c r="BS138">
        <v>0.96721311475409799</v>
      </c>
      <c r="BT138" t="s">
        <v>386</v>
      </c>
      <c r="BU138">
        <v>1.00277777777777</v>
      </c>
      <c r="BV138" t="s">
        <v>393</v>
      </c>
      <c r="BW138">
        <v>1.06591865357643</v>
      </c>
    </row>
    <row r="139" spans="1:75" x14ac:dyDescent="0.4">
      <c r="A139">
        <v>137</v>
      </c>
      <c r="B139" t="s">
        <v>338</v>
      </c>
      <c r="C139">
        <v>1.1134447975680499</v>
      </c>
      <c r="D139" t="s">
        <v>400</v>
      </c>
      <c r="E139">
        <v>0.52222222222222203</v>
      </c>
      <c r="F139" t="s">
        <v>328</v>
      </c>
      <c r="G139">
        <v>0.99047855418424602</v>
      </c>
      <c r="H139" t="s">
        <v>268</v>
      </c>
      <c r="I139">
        <v>1.1036269430051799</v>
      </c>
      <c r="J139" t="s">
        <v>263</v>
      </c>
      <c r="K139">
        <v>1.42657342657342</v>
      </c>
      <c r="L139" t="s">
        <v>359</v>
      </c>
      <c r="M139">
        <v>0.97262773722627704</v>
      </c>
      <c r="N139" t="s">
        <v>372</v>
      </c>
      <c r="O139">
        <v>1.0469432314410401</v>
      </c>
      <c r="P139" t="s">
        <v>358</v>
      </c>
      <c r="Q139">
        <v>0.76221498371335505</v>
      </c>
      <c r="R139" t="s">
        <v>359</v>
      </c>
      <c r="S139">
        <v>0.99791666666666601</v>
      </c>
      <c r="T139" t="s">
        <v>352</v>
      </c>
      <c r="U139">
        <v>1.2942055276918101</v>
      </c>
      <c r="V139" t="s">
        <v>367</v>
      </c>
      <c r="W139">
        <v>1.12220457045093</v>
      </c>
      <c r="X139" t="s">
        <v>275</v>
      </c>
      <c r="Y139">
        <v>0.91224018475750501</v>
      </c>
      <c r="Z139" t="s">
        <v>376</v>
      </c>
      <c r="AA139">
        <v>1.14838709677419</v>
      </c>
      <c r="AB139" t="s">
        <v>289</v>
      </c>
      <c r="AC139">
        <v>0.92351816443594603</v>
      </c>
      <c r="AD139" t="s">
        <v>373</v>
      </c>
      <c r="AE139">
        <v>0.812995245641838</v>
      </c>
      <c r="AF139" t="s">
        <v>381</v>
      </c>
      <c r="AG139">
        <v>0.92195783503883599</v>
      </c>
      <c r="AH139" t="s">
        <v>377</v>
      </c>
      <c r="AI139">
        <v>0.97054886211512703</v>
      </c>
      <c r="AJ139" t="s">
        <v>395</v>
      </c>
      <c r="AK139">
        <v>1.0126782884310599</v>
      </c>
      <c r="AL139" t="s">
        <v>401</v>
      </c>
      <c r="AM139">
        <v>0.97162162162162102</v>
      </c>
      <c r="AN139" t="s">
        <v>395</v>
      </c>
      <c r="AO139">
        <v>1.08507670850767</v>
      </c>
      <c r="AP139" t="s">
        <v>383</v>
      </c>
      <c r="AQ139">
        <v>1.28292682926829</v>
      </c>
      <c r="AR139" t="s">
        <v>366</v>
      </c>
      <c r="AS139">
        <v>0.91444444444444395</v>
      </c>
      <c r="AT139" t="s">
        <v>383</v>
      </c>
      <c r="AU139">
        <v>1.2573839662447199</v>
      </c>
      <c r="AV139" t="s">
        <v>373</v>
      </c>
      <c r="AW139">
        <v>0.91111111111111098</v>
      </c>
      <c r="AX139" t="s">
        <v>374</v>
      </c>
      <c r="AY139">
        <v>1.0784615384615299</v>
      </c>
      <c r="AZ139" t="s">
        <v>383</v>
      </c>
      <c r="BA139">
        <v>1.05683836589698</v>
      </c>
      <c r="BB139" t="s">
        <v>375</v>
      </c>
      <c r="BC139">
        <v>0.93416927899686497</v>
      </c>
      <c r="BD139" t="s">
        <v>366</v>
      </c>
      <c r="BE139">
        <v>0.97309417040358703</v>
      </c>
      <c r="BF139" t="s">
        <v>289</v>
      </c>
      <c r="BG139">
        <v>1.0034843205574899</v>
      </c>
      <c r="BH139" t="s">
        <v>395</v>
      </c>
      <c r="BI139">
        <v>1.0573122529644201</v>
      </c>
      <c r="BJ139" t="s">
        <v>329</v>
      </c>
      <c r="BK139">
        <v>0.93414211438474803</v>
      </c>
      <c r="BL139" t="s">
        <v>390</v>
      </c>
      <c r="BM139">
        <v>0.79591836734693799</v>
      </c>
      <c r="BN139" t="s">
        <v>397</v>
      </c>
      <c r="BO139">
        <v>1.10010537407797</v>
      </c>
      <c r="BP139" t="s">
        <v>397</v>
      </c>
      <c r="BQ139">
        <v>1.16858237547892</v>
      </c>
      <c r="BR139" t="s">
        <v>402</v>
      </c>
      <c r="BS139">
        <v>1.0693877551020401</v>
      </c>
      <c r="BT139" t="s">
        <v>390</v>
      </c>
      <c r="BU139">
        <v>0.95373665480426995</v>
      </c>
      <c r="BV139" t="s">
        <v>395</v>
      </c>
      <c r="BW139">
        <v>1.24025974025974</v>
      </c>
    </row>
    <row r="140" spans="1:75" x14ac:dyDescent="0.4">
      <c r="A140">
        <v>138</v>
      </c>
      <c r="B140" t="s">
        <v>342</v>
      </c>
      <c r="C140">
        <v>0.90796019900497504</v>
      </c>
      <c r="D140" t="s">
        <v>275</v>
      </c>
      <c r="E140">
        <v>0.95196506550218296</v>
      </c>
      <c r="F140" t="s">
        <v>388</v>
      </c>
      <c r="G140">
        <v>0.40659340659340598</v>
      </c>
      <c r="H140" t="s">
        <v>352</v>
      </c>
      <c r="I140">
        <v>1.2289241004989899</v>
      </c>
      <c r="J140" t="s">
        <v>342</v>
      </c>
      <c r="K140">
        <v>1.2373737373737299</v>
      </c>
      <c r="L140" t="s">
        <v>278</v>
      </c>
      <c r="M140">
        <v>1.1058201058201</v>
      </c>
      <c r="N140" t="s">
        <v>282</v>
      </c>
      <c r="O140">
        <v>0.99184782608695599</v>
      </c>
      <c r="P140" t="s">
        <v>352</v>
      </c>
      <c r="Q140">
        <v>1.0572072428243799</v>
      </c>
      <c r="R140" t="s">
        <v>278</v>
      </c>
      <c r="S140">
        <v>0.88948787061994605</v>
      </c>
      <c r="T140" t="s">
        <v>275</v>
      </c>
      <c r="U140">
        <v>1.0398009950248699</v>
      </c>
      <c r="V140" t="s">
        <v>369</v>
      </c>
      <c r="W140">
        <v>1.08952959028831</v>
      </c>
      <c r="X140" t="s">
        <v>359</v>
      </c>
      <c r="Y140">
        <v>1</v>
      </c>
      <c r="Z140" t="s">
        <v>303</v>
      </c>
      <c r="AA140">
        <v>0.95228794314558296</v>
      </c>
      <c r="AB140" t="s">
        <v>295</v>
      </c>
      <c r="AC140">
        <v>0.96875</v>
      </c>
      <c r="AD140" t="s">
        <v>374</v>
      </c>
      <c r="AE140">
        <v>0.86906854130052702</v>
      </c>
      <c r="AF140" t="s">
        <v>389</v>
      </c>
      <c r="AG140">
        <v>0.98846787479406895</v>
      </c>
      <c r="AH140" t="s">
        <v>374</v>
      </c>
      <c r="AI140">
        <v>0.79915254237288103</v>
      </c>
      <c r="AJ140" t="s">
        <v>403</v>
      </c>
      <c r="AK140">
        <v>1.09820485744456</v>
      </c>
      <c r="AL140" t="s">
        <v>403</v>
      </c>
      <c r="AM140">
        <v>1.0817307692307601</v>
      </c>
      <c r="AN140" t="s">
        <v>401</v>
      </c>
      <c r="AO140">
        <v>0.94019471488177997</v>
      </c>
      <c r="AP140" t="s">
        <v>389</v>
      </c>
      <c r="AQ140">
        <v>1.16614420062695</v>
      </c>
      <c r="AR140" t="s">
        <v>289</v>
      </c>
      <c r="AS140">
        <v>0.972727272727272</v>
      </c>
      <c r="AT140" t="s">
        <v>387</v>
      </c>
      <c r="AU140">
        <v>1.1928166351606799</v>
      </c>
      <c r="AV140" t="s">
        <v>374</v>
      </c>
      <c r="AW140">
        <v>0.90152565880721203</v>
      </c>
      <c r="AX140" t="s">
        <v>381</v>
      </c>
      <c r="AY140">
        <v>1.29565615984037</v>
      </c>
      <c r="AZ140" t="s">
        <v>387</v>
      </c>
      <c r="BA140">
        <v>1.15887850467289</v>
      </c>
      <c r="BB140" t="s">
        <v>381</v>
      </c>
      <c r="BC140">
        <v>0.96017795532957995</v>
      </c>
      <c r="BD140" t="s">
        <v>303</v>
      </c>
      <c r="BE140">
        <v>1.11822660098522</v>
      </c>
      <c r="BF140" t="s">
        <v>373</v>
      </c>
      <c r="BG140">
        <v>1.13466334164588</v>
      </c>
      <c r="BH140" t="s">
        <v>308</v>
      </c>
      <c r="BI140">
        <v>1.6428571428571399</v>
      </c>
      <c r="BJ140" t="s">
        <v>404</v>
      </c>
      <c r="BK140">
        <v>0.86758620689655097</v>
      </c>
      <c r="BL140" t="s">
        <v>393</v>
      </c>
      <c r="BM140">
        <v>0.98166431593794001</v>
      </c>
      <c r="BN140" t="s">
        <v>402</v>
      </c>
      <c r="BO140">
        <v>1.0976331360946701</v>
      </c>
      <c r="BP140" t="s">
        <v>329</v>
      </c>
      <c r="BQ140">
        <v>1.0395136778115499</v>
      </c>
      <c r="BR140" t="s">
        <v>329</v>
      </c>
      <c r="BS140">
        <v>1.0545808966861501</v>
      </c>
      <c r="BT140" t="s">
        <v>393</v>
      </c>
      <c r="BU140">
        <v>1.01857142857142</v>
      </c>
      <c r="BV140" t="s">
        <v>308</v>
      </c>
      <c r="BW140">
        <v>1.16576086956521</v>
      </c>
    </row>
    <row r="141" spans="1:75" x14ac:dyDescent="0.4">
      <c r="A141">
        <v>139</v>
      </c>
      <c r="B141" t="s">
        <v>352</v>
      </c>
      <c r="C141">
        <v>1.01783815306507</v>
      </c>
      <c r="D141" t="s">
        <v>359</v>
      </c>
      <c r="E141">
        <v>0.85814606741572996</v>
      </c>
      <c r="F141" t="s">
        <v>263</v>
      </c>
      <c r="G141">
        <v>0.72749099639855896</v>
      </c>
      <c r="H141" t="s">
        <v>405</v>
      </c>
      <c r="I141">
        <v>0.87872559095580605</v>
      </c>
      <c r="J141" t="s">
        <v>358</v>
      </c>
      <c r="K141">
        <v>1.7647428511574299</v>
      </c>
      <c r="L141" t="s">
        <v>368</v>
      </c>
      <c r="M141">
        <v>0.97567954220314701</v>
      </c>
      <c r="N141" t="s">
        <v>365</v>
      </c>
      <c r="O141">
        <v>0.904299406908873</v>
      </c>
      <c r="P141" t="s">
        <v>275</v>
      </c>
      <c r="Q141">
        <v>0.92272727272727195</v>
      </c>
      <c r="R141" t="s">
        <v>368</v>
      </c>
      <c r="S141">
        <v>1.1739130434782601</v>
      </c>
      <c r="T141" t="s">
        <v>359</v>
      </c>
      <c r="U141">
        <v>0.99164926931106401</v>
      </c>
      <c r="V141" t="s">
        <v>364</v>
      </c>
      <c r="W141">
        <v>1.24090121317157</v>
      </c>
      <c r="X141" t="s">
        <v>278</v>
      </c>
      <c r="Y141">
        <v>0.99638989169674996</v>
      </c>
      <c r="Z141" t="s">
        <v>289</v>
      </c>
      <c r="AA141">
        <v>1.0828157349896399</v>
      </c>
      <c r="AB141" t="s">
        <v>377</v>
      </c>
      <c r="AC141">
        <v>1.0745614035087701</v>
      </c>
      <c r="AD141" t="s">
        <v>375</v>
      </c>
      <c r="AE141">
        <v>0.83679245283018799</v>
      </c>
      <c r="AF141" t="s">
        <v>406</v>
      </c>
      <c r="AG141">
        <v>1.2167949146871799</v>
      </c>
      <c r="AH141" t="s">
        <v>381</v>
      </c>
      <c r="AI141">
        <v>0.84648301684942495</v>
      </c>
      <c r="AJ141" t="s">
        <v>396</v>
      </c>
      <c r="AK141">
        <v>1.00416666666666</v>
      </c>
      <c r="AL141" t="s">
        <v>396</v>
      </c>
      <c r="AM141">
        <v>0.95435684647302899</v>
      </c>
      <c r="AN141" t="s">
        <v>403</v>
      </c>
      <c r="AO141">
        <v>0.93777777777777704</v>
      </c>
      <c r="AP141" t="s">
        <v>387</v>
      </c>
      <c r="AQ141">
        <v>1.1439114391143901</v>
      </c>
      <c r="AR141" t="s">
        <v>373</v>
      </c>
      <c r="AS141">
        <v>1.0156862745098001</v>
      </c>
      <c r="AT141" t="s">
        <v>395</v>
      </c>
      <c r="AU141">
        <v>1.15124816446402</v>
      </c>
      <c r="AV141" t="s">
        <v>381</v>
      </c>
      <c r="AW141">
        <v>1.0669140703662101</v>
      </c>
      <c r="AX141" t="s">
        <v>383</v>
      </c>
      <c r="AY141">
        <v>1.07854406130268</v>
      </c>
      <c r="AZ141" t="s">
        <v>386</v>
      </c>
      <c r="BA141">
        <v>1.31066176470588</v>
      </c>
      <c r="BB141" t="s">
        <v>383</v>
      </c>
      <c r="BC141">
        <v>0.81848739495798295</v>
      </c>
      <c r="BD141" t="s">
        <v>289</v>
      </c>
      <c r="BE141">
        <v>1.05128205128205</v>
      </c>
      <c r="BF141" t="s">
        <v>374</v>
      </c>
      <c r="BG141">
        <v>1.1195158850226901</v>
      </c>
      <c r="BH141" t="s">
        <v>396</v>
      </c>
      <c r="BI141">
        <v>0.90721649484536004</v>
      </c>
      <c r="BJ141" t="s">
        <v>333</v>
      </c>
      <c r="BK141">
        <v>1.0381282495667199</v>
      </c>
      <c r="BL141" t="s">
        <v>395</v>
      </c>
      <c r="BM141">
        <v>1.0638297872340401</v>
      </c>
      <c r="BN141" t="s">
        <v>329</v>
      </c>
      <c r="BO141">
        <v>0.965753424657534</v>
      </c>
      <c r="BP141" t="s">
        <v>404</v>
      </c>
      <c r="BQ141">
        <v>1.15384615384615</v>
      </c>
      <c r="BR141" t="s">
        <v>404</v>
      </c>
      <c r="BS141">
        <v>0.94463276836158105</v>
      </c>
      <c r="BT141" t="s">
        <v>395</v>
      </c>
      <c r="BU141">
        <v>1.06451612903225</v>
      </c>
      <c r="BV141" t="s">
        <v>403</v>
      </c>
      <c r="BW141">
        <v>1.04838709677419</v>
      </c>
    </row>
    <row r="142" spans="1:75" x14ac:dyDescent="0.4">
      <c r="A142">
        <v>140</v>
      </c>
      <c r="B142" t="s">
        <v>275</v>
      </c>
      <c r="C142">
        <v>0.92338709677419295</v>
      </c>
      <c r="D142" t="s">
        <v>278</v>
      </c>
      <c r="E142">
        <v>0.992503748125937</v>
      </c>
      <c r="F142" t="s">
        <v>338</v>
      </c>
      <c r="G142">
        <v>0.41693613581244898</v>
      </c>
      <c r="H142" t="s">
        <v>275</v>
      </c>
      <c r="I142">
        <v>1.1086350974930299</v>
      </c>
      <c r="J142" t="s">
        <v>268</v>
      </c>
      <c r="K142">
        <v>1.3239436619718301</v>
      </c>
      <c r="L142" t="s">
        <v>372</v>
      </c>
      <c r="M142">
        <v>0.85607476635514002</v>
      </c>
      <c r="N142" t="s">
        <v>369</v>
      </c>
      <c r="O142">
        <v>0.92957746478873204</v>
      </c>
      <c r="P142" t="s">
        <v>359</v>
      </c>
      <c r="Q142">
        <v>0.96385542168674698</v>
      </c>
      <c r="R142" t="s">
        <v>372</v>
      </c>
      <c r="S142">
        <v>0.97890295358649704</v>
      </c>
      <c r="T142" t="s">
        <v>278</v>
      </c>
      <c r="U142">
        <v>0.88333333333333297</v>
      </c>
      <c r="V142" t="s">
        <v>366</v>
      </c>
      <c r="W142">
        <v>1.06865284974093</v>
      </c>
      <c r="X142" t="s">
        <v>368</v>
      </c>
      <c r="Y142">
        <v>0.97186700767263401</v>
      </c>
      <c r="Z142" t="s">
        <v>377</v>
      </c>
      <c r="AA142">
        <v>0.96746817538896701</v>
      </c>
      <c r="AB142" t="s">
        <v>373</v>
      </c>
      <c r="AC142">
        <v>0.77139364303178404</v>
      </c>
      <c r="AD142" t="s">
        <v>381</v>
      </c>
      <c r="AE142">
        <v>1.0080089479280201</v>
      </c>
      <c r="AF142" t="s">
        <v>386</v>
      </c>
      <c r="AG142">
        <v>1.0444444444444401</v>
      </c>
      <c r="AH142" t="s">
        <v>389</v>
      </c>
      <c r="AI142">
        <v>0.956666666666666</v>
      </c>
      <c r="AJ142" t="s">
        <v>397</v>
      </c>
      <c r="AK142">
        <v>1.07073954983922</v>
      </c>
      <c r="AL142" t="s">
        <v>397</v>
      </c>
      <c r="AM142">
        <v>1.001001001001</v>
      </c>
      <c r="AN142" t="s">
        <v>396</v>
      </c>
      <c r="AO142">
        <v>1.1391304347825999</v>
      </c>
      <c r="AP142" t="s">
        <v>386</v>
      </c>
      <c r="AQ142">
        <v>1.3203342618384399</v>
      </c>
      <c r="AR142" t="s">
        <v>374</v>
      </c>
      <c r="AS142">
        <v>1.00133511348464</v>
      </c>
      <c r="AT142" t="s">
        <v>308</v>
      </c>
      <c r="AU142">
        <v>1</v>
      </c>
      <c r="AV142" t="s">
        <v>382</v>
      </c>
      <c r="AW142">
        <v>0.84190476190476105</v>
      </c>
      <c r="AX142" t="s">
        <v>387</v>
      </c>
      <c r="AY142">
        <v>0.98345588235294101</v>
      </c>
      <c r="AZ142" t="s">
        <v>395</v>
      </c>
      <c r="BA142">
        <v>1.11409395973154</v>
      </c>
      <c r="BB142" t="s">
        <v>386</v>
      </c>
      <c r="BC142">
        <v>0.74894810659186495</v>
      </c>
      <c r="BD142" t="s">
        <v>374</v>
      </c>
      <c r="BE142">
        <v>0.91805555555555496</v>
      </c>
      <c r="BF142" t="s">
        <v>381</v>
      </c>
      <c r="BG142">
        <v>1.22692906259312</v>
      </c>
      <c r="BH142" t="s">
        <v>397</v>
      </c>
      <c r="BI142">
        <v>0.978984238178634</v>
      </c>
      <c r="BJ142" t="s">
        <v>407</v>
      </c>
      <c r="BK142">
        <v>0.866300366300366</v>
      </c>
      <c r="BL142" t="s">
        <v>396</v>
      </c>
      <c r="BM142">
        <v>0.87593984962406002</v>
      </c>
      <c r="BN142" t="s">
        <v>404</v>
      </c>
      <c r="BO142">
        <v>1.07422969187675</v>
      </c>
      <c r="BP142" t="s">
        <v>333</v>
      </c>
      <c r="BQ142">
        <v>0.98442367601246095</v>
      </c>
      <c r="BR142" t="s">
        <v>333</v>
      </c>
      <c r="BS142">
        <v>0.944620253164557</v>
      </c>
      <c r="BT142" t="s">
        <v>396</v>
      </c>
      <c r="BU142">
        <v>0.94636015325670497</v>
      </c>
      <c r="BV142" t="s">
        <v>396</v>
      </c>
      <c r="BW142">
        <v>1.0445344129554599</v>
      </c>
    </row>
    <row r="143" spans="1:75" x14ac:dyDescent="0.4">
      <c r="A143">
        <v>141</v>
      </c>
      <c r="B143" t="s">
        <v>359</v>
      </c>
      <c r="C143">
        <v>0.91282051282051202</v>
      </c>
      <c r="D143" t="s">
        <v>372</v>
      </c>
      <c r="E143">
        <v>0.75367047308319701</v>
      </c>
      <c r="F143" t="s">
        <v>342</v>
      </c>
      <c r="G143">
        <v>0.65734265734265696</v>
      </c>
      <c r="H143" t="s">
        <v>359</v>
      </c>
      <c r="I143">
        <v>0.91481481481481397</v>
      </c>
      <c r="J143" t="s">
        <v>352</v>
      </c>
      <c r="K143">
        <v>0.99469297620743602</v>
      </c>
      <c r="L143" t="s">
        <v>282</v>
      </c>
      <c r="M143">
        <v>1.00272479564032</v>
      </c>
      <c r="N143" t="s">
        <v>364</v>
      </c>
      <c r="O143">
        <v>0.78497409326424805</v>
      </c>
      <c r="P143" t="s">
        <v>278</v>
      </c>
      <c r="Q143">
        <v>1.16300940438871</v>
      </c>
      <c r="R143" t="s">
        <v>365</v>
      </c>
      <c r="S143">
        <v>0.93193144372119696</v>
      </c>
      <c r="T143" t="s">
        <v>368</v>
      </c>
      <c r="U143">
        <v>1.25925925925925</v>
      </c>
      <c r="V143" t="s">
        <v>303</v>
      </c>
      <c r="W143">
        <v>1.01904198324051</v>
      </c>
      <c r="X143" t="s">
        <v>372</v>
      </c>
      <c r="Y143">
        <v>0.92364793213149499</v>
      </c>
      <c r="Z143" t="s">
        <v>374</v>
      </c>
      <c r="AA143">
        <v>1.1575492341356599</v>
      </c>
      <c r="AB143" t="s">
        <v>374</v>
      </c>
      <c r="AC143">
        <v>1.07561436672967</v>
      </c>
      <c r="AD143" t="s">
        <v>389</v>
      </c>
      <c r="AE143">
        <v>0.907324364723467</v>
      </c>
      <c r="AF143" t="s">
        <v>390</v>
      </c>
      <c r="AG143">
        <v>1.15465444287729</v>
      </c>
      <c r="AH143" t="s">
        <v>386</v>
      </c>
      <c r="AI143">
        <v>0.98723404255319103</v>
      </c>
      <c r="AJ143" t="s">
        <v>310</v>
      </c>
      <c r="AK143">
        <v>1.10093896713615</v>
      </c>
      <c r="AL143" t="s">
        <v>310</v>
      </c>
      <c r="AM143">
        <v>1.21321961620469</v>
      </c>
      <c r="AN143" t="s">
        <v>397</v>
      </c>
      <c r="AO143">
        <v>0.99</v>
      </c>
      <c r="AP143" t="s">
        <v>390</v>
      </c>
      <c r="AQ143">
        <v>1.44970414201183</v>
      </c>
      <c r="AR143" t="s">
        <v>381</v>
      </c>
      <c r="AS143">
        <v>0.87697256385998101</v>
      </c>
      <c r="AT143" t="s">
        <v>396</v>
      </c>
      <c r="AU143">
        <v>1.01327433628318</v>
      </c>
      <c r="AV143" t="s">
        <v>395</v>
      </c>
      <c r="AW143">
        <v>0.86096938775510201</v>
      </c>
      <c r="AX143" t="s">
        <v>386</v>
      </c>
      <c r="AY143">
        <v>0.94773519163762998</v>
      </c>
      <c r="AZ143" t="s">
        <v>308</v>
      </c>
      <c r="BA143">
        <v>1.0081300813008101</v>
      </c>
      <c r="BB143" t="s">
        <v>395</v>
      </c>
      <c r="BC143">
        <v>0.90361445783132499</v>
      </c>
      <c r="BD143" t="s">
        <v>381</v>
      </c>
      <c r="BE143">
        <v>0.85671463963537997</v>
      </c>
      <c r="BF143" t="s">
        <v>383</v>
      </c>
      <c r="BG143">
        <v>0.90612244897959104</v>
      </c>
      <c r="BH143" t="s">
        <v>402</v>
      </c>
      <c r="BI143">
        <v>1.3232161874334301</v>
      </c>
      <c r="BJ143" t="s">
        <v>408</v>
      </c>
      <c r="BK143">
        <v>0.957843137254902</v>
      </c>
      <c r="BL143" t="s">
        <v>397</v>
      </c>
      <c r="BM143">
        <v>0.891917293233082</v>
      </c>
      <c r="BN143" t="s">
        <v>333</v>
      </c>
      <c r="BO143">
        <v>1.1107266435986101</v>
      </c>
      <c r="BP143" t="s">
        <v>407</v>
      </c>
      <c r="BQ143">
        <v>1.0845070422535199</v>
      </c>
      <c r="BR143" t="s">
        <v>407</v>
      </c>
      <c r="BS143">
        <v>1.07792207792207</v>
      </c>
      <c r="BT143" t="s">
        <v>397</v>
      </c>
      <c r="BU143">
        <v>1.10508474576271</v>
      </c>
      <c r="BV143" t="s">
        <v>397</v>
      </c>
      <c r="BW143">
        <v>0.98926380368098099</v>
      </c>
    </row>
    <row r="144" spans="1:75" x14ac:dyDescent="0.4">
      <c r="A144">
        <v>142</v>
      </c>
      <c r="B144" t="s">
        <v>278</v>
      </c>
      <c r="C144">
        <v>1.00300751879699</v>
      </c>
      <c r="D144" t="s">
        <v>282</v>
      </c>
      <c r="E144">
        <v>0.97857142857142798</v>
      </c>
      <c r="F144" t="s">
        <v>358</v>
      </c>
      <c r="G144">
        <v>0.323908794788273</v>
      </c>
      <c r="H144" t="s">
        <v>278</v>
      </c>
      <c r="I144">
        <v>0.86175942549371598</v>
      </c>
      <c r="J144" t="s">
        <v>275</v>
      </c>
      <c r="K144">
        <v>0.99748743718592903</v>
      </c>
      <c r="L144" t="s">
        <v>365</v>
      </c>
      <c r="M144">
        <v>1.12770695571159</v>
      </c>
      <c r="N144" t="s">
        <v>366</v>
      </c>
      <c r="O144">
        <v>0.85215053763440796</v>
      </c>
      <c r="P144" t="s">
        <v>368</v>
      </c>
      <c r="Q144">
        <v>1.0036363636363601</v>
      </c>
      <c r="R144" t="s">
        <v>367</v>
      </c>
      <c r="S144">
        <v>1.0146503376445</v>
      </c>
      <c r="T144" t="s">
        <v>372</v>
      </c>
      <c r="U144">
        <v>0.97413793103448199</v>
      </c>
      <c r="V144" t="s">
        <v>289</v>
      </c>
      <c r="W144">
        <v>1.22706422018348</v>
      </c>
      <c r="X144" t="s">
        <v>365</v>
      </c>
      <c r="Y144">
        <v>0.98974276836339103</v>
      </c>
      <c r="Z144" t="s">
        <v>375</v>
      </c>
      <c r="AA144">
        <v>1.4038876889848799</v>
      </c>
      <c r="AB144" t="s">
        <v>381</v>
      </c>
      <c r="AC144">
        <v>1.3066125394677399</v>
      </c>
      <c r="AD144" t="s">
        <v>406</v>
      </c>
      <c r="AE144">
        <v>0.88171091445427696</v>
      </c>
      <c r="AF144" t="s">
        <v>395</v>
      </c>
      <c r="AG144">
        <v>1.0695035460992901</v>
      </c>
      <c r="AH144" t="s">
        <v>390</v>
      </c>
      <c r="AI144">
        <v>0.93751908630061598</v>
      </c>
      <c r="AJ144" t="s">
        <v>323</v>
      </c>
      <c r="AK144">
        <v>1.3045045045045001</v>
      </c>
      <c r="AL144" t="s">
        <v>410</v>
      </c>
      <c r="AM144">
        <v>1.0453333333333299</v>
      </c>
      <c r="AN144" t="s">
        <v>310</v>
      </c>
      <c r="AO144">
        <v>1.0298769771528899</v>
      </c>
      <c r="AP144" t="s">
        <v>395</v>
      </c>
      <c r="AQ144">
        <v>0.93958868894601499</v>
      </c>
      <c r="AR144" t="s">
        <v>382</v>
      </c>
      <c r="AS144">
        <v>0.71833648393194705</v>
      </c>
      <c r="AT144" t="s">
        <v>397</v>
      </c>
      <c r="AU144">
        <v>1.1575456053067901</v>
      </c>
      <c r="AV144" t="s">
        <v>308</v>
      </c>
      <c r="AW144">
        <v>1.1281138790035501</v>
      </c>
      <c r="AX144" t="s">
        <v>395</v>
      </c>
      <c r="AY144">
        <v>0.88296296296296295</v>
      </c>
      <c r="AZ144" t="s">
        <v>396</v>
      </c>
      <c r="BA144">
        <v>1.25714285714285</v>
      </c>
      <c r="BB144" t="s">
        <v>308</v>
      </c>
      <c r="BC144">
        <v>0.94758064516129004</v>
      </c>
      <c r="BD144" t="s">
        <v>383</v>
      </c>
      <c r="BE144">
        <v>1.00616016427104</v>
      </c>
      <c r="BF144" t="s">
        <v>386</v>
      </c>
      <c r="BG144">
        <v>1.12820512820512</v>
      </c>
      <c r="BH144" t="s">
        <v>404</v>
      </c>
      <c r="BI144">
        <v>0.86722488038277501</v>
      </c>
      <c r="BJ144" t="s">
        <v>411</v>
      </c>
      <c r="BK144">
        <v>1.04781281790437</v>
      </c>
      <c r="BL144" t="s">
        <v>402</v>
      </c>
      <c r="BM144">
        <v>0.94150417827298005</v>
      </c>
      <c r="BN144" t="s">
        <v>407</v>
      </c>
      <c r="BO144">
        <v>0.87346221441124705</v>
      </c>
      <c r="BP144" t="s">
        <v>408</v>
      </c>
      <c r="BQ144">
        <v>0.97580645161290303</v>
      </c>
      <c r="BR144" t="s">
        <v>408</v>
      </c>
      <c r="BS144">
        <v>0.93904958677685901</v>
      </c>
      <c r="BT144" t="s">
        <v>412</v>
      </c>
      <c r="BU144">
        <v>1.2192393736017799</v>
      </c>
      <c r="BV144" t="s">
        <v>329</v>
      </c>
      <c r="BW144">
        <v>1.03598484848484</v>
      </c>
    </row>
    <row r="145" spans="1:75" x14ac:dyDescent="0.4">
      <c r="A145">
        <v>143</v>
      </c>
      <c r="B145" t="s">
        <v>372</v>
      </c>
      <c r="C145">
        <v>1.6110381077529501</v>
      </c>
      <c r="D145" t="s">
        <v>365</v>
      </c>
      <c r="E145">
        <v>0.76190500482066603</v>
      </c>
      <c r="F145" t="s">
        <v>352</v>
      </c>
      <c r="G145">
        <v>0.89532468550378097</v>
      </c>
      <c r="H145" t="s">
        <v>372</v>
      </c>
      <c r="I145">
        <v>1.06321839080459</v>
      </c>
      <c r="J145" t="s">
        <v>359</v>
      </c>
      <c r="K145">
        <v>1.1093117408906801</v>
      </c>
      <c r="L145" t="s">
        <v>367</v>
      </c>
      <c r="M145">
        <v>1.6224567844577</v>
      </c>
      <c r="N145" t="s">
        <v>376</v>
      </c>
      <c r="O145">
        <v>1.0977739321953901</v>
      </c>
      <c r="P145" t="s">
        <v>372</v>
      </c>
      <c r="Q145">
        <v>0.98852971845672499</v>
      </c>
      <c r="R145" t="s">
        <v>371</v>
      </c>
      <c r="S145">
        <v>0.93422479219371102</v>
      </c>
      <c r="T145" t="s">
        <v>365</v>
      </c>
      <c r="U145">
        <v>1.0483356928630301</v>
      </c>
      <c r="V145" t="s">
        <v>398</v>
      </c>
      <c r="W145">
        <v>1.7879543151379</v>
      </c>
      <c r="X145" t="s">
        <v>367</v>
      </c>
      <c r="Y145">
        <v>0.89012305346836496</v>
      </c>
      <c r="Z145" t="s">
        <v>381</v>
      </c>
      <c r="AA145">
        <v>1.5327286302923</v>
      </c>
      <c r="AB145" t="s">
        <v>384</v>
      </c>
      <c r="AC145">
        <v>1.21687136393018</v>
      </c>
      <c r="AD145" t="s">
        <v>395</v>
      </c>
      <c r="AE145">
        <v>0.80756013745704402</v>
      </c>
      <c r="AF145" t="s">
        <v>403</v>
      </c>
      <c r="AG145">
        <v>1.1741293532338299</v>
      </c>
      <c r="AH145" t="s">
        <v>395</v>
      </c>
      <c r="AI145">
        <v>0.83687002652519804</v>
      </c>
      <c r="AJ145" t="s">
        <v>410</v>
      </c>
      <c r="AK145">
        <v>0.98425196850393704</v>
      </c>
      <c r="AL145" t="s">
        <v>412</v>
      </c>
      <c r="AM145">
        <v>0.97314715359828097</v>
      </c>
      <c r="AN145" t="s">
        <v>410</v>
      </c>
      <c r="AO145">
        <v>1.3852040816326501</v>
      </c>
      <c r="AP145" t="s">
        <v>401</v>
      </c>
      <c r="AQ145">
        <v>0.92751479289940797</v>
      </c>
      <c r="AR145" t="s">
        <v>395</v>
      </c>
      <c r="AS145">
        <v>0.93160054719562202</v>
      </c>
      <c r="AT145" t="s">
        <v>413</v>
      </c>
      <c r="AU145">
        <v>1.27430555555555</v>
      </c>
      <c r="AV145" t="s">
        <v>396</v>
      </c>
      <c r="AW145">
        <v>1.18777292576419</v>
      </c>
      <c r="AX145" t="s">
        <v>396</v>
      </c>
      <c r="AY145">
        <v>1.02941176470588</v>
      </c>
      <c r="AZ145" t="s">
        <v>397</v>
      </c>
      <c r="BA145">
        <v>0.96</v>
      </c>
      <c r="BB145" t="s">
        <v>396</v>
      </c>
      <c r="BC145">
        <v>0.85511363636363602</v>
      </c>
      <c r="BD145" t="s">
        <v>386</v>
      </c>
      <c r="BE145">
        <v>1.0224719101123501</v>
      </c>
      <c r="BF145" t="s">
        <v>393</v>
      </c>
      <c r="BG145">
        <v>0.97487437185929604</v>
      </c>
      <c r="BH145" t="s">
        <v>408</v>
      </c>
      <c r="BI145">
        <v>1.03343465045592</v>
      </c>
      <c r="BJ145" t="s">
        <v>335</v>
      </c>
      <c r="BK145">
        <v>1.0714285714285701</v>
      </c>
      <c r="BL145" t="s">
        <v>329</v>
      </c>
      <c r="BM145">
        <v>0.94805194805194803</v>
      </c>
      <c r="BN145" t="s">
        <v>408</v>
      </c>
      <c r="BO145">
        <v>1.0475184794086501</v>
      </c>
      <c r="BP145" t="s">
        <v>411</v>
      </c>
      <c r="BQ145">
        <v>0.99038461538461497</v>
      </c>
      <c r="BR145" t="s">
        <v>414</v>
      </c>
      <c r="BS145">
        <v>1.24515235457063</v>
      </c>
      <c r="BT145" t="s">
        <v>329</v>
      </c>
      <c r="BU145">
        <v>0.97597042513863197</v>
      </c>
      <c r="BV145" t="s">
        <v>404</v>
      </c>
      <c r="BW145">
        <v>0.99173553719008201</v>
      </c>
    </row>
    <row r="146" spans="1:75" x14ac:dyDescent="0.4">
      <c r="A146">
        <v>144</v>
      </c>
      <c r="B146" t="s">
        <v>282</v>
      </c>
      <c r="C146">
        <v>1.3125</v>
      </c>
      <c r="D146" t="s">
        <v>415</v>
      </c>
      <c r="E146">
        <v>0.88938053097345104</v>
      </c>
      <c r="F146" t="s">
        <v>275</v>
      </c>
      <c r="G146">
        <v>0.82339449541284404</v>
      </c>
      <c r="H146" t="s">
        <v>282</v>
      </c>
      <c r="I146">
        <v>0.89743589743589702</v>
      </c>
      <c r="J146" t="s">
        <v>278</v>
      </c>
      <c r="K146">
        <v>1.1812499999999999</v>
      </c>
      <c r="L146" t="s">
        <v>369</v>
      </c>
      <c r="M146">
        <v>1.0035335689045899</v>
      </c>
      <c r="N146" t="s">
        <v>303</v>
      </c>
      <c r="O146">
        <v>0.815794596278128</v>
      </c>
      <c r="P146" t="s">
        <v>365</v>
      </c>
      <c r="Q146">
        <v>1.1878737010985401</v>
      </c>
      <c r="R146" t="s">
        <v>364</v>
      </c>
      <c r="S146">
        <v>0.90460526315789402</v>
      </c>
      <c r="T146" t="s">
        <v>367</v>
      </c>
      <c r="U146">
        <v>0.92306824591088499</v>
      </c>
      <c r="V146" t="s">
        <v>377</v>
      </c>
      <c r="W146">
        <v>1.0108564535585001</v>
      </c>
      <c r="X146" t="s">
        <v>364</v>
      </c>
      <c r="Y146">
        <v>0.93296089385474801</v>
      </c>
      <c r="Z146" t="s">
        <v>384</v>
      </c>
      <c r="AA146">
        <v>1.0595890410958899</v>
      </c>
      <c r="AB146" t="s">
        <v>389</v>
      </c>
      <c r="AC146">
        <v>1.2816091954022899</v>
      </c>
      <c r="AD146" t="s">
        <v>401</v>
      </c>
      <c r="AE146">
        <v>0.84293193717277404</v>
      </c>
      <c r="AF146" t="s">
        <v>396</v>
      </c>
      <c r="AG146">
        <v>0.89347079037800603</v>
      </c>
      <c r="AH146" t="s">
        <v>396</v>
      </c>
      <c r="AI146">
        <v>0.92307692307692302</v>
      </c>
      <c r="AJ146" t="s">
        <v>412</v>
      </c>
      <c r="AK146">
        <v>0.966770508826583</v>
      </c>
      <c r="AL146" t="s">
        <v>402</v>
      </c>
      <c r="AM146">
        <v>0.78465594232528102</v>
      </c>
      <c r="AN146" t="s">
        <v>412</v>
      </c>
      <c r="AO146">
        <v>1.2196467991169899</v>
      </c>
      <c r="AP146" t="s">
        <v>403</v>
      </c>
      <c r="AQ146">
        <v>1.1800947867298499</v>
      </c>
      <c r="AR146" t="s">
        <v>396</v>
      </c>
      <c r="AS146">
        <v>0.90039840637450197</v>
      </c>
      <c r="AT146" t="s">
        <v>410</v>
      </c>
      <c r="AU146">
        <v>0.77697841726618699</v>
      </c>
      <c r="AV146" t="s">
        <v>410</v>
      </c>
      <c r="AW146">
        <v>1.18148148148148</v>
      </c>
      <c r="AX146" t="s">
        <v>397</v>
      </c>
      <c r="AY146">
        <v>0.97200622083981303</v>
      </c>
      <c r="AZ146" t="s">
        <v>410</v>
      </c>
      <c r="BA146">
        <v>1.98125</v>
      </c>
      <c r="BB146" t="s">
        <v>397</v>
      </c>
      <c r="BC146">
        <v>0.98166666666666602</v>
      </c>
      <c r="BD146" t="s">
        <v>395</v>
      </c>
      <c r="BE146">
        <v>0.83333333333333304</v>
      </c>
      <c r="BF146" t="s">
        <v>395</v>
      </c>
      <c r="BG146">
        <v>1.012</v>
      </c>
      <c r="BH146" t="s">
        <v>416</v>
      </c>
      <c r="BI146">
        <v>1.18025751072961</v>
      </c>
      <c r="BJ146" t="s">
        <v>417</v>
      </c>
      <c r="BK146">
        <v>1.0673076923076901</v>
      </c>
      <c r="BL146" t="s">
        <v>404</v>
      </c>
      <c r="BM146">
        <v>1.13513513513513</v>
      </c>
      <c r="BN146" t="s">
        <v>417</v>
      </c>
      <c r="BO146">
        <v>0.99785177228786204</v>
      </c>
      <c r="BP146" t="s">
        <v>417</v>
      </c>
      <c r="BQ146">
        <v>1.27556512378902</v>
      </c>
      <c r="BR146" t="s">
        <v>411</v>
      </c>
      <c r="BS146">
        <v>1.1067961165048501</v>
      </c>
      <c r="BT146" t="s">
        <v>404</v>
      </c>
      <c r="BU146">
        <v>1.01315789473684</v>
      </c>
      <c r="BV146" t="s">
        <v>333</v>
      </c>
      <c r="BW146">
        <v>1.0689655172413699</v>
      </c>
    </row>
    <row r="147" spans="1:75" x14ac:dyDescent="0.4">
      <c r="A147">
        <v>145</v>
      </c>
      <c r="B147" t="s">
        <v>365</v>
      </c>
      <c r="C147">
        <v>1.2564076269828499</v>
      </c>
      <c r="D147" t="s">
        <v>369</v>
      </c>
      <c r="E147">
        <v>1.00358422939068</v>
      </c>
      <c r="F147" t="s">
        <v>359</v>
      </c>
      <c r="G147">
        <v>0.88379705400982</v>
      </c>
      <c r="H147" t="s">
        <v>365</v>
      </c>
      <c r="I147">
        <v>0.92041931005851096</v>
      </c>
      <c r="J147" t="s">
        <v>368</v>
      </c>
      <c r="K147">
        <v>1.1807432432432401</v>
      </c>
      <c r="L147" t="s">
        <v>364</v>
      </c>
      <c r="M147">
        <v>1.0873239436619699</v>
      </c>
      <c r="N147" t="s">
        <v>289</v>
      </c>
      <c r="O147">
        <v>0.87445255474452499</v>
      </c>
      <c r="P147" t="s">
        <v>367</v>
      </c>
      <c r="Q147">
        <v>1.0469742360695</v>
      </c>
      <c r="R147" t="s">
        <v>366</v>
      </c>
      <c r="S147">
        <v>0.97074468085106302</v>
      </c>
      <c r="T147" t="s">
        <v>371</v>
      </c>
      <c r="U147">
        <v>0.80154738878143095</v>
      </c>
      <c r="V147" t="s">
        <v>374</v>
      </c>
      <c r="W147">
        <v>0.98116760828625205</v>
      </c>
      <c r="X147" t="s">
        <v>366</v>
      </c>
      <c r="Y147">
        <v>1.52727272727272</v>
      </c>
      <c r="Z147" t="s">
        <v>389</v>
      </c>
      <c r="AA147">
        <v>0.884745762711864</v>
      </c>
      <c r="AB147" t="s">
        <v>386</v>
      </c>
      <c r="AC147">
        <v>0.82542372881355897</v>
      </c>
      <c r="AD147" t="s">
        <v>396</v>
      </c>
      <c r="AE147">
        <v>0.90937500000000004</v>
      </c>
      <c r="AF147" t="s">
        <v>397</v>
      </c>
      <c r="AG147">
        <v>1.0910746812386101</v>
      </c>
      <c r="AH147" t="s">
        <v>397</v>
      </c>
      <c r="AI147">
        <v>0.77879799666110106</v>
      </c>
      <c r="AJ147" t="s">
        <v>402</v>
      </c>
      <c r="AK147">
        <v>0.85108428880178699</v>
      </c>
      <c r="AL147" t="s">
        <v>409</v>
      </c>
      <c r="AM147">
        <v>0.89793281653746704</v>
      </c>
      <c r="AN147" t="s">
        <v>402</v>
      </c>
      <c r="AO147">
        <v>1.66553303529798</v>
      </c>
      <c r="AP147" t="s">
        <v>396</v>
      </c>
      <c r="AQ147">
        <v>0.95801526717557195</v>
      </c>
      <c r="AR147" t="s">
        <v>397</v>
      </c>
      <c r="AS147">
        <v>0.94514106583072099</v>
      </c>
      <c r="AT147" t="s">
        <v>412</v>
      </c>
      <c r="AU147">
        <v>0.93237250554323703</v>
      </c>
      <c r="AV147" t="s">
        <v>402</v>
      </c>
      <c r="AW147">
        <v>0.29608645472668099</v>
      </c>
      <c r="AX147" t="s">
        <v>310</v>
      </c>
      <c r="AY147">
        <v>1.0711610486891301</v>
      </c>
      <c r="AZ147" t="s">
        <v>329</v>
      </c>
      <c r="BA147">
        <v>1.0044313146233299</v>
      </c>
      <c r="BB147" t="s">
        <v>412</v>
      </c>
      <c r="BC147">
        <v>0.84021739130434703</v>
      </c>
      <c r="BD147" t="s">
        <v>308</v>
      </c>
      <c r="BE147">
        <v>1.28936170212765</v>
      </c>
      <c r="BF147" t="s">
        <v>308</v>
      </c>
      <c r="BG147">
        <v>1.2013201320132001</v>
      </c>
      <c r="BH147" t="s">
        <v>411</v>
      </c>
      <c r="BI147">
        <v>0.87767857142857097</v>
      </c>
      <c r="BJ147" t="s">
        <v>418</v>
      </c>
      <c r="BK147">
        <v>0.97647058823529398</v>
      </c>
      <c r="BL147" t="s">
        <v>333</v>
      </c>
      <c r="BM147">
        <v>0.96494156928213604</v>
      </c>
      <c r="BN147" t="s">
        <v>418</v>
      </c>
      <c r="BO147">
        <v>1.0302547770700601</v>
      </c>
      <c r="BP147" t="s">
        <v>418</v>
      </c>
      <c r="BQ147">
        <v>1.1174652241112799</v>
      </c>
      <c r="BR147" t="s">
        <v>417</v>
      </c>
      <c r="BS147">
        <v>0.80675105485232002</v>
      </c>
      <c r="BT147" t="s">
        <v>333</v>
      </c>
      <c r="BU147">
        <v>1.02010050251256</v>
      </c>
      <c r="BV147" t="s">
        <v>407</v>
      </c>
      <c r="BW147">
        <v>1.1452145214521401</v>
      </c>
    </row>
    <row r="148" spans="1:75" x14ac:dyDescent="0.4">
      <c r="A148">
        <v>146</v>
      </c>
      <c r="B148" t="s">
        <v>415</v>
      </c>
      <c r="C148">
        <v>0.91497975708502</v>
      </c>
      <c r="D148" t="s">
        <v>364</v>
      </c>
      <c r="E148">
        <v>0.84634146341463401</v>
      </c>
      <c r="F148" t="s">
        <v>278</v>
      </c>
      <c r="G148">
        <v>0.841389728096676</v>
      </c>
      <c r="H148" t="s">
        <v>367</v>
      </c>
      <c r="I148">
        <v>1.5635917030567601</v>
      </c>
      <c r="J148" t="s">
        <v>372</v>
      </c>
      <c r="K148">
        <v>1.4459459459459401</v>
      </c>
      <c r="L148" t="s">
        <v>376</v>
      </c>
      <c r="M148">
        <v>1.07975199592322</v>
      </c>
      <c r="N148" t="s">
        <v>295</v>
      </c>
      <c r="O148">
        <v>0.96857142857142797</v>
      </c>
      <c r="P148" t="s">
        <v>369</v>
      </c>
      <c r="Q148">
        <v>1.1060606060606</v>
      </c>
      <c r="R148" t="s">
        <v>303</v>
      </c>
      <c r="S148">
        <v>1.1004160789008799</v>
      </c>
      <c r="T148" t="s">
        <v>364</v>
      </c>
      <c r="U148">
        <v>1.0490909090909</v>
      </c>
      <c r="V148" t="s">
        <v>381</v>
      </c>
      <c r="W148">
        <v>1.0139928322968199</v>
      </c>
      <c r="X148" t="s">
        <v>303</v>
      </c>
      <c r="Y148">
        <v>0.88130865349717402</v>
      </c>
      <c r="Z148" t="s">
        <v>387</v>
      </c>
      <c r="AA148">
        <v>1.48467966573816</v>
      </c>
      <c r="AB148" t="s">
        <v>390</v>
      </c>
      <c r="AC148">
        <v>0.94659602971623402</v>
      </c>
      <c r="AD148" t="s">
        <v>397</v>
      </c>
      <c r="AE148">
        <v>0.96315789473684199</v>
      </c>
      <c r="AF148" t="s">
        <v>310</v>
      </c>
      <c r="AG148">
        <v>0.99353448275862</v>
      </c>
      <c r="AH148" t="s">
        <v>310</v>
      </c>
      <c r="AI148">
        <v>0.92407809110629002</v>
      </c>
      <c r="AJ148" t="s">
        <v>409</v>
      </c>
      <c r="AK148">
        <v>1.0130890052356001</v>
      </c>
      <c r="AL148" t="s">
        <v>329</v>
      </c>
      <c r="AM148">
        <v>1.01298701298701</v>
      </c>
      <c r="AN148" t="s">
        <v>409</v>
      </c>
      <c r="AO148">
        <v>1.23309352517985</v>
      </c>
      <c r="AP148" t="s">
        <v>397</v>
      </c>
      <c r="AQ148">
        <v>1.2888888888888801</v>
      </c>
      <c r="AR148" t="s">
        <v>310</v>
      </c>
      <c r="AS148">
        <v>1.08961593172119</v>
      </c>
      <c r="AT148" t="s">
        <v>402</v>
      </c>
      <c r="AU148">
        <v>0.340174173745449</v>
      </c>
      <c r="AV148" t="s">
        <v>409</v>
      </c>
      <c r="AW148">
        <v>1.24291497975708</v>
      </c>
      <c r="AX148" t="s">
        <v>410</v>
      </c>
      <c r="AY148">
        <v>1.00313479623824</v>
      </c>
      <c r="AZ148" t="s">
        <v>404</v>
      </c>
      <c r="BA148">
        <v>1.2982689747003899</v>
      </c>
      <c r="BB148" t="s">
        <v>409</v>
      </c>
      <c r="BC148">
        <v>1.24416796267496</v>
      </c>
      <c r="BD148" t="s">
        <v>396</v>
      </c>
      <c r="BE148">
        <v>0.89700996677740796</v>
      </c>
      <c r="BF148" t="s">
        <v>396</v>
      </c>
      <c r="BG148">
        <v>1.07777777777777</v>
      </c>
      <c r="BH148" t="s">
        <v>335</v>
      </c>
      <c r="BI148">
        <v>0.875</v>
      </c>
      <c r="BJ148" t="s">
        <v>419</v>
      </c>
      <c r="BK148">
        <v>1.2826086956521701</v>
      </c>
      <c r="BL148" t="s">
        <v>407</v>
      </c>
      <c r="BM148">
        <v>1.2029598308667999</v>
      </c>
      <c r="BN148" t="s">
        <v>420</v>
      </c>
      <c r="BO148">
        <v>1.0530612244897899</v>
      </c>
      <c r="BP148" t="s">
        <v>420</v>
      </c>
      <c r="BQ148">
        <v>1.16472868217054</v>
      </c>
      <c r="BR148" t="s">
        <v>418</v>
      </c>
      <c r="BS148">
        <v>0.97372060857538001</v>
      </c>
      <c r="BT148" t="s">
        <v>407</v>
      </c>
      <c r="BU148">
        <v>1.0430292598967199</v>
      </c>
      <c r="BV148" t="s">
        <v>408</v>
      </c>
      <c r="BW148">
        <v>1.09717514124293</v>
      </c>
    </row>
    <row r="149" spans="1:75" x14ac:dyDescent="0.4">
      <c r="A149">
        <v>147</v>
      </c>
      <c r="B149" t="s">
        <v>364</v>
      </c>
      <c r="C149">
        <v>0.82</v>
      </c>
      <c r="D149" t="s">
        <v>366</v>
      </c>
      <c r="E149">
        <v>0.84567126725219499</v>
      </c>
      <c r="F149" t="s">
        <v>368</v>
      </c>
      <c r="G149">
        <v>0.423208191126279</v>
      </c>
      <c r="H149" t="s">
        <v>369</v>
      </c>
      <c r="I149">
        <v>1.2129629629629599</v>
      </c>
      <c r="J149" t="s">
        <v>282</v>
      </c>
      <c r="K149">
        <v>1.04857142857142</v>
      </c>
      <c r="L149" t="s">
        <v>289</v>
      </c>
      <c r="M149">
        <v>1.22321428571428</v>
      </c>
      <c r="N149" t="s">
        <v>374</v>
      </c>
      <c r="O149">
        <v>0.76923076923076905</v>
      </c>
      <c r="P149" t="s">
        <v>364</v>
      </c>
      <c r="Q149">
        <v>1.0033003300329999</v>
      </c>
      <c r="R149" t="s">
        <v>289</v>
      </c>
      <c r="S149">
        <v>0.89591836734693797</v>
      </c>
      <c r="T149" t="s">
        <v>366</v>
      </c>
      <c r="U149">
        <v>1.0575342465753399</v>
      </c>
      <c r="V149" t="s">
        <v>384</v>
      </c>
      <c r="W149">
        <v>1.09810387469084</v>
      </c>
      <c r="X149" t="s">
        <v>289</v>
      </c>
      <c r="Y149">
        <v>0.90280373831775695</v>
      </c>
      <c r="Z149" t="s">
        <v>386</v>
      </c>
      <c r="AA149">
        <v>0.929133858267716</v>
      </c>
      <c r="AB149" t="s">
        <v>308</v>
      </c>
      <c r="AC149">
        <v>1.3223684210526301</v>
      </c>
      <c r="AD149" t="s">
        <v>310</v>
      </c>
      <c r="AE149">
        <v>1.0086956521739101</v>
      </c>
      <c r="AF149" t="s">
        <v>323</v>
      </c>
      <c r="AG149">
        <v>1.1276948590381399</v>
      </c>
      <c r="AH149" t="s">
        <v>323</v>
      </c>
      <c r="AI149">
        <v>0.81617647058823495</v>
      </c>
      <c r="AJ149" t="s">
        <v>329</v>
      </c>
      <c r="AK149">
        <v>1.10394265232974</v>
      </c>
      <c r="AL149" t="s">
        <v>404</v>
      </c>
      <c r="AM149">
        <v>1.01112656467315</v>
      </c>
      <c r="AN149" t="s">
        <v>329</v>
      </c>
      <c r="AO149">
        <v>1.0416666666666601</v>
      </c>
      <c r="AP149" t="s">
        <v>310</v>
      </c>
      <c r="AQ149">
        <v>1.1996587030716701</v>
      </c>
      <c r="AR149" t="s">
        <v>410</v>
      </c>
      <c r="AS149">
        <v>0.955983493810178</v>
      </c>
      <c r="AT149" t="s">
        <v>409</v>
      </c>
      <c r="AU149">
        <v>1.0061099796334001</v>
      </c>
      <c r="AV149" t="s">
        <v>329</v>
      </c>
      <c r="AW149">
        <v>0.96153846153846101</v>
      </c>
      <c r="AX149" t="s">
        <v>409</v>
      </c>
      <c r="AY149">
        <v>1.2915309446254</v>
      </c>
      <c r="AZ149" t="s">
        <v>333</v>
      </c>
      <c r="BA149">
        <v>1.1513157894736801</v>
      </c>
      <c r="BB149" t="s">
        <v>329</v>
      </c>
      <c r="BC149">
        <v>1.08970588235294</v>
      </c>
      <c r="BD149" t="s">
        <v>397</v>
      </c>
      <c r="BE149">
        <v>0.95925297113752095</v>
      </c>
      <c r="BF149" t="s">
        <v>397</v>
      </c>
      <c r="BG149">
        <v>1.01061946902654</v>
      </c>
      <c r="BH149" t="s">
        <v>417</v>
      </c>
      <c r="BI149">
        <v>0.8</v>
      </c>
      <c r="BJ149" t="s">
        <v>420</v>
      </c>
      <c r="BK149">
        <v>1.1019522776572599</v>
      </c>
      <c r="BL149" t="s">
        <v>408</v>
      </c>
      <c r="BM149">
        <v>0.969293756397134</v>
      </c>
      <c r="BN149" t="s">
        <v>421</v>
      </c>
      <c r="BO149">
        <v>1.0452961672473799</v>
      </c>
      <c r="BP149" t="s">
        <v>421</v>
      </c>
      <c r="BQ149">
        <v>1.04666666666666</v>
      </c>
      <c r="BR149" t="s">
        <v>422</v>
      </c>
      <c r="BS149">
        <v>0.97179788484136298</v>
      </c>
      <c r="BT149" t="s">
        <v>408</v>
      </c>
      <c r="BU149">
        <v>0.97359735973597294</v>
      </c>
      <c r="BV149" t="s">
        <v>414</v>
      </c>
      <c r="BW149">
        <v>1.01982378854625</v>
      </c>
    </row>
    <row r="150" spans="1:75" x14ac:dyDescent="0.4">
      <c r="A150">
        <v>148</v>
      </c>
      <c r="B150" t="s">
        <v>366</v>
      </c>
      <c r="C150">
        <v>1.0770270270270199</v>
      </c>
      <c r="D150" t="s">
        <v>376</v>
      </c>
      <c r="E150">
        <v>0.96451612903225803</v>
      </c>
      <c r="F150" t="s">
        <v>372</v>
      </c>
      <c r="G150">
        <v>0.75324675324675305</v>
      </c>
      <c r="H150" t="s">
        <v>364</v>
      </c>
      <c r="I150">
        <v>1.17737789203084</v>
      </c>
      <c r="J150" t="s">
        <v>365</v>
      </c>
      <c r="K150">
        <v>1.86089224046796</v>
      </c>
      <c r="L150" t="s">
        <v>295</v>
      </c>
      <c r="M150">
        <v>0.99431818181818099</v>
      </c>
      <c r="N150" t="s">
        <v>375</v>
      </c>
      <c r="O150">
        <v>0.82529335071707899</v>
      </c>
      <c r="P150" t="s">
        <v>366</v>
      </c>
      <c r="Q150">
        <v>1.18611987381703</v>
      </c>
      <c r="R150" t="s">
        <v>377</v>
      </c>
      <c r="S150">
        <v>0.87398373983739797</v>
      </c>
      <c r="T150" t="s">
        <v>303</v>
      </c>
      <c r="U150">
        <v>1.01942260045244</v>
      </c>
      <c r="V150" t="s">
        <v>389</v>
      </c>
      <c r="W150">
        <v>1.15469613259668</v>
      </c>
      <c r="X150" t="s">
        <v>398</v>
      </c>
      <c r="Y150">
        <v>1.26628370098039</v>
      </c>
      <c r="Z150" t="s">
        <v>390</v>
      </c>
      <c r="AA150">
        <v>1.0465872156013001</v>
      </c>
      <c r="AB150" t="s">
        <v>396</v>
      </c>
      <c r="AC150">
        <v>0.84210526315789402</v>
      </c>
      <c r="AD150" t="s">
        <v>314</v>
      </c>
      <c r="AE150">
        <v>0.47460716759633897</v>
      </c>
      <c r="AF150" t="s">
        <v>410</v>
      </c>
      <c r="AG150">
        <v>1.01453488372093</v>
      </c>
      <c r="AH150" t="s">
        <v>410</v>
      </c>
      <c r="AI150">
        <v>1.0916905444125999</v>
      </c>
      <c r="AJ150" t="s">
        <v>404</v>
      </c>
      <c r="AK150">
        <v>1.0828313253012001</v>
      </c>
      <c r="AL150" t="s">
        <v>333</v>
      </c>
      <c r="AM150">
        <v>1.0959302325581299</v>
      </c>
      <c r="AN150" t="s">
        <v>404</v>
      </c>
      <c r="AO150">
        <v>1.07152682255845</v>
      </c>
      <c r="AP150" t="s">
        <v>410</v>
      </c>
      <c r="AQ150">
        <v>1.33885819521178</v>
      </c>
      <c r="AR150" t="s">
        <v>412</v>
      </c>
      <c r="AS150">
        <v>0.85904761904761895</v>
      </c>
      <c r="AT150" t="s">
        <v>329</v>
      </c>
      <c r="AU150">
        <v>1.04838709677419</v>
      </c>
      <c r="AV150" t="s">
        <v>404</v>
      </c>
      <c r="AW150">
        <v>0.88188976377952699</v>
      </c>
      <c r="AX150" t="s">
        <v>329</v>
      </c>
      <c r="AY150">
        <v>1.0831999999999999</v>
      </c>
      <c r="AZ150" t="s">
        <v>407</v>
      </c>
      <c r="BA150">
        <v>1.1473214285714199</v>
      </c>
      <c r="BB150" t="s">
        <v>404</v>
      </c>
      <c r="BC150">
        <v>0.98358974358974305</v>
      </c>
      <c r="BD150" t="s">
        <v>413</v>
      </c>
      <c r="BE150">
        <v>1.29965156794425</v>
      </c>
      <c r="BF150" t="s">
        <v>412</v>
      </c>
      <c r="BG150">
        <v>0.965753424657534</v>
      </c>
      <c r="BH150" t="s">
        <v>418</v>
      </c>
      <c r="BI150">
        <v>1.0014727540500701</v>
      </c>
      <c r="BJ150" t="s">
        <v>343</v>
      </c>
      <c r="BK150">
        <v>0.95279503105590002</v>
      </c>
      <c r="BL150" t="s">
        <v>335</v>
      </c>
      <c r="BM150">
        <v>1.37333333333333</v>
      </c>
      <c r="BN150" t="s">
        <v>131</v>
      </c>
      <c r="BO150">
        <v>0.92338709677419295</v>
      </c>
      <c r="BP150" t="s">
        <v>131</v>
      </c>
      <c r="BQ150">
        <v>0.92576419213973804</v>
      </c>
      <c r="BR150" t="s">
        <v>131</v>
      </c>
      <c r="BS150">
        <v>1.09198113207547</v>
      </c>
      <c r="BT150" t="s">
        <v>414</v>
      </c>
      <c r="BU150">
        <v>1.01001112347052</v>
      </c>
      <c r="BV150" t="s">
        <v>411</v>
      </c>
      <c r="BW150">
        <v>1.1401869158878499</v>
      </c>
    </row>
    <row r="151" spans="1:75" x14ac:dyDescent="0.4">
      <c r="A151">
        <v>149</v>
      </c>
      <c r="B151" t="s">
        <v>376</v>
      </c>
      <c r="C151">
        <v>1.1118313023939099</v>
      </c>
      <c r="D151" t="s">
        <v>289</v>
      </c>
      <c r="E151">
        <v>0.92896174863387904</v>
      </c>
      <c r="F151" t="s">
        <v>365</v>
      </c>
      <c r="G151">
        <v>0.51607222962432298</v>
      </c>
      <c r="H151" t="s">
        <v>376</v>
      </c>
      <c r="I151">
        <v>0.95387025060630504</v>
      </c>
      <c r="J151" t="s">
        <v>367</v>
      </c>
      <c r="K151">
        <v>1.1410368301623299</v>
      </c>
      <c r="L151" t="s">
        <v>374</v>
      </c>
      <c r="M151">
        <v>0.99236641221374</v>
      </c>
      <c r="N151" t="s">
        <v>381</v>
      </c>
      <c r="O151">
        <v>0.91881150281838098</v>
      </c>
      <c r="P151" t="s">
        <v>303</v>
      </c>
      <c r="Q151">
        <v>1.00645446085566</v>
      </c>
      <c r="R151" t="s">
        <v>374</v>
      </c>
      <c r="S151">
        <v>0.94803149606299197</v>
      </c>
      <c r="T151" t="s">
        <v>289</v>
      </c>
      <c r="U151">
        <v>0.993166287015945</v>
      </c>
      <c r="V151" t="s">
        <v>387</v>
      </c>
      <c r="W151">
        <v>0.88188976377952699</v>
      </c>
      <c r="X151" t="s">
        <v>377</v>
      </c>
      <c r="Y151">
        <v>0.84367541766109699</v>
      </c>
      <c r="Z151" t="s">
        <v>395</v>
      </c>
      <c r="AA151">
        <v>1.27551020408163</v>
      </c>
      <c r="AB151" t="s">
        <v>397</v>
      </c>
      <c r="AC151">
        <v>1.0035211267605599</v>
      </c>
      <c r="AD151" t="s">
        <v>323</v>
      </c>
      <c r="AE151">
        <v>1.10237659963436</v>
      </c>
      <c r="AF151" t="s">
        <v>412</v>
      </c>
      <c r="AG151">
        <v>1.1566390041493699</v>
      </c>
      <c r="AH151" t="s">
        <v>402</v>
      </c>
      <c r="AI151">
        <v>0.57510019855377004</v>
      </c>
      <c r="AJ151" t="s">
        <v>333</v>
      </c>
      <c r="AK151">
        <v>1.2307692307692299</v>
      </c>
      <c r="AL151" t="s">
        <v>407</v>
      </c>
      <c r="AM151">
        <v>1.0707070707070701</v>
      </c>
      <c r="AN151" t="s">
        <v>333</v>
      </c>
      <c r="AO151">
        <v>0.94960212201591498</v>
      </c>
      <c r="AP151" t="s">
        <v>412</v>
      </c>
      <c r="AQ151">
        <v>0.95022624434389102</v>
      </c>
      <c r="AR151" t="s">
        <v>402</v>
      </c>
      <c r="AS151">
        <v>0.68922425986740898</v>
      </c>
      <c r="AT151" t="s">
        <v>404</v>
      </c>
      <c r="AU151">
        <v>1.0524861878453</v>
      </c>
      <c r="AV151" t="s">
        <v>333</v>
      </c>
      <c r="AW151">
        <v>0.89925925925925898</v>
      </c>
      <c r="AX151" t="s">
        <v>404</v>
      </c>
      <c r="AY151">
        <v>1.11755952380952</v>
      </c>
      <c r="AZ151" t="s">
        <v>408</v>
      </c>
      <c r="BA151">
        <v>1.9311377245508901</v>
      </c>
      <c r="BB151" t="s">
        <v>407</v>
      </c>
      <c r="BC151">
        <v>0.79377431906614704</v>
      </c>
      <c r="BD151" t="s">
        <v>404</v>
      </c>
      <c r="BE151">
        <v>0.78206465067778896</v>
      </c>
      <c r="BF151" t="s">
        <v>402</v>
      </c>
      <c r="BG151">
        <v>0.82767739092111003</v>
      </c>
      <c r="BH151" t="s">
        <v>420</v>
      </c>
      <c r="BI151">
        <v>0.78803418803418801</v>
      </c>
      <c r="BJ151" t="s">
        <v>423</v>
      </c>
      <c r="BK151">
        <v>0.93747241430042605</v>
      </c>
      <c r="BL151" t="s">
        <v>417</v>
      </c>
      <c r="BM151">
        <v>0.93193193193193102</v>
      </c>
      <c r="BN151" t="s">
        <v>343</v>
      </c>
      <c r="BO151">
        <v>1.03515625</v>
      </c>
      <c r="BP151" t="s">
        <v>343</v>
      </c>
      <c r="BQ151">
        <v>1.0679245283018799</v>
      </c>
      <c r="BR151" t="s">
        <v>343</v>
      </c>
      <c r="BS151">
        <v>1.00942285041224</v>
      </c>
      <c r="BT151" t="s">
        <v>411</v>
      </c>
      <c r="BU151">
        <v>0.93859649122806998</v>
      </c>
      <c r="BV151" t="s">
        <v>417</v>
      </c>
      <c r="BW151">
        <v>0.93694581280788103</v>
      </c>
    </row>
    <row r="152" spans="1:75" x14ac:dyDescent="0.4">
      <c r="A152">
        <v>150</v>
      </c>
      <c r="B152" t="s">
        <v>289</v>
      </c>
      <c r="C152">
        <v>1.1037394451145901</v>
      </c>
      <c r="D152" t="s">
        <v>295</v>
      </c>
      <c r="E152">
        <v>0.98525798525798503</v>
      </c>
      <c r="F152" t="s">
        <v>367</v>
      </c>
      <c r="G152">
        <v>0.65137777777777695</v>
      </c>
      <c r="H152" t="s">
        <v>303</v>
      </c>
      <c r="I152">
        <v>1.7665325879465501</v>
      </c>
      <c r="J152" t="s">
        <v>369</v>
      </c>
      <c r="K152">
        <v>1.0801526717557199</v>
      </c>
      <c r="L152" t="s">
        <v>375</v>
      </c>
      <c r="M152">
        <v>0.82650862068965503</v>
      </c>
      <c r="N152" t="s">
        <v>384</v>
      </c>
      <c r="O152">
        <v>0.97466063348416199</v>
      </c>
      <c r="P152" t="s">
        <v>289</v>
      </c>
      <c r="Q152">
        <v>0.81803005008347196</v>
      </c>
      <c r="R152" t="s">
        <v>375</v>
      </c>
      <c r="S152">
        <v>0.88975155279503104</v>
      </c>
      <c r="T152" t="s">
        <v>377</v>
      </c>
      <c r="U152">
        <v>0.96395348837209305</v>
      </c>
      <c r="V152" t="s">
        <v>390</v>
      </c>
      <c r="W152">
        <v>1.57531130268199</v>
      </c>
      <c r="X152" t="s">
        <v>374</v>
      </c>
      <c r="Y152">
        <v>0.87715930902111305</v>
      </c>
      <c r="Z152" t="s">
        <v>308</v>
      </c>
      <c r="AA152">
        <v>0.86956521739130399</v>
      </c>
      <c r="AB152" t="s">
        <v>310</v>
      </c>
      <c r="AC152">
        <v>1.12745098039215</v>
      </c>
      <c r="AD152" t="s">
        <v>410</v>
      </c>
      <c r="AE152">
        <v>0.77652370203160204</v>
      </c>
      <c r="AF152" t="s">
        <v>402</v>
      </c>
      <c r="AG152">
        <v>1.31542010752092</v>
      </c>
      <c r="AH152" t="s">
        <v>329</v>
      </c>
      <c r="AI152">
        <v>1.0528301886792399</v>
      </c>
      <c r="AJ152" t="s">
        <v>407</v>
      </c>
      <c r="AK152">
        <v>0.99248120300751796</v>
      </c>
      <c r="AL152" t="s">
        <v>417</v>
      </c>
      <c r="AM152">
        <v>0.90118577075098805</v>
      </c>
      <c r="AN152" t="s">
        <v>407</v>
      </c>
      <c r="AO152">
        <v>1.3254716981132</v>
      </c>
      <c r="AP152" t="s">
        <v>409</v>
      </c>
      <c r="AQ152">
        <v>1.3138856476079299</v>
      </c>
      <c r="AR152" t="s">
        <v>329</v>
      </c>
      <c r="AS152">
        <v>0.85872576177285298</v>
      </c>
      <c r="AT152" t="s">
        <v>333</v>
      </c>
      <c r="AU152">
        <v>0.93490304709141203</v>
      </c>
      <c r="AV152" t="s">
        <v>407</v>
      </c>
      <c r="AW152">
        <v>1.0701754385964899</v>
      </c>
      <c r="AX152" t="s">
        <v>333</v>
      </c>
      <c r="AY152">
        <v>1.0016474464579901</v>
      </c>
      <c r="AZ152" t="s">
        <v>417</v>
      </c>
      <c r="BA152">
        <v>1.1471471471471399</v>
      </c>
      <c r="BB152" t="s">
        <v>408</v>
      </c>
      <c r="BC152">
        <v>0.74806201550387597</v>
      </c>
      <c r="BD152" t="s">
        <v>407</v>
      </c>
      <c r="BE152">
        <v>1.0686274509803899</v>
      </c>
      <c r="BF152" t="s">
        <v>404</v>
      </c>
      <c r="BG152">
        <v>1.11466666666666</v>
      </c>
      <c r="BH152" t="s">
        <v>421</v>
      </c>
      <c r="BI152">
        <v>1.0376811594202899</v>
      </c>
      <c r="BJ152" t="s">
        <v>424</v>
      </c>
      <c r="BK152">
        <v>0.76534546576187501</v>
      </c>
      <c r="BL152" t="s">
        <v>418</v>
      </c>
      <c r="BM152">
        <v>0.94578313253012003</v>
      </c>
      <c r="BN152" t="s">
        <v>423</v>
      </c>
      <c r="BO152">
        <v>0.762308998302207</v>
      </c>
      <c r="BP152" t="s">
        <v>423</v>
      </c>
      <c r="BQ152">
        <v>0.69487750556792804</v>
      </c>
      <c r="BR152" t="s">
        <v>423</v>
      </c>
      <c r="BS152">
        <v>1.0064102564102499</v>
      </c>
      <c r="BT152" t="s">
        <v>417</v>
      </c>
      <c r="BU152">
        <v>1.0617154811715399</v>
      </c>
      <c r="BV152" t="s">
        <v>418</v>
      </c>
      <c r="BW152">
        <v>1.12187958883994</v>
      </c>
    </row>
    <row r="153" spans="1:75" x14ac:dyDescent="0.4">
      <c r="A153">
        <v>151</v>
      </c>
      <c r="B153" t="s">
        <v>295</v>
      </c>
      <c r="C153">
        <v>1.0571428571428501</v>
      </c>
      <c r="D153" t="s">
        <v>398</v>
      </c>
      <c r="E153">
        <v>0.86943344709897596</v>
      </c>
      <c r="F153" t="s">
        <v>364</v>
      </c>
      <c r="G153">
        <v>0.56051873198847202</v>
      </c>
      <c r="H153" t="s">
        <v>289</v>
      </c>
      <c r="I153">
        <v>0.72190201729106596</v>
      </c>
      <c r="J153" t="s">
        <v>364</v>
      </c>
      <c r="K153">
        <v>1.5502183406113501</v>
      </c>
      <c r="L153" t="s">
        <v>381</v>
      </c>
      <c r="M153">
        <v>0.96612516152852101</v>
      </c>
      <c r="N153" t="s">
        <v>389</v>
      </c>
      <c r="O153">
        <v>1</v>
      </c>
      <c r="P153" t="s">
        <v>377</v>
      </c>
      <c r="Q153">
        <v>0.99393939393939301</v>
      </c>
      <c r="R153" t="s">
        <v>381</v>
      </c>
      <c r="S153">
        <v>0.93087073758560601</v>
      </c>
      <c r="T153" t="s">
        <v>375</v>
      </c>
      <c r="U153">
        <v>1.0994764397905701</v>
      </c>
      <c r="V153" t="s">
        <v>395</v>
      </c>
      <c r="W153">
        <v>1.21879021879021</v>
      </c>
      <c r="X153" t="s">
        <v>375</v>
      </c>
      <c r="Y153">
        <v>0.83725135623869795</v>
      </c>
      <c r="Z153" t="s">
        <v>403</v>
      </c>
      <c r="AA153">
        <v>1.252</v>
      </c>
      <c r="AB153" t="s">
        <v>314</v>
      </c>
      <c r="AC153">
        <v>0.84065833026848102</v>
      </c>
      <c r="AD153" t="s">
        <v>402</v>
      </c>
      <c r="AE153">
        <v>0.69434543136830396</v>
      </c>
      <c r="AF153" t="s">
        <v>409</v>
      </c>
      <c r="AG153">
        <v>1.07420357420357</v>
      </c>
      <c r="AH153" t="s">
        <v>404</v>
      </c>
      <c r="AI153">
        <v>0.78394332939787403</v>
      </c>
      <c r="AJ153" t="s">
        <v>408</v>
      </c>
      <c r="AK153">
        <v>0.98281417830289997</v>
      </c>
      <c r="AL153" t="s">
        <v>418</v>
      </c>
      <c r="AM153">
        <v>0.86430062630480098</v>
      </c>
      <c r="AN153" t="s">
        <v>417</v>
      </c>
      <c r="AO153">
        <v>1.01315789473684</v>
      </c>
      <c r="AP153" t="s">
        <v>329</v>
      </c>
      <c r="AQ153">
        <v>1.1107692307692301</v>
      </c>
      <c r="AR153" t="s">
        <v>404</v>
      </c>
      <c r="AS153">
        <v>0.96404793608521899</v>
      </c>
      <c r="AT153" t="s">
        <v>407</v>
      </c>
      <c r="AU153">
        <v>0.95198329853862196</v>
      </c>
      <c r="AV153" t="s">
        <v>408</v>
      </c>
      <c r="AW153">
        <v>1.1251360174102201</v>
      </c>
      <c r="AX153" t="s">
        <v>407</v>
      </c>
      <c r="AY153">
        <v>0.91803278688524503</v>
      </c>
      <c r="AZ153" t="s">
        <v>418</v>
      </c>
      <c r="BA153">
        <v>1.29235880398671</v>
      </c>
      <c r="BB153" t="s">
        <v>335</v>
      </c>
      <c r="BC153">
        <v>0.87636363636363601</v>
      </c>
      <c r="BD153" t="s">
        <v>408</v>
      </c>
      <c r="BE153">
        <v>1.18652849740932</v>
      </c>
      <c r="BF153" t="s">
        <v>407</v>
      </c>
      <c r="BG153">
        <v>1.4954128440366901</v>
      </c>
      <c r="BH153" t="s">
        <v>343</v>
      </c>
      <c r="BI153">
        <v>0.77403846153846101</v>
      </c>
      <c r="BJ153" t="s">
        <v>426</v>
      </c>
      <c r="BK153">
        <v>1.02694610778443</v>
      </c>
      <c r="BL153" t="s">
        <v>419</v>
      </c>
      <c r="BM153">
        <v>0.69915254237288105</v>
      </c>
      <c r="BN153" t="s">
        <v>424</v>
      </c>
      <c r="BO153">
        <v>1.18734177215189</v>
      </c>
      <c r="BP153" t="s">
        <v>424</v>
      </c>
      <c r="BQ153">
        <v>1.0042643923240899</v>
      </c>
      <c r="BR153" t="s">
        <v>427</v>
      </c>
      <c r="BS153">
        <v>1.00664451827242</v>
      </c>
      <c r="BT153" t="s">
        <v>418</v>
      </c>
      <c r="BU153">
        <v>0.96732954545454497</v>
      </c>
      <c r="BV153" t="s">
        <v>420</v>
      </c>
      <c r="BW153">
        <v>1.18978102189781</v>
      </c>
    </row>
    <row r="154" spans="1:75" x14ac:dyDescent="0.4">
      <c r="A154">
        <v>152</v>
      </c>
      <c r="B154" t="s">
        <v>398</v>
      </c>
      <c r="C154">
        <v>0.96020239624570602</v>
      </c>
      <c r="D154" t="s">
        <v>377</v>
      </c>
      <c r="E154">
        <v>0.57999782888513196</v>
      </c>
      <c r="F154" t="s">
        <v>366</v>
      </c>
      <c r="G154">
        <v>0.666172106824925</v>
      </c>
      <c r="H154" t="s">
        <v>377</v>
      </c>
      <c r="I154">
        <v>1.7698504027617901</v>
      </c>
      <c r="J154" t="s">
        <v>376</v>
      </c>
      <c r="K154">
        <v>1.2473118279569799</v>
      </c>
      <c r="L154" t="s">
        <v>389</v>
      </c>
      <c r="M154">
        <v>0.98805460750853202</v>
      </c>
      <c r="N154" t="s">
        <v>387</v>
      </c>
      <c r="O154">
        <v>1.34649122807017</v>
      </c>
      <c r="P154" t="s">
        <v>374</v>
      </c>
      <c r="Q154">
        <v>1.05833333333333</v>
      </c>
      <c r="R154" t="s">
        <v>384</v>
      </c>
      <c r="S154">
        <v>0.99134377576257204</v>
      </c>
      <c r="T154" t="s">
        <v>381</v>
      </c>
      <c r="U154">
        <v>0.97277621122789004</v>
      </c>
      <c r="V154" t="s">
        <v>308</v>
      </c>
      <c r="W154">
        <v>1.0596627756160799</v>
      </c>
      <c r="X154" t="s">
        <v>381</v>
      </c>
      <c r="Y154">
        <v>0.93975934925543803</v>
      </c>
      <c r="Z154" t="s">
        <v>396</v>
      </c>
      <c r="AA154">
        <v>1.12426035502958</v>
      </c>
      <c r="AB154" t="s">
        <v>323</v>
      </c>
      <c r="AC154">
        <v>0.95462478184991195</v>
      </c>
      <c r="AD154" t="s">
        <v>329</v>
      </c>
      <c r="AE154">
        <v>1.07775377969762</v>
      </c>
      <c r="AF154" t="s">
        <v>329</v>
      </c>
      <c r="AG154">
        <v>1.0621242484969899</v>
      </c>
      <c r="AH154" t="s">
        <v>333</v>
      </c>
      <c r="AI154">
        <v>0.85736196319018398</v>
      </c>
      <c r="AJ154" t="s">
        <v>416</v>
      </c>
      <c r="AK154">
        <v>1.39963167587476</v>
      </c>
      <c r="AL154" t="s">
        <v>428</v>
      </c>
      <c r="AM154">
        <v>1.25</v>
      </c>
      <c r="AN154" t="s">
        <v>418</v>
      </c>
      <c r="AO154">
        <v>1.0350241545893699</v>
      </c>
      <c r="AP154" t="s">
        <v>404</v>
      </c>
      <c r="AQ154">
        <v>0.96405648267008903</v>
      </c>
      <c r="AR154" t="s">
        <v>333</v>
      </c>
      <c r="AS154">
        <v>0.93281653746769999</v>
      </c>
      <c r="AT154" t="s">
        <v>408</v>
      </c>
      <c r="AU154">
        <v>1.0466970387243699</v>
      </c>
      <c r="AV154" t="s">
        <v>429</v>
      </c>
      <c r="AW154">
        <v>1.34610997033994</v>
      </c>
      <c r="AX154" t="s">
        <v>408</v>
      </c>
      <c r="AY154">
        <v>1.2920696324951599</v>
      </c>
      <c r="AZ154" t="s">
        <v>419</v>
      </c>
      <c r="BA154">
        <v>0.85991058122205599</v>
      </c>
      <c r="BB154" t="s">
        <v>417</v>
      </c>
      <c r="BC154">
        <v>0.793193717277486</v>
      </c>
      <c r="BD154" t="s">
        <v>335</v>
      </c>
      <c r="BE154">
        <v>1.21161825726141</v>
      </c>
      <c r="BF154" t="s">
        <v>408</v>
      </c>
      <c r="BG154">
        <v>0.86200873362445396</v>
      </c>
      <c r="BH154" t="s">
        <v>423</v>
      </c>
      <c r="BI154">
        <v>1.0071867822478999</v>
      </c>
      <c r="BJ154" t="s">
        <v>430</v>
      </c>
      <c r="BK154">
        <v>1.0977995110024401</v>
      </c>
      <c r="BL154" t="s">
        <v>420</v>
      </c>
      <c r="BM154">
        <v>0.964566929133858</v>
      </c>
      <c r="BN154" t="s">
        <v>431</v>
      </c>
      <c r="BO154">
        <v>1.0862422997946599</v>
      </c>
      <c r="BP154" t="s">
        <v>431</v>
      </c>
      <c r="BQ154">
        <v>0.99621928166351603</v>
      </c>
      <c r="BR154" t="s">
        <v>424</v>
      </c>
      <c r="BS154">
        <v>0.86624203821655998</v>
      </c>
      <c r="BT154" t="s">
        <v>343</v>
      </c>
      <c r="BU154">
        <v>1.14235705950991</v>
      </c>
      <c r="BV154" t="s">
        <v>422</v>
      </c>
      <c r="BW154">
        <v>0.91963109354413697</v>
      </c>
    </row>
    <row r="155" spans="1:75" x14ac:dyDescent="0.4">
      <c r="A155">
        <v>153</v>
      </c>
      <c r="B155" t="s">
        <v>377</v>
      </c>
      <c r="C155">
        <v>1.0572370146904499</v>
      </c>
      <c r="D155" t="s">
        <v>375</v>
      </c>
      <c r="E155">
        <v>0.72478386167146902</v>
      </c>
      <c r="F155" t="s">
        <v>376</v>
      </c>
      <c r="G155">
        <v>0.79751783051940195</v>
      </c>
      <c r="H155" t="s">
        <v>374</v>
      </c>
      <c r="I155">
        <v>1.08053691275167</v>
      </c>
      <c r="J155" t="s">
        <v>289</v>
      </c>
      <c r="K155">
        <v>1.11776447105788</v>
      </c>
      <c r="L155" t="s">
        <v>387</v>
      </c>
      <c r="M155">
        <v>1.22977346278317</v>
      </c>
      <c r="N155" t="s">
        <v>390</v>
      </c>
      <c r="O155">
        <v>0.90546197039305698</v>
      </c>
      <c r="P155" t="s">
        <v>375</v>
      </c>
      <c r="Q155">
        <v>1.0173775671406</v>
      </c>
      <c r="R155" t="s">
        <v>389</v>
      </c>
      <c r="S155">
        <v>0.95667870036100999</v>
      </c>
      <c r="T155" t="s">
        <v>384</v>
      </c>
      <c r="U155">
        <v>1.0087318087318</v>
      </c>
      <c r="V155" t="s">
        <v>396</v>
      </c>
      <c r="W155">
        <v>1.11724137931034</v>
      </c>
      <c r="X155" t="s">
        <v>384</v>
      </c>
      <c r="Y155">
        <v>1.0960960960960899</v>
      </c>
      <c r="Z155" t="s">
        <v>397</v>
      </c>
      <c r="AA155">
        <v>1.0327272727272701</v>
      </c>
      <c r="AB155" t="s">
        <v>410</v>
      </c>
      <c r="AC155">
        <v>0.98663697104676995</v>
      </c>
      <c r="AD155" t="s">
        <v>404</v>
      </c>
      <c r="AE155">
        <v>0.78682170542635599</v>
      </c>
      <c r="AF155" t="s">
        <v>404</v>
      </c>
      <c r="AG155">
        <v>1.0431034482758601</v>
      </c>
      <c r="AH155" t="s">
        <v>407</v>
      </c>
      <c r="AI155">
        <v>0.76730769230769202</v>
      </c>
      <c r="AJ155" t="s">
        <v>417</v>
      </c>
      <c r="AK155">
        <v>0.97683397683397599</v>
      </c>
      <c r="AL155" t="s">
        <v>343</v>
      </c>
      <c r="AM155">
        <v>1.3754446460980001</v>
      </c>
      <c r="AN155" t="s">
        <v>419</v>
      </c>
      <c r="AO155">
        <v>1.0787207872078699</v>
      </c>
      <c r="AP155" t="s">
        <v>333</v>
      </c>
      <c r="AQ155">
        <v>1.0810055865921699</v>
      </c>
      <c r="AR155" t="s">
        <v>407</v>
      </c>
      <c r="AS155">
        <v>0.62943495400788396</v>
      </c>
      <c r="AT155" t="s">
        <v>418</v>
      </c>
      <c r="AU155">
        <v>0.97788944723617999</v>
      </c>
      <c r="AV155" t="s">
        <v>418</v>
      </c>
      <c r="AW155">
        <v>0.985611510791366</v>
      </c>
      <c r="AX155" t="s">
        <v>417</v>
      </c>
      <c r="AY155">
        <v>1.05047318611987</v>
      </c>
      <c r="AZ155" t="s">
        <v>420</v>
      </c>
      <c r="BA155">
        <v>1.29097605893186</v>
      </c>
      <c r="BB155" t="s">
        <v>418</v>
      </c>
      <c r="BC155">
        <v>0.82005141388174796</v>
      </c>
      <c r="BD155" t="s">
        <v>417</v>
      </c>
      <c r="BE155">
        <v>0.83828382838283799</v>
      </c>
      <c r="BF155" t="s">
        <v>411</v>
      </c>
      <c r="BG155">
        <v>1.1244979919678699</v>
      </c>
      <c r="BH155" t="s">
        <v>424</v>
      </c>
      <c r="BI155">
        <v>0.68268800505382798</v>
      </c>
      <c r="BJ155" t="s">
        <v>433</v>
      </c>
      <c r="BK155">
        <v>1.0480404551200999</v>
      </c>
      <c r="BL155" t="s">
        <v>343</v>
      </c>
      <c r="BM155">
        <v>1.00130378096479</v>
      </c>
      <c r="BN155" t="s">
        <v>430</v>
      </c>
      <c r="BO155">
        <v>0.99706055261610804</v>
      </c>
      <c r="BP155" t="s">
        <v>434</v>
      </c>
      <c r="BQ155">
        <v>0.96897038081805298</v>
      </c>
      <c r="BR155" t="s">
        <v>431</v>
      </c>
      <c r="BS155">
        <v>0.91271347248576795</v>
      </c>
      <c r="BT155" t="s">
        <v>423</v>
      </c>
      <c r="BU155">
        <v>1.09554140127388</v>
      </c>
      <c r="BV155" t="s">
        <v>423</v>
      </c>
      <c r="BW155">
        <v>1.0058139534883701</v>
      </c>
    </row>
    <row r="156" spans="1:75" x14ac:dyDescent="0.4">
      <c r="A156">
        <v>154</v>
      </c>
      <c r="B156" t="s">
        <v>375</v>
      </c>
      <c r="C156">
        <v>1.07098765432098</v>
      </c>
      <c r="D156" t="s">
        <v>381</v>
      </c>
      <c r="E156">
        <v>0.91406070903623304</v>
      </c>
      <c r="F156" t="s">
        <v>289</v>
      </c>
      <c r="G156">
        <v>0.81647058823529395</v>
      </c>
      <c r="H156" t="s">
        <v>375</v>
      </c>
      <c r="I156">
        <v>1.49071618037135</v>
      </c>
      <c r="J156" t="s">
        <v>398</v>
      </c>
      <c r="K156">
        <v>1.1441581843861099</v>
      </c>
      <c r="L156" t="s">
        <v>395</v>
      </c>
      <c r="M156">
        <v>1.1854166666666599</v>
      </c>
      <c r="N156" t="s">
        <v>395</v>
      </c>
      <c r="O156">
        <v>1.2653778558875199</v>
      </c>
      <c r="P156" t="s">
        <v>381</v>
      </c>
      <c r="Q156">
        <v>0.87150106059975796</v>
      </c>
      <c r="R156" t="s">
        <v>387</v>
      </c>
      <c r="S156">
        <v>1.0437956204379499</v>
      </c>
      <c r="T156" t="s">
        <v>389</v>
      </c>
      <c r="U156">
        <v>1.0245283018867899</v>
      </c>
      <c r="V156" t="s">
        <v>397</v>
      </c>
      <c r="W156">
        <v>1.15409836065573</v>
      </c>
      <c r="X156" t="s">
        <v>389</v>
      </c>
      <c r="Y156">
        <v>0.94098883572567704</v>
      </c>
      <c r="Z156" t="s">
        <v>310</v>
      </c>
      <c r="AA156">
        <v>1.07368421052631</v>
      </c>
      <c r="AB156" t="s">
        <v>402</v>
      </c>
      <c r="AC156">
        <v>1.0667497960251799</v>
      </c>
      <c r="AD156" t="s">
        <v>333</v>
      </c>
      <c r="AE156">
        <v>0.97959183673469297</v>
      </c>
      <c r="AF156" t="s">
        <v>333</v>
      </c>
      <c r="AG156">
        <v>0.905555555555555</v>
      </c>
      <c r="AH156" t="s">
        <v>408</v>
      </c>
      <c r="AI156">
        <v>0.75691056910569099</v>
      </c>
      <c r="AJ156" t="s">
        <v>418</v>
      </c>
      <c r="AK156">
        <v>0.98458376156217797</v>
      </c>
      <c r="AL156" t="s">
        <v>423</v>
      </c>
      <c r="AM156">
        <v>0.99566803465572196</v>
      </c>
      <c r="AN156" t="s">
        <v>428</v>
      </c>
      <c r="AO156">
        <v>1.21333333333333</v>
      </c>
      <c r="AP156" t="s">
        <v>407</v>
      </c>
      <c r="AQ156">
        <v>1.35409252669039</v>
      </c>
      <c r="AR156" t="s">
        <v>417</v>
      </c>
      <c r="AS156">
        <v>1.14089347079037</v>
      </c>
      <c r="AT156" t="s">
        <v>421</v>
      </c>
      <c r="AU156">
        <v>1.0143709753415999</v>
      </c>
      <c r="AV156" t="s">
        <v>420</v>
      </c>
      <c r="AW156">
        <v>0.99795081967213095</v>
      </c>
      <c r="AX156" t="s">
        <v>418</v>
      </c>
      <c r="AY156">
        <v>1.2554744525547401</v>
      </c>
      <c r="AZ156" t="s">
        <v>435</v>
      </c>
      <c r="BA156">
        <v>1.3826998689384</v>
      </c>
      <c r="BB156" t="s">
        <v>419</v>
      </c>
      <c r="BC156">
        <v>0.90467937608318805</v>
      </c>
      <c r="BD156" t="s">
        <v>418</v>
      </c>
      <c r="BE156">
        <v>0.86990595611285204</v>
      </c>
      <c r="BF156" t="s">
        <v>417</v>
      </c>
      <c r="BG156">
        <v>0.92125984251968496</v>
      </c>
      <c r="BH156" t="s">
        <v>430</v>
      </c>
      <c r="BI156">
        <v>0.97905445840813798</v>
      </c>
      <c r="BJ156" t="s">
        <v>436</v>
      </c>
      <c r="BK156">
        <v>0.93567251461988299</v>
      </c>
      <c r="BL156" t="s">
        <v>423</v>
      </c>
      <c r="BM156">
        <v>1.15544569993722</v>
      </c>
      <c r="BN156" t="s">
        <v>432</v>
      </c>
      <c r="BO156">
        <v>1.08768656716417</v>
      </c>
      <c r="BP156" t="s">
        <v>430</v>
      </c>
      <c r="BQ156">
        <v>0.92323113207547103</v>
      </c>
      <c r="BR156" t="s">
        <v>434</v>
      </c>
      <c r="BS156">
        <v>0.90393013100436603</v>
      </c>
      <c r="BT156" t="s">
        <v>427</v>
      </c>
      <c r="BU156">
        <v>0.96809680968096801</v>
      </c>
      <c r="BV156" t="s">
        <v>431</v>
      </c>
      <c r="BW156">
        <v>1.0445344129554599</v>
      </c>
    </row>
    <row r="157" spans="1:75" x14ac:dyDescent="0.4">
      <c r="A157">
        <v>155</v>
      </c>
      <c r="B157" t="s">
        <v>381</v>
      </c>
      <c r="C157">
        <v>1.0105198610070101</v>
      </c>
      <c r="D157" t="s">
        <v>300</v>
      </c>
      <c r="E157">
        <v>0.92727272727272703</v>
      </c>
      <c r="F157" t="s">
        <v>375</v>
      </c>
      <c r="G157">
        <v>0.749502982107355</v>
      </c>
      <c r="H157" t="s">
        <v>381</v>
      </c>
      <c r="I157">
        <v>1.18938053097345</v>
      </c>
      <c r="J157" t="s">
        <v>374</v>
      </c>
      <c r="K157">
        <v>1.2204968944099299</v>
      </c>
      <c r="L157" t="s">
        <v>308</v>
      </c>
      <c r="M157">
        <v>1.0341880341880301</v>
      </c>
      <c r="N157" t="s">
        <v>308</v>
      </c>
      <c r="O157">
        <v>0.81227863046044801</v>
      </c>
      <c r="P157" t="s">
        <v>389</v>
      </c>
      <c r="Q157">
        <v>0.95682210708117399</v>
      </c>
      <c r="R157" t="s">
        <v>390</v>
      </c>
      <c r="S157">
        <v>1.0907662557408699</v>
      </c>
      <c r="T157" t="s">
        <v>387</v>
      </c>
      <c r="U157">
        <v>1.3321678321678301</v>
      </c>
      <c r="V157" t="s">
        <v>310</v>
      </c>
      <c r="W157">
        <v>1.02122015915119</v>
      </c>
      <c r="X157" t="s">
        <v>387</v>
      </c>
      <c r="Y157">
        <v>1.06845238095238</v>
      </c>
      <c r="Z157" t="s">
        <v>314</v>
      </c>
      <c r="AA157">
        <v>1.0152783396085501</v>
      </c>
      <c r="AB157" t="s">
        <v>329</v>
      </c>
      <c r="AC157">
        <v>0.93346774193548299</v>
      </c>
      <c r="AD157" t="s">
        <v>407</v>
      </c>
      <c r="AE157">
        <v>0.69449081803004997</v>
      </c>
      <c r="AF157" t="s">
        <v>407</v>
      </c>
      <c r="AG157">
        <v>1.25</v>
      </c>
      <c r="AH157" t="s">
        <v>416</v>
      </c>
      <c r="AI157">
        <v>0.85646687697160795</v>
      </c>
      <c r="AJ157" t="s">
        <v>428</v>
      </c>
      <c r="AK157">
        <v>0.98059244126659795</v>
      </c>
      <c r="AL157" t="s">
        <v>438</v>
      </c>
      <c r="AM157">
        <v>1.1253298153034299</v>
      </c>
      <c r="AN157" t="s">
        <v>343</v>
      </c>
      <c r="AO157">
        <v>0.91199018301291701</v>
      </c>
      <c r="AP157" t="s">
        <v>417</v>
      </c>
      <c r="AQ157">
        <v>1.2597402597402501</v>
      </c>
      <c r="AR157" t="s">
        <v>418</v>
      </c>
      <c r="AS157">
        <v>0.88209219858155996</v>
      </c>
      <c r="AT157" t="s">
        <v>435</v>
      </c>
      <c r="AU157">
        <v>0.98278145695364205</v>
      </c>
      <c r="AV157" t="s">
        <v>421</v>
      </c>
      <c r="AW157">
        <v>0.96458155918556898</v>
      </c>
      <c r="AX157" t="s">
        <v>419</v>
      </c>
      <c r="AY157">
        <v>0.92679558011049701</v>
      </c>
      <c r="AZ157" t="s">
        <v>343</v>
      </c>
      <c r="BA157">
        <v>0.967409948542024</v>
      </c>
      <c r="BB157" t="s">
        <v>439</v>
      </c>
      <c r="BC157">
        <v>0.97499999999999998</v>
      </c>
      <c r="BD157" t="s">
        <v>419</v>
      </c>
      <c r="BE157">
        <v>1.1130268199233699</v>
      </c>
      <c r="BF157" t="s">
        <v>418</v>
      </c>
      <c r="BG157">
        <v>1.22342342342342</v>
      </c>
      <c r="BH157" t="s">
        <v>433</v>
      </c>
      <c r="BI157">
        <v>0.94391408114558395</v>
      </c>
      <c r="BJ157" t="s">
        <v>440</v>
      </c>
      <c r="BK157">
        <v>0.75376884422110502</v>
      </c>
      <c r="BL157" t="s">
        <v>426</v>
      </c>
      <c r="BM157">
        <v>0.59620991253644295</v>
      </c>
      <c r="BN157" t="s">
        <v>433</v>
      </c>
      <c r="BO157">
        <v>1.0421607378129101</v>
      </c>
      <c r="BP157" t="s">
        <v>433</v>
      </c>
      <c r="BQ157">
        <v>1.0366624525916499</v>
      </c>
      <c r="BR157" t="s">
        <v>433</v>
      </c>
      <c r="BS157">
        <v>1.0756097560975599</v>
      </c>
      <c r="BT157" t="s">
        <v>431</v>
      </c>
      <c r="BU157">
        <v>1.0270270270270201</v>
      </c>
      <c r="BV157" t="s">
        <v>434</v>
      </c>
      <c r="BW157">
        <v>1.12616822429906</v>
      </c>
    </row>
    <row r="158" spans="1:75" x14ac:dyDescent="0.4">
      <c r="A158">
        <v>156</v>
      </c>
      <c r="B158" t="s">
        <v>300</v>
      </c>
      <c r="C158">
        <v>1.39240506329113</v>
      </c>
      <c r="D158" t="s">
        <v>389</v>
      </c>
      <c r="E158">
        <v>0.876595744680851</v>
      </c>
      <c r="F158" t="s">
        <v>381</v>
      </c>
      <c r="G158">
        <v>0.616812227074235</v>
      </c>
      <c r="H158" t="s">
        <v>300</v>
      </c>
      <c r="I158">
        <v>0.85749385749385698</v>
      </c>
      <c r="J158" t="s">
        <v>375</v>
      </c>
      <c r="K158">
        <v>1.6512455516014199</v>
      </c>
      <c r="L158" t="s">
        <v>396</v>
      </c>
      <c r="M158">
        <v>1.39462809917355</v>
      </c>
      <c r="N158" t="s">
        <v>396</v>
      </c>
      <c r="O158">
        <v>0.99629629629629601</v>
      </c>
      <c r="P158" t="s">
        <v>387</v>
      </c>
      <c r="Q158">
        <v>0.89250814332247497</v>
      </c>
      <c r="R158" t="s">
        <v>395</v>
      </c>
      <c r="S158">
        <v>1.0141065830721001</v>
      </c>
      <c r="T158" t="s">
        <v>390</v>
      </c>
      <c r="U158">
        <v>0.92542936288088595</v>
      </c>
      <c r="V158" t="s">
        <v>323</v>
      </c>
      <c r="W158">
        <v>1.02150537634408</v>
      </c>
      <c r="X158" t="s">
        <v>386</v>
      </c>
      <c r="Y158">
        <v>1.19248826291079</v>
      </c>
      <c r="Z158" t="s">
        <v>323</v>
      </c>
      <c r="AA158">
        <v>1.01957295373665</v>
      </c>
      <c r="AB158" t="s">
        <v>404</v>
      </c>
      <c r="AC158">
        <v>0.95555555555555505</v>
      </c>
      <c r="AD158" t="s">
        <v>408</v>
      </c>
      <c r="AE158">
        <v>0.93135435992578797</v>
      </c>
      <c r="AF158" t="s">
        <v>408</v>
      </c>
      <c r="AG158">
        <v>1.22509960159362</v>
      </c>
      <c r="AH158" t="s">
        <v>429</v>
      </c>
      <c r="AI158">
        <v>0.80212340360055301</v>
      </c>
      <c r="AJ158" t="s">
        <v>343</v>
      </c>
      <c r="AK158">
        <v>1.3784649254478101</v>
      </c>
      <c r="AL158" t="s">
        <v>424</v>
      </c>
      <c r="AM158">
        <v>0.98058550043427095</v>
      </c>
      <c r="AN158" t="s">
        <v>423</v>
      </c>
      <c r="AO158">
        <v>1.10270208381039</v>
      </c>
      <c r="AP158" t="s">
        <v>418</v>
      </c>
      <c r="AQ158">
        <v>1.31621936989498</v>
      </c>
      <c r="AR158" t="s">
        <v>428</v>
      </c>
      <c r="AS158">
        <v>1.05555555555555</v>
      </c>
      <c r="AT158" t="s">
        <v>343</v>
      </c>
      <c r="AU158">
        <v>1.2227399813606701</v>
      </c>
      <c r="AV158" t="s">
        <v>435</v>
      </c>
      <c r="AW158">
        <v>1.0592991913746601</v>
      </c>
      <c r="AX158" t="s">
        <v>420</v>
      </c>
      <c r="AY158">
        <v>1.11498973305954</v>
      </c>
      <c r="AZ158" t="s">
        <v>423</v>
      </c>
      <c r="BA158">
        <v>1.0831021181565901</v>
      </c>
      <c r="BB158" t="s">
        <v>421</v>
      </c>
      <c r="BC158">
        <v>1.0908799384299599</v>
      </c>
      <c r="BD158" t="s">
        <v>421</v>
      </c>
      <c r="BE158">
        <v>0.96860485625257198</v>
      </c>
      <c r="BF158" t="s">
        <v>419</v>
      </c>
      <c r="BG158">
        <v>0.93803786574870895</v>
      </c>
      <c r="BH158" t="s">
        <v>436</v>
      </c>
      <c r="BI158">
        <v>0.97714285714285698</v>
      </c>
      <c r="BJ158" t="s">
        <v>441</v>
      </c>
      <c r="BK158">
        <v>1.1111111111111101</v>
      </c>
      <c r="BL158" t="s">
        <v>442</v>
      </c>
      <c r="BM158">
        <v>0.99477806788511702</v>
      </c>
      <c r="BN158" t="s">
        <v>436</v>
      </c>
      <c r="BO158">
        <v>1.1468354430379699</v>
      </c>
      <c r="BP158" t="s">
        <v>436</v>
      </c>
      <c r="BQ158">
        <v>1.06181015452538</v>
      </c>
      <c r="BR158" t="s">
        <v>436</v>
      </c>
      <c r="BS158">
        <v>1.29521829521829</v>
      </c>
      <c r="BT158" t="s">
        <v>433</v>
      </c>
      <c r="BU158">
        <v>1.0589569160997701</v>
      </c>
      <c r="BV158" t="s">
        <v>433</v>
      </c>
      <c r="BW158">
        <v>1.0588865096359701</v>
      </c>
    </row>
    <row r="159" spans="1:75" x14ac:dyDescent="0.4">
      <c r="A159">
        <v>157</v>
      </c>
      <c r="B159" t="s">
        <v>389</v>
      </c>
      <c r="C159">
        <v>0.91085271317829397</v>
      </c>
      <c r="D159" t="s">
        <v>387</v>
      </c>
      <c r="E159">
        <v>0.877470355731225</v>
      </c>
      <c r="F159" t="s">
        <v>389</v>
      </c>
      <c r="G159">
        <v>0.67961165048543604</v>
      </c>
      <c r="H159" t="s">
        <v>389</v>
      </c>
      <c r="I159">
        <v>0.90595238095238095</v>
      </c>
      <c r="J159" t="s">
        <v>381</v>
      </c>
      <c r="K159">
        <v>1.08932593307593</v>
      </c>
      <c r="L159" t="s">
        <v>397</v>
      </c>
      <c r="M159">
        <v>0.89474331638510696</v>
      </c>
      <c r="N159" t="s">
        <v>397</v>
      </c>
      <c r="O159">
        <v>1.02767975803125</v>
      </c>
      <c r="P159" t="s">
        <v>390</v>
      </c>
      <c r="Q159">
        <v>0.93291239147592697</v>
      </c>
      <c r="R159" t="s">
        <v>308</v>
      </c>
      <c r="S159">
        <v>1.04</v>
      </c>
      <c r="T159" t="s">
        <v>395</v>
      </c>
      <c r="U159">
        <v>1.2009273570324499</v>
      </c>
      <c r="V159" t="s">
        <v>402</v>
      </c>
      <c r="W159">
        <v>1.0524026309542001</v>
      </c>
      <c r="X159" t="s">
        <v>390</v>
      </c>
      <c r="Y159">
        <v>1.1925970966025601</v>
      </c>
      <c r="Z159" t="s">
        <v>410</v>
      </c>
      <c r="AA159">
        <v>1.2201086956521701</v>
      </c>
      <c r="AB159" t="s">
        <v>333</v>
      </c>
      <c r="AC159">
        <v>0.97609561752988006</v>
      </c>
      <c r="AD159" t="s">
        <v>416</v>
      </c>
      <c r="AE159">
        <v>1.33400200601805</v>
      </c>
      <c r="AF159" t="s">
        <v>416</v>
      </c>
      <c r="AG159">
        <v>0.953383458646616</v>
      </c>
      <c r="AH159" t="s">
        <v>417</v>
      </c>
      <c r="AI159">
        <v>1.0614754098360599</v>
      </c>
      <c r="AJ159" t="s">
        <v>423</v>
      </c>
      <c r="AK159">
        <v>0.88902401945880205</v>
      </c>
      <c r="AL159" t="s">
        <v>431</v>
      </c>
      <c r="AM159">
        <v>0.96551724137931005</v>
      </c>
      <c r="AN159" t="s">
        <v>438</v>
      </c>
      <c r="AO159">
        <v>1.08792497069167</v>
      </c>
      <c r="AP159" t="s">
        <v>428</v>
      </c>
      <c r="AQ159">
        <v>1.3598901098901099</v>
      </c>
      <c r="AR159" t="s">
        <v>421</v>
      </c>
      <c r="AS159">
        <v>1.0182719603374499</v>
      </c>
      <c r="AT159" t="s">
        <v>423</v>
      </c>
      <c r="AU159">
        <v>1.03514998855049</v>
      </c>
      <c r="AV159" t="s">
        <v>343</v>
      </c>
      <c r="AW159">
        <v>1.05792682926829</v>
      </c>
      <c r="AX159" t="s">
        <v>421</v>
      </c>
      <c r="AY159">
        <v>1.24407078935751</v>
      </c>
      <c r="AZ159" t="s">
        <v>424</v>
      </c>
      <c r="BA159">
        <v>1.13865390323538</v>
      </c>
      <c r="BB159" t="s">
        <v>343</v>
      </c>
      <c r="BC159">
        <v>1.0195035460992901</v>
      </c>
      <c r="BD159" t="s">
        <v>343</v>
      </c>
      <c r="BE159">
        <v>0.73739130434782596</v>
      </c>
      <c r="BF159" t="s">
        <v>421</v>
      </c>
      <c r="BG159">
        <v>1.0470409711684301</v>
      </c>
      <c r="BH159" t="s">
        <v>440</v>
      </c>
      <c r="BI159">
        <v>1.05570291777188</v>
      </c>
      <c r="BJ159" t="s">
        <v>444</v>
      </c>
      <c r="BK159">
        <v>1.2179775280898799</v>
      </c>
      <c r="BL159" t="s">
        <v>433</v>
      </c>
      <c r="BM159">
        <v>0.91556091676718898</v>
      </c>
      <c r="BN159" t="s">
        <v>440</v>
      </c>
      <c r="BO159">
        <v>0.95019157088122597</v>
      </c>
      <c r="BP159" t="s">
        <v>440</v>
      </c>
      <c r="BQ159">
        <v>1.01209677419354</v>
      </c>
      <c r="BR159" t="s">
        <v>440</v>
      </c>
      <c r="BS159">
        <v>0.94820717131474097</v>
      </c>
      <c r="BT159" t="s">
        <v>440</v>
      </c>
      <c r="BU159">
        <v>1.1176470588235199</v>
      </c>
      <c r="BV159" t="s">
        <v>436</v>
      </c>
      <c r="BW159">
        <v>1.1463414634146301</v>
      </c>
    </row>
    <row r="160" spans="1:75" x14ac:dyDescent="0.4">
      <c r="A160">
        <v>158</v>
      </c>
      <c r="B160" t="s">
        <v>387</v>
      </c>
      <c r="C160">
        <v>1.1605504587155899</v>
      </c>
      <c r="D160" t="s">
        <v>390</v>
      </c>
      <c r="E160">
        <v>0.84261241970021405</v>
      </c>
      <c r="F160" t="s">
        <v>387</v>
      </c>
      <c r="G160">
        <v>0.65765765765765705</v>
      </c>
      <c r="H160" t="s">
        <v>387</v>
      </c>
      <c r="I160">
        <v>1.0753424657534201</v>
      </c>
      <c r="J160" t="s">
        <v>300</v>
      </c>
      <c r="K160">
        <v>1.55444126074498</v>
      </c>
      <c r="L160" t="s">
        <v>310</v>
      </c>
      <c r="M160">
        <v>1.09253731343283</v>
      </c>
      <c r="N160" t="s">
        <v>310</v>
      </c>
      <c r="O160">
        <v>0.93169398907103795</v>
      </c>
      <c r="P160" t="s">
        <v>395</v>
      </c>
      <c r="Q160">
        <v>0.88611111111111096</v>
      </c>
      <c r="R160" t="s">
        <v>396</v>
      </c>
      <c r="S160">
        <v>1.00757575757575</v>
      </c>
      <c r="T160" t="s">
        <v>308</v>
      </c>
      <c r="U160">
        <v>0.98846153846153795</v>
      </c>
      <c r="V160" t="s">
        <v>409</v>
      </c>
      <c r="W160">
        <v>1.2866793329111199</v>
      </c>
      <c r="X160" t="s">
        <v>308</v>
      </c>
      <c r="Y160">
        <v>1.0697674418604599</v>
      </c>
      <c r="Z160" t="s">
        <v>402</v>
      </c>
      <c r="AA160">
        <v>0.81913789117504798</v>
      </c>
      <c r="AB160" t="s">
        <v>407</v>
      </c>
      <c r="AC160">
        <v>0.84011220196353398</v>
      </c>
      <c r="AD160" t="s">
        <v>335</v>
      </c>
      <c r="AE160">
        <v>1.4480712166172101</v>
      </c>
      <c r="AF160" t="s">
        <v>418</v>
      </c>
      <c r="AG160">
        <v>0.99605522682445702</v>
      </c>
      <c r="AH160" t="s">
        <v>418</v>
      </c>
      <c r="AI160">
        <v>0.963366336633663</v>
      </c>
      <c r="AJ160" t="s">
        <v>438</v>
      </c>
      <c r="AK160">
        <v>1.1415662650602401</v>
      </c>
      <c r="AL160" t="s">
        <v>425</v>
      </c>
      <c r="AM160">
        <v>0.99794661190965095</v>
      </c>
      <c r="AN160" t="s">
        <v>424</v>
      </c>
      <c r="AO160">
        <v>1.4339602980253201</v>
      </c>
      <c r="AP160" t="s">
        <v>435</v>
      </c>
      <c r="AQ160">
        <v>1.32450331125827</v>
      </c>
      <c r="AR160" t="s">
        <v>435</v>
      </c>
      <c r="AS160">
        <v>0.94374999999999998</v>
      </c>
      <c r="AT160" t="s">
        <v>424</v>
      </c>
      <c r="AU160">
        <v>1.10796521395394</v>
      </c>
      <c r="AV160" t="s">
        <v>423</v>
      </c>
      <c r="AW160">
        <v>0.80416989271098305</v>
      </c>
      <c r="AX160" t="s">
        <v>435</v>
      </c>
      <c r="AY160">
        <v>0.97073791348600502</v>
      </c>
      <c r="AZ160" t="s">
        <v>431</v>
      </c>
      <c r="BA160">
        <v>1.15573770491803</v>
      </c>
      <c r="BB160" t="s">
        <v>423</v>
      </c>
      <c r="BC160">
        <v>1.1769447047797501</v>
      </c>
      <c r="BD160" t="s">
        <v>423</v>
      </c>
      <c r="BE160">
        <v>1.1108456760630601</v>
      </c>
      <c r="BF160" t="s">
        <v>343</v>
      </c>
      <c r="BG160">
        <v>1.2264150943396199</v>
      </c>
      <c r="BH160" t="s">
        <v>441</v>
      </c>
      <c r="BI160">
        <v>0.73684210526315697</v>
      </c>
      <c r="BJ160" t="s">
        <v>446</v>
      </c>
      <c r="BK160">
        <v>0.96214511041009398</v>
      </c>
      <c r="BL160" t="s">
        <v>440</v>
      </c>
      <c r="BM160">
        <v>0.87</v>
      </c>
      <c r="BN160" t="s">
        <v>447</v>
      </c>
      <c r="BO160">
        <v>0.87623762376237602</v>
      </c>
      <c r="BP160" t="s">
        <v>447</v>
      </c>
      <c r="BQ160">
        <v>0.93032015065913298</v>
      </c>
      <c r="BR160" t="s">
        <v>447</v>
      </c>
      <c r="BS160">
        <v>0.97773279352226705</v>
      </c>
      <c r="BT160" t="s">
        <v>447</v>
      </c>
      <c r="BU160">
        <v>1.0724637681159399</v>
      </c>
      <c r="BV160" t="s">
        <v>440</v>
      </c>
      <c r="BW160">
        <v>1.12406015037593</v>
      </c>
    </row>
    <row r="161" spans="1:75" x14ac:dyDescent="0.4">
      <c r="A161">
        <v>159</v>
      </c>
      <c r="B161" t="s">
        <v>390</v>
      </c>
      <c r="C161">
        <v>1.1165570830842699</v>
      </c>
      <c r="D161" t="s">
        <v>395</v>
      </c>
      <c r="E161">
        <v>0.85878962536022996</v>
      </c>
      <c r="F161" t="s">
        <v>390</v>
      </c>
      <c r="G161">
        <v>0.391677255400254</v>
      </c>
      <c r="H161" t="s">
        <v>395</v>
      </c>
      <c r="I161">
        <v>0.92178770949720601</v>
      </c>
      <c r="J161" t="s">
        <v>389</v>
      </c>
      <c r="K161">
        <v>1.5400788436268</v>
      </c>
      <c r="L161" t="s">
        <v>450</v>
      </c>
      <c r="M161">
        <v>0.93276901528530498</v>
      </c>
      <c r="N161" t="s">
        <v>450</v>
      </c>
      <c r="O161">
        <v>0.85578115819024603</v>
      </c>
      <c r="P161" t="s">
        <v>308</v>
      </c>
      <c r="Q161">
        <v>1.0901162790697601</v>
      </c>
      <c r="R161" t="s">
        <v>397</v>
      </c>
      <c r="S161">
        <v>1.0133630289532201</v>
      </c>
      <c r="T161" t="s">
        <v>396</v>
      </c>
      <c r="U161">
        <v>1.09022556390977</v>
      </c>
      <c r="V161" t="s">
        <v>329</v>
      </c>
      <c r="W161">
        <v>1.0658682634730501</v>
      </c>
      <c r="X161" t="s">
        <v>396</v>
      </c>
      <c r="Y161">
        <v>1.0432098765432001</v>
      </c>
      <c r="Z161" t="s">
        <v>329</v>
      </c>
      <c r="AA161">
        <v>0.98412698412698396</v>
      </c>
      <c r="AB161" t="s">
        <v>408</v>
      </c>
      <c r="AC161">
        <v>0.82668711656441696</v>
      </c>
      <c r="AD161" t="s">
        <v>429</v>
      </c>
      <c r="AE161">
        <v>0.66484746711446896</v>
      </c>
      <c r="AF161" t="s">
        <v>428</v>
      </c>
      <c r="AG161">
        <v>1.0056818181818099</v>
      </c>
      <c r="AH161" t="s">
        <v>428</v>
      </c>
      <c r="AI161">
        <v>0.92184557438794701</v>
      </c>
      <c r="AJ161" t="s">
        <v>424</v>
      </c>
      <c r="AK161">
        <v>0.98564810152079696</v>
      </c>
      <c r="AL161" t="s">
        <v>451</v>
      </c>
      <c r="AM161">
        <v>1.1322033898305</v>
      </c>
      <c r="AN161" t="s">
        <v>431</v>
      </c>
      <c r="AO161">
        <v>1.1452380952380901</v>
      </c>
      <c r="AP161" t="s">
        <v>343</v>
      </c>
      <c r="AQ161">
        <v>0.77762345009187295</v>
      </c>
      <c r="AR161" t="s">
        <v>343</v>
      </c>
      <c r="AS161">
        <v>0.99819524810687099</v>
      </c>
      <c r="AT161" t="s">
        <v>430</v>
      </c>
      <c r="AU161">
        <v>0.95656279508970699</v>
      </c>
      <c r="AV161" t="s">
        <v>424</v>
      </c>
      <c r="AW161">
        <v>1.0720242608036299</v>
      </c>
      <c r="AX161" t="s">
        <v>343</v>
      </c>
      <c r="AY161">
        <v>0.84005763688760804</v>
      </c>
      <c r="AZ161" t="s">
        <v>426</v>
      </c>
      <c r="BA161">
        <v>0.96734693877551003</v>
      </c>
      <c r="BB161" t="s">
        <v>424</v>
      </c>
      <c r="BC161">
        <v>1.0268500114047301</v>
      </c>
      <c r="BD161" t="s">
        <v>427</v>
      </c>
      <c r="BE161">
        <v>0.98604651162790702</v>
      </c>
      <c r="BF161" t="s">
        <v>423</v>
      </c>
      <c r="BG161">
        <v>1.2900358422939</v>
      </c>
      <c r="BH161" t="s">
        <v>444</v>
      </c>
      <c r="BI161">
        <v>0.80470162748643703</v>
      </c>
      <c r="BJ161" t="s">
        <v>452</v>
      </c>
      <c r="BK161">
        <v>0.96038034865293098</v>
      </c>
      <c r="BL161" t="s">
        <v>441</v>
      </c>
      <c r="BM161">
        <v>1.0803571428571399</v>
      </c>
      <c r="BN161" t="s">
        <v>441</v>
      </c>
      <c r="BO161">
        <v>1.12561983471074</v>
      </c>
      <c r="BP161" t="s">
        <v>441</v>
      </c>
      <c r="BQ161">
        <v>1.1160058737151199</v>
      </c>
      <c r="BR161" t="s">
        <v>441</v>
      </c>
      <c r="BS161">
        <v>0.83947368421052604</v>
      </c>
      <c r="BT161" t="s">
        <v>441</v>
      </c>
      <c r="BU161">
        <v>0.99059561128526596</v>
      </c>
      <c r="BV161" t="s">
        <v>447</v>
      </c>
      <c r="BW161">
        <v>0.97683397683397599</v>
      </c>
    </row>
    <row r="162" spans="1:75" x14ac:dyDescent="0.4">
      <c r="A162">
        <v>160</v>
      </c>
      <c r="B162" t="s">
        <v>395</v>
      </c>
      <c r="C162">
        <v>1.07931570762052</v>
      </c>
      <c r="D162" t="s">
        <v>308</v>
      </c>
      <c r="E162">
        <v>0.66890982503364704</v>
      </c>
      <c r="F162" t="s">
        <v>395</v>
      </c>
      <c r="G162">
        <v>0.60067114093959695</v>
      </c>
      <c r="H162" t="s">
        <v>308</v>
      </c>
      <c r="I162">
        <v>1.3949801849405501</v>
      </c>
      <c r="J162" t="s">
        <v>387</v>
      </c>
      <c r="K162">
        <v>1.18089171974522</v>
      </c>
      <c r="L162" t="s">
        <v>323</v>
      </c>
      <c r="M162">
        <v>1.0646950092421399</v>
      </c>
      <c r="N162" t="s">
        <v>323</v>
      </c>
      <c r="O162">
        <v>0.9375</v>
      </c>
      <c r="P162" t="s">
        <v>396</v>
      </c>
      <c r="Q162">
        <v>0.98141263940520396</v>
      </c>
      <c r="R162" t="s">
        <v>310</v>
      </c>
      <c r="S162">
        <v>1.04314720812182</v>
      </c>
      <c r="T162" t="s">
        <v>397</v>
      </c>
      <c r="U162">
        <v>1.0054945054944999</v>
      </c>
      <c r="V162" t="s">
        <v>407</v>
      </c>
      <c r="W162">
        <v>1.3742857142857099</v>
      </c>
      <c r="X162" t="s">
        <v>397</v>
      </c>
      <c r="Y162">
        <v>1.0416666666666601</v>
      </c>
      <c r="Z162" t="s">
        <v>404</v>
      </c>
      <c r="AA162">
        <v>1.02857142857142</v>
      </c>
      <c r="AB162" t="s">
        <v>416</v>
      </c>
      <c r="AC162">
        <v>0.86695652173912996</v>
      </c>
      <c r="AD162" t="s">
        <v>418</v>
      </c>
      <c r="AE162">
        <v>0.99803149606299202</v>
      </c>
      <c r="AF162" t="s">
        <v>343</v>
      </c>
      <c r="AG162">
        <v>1.0223207003425501</v>
      </c>
      <c r="AH162" t="s">
        <v>343</v>
      </c>
      <c r="AI162">
        <v>1.0630002925298501</v>
      </c>
      <c r="AJ162" t="s">
        <v>431</v>
      </c>
      <c r="AK162">
        <v>0.99770642201834803</v>
      </c>
      <c r="AL162" t="s">
        <v>453</v>
      </c>
      <c r="AM162">
        <v>1.15088282504012</v>
      </c>
      <c r="AN162" t="s">
        <v>451</v>
      </c>
      <c r="AO162">
        <v>1.30688622754491</v>
      </c>
      <c r="AP162" t="s">
        <v>423</v>
      </c>
      <c r="AQ162">
        <v>1.62257294154293</v>
      </c>
      <c r="AR162" t="s">
        <v>423</v>
      </c>
      <c r="AS162">
        <v>1.11780892045818</v>
      </c>
      <c r="AT162" t="s">
        <v>432</v>
      </c>
      <c r="AU162">
        <v>1.15582655826558</v>
      </c>
      <c r="AV162" t="s">
        <v>430</v>
      </c>
      <c r="AW162">
        <v>1.0454096742349399</v>
      </c>
      <c r="AX162" t="s">
        <v>423</v>
      </c>
      <c r="AY162">
        <v>1.0162299704284401</v>
      </c>
      <c r="AZ162" t="s">
        <v>430</v>
      </c>
      <c r="BA162">
        <v>1.00344637441411</v>
      </c>
      <c r="BB162" t="s">
        <v>426</v>
      </c>
      <c r="BC162">
        <v>0.88185654008438796</v>
      </c>
      <c r="BD162" t="s">
        <v>424</v>
      </c>
      <c r="BE162">
        <v>1.02116586805445</v>
      </c>
      <c r="BF162" t="s">
        <v>424</v>
      </c>
      <c r="BG162">
        <v>1.18057799875699</v>
      </c>
      <c r="BH162" t="s">
        <v>446</v>
      </c>
      <c r="BI162">
        <v>0.96206373292867897</v>
      </c>
      <c r="BJ162" t="s">
        <v>454</v>
      </c>
      <c r="BK162">
        <v>0.893682588597842</v>
      </c>
      <c r="BL162" t="s">
        <v>444</v>
      </c>
      <c r="BM162">
        <v>1.19741697416974</v>
      </c>
      <c r="BN162" t="s">
        <v>446</v>
      </c>
      <c r="BO162">
        <v>1.05223880597014</v>
      </c>
      <c r="BP162" t="s">
        <v>446</v>
      </c>
      <c r="BQ162">
        <v>0.94680851063829696</v>
      </c>
      <c r="BR162" t="s">
        <v>446</v>
      </c>
      <c r="BS162">
        <v>0.95880149812733995</v>
      </c>
      <c r="BT162" t="s">
        <v>444</v>
      </c>
      <c r="BU162">
        <v>1.3318485523385299</v>
      </c>
      <c r="BV162" t="s">
        <v>441</v>
      </c>
      <c r="BW162">
        <v>1.03164556962025</v>
      </c>
    </row>
    <row r="163" spans="1:75" x14ac:dyDescent="0.4">
      <c r="A163">
        <v>161</v>
      </c>
      <c r="B163" t="s">
        <v>308</v>
      </c>
      <c r="C163">
        <v>0.78458289334741205</v>
      </c>
      <c r="D163" t="s">
        <v>403</v>
      </c>
      <c r="E163">
        <v>0.66952380952380897</v>
      </c>
      <c r="F163" t="s">
        <v>308</v>
      </c>
      <c r="G163">
        <v>0.76156941649899401</v>
      </c>
      <c r="H163" t="s">
        <v>396</v>
      </c>
      <c r="I163">
        <v>0.85467625899280497</v>
      </c>
      <c r="J163" t="s">
        <v>395</v>
      </c>
      <c r="K163">
        <v>1.4545454545454499</v>
      </c>
      <c r="L163" t="s">
        <v>402</v>
      </c>
      <c r="M163">
        <v>0.84090668201020502</v>
      </c>
      <c r="N163" t="s">
        <v>402</v>
      </c>
      <c r="O163">
        <v>0.98648804379141397</v>
      </c>
      <c r="P163" t="s">
        <v>397</v>
      </c>
      <c r="Q163">
        <v>1.00111482720178</v>
      </c>
      <c r="R163" t="s">
        <v>323</v>
      </c>
      <c r="S163">
        <v>1.03053435114503</v>
      </c>
      <c r="T163" t="s">
        <v>310</v>
      </c>
      <c r="U163">
        <v>0.91727493917274905</v>
      </c>
      <c r="V163" t="s">
        <v>408</v>
      </c>
      <c r="W163">
        <v>0.97846889952153104</v>
      </c>
      <c r="X163" t="s">
        <v>310</v>
      </c>
      <c r="Y163">
        <v>0.98701298701298701</v>
      </c>
      <c r="Z163" t="s">
        <v>333</v>
      </c>
      <c r="AA163">
        <v>0.96291560102301699</v>
      </c>
      <c r="AB163" t="s">
        <v>335</v>
      </c>
      <c r="AC163">
        <v>1.19928825622775</v>
      </c>
      <c r="AD163" t="s">
        <v>420</v>
      </c>
      <c r="AE163">
        <v>1.23684210526315</v>
      </c>
      <c r="AF163" t="s">
        <v>423</v>
      </c>
      <c r="AG163">
        <v>1.0348932676518801</v>
      </c>
      <c r="AH163" t="s">
        <v>423</v>
      </c>
      <c r="AI163">
        <v>0.78278460928203097</v>
      </c>
      <c r="AJ163" t="s">
        <v>451</v>
      </c>
      <c r="AK163">
        <v>1.1967545638945201</v>
      </c>
      <c r="AL163" t="s">
        <v>455</v>
      </c>
      <c r="AM163">
        <v>0.93974335131113995</v>
      </c>
      <c r="AN163" t="s">
        <v>453</v>
      </c>
      <c r="AO163">
        <v>1.4295676429567601</v>
      </c>
      <c r="AP163" t="s">
        <v>438</v>
      </c>
      <c r="AQ163">
        <v>1.47629310344827</v>
      </c>
      <c r="AR163" t="s">
        <v>426</v>
      </c>
      <c r="AS163">
        <v>1.0383141762452099</v>
      </c>
      <c r="AT163" t="s">
        <v>455</v>
      </c>
      <c r="AU163">
        <v>1.13970322113644</v>
      </c>
      <c r="AV163" t="s">
        <v>455</v>
      </c>
      <c r="AW163">
        <v>0.95252461098761498</v>
      </c>
      <c r="AX163" t="s">
        <v>424</v>
      </c>
      <c r="AY163">
        <v>1.12122472751476</v>
      </c>
      <c r="AZ163" t="s">
        <v>455</v>
      </c>
      <c r="BA163">
        <v>1.1458333333333299</v>
      </c>
      <c r="BB163" t="s">
        <v>430</v>
      </c>
      <c r="BC163">
        <v>0.92444017035307002</v>
      </c>
      <c r="BD163" t="s">
        <v>426</v>
      </c>
      <c r="BE163">
        <v>1.23444976076555</v>
      </c>
      <c r="BF163" t="s">
        <v>430</v>
      </c>
      <c r="BG163">
        <v>1.1928897772701299</v>
      </c>
      <c r="BH163" t="s">
        <v>452</v>
      </c>
      <c r="BI163">
        <v>0.79171894604767801</v>
      </c>
      <c r="BJ163" t="s">
        <v>456</v>
      </c>
      <c r="BK163">
        <v>1.1590909090909001</v>
      </c>
      <c r="BL163" t="s">
        <v>446</v>
      </c>
      <c r="BM163">
        <v>0.878688524590163</v>
      </c>
      <c r="BN163" t="s">
        <v>457</v>
      </c>
      <c r="BO163">
        <v>1.0746089049338099</v>
      </c>
      <c r="BP163" t="s">
        <v>457</v>
      </c>
      <c r="BQ163">
        <v>0.89809630459126499</v>
      </c>
      <c r="BR163" t="s">
        <v>458</v>
      </c>
      <c r="BS163">
        <v>0.86055776892430202</v>
      </c>
      <c r="BT163" t="s">
        <v>446</v>
      </c>
      <c r="BU163">
        <v>1.01953125</v>
      </c>
      <c r="BV163" t="s">
        <v>446</v>
      </c>
      <c r="BW163">
        <v>1</v>
      </c>
    </row>
    <row r="164" spans="1:75" x14ac:dyDescent="0.4">
      <c r="A164">
        <v>162</v>
      </c>
      <c r="B164" t="s">
        <v>396</v>
      </c>
      <c r="C164">
        <v>1.20846905537459</v>
      </c>
      <c r="D164" t="s">
        <v>396</v>
      </c>
      <c r="E164">
        <v>0.84097035040431201</v>
      </c>
      <c r="F164" t="s">
        <v>396</v>
      </c>
      <c r="G164">
        <v>0.44551282051281998</v>
      </c>
      <c r="H164" t="s">
        <v>397</v>
      </c>
      <c r="I164">
        <v>0.85423391435334595</v>
      </c>
      <c r="J164" t="s">
        <v>308</v>
      </c>
      <c r="K164">
        <v>1.55113636363636</v>
      </c>
      <c r="L164" t="s">
        <v>409</v>
      </c>
      <c r="M164">
        <v>1.23406720741599</v>
      </c>
      <c r="N164" t="s">
        <v>409</v>
      </c>
      <c r="O164">
        <v>1.0669014084507</v>
      </c>
      <c r="P164" t="s">
        <v>310</v>
      </c>
      <c r="Q164">
        <v>1.15542521994134</v>
      </c>
      <c r="R164" t="s">
        <v>409</v>
      </c>
      <c r="S164">
        <v>1.47565457050987</v>
      </c>
      <c r="T164" t="s">
        <v>314</v>
      </c>
      <c r="U164">
        <v>0.83158242727005505</v>
      </c>
      <c r="V164" t="s">
        <v>416</v>
      </c>
      <c r="W164">
        <v>0.94926568758344398</v>
      </c>
      <c r="X164" t="s">
        <v>323</v>
      </c>
      <c r="Y164">
        <v>0.98596491228070104</v>
      </c>
      <c r="Z164" t="s">
        <v>407</v>
      </c>
      <c r="AA164">
        <v>0.83003492433061699</v>
      </c>
      <c r="AB164" t="s">
        <v>429</v>
      </c>
      <c r="AC164">
        <v>0.92385261797026497</v>
      </c>
      <c r="AD164" t="s">
        <v>428</v>
      </c>
      <c r="AE164">
        <v>0.94285714285714195</v>
      </c>
      <c r="AF164" t="s">
        <v>438</v>
      </c>
      <c r="AG164">
        <v>1.1401734104046199</v>
      </c>
      <c r="AH164" t="s">
        <v>438</v>
      </c>
      <c r="AI164">
        <v>0.84157160963244604</v>
      </c>
      <c r="AJ164" t="s">
        <v>453</v>
      </c>
      <c r="AK164">
        <v>0.93403298350824504</v>
      </c>
      <c r="AL164" t="s">
        <v>433</v>
      </c>
      <c r="AM164">
        <v>0.98158640226628802</v>
      </c>
      <c r="AN164" t="s">
        <v>455</v>
      </c>
      <c r="AO164">
        <v>1.2956659410251301</v>
      </c>
      <c r="AP164" t="s">
        <v>424</v>
      </c>
      <c r="AQ164">
        <v>1.0931981687377299</v>
      </c>
      <c r="AR164" t="s">
        <v>430</v>
      </c>
      <c r="AS164">
        <v>1.15991237677984</v>
      </c>
      <c r="AT164" t="s">
        <v>433</v>
      </c>
      <c r="AU164">
        <v>1.0880195599022</v>
      </c>
      <c r="AV164" t="s">
        <v>433</v>
      </c>
      <c r="AW164">
        <v>0.99887640449438198</v>
      </c>
      <c r="AX164" t="s">
        <v>430</v>
      </c>
      <c r="AY164">
        <v>1.1416430594900799</v>
      </c>
      <c r="AZ164" t="s">
        <v>433</v>
      </c>
      <c r="BA164">
        <v>1.18376550169109</v>
      </c>
      <c r="BB164" t="s">
        <v>433</v>
      </c>
      <c r="BC164">
        <v>0.94476190476190403</v>
      </c>
      <c r="BD164" t="s">
        <v>430</v>
      </c>
      <c r="BE164">
        <v>1.0408678852727</v>
      </c>
      <c r="BF164" t="s">
        <v>433</v>
      </c>
      <c r="BG164">
        <v>0.95881006864988505</v>
      </c>
      <c r="BH164" t="s">
        <v>456</v>
      </c>
      <c r="BI164">
        <v>1.03125</v>
      </c>
      <c r="BJ164" t="s">
        <v>459</v>
      </c>
      <c r="BK164">
        <v>1.03459119496855</v>
      </c>
      <c r="BL164" t="s">
        <v>458</v>
      </c>
      <c r="BM164">
        <v>1.0711462450592799</v>
      </c>
      <c r="BN164" t="s">
        <v>452</v>
      </c>
      <c r="BO164">
        <v>1.0401785714285701</v>
      </c>
      <c r="BP164" t="s">
        <v>452</v>
      </c>
      <c r="BQ164">
        <v>0.92417739628039997</v>
      </c>
      <c r="BR164" t="s">
        <v>457</v>
      </c>
      <c r="BS164">
        <v>0.99875311720698201</v>
      </c>
      <c r="BT164" t="s">
        <v>458</v>
      </c>
      <c r="BU164">
        <v>0.92037037037036995</v>
      </c>
      <c r="BV164" t="s">
        <v>458</v>
      </c>
      <c r="BW164">
        <v>1.16700201207243</v>
      </c>
    </row>
    <row r="165" spans="1:75" x14ac:dyDescent="0.4">
      <c r="A165">
        <v>163</v>
      </c>
      <c r="B165" t="s">
        <v>397</v>
      </c>
      <c r="C165">
        <v>1.0091330346670699</v>
      </c>
      <c r="D165" t="s">
        <v>397</v>
      </c>
      <c r="E165">
        <v>1.05616949927596</v>
      </c>
      <c r="F165" t="s">
        <v>310</v>
      </c>
      <c r="G165">
        <v>0.679640718562874</v>
      </c>
      <c r="H165" t="s">
        <v>310</v>
      </c>
      <c r="I165">
        <v>1.3215859030837001</v>
      </c>
      <c r="J165" t="s">
        <v>396</v>
      </c>
      <c r="K165">
        <v>1.62962962962962</v>
      </c>
      <c r="L165" t="s">
        <v>329</v>
      </c>
      <c r="M165">
        <v>1.0622710622710601</v>
      </c>
      <c r="N165" t="s">
        <v>329</v>
      </c>
      <c r="O165">
        <v>0.93103448275862</v>
      </c>
      <c r="P165" t="s">
        <v>323</v>
      </c>
      <c r="Q165">
        <v>0.97037037037036999</v>
      </c>
      <c r="R165" t="s">
        <v>329</v>
      </c>
      <c r="S165">
        <v>0.87615526802218102</v>
      </c>
      <c r="T165" t="s">
        <v>323</v>
      </c>
      <c r="U165">
        <v>1.0333333333333301</v>
      </c>
      <c r="V165" t="s">
        <v>335</v>
      </c>
      <c r="W165">
        <v>0.93048973143759794</v>
      </c>
      <c r="X165" t="s">
        <v>410</v>
      </c>
      <c r="Y165">
        <v>0.99459459459459398</v>
      </c>
      <c r="Z165" t="s">
        <v>408</v>
      </c>
      <c r="AA165">
        <v>0.83482714468629904</v>
      </c>
      <c r="AB165" t="s">
        <v>418</v>
      </c>
      <c r="AC165">
        <v>1.27</v>
      </c>
      <c r="AD165" t="s">
        <v>343</v>
      </c>
      <c r="AE165">
        <v>1.1142008966436401</v>
      </c>
      <c r="AF165" t="s">
        <v>424</v>
      </c>
      <c r="AG165">
        <v>1.2018165390651001</v>
      </c>
      <c r="AH165" t="s">
        <v>424</v>
      </c>
      <c r="AI165">
        <v>0.78573972223321298</v>
      </c>
      <c r="AJ165" t="s">
        <v>455</v>
      </c>
      <c r="AK165">
        <v>0.98183146169999003</v>
      </c>
      <c r="AL165" t="s">
        <v>440</v>
      </c>
      <c r="AM165">
        <v>0.85961123110151105</v>
      </c>
      <c r="AN165" t="s">
        <v>433</v>
      </c>
      <c r="AO165">
        <v>1.23088023088023</v>
      </c>
      <c r="AP165" t="s">
        <v>431</v>
      </c>
      <c r="AQ165">
        <v>1.05821205821205</v>
      </c>
      <c r="AR165" t="s">
        <v>455</v>
      </c>
      <c r="AS165">
        <v>0.928817547693083</v>
      </c>
      <c r="AT165" t="s">
        <v>440</v>
      </c>
      <c r="AU165">
        <v>0.98784194528875302</v>
      </c>
      <c r="AV165" t="s">
        <v>440</v>
      </c>
      <c r="AW165">
        <v>1.0225641025640999</v>
      </c>
      <c r="AX165" t="s">
        <v>455</v>
      </c>
      <c r="AY165">
        <v>1.0001666944490699</v>
      </c>
      <c r="AZ165" t="s">
        <v>436</v>
      </c>
      <c r="BA165">
        <v>0.854599406528189</v>
      </c>
      <c r="BB165" t="s">
        <v>440</v>
      </c>
      <c r="BC165">
        <v>1.02424242424242</v>
      </c>
      <c r="BD165" t="s">
        <v>433</v>
      </c>
      <c r="BE165">
        <v>0.88104838709677402</v>
      </c>
      <c r="BF165" t="s">
        <v>440</v>
      </c>
      <c r="BG165">
        <v>1.25249169435215</v>
      </c>
      <c r="BH165" t="s">
        <v>459</v>
      </c>
      <c r="BI165">
        <v>0.77845777233782099</v>
      </c>
      <c r="BJ165" t="s">
        <v>460</v>
      </c>
      <c r="BK165">
        <v>0.91323692992213501</v>
      </c>
      <c r="BL165" t="s">
        <v>452</v>
      </c>
      <c r="BM165">
        <v>1.1089108910890999</v>
      </c>
      <c r="BN165" t="s">
        <v>454</v>
      </c>
      <c r="BO165">
        <v>0.971857410881801</v>
      </c>
      <c r="BP165" t="s">
        <v>454</v>
      </c>
      <c r="BQ165">
        <v>0.84942084942084894</v>
      </c>
      <c r="BR165" t="s">
        <v>452</v>
      </c>
      <c r="BS165">
        <v>1.07739938080495</v>
      </c>
      <c r="BT165" t="s">
        <v>457</v>
      </c>
      <c r="BU165">
        <v>1.1835205992509299</v>
      </c>
      <c r="BV165" t="s">
        <v>457</v>
      </c>
      <c r="BW165">
        <v>1.29113924050632</v>
      </c>
    </row>
    <row r="166" spans="1:75" x14ac:dyDescent="0.4">
      <c r="A166">
        <v>164</v>
      </c>
      <c r="B166" t="s">
        <v>310</v>
      </c>
      <c r="C166">
        <v>1.125</v>
      </c>
      <c r="D166" t="s">
        <v>461</v>
      </c>
      <c r="E166">
        <v>0.79021756391932596</v>
      </c>
      <c r="F166" t="s">
        <v>450</v>
      </c>
      <c r="G166">
        <v>0.73347591404419998</v>
      </c>
      <c r="H166" t="s">
        <v>450</v>
      </c>
      <c r="I166">
        <v>0.95334629269647297</v>
      </c>
      <c r="J166" t="s">
        <v>397</v>
      </c>
      <c r="K166">
        <v>1.5359133419403499</v>
      </c>
      <c r="L166" t="s">
        <v>333</v>
      </c>
      <c r="M166">
        <v>1.1470588235294099</v>
      </c>
      <c r="N166" t="s">
        <v>333</v>
      </c>
      <c r="O166">
        <v>0.987179487179487</v>
      </c>
      <c r="P166" t="s">
        <v>329</v>
      </c>
      <c r="Q166">
        <v>1.00185185185185</v>
      </c>
      <c r="R166" t="s">
        <v>407</v>
      </c>
      <c r="S166">
        <v>1.0623003194888101</v>
      </c>
      <c r="T166" t="s">
        <v>329</v>
      </c>
      <c r="U166">
        <v>1.05696202531645</v>
      </c>
      <c r="V166" t="s">
        <v>417</v>
      </c>
      <c r="W166">
        <v>1.0630252100840301</v>
      </c>
      <c r="X166" t="s">
        <v>402</v>
      </c>
      <c r="Y166">
        <v>0.78921266163757298</v>
      </c>
      <c r="Z166" t="s">
        <v>416</v>
      </c>
      <c r="AA166">
        <v>1.0141093474426801</v>
      </c>
      <c r="AB166" t="s">
        <v>428</v>
      </c>
      <c r="AC166">
        <v>0.94915254237288105</v>
      </c>
      <c r="AD166" t="s">
        <v>423</v>
      </c>
      <c r="AE166">
        <v>0.98471986417656998</v>
      </c>
      <c r="AF166" t="s">
        <v>431</v>
      </c>
      <c r="AG166">
        <v>1.06395348837209</v>
      </c>
      <c r="AH166" t="s">
        <v>431</v>
      </c>
      <c r="AI166">
        <v>1.19125683060109</v>
      </c>
      <c r="AJ166" t="s">
        <v>433</v>
      </c>
      <c r="AK166">
        <v>0.93017127799736499</v>
      </c>
      <c r="AL166" t="s">
        <v>445</v>
      </c>
      <c r="AM166">
        <v>0.92083333333333295</v>
      </c>
      <c r="AN166" t="s">
        <v>440</v>
      </c>
      <c r="AO166">
        <v>1.06532663316582</v>
      </c>
      <c r="AP166" t="s">
        <v>426</v>
      </c>
      <c r="AQ166">
        <v>0.825949367088607</v>
      </c>
      <c r="AR166" t="s">
        <v>433</v>
      </c>
      <c r="AS166">
        <v>1.0086313193588099</v>
      </c>
      <c r="AT166" t="s">
        <v>448</v>
      </c>
      <c r="AU166">
        <v>0.96822742474916301</v>
      </c>
      <c r="AV166" t="s">
        <v>448</v>
      </c>
      <c r="AW166">
        <v>0.99654576856649302</v>
      </c>
      <c r="AX166" t="s">
        <v>433</v>
      </c>
      <c r="AY166">
        <v>0.99775028121484799</v>
      </c>
      <c r="AZ166" t="s">
        <v>440</v>
      </c>
      <c r="BA166">
        <v>1.5137614678899001</v>
      </c>
      <c r="BB166" t="s">
        <v>448</v>
      </c>
      <c r="BC166">
        <v>1.2173913043478199</v>
      </c>
      <c r="BD166" t="s">
        <v>440</v>
      </c>
      <c r="BE166">
        <v>0.890532544378698</v>
      </c>
      <c r="BF166" t="s">
        <v>462</v>
      </c>
      <c r="BG166">
        <v>1.9020771513353101</v>
      </c>
      <c r="BH166" t="s">
        <v>460</v>
      </c>
      <c r="BI166">
        <v>0.84413145539906098</v>
      </c>
      <c r="BJ166" t="s">
        <v>463</v>
      </c>
      <c r="BK166">
        <v>1.08719052744886</v>
      </c>
      <c r="BL166" t="s">
        <v>454</v>
      </c>
      <c r="BM166">
        <v>0.91896551724137898</v>
      </c>
      <c r="BN166" t="s">
        <v>456</v>
      </c>
      <c r="BO166">
        <v>1.1206896551724099</v>
      </c>
      <c r="BP166" t="s">
        <v>456</v>
      </c>
      <c r="BQ166">
        <v>0.69538461538461505</v>
      </c>
      <c r="BR166" t="s">
        <v>454</v>
      </c>
      <c r="BS166">
        <v>1.03977272727272</v>
      </c>
      <c r="BT166" t="s">
        <v>452</v>
      </c>
      <c r="BU166">
        <v>0.95545977011494199</v>
      </c>
      <c r="BV166" t="s">
        <v>452</v>
      </c>
      <c r="BW166">
        <v>1.1082706766917201</v>
      </c>
    </row>
    <row r="167" spans="1:75" x14ac:dyDescent="0.4">
      <c r="A167">
        <v>165</v>
      </c>
      <c r="B167" t="s">
        <v>450</v>
      </c>
      <c r="C167">
        <v>1.09590381088241</v>
      </c>
      <c r="D167" t="s">
        <v>310</v>
      </c>
      <c r="E167">
        <v>0.70020964360587001</v>
      </c>
      <c r="F167" t="s">
        <v>323</v>
      </c>
      <c r="G167">
        <v>0.77272727272727204</v>
      </c>
      <c r="H167" t="s">
        <v>317</v>
      </c>
      <c r="I167">
        <v>1.3958333333333299</v>
      </c>
      <c r="J167" t="s">
        <v>310</v>
      </c>
      <c r="K167">
        <v>1.11666666666666</v>
      </c>
      <c r="L167" t="s">
        <v>407</v>
      </c>
      <c r="M167">
        <v>1.07838983050847</v>
      </c>
      <c r="N167" t="s">
        <v>407</v>
      </c>
      <c r="O167">
        <v>0.73379174852652196</v>
      </c>
      <c r="P167" t="s">
        <v>333</v>
      </c>
      <c r="Q167">
        <v>1.1584415584415499</v>
      </c>
      <c r="R167" t="s">
        <v>408</v>
      </c>
      <c r="S167">
        <v>0.85373134328358202</v>
      </c>
      <c r="T167" t="s">
        <v>407</v>
      </c>
      <c r="U167">
        <v>1.0526315789473599</v>
      </c>
      <c r="V167" t="s">
        <v>418</v>
      </c>
      <c r="W167">
        <v>1.09678953626634</v>
      </c>
      <c r="X167" t="s">
        <v>329</v>
      </c>
      <c r="Y167">
        <v>0.94382022471910099</v>
      </c>
      <c r="Z167" t="s">
        <v>417</v>
      </c>
      <c r="AA167">
        <v>1.6497890295358599</v>
      </c>
      <c r="AB167" t="s">
        <v>343</v>
      </c>
      <c r="AC167">
        <v>0.91924704834038695</v>
      </c>
      <c r="AD167" t="s">
        <v>438</v>
      </c>
      <c r="AE167">
        <v>0.83980582524271796</v>
      </c>
      <c r="AF167" t="s">
        <v>425</v>
      </c>
      <c r="AG167">
        <v>1.2547993019197199</v>
      </c>
      <c r="AH167" t="s">
        <v>451</v>
      </c>
      <c r="AI167">
        <v>0.75038051750380497</v>
      </c>
      <c r="AJ167" t="s">
        <v>440</v>
      </c>
      <c r="AK167">
        <v>0.91683168316831598</v>
      </c>
      <c r="AL167" t="s">
        <v>448</v>
      </c>
      <c r="AM167">
        <v>1.1725888324872999</v>
      </c>
      <c r="AN167" t="s">
        <v>447</v>
      </c>
      <c r="AO167">
        <v>0.97830802603036804</v>
      </c>
      <c r="AP167" t="s">
        <v>455</v>
      </c>
      <c r="AQ167">
        <v>0.90873682602718797</v>
      </c>
      <c r="AR167" t="s">
        <v>440</v>
      </c>
      <c r="AS167">
        <v>0.87733333333333297</v>
      </c>
      <c r="AT167" t="s">
        <v>446</v>
      </c>
      <c r="AU167">
        <v>1.21139240506329</v>
      </c>
      <c r="AV167" t="s">
        <v>446</v>
      </c>
      <c r="AW167">
        <v>1.0188087774294601</v>
      </c>
      <c r="AX167" t="s">
        <v>440</v>
      </c>
      <c r="AY167">
        <v>1.0932798395185499</v>
      </c>
      <c r="AZ167" t="s">
        <v>448</v>
      </c>
      <c r="BA167">
        <v>1.2</v>
      </c>
      <c r="BB167" t="s">
        <v>446</v>
      </c>
      <c r="BC167">
        <v>0.87280108254397804</v>
      </c>
      <c r="BD167" t="s">
        <v>462</v>
      </c>
      <c r="BE167">
        <v>0.93741307371349003</v>
      </c>
      <c r="BF167" t="s">
        <v>441</v>
      </c>
      <c r="BG167">
        <v>1.0523076923076899</v>
      </c>
      <c r="BH167" t="s">
        <v>464</v>
      </c>
      <c r="BI167">
        <v>0.72636262513904304</v>
      </c>
      <c r="BJ167" t="s">
        <v>465</v>
      </c>
      <c r="BK167">
        <v>0.95</v>
      </c>
      <c r="BL167" t="s">
        <v>460</v>
      </c>
      <c r="BM167">
        <v>0.97563946406820901</v>
      </c>
      <c r="BN167" t="s">
        <v>460</v>
      </c>
      <c r="BO167">
        <v>1.0274656679151</v>
      </c>
      <c r="BP167" t="s">
        <v>460</v>
      </c>
      <c r="BQ167">
        <v>0.97569866342648803</v>
      </c>
      <c r="BR167" t="s">
        <v>456</v>
      </c>
      <c r="BS167">
        <v>1.0044247787610601</v>
      </c>
      <c r="BT167" t="s">
        <v>454</v>
      </c>
      <c r="BU167">
        <v>1.0557377049180301</v>
      </c>
      <c r="BV167" t="s">
        <v>454</v>
      </c>
      <c r="BW167">
        <v>1.34575569358178</v>
      </c>
    </row>
    <row r="168" spans="1:75" x14ac:dyDescent="0.4">
      <c r="A168">
        <v>166</v>
      </c>
      <c r="B168" t="s">
        <v>314</v>
      </c>
      <c r="C168">
        <v>1.0498015481043801</v>
      </c>
      <c r="D168" t="s">
        <v>450</v>
      </c>
      <c r="E168">
        <v>0.73036298720618797</v>
      </c>
      <c r="F168" t="s">
        <v>402</v>
      </c>
      <c r="G168">
        <v>0.44000025580790503</v>
      </c>
      <c r="H168" t="s">
        <v>323</v>
      </c>
      <c r="I168">
        <v>0.95686274509803904</v>
      </c>
      <c r="J168" t="s">
        <v>450</v>
      </c>
      <c r="K168">
        <v>1.1958199825225699</v>
      </c>
      <c r="L168" t="s">
        <v>408</v>
      </c>
      <c r="M168">
        <v>1.1435185185185099</v>
      </c>
      <c r="N168" t="s">
        <v>408</v>
      </c>
      <c r="O168">
        <v>0.78542510121457398</v>
      </c>
      <c r="P168" t="s">
        <v>407</v>
      </c>
      <c r="Q168">
        <v>0.838018741633199</v>
      </c>
      <c r="R168" t="s">
        <v>335</v>
      </c>
      <c r="S168">
        <v>0.80668604651162701</v>
      </c>
      <c r="T168" t="s">
        <v>408</v>
      </c>
      <c r="U168">
        <v>0.97435897435897401</v>
      </c>
      <c r="V168" t="s">
        <v>420</v>
      </c>
      <c r="W168">
        <v>1.1876876876876801</v>
      </c>
      <c r="X168" t="s">
        <v>407</v>
      </c>
      <c r="Y168">
        <v>0.89293139293139201</v>
      </c>
      <c r="Z168" t="s">
        <v>418</v>
      </c>
      <c r="AA168">
        <v>0.986436498150431</v>
      </c>
      <c r="AB168" t="s">
        <v>423</v>
      </c>
      <c r="AC168">
        <v>0.95965552021103195</v>
      </c>
      <c r="AD168" t="s">
        <v>424</v>
      </c>
      <c r="AE168">
        <v>0.81770813080841398</v>
      </c>
      <c r="AF168" t="s">
        <v>453</v>
      </c>
      <c r="AG168">
        <v>0.90142857142857102</v>
      </c>
      <c r="AH168" t="s">
        <v>453</v>
      </c>
      <c r="AI168">
        <v>1.0570522979397701</v>
      </c>
      <c r="AJ168" t="s">
        <v>448</v>
      </c>
      <c r="AK168">
        <v>0.95631067961164995</v>
      </c>
      <c r="AL168" t="s">
        <v>446</v>
      </c>
      <c r="AM168">
        <v>0.95229007633587703</v>
      </c>
      <c r="AN168" t="s">
        <v>462</v>
      </c>
      <c r="AO168">
        <v>1.3035143769968001</v>
      </c>
      <c r="AP168" t="s">
        <v>433</v>
      </c>
      <c r="AQ168">
        <v>0.950762016412661</v>
      </c>
      <c r="AR168" t="s">
        <v>448</v>
      </c>
      <c r="AS168">
        <v>1.1198501872659099</v>
      </c>
      <c r="AT168" t="s">
        <v>457</v>
      </c>
      <c r="AU168">
        <v>1.0343511450381599</v>
      </c>
      <c r="AV168" t="s">
        <v>457</v>
      </c>
      <c r="AW168">
        <v>0.94587945879458701</v>
      </c>
      <c r="AX168" t="s">
        <v>448</v>
      </c>
      <c r="AY168">
        <v>0.99653379549393395</v>
      </c>
      <c r="AZ168" t="s">
        <v>446</v>
      </c>
      <c r="BA168">
        <v>1.1196969696969601</v>
      </c>
      <c r="BB168" t="s">
        <v>452</v>
      </c>
      <c r="BC168">
        <v>0.86635944700460799</v>
      </c>
      <c r="BD168" t="s">
        <v>441</v>
      </c>
      <c r="BE168">
        <v>0.84745762711864403</v>
      </c>
      <c r="BF168" t="s">
        <v>446</v>
      </c>
      <c r="BG168">
        <v>1.04107424960505</v>
      </c>
      <c r="BH168" t="s">
        <v>466</v>
      </c>
      <c r="BI168">
        <v>0.99484536082474195</v>
      </c>
      <c r="BJ168" t="s">
        <v>467</v>
      </c>
      <c r="BK168">
        <v>0.86</v>
      </c>
      <c r="BL168" t="s">
        <v>464</v>
      </c>
      <c r="BM168">
        <v>0.89167767503302497</v>
      </c>
      <c r="BN168" t="s">
        <v>468</v>
      </c>
      <c r="BO168">
        <v>0.76453900709219802</v>
      </c>
      <c r="BP168" t="s">
        <v>464</v>
      </c>
      <c r="BQ168">
        <v>1.3410553410553401</v>
      </c>
      <c r="BR168" t="s">
        <v>460</v>
      </c>
      <c r="BS168">
        <v>0.97633872976338698</v>
      </c>
      <c r="BT168" t="s">
        <v>456</v>
      </c>
      <c r="BU168">
        <v>0.94713656387665202</v>
      </c>
      <c r="BV168" t="s">
        <v>456</v>
      </c>
      <c r="BW168">
        <v>1.1116279069767401</v>
      </c>
    </row>
    <row r="169" spans="1:75" x14ac:dyDescent="0.4">
      <c r="A169">
        <v>167</v>
      </c>
      <c r="B169" t="s">
        <v>323</v>
      </c>
      <c r="C169">
        <v>1.08720930232558</v>
      </c>
      <c r="D169" t="s">
        <v>314</v>
      </c>
      <c r="E169">
        <v>0.72436445752215395</v>
      </c>
      <c r="F169" t="s">
        <v>409</v>
      </c>
      <c r="G169">
        <v>0.49734684032802701</v>
      </c>
      <c r="H169" t="s">
        <v>402</v>
      </c>
      <c r="I169">
        <v>0.99383735859111899</v>
      </c>
      <c r="J169" t="s">
        <v>323</v>
      </c>
      <c r="K169">
        <v>1.1086065573770401</v>
      </c>
      <c r="L169" t="s">
        <v>416</v>
      </c>
      <c r="M169">
        <v>0.92198581560283599</v>
      </c>
      <c r="N169" t="s">
        <v>416</v>
      </c>
      <c r="O169">
        <v>1.05128205128205</v>
      </c>
      <c r="P169" t="s">
        <v>408</v>
      </c>
      <c r="Q169">
        <v>1.0360824742268</v>
      </c>
      <c r="R169" t="s">
        <v>417</v>
      </c>
      <c r="S169">
        <v>1.3902147971360299</v>
      </c>
      <c r="T169" t="s">
        <v>416</v>
      </c>
      <c r="U169">
        <v>0.963963963963964</v>
      </c>
      <c r="V169" t="s">
        <v>428</v>
      </c>
      <c r="W169">
        <v>0.77787381158167601</v>
      </c>
      <c r="X169" t="s">
        <v>408</v>
      </c>
      <c r="Y169">
        <v>0.95476772616136896</v>
      </c>
      <c r="Z169" t="s">
        <v>428</v>
      </c>
      <c r="AA169">
        <v>0.95469255663430397</v>
      </c>
      <c r="AB169" t="s">
        <v>438</v>
      </c>
      <c r="AC169">
        <v>0.86282722513089005</v>
      </c>
      <c r="AD169" t="s">
        <v>431</v>
      </c>
      <c r="AE169">
        <v>0.93224932249322401</v>
      </c>
      <c r="AF169" t="s">
        <v>455</v>
      </c>
      <c r="AG169">
        <v>1.2550936406668001</v>
      </c>
      <c r="AH169" t="s">
        <v>455</v>
      </c>
      <c r="AI169">
        <v>0.89800770681315001</v>
      </c>
      <c r="AJ169" t="s">
        <v>469</v>
      </c>
      <c r="AK169">
        <v>0.88558139534883695</v>
      </c>
      <c r="AL169" t="s">
        <v>470</v>
      </c>
      <c r="AM169">
        <v>1.7022408329560801</v>
      </c>
      <c r="AN169" t="s">
        <v>448</v>
      </c>
      <c r="AO169">
        <v>1.02813852813852</v>
      </c>
      <c r="AP169" t="s">
        <v>440</v>
      </c>
      <c r="AQ169">
        <v>1.3266509433962199</v>
      </c>
      <c r="AR169" t="s">
        <v>446</v>
      </c>
      <c r="AS169">
        <v>1.1285714285714199</v>
      </c>
      <c r="AT169" t="s">
        <v>452</v>
      </c>
      <c r="AU169">
        <v>0.97477064220183396</v>
      </c>
      <c r="AV169" t="s">
        <v>452</v>
      </c>
      <c r="AW169">
        <v>0.81764705882352895</v>
      </c>
      <c r="AX169" t="s">
        <v>444</v>
      </c>
      <c r="AY169">
        <v>1.1970443349753599</v>
      </c>
      <c r="AZ169" t="s">
        <v>457</v>
      </c>
      <c r="BA169">
        <v>1.31524547803617</v>
      </c>
      <c r="BB169" t="s">
        <v>456</v>
      </c>
      <c r="BC169">
        <v>1.03004291845493</v>
      </c>
      <c r="BD169" t="s">
        <v>446</v>
      </c>
      <c r="BE169">
        <v>0.98139534883720903</v>
      </c>
      <c r="BF169" t="s">
        <v>452</v>
      </c>
      <c r="BG169">
        <v>1.4334532374100699</v>
      </c>
      <c r="BH169" t="s">
        <v>465</v>
      </c>
      <c r="BI169">
        <v>0.78139534883720896</v>
      </c>
      <c r="BJ169" t="s">
        <v>471</v>
      </c>
      <c r="BK169">
        <v>0.79102844638949599</v>
      </c>
      <c r="BL169" t="s">
        <v>463</v>
      </c>
      <c r="BM169">
        <v>1.04950495049504</v>
      </c>
      <c r="BN169" t="s">
        <v>463</v>
      </c>
      <c r="BO169">
        <v>0.98867924528301798</v>
      </c>
      <c r="BP169" t="s">
        <v>463</v>
      </c>
      <c r="BQ169">
        <v>0.94274809160305295</v>
      </c>
      <c r="BR169" t="s">
        <v>463</v>
      </c>
      <c r="BS169">
        <v>1.1012145748987801</v>
      </c>
      <c r="BT169" t="s">
        <v>460</v>
      </c>
      <c r="BU169">
        <v>1.0114795918367301</v>
      </c>
      <c r="BV169" t="s">
        <v>460</v>
      </c>
      <c r="BW169">
        <v>0.96090794451450101</v>
      </c>
    </row>
    <row r="170" spans="1:75" x14ac:dyDescent="0.4">
      <c r="A170">
        <v>168</v>
      </c>
      <c r="B170" t="s">
        <v>409</v>
      </c>
      <c r="C170">
        <v>1.32167381974248</v>
      </c>
      <c r="D170" t="s">
        <v>323</v>
      </c>
      <c r="E170">
        <v>0.88235294117647001</v>
      </c>
      <c r="F170" t="s">
        <v>329</v>
      </c>
      <c r="G170">
        <v>0.94926350245499103</v>
      </c>
      <c r="H170" t="s">
        <v>329</v>
      </c>
      <c r="I170">
        <v>0.85862068965517202</v>
      </c>
      <c r="J170" t="s">
        <v>402</v>
      </c>
      <c r="K170">
        <v>1.6097604968483801</v>
      </c>
      <c r="L170" t="s">
        <v>335</v>
      </c>
      <c r="M170">
        <v>1.1428571428571399</v>
      </c>
      <c r="N170" t="s">
        <v>417</v>
      </c>
      <c r="O170">
        <v>1.02</v>
      </c>
      <c r="P170" t="s">
        <v>416</v>
      </c>
      <c r="Q170">
        <v>0.94390243902438997</v>
      </c>
      <c r="R170" t="s">
        <v>428</v>
      </c>
      <c r="S170">
        <v>1.1990798088833801</v>
      </c>
      <c r="T170" t="s">
        <v>417</v>
      </c>
      <c r="U170">
        <v>1.02145922746781</v>
      </c>
      <c r="V170" t="s">
        <v>435</v>
      </c>
      <c r="W170">
        <v>1.14925373134328</v>
      </c>
      <c r="X170" t="s">
        <v>416</v>
      </c>
      <c r="Y170">
        <v>0.797468354430379</v>
      </c>
      <c r="Z170" t="s">
        <v>435</v>
      </c>
      <c r="AA170">
        <v>0.86991869918699105</v>
      </c>
      <c r="AB170" t="s">
        <v>424</v>
      </c>
      <c r="AC170">
        <v>0.99879602299207704</v>
      </c>
      <c r="AD170" t="s">
        <v>451</v>
      </c>
      <c r="AE170">
        <v>1.09225700164744</v>
      </c>
      <c r="AF170" t="s">
        <v>433</v>
      </c>
      <c r="AG170">
        <v>1.0573870573870501</v>
      </c>
      <c r="AH170" t="s">
        <v>433</v>
      </c>
      <c r="AI170">
        <v>0.87644341801385595</v>
      </c>
      <c r="AJ170" t="s">
        <v>446</v>
      </c>
      <c r="AK170">
        <v>1.0234375</v>
      </c>
      <c r="AL170" t="s">
        <v>457</v>
      </c>
      <c r="AM170">
        <v>1.0314547837483601</v>
      </c>
      <c r="AN170" t="s">
        <v>446</v>
      </c>
      <c r="AO170">
        <v>1.2224448897795499</v>
      </c>
      <c r="AP170" t="s">
        <v>447</v>
      </c>
      <c r="AQ170">
        <v>1.31263858093126</v>
      </c>
      <c r="AR170" t="s">
        <v>452</v>
      </c>
      <c r="AS170">
        <v>0.979775280898876</v>
      </c>
      <c r="AT170" t="s">
        <v>456</v>
      </c>
      <c r="AU170">
        <v>1.0547195622434999</v>
      </c>
      <c r="AV170" t="s">
        <v>456</v>
      </c>
      <c r="AW170">
        <v>1.14656290531776</v>
      </c>
      <c r="AX170" t="s">
        <v>446</v>
      </c>
      <c r="AY170">
        <v>1.3538461538461499</v>
      </c>
      <c r="AZ170" t="s">
        <v>452</v>
      </c>
      <c r="BA170">
        <v>0.97894736842105201</v>
      </c>
      <c r="BB170" t="s">
        <v>464</v>
      </c>
      <c r="BC170">
        <v>0.86529725459213902</v>
      </c>
      <c r="BD170" t="s">
        <v>452</v>
      </c>
      <c r="BE170">
        <v>0.98581560283687897</v>
      </c>
      <c r="BF170" t="s">
        <v>454</v>
      </c>
      <c r="BG170">
        <v>1.48672566371681</v>
      </c>
      <c r="BH170" t="s">
        <v>467</v>
      </c>
      <c r="BI170">
        <v>1.0380622837370199</v>
      </c>
      <c r="BJ170" t="s">
        <v>472</v>
      </c>
      <c r="BK170">
        <v>0.913744075829383</v>
      </c>
      <c r="BL170" t="s">
        <v>466</v>
      </c>
      <c r="BM170">
        <v>0.93063583815028905</v>
      </c>
      <c r="BN170" t="s">
        <v>466</v>
      </c>
      <c r="BO170">
        <v>1.0124223602484399</v>
      </c>
      <c r="BP170" t="s">
        <v>466</v>
      </c>
      <c r="BQ170">
        <v>0.82515337423312796</v>
      </c>
      <c r="BR170" t="s">
        <v>465</v>
      </c>
      <c r="BS170">
        <v>0.96807151979565698</v>
      </c>
      <c r="BT170" t="s">
        <v>463</v>
      </c>
      <c r="BU170">
        <v>1.0202205882352899</v>
      </c>
      <c r="BV170" t="s">
        <v>473</v>
      </c>
      <c r="BW170">
        <v>1.1768488745980701</v>
      </c>
    </row>
    <row r="171" spans="1:75" x14ac:dyDescent="0.4">
      <c r="A171">
        <v>169</v>
      </c>
      <c r="B171" t="s">
        <v>329</v>
      </c>
      <c r="C171">
        <v>1.19964973730297</v>
      </c>
      <c r="D171" t="s">
        <v>329</v>
      </c>
      <c r="E171">
        <v>0.89197080291970798</v>
      </c>
      <c r="F171" t="s">
        <v>407</v>
      </c>
      <c r="G171">
        <v>0.45873015873015799</v>
      </c>
      <c r="H171" t="s">
        <v>404</v>
      </c>
      <c r="I171">
        <v>0.75</v>
      </c>
      <c r="J171" t="s">
        <v>329</v>
      </c>
      <c r="K171">
        <v>1.0963855421686699</v>
      </c>
      <c r="L171" t="s">
        <v>417</v>
      </c>
      <c r="M171">
        <v>1.0889292196007201</v>
      </c>
      <c r="N171" t="s">
        <v>428</v>
      </c>
      <c r="O171">
        <v>1</v>
      </c>
      <c r="P171" t="s">
        <v>335</v>
      </c>
      <c r="Q171">
        <v>1.0284005979073201</v>
      </c>
      <c r="R171" t="s">
        <v>421</v>
      </c>
      <c r="S171">
        <v>0.91947750612297496</v>
      </c>
      <c r="T171" t="s">
        <v>418</v>
      </c>
      <c r="U171">
        <v>0.94113697403759999</v>
      </c>
      <c r="V171" t="s">
        <v>343</v>
      </c>
      <c r="W171">
        <v>1.0266283524904201</v>
      </c>
      <c r="X171" t="s">
        <v>335</v>
      </c>
      <c r="Y171">
        <v>0.86417657045840401</v>
      </c>
      <c r="Z171" t="s">
        <v>343</v>
      </c>
      <c r="AA171">
        <v>1.00814103643815</v>
      </c>
      <c r="AB171" t="s">
        <v>431</v>
      </c>
      <c r="AC171">
        <v>0.97105263157894695</v>
      </c>
      <c r="AD171" t="s">
        <v>453</v>
      </c>
      <c r="AE171">
        <v>1.03857566765578</v>
      </c>
      <c r="AF171" t="s">
        <v>436</v>
      </c>
      <c r="AG171">
        <v>1.2067988668555201</v>
      </c>
      <c r="AH171" t="s">
        <v>436</v>
      </c>
      <c r="AI171">
        <v>0.77699530516431903</v>
      </c>
      <c r="AJ171" t="s">
        <v>470</v>
      </c>
      <c r="AK171">
        <v>1.2952213427147401</v>
      </c>
      <c r="AL171" t="s">
        <v>452</v>
      </c>
      <c r="AM171">
        <v>1.2703125</v>
      </c>
      <c r="AN171" t="s">
        <v>457</v>
      </c>
      <c r="AO171">
        <v>1.1702668360863999</v>
      </c>
      <c r="AP171" t="s">
        <v>448</v>
      </c>
      <c r="AQ171">
        <v>1.12421052631578</v>
      </c>
      <c r="AR171" t="s">
        <v>474</v>
      </c>
      <c r="AS171">
        <v>1.6096797175944</v>
      </c>
      <c r="AT171" t="s">
        <v>463</v>
      </c>
      <c r="AU171">
        <v>0.99823633156966396</v>
      </c>
      <c r="AV171" t="s">
        <v>463</v>
      </c>
      <c r="AW171">
        <v>0.87544169611307399</v>
      </c>
      <c r="AX171" t="s">
        <v>475</v>
      </c>
      <c r="AY171">
        <v>1.1256038647342901</v>
      </c>
      <c r="AZ171" t="s">
        <v>456</v>
      </c>
      <c r="BA171">
        <v>1.0130434782608599</v>
      </c>
      <c r="BB171" t="s">
        <v>463</v>
      </c>
      <c r="BC171">
        <v>0.96631823461091704</v>
      </c>
      <c r="BD171" t="s">
        <v>456</v>
      </c>
      <c r="BE171">
        <v>0.95833333333333304</v>
      </c>
      <c r="BF171" t="s">
        <v>456</v>
      </c>
      <c r="BG171">
        <v>1.11304347826086</v>
      </c>
      <c r="BH171" t="s">
        <v>476</v>
      </c>
      <c r="BI171">
        <v>0.79406631762652702</v>
      </c>
      <c r="BJ171" t="s">
        <v>477</v>
      </c>
      <c r="BK171">
        <v>0.88310394052845598</v>
      </c>
      <c r="BL171" t="s">
        <v>465</v>
      </c>
      <c r="BM171">
        <v>0.98496240601503704</v>
      </c>
      <c r="BN171" t="s">
        <v>465</v>
      </c>
      <c r="BO171">
        <v>0.97455470737913397</v>
      </c>
      <c r="BP171" t="s">
        <v>465</v>
      </c>
      <c r="BQ171">
        <v>1.0221932114882499</v>
      </c>
      <c r="BR171" t="s">
        <v>467</v>
      </c>
      <c r="BS171">
        <v>1.07053941908713</v>
      </c>
      <c r="BT171" t="s">
        <v>465</v>
      </c>
      <c r="BU171">
        <v>1.03562005277044</v>
      </c>
      <c r="BV171" t="s">
        <v>463</v>
      </c>
      <c r="BW171">
        <v>1.3135135135135101</v>
      </c>
    </row>
    <row r="172" spans="1:75" x14ac:dyDescent="0.4">
      <c r="A172">
        <v>170</v>
      </c>
      <c r="B172" t="s">
        <v>449</v>
      </c>
      <c r="C172">
        <v>1.17408906882591</v>
      </c>
      <c r="D172" t="s">
        <v>407</v>
      </c>
      <c r="E172">
        <v>0.72164948453608202</v>
      </c>
      <c r="F172" t="s">
        <v>408</v>
      </c>
      <c r="G172">
        <v>0.67</v>
      </c>
      <c r="H172" t="s">
        <v>333</v>
      </c>
      <c r="I172">
        <v>1.12293853073463</v>
      </c>
      <c r="J172" t="s">
        <v>404</v>
      </c>
      <c r="K172">
        <v>1.77715355805243</v>
      </c>
      <c r="L172" t="s">
        <v>428</v>
      </c>
      <c r="M172">
        <v>0.98986608758595696</v>
      </c>
      <c r="N172" t="s">
        <v>343</v>
      </c>
      <c r="O172">
        <v>0.984038818913896</v>
      </c>
      <c r="P172" t="s">
        <v>417</v>
      </c>
      <c r="Q172">
        <v>1.36928104575163</v>
      </c>
      <c r="R172" t="s">
        <v>435</v>
      </c>
      <c r="S172">
        <v>1.0237288135593201</v>
      </c>
      <c r="T172" t="s">
        <v>428</v>
      </c>
      <c r="U172">
        <v>1.0244982290436799</v>
      </c>
      <c r="V172" t="s">
        <v>423</v>
      </c>
      <c r="W172">
        <v>1.10182546406839</v>
      </c>
      <c r="X172" t="s">
        <v>418</v>
      </c>
      <c r="Y172">
        <v>0.87922810060711099</v>
      </c>
      <c r="Z172" t="s">
        <v>423</v>
      </c>
      <c r="AA172">
        <v>0.95459931861946301</v>
      </c>
      <c r="AB172" t="s">
        <v>451</v>
      </c>
      <c r="AC172">
        <v>0.78933680104031201</v>
      </c>
      <c r="AD172" t="s">
        <v>455</v>
      </c>
      <c r="AE172">
        <v>0.82362912111195796</v>
      </c>
      <c r="AF172" t="s">
        <v>440</v>
      </c>
      <c r="AG172">
        <v>1.1866666666666601</v>
      </c>
      <c r="AH172" t="s">
        <v>440</v>
      </c>
      <c r="AI172">
        <v>0.75655430711610405</v>
      </c>
      <c r="AJ172" t="s">
        <v>457</v>
      </c>
      <c r="AK172">
        <v>0.95137157107231896</v>
      </c>
      <c r="AL172" t="s">
        <v>456</v>
      </c>
      <c r="AM172">
        <v>1.14716981132075</v>
      </c>
      <c r="AN172" t="s">
        <v>452</v>
      </c>
      <c r="AO172">
        <v>1.04551045510455</v>
      </c>
      <c r="AP172" t="s">
        <v>446</v>
      </c>
      <c r="AQ172">
        <v>1.14754098360655</v>
      </c>
      <c r="AR172" t="s">
        <v>456</v>
      </c>
      <c r="AS172">
        <v>0.98517520215633403</v>
      </c>
      <c r="AT172" t="s">
        <v>478</v>
      </c>
      <c r="AU172">
        <v>1.2858851674641101</v>
      </c>
      <c r="AV172" t="s">
        <v>465</v>
      </c>
      <c r="AW172">
        <v>1.02926829268292</v>
      </c>
      <c r="AX172" t="s">
        <v>457</v>
      </c>
      <c r="AY172">
        <v>1.00650195058517</v>
      </c>
      <c r="AZ172" t="s">
        <v>464</v>
      </c>
      <c r="BA172">
        <v>0.84878457669740104</v>
      </c>
      <c r="BB172" t="s">
        <v>467</v>
      </c>
      <c r="BC172">
        <v>1.0087719298245601</v>
      </c>
      <c r="BD172" t="s">
        <v>464</v>
      </c>
      <c r="BE172">
        <v>1.3056379821958399</v>
      </c>
      <c r="BF172" t="s">
        <v>463</v>
      </c>
      <c r="BG172">
        <v>1.1209039548022599</v>
      </c>
      <c r="BH172" t="s">
        <v>472</v>
      </c>
      <c r="BI172">
        <v>1.6853035143769901</v>
      </c>
      <c r="BJ172" t="s">
        <v>479</v>
      </c>
      <c r="BK172">
        <v>1.15816326530612</v>
      </c>
      <c r="BL172" t="s">
        <v>467</v>
      </c>
      <c r="BM172">
        <v>0.80232558139534804</v>
      </c>
      <c r="BN172" t="s">
        <v>467</v>
      </c>
      <c r="BO172">
        <v>1.03381642512077</v>
      </c>
      <c r="BP172" t="s">
        <v>467</v>
      </c>
      <c r="BQ172">
        <v>1.12616822429906</v>
      </c>
      <c r="BR172" t="s">
        <v>471</v>
      </c>
      <c r="BS172">
        <v>0.680851063829787</v>
      </c>
      <c r="BT172" t="s">
        <v>467</v>
      </c>
      <c r="BU172">
        <v>0.81782945736434098</v>
      </c>
      <c r="BV172" t="s">
        <v>480</v>
      </c>
      <c r="BW172">
        <v>1.02403204272363</v>
      </c>
    </row>
    <row r="173" spans="1:75" x14ac:dyDescent="0.4">
      <c r="A173">
        <v>171</v>
      </c>
      <c r="B173" t="s">
        <v>335</v>
      </c>
      <c r="C173">
        <v>1.26480263157894</v>
      </c>
      <c r="D173" t="s">
        <v>335</v>
      </c>
      <c r="E173">
        <v>0.63003901170351095</v>
      </c>
      <c r="F173" t="s">
        <v>417</v>
      </c>
      <c r="G173">
        <v>0.58846153846153804</v>
      </c>
      <c r="H173" t="s">
        <v>407</v>
      </c>
      <c r="I173">
        <v>1.0311418685121101</v>
      </c>
      <c r="J173" t="s">
        <v>407</v>
      </c>
      <c r="K173">
        <v>1.5838926174496599</v>
      </c>
      <c r="L173" t="s">
        <v>421</v>
      </c>
      <c r="M173">
        <v>0.99598393574297095</v>
      </c>
      <c r="N173" t="s">
        <v>423</v>
      </c>
      <c r="O173">
        <v>0.97796121797367797</v>
      </c>
      <c r="P173" t="s">
        <v>428</v>
      </c>
      <c r="Q173">
        <v>1.0330895795246799</v>
      </c>
      <c r="R173" t="s">
        <v>343</v>
      </c>
      <c r="S173">
        <v>0.84226190476190399</v>
      </c>
      <c r="T173" t="s">
        <v>435</v>
      </c>
      <c r="U173">
        <v>0.99834437086092698</v>
      </c>
      <c r="V173" t="s">
        <v>431</v>
      </c>
      <c r="W173">
        <v>1.1666666666666601</v>
      </c>
      <c r="X173" t="s">
        <v>428</v>
      </c>
      <c r="Y173">
        <v>1.1444444444444399</v>
      </c>
      <c r="Z173" t="s">
        <v>424</v>
      </c>
      <c r="AA173">
        <v>0.86396886115025795</v>
      </c>
      <c r="AB173" t="s">
        <v>453</v>
      </c>
      <c r="AC173">
        <v>1.5388127853881199</v>
      </c>
      <c r="AD173" t="s">
        <v>433</v>
      </c>
      <c r="AE173">
        <v>0.91202672605790602</v>
      </c>
      <c r="AF173" t="s">
        <v>445</v>
      </c>
      <c r="AG173">
        <v>1.01212121212121</v>
      </c>
      <c r="AH173" t="s">
        <v>447</v>
      </c>
      <c r="AI173">
        <v>0.85281385281385202</v>
      </c>
      <c r="AJ173" t="s">
        <v>452</v>
      </c>
      <c r="AK173">
        <v>1.25</v>
      </c>
      <c r="AL173" t="s">
        <v>468</v>
      </c>
      <c r="AM173">
        <v>0.91676255701432097</v>
      </c>
      <c r="AN173" t="s">
        <v>474</v>
      </c>
      <c r="AO173">
        <v>0.94280053652953899</v>
      </c>
      <c r="AP173" t="s">
        <v>452</v>
      </c>
      <c r="AQ173">
        <v>1.04705882352941</v>
      </c>
      <c r="AR173" t="s">
        <v>468</v>
      </c>
      <c r="AS173">
        <v>1.34729796727813</v>
      </c>
      <c r="AT173" t="s">
        <v>467</v>
      </c>
      <c r="AU173">
        <v>1.0465116279069699</v>
      </c>
      <c r="AV173" t="s">
        <v>467</v>
      </c>
      <c r="AW173">
        <v>0.89777777777777701</v>
      </c>
      <c r="AX173" t="s">
        <v>452</v>
      </c>
      <c r="AY173">
        <v>0.95683453237409999</v>
      </c>
      <c r="AZ173" t="s">
        <v>463</v>
      </c>
      <c r="BA173">
        <v>0.99307958477508596</v>
      </c>
      <c r="BB173" t="s">
        <v>471</v>
      </c>
      <c r="BC173">
        <v>0.86136071887034604</v>
      </c>
      <c r="BD173" t="s">
        <v>463</v>
      </c>
      <c r="BE173">
        <v>1.06370192307692</v>
      </c>
      <c r="BF173" t="s">
        <v>467</v>
      </c>
      <c r="BG173">
        <v>1.21428571428571</v>
      </c>
      <c r="BH173" t="s">
        <v>481</v>
      </c>
      <c r="BI173">
        <v>0.91582491582491499</v>
      </c>
      <c r="BJ173" t="s">
        <v>481</v>
      </c>
      <c r="BK173">
        <v>0.9375</v>
      </c>
      <c r="BL173" t="s">
        <v>471</v>
      </c>
      <c r="BM173">
        <v>0.88658367911479896</v>
      </c>
      <c r="BN173" t="s">
        <v>472</v>
      </c>
      <c r="BO173">
        <v>1.16157760814249</v>
      </c>
      <c r="BP173" t="s">
        <v>472</v>
      </c>
      <c r="BQ173">
        <v>1.1336254107338399</v>
      </c>
      <c r="BR173" t="s">
        <v>472</v>
      </c>
      <c r="BS173">
        <v>0.87536231884057902</v>
      </c>
      <c r="BT173" t="s">
        <v>472</v>
      </c>
      <c r="BU173">
        <v>1.0684326710816701</v>
      </c>
      <c r="BV173" t="s">
        <v>472</v>
      </c>
      <c r="BW173">
        <v>1.10537190082644</v>
      </c>
    </row>
    <row r="174" spans="1:75" x14ac:dyDescent="0.4">
      <c r="A174">
        <v>172</v>
      </c>
      <c r="B174" t="s">
        <v>417</v>
      </c>
      <c r="C174">
        <v>0.95614035087719296</v>
      </c>
      <c r="D174" t="s">
        <v>417</v>
      </c>
      <c r="E174">
        <v>0.95412844036697197</v>
      </c>
      <c r="F174" t="s">
        <v>420</v>
      </c>
      <c r="G174">
        <v>0.76524953789279104</v>
      </c>
      <c r="H174" t="s">
        <v>408</v>
      </c>
      <c r="I174">
        <v>0.96472184531885996</v>
      </c>
      <c r="J174" t="s">
        <v>408</v>
      </c>
      <c r="K174">
        <v>1.51898734177215</v>
      </c>
      <c r="L174" t="s">
        <v>343</v>
      </c>
      <c r="M174">
        <v>1.1059602649006599</v>
      </c>
      <c r="N174" t="s">
        <v>431</v>
      </c>
      <c r="O174">
        <v>1.0680851063829699</v>
      </c>
      <c r="P174" t="s">
        <v>343</v>
      </c>
      <c r="Q174">
        <v>1.02230522273747</v>
      </c>
      <c r="R174" t="s">
        <v>423</v>
      </c>
      <c r="S174">
        <v>0.85210322195704002</v>
      </c>
      <c r="T174" t="s">
        <v>343</v>
      </c>
      <c r="U174">
        <v>1.0176678445229601</v>
      </c>
      <c r="V174" t="s">
        <v>482</v>
      </c>
      <c r="W174">
        <v>1.4338919925512099</v>
      </c>
      <c r="X174" t="s">
        <v>435</v>
      </c>
      <c r="Y174">
        <v>0.88744588744588704</v>
      </c>
      <c r="Z174" t="s">
        <v>431</v>
      </c>
      <c r="AA174">
        <v>1.03825136612021</v>
      </c>
      <c r="AB174" t="s">
        <v>455</v>
      </c>
      <c r="AC174">
        <v>0.85555797259082</v>
      </c>
      <c r="AD174" t="s">
        <v>436</v>
      </c>
      <c r="AE174">
        <v>0.78619153674832898</v>
      </c>
      <c r="AF174" t="s">
        <v>448</v>
      </c>
      <c r="AG174">
        <v>0.95069337442218704</v>
      </c>
      <c r="AH174" t="s">
        <v>448</v>
      </c>
      <c r="AI174">
        <v>0.66774716369529896</v>
      </c>
      <c r="AJ174" t="s">
        <v>456</v>
      </c>
      <c r="AK174">
        <v>1.0311284046692599</v>
      </c>
      <c r="AL174" t="s">
        <v>478</v>
      </c>
      <c r="AM174">
        <v>0.99356913183279705</v>
      </c>
      <c r="AN174" t="s">
        <v>456</v>
      </c>
      <c r="AO174">
        <v>1.0690789473684199</v>
      </c>
      <c r="AP174" t="s">
        <v>456</v>
      </c>
      <c r="AQ174">
        <v>1.1415384615384601</v>
      </c>
      <c r="AR174" t="s">
        <v>463</v>
      </c>
      <c r="AS174">
        <v>1.0216216216216201</v>
      </c>
      <c r="AT174" t="s">
        <v>471</v>
      </c>
      <c r="AU174">
        <v>1.19</v>
      </c>
      <c r="AV174" t="s">
        <v>471</v>
      </c>
      <c r="AW174">
        <v>0.88130252100840301</v>
      </c>
      <c r="AX174" t="s">
        <v>456</v>
      </c>
      <c r="AY174">
        <v>1.3009049773755601</v>
      </c>
      <c r="AZ174" t="s">
        <v>467</v>
      </c>
      <c r="BA174">
        <v>1.1343283582089501</v>
      </c>
      <c r="BB174" t="s">
        <v>472</v>
      </c>
      <c r="BC174">
        <v>0.95192307692307598</v>
      </c>
      <c r="BD174" t="s">
        <v>467</v>
      </c>
      <c r="BE174">
        <v>1.03478260869565</v>
      </c>
      <c r="BF174" t="s">
        <v>471</v>
      </c>
      <c r="BG174">
        <v>0.76821192052980103</v>
      </c>
      <c r="BH174" t="s">
        <v>483</v>
      </c>
      <c r="BI174">
        <v>0.96363636363636296</v>
      </c>
      <c r="BJ174" t="s">
        <v>483</v>
      </c>
      <c r="BK174">
        <v>0.961006289308176</v>
      </c>
      <c r="BL174" t="s">
        <v>472</v>
      </c>
      <c r="BM174">
        <v>0.81535269709543501</v>
      </c>
      <c r="BN174" t="s">
        <v>481</v>
      </c>
      <c r="BO174">
        <v>1.2398081534772101</v>
      </c>
      <c r="BP174" t="s">
        <v>484</v>
      </c>
      <c r="BQ174">
        <v>0.91639871382636595</v>
      </c>
      <c r="BR174" t="s">
        <v>484</v>
      </c>
      <c r="BS174">
        <v>1.2163742690058399</v>
      </c>
      <c r="BT174" t="s">
        <v>484</v>
      </c>
      <c r="BU174">
        <v>1.18461538461538</v>
      </c>
      <c r="BV174" t="s">
        <v>485</v>
      </c>
      <c r="BW174">
        <v>1.06341463414634</v>
      </c>
    </row>
    <row r="175" spans="1:75" x14ac:dyDescent="0.4">
      <c r="A175">
        <v>173</v>
      </c>
      <c r="B175" t="s">
        <v>422</v>
      </c>
      <c r="C175">
        <v>1.1284722222222201</v>
      </c>
      <c r="D175" t="s">
        <v>420</v>
      </c>
      <c r="E175">
        <v>0.59450549450549395</v>
      </c>
      <c r="F175" t="s">
        <v>428</v>
      </c>
      <c r="G175">
        <v>0.83026649746192804</v>
      </c>
      <c r="H175" t="s">
        <v>420</v>
      </c>
      <c r="I175">
        <v>1.23188405797101</v>
      </c>
      <c r="J175" t="s">
        <v>420</v>
      </c>
      <c r="K175">
        <v>1.1607843137254901</v>
      </c>
      <c r="L175" t="s">
        <v>423</v>
      </c>
      <c r="M175">
        <v>1.11476690684955</v>
      </c>
      <c r="N175" t="s">
        <v>482</v>
      </c>
      <c r="O175">
        <v>1.00852272727272</v>
      </c>
      <c r="P175" t="s">
        <v>423</v>
      </c>
      <c r="Q175">
        <v>1.06768593725115</v>
      </c>
      <c r="R175" t="s">
        <v>431</v>
      </c>
      <c r="S175">
        <v>1.13618677042801</v>
      </c>
      <c r="T175" t="s">
        <v>423</v>
      </c>
      <c r="U175">
        <v>1.13636761487965</v>
      </c>
      <c r="V175" t="s">
        <v>453</v>
      </c>
      <c r="W175">
        <v>1.0539956803455699</v>
      </c>
      <c r="X175" t="s">
        <v>343</v>
      </c>
      <c r="Y175">
        <v>0.83089195745474898</v>
      </c>
      <c r="Z175" t="s">
        <v>451</v>
      </c>
      <c r="AA175">
        <v>0.94471744471744401</v>
      </c>
      <c r="AB175" t="s">
        <v>433</v>
      </c>
      <c r="AC175">
        <v>0.92481977342945398</v>
      </c>
      <c r="AD175" t="s">
        <v>440</v>
      </c>
      <c r="AE175">
        <v>0.76013513513513498</v>
      </c>
      <c r="AF175" t="s">
        <v>469</v>
      </c>
      <c r="AG175">
        <v>1.2426470588235199</v>
      </c>
      <c r="AH175" t="s">
        <v>446</v>
      </c>
      <c r="AI175">
        <v>0.91921005385996402</v>
      </c>
      <c r="AJ175" t="s">
        <v>468</v>
      </c>
      <c r="AK175">
        <v>0.82283087312632597</v>
      </c>
      <c r="AL175" t="s">
        <v>467</v>
      </c>
      <c r="AM175">
        <v>1.0295566502463001</v>
      </c>
      <c r="AN175" t="s">
        <v>460</v>
      </c>
      <c r="AO175">
        <v>1.0413793103448199</v>
      </c>
      <c r="AP175" t="s">
        <v>460</v>
      </c>
      <c r="AQ175">
        <v>1.4238410596026401</v>
      </c>
      <c r="AR175" t="s">
        <v>478</v>
      </c>
      <c r="AS175">
        <v>1.10728476821192</v>
      </c>
      <c r="AT175" t="s">
        <v>472</v>
      </c>
      <c r="AU175">
        <v>0.88439306358381498</v>
      </c>
      <c r="AV175" t="s">
        <v>472</v>
      </c>
      <c r="AW175">
        <v>1.1552287581699301</v>
      </c>
      <c r="AX175" t="s">
        <v>463</v>
      </c>
      <c r="AY175">
        <v>0.87487386478304696</v>
      </c>
      <c r="AZ175" t="s">
        <v>471</v>
      </c>
      <c r="BA175">
        <v>0.83853606027987004</v>
      </c>
      <c r="BB175" t="s">
        <v>481</v>
      </c>
      <c r="BC175">
        <v>0.79435957696827197</v>
      </c>
      <c r="BD175" t="s">
        <v>471</v>
      </c>
      <c r="BE175">
        <v>1.1251862891207101</v>
      </c>
      <c r="BF175" t="s">
        <v>476</v>
      </c>
      <c r="BG175">
        <v>1.05524861878453</v>
      </c>
      <c r="BH175" t="s">
        <v>486</v>
      </c>
      <c r="BI175">
        <v>1.0321100917431101</v>
      </c>
      <c r="BJ175" t="s">
        <v>486</v>
      </c>
      <c r="BK175">
        <v>0.90666666666666595</v>
      </c>
      <c r="BL175" t="s">
        <v>481</v>
      </c>
      <c r="BM175">
        <v>0.81764705882352895</v>
      </c>
      <c r="BN175" t="s">
        <v>483</v>
      </c>
      <c r="BO175">
        <v>1.04411764705882</v>
      </c>
      <c r="BP175" t="s">
        <v>481</v>
      </c>
      <c r="BQ175">
        <v>1.1334622823984499</v>
      </c>
      <c r="BR175" t="s">
        <v>481</v>
      </c>
      <c r="BS175">
        <v>1.09726962457337</v>
      </c>
      <c r="BT175" t="s">
        <v>481</v>
      </c>
      <c r="BU175">
        <v>1.0964230171072999</v>
      </c>
      <c r="BV175" t="s">
        <v>484</v>
      </c>
      <c r="BW175">
        <v>0.90259740259740195</v>
      </c>
    </row>
    <row r="176" spans="1:75" x14ac:dyDescent="0.4">
      <c r="A176">
        <v>174</v>
      </c>
      <c r="B176" t="s">
        <v>428</v>
      </c>
      <c r="C176">
        <v>0.97321428571428503</v>
      </c>
      <c r="D176" t="s">
        <v>422</v>
      </c>
      <c r="E176">
        <v>0.6</v>
      </c>
      <c r="F176" t="s">
        <v>421</v>
      </c>
      <c r="G176">
        <v>0.82220242193511806</v>
      </c>
      <c r="H176" t="s">
        <v>428</v>
      </c>
      <c r="I176">
        <v>1.1671761559036999</v>
      </c>
      <c r="J176" t="s">
        <v>428</v>
      </c>
      <c r="K176">
        <v>0.90456703224750301</v>
      </c>
      <c r="L176" t="s">
        <v>431</v>
      </c>
      <c r="M176">
        <v>0.91439688715953304</v>
      </c>
      <c r="N176" t="s">
        <v>487</v>
      </c>
      <c r="O176">
        <v>0.94786729857819896</v>
      </c>
      <c r="P176" t="s">
        <v>431</v>
      </c>
      <c r="Q176">
        <v>1.02390438247011</v>
      </c>
      <c r="R176" t="s">
        <v>482</v>
      </c>
      <c r="S176">
        <v>1.05688622754491</v>
      </c>
      <c r="T176" t="s">
        <v>431</v>
      </c>
      <c r="U176">
        <v>1.06849315068493</v>
      </c>
      <c r="V176" t="s">
        <v>455</v>
      </c>
      <c r="W176">
        <v>1.06324671445639</v>
      </c>
      <c r="X176" t="s">
        <v>423</v>
      </c>
      <c r="Y176">
        <v>0.943865781195386</v>
      </c>
      <c r="Z176" t="s">
        <v>453</v>
      </c>
      <c r="AA176">
        <v>0.97986577181208001</v>
      </c>
      <c r="AB176" t="s">
        <v>436</v>
      </c>
      <c r="AC176">
        <v>0.81636363636363596</v>
      </c>
      <c r="AD176" t="s">
        <v>447</v>
      </c>
      <c r="AE176">
        <v>0.95871559633027503</v>
      </c>
      <c r="AF176" t="s">
        <v>470</v>
      </c>
      <c r="AG176">
        <v>0.99823659625558103</v>
      </c>
      <c r="AH176" t="s">
        <v>470</v>
      </c>
      <c r="AI176">
        <v>0.76922498684507201</v>
      </c>
      <c r="AJ176" t="s">
        <v>463</v>
      </c>
      <c r="AK176">
        <v>1.17328519855595</v>
      </c>
      <c r="AL176" t="s">
        <v>471</v>
      </c>
      <c r="AM176">
        <v>0.79219512195121899</v>
      </c>
      <c r="AN176" t="s">
        <v>468</v>
      </c>
      <c r="AO176">
        <v>0.97094983894626996</v>
      </c>
      <c r="AP176" t="s">
        <v>468</v>
      </c>
      <c r="AQ176">
        <v>0.56546117185309697</v>
      </c>
      <c r="AR176" t="s">
        <v>467</v>
      </c>
      <c r="AS176">
        <v>1</v>
      </c>
      <c r="AT176" t="s">
        <v>485</v>
      </c>
      <c r="AU176">
        <v>1.07046070460704</v>
      </c>
      <c r="AV176" t="s">
        <v>485</v>
      </c>
      <c r="AW176">
        <v>1.12025316455696</v>
      </c>
      <c r="AX176" t="s">
        <v>467</v>
      </c>
      <c r="AY176">
        <v>0.99504950495049505</v>
      </c>
      <c r="AZ176" t="s">
        <v>472</v>
      </c>
      <c r="BA176">
        <v>0.96</v>
      </c>
      <c r="BB176" t="s">
        <v>483</v>
      </c>
      <c r="BC176">
        <v>1.20977011494252</v>
      </c>
      <c r="BD176" t="s">
        <v>472</v>
      </c>
      <c r="BE176">
        <v>1.0925925925925899</v>
      </c>
      <c r="BF176" t="s">
        <v>472</v>
      </c>
      <c r="BG176">
        <v>0.964560862865947</v>
      </c>
      <c r="BH176" t="s">
        <v>488</v>
      </c>
      <c r="BI176">
        <v>0.83928571428571397</v>
      </c>
      <c r="BJ176" t="s">
        <v>488</v>
      </c>
      <c r="BK176">
        <v>0.93758865248226897</v>
      </c>
      <c r="BL176" t="s">
        <v>483</v>
      </c>
      <c r="BM176">
        <v>0.80104712041884796</v>
      </c>
      <c r="BN176" t="s">
        <v>486</v>
      </c>
      <c r="BO176">
        <v>0.990783410138248</v>
      </c>
      <c r="BP176" t="s">
        <v>483</v>
      </c>
      <c r="BQ176">
        <v>0.88732394366197098</v>
      </c>
      <c r="BR176" t="s">
        <v>483</v>
      </c>
      <c r="BS176">
        <v>1.17460317460317</v>
      </c>
      <c r="BT176" t="s">
        <v>483</v>
      </c>
      <c r="BU176">
        <v>0.97747747747747704</v>
      </c>
      <c r="BV176" t="s">
        <v>481</v>
      </c>
      <c r="BW176">
        <v>1.1645390070921899</v>
      </c>
    </row>
    <row r="177" spans="1:75" x14ac:dyDescent="0.4">
      <c r="A177">
        <v>175</v>
      </c>
      <c r="B177" t="s">
        <v>421</v>
      </c>
      <c r="C177">
        <v>1.00731678061652</v>
      </c>
      <c r="D177" t="s">
        <v>428</v>
      </c>
      <c r="E177">
        <v>0.96391437308868499</v>
      </c>
      <c r="F177" t="s">
        <v>423</v>
      </c>
      <c r="G177">
        <v>0.44537346711259701</v>
      </c>
      <c r="H177" t="s">
        <v>343</v>
      </c>
      <c r="I177">
        <v>0.72784299339691805</v>
      </c>
      <c r="J177" t="s">
        <v>343</v>
      </c>
      <c r="K177">
        <v>1.1035230079128999</v>
      </c>
      <c r="L177" t="s">
        <v>451</v>
      </c>
      <c r="M177">
        <v>1.1938775510204001</v>
      </c>
      <c r="N177" t="s">
        <v>453</v>
      </c>
      <c r="O177">
        <v>1.1205128205128201</v>
      </c>
      <c r="P177" t="s">
        <v>425</v>
      </c>
      <c r="Q177">
        <v>1.40418118466898</v>
      </c>
      <c r="R177" t="s">
        <v>453</v>
      </c>
      <c r="S177">
        <v>1.0709677419354799</v>
      </c>
      <c r="T177" t="s">
        <v>453</v>
      </c>
      <c r="U177">
        <v>0.92971887550200805</v>
      </c>
      <c r="V177" t="s">
        <v>433</v>
      </c>
      <c r="W177">
        <v>0.973856209150326</v>
      </c>
      <c r="X177" t="s">
        <v>482</v>
      </c>
      <c r="Y177">
        <v>1.45714285714285</v>
      </c>
      <c r="Z177" t="s">
        <v>455</v>
      </c>
      <c r="AA177">
        <v>1.0147156206312999</v>
      </c>
      <c r="AB177" t="s">
        <v>440</v>
      </c>
      <c r="AC177">
        <v>1.0922509225092201</v>
      </c>
      <c r="AD177" t="s">
        <v>448</v>
      </c>
      <c r="AE177">
        <v>0.91408450704225297</v>
      </c>
      <c r="AF177" t="s">
        <v>457</v>
      </c>
      <c r="AG177">
        <v>1.22132253711201</v>
      </c>
      <c r="AH177" t="s">
        <v>452</v>
      </c>
      <c r="AI177">
        <v>0.95344506517690797</v>
      </c>
      <c r="AJ177" t="s">
        <v>467</v>
      </c>
      <c r="AK177">
        <v>1.11293859649122</v>
      </c>
      <c r="AL177" t="s">
        <v>472</v>
      </c>
      <c r="AM177">
        <v>0.87669683257918496</v>
      </c>
      <c r="AN177" t="s">
        <v>478</v>
      </c>
      <c r="AO177">
        <v>1.00485436893203</v>
      </c>
      <c r="AP177" t="s">
        <v>478</v>
      </c>
      <c r="AQ177">
        <v>1.2157809983896899</v>
      </c>
      <c r="AR177" t="s">
        <v>471</v>
      </c>
      <c r="AS177">
        <v>0.93786635404454799</v>
      </c>
      <c r="AT177" t="s">
        <v>481</v>
      </c>
      <c r="AU177">
        <v>1.1342857142857099</v>
      </c>
      <c r="AV177" t="s">
        <v>489</v>
      </c>
      <c r="AW177">
        <v>1.21166077738515</v>
      </c>
      <c r="AX177" t="s">
        <v>471</v>
      </c>
      <c r="AY177">
        <v>1.1072705601907</v>
      </c>
      <c r="AZ177" t="s">
        <v>481</v>
      </c>
      <c r="BA177">
        <v>1.14844804318488</v>
      </c>
      <c r="BB177" t="s">
        <v>486</v>
      </c>
      <c r="BC177">
        <v>0.99454297407912595</v>
      </c>
      <c r="BD177" t="s">
        <v>481</v>
      </c>
      <c r="BE177">
        <v>0.890532544378698</v>
      </c>
      <c r="BF177" t="s">
        <v>477</v>
      </c>
      <c r="BG177">
        <v>0.96410433672790996</v>
      </c>
      <c r="BH177" t="s">
        <v>490</v>
      </c>
      <c r="BI177">
        <v>0.99363057324840698</v>
      </c>
      <c r="BJ177" t="s">
        <v>491</v>
      </c>
      <c r="BK177">
        <v>1.27627627627627</v>
      </c>
      <c r="BL177" t="s">
        <v>486</v>
      </c>
      <c r="BM177">
        <v>1.06372549019607</v>
      </c>
      <c r="BN177" t="s">
        <v>488</v>
      </c>
      <c r="BO177">
        <v>1.0354729729729699</v>
      </c>
      <c r="BP177" t="s">
        <v>486</v>
      </c>
      <c r="BQ177">
        <v>0.89395348837209299</v>
      </c>
      <c r="BR177" t="s">
        <v>492</v>
      </c>
      <c r="BS177">
        <v>0.88228941684665196</v>
      </c>
      <c r="BT177" t="s">
        <v>486</v>
      </c>
      <c r="BU177">
        <v>0.98972602739726001</v>
      </c>
      <c r="BV177" t="s">
        <v>483</v>
      </c>
      <c r="BW177">
        <v>1.0814132104454599</v>
      </c>
    </row>
    <row r="178" spans="1:75" x14ac:dyDescent="0.4">
      <c r="A178">
        <v>176</v>
      </c>
      <c r="B178" t="s">
        <v>349</v>
      </c>
      <c r="C178">
        <v>1.0595794392523299</v>
      </c>
      <c r="D178" t="s">
        <v>421</v>
      </c>
      <c r="E178">
        <v>0.98003492895133704</v>
      </c>
      <c r="F178" t="s">
        <v>431</v>
      </c>
      <c r="G178">
        <v>0.80314960629921195</v>
      </c>
      <c r="H178" t="s">
        <v>423</v>
      </c>
      <c r="I178">
        <v>0.93351063829787195</v>
      </c>
      <c r="J178" t="s">
        <v>431</v>
      </c>
      <c r="K178">
        <v>1.2862862862862801</v>
      </c>
      <c r="L178" t="s">
        <v>482</v>
      </c>
      <c r="M178">
        <v>1.2350877192982399</v>
      </c>
      <c r="N178" t="s">
        <v>455</v>
      </c>
      <c r="O178">
        <v>1.0355968548963499</v>
      </c>
      <c r="P178" t="s">
        <v>482</v>
      </c>
      <c r="Q178">
        <v>0.94084507042253496</v>
      </c>
      <c r="R178" t="s">
        <v>455</v>
      </c>
      <c r="S178">
        <v>1.1456056641526799</v>
      </c>
      <c r="T178" t="s">
        <v>455</v>
      </c>
      <c r="U178">
        <v>0.89963724304715798</v>
      </c>
      <c r="V178" t="s">
        <v>436</v>
      </c>
      <c r="W178">
        <v>1.00340136054421</v>
      </c>
      <c r="X178" t="s">
        <v>453</v>
      </c>
      <c r="Y178">
        <v>0.91598360655737698</v>
      </c>
      <c r="Z178" t="s">
        <v>433</v>
      </c>
      <c r="AA178">
        <v>1.0307855626326901</v>
      </c>
      <c r="AB178" t="s">
        <v>448</v>
      </c>
      <c r="AC178">
        <v>1.2456140350877101</v>
      </c>
      <c r="AD178" t="s">
        <v>444</v>
      </c>
      <c r="AE178">
        <v>1.1262022554773601</v>
      </c>
      <c r="AF178" t="s">
        <v>452</v>
      </c>
      <c r="AG178">
        <v>0.88032786885245895</v>
      </c>
      <c r="AH178" t="s">
        <v>474</v>
      </c>
      <c r="AI178">
        <v>0.57814624969797301</v>
      </c>
      <c r="AJ178" t="s">
        <v>471</v>
      </c>
      <c r="AK178">
        <v>0.97619047619047605</v>
      </c>
      <c r="AL178" t="s">
        <v>485</v>
      </c>
      <c r="AM178">
        <v>1.53488372093023</v>
      </c>
      <c r="AN178" t="s">
        <v>467</v>
      </c>
      <c r="AO178">
        <v>1.0526315789473599</v>
      </c>
      <c r="AP178" t="s">
        <v>467</v>
      </c>
      <c r="AQ178">
        <v>0.97727272727272696</v>
      </c>
      <c r="AR178" t="s">
        <v>472</v>
      </c>
      <c r="AS178">
        <v>0.97602256699576795</v>
      </c>
      <c r="AT178" t="s">
        <v>483</v>
      </c>
      <c r="AU178">
        <v>1.1153846153846101</v>
      </c>
      <c r="AV178" t="s">
        <v>481</v>
      </c>
      <c r="AW178">
        <v>1.05037783375314</v>
      </c>
      <c r="AX178" t="s">
        <v>472</v>
      </c>
      <c r="AY178">
        <v>0.91937765205091904</v>
      </c>
      <c r="AZ178" t="s">
        <v>483</v>
      </c>
      <c r="BA178">
        <v>1.07407407407407</v>
      </c>
      <c r="BB178" t="s">
        <v>488</v>
      </c>
      <c r="BC178">
        <v>1.0082191780821901</v>
      </c>
      <c r="BD178" t="s">
        <v>486</v>
      </c>
      <c r="BE178">
        <v>1.1796982167352501</v>
      </c>
      <c r="BF178" t="s">
        <v>481</v>
      </c>
      <c r="BG178">
        <v>0.98671096345514897</v>
      </c>
      <c r="BH178" t="s">
        <v>493</v>
      </c>
      <c r="BI178">
        <v>1.04975922953451</v>
      </c>
      <c r="BJ178" t="s">
        <v>494</v>
      </c>
      <c r="BK178">
        <v>1.00501253132832</v>
      </c>
      <c r="BL178" t="s">
        <v>488</v>
      </c>
      <c r="BM178">
        <v>0.89561270801815396</v>
      </c>
      <c r="BN178" t="s">
        <v>490</v>
      </c>
      <c r="BO178">
        <v>1.0281690140844999</v>
      </c>
      <c r="BP178" t="s">
        <v>488</v>
      </c>
      <c r="BQ178">
        <v>1.04567699836867</v>
      </c>
      <c r="BR178" t="s">
        <v>486</v>
      </c>
      <c r="BS178">
        <v>0.91155046826222597</v>
      </c>
      <c r="BT178" t="s">
        <v>488</v>
      </c>
      <c r="BU178">
        <v>0.95096582466567603</v>
      </c>
      <c r="BV178" t="s">
        <v>492</v>
      </c>
      <c r="BW178">
        <v>0.98345153664302598</v>
      </c>
    </row>
    <row r="179" spans="1:75" x14ac:dyDescent="0.4">
      <c r="A179">
        <v>177</v>
      </c>
      <c r="B179" t="s">
        <v>423</v>
      </c>
      <c r="C179">
        <v>1.1752374713396601</v>
      </c>
      <c r="D179" t="s">
        <v>435</v>
      </c>
      <c r="E179">
        <v>0.87804878048780399</v>
      </c>
      <c r="F179" t="s">
        <v>482</v>
      </c>
      <c r="G179">
        <v>0.64521739130434697</v>
      </c>
      <c r="H179" t="s">
        <v>431</v>
      </c>
      <c r="I179">
        <v>0.97941176470588198</v>
      </c>
      <c r="J179" t="s">
        <v>482</v>
      </c>
      <c r="K179">
        <v>1.50395778364116</v>
      </c>
      <c r="L179" t="s">
        <v>487</v>
      </c>
      <c r="M179">
        <v>0.91739130434782601</v>
      </c>
      <c r="N179" t="s">
        <v>433</v>
      </c>
      <c r="O179">
        <v>1.1109756097560901</v>
      </c>
      <c r="P179" t="s">
        <v>453</v>
      </c>
      <c r="Q179">
        <v>1.06407322654462</v>
      </c>
      <c r="R179" t="s">
        <v>433</v>
      </c>
      <c r="S179">
        <v>1.0470446320868501</v>
      </c>
      <c r="T179" t="s">
        <v>433</v>
      </c>
      <c r="U179">
        <v>1.05760368663594</v>
      </c>
      <c r="V179" t="s">
        <v>440</v>
      </c>
      <c r="W179">
        <v>1.25903614457831</v>
      </c>
      <c r="X179" t="s">
        <v>455</v>
      </c>
      <c r="Y179">
        <v>0.95449118617880402</v>
      </c>
      <c r="Z179" t="s">
        <v>436</v>
      </c>
      <c r="AA179">
        <v>1.07632093933463</v>
      </c>
      <c r="AB179" t="s">
        <v>457</v>
      </c>
      <c r="AC179">
        <v>1.1449704142011801</v>
      </c>
      <c r="AD179" t="s">
        <v>446</v>
      </c>
      <c r="AE179">
        <v>0.75085324232081896</v>
      </c>
      <c r="AF179" t="s">
        <v>474</v>
      </c>
      <c r="AG179">
        <v>1.2192245334691201</v>
      </c>
      <c r="AH179" t="s">
        <v>456</v>
      </c>
      <c r="AI179">
        <v>0.96074766355140095</v>
      </c>
      <c r="AJ179" t="s">
        <v>472</v>
      </c>
      <c r="AK179">
        <v>1.3</v>
      </c>
      <c r="AL179" t="s">
        <v>481</v>
      </c>
      <c r="AM179">
        <v>0.99115044247787598</v>
      </c>
      <c r="AN179" t="s">
        <v>471</v>
      </c>
      <c r="AO179">
        <v>0.98522167487684698</v>
      </c>
      <c r="AP179" t="s">
        <v>471</v>
      </c>
      <c r="AQ179">
        <v>1.0662499999999999</v>
      </c>
      <c r="AR179" t="s">
        <v>485</v>
      </c>
      <c r="AS179">
        <v>0.814569536423841</v>
      </c>
      <c r="AT179" t="s">
        <v>486</v>
      </c>
      <c r="AU179">
        <v>1.04339622641509</v>
      </c>
      <c r="AV179" t="s">
        <v>483</v>
      </c>
      <c r="AW179">
        <v>0.94344827586206803</v>
      </c>
      <c r="AX179" t="s">
        <v>485</v>
      </c>
      <c r="AY179">
        <v>2.0847457627118602</v>
      </c>
      <c r="AZ179" t="s">
        <v>486</v>
      </c>
      <c r="BA179">
        <v>0.904938271604938</v>
      </c>
      <c r="BB179" t="s">
        <v>493</v>
      </c>
      <c r="BC179">
        <v>1.0491803278688501</v>
      </c>
      <c r="BD179" t="s">
        <v>495</v>
      </c>
      <c r="BE179">
        <v>0.75929203539822998</v>
      </c>
      <c r="BF179" t="s">
        <v>483</v>
      </c>
      <c r="BG179">
        <v>1.05633802816901</v>
      </c>
      <c r="BH179" t="s">
        <v>496</v>
      </c>
      <c r="BI179">
        <v>0.77818181818181797</v>
      </c>
      <c r="BJ179" t="s">
        <v>496</v>
      </c>
      <c r="BK179">
        <v>0.96261682242990598</v>
      </c>
      <c r="BL179" t="s">
        <v>490</v>
      </c>
      <c r="BM179">
        <v>0.86060606060606004</v>
      </c>
      <c r="BN179" t="s">
        <v>493</v>
      </c>
      <c r="BO179">
        <v>0.95808383233532901</v>
      </c>
      <c r="BP179" t="s">
        <v>490</v>
      </c>
      <c r="BQ179">
        <v>0.931506849315068</v>
      </c>
      <c r="BR179" t="s">
        <v>488</v>
      </c>
      <c r="BS179">
        <v>1.0499219968798701</v>
      </c>
      <c r="BT179" t="s">
        <v>490</v>
      </c>
      <c r="BU179">
        <v>0.97520661157024702</v>
      </c>
      <c r="BV179" t="s">
        <v>486</v>
      </c>
      <c r="BW179">
        <v>1.0126874279123399</v>
      </c>
    </row>
    <row r="180" spans="1:75" x14ac:dyDescent="0.4">
      <c r="A180">
        <v>178</v>
      </c>
      <c r="B180" t="s">
        <v>431</v>
      </c>
      <c r="C180">
        <v>0.94244604316546698</v>
      </c>
      <c r="D180" t="s">
        <v>423</v>
      </c>
      <c r="E180">
        <v>0.66666666666666596</v>
      </c>
      <c r="F180" t="s">
        <v>432</v>
      </c>
      <c r="G180">
        <v>0.70085470085470003</v>
      </c>
      <c r="H180" t="s">
        <v>482</v>
      </c>
      <c r="I180">
        <v>1.0215633423180499</v>
      </c>
      <c r="J180" t="s">
        <v>432</v>
      </c>
      <c r="K180">
        <v>1.20327102803738</v>
      </c>
      <c r="L180" t="s">
        <v>432</v>
      </c>
      <c r="M180">
        <v>1.3592233009708701</v>
      </c>
      <c r="N180" t="s">
        <v>440</v>
      </c>
      <c r="O180">
        <v>0.9296875</v>
      </c>
      <c r="P180" t="s">
        <v>455</v>
      </c>
      <c r="Q180">
        <v>0.89688017669795606</v>
      </c>
      <c r="R180" t="s">
        <v>436</v>
      </c>
      <c r="S180">
        <v>1.0314465408805</v>
      </c>
      <c r="T180" t="s">
        <v>436</v>
      </c>
      <c r="U180">
        <v>1.1951219512195099</v>
      </c>
      <c r="V180" t="s">
        <v>448</v>
      </c>
      <c r="W180">
        <v>1.24184261036468</v>
      </c>
      <c r="X180" t="s">
        <v>433</v>
      </c>
      <c r="Y180">
        <v>1.0536912751677801</v>
      </c>
      <c r="Z180" t="s">
        <v>440</v>
      </c>
      <c r="AA180">
        <v>1.15811965811965</v>
      </c>
      <c r="AB180" t="s">
        <v>452</v>
      </c>
      <c r="AC180">
        <v>0.87316421895861096</v>
      </c>
      <c r="AD180" t="s">
        <v>457</v>
      </c>
      <c r="AE180">
        <v>0.95736434108527102</v>
      </c>
      <c r="AF180" t="s">
        <v>456</v>
      </c>
      <c r="AG180">
        <v>1.07971745711402</v>
      </c>
      <c r="AH180" t="s">
        <v>468</v>
      </c>
      <c r="AI180">
        <v>0.56735486376286304</v>
      </c>
      <c r="AJ180" t="s">
        <v>485</v>
      </c>
      <c r="AK180">
        <v>0.98850574712643602</v>
      </c>
      <c r="AL180" t="s">
        <v>483</v>
      </c>
      <c r="AM180">
        <v>1.05915492957746</v>
      </c>
      <c r="AN180" t="s">
        <v>472</v>
      </c>
      <c r="AO180">
        <v>1.0258064516129</v>
      </c>
      <c r="AP180" t="s">
        <v>472</v>
      </c>
      <c r="AQ180">
        <v>0.89182389937106898</v>
      </c>
      <c r="AR180" t="s">
        <v>481</v>
      </c>
      <c r="AS180">
        <v>0.91623036649214595</v>
      </c>
      <c r="AT180" t="s">
        <v>495</v>
      </c>
      <c r="AU180">
        <v>0.98646034816247496</v>
      </c>
      <c r="AV180" t="s">
        <v>486</v>
      </c>
      <c r="AW180">
        <v>1.03074141048824</v>
      </c>
      <c r="AX180" t="s">
        <v>481</v>
      </c>
      <c r="AY180">
        <v>0.888489208633093</v>
      </c>
      <c r="AZ180" t="s">
        <v>495</v>
      </c>
      <c r="BA180">
        <v>1.3007968127489999</v>
      </c>
      <c r="BB180" t="s">
        <v>491</v>
      </c>
      <c r="BC180">
        <v>0.91073326248671604</v>
      </c>
      <c r="BD180" t="s">
        <v>488</v>
      </c>
      <c r="BE180">
        <v>0.95244565217391297</v>
      </c>
      <c r="BF180" t="s">
        <v>486</v>
      </c>
      <c r="BG180">
        <v>1.2674418604651101</v>
      </c>
      <c r="BH180" t="s">
        <v>497</v>
      </c>
      <c r="BI180">
        <v>0.85667396061269097</v>
      </c>
      <c r="BJ180" t="s">
        <v>497</v>
      </c>
      <c r="BK180">
        <v>0.94763729246487804</v>
      </c>
      <c r="BL180" t="s">
        <v>493</v>
      </c>
      <c r="BM180">
        <v>0.86379310344827498</v>
      </c>
      <c r="BN180" t="s">
        <v>496</v>
      </c>
      <c r="BO180">
        <v>1.1613958560523401</v>
      </c>
      <c r="BP180" t="s">
        <v>493</v>
      </c>
      <c r="BQ180">
        <v>0.90833333333333299</v>
      </c>
      <c r="BR180" t="s">
        <v>493</v>
      </c>
      <c r="BS180">
        <v>1.0137614678899001</v>
      </c>
      <c r="BT180" t="s">
        <v>493</v>
      </c>
      <c r="BU180">
        <v>0.95475113122171895</v>
      </c>
      <c r="BV180" t="s">
        <v>488</v>
      </c>
      <c r="BW180">
        <v>1.0328124999999999</v>
      </c>
    </row>
    <row r="181" spans="1:75" x14ac:dyDescent="0.4">
      <c r="A181">
        <v>179</v>
      </c>
      <c r="B181" t="s">
        <v>451</v>
      </c>
      <c r="C181">
        <v>0.97997329773030695</v>
      </c>
      <c r="D181" t="s">
        <v>431</v>
      </c>
      <c r="E181">
        <v>0.969465648854961</v>
      </c>
      <c r="F181" t="s">
        <v>453</v>
      </c>
      <c r="G181">
        <v>0.625</v>
      </c>
      <c r="H181" t="s">
        <v>432</v>
      </c>
      <c r="I181">
        <v>1.0439024390243901</v>
      </c>
      <c r="J181" t="s">
        <v>437</v>
      </c>
      <c r="K181">
        <v>1.83719785300015</v>
      </c>
      <c r="L181" t="s">
        <v>453</v>
      </c>
      <c r="M181">
        <v>1.0833333333333299</v>
      </c>
      <c r="N181" t="s">
        <v>445</v>
      </c>
      <c r="O181">
        <v>0.930291508238276</v>
      </c>
      <c r="P181" t="s">
        <v>433</v>
      </c>
      <c r="Q181">
        <v>0.90998902305159102</v>
      </c>
      <c r="R181" t="s">
        <v>440</v>
      </c>
      <c r="S181">
        <v>1.02910958904109</v>
      </c>
      <c r="T181" t="s">
        <v>440</v>
      </c>
      <c r="U181">
        <v>1.3810316139767</v>
      </c>
      <c r="V181" t="s">
        <v>444</v>
      </c>
      <c r="W181">
        <v>1.06846479635703</v>
      </c>
      <c r="X181" t="s">
        <v>436</v>
      </c>
      <c r="Y181">
        <v>0.86610169491525402</v>
      </c>
      <c r="Z181" t="s">
        <v>448</v>
      </c>
      <c r="AA181">
        <v>0.99650349650349601</v>
      </c>
      <c r="AB181" t="s">
        <v>474</v>
      </c>
      <c r="AC181">
        <v>0.84807676848633395</v>
      </c>
      <c r="AD181" t="s">
        <v>452</v>
      </c>
      <c r="AE181">
        <v>0.932721712538226</v>
      </c>
      <c r="AF181" t="s">
        <v>468</v>
      </c>
      <c r="AG181">
        <v>1.13863976359094</v>
      </c>
      <c r="AH181" t="s">
        <v>463</v>
      </c>
      <c r="AI181">
        <v>0.85758513931888503</v>
      </c>
      <c r="AJ181" t="s">
        <v>481</v>
      </c>
      <c r="AK181">
        <v>0.91129032258064502</v>
      </c>
      <c r="AL181" t="s">
        <v>486</v>
      </c>
      <c r="AM181">
        <v>0.53364269141531295</v>
      </c>
      <c r="AN181" t="s">
        <v>485</v>
      </c>
      <c r="AO181">
        <v>1.1060606060606</v>
      </c>
      <c r="AP181" t="s">
        <v>485</v>
      </c>
      <c r="AQ181">
        <v>1.2410958904109499</v>
      </c>
      <c r="AR181" t="s">
        <v>483</v>
      </c>
      <c r="AS181">
        <v>0.92989985693848298</v>
      </c>
      <c r="AT181" t="s">
        <v>488</v>
      </c>
      <c r="AU181">
        <v>0.92647058823529405</v>
      </c>
      <c r="AV181" t="s">
        <v>495</v>
      </c>
      <c r="AW181">
        <v>0.82352941176470495</v>
      </c>
      <c r="AX181" t="s">
        <v>483</v>
      </c>
      <c r="AY181">
        <v>0.94736842105263097</v>
      </c>
      <c r="AZ181" t="s">
        <v>488</v>
      </c>
      <c r="BA181">
        <v>1.2146422628951701</v>
      </c>
      <c r="BB181" t="s">
        <v>494</v>
      </c>
      <c r="BC181">
        <v>0.75845410628019305</v>
      </c>
      <c r="BD181" t="s">
        <v>491</v>
      </c>
      <c r="BE181">
        <v>1.20770128354725</v>
      </c>
      <c r="BF181" t="s">
        <v>488</v>
      </c>
      <c r="BG181">
        <v>1.1982881597717501</v>
      </c>
      <c r="BH181" t="s">
        <v>498</v>
      </c>
      <c r="BI181">
        <v>0.89591836734693797</v>
      </c>
      <c r="BJ181" t="s">
        <v>498</v>
      </c>
      <c r="BK181">
        <v>1.4259681093394001</v>
      </c>
      <c r="BL181" t="s">
        <v>491</v>
      </c>
      <c r="BM181">
        <v>1.1372549019607801</v>
      </c>
      <c r="BN181" t="s">
        <v>497</v>
      </c>
      <c r="BO181">
        <v>1.0213740458015199</v>
      </c>
      <c r="BP181" t="s">
        <v>496</v>
      </c>
      <c r="BQ181">
        <v>1.5633802816901401</v>
      </c>
      <c r="BR181" t="s">
        <v>491</v>
      </c>
      <c r="BS181">
        <v>1.04810996563573</v>
      </c>
      <c r="BT181" t="s">
        <v>497</v>
      </c>
      <c r="BU181">
        <v>0.993930197268588</v>
      </c>
      <c r="BV181" t="s">
        <v>490</v>
      </c>
      <c r="BW181">
        <v>0.96716101694915202</v>
      </c>
    </row>
    <row r="182" spans="1:75" x14ac:dyDescent="0.4">
      <c r="A182">
        <v>180</v>
      </c>
      <c r="B182" t="s">
        <v>482</v>
      </c>
      <c r="C182">
        <v>0.88115246098439304</v>
      </c>
      <c r="D182" t="s">
        <v>451</v>
      </c>
      <c r="E182">
        <v>0.50885558583106205</v>
      </c>
      <c r="F182" t="s">
        <v>455</v>
      </c>
      <c r="G182">
        <v>0.49270225187656302</v>
      </c>
      <c r="H182" t="s">
        <v>437</v>
      </c>
      <c r="I182">
        <v>1.21582282177061</v>
      </c>
      <c r="J182" t="s">
        <v>455</v>
      </c>
      <c r="K182">
        <v>1.7624539484222299</v>
      </c>
      <c r="L182" t="s">
        <v>455</v>
      </c>
      <c r="M182">
        <v>1.2714714168862999</v>
      </c>
      <c r="N182" t="s">
        <v>448</v>
      </c>
      <c r="O182">
        <v>1.0041322314049499</v>
      </c>
      <c r="P182" t="s">
        <v>440</v>
      </c>
      <c r="Q182">
        <v>0.98151260504201598</v>
      </c>
      <c r="R182" t="s">
        <v>445</v>
      </c>
      <c r="S182">
        <v>1.16791979949874</v>
      </c>
      <c r="T182" t="s">
        <v>445</v>
      </c>
      <c r="U182">
        <v>1.30901287553648</v>
      </c>
      <c r="V182" t="s">
        <v>469</v>
      </c>
      <c r="W182">
        <v>1.71698113207547</v>
      </c>
      <c r="X182" t="s">
        <v>440</v>
      </c>
      <c r="Y182">
        <v>1.11961722488038</v>
      </c>
      <c r="Z182" t="s">
        <v>474</v>
      </c>
      <c r="AA182">
        <v>0.97196297648187902</v>
      </c>
      <c r="AB182" t="s">
        <v>456</v>
      </c>
      <c r="AC182">
        <v>0.86593059936908501</v>
      </c>
      <c r="AD182" t="s">
        <v>474</v>
      </c>
      <c r="AE182">
        <v>0.672335762912325</v>
      </c>
      <c r="AF182" t="s">
        <v>463</v>
      </c>
      <c r="AG182">
        <v>1.11379310344827</v>
      </c>
      <c r="AH182" t="s">
        <v>478</v>
      </c>
      <c r="AI182">
        <v>0.705955334987593</v>
      </c>
      <c r="AJ182" t="s">
        <v>483</v>
      </c>
      <c r="AK182">
        <v>1.1658456486042601</v>
      </c>
      <c r="AL182" t="s">
        <v>495</v>
      </c>
      <c r="AM182">
        <v>0.89017857142857104</v>
      </c>
      <c r="AN182" t="s">
        <v>489</v>
      </c>
      <c r="AO182">
        <v>1.11050583657587</v>
      </c>
      <c r="AP182" t="s">
        <v>481</v>
      </c>
      <c r="AQ182">
        <v>0.94554455445544505</v>
      </c>
      <c r="AR182" t="s">
        <v>486</v>
      </c>
      <c r="AS182">
        <v>1.00378787878787</v>
      </c>
      <c r="AT182" t="s">
        <v>493</v>
      </c>
      <c r="AU182">
        <v>1.32882011605415</v>
      </c>
      <c r="AV182" t="s">
        <v>488</v>
      </c>
      <c r="AW182">
        <v>1.0116402116402099</v>
      </c>
      <c r="AX182" t="s">
        <v>486</v>
      </c>
      <c r="AY182">
        <v>1.42105263157894</v>
      </c>
      <c r="AZ182" t="s">
        <v>493</v>
      </c>
      <c r="BA182">
        <v>1.1172161172161099</v>
      </c>
      <c r="BB182" t="s">
        <v>496</v>
      </c>
      <c r="BC182">
        <v>0.84895259095920605</v>
      </c>
      <c r="BD182" t="s">
        <v>494</v>
      </c>
      <c r="BE182">
        <v>1.0074309978768501</v>
      </c>
      <c r="BF182" t="s">
        <v>493</v>
      </c>
      <c r="BG182">
        <v>0.98888888888888804</v>
      </c>
      <c r="BH182" t="s">
        <v>499</v>
      </c>
      <c r="BI182">
        <v>0.78559999999999997</v>
      </c>
      <c r="BJ182" t="s">
        <v>500</v>
      </c>
      <c r="BK182">
        <v>1.08262108262108</v>
      </c>
      <c r="BL182" t="s">
        <v>494</v>
      </c>
      <c r="BM182">
        <v>0.80174563591022396</v>
      </c>
      <c r="BN182" t="s">
        <v>498</v>
      </c>
      <c r="BO182">
        <v>1.0278372591006399</v>
      </c>
      <c r="BP182" t="s">
        <v>497</v>
      </c>
      <c r="BQ182">
        <v>1.07324364723467</v>
      </c>
      <c r="BR182" t="s">
        <v>497</v>
      </c>
      <c r="BS182">
        <v>0.91782729805013896</v>
      </c>
      <c r="BT182" t="s">
        <v>498</v>
      </c>
      <c r="BU182">
        <v>1.0916666666666599</v>
      </c>
      <c r="BV182" t="s">
        <v>493</v>
      </c>
      <c r="BW182">
        <v>1.4170616113743999</v>
      </c>
    </row>
    <row r="183" spans="1:75" x14ac:dyDescent="0.4">
      <c r="A183">
        <v>181</v>
      </c>
      <c r="B183" t="s">
        <v>432</v>
      </c>
      <c r="C183">
        <v>0.87804878048780399</v>
      </c>
      <c r="D183" t="s">
        <v>482</v>
      </c>
      <c r="E183">
        <v>0.78337874659400497</v>
      </c>
      <c r="F183" t="s">
        <v>433</v>
      </c>
      <c r="G183">
        <v>0.61182986727975697</v>
      </c>
      <c r="H183" t="s">
        <v>455</v>
      </c>
      <c r="I183">
        <v>0.88066017774016003</v>
      </c>
      <c r="J183" t="s">
        <v>433</v>
      </c>
      <c r="K183">
        <v>1.34978540772532</v>
      </c>
      <c r="L183" t="s">
        <v>433</v>
      </c>
      <c r="M183">
        <v>1.30365659777424</v>
      </c>
      <c r="N183" t="s">
        <v>458</v>
      </c>
      <c r="O183">
        <v>1.1924686192468601</v>
      </c>
      <c r="P183" t="s">
        <v>445</v>
      </c>
      <c r="Q183">
        <v>1.0871934604904601</v>
      </c>
      <c r="R183" t="s">
        <v>448</v>
      </c>
      <c r="S183">
        <v>1.07020872865275</v>
      </c>
      <c r="T183" t="s">
        <v>448</v>
      </c>
      <c r="U183">
        <v>0.92375886524822604</v>
      </c>
      <c r="V183" t="s">
        <v>446</v>
      </c>
      <c r="W183">
        <v>0.99233716475095701</v>
      </c>
      <c r="X183" t="s">
        <v>448</v>
      </c>
      <c r="Y183">
        <v>0.884080370942813</v>
      </c>
      <c r="Z183" t="s">
        <v>456</v>
      </c>
      <c r="AA183">
        <v>1.19172932330827</v>
      </c>
      <c r="AB183" t="s">
        <v>478</v>
      </c>
      <c r="AC183">
        <v>0.88888888888888795</v>
      </c>
      <c r="AD183" t="s">
        <v>456</v>
      </c>
      <c r="AE183">
        <v>0.90255009107468098</v>
      </c>
      <c r="AF183" t="s">
        <v>478</v>
      </c>
      <c r="AG183">
        <v>0.95724465558194705</v>
      </c>
      <c r="AH183" t="s">
        <v>485</v>
      </c>
      <c r="AI183">
        <v>1.0151691948658099</v>
      </c>
      <c r="AJ183" t="s">
        <v>488</v>
      </c>
      <c r="AK183">
        <v>0.97297297297297303</v>
      </c>
      <c r="AL183" t="s">
        <v>488</v>
      </c>
      <c r="AM183">
        <v>0.92592592592592504</v>
      </c>
      <c r="AN183" t="s">
        <v>481</v>
      </c>
      <c r="AO183">
        <v>1.2023809523809501</v>
      </c>
      <c r="AP183" t="s">
        <v>483</v>
      </c>
      <c r="AQ183">
        <v>0.96546961325966796</v>
      </c>
      <c r="AR183" t="s">
        <v>495</v>
      </c>
      <c r="AS183">
        <v>1.0444444444444401</v>
      </c>
      <c r="AT183" t="s">
        <v>491</v>
      </c>
      <c r="AU183">
        <v>1.02857142857142</v>
      </c>
      <c r="AV183" t="s">
        <v>491</v>
      </c>
      <c r="AW183">
        <v>0.92708333333333304</v>
      </c>
      <c r="AX183" t="s">
        <v>488</v>
      </c>
      <c r="AY183">
        <v>1.2573221757322099</v>
      </c>
      <c r="AZ183" t="s">
        <v>491</v>
      </c>
      <c r="BA183">
        <v>0.88356807511737001</v>
      </c>
      <c r="BB183" t="s">
        <v>497</v>
      </c>
      <c r="BC183">
        <v>1.2904148783977101</v>
      </c>
      <c r="BD183" t="s">
        <v>496</v>
      </c>
      <c r="BE183">
        <v>1.0883116883116799</v>
      </c>
      <c r="BF183" t="s">
        <v>491</v>
      </c>
      <c r="BG183">
        <v>1.0869565217391299</v>
      </c>
      <c r="BH183" t="s">
        <v>501</v>
      </c>
      <c r="BI183">
        <v>0.77138849929873698</v>
      </c>
      <c r="BJ183" t="s">
        <v>499</v>
      </c>
      <c r="BK183">
        <v>1.0651731160896101</v>
      </c>
      <c r="BL183" t="s">
        <v>496</v>
      </c>
      <c r="BM183">
        <v>1.1128640776698999</v>
      </c>
      <c r="BN183" t="s">
        <v>500</v>
      </c>
      <c r="BO183">
        <v>0.98320610687022902</v>
      </c>
      <c r="BP183" t="s">
        <v>498</v>
      </c>
      <c r="BQ183">
        <v>0.74791666666666601</v>
      </c>
      <c r="BR183" t="s">
        <v>498</v>
      </c>
      <c r="BS183">
        <v>1.00278551532033</v>
      </c>
      <c r="BT183" t="s">
        <v>500</v>
      </c>
      <c r="BU183">
        <v>1.0209523809523799</v>
      </c>
      <c r="BV183" t="s">
        <v>491</v>
      </c>
      <c r="BW183">
        <v>1.09385113268608</v>
      </c>
    </row>
    <row r="184" spans="1:75" x14ac:dyDescent="0.4">
      <c r="A184">
        <v>182</v>
      </c>
      <c r="B184" t="s">
        <v>453</v>
      </c>
      <c r="C184">
        <v>0.81070745697896696</v>
      </c>
      <c r="D184" t="s">
        <v>432</v>
      </c>
      <c r="E184">
        <v>0.65</v>
      </c>
      <c r="F184" t="s">
        <v>436</v>
      </c>
      <c r="G184">
        <v>0.64573991031390099</v>
      </c>
      <c r="H184" t="s">
        <v>433</v>
      </c>
      <c r="I184">
        <v>0.79595531718648505</v>
      </c>
      <c r="J184" t="s">
        <v>440</v>
      </c>
      <c r="K184">
        <v>1.18050131364055</v>
      </c>
      <c r="L184" t="s">
        <v>440</v>
      </c>
      <c r="M184">
        <v>0.96240601503759304</v>
      </c>
      <c r="N184" t="s">
        <v>456</v>
      </c>
      <c r="O184">
        <v>1.10615384615384</v>
      </c>
      <c r="P184" t="s">
        <v>448</v>
      </c>
      <c r="Q184">
        <v>1.0843621399176899</v>
      </c>
      <c r="R184" t="s">
        <v>469</v>
      </c>
      <c r="S184">
        <v>0.86610878661087798</v>
      </c>
      <c r="T184" t="s">
        <v>444</v>
      </c>
      <c r="U184">
        <v>0.926925498838994</v>
      </c>
      <c r="V184" t="s">
        <v>457</v>
      </c>
      <c r="W184">
        <v>1.0985691573926799</v>
      </c>
      <c r="X184" t="s">
        <v>446</v>
      </c>
      <c r="Y184">
        <v>0.909266409266409</v>
      </c>
      <c r="Z184" t="s">
        <v>478</v>
      </c>
      <c r="AA184">
        <v>1.15657311669128</v>
      </c>
      <c r="AB184" t="s">
        <v>466</v>
      </c>
      <c r="AC184">
        <v>0.88235294117647001</v>
      </c>
      <c r="AD184" t="s">
        <v>468</v>
      </c>
      <c r="AE184">
        <v>0.85822797619423996</v>
      </c>
      <c r="AF184" t="s">
        <v>466</v>
      </c>
      <c r="AG184">
        <v>0.88541666666666596</v>
      </c>
      <c r="AH184" t="s">
        <v>481</v>
      </c>
      <c r="AI184">
        <v>0.94296577946768001</v>
      </c>
      <c r="AJ184" t="s">
        <v>490</v>
      </c>
      <c r="AK184">
        <v>1.0270551508844901</v>
      </c>
      <c r="AL184" t="s">
        <v>490</v>
      </c>
      <c r="AM184">
        <v>1.2644376899695999</v>
      </c>
      <c r="AN184" t="s">
        <v>483</v>
      </c>
      <c r="AO184">
        <v>0.96276595744680804</v>
      </c>
      <c r="AP184" t="s">
        <v>486</v>
      </c>
      <c r="AQ184">
        <v>0.92469352014010497</v>
      </c>
      <c r="AR184" t="s">
        <v>488</v>
      </c>
      <c r="AS184">
        <v>1.0625</v>
      </c>
      <c r="AT184" t="s">
        <v>494</v>
      </c>
      <c r="AU184">
        <v>0.97951818099792398</v>
      </c>
      <c r="AV184" t="s">
        <v>494</v>
      </c>
      <c r="AW184">
        <v>1.0962601326455399</v>
      </c>
      <c r="AX184" t="s">
        <v>493</v>
      </c>
      <c r="AY184">
        <v>0.98378378378378295</v>
      </c>
      <c r="AZ184" t="s">
        <v>494</v>
      </c>
      <c r="BA184">
        <v>0.60763209393346296</v>
      </c>
      <c r="BB184" t="s">
        <v>498</v>
      </c>
      <c r="BC184">
        <v>0.92352941176470504</v>
      </c>
      <c r="BD184" t="s">
        <v>497</v>
      </c>
      <c r="BE184">
        <v>0.89800443458979995</v>
      </c>
      <c r="BF184" t="s">
        <v>494</v>
      </c>
      <c r="BG184">
        <v>1.1633298208640599</v>
      </c>
      <c r="BH184" t="s">
        <v>502</v>
      </c>
      <c r="BI184">
        <v>1.36492220650636</v>
      </c>
      <c r="BJ184" t="s">
        <v>501</v>
      </c>
      <c r="BK184">
        <v>0.93272727272727196</v>
      </c>
      <c r="BL184" t="s">
        <v>497</v>
      </c>
      <c r="BM184">
        <v>0.88274932614555202</v>
      </c>
      <c r="BN184" t="s">
        <v>499</v>
      </c>
      <c r="BO184">
        <v>1.0679785330948099</v>
      </c>
      <c r="BP184" t="s">
        <v>500</v>
      </c>
      <c r="BQ184">
        <v>0.87577639751552705</v>
      </c>
      <c r="BR184" t="s">
        <v>500</v>
      </c>
      <c r="BS184">
        <v>0.930851063829787</v>
      </c>
      <c r="BT184" t="s">
        <v>501</v>
      </c>
      <c r="BU184">
        <v>0.97239915074309902</v>
      </c>
      <c r="BV184" t="s">
        <v>497</v>
      </c>
      <c r="BW184">
        <v>1.0366412213740399</v>
      </c>
    </row>
    <row r="185" spans="1:75" x14ac:dyDescent="0.4">
      <c r="A185">
        <v>183</v>
      </c>
      <c r="B185" t="s">
        <v>437</v>
      </c>
      <c r="C185">
        <v>1.2237583075440099</v>
      </c>
      <c r="D185" t="s">
        <v>453</v>
      </c>
      <c r="E185">
        <v>0.86792452830188604</v>
      </c>
      <c r="F185" t="s">
        <v>440</v>
      </c>
      <c r="G185">
        <v>0.53043385977945201</v>
      </c>
      <c r="H185" t="s">
        <v>440</v>
      </c>
      <c r="I185">
        <v>1.0245907602764599</v>
      </c>
      <c r="J185" t="s">
        <v>445</v>
      </c>
      <c r="K185">
        <v>1.71518987341772</v>
      </c>
      <c r="L185" t="s">
        <v>448</v>
      </c>
      <c r="M185">
        <v>1.36723163841807</v>
      </c>
      <c r="N185" t="s">
        <v>468</v>
      </c>
      <c r="O185">
        <v>0.64864935051444605</v>
      </c>
      <c r="P185" t="s">
        <v>469</v>
      </c>
      <c r="Q185">
        <v>1.0391304347826</v>
      </c>
      <c r="R185" t="s">
        <v>457</v>
      </c>
      <c r="S185">
        <v>1.0396039603960301</v>
      </c>
      <c r="T185" t="s">
        <v>446</v>
      </c>
      <c r="U185">
        <v>0.87290969899665505</v>
      </c>
      <c r="V185" t="s">
        <v>474</v>
      </c>
      <c r="W185">
        <v>1.1831684116307299</v>
      </c>
      <c r="X185" t="s">
        <v>457</v>
      </c>
      <c r="Y185">
        <v>1.2098408104196801</v>
      </c>
      <c r="Z185" t="s">
        <v>466</v>
      </c>
      <c r="AA185">
        <v>0.88650306748466201</v>
      </c>
      <c r="AB185" t="s">
        <v>467</v>
      </c>
      <c r="AC185">
        <v>1.07883817427385</v>
      </c>
      <c r="AD185" t="s">
        <v>478</v>
      </c>
      <c r="AE185">
        <v>1.20977011494252</v>
      </c>
      <c r="AF185" t="s">
        <v>472</v>
      </c>
      <c r="AG185">
        <v>2.0744680851063801</v>
      </c>
      <c r="AH185" t="s">
        <v>483</v>
      </c>
      <c r="AI185">
        <v>0.83424657534246505</v>
      </c>
      <c r="AJ185" t="s">
        <v>491</v>
      </c>
      <c r="AK185">
        <v>1.16785714285714</v>
      </c>
      <c r="AL185" t="s">
        <v>491</v>
      </c>
      <c r="AM185">
        <v>1.0122324159021401</v>
      </c>
      <c r="AN185" t="s">
        <v>495</v>
      </c>
      <c r="AO185">
        <v>0.82848545636910698</v>
      </c>
      <c r="AP185" t="s">
        <v>488</v>
      </c>
      <c r="AQ185">
        <v>1.1970074812967499</v>
      </c>
      <c r="AR185" t="s">
        <v>491</v>
      </c>
      <c r="AS185">
        <v>0.93645484949832702</v>
      </c>
      <c r="AT185" t="s">
        <v>497</v>
      </c>
      <c r="AU185">
        <v>1.1322751322751301</v>
      </c>
      <c r="AV185" t="s">
        <v>497</v>
      </c>
      <c r="AW185">
        <v>1.26168224299065</v>
      </c>
      <c r="AX185" t="s">
        <v>491</v>
      </c>
      <c r="AY185">
        <v>0.797752808988764</v>
      </c>
      <c r="AZ185" t="s">
        <v>496</v>
      </c>
      <c r="BA185">
        <v>1.0055432372505499</v>
      </c>
      <c r="BB185" t="s">
        <v>500</v>
      </c>
      <c r="BC185">
        <v>1.14961636828644</v>
      </c>
      <c r="BD185" t="s">
        <v>498</v>
      </c>
      <c r="BE185">
        <v>1.0987261146496801</v>
      </c>
      <c r="BF185" t="s">
        <v>496</v>
      </c>
      <c r="BG185">
        <v>1.3126491646778</v>
      </c>
      <c r="BH185" t="s">
        <v>503</v>
      </c>
      <c r="BI185">
        <v>0.88944099378881902</v>
      </c>
      <c r="BJ185" t="s">
        <v>502</v>
      </c>
      <c r="BK185">
        <v>0.90984455958549204</v>
      </c>
      <c r="BL185" t="s">
        <v>500</v>
      </c>
      <c r="BM185">
        <v>0.86184210526315697</v>
      </c>
      <c r="BN185" t="s">
        <v>501</v>
      </c>
      <c r="BO185">
        <v>1.00513874614594</v>
      </c>
      <c r="BP185" t="s">
        <v>499</v>
      </c>
      <c r="BQ185">
        <v>1.0502512562813999</v>
      </c>
      <c r="BR185" t="s">
        <v>499</v>
      </c>
      <c r="BS185">
        <v>1.2376395534290201</v>
      </c>
      <c r="BT185" t="s">
        <v>502</v>
      </c>
      <c r="BU185">
        <v>1.0329218106995799</v>
      </c>
      <c r="BV185" t="s">
        <v>498</v>
      </c>
      <c r="BW185">
        <v>0.91094147582697205</v>
      </c>
    </row>
    <row r="186" spans="1:75" x14ac:dyDescent="0.4">
      <c r="A186">
        <v>184</v>
      </c>
      <c r="B186" t="s">
        <v>455</v>
      </c>
      <c r="C186">
        <v>1.13488837839429</v>
      </c>
      <c r="D186" t="s">
        <v>455</v>
      </c>
      <c r="E186">
        <v>0.74676908704001599</v>
      </c>
      <c r="F186" t="s">
        <v>445</v>
      </c>
      <c r="G186">
        <v>0.58560000000000001</v>
      </c>
      <c r="H186" t="s">
        <v>445</v>
      </c>
      <c r="I186">
        <v>1.29508196721311</v>
      </c>
      <c r="J186" t="s">
        <v>448</v>
      </c>
      <c r="K186">
        <v>1.97324414715719</v>
      </c>
      <c r="L186" t="s">
        <v>458</v>
      </c>
      <c r="M186">
        <v>1.15598548972188</v>
      </c>
      <c r="N186" t="s">
        <v>463</v>
      </c>
      <c r="O186">
        <v>0.96060606060606002</v>
      </c>
      <c r="P186" t="s">
        <v>457</v>
      </c>
      <c r="Q186">
        <v>0.99019607843137203</v>
      </c>
      <c r="R186" t="s">
        <v>456</v>
      </c>
      <c r="S186">
        <v>1.0218750000000001</v>
      </c>
      <c r="T186" t="s">
        <v>457</v>
      </c>
      <c r="U186">
        <v>0.99841269841269797</v>
      </c>
      <c r="V186" t="s">
        <v>456</v>
      </c>
      <c r="W186">
        <v>0.94901315789473595</v>
      </c>
      <c r="X186" t="s">
        <v>474</v>
      </c>
      <c r="Y186">
        <v>0.89539728856707101</v>
      </c>
      <c r="Z186" t="s">
        <v>472</v>
      </c>
      <c r="AA186">
        <v>0.86729362591431503</v>
      </c>
      <c r="AB186" t="s">
        <v>472</v>
      </c>
      <c r="AC186">
        <v>0.86746987951807197</v>
      </c>
      <c r="AD186" t="s">
        <v>472</v>
      </c>
      <c r="AE186">
        <v>0.91388888888888797</v>
      </c>
      <c r="AF186" t="s">
        <v>485</v>
      </c>
      <c r="AG186">
        <v>1.1335978835978799</v>
      </c>
      <c r="AH186" t="s">
        <v>488</v>
      </c>
      <c r="AI186">
        <v>1.0136986301369799</v>
      </c>
      <c r="AJ186" t="s">
        <v>494</v>
      </c>
      <c r="AK186">
        <v>0.79021253235040301</v>
      </c>
      <c r="AL186" t="s">
        <v>494</v>
      </c>
      <c r="AM186">
        <v>1.0414847161572001</v>
      </c>
      <c r="AN186" t="s">
        <v>488</v>
      </c>
      <c r="AO186">
        <v>1.0024999999999999</v>
      </c>
      <c r="AP186" t="s">
        <v>493</v>
      </c>
      <c r="AQ186">
        <v>1.0521885521885499</v>
      </c>
      <c r="AR186" t="s">
        <v>494</v>
      </c>
      <c r="AS186">
        <v>1.2800877800877799</v>
      </c>
      <c r="AT186" t="s">
        <v>498</v>
      </c>
      <c r="AU186">
        <v>0.91292875989445899</v>
      </c>
      <c r="AV186" t="s">
        <v>498</v>
      </c>
      <c r="AW186">
        <v>0.97109826589595305</v>
      </c>
      <c r="AX186" t="s">
        <v>494</v>
      </c>
      <c r="AY186">
        <v>0.85875136543147601</v>
      </c>
      <c r="AZ186" t="s">
        <v>497</v>
      </c>
      <c r="BA186">
        <v>1.0753846153846101</v>
      </c>
      <c r="BB186" t="s">
        <v>499</v>
      </c>
      <c r="BC186">
        <v>0.84603174603174602</v>
      </c>
      <c r="BD186" t="s">
        <v>499</v>
      </c>
      <c r="BE186">
        <v>0.962476547842401</v>
      </c>
      <c r="BF186" t="s">
        <v>497</v>
      </c>
      <c r="BG186">
        <v>1.12839506172839</v>
      </c>
      <c r="BH186" t="s">
        <v>504</v>
      </c>
      <c r="BI186">
        <v>1.02904404121996</v>
      </c>
      <c r="BJ186" t="s">
        <v>503</v>
      </c>
      <c r="BK186">
        <v>0.98463687150837897</v>
      </c>
      <c r="BL186" t="s">
        <v>499</v>
      </c>
      <c r="BM186">
        <v>1.06883365200764</v>
      </c>
      <c r="BN186" t="s">
        <v>502</v>
      </c>
      <c r="BO186">
        <v>1.11866666666666</v>
      </c>
      <c r="BP186" t="s">
        <v>501</v>
      </c>
      <c r="BQ186">
        <v>1.0879345603271899</v>
      </c>
      <c r="BR186" t="s">
        <v>501</v>
      </c>
      <c r="BS186">
        <v>0.88533834586466098</v>
      </c>
      <c r="BT186" t="s">
        <v>503</v>
      </c>
      <c r="BU186">
        <v>1.11401425178147</v>
      </c>
      <c r="BV186" t="s">
        <v>500</v>
      </c>
      <c r="BW186">
        <v>1.1455223880597001</v>
      </c>
    </row>
    <row r="187" spans="1:75" x14ac:dyDescent="0.4">
      <c r="A187">
        <v>185</v>
      </c>
      <c r="B187" t="s">
        <v>433</v>
      </c>
      <c r="C187">
        <v>1</v>
      </c>
      <c r="D187" t="s">
        <v>433</v>
      </c>
      <c r="E187">
        <v>0.96795403508061995</v>
      </c>
      <c r="F187" t="s">
        <v>448</v>
      </c>
      <c r="G187">
        <v>0.305084745762711</v>
      </c>
      <c r="H187" t="s">
        <v>448</v>
      </c>
      <c r="I187">
        <v>0.99666666666666603</v>
      </c>
      <c r="J187" t="s">
        <v>469</v>
      </c>
      <c r="K187">
        <v>1.4583333333333299</v>
      </c>
      <c r="L187" t="s">
        <v>456</v>
      </c>
      <c r="M187">
        <v>1.0077519379844899</v>
      </c>
      <c r="N187" t="s">
        <v>478</v>
      </c>
      <c r="O187">
        <v>1.0351351351351299</v>
      </c>
      <c r="P187" t="s">
        <v>456</v>
      </c>
      <c r="Q187">
        <v>0.89012517385257295</v>
      </c>
      <c r="R187" t="s">
        <v>468</v>
      </c>
      <c r="S187">
        <v>1.0611090678195401</v>
      </c>
      <c r="T187" t="s">
        <v>474</v>
      </c>
      <c r="U187">
        <v>0.98058217730143304</v>
      </c>
      <c r="V187" t="s">
        <v>463</v>
      </c>
      <c r="W187">
        <v>1.2784552845528401</v>
      </c>
      <c r="X187" t="s">
        <v>456</v>
      </c>
      <c r="Y187">
        <v>0.92201039861351797</v>
      </c>
      <c r="Z187" t="s">
        <v>485</v>
      </c>
      <c r="AA187">
        <v>1.2535460992907801</v>
      </c>
      <c r="AB187" t="s">
        <v>485</v>
      </c>
      <c r="AC187">
        <v>1.16973125884016</v>
      </c>
      <c r="AD187" t="s">
        <v>485</v>
      </c>
      <c r="AE187">
        <v>0.91414752116082199</v>
      </c>
      <c r="AF187" t="s">
        <v>489</v>
      </c>
      <c r="AG187">
        <v>1.3249221183800599</v>
      </c>
      <c r="AH187" t="s">
        <v>490</v>
      </c>
      <c r="AI187">
        <v>0.87522768670309603</v>
      </c>
      <c r="AJ187" t="s">
        <v>498</v>
      </c>
      <c r="AK187">
        <v>1.0050761421319701</v>
      </c>
      <c r="AL187" t="s">
        <v>496</v>
      </c>
      <c r="AM187">
        <v>1.1739130434782601</v>
      </c>
      <c r="AN187" t="s">
        <v>490</v>
      </c>
      <c r="AO187">
        <v>1.1346153846153799</v>
      </c>
      <c r="AP187" t="s">
        <v>494</v>
      </c>
      <c r="AQ187">
        <v>1.0554675118858901</v>
      </c>
      <c r="AR187" t="s">
        <v>497</v>
      </c>
      <c r="AS187">
        <v>1.00265251989389</v>
      </c>
      <c r="AT187" t="s">
        <v>505</v>
      </c>
      <c r="AU187">
        <v>1.0782778864970599</v>
      </c>
      <c r="AV187" t="s">
        <v>505</v>
      </c>
      <c r="AW187">
        <v>0.97277676950998104</v>
      </c>
      <c r="AX187" t="s">
        <v>497</v>
      </c>
      <c r="AY187">
        <v>1.2037037037036999</v>
      </c>
      <c r="AZ187" t="s">
        <v>498</v>
      </c>
      <c r="BA187">
        <v>1.0303030303030301</v>
      </c>
      <c r="BB187" t="s">
        <v>501</v>
      </c>
      <c r="BC187">
        <v>0.96516129032258002</v>
      </c>
      <c r="BD187" t="s">
        <v>501</v>
      </c>
      <c r="BE187">
        <v>1.0534759358288699</v>
      </c>
      <c r="BF187" t="s">
        <v>498</v>
      </c>
      <c r="BG187">
        <v>1.4202898550724601</v>
      </c>
      <c r="BH187" t="s">
        <v>506</v>
      </c>
      <c r="BI187">
        <v>1.0531757754800499</v>
      </c>
      <c r="BJ187" t="s">
        <v>506</v>
      </c>
      <c r="BK187">
        <v>0.89761570827489401</v>
      </c>
      <c r="BL187" t="s">
        <v>501</v>
      </c>
      <c r="BM187">
        <v>0.94834307992202704</v>
      </c>
      <c r="BN187" t="s">
        <v>503</v>
      </c>
      <c r="BO187">
        <v>1.1481481481481399</v>
      </c>
      <c r="BP187" t="s">
        <v>502</v>
      </c>
      <c r="BQ187">
        <v>1.06674612634088</v>
      </c>
      <c r="BR187" t="s">
        <v>502</v>
      </c>
      <c r="BS187">
        <v>0.814525139664804</v>
      </c>
      <c r="BT187" t="s">
        <v>506</v>
      </c>
      <c r="BU187">
        <v>0.97496087636932705</v>
      </c>
      <c r="BV187" t="s">
        <v>505</v>
      </c>
      <c r="BW187">
        <v>0.94462540716612298</v>
      </c>
    </row>
    <row r="188" spans="1:75" x14ac:dyDescent="0.4">
      <c r="A188">
        <v>186</v>
      </c>
      <c r="B188" t="s">
        <v>436</v>
      </c>
      <c r="C188">
        <v>1.4030837004405201</v>
      </c>
      <c r="D188" t="s">
        <v>436</v>
      </c>
      <c r="E188">
        <v>0.70015698587127095</v>
      </c>
      <c r="F188" t="s">
        <v>457</v>
      </c>
      <c r="G188">
        <v>0.69444444444444398</v>
      </c>
      <c r="H188" t="s">
        <v>444</v>
      </c>
      <c r="I188">
        <v>0.91210438500443103</v>
      </c>
      <c r="J188" t="s">
        <v>458</v>
      </c>
      <c r="K188">
        <v>1.4715302491103199</v>
      </c>
      <c r="L188" t="s">
        <v>468</v>
      </c>
      <c r="M188">
        <v>0.85892665952890701</v>
      </c>
      <c r="N188" t="s">
        <v>472</v>
      </c>
      <c r="O188">
        <v>0.791519434628975</v>
      </c>
      <c r="P188" t="s">
        <v>468</v>
      </c>
      <c r="Q188">
        <v>1.1538486175724001</v>
      </c>
      <c r="R188" t="s">
        <v>463</v>
      </c>
      <c r="S188">
        <v>0.93717277486910999</v>
      </c>
      <c r="T188" t="s">
        <v>456</v>
      </c>
      <c r="U188">
        <v>0.92966360856269104</v>
      </c>
      <c r="V188" t="s">
        <v>478</v>
      </c>
      <c r="W188">
        <v>0.93516209476309198</v>
      </c>
      <c r="X188" t="s">
        <v>459</v>
      </c>
      <c r="Y188">
        <v>1.0222222222222199</v>
      </c>
      <c r="Z188" t="s">
        <v>489</v>
      </c>
      <c r="AA188">
        <v>0.76554001554001505</v>
      </c>
      <c r="AB188" t="s">
        <v>481</v>
      </c>
      <c r="AC188">
        <v>0.92894056847545203</v>
      </c>
      <c r="AD188" t="s">
        <v>481</v>
      </c>
      <c r="AE188">
        <v>1.0987482614742601</v>
      </c>
      <c r="AF188" t="s">
        <v>481</v>
      </c>
      <c r="AG188">
        <v>0.99873417721518898</v>
      </c>
      <c r="AH188" t="s">
        <v>507</v>
      </c>
      <c r="AI188">
        <v>0.89518534299105201</v>
      </c>
      <c r="AJ188" t="s">
        <v>505</v>
      </c>
      <c r="AK188">
        <v>1.19</v>
      </c>
      <c r="AL188" t="s">
        <v>498</v>
      </c>
      <c r="AM188">
        <v>0.86868686868686795</v>
      </c>
      <c r="AN188" t="s">
        <v>507</v>
      </c>
      <c r="AO188">
        <v>1.00611932687404</v>
      </c>
      <c r="AP188" t="s">
        <v>498</v>
      </c>
      <c r="AQ188">
        <v>1.23028391167192</v>
      </c>
      <c r="AR188" t="s">
        <v>498</v>
      </c>
      <c r="AS188">
        <v>0.97179487179487101</v>
      </c>
      <c r="AT188" t="s">
        <v>499</v>
      </c>
      <c r="AU188">
        <v>1.09551656920077</v>
      </c>
      <c r="AV188" t="s">
        <v>499</v>
      </c>
      <c r="AW188">
        <v>0.92170818505338004</v>
      </c>
      <c r="AX188" t="s">
        <v>498</v>
      </c>
      <c r="AY188">
        <v>0.98214285714285698</v>
      </c>
      <c r="AZ188" t="s">
        <v>500</v>
      </c>
      <c r="BA188">
        <v>0.98117942283563298</v>
      </c>
      <c r="BB188" t="s">
        <v>502</v>
      </c>
      <c r="BC188">
        <v>1.06623586429725</v>
      </c>
      <c r="BD188" t="s">
        <v>502</v>
      </c>
      <c r="BE188">
        <v>0.94090909090909003</v>
      </c>
      <c r="BF188" t="s">
        <v>499</v>
      </c>
      <c r="BG188">
        <v>1.21832358674463</v>
      </c>
      <c r="BH188" t="s">
        <v>508</v>
      </c>
      <c r="BI188">
        <v>0.90616246498599395</v>
      </c>
      <c r="BJ188" t="s">
        <v>508</v>
      </c>
      <c r="BK188">
        <v>0.99845440494590398</v>
      </c>
      <c r="BL188" t="s">
        <v>502</v>
      </c>
      <c r="BM188">
        <v>0.85421412300683297</v>
      </c>
      <c r="BN188" t="s">
        <v>509</v>
      </c>
      <c r="BO188">
        <v>0.77142857142857102</v>
      </c>
      <c r="BP188" t="s">
        <v>503</v>
      </c>
      <c r="BQ188">
        <v>1.1407624633430999</v>
      </c>
      <c r="BR188" t="s">
        <v>503</v>
      </c>
      <c r="BS188">
        <v>1.08226221079691</v>
      </c>
      <c r="BT188" t="s">
        <v>510</v>
      </c>
      <c r="BU188">
        <v>1.0341997264021801</v>
      </c>
      <c r="BV188" t="s">
        <v>499</v>
      </c>
      <c r="BW188">
        <v>1.0109890109890101</v>
      </c>
    </row>
    <row r="189" spans="1:75" x14ac:dyDescent="0.4">
      <c r="A189">
        <v>187</v>
      </c>
      <c r="B189" t="s">
        <v>440</v>
      </c>
      <c r="C189">
        <v>1.2343804174467701</v>
      </c>
      <c r="D189" t="s">
        <v>440</v>
      </c>
      <c r="E189">
        <v>0.97046046102278805</v>
      </c>
      <c r="F189" t="s">
        <v>456</v>
      </c>
      <c r="G189">
        <v>0.77841726618704998</v>
      </c>
      <c r="H189" t="s">
        <v>469</v>
      </c>
      <c r="I189">
        <v>1</v>
      </c>
      <c r="J189" t="s">
        <v>457</v>
      </c>
      <c r="K189">
        <v>1.4065934065934</v>
      </c>
      <c r="L189" t="s">
        <v>463</v>
      </c>
      <c r="M189">
        <v>1.0610932475884201</v>
      </c>
      <c r="N189" t="s">
        <v>485</v>
      </c>
      <c r="O189">
        <v>0.99127906976744096</v>
      </c>
      <c r="P189" t="s">
        <v>463</v>
      </c>
      <c r="Q189">
        <v>1.2050473186119799</v>
      </c>
      <c r="R189" t="s">
        <v>478</v>
      </c>
      <c r="S189">
        <v>1.0287859824780901</v>
      </c>
      <c r="T189" t="s">
        <v>463</v>
      </c>
      <c r="U189">
        <v>1.3743016759776501</v>
      </c>
      <c r="V189" t="s">
        <v>472</v>
      </c>
      <c r="W189">
        <v>1.0203349282296601</v>
      </c>
      <c r="X189" t="s">
        <v>460</v>
      </c>
      <c r="Y189">
        <v>0.90295748613678295</v>
      </c>
      <c r="Z189" t="s">
        <v>481</v>
      </c>
      <c r="AA189">
        <v>0.86</v>
      </c>
      <c r="AB189" t="s">
        <v>488</v>
      </c>
      <c r="AC189">
        <v>0.97378277153558002</v>
      </c>
      <c r="AD189" t="s">
        <v>483</v>
      </c>
      <c r="AE189">
        <v>1.1576433121019101</v>
      </c>
      <c r="AF189" t="s">
        <v>488</v>
      </c>
      <c r="AG189">
        <v>1.0281690140844999</v>
      </c>
      <c r="AH189" t="s">
        <v>491</v>
      </c>
      <c r="AI189">
        <v>0.75471698113207497</v>
      </c>
      <c r="AJ189" t="s">
        <v>499</v>
      </c>
      <c r="AK189">
        <v>1.1722113502935401</v>
      </c>
      <c r="AL189" t="s">
        <v>505</v>
      </c>
      <c r="AM189">
        <v>1.2563025210084</v>
      </c>
      <c r="AN189" t="s">
        <v>494</v>
      </c>
      <c r="AO189">
        <v>0.78168477225081001</v>
      </c>
      <c r="AP189" t="s">
        <v>505</v>
      </c>
      <c r="AQ189">
        <v>1.12280701754385</v>
      </c>
      <c r="AR189" t="s">
        <v>499</v>
      </c>
      <c r="AS189">
        <v>0.939560439560439</v>
      </c>
      <c r="AT189" t="s">
        <v>501</v>
      </c>
      <c r="AU189">
        <v>1.5290322580645099</v>
      </c>
      <c r="AV189" t="s">
        <v>501</v>
      </c>
      <c r="AW189">
        <v>1.2123769338959201</v>
      </c>
      <c r="AX189" t="s">
        <v>499</v>
      </c>
      <c r="AY189">
        <v>1.0501930501930501</v>
      </c>
      <c r="AZ189" t="s">
        <v>499</v>
      </c>
      <c r="BA189">
        <v>1.15808823529411</v>
      </c>
      <c r="BB189" t="s">
        <v>503</v>
      </c>
      <c r="BC189">
        <v>0.936221419975932</v>
      </c>
      <c r="BD189" t="s">
        <v>503</v>
      </c>
      <c r="BE189">
        <v>1.0025706940874</v>
      </c>
      <c r="BF189" t="s">
        <v>502</v>
      </c>
      <c r="BG189">
        <v>1.1384863123993501</v>
      </c>
      <c r="BH189" t="s">
        <v>510</v>
      </c>
      <c r="BI189">
        <v>0.82307692307692304</v>
      </c>
      <c r="BJ189" t="s">
        <v>510</v>
      </c>
      <c r="BK189">
        <v>0.94392523364485903</v>
      </c>
      <c r="BL189" t="s">
        <v>503</v>
      </c>
      <c r="BM189">
        <v>0.84255319148936103</v>
      </c>
      <c r="BN189" t="s">
        <v>506</v>
      </c>
      <c r="BO189">
        <v>1.02980132450331</v>
      </c>
      <c r="BP189" t="s">
        <v>506</v>
      </c>
      <c r="BQ189">
        <v>1.0128617363343999</v>
      </c>
      <c r="BR189" t="s">
        <v>506</v>
      </c>
      <c r="BS189">
        <v>1.01428571428571</v>
      </c>
      <c r="BT189" t="s">
        <v>511</v>
      </c>
      <c r="BU189">
        <v>0.75764705882352901</v>
      </c>
      <c r="BV189" t="s">
        <v>501</v>
      </c>
      <c r="BW189">
        <v>1.04585152838427</v>
      </c>
    </row>
    <row r="190" spans="1:75" x14ac:dyDescent="0.4">
      <c r="A190">
        <v>188</v>
      </c>
      <c r="B190" t="s">
        <v>443</v>
      </c>
      <c r="C190">
        <v>1.08488964346349</v>
      </c>
      <c r="D190" t="s">
        <v>443</v>
      </c>
      <c r="E190">
        <v>0.937402190923317</v>
      </c>
      <c r="F190" t="s">
        <v>460</v>
      </c>
      <c r="G190">
        <v>0.58164983164983097</v>
      </c>
      <c r="H190" t="s">
        <v>458</v>
      </c>
      <c r="I190">
        <v>1.01996370235934</v>
      </c>
      <c r="J190" t="s">
        <v>456</v>
      </c>
      <c r="K190">
        <v>1.0767946577629299</v>
      </c>
      <c r="L190" t="s">
        <v>478</v>
      </c>
      <c r="M190">
        <v>0.89156626506024095</v>
      </c>
      <c r="N190" t="s">
        <v>479</v>
      </c>
      <c r="O190">
        <v>0.72119487908961499</v>
      </c>
      <c r="P190" t="s">
        <v>478</v>
      </c>
      <c r="Q190">
        <v>1.0430809399477801</v>
      </c>
      <c r="R190" t="s">
        <v>472</v>
      </c>
      <c r="S190">
        <v>0.69260700389105001</v>
      </c>
      <c r="T190" t="s">
        <v>478</v>
      </c>
      <c r="U190">
        <v>0.97566909975669103</v>
      </c>
      <c r="V190" t="s">
        <v>485</v>
      </c>
      <c r="W190">
        <v>1.0722689075630201</v>
      </c>
      <c r="X190" t="s">
        <v>478</v>
      </c>
      <c r="Y190">
        <v>0.90266666666666595</v>
      </c>
      <c r="Z190" t="s">
        <v>488</v>
      </c>
      <c r="AA190">
        <v>1.02495201535508</v>
      </c>
      <c r="AB190" t="s">
        <v>490</v>
      </c>
      <c r="AC190">
        <v>0.93620689655172395</v>
      </c>
      <c r="AD190" t="s">
        <v>512</v>
      </c>
      <c r="AE190">
        <v>1.1704575163398601</v>
      </c>
      <c r="AF190" t="s">
        <v>490</v>
      </c>
      <c r="AG190">
        <v>1.0958083832335299</v>
      </c>
      <c r="AH190" t="s">
        <v>494</v>
      </c>
      <c r="AI190">
        <v>0.72618030639557996</v>
      </c>
      <c r="AJ190" t="s">
        <v>501</v>
      </c>
      <c r="AK190">
        <v>1.1877990430622001</v>
      </c>
      <c r="AL190" t="s">
        <v>501</v>
      </c>
      <c r="AM190">
        <v>0.90634441087613205</v>
      </c>
      <c r="AN190" t="s">
        <v>498</v>
      </c>
      <c r="AO190">
        <v>0.92151162790697605</v>
      </c>
      <c r="AP190" t="s">
        <v>499</v>
      </c>
      <c r="AQ190">
        <v>0.93653516295025696</v>
      </c>
      <c r="AR190" t="s">
        <v>501</v>
      </c>
      <c r="AS190">
        <v>1.1698113207547101</v>
      </c>
      <c r="AT190" t="s">
        <v>502</v>
      </c>
      <c r="AU190">
        <v>1.0190114068441001</v>
      </c>
      <c r="AV190" t="s">
        <v>502</v>
      </c>
      <c r="AW190">
        <v>1.0335820895522301</v>
      </c>
      <c r="AX190" t="s">
        <v>502</v>
      </c>
      <c r="AY190">
        <v>0.97653429602887998</v>
      </c>
      <c r="AZ190" t="s">
        <v>502</v>
      </c>
      <c r="BA190">
        <v>1.1441774491682</v>
      </c>
      <c r="BB190" t="s">
        <v>506</v>
      </c>
      <c r="BC190">
        <v>0.98389458272327901</v>
      </c>
      <c r="BD190" t="s">
        <v>506</v>
      </c>
      <c r="BE190">
        <v>0.85267857142857095</v>
      </c>
      <c r="BF190" t="s">
        <v>503</v>
      </c>
      <c r="BG190">
        <v>1.0320512820512799</v>
      </c>
      <c r="BH190" t="s">
        <v>511</v>
      </c>
      <c r="BI190">
        <v>0.980416156670746</v>
      </c>
      <c r="BJ190" t="s">
        <v>511</v>
      </c>
      <c r="BK190">
        <v>0.81398252184769004</v>
      </c>
      <c r="BL190" t="s">
        <v>506</v>
      </c>
      <c r="BM190">
        <v>0.94374999999999998</v>
      </c>
      <c r="BN190" t="s">
        <v>508</v>
      </c>
      <c r="BO190">
        <v>1.0158959537572201</v>
      </c>
      <c r="BP190" t="s">
        <v>508</v>
      </c>
      <c r="BQ190">
        <v>0.91607396870554703</v>
      </c>
      <c r="BR190" t="s">
        <v>508</v>
      </c>
      <c r="BS190">
        <v>0.92546583850931596</v>
      </c>
      <c r="BT190" t="s">
        <v>513</v>
      </c>
      <c r="BU190">
        <v>1.03070175438596</v>
      </c>
      <c r="BV190" t="s">
        <v>502</v>
      </c>
      <c r="BW190">
        <v>1.0146082337317299</v>
      </c>
    </row>
    <row r="191" spans="1:75" x14ac:dyDescent="0.4">
      <c r="A191">
        <v>189</v>
      </c>
      <c r="B191" t="s">
        <v>448</v>
      </c>
      <c r="C191">
        <v>1.32795698924731</v>
      </c>
      <c r="D191" t="s">
        <v>448</v>
      </c>
      <c r="E191">
        <v>0.79622132253711198</v>
      </c>
      <c r="F191" t="s">
        <v>463</v>
      </c>
      <c r="G191">
        <v>0.784810126582278</v>
      </c>
      <c r="H191" t="s">
        <v>457</v>
      </c>
      <c r="I191">
        <v>0.91</v>
      </c>
      <c r="J191" t="s">
        <v>459</v>
      </c>
      <c r="K191">
        <v>1.45554035567715</v>
      </c>
      <c r="L191" t="s">
        <v>472</v>
      </c>
      <c r="M191">
        <v>1.0599250936329501</v>
      </c>
      <c r="N191" t="s">
        <v>481</v>
      </c>
      <c r="O191">
        <v>1.02748091603053</v>
      </c>
      <c r="P191" t="s">
        <v>472</v>
      </c>
      <c r="Q191">
        <v>1.1473214285714199</v>
      </c>
      <c r="R191" t="s">
        <v>485</v>
      </c>
      <c r="S191">
        <v>1.09215017064846</v>
      </c>
      <c r="T191" t="s">
        <v>472</v>
      </c>
      <c r="U191">
        <v>0.939325842696629</v>
      </c>
      <c r="V191" t="s">
        <v>489</v>
      </c>
      <c r="W191">
        <v>1.2015784281486299</v>
      </c>
      <c r="X191" t="s">
        <v>472</v>
      </c>
      <c r="Y191">
        <v>1.12192262602579</v>
      </c>
      <c r="Z191" t="s">
        <v>490</v>
      </c>
      <c r="AA191">
        <v>1.17886178861788</v>
      </c>
      <c r="AB191" t="s">
        <v>514</v>
      </c>
      <c r="AC191">
        <v>1.3568464730290399</v>
      </c>
      <c r="AD191" t="s">
        <v>488</v>
      </c>
      <c r="AE191">
        <v>0.81923076923076898</v>
      </c>
      <c r="AF191" t="s">
        <v>507</v>
      </c>
      <c r="AG191">
        <v>1.14042759961127</v>
      </c>
      <c r="AH191" t="s">
        <v>497</v>
      </c>
      <c r="AI191">
        <v>0.758536585365853</v>
      </c>
      <c r="AJ191" t="s">
        <v>502</v>
      </c>
      <c r="AK191">
        <v>1.50115473441108</v>
      </c>
      <c r="AL191" t="s">
        <v>502</v>
      </c>
      <c r="AM191">
        <v>0.79692307692307696</v>
      </c>
      <c r="AN191" t="s">
        <v>501</v>
      </c>
      <c r="AO191">
        <v>0.90333333333333299</v>
      </c>
      <c r="AP191" t="s">
        <v>501</v>
      </c>
      <c r="AQ191">
        <v>0.97785977859778594</v>
      </c>
      <c r="AR191" t="s">
        <v>502</v>
      </c>
      <c r="AS191">
        <v>0.97769516728624495</v>
      </c>
      <c r="AT191" t="s">
        <v>503</v>
      </c>
      <c r="AU191">
        <v>1.11204481792717</v>
      </c>
      <c r="AV191" t="s">
        <v>503</v>
      </c>
      <c r="AW191">
        <v>1.0050377833753099</v>
      </c>
      <c r="AX191" t="s">
        <v>503</v>
      </c>
      <c r="AY191">
        <v>0.87092731829573899</v>
      </c>
      <c r="AZ191" t="s">
        <v>503</v>
      </c>
      <c r="BA191">
        <v>1.1956834532374101</v>
      </c>
      <c r="BB191" t="s">
        <v>515</v>
      </c>
      <c r="BC191">
        <v>0.77703826955074795</v>
      </c>
      <c r="BD191" t="s">
        <v>515</v>
      </c>
      <c r="BE191">
        <v>1.0835117773019201</v>
      </c>
      <c r="BF191" t="s">
        <v>506</v>
      </c>
      <c r="BG191">
        <v>1.18150087260034</v>
      </c>
      <c r="BH191" t="s">
        <v>516</v>
      </c>
      <c r="BI191">
        <v>0.63741935483870904</v>
      </c>
      <c r="BJ191" t="s">
        <v>517</v>
      </c>
      <c r="BK191">
        <v>0.69997754322928296</v>
      </c>
      <c r="BL191" t="s">
        <v>508</v>
      </c>
      <c r="BM191">
        <v>1.0712074303405501</v>
      </c>
      <c r="BN191" t="s">
        <v>510</v>
      </c>
      <c r="BO191">
        <v>1.1452599388379201</v>
      </c>
      <c r="BP191" t="s">
        <v>510</v>
      </c>
      <c r="BQ191">
        <v>1.0373831775700899</v>
      </c>
      <c r="BR191" t="s">
        <v>510</v>
      </c>
      <c r="BS191">
        <v>0.94079794079793999</v>
      </c>
      <c r="BT191" t="s">
        <v>517</v>
      </c>
      <c r="BU191">
        <v>0.96875</v>
      </c>
      <c r="BV191" t="s">
        <v>503</v>
      </c>
      <c r="BW191">
        <v>1.1428571428571399</v>
      </c>
    </row>
    <row r="192" spans="1:75" x14ac:dyDescent="0.4">
      <c r="A192">
        <v>190</v>
      </c>
      <c r="B192" t="s">
        <v>446</v>
      </c>
      <c r="C192">
        <v>0.84300341296928305</v>
      </c>
      <c r="D192" t="s">
        <v>446</v>
      </c>
      <c r="E192">
        <v>0.72874493927125505</v>
      </c>
      <c r="F192" t="s">
        <v>478</v>
      </c>
      <c r="G192">
        <v>0.77316392934614198</v>
      </c>
      <c r="H192" t="s">
        <v>456</v>
      </c>
      <c r="I192">
        <v>1.1072088724584099</v>
      </c>
      <c r="J192" t="s">
        <v>468</v>
      </c>
      <c r="K192">
        <v>1.8300717627176699</v>
      </c>
      <c r="L192" t="s">
        <v>485</v>
      </c>
      <c r="M192">
        <v>0.84004884004883995</v>
      </c>
      <c r="N192" t="s">
        <v>488</v>
      </c>
      <c r="O192">
        <v>1.1883495145631</v>
      </c>
      <c r="P192" t="s">
        <v>485</v>
      </c>
      <c r="Q192">
        <v>0.85923753665689095</v>
      </c>
      <c r="R192" t="s">
        <v>479</v>
      </c>
      <c r="S192">
        <v>1.35869565217391</v>
      </c>
      <c r="T192" t="s">
        <v>485</v>
      </c>
      <c r="U192">
        <v>0.9296875</v>
      </c>
      <c r="V192" t="s">
        <v>481</v>
      </c>
      <c r="W192">
        <v>1.2317666126418101</v>
      </c>
      <c r="X192" t="s">
        <v>485</v>
      </c>
      <c r="Y192">
        <v>0.88401253918495204</v>
      </c>
      <c r="Z192" t="s">
        <v>494</v>
      </c>
      <c r="AA192">
        <v>1.1245735795788701</v>
      </c>
      <c r="AB192" t="s">
        <v>496</v>
      </c>
      <c r="AC192">
        <v>0.73755752970138</v>
      </c>
      <c r="AD192" t="s">
        <v>490</v>
      </c>
      <c r="AE192">
        <v>0.92265193370165699</v>
      </c>
      <c r="AF192" t="s">
        <v>491</v>
      </c>
      <c r="AG192">
        <v>1.1450617283950599</v>
      </c>
      <c r="AH192" t="s">
        <v>500</v>
      </c>
      <c r="AI192">
        <v>1.1282798833819201</v>
      </c>
      <c r="AJ192" t="s">
        <v>503</v>
      </c>
      <c r="AK192">
        <v>0.99593495934959297</v>
      </c>
      <c r="AL192" t="s">
        <v>503</v>
      </c>
      <c r="AM192">
        <v>0.97006802721088403</v>
      </c>
      <c r="AN192" t="s">
        <v>502</v>
      </c>
      <c r="AO192">
        <v>1.11583011583011</v>
      </c>
      <c r="AP192" t="s">
        <v>502</v>
      </c>
      <c r="AQ192">
        <v>0.93079584775086499</v>
      </c>
      <c r="AR192" t="s">
        <v>503</v>
      </c>
      <c r="AS192">
        <v>0.96617050067658905</v>
      </c>
      <c r="AT192" t="s">
        <v>506</v>
      </c>
      <c r="AU192">
        <v>1.04411764705882</v>
      </c>
      <c r="AV192" t="s">
        <v>506</v>
      </c>
      <c r="AW192">
        <v>0.94718309859154903</v>
      </c>
      <c r="AX192" t="s">
        <v>506</v>
      </c>
      <c r="AY192">
        <v>1.0724907063197</v>
      </c>
      <c r="AZ192" t="s">
        <v>506</v>
      </c>
      <c r="BA192">
        <v>1.18370883882149</v>
      </c>
      <c r="BB192" t="s">
        <v>508</v>
      </c>
      <c r="BC192">
        <v>0.804323094425483</v>
      </c>
      <c r="BD192" t="s">
        <v>508</v>
      </c>
      <c r="BE192">
        <v>1.01697312588401</v>
      </c>
      <c r="BF192" t="s">
        <v>515</v>
      </c>
      <c r="BG192">
        <v>1.3181818181818099</v>
      </c>
      <c r="BH192" t="s">
        <v>517</v>
      </c>
      <c r="BI192">
        <v>0.88534694148054804</v>
      </c>
      <c r="BJ192" t="s">
        <v>518</v>
      </c>
      <c r="BK192">
        <v>1</v>
      </c>
      <c r="BL192" t="s">
        <v>510</v>
      </c>
      <c r="BM192">
        <v>0.925035360678925</v>
      </c>
      <c r="BN192" t="s">
        <v>517</v>
      </c>
      <c r="BO192">
        <v>1.0162601626016201</v>
      </c>
      <c r="BP192" t="s">
        <v>511</v>
      </c>
      <c r="BQ192">
        <v>0.85057471264367801</v>
      </c>
      <c r="BR192" t="s">
        <v>513</v>
      </c>
      <c r="BS192">
        <v>0.97021276595744599</v>
      </c>
      <c r="BT192" t="s">
        <v>518</v>
      </c>
      <c r="BU192">
        <v>1.08672936259143</v>
      </c>
      <c r="BV192" t="s">
        <v>506</v>
      </c>
      <c r="BW192">
        <v>1.02086677367576</v>
      </c>
    </row>
    <row r="193" spans="1:75" x14ac:dyDescent="0.4">
      <c r="A193">
        <v>191</v>
      </c>
      <c r="B193" t="s">
        <v>458</v>
      </c>
      <c r="C193">
        <v>1.1508379888268101</v>
      </c>
      <c r="D193" t="s">
        <v>457</v>
      </c>
      <c r="E193">
        <v>0.76190476190476097</v>
      </c>
      <c r="F193" t="s">
        <v>472</v>
      </c>
      <c r="G193">
        <v>0.83963691376701899</v>
      </c>
      <c r="H193" t="s">
        <v>459</v>
      </c>
      <c r="I193">
        <v>0.82879818594104304</v>
      </c>
      <c r="J193" t="s">
        <v>463</v>
      </c>
      <c r="K193">
        <v>1.2196078431372499</v>
      </c>
      <c r="L193" t="s">
        <v>479</v>
      </c>
      <c r="M193">
        <v>1.3091247672253199</v>
      </c>
      <c r="N193" t="s">
        <v>490</v>
      </c>
      <c r="O193">
        <v>1.0114810562571701</v>
      </c>
      <c r="P193" t="s">
        <v>479</v>
      </c>
      <c r="Q193">
        <v>1.4516765285996001</v>
      </c>
      <c r="R193" t="s">
        <v>481</v>
      </c>
      <c r="S193">
        <v>0.93283582089552197</v>
      </c>
      <c r="T193" t="s">
        <v>481</v>
      </c>
      <c r="U193">
        <v>0.98719999999999997</v>
      </c>
      <c r="V193" t="s">
        <v>512</v>
      </c>
      <c r="W193">
        <v>0.92801816239316204</v>
      </c>
      <c r="X193" t="s">
        <v>481</v>
      </c>
      <c r="Y193">
        <v>1.1842105263157801</v>
      </c>
      <c r="Z193" t="s">
        <v>514</v>
      </c>
      <c r="AA193">
        <v>1.20802005012531</v>
      </c>
      <c r="AB193" t="s">
        <v>498</v>
      </c>
      <c r="AC193">
        <v>1.0584415584415501</v>
      </c>
      <c r="AD193" t="s">
        <v>494</v>
      </c>
      <c r="AE193">
        <v>0.79333439642800196</v>
      </c>
      <c r="AF193" t="s">
        <v>494</v>
      </c>
      <c r="AG193">
        <v>1.1764824120602999</v>
      </c>
      <c r="AH193" t="s">
        <v>505</v>
      </c>
      <c r="AI193">
        <v>0.94562647754137097</v>
      </c>
      <c r="AJ193" t="s">
        <v>504</v>
      </c>
      <c r="AK193">
        <v>1.2113915933072901</v>
      </c>
      <c r="AL193" t="s">
        <v>504</v>
      </c>
      <c r="AM193">
        <v>1.24654699456181</v>
      </c>
      <c r="AN193" t="s">
        <v>503</v>
      </c>
      <c r="AO193">
        <v>1.1079943899018201</v>
      </c>
      <c r="AP193" t="s">
        <v>503</v>
      </c>
      <c r="AQ193">
        <v>0.93544303797468298</v>
      </c>
      <c r="AR193" t="s">
        <v>506</v>
      </c>
      <c r="AS193">
        <v>0.96625222024866697</v>
      </c>
      <c r="AT193" t="s">
        <v>515</v>
      </c>
      <c r="AU193">
        <v>1.01305970149253</v>
      </c>
      <c r="AV193" t="s">
        <v>515</v>
      </c>
      <c r="AW193">
        <v>0.98342541436464004</v>
      </c>
      <c r="AX193" t="s">
        <v>515</v>
      </c>
      <c r="AY193">
        <v>1.3014981273408199</v>
      </c>
      <c r="AZ193" t="s">
        <v>510</v>
      </c>
      <c r="BA193">
        <v>1.03399122807017</v>
      </c>
      <c r="BB193" t="s">
        <v>510</v>
      </c>
      <c r="BC193">
        <v>0.974549310710498</v>
      </c>
      <c r="BD193" t="s">
        <v>510</v>
      </c>
      <c r="BE193">
        <v>1.0315560391730101</v>
      </c>
      <c r="BF193" t="s">
        <v>508</v>
      </c>
      <c r="BG193">
        <v>0.99304589707927604</v>
      </c>
      <c r="BH193" t="s">
        <v>518</v>
      </c>
      <c r="BI193">
        <v>0.790874524714828</v>
      </c>
      <c r="BJ193" t="s">
        <v>519</v>
      </c>
      <c r="BK193">
        <v>0.93654266958424504</v>
      </c>
      <c r="BL193" t="s">
        <v>517</v>
      </c>
      <c r="BM193">
        <v>0.92075713827398098</v>
      </c>
      <c r="BN193" t="s">
        <v>518</v>
      </c>
      <c r="BO193">
        <v>1.11686746987951</v>
      </c>
      <c r="BP193" t="s">
        <v>517</v>
      </c>
      <c r="BQ193">
        <v>1.01142857142857</v>
      </c>
      <c r="BR193" t="s">
        <v>517</v>
      </c>
      <c r="BS193">
        <v>1.0124293785310701</v>
      </c>
      <c r="BT193" t="s">
        <v>519</v>
      </c>
      <c r="BU193">
        <v>1.1063829787234001</v>
      </c>
      <c r="BV193" t="s">
        <v>510</v>
      </c>
      <c r="BW193">
        <v>1.05555555555555</v>
      </c>
    </row>
    <row r="194" spans="1:75" x14ac:dyDescent="0.4">
      <c r="A194">
        <v>192</v>
      </c>
      <c r="B194" t="s">
        <v>457</v>
      </c>
      <c r="C194">
        <v>0.91040462427745605</v>
      </c>
      <c r="D194" t="s">
        <v>456</v>
      </c>
      <c r="E194">
        <v>1</v>
      </c>
      <c r="F194" t="s">
        <v>485</v>
      </c>
      <c r="G194">
        <v>0.50741163055872296</v>
      </c>
      <c r="H194" t="s">
        <v>468</v>
      </c>
      <c r="I194">
        <v>1.0812669379684099</v>
      </c>
      <c r="J194" t="s">
        <v>472</v>
      </c>
      <c r="K194">
        <v>1.50168728908886</v>
      </c>
      <c r="L194" t="s">
        <v>481</v>
      </c>
      <c r="M194">
        <v>1.0953177257525</v>
      </c>
      <c r="N194" t="s">
        <v>493</v>
      </c>
      <c r="O194">
        <v>1.3409610983981599</v>
      </c>
      <c r="P194" t="s">
        <v>481</v>
      </c>
      <c r="Q194">
        <v>0.99554234769687899</v>
      </c>
      <c r="R194" t="s">
        <v>512</v>
      </c>
      <c r="S194">
        <v>1.16328850161015</v>
      </c>
      <c r="T194" t="s">
        <v>488</v>
      </c>
      <c r="U194">
        <v>0.95880149812733995</v>
      </c>
      <c r="V194" t="s">
        <v>488</v>
      </c>
      <c r="W194">
        <v>1.109375</v>
      </c>
      <c r="X194" t="s">
        <v>512</v>
      </c>
      <c r="Y194">
        <v>0.74269679090516605</v>
      </c>
      <c r="Z194" t="s">
        <v>498</v>
      </c>
      <c r="AA194">
        <v>0.89534883720930203</v>
      </c>
      <c r="AB194" t="s">
        <v>500</v>
      </c>
      <c r="AC194">
        <v>1.25650557620817</v>
      </c>
      <c r="AD194" t="s">
        <v>498</v>
      </c>
      <c r="AE194">
        <v>1.1104294478527601</v>
      </c>
      <c r="AF194" t="s">
        <v>498</v>
      </c>
      <c r="AG194">
        <v>1.3176795580110401</v>
      </c>
      <c r="AH194" t="s">
        <v>501</v>
      </c>
      <c r="AI194">
        <v>0.61380323054331798</v>
      </c>
      <c r="AJ194" t="s">
        <v>520</v>
      </c>
      <c r="AK194">
        <v>1.19256756756756</v>
      </c>
      <c r="AL194" t="s">
        <v>520</v>
      </c>
      <c r="AM194">
        <v>1.2011331444759199</v>
      </c>
      <c r="AN194" t="s">
        <v>506</v>
      </c>
      <c r="AO194">
        <v>0.850162866449511</v>
      </c>
      <c r="AP194" t="s">
        <v>506</v>
      </c>
      <c r="AQ194">
        <v>1.07854406130268</v>
      </c>
      <c r="AR194" t="s">
        <v>515</v>
      </c>
      <c r="AS194">
        <v>1.05304518664047</v>
      </c>
      <c r="AT194" t="s">
        <v>510</v>
      </c>
      <c r="AU194">
        <v>0.92209072978303697</v>
      </c>
      <c r="AV194" t="s">
        <v>510</v>
      </c>
      <c r="AW194">
        <v>1.16363636363636</v>
      </c>
      <c r="AX194" t="s">
        <v>510</v>
      </c>
      <c r="AY194">
        <v>0.83823529411764697</v>
      </c>
      <c r="AZ194" t="s">
        <v>521</v>
      </c>
      <c r="BA194">
        <v>1.0122217670353599</v>
      </c>
      <c r="BB194" t="s">
        <v>511</v>
      </c>
      <c r="BC194">
        <v>0.97840909090909001</v>
      </c>
      <c r="BD194" t="s">
        <v>511</v>
      </c>
      <c r="BE194">
        <v>1.03019744483159</v>
      </c>
      <c r="BF194" t="s">
        <v>511</v>
      </c>
      <c r="BG194">
        <v>0.92108229988725998</v>
      </c>
      <c r="BH194" t="s">
        <v>522</v>
      </c>
      <c r="BI194">
        <v>0.84122562674094703</v>
      </c>
      <c r="BJ194" t="s">
        <v>522</v>
      </c>
      <c r="BK194">
        <v>1.0033112582781401</v>
      </c>
      <c r="BL194" t="s">
        <v>518</v>
      </c>
      <c r="BM194">
        <v>0.79807692307692302</v>
      </c>
      <c r="BN194" t="s">
        <v>519</v>
      </c>
      <c r="BO194">
        <v>1.0340909090909001</v>
      </c>
      <c r="BP194" t="s">
        <v>518</v>
      </c>
      <c r="BQ194">
        <v>0.98597626752966505</v>
      </c>
      <c r="BR194" t="s">
        <v>518</v>
      </c>
      <c r="BS194">
        <v>1.04704595185995</v>
      </c>
      <c r="BT194" t="s">
        <v>523</v>
      </c>
      <c r="BU194">
        <v>0.97730430754979103</v>
      </c>
      <c r="BV194" t="s">
        <v>513</v>
      </c>
      <c r="BW194">
        <v>1.2127659574467999</v>
      </c>
    </row>
    <row r="195" spans="1:75" x14ac:dyDescent="0.4">
      <c r="A195">
        <v>193</v>
      </c>
      <c r="B195" t="s">
        <v>456</v>
      </c>
      <c r="C195">
        <v>0.879746835443038</v>
      </c>
      <c r="D195" t="s">
        <v>460</v>
      </c>
      <c r="E195">
        <v>0.993311036789297</v>
      </c>
      <c r="F195" t="s">
        <v>479</v>
      </c>
      <c r="G195">
        <v>0.29674796747967402</v>
      </c>
      <c r="H195" t="s">
        <v>463</v>
      </c>
      <c r="I195">
        <v>1.17511520737327</v>
      </c>
      <c r="J195" t="s">
        <v>481</v>
      </c>
      <c r="K195">
        <v>1.6162162162162099</v>
      </c>
      <c r="L195" t="s">
        <v>488</v>
      </c>
      <c r="M195">
        <v>1.11231101511879</v>
      </c>
      <c r="N195" t="s">
        <v>524</v>
      </c>
      <c r="O195">
        <v>1.0169491525423699</v>
      </c>
      <c r="P195" t="s">
        <v>488</v>
      </c>
      <c r="Q195">
        <v>0.95751633986928097</v>
      </c>
      <c r="R195" t="s">
        <v>488</v>
      </c>
      <c r="S195">
        <v>0.91126279863481197</v>
      </c>
      <c r="T195" t="s">
        <v>490</v>
      </c>
      <c r="U195">
        <v>1.1068783068782999</v>
      </c>
      <c r="V195" t="s">
        <v>490</v>
      </c>
      <c r="W195">
        <v>1.18164435946462</v>
      </c>
      <c r="X195" t="s">
        <v>488</v>
      </c>
      <c r="Y195">
        <v>0.91725352112675995</v>
      </c>
      <c r="Z195" t="s">
        <v>500</v>
      </c>
      <c r="AA195">
        <v>1.20627802690582</v>
      </c>
      <c r="AB195" t="s">
        <v>499</v>
      </c>
      <c r="AC195">
        <v>1.09350649350649</v>
      </c>
      <c r="AD195" t="s">
        <v>500</v>
      </c>
      <c r="AE195">
        <v>1.2559171597633101</v>
      </c>
      <c r="AF195" t="s">
        <v>525</v>
      </c>
      <c r="AG195">
        <v>1.5842687332800101</v>
      </c>
      <c r="AH195" t="s">
        <v>502</v>
      </c>
      <c r="AI195">
        <v>0.75964912280701702</v>
      </c>
      <c r="AJ195" t="s">
        <v>506</v>
      </c>
      <c r="AK195">
        <v>1.04505494505494</v>
      </c>
      <c r="AL195" t="s">
        <v>506</v>
      </c>
      <c r="AM195">
        <v>1.2912723449001</v>
      </c>
      <c r="AN195" t="s">
        <v>515</v>
      </c>
      <c r="AO195">
        <v>0.94915254237288105</v>
      </c>
      <c r="AP195" t="s">
        <v>515</v>
      </c>
      <c r="AQ195">
        <v>0.90892857142857097</v>
      </c>
      <c r="AR195" t="s">
        <v>511</v>
      </c>
      <c r="AS195">
        <v>0.86923076923076903</v>
      </c>
      <c r="AT195" t="s">
        <v>511</v>
      </c>
      <c r="AU195">
        <v>1.06194690265486</v>
      </c>
      <c r="AV195" t="s">
        <v>511</v>
      </c>
      <c r="AW195">
        <v>0.97499999999999998</v>
      </c>
      <c r="AX195" t="s">
        <v>521</v>
      </c>
      <c r="AY195">
        <v>0.904520750988142</v>
      </c>
      <c r="AZ195" t="s">
        <v>513</v>
      </c>
      <c r="BA195">
        <v>1.1509517485613101</v>
      </c>
      <c r="BB195" t="s">
        <v>513</v>
      </c>
      <c r="BC195">
        <v>1.19358974358974</v>
      </c>
      <c r="BD195" t="s">
        <v>517</v>
      </c>
      <c r="BE195">
        <v>0.94903572138643999</v>
      </c>
      <c r="BF195" t="s">
        <v>517</v>
      </c>
      <c r="BG195">
        <v>1.0537011173184301</v>
      </c>
      <c r="BH195" t="s">
        <v>526</v>
      </c>
      <c r="BI195">
        <v>0.84264538198403605</v>
      </c>
      <c r="BJ195" t="s">
        <v>526</v>
      </c>
      <c r="BK195">
        <v>1.24898511502029</v>
      </c>
      <c r="BL195" t="s">
        <v>519</v>
      </c>
      <c r="BM195">
        <v>0.82242990654205606</v>
      </c>
      <c r="BN195" t="s">
        <v>522</v>
      </c>
      <c r="BO195">
        <v>1.4365671641791</v>
      </c>
      <c r="BP195" t="s">
        <v>519</v>
      </c>
      <c r="BQ195">
        <v>0.86538461538461497</v>
      </c>
      <c r="BR195" t="s">
        <v>519</v>
      </c>
      <c r="BS195">
        <v>1.1936507936507901</v>
      </c>
      <c r="BT195" t="s">
        <v>527</v>
      </c>
      <c r="BU195">
        <v>0.99300699300699302</v>
      </c>
      <c r="BV195" t="s">
        <v>517</v>
      </c>
      <c r="BW195">
        <v>1.1520737327188899</v>
      </c>
    </row>
    <row r="196" spans="1:75" x14ac:dyDescent="0.4">
      <c r="A196">
        <v>194</v>
      </c>
      <c r="B196" t="s">
        <v>460</v>
      </c>
      <c r="C196">
        <v>0.96607431340872296</v>
      </c>
      <c r="D196" t="s">
        <v>478</v>
      </c>
      <c r="E196">
        <v>0.95473372781065002</v>
      </c>
      <c r="F196" t="s">
        <v>481</v>
      </c>
      <c r="G196">
        <v>0.451030927835051</v>
      </c>
      <c r="H196" t="s">
        <v>472</v>
      </c>
      <c r="I196">
        <v>0.80090090090090005</v>
      </c>
      <c r="J196" t="s">
        <v>488</v>
      </c>
      <c r="K196">
        <v>1.79805825242718</v>
      </c>
      <c r="L196" t="s">
        <v>490</v>
      </c>
      <c r="M196">
        <v>0.94571118349619898</v>
      </c>
      <c r="N196" t="s">
        <v>491</v>
      </c>
      <c r="O196">
        <v>1.08457711442786</v>
      </c>
      <c r="P196" t="s">
        <v>490</v>
      </c>
      <c r="Q196">
        <v>1.02837684449489</v>
      </c>
      <c r="R196" t="s">
        <v>490</v>
      </c>
      <c r="S196">
        <v>1.0430463576158899</v>
      </c>
      <c r="T196" t="s">
        <v>494</v>
      </c>
      <c r="U196">
        <v>1.13636146762727</v>
      </c>
      <c r="V196" t="s">
        <v>494</v>
      </c>
      <c r="W196">
        <v>1.2695553596170801</v>
      </c>
      <c r="X196" t="s">
        <v>494</v>
      </c>
      <c r="Y196">
        <v>0.84343684889373904</v>
      </c>
      <c r="Z196" t="s">
        <v>499</v>
      </c>
      <c r="AA196">
        <v>0.93220338983050799</v>
      </c>
      <c r="AB196" t="s">
        <v>501</v>
      </c>
      <c r="AC196">
        <v>0.73262032085561501</v>
      </c>
      <c r="AD196" t="s">
        <v>501</v>
      </c>
      <c r="AE196">
        <v>0.90054744525547403</v>
      </c>
      <c r="AF196" t="s">
        <v>499</v>
      </c>
      <c r="AG196">
        <v>1.26492537313432</v>
      </c>
      <c r="AH196" t="s">
        <v>503</v>
      </c>
      <c r="AI196">
        <v>0.89563106796116498</v>
      </c>
      <c r="AJ196" t="s">
        <v>515</v>
      </c>
      <c r="AK196">
        <v>0.98769230769230698</v>
      </c>
      <c r="AL196" t="s">
        <v>515</v>
      </c>
      <c r="AM196">
        <v>0.91900311526479705</v>
      </c>
      <c r="AN196" t="s">
        <v>510</v>
      </c>
      <c r="AO196">
        <v>1.20627802690582</v>
      </c>
      <c r="AP196" t="s">
        <v>510</v>
      </c>
      <c r="AQ196">
        <v>1.0687732342007401</v>
      </c>
      <c r="AR196" t="s">
        <v>513</v>
      </c>
      <c r="AS196">
        <v>1.0312087912087899</v>
      </c>
      <c r="AT196" t="s">
        <v>513</v>
      </c>
      <c r="AU196">
        <v>1.2585251491901099</v>
      </c>
      <c r="AV196" t="s">
        <v>513</v>
      </c>
      <c r="AW196">
        <v>1.17984758679085</v>
      </c>
      <c r="AX196" t="s">
        <v>511</v>
      </c>
      <c r="AY196">
        <v>1.3774928774928701</v>
      </c>
      <c r="AZ196" t="s">
        <v>517</v>
      </c>
      <c r="BA196">
        <v>1.0803613248578099</v>
      </c>
      <c r="BB196" t="s">
        <v>518</v>
      </c>
      <c r="BC196">
        <v>0.68561382947553395</v>
      </c>
      <c r="BD196" t="s">
        <v>518</v>
      </c>
      <c r="BE196">
        <v>0.99145299145299104</v>
      </c>
      <c r="BF196" t="s">
        <v>518</v>
      </c>
      <c r="BG196">
        <v>1.1336206896551699</v>
      </c>
      <c r="BH196" t="s">
        <v>523</v>
      </c>
      <c r="BI196">
        <v>1.0104029304029301</v>
      </c>
      <c r="BJ196" t="s">
        <v>527</v>
      </c>
      <c r="BK196">
        <v>0.87617554858934099</v>
      </c>
      <c r="BL196" t="s">
        <v>523</v>
      </c>
      <c r="BM196">
        <v>0.83781930396022597</v>
      </c>
      <c r="BN196" t="s">
        <v>523</v>
      </c>
      <c r="BO196">
        <v>1.1890730509515</v>
      </c>
      <c r="BP196" t="s">
        <v>523</v>
      </c>
      <c r="BQ196">
        <v>1.07528824642918</v>
      </c>
      <c r="BR196" t="s">
        <v>523</v>
      </c>
      <c r="BS196">
        <v>0.86380731375530095</v>
      </c>
      <c r="BT196" t="s">
        <v>528</v>
      </c>
      <c r="BU196">
        <v>1.25133689839572</v>
      </c>
      <c r="BV196" t="s">
        <v>518</v>
      </c>
      <c r="BW196">
        <v>1.1057692307692299</v>
      </c>
    </row>
    <row r="197" spans="1:75" x14ac:dyDescent="0.4">
      <c r="A197">
        <v>195</v>
      </c>
      <c r="B197" t="s">
        <v>478</v>
      </c>
      <c r="C197">
        <v>1.1227370868626401</v>
      </c>
      <c r="D197" t="s">
        <v>485</v>
      </c>
      <c r="E197">
        <v>0.882293762575452</v>
      </c>
      <c r="F197" t="s">
        <v>495</v>
      </c>
      <c r="G197">
        <v>0.40591966173361499</v>
      </c>
      <c r="H197" t="s">
        <v>481</v>
      </c>
      <c r="I197">
        <v>1.0571428571428501</v>
      </c>
      <c r="J197" t="s">
        <v>490</v>
      </c>
      <c r="K197">
        <v>1.2329317269076301</v>
      </c>
      <c r="L197" t="s">
        <v>493</v>
      </c>
      <c r="M197">
        <v>0.96255506607929497</v>
      </c>
      <c r="N197" t="s">
        <v>494</v>
      </c>
      <c r="O197">
        <v>0.78625787263820801</v>
      </c>
      <c r="P197" t="s">
        <v>524</v>
      </c>
      <c r="Q197">
        <v>0.84583333333333299</v>
      </c>
      <c r="R197" t="s">
        <v>494</v>
      </c>
      <c r="S197">
        <v>1.1605204872646699</v>
      </c>
      <c r="T197" t="s">
        <v>498</v>
      </c>
      <c r="U197">
        <v>0.72505543237250503</v>
      </c>
      <c r="V197" t="s">
        <v>514</v>
      </c>
      <c r="W197">
        <v>0.96179775280898805</v>
      </c>
      <c r="X197" t="s">
        <v>514</v>
      </c>
      <c r="Y197">
        <v>0.93224299065420502</v>
      </c>
      <c r="Z197" t="s">
        <v>501</v>
      </c>
      <c r="AA197">
        <v>0.97142857142857097</v>
      </c>
      <c r="AB197" t="s">
        <v>502</v>
      </c>
      <c r="AC197">
        <v>0.89403973509933699</v>
      </c>
      <c r="AD197" t="s">
        <v>502</v>
      </c>
      <c r="AE197">
        <v>0.86111111111111105</v>
      </c>
      <c r="AF197" t="s">
        <v>501</v>
      </c>
      <c r="AG197">
        <v>1.37993920972644</v>
      </c>
      <c r="AH197" t="s">
        <v>504</v>
      </c>
      <c r="AI197">
        <v>1.0493056829999301</v>
      </c>
      <c r="AJ197" t="s">
        <v>510</v>
      </c>
      <c r="AK197">
        <v>1.1182108626198</v>
      </c>
      <c r="AL197" t="s">
        <v>508</v>
      </c>
      <c r="AM197">
        <v>1.0749665327978499</v>
      </c>
      <c r="AN197" t="s">
        <v>529</v>
      </c>
      <c r="AO197">
        <v>1.1976284584980199</v>
      </c>
      <c r="AP197" t="s">
        <v>529</v>
      </c>
      <c r="AQ197">
        <v>1.3135313531353101</v>
      </c>
      <c r="AR197" t="s">
        <v>517</v>
      </c>
      <c r="AS197">
        <v>0.90767443449736895</v>
      </c>
      <c r="AT197" t="s">
        <v>517</v>
      </c>
      <c r="AU197">
        <v>1.1438036440295101</v>
      </c>
      <c r="AV197" t="s">
        <v>517</v>
      </c>
      <c r="AW197">
        <v>0.97551342812006303</v>
      </c>
      <c r="AX197" t="s">
        <v>513</v>
      </c>
      <c r="AY197">
        <v>0.97272857758001996</v>
      </c>
      <c r="AZ197" t="s">
        <v>518</v>
      </c>
      <c r="BA197">
        <v>1.13456552090951</v>
      </c>
      <c r="BB197" t="s">
        <v>530</v>
      </c>
      <c r="BC197">
        <v>0.82558139534883701</v>
      </c>
      <c r="BD197" t="s">
        <v>519</v>
      </c>
      <c r="BE197">
        <v>0.97499999999999998</v>
      </c>
      <c r="BF197" t="s">
        <v>519</v>
      </c>
      <c r="BG197">
        <v>1.1491841491841399</v>
      </c>
      <c r="BH197" t="s">
        <v>527</v>
      </c>
      <c r="BI197">
        <v>0.91012838801711804</v>
      </c>
      <c r="BJ197" t="s">
        <v>531</v>
      </c>
      <c r="BK197">
        <v>0.79224618972266103</v>
      </c>
      <c r="BL197" t="s">
        <v>527</v>
      </c>
      <c r="BM197">
        <v>0.95527728085867603</v>
      </c>
      <c r="BN197" t="s">
        <v>527</v>
      </c>
      <c r="BO197">
        <v>1.03745318352059</v>
      </c>
      <c r="BP197" t="s">
        <v>527</v>
      </c>
      <c r="BQ197">
        <v>1.0667870036100999</v>
      </c>
      <c r="BR197" t="s">
        <v>527</v>
      </c>
      <c r="BS197">
        <v>0.96785109983079498</v>
      </c>
      <c r="BT197" t="s">
        <v>532</v>
      </c>
      <c r="BU197">
        <v>1.0590659340659301</v>
      </c>
      <c r="BV197" t="s">
        <v>523</v>
      </c>
      <c r="BW197">
        <v>0.95734597156398105</v>
      </c>
    </row>
    <row r="198" spans="1:75" x14ac:dyDescent="0.4">
      <c r="A198">
        <v>196</v>
      </c>
      <c r="B198" t="s">
        <v>485</v>
      </c>
      <c r="C198">
        <v>1.01428571428571</v>
      </c>
      <c r="D198" t="s">
        <v>479</v>
      </c>
      <c r="E198">
        <v>0.83248730964466999</v>
      </c>
      <c r="F198" t="s">
        <v>488</v>
      </c>
      <c r="G198">
        <v>0.68333333333333302</v>
      </c>
      <c r="H198" t="s">
        <v>488</v>
      </c>
      <c r="I198">
        <v>0.62804878048780399</v>
      </c>
      <c r="J198" t="s">
        <v>493</v>
      </c>
      <c r="K198">
        <v>1.43670886075949</v>
      </c>
      <c r="L198" t="s">
        <v>524</v>
      </c>
      <c r="M198">
        <v>0.79461279461279399</v>
      </c>
      <c r="N198" t="s">
        <v>496</v>
      </c>
      <c r="O198">
        <v>1.0815334162614401</v>
      </c>
      <c r="P198" t="s">
        <v>494</v>
      </c>
      <c r="Q198">
        <v>1.0046170106246799</v>
      </c>
      <c r="R198" t="s">
        <v>500</v>
      </c>
      <c r="S198">
        <v>0.75830815709969701</v>
      </c>
      <c r="T198" t="s">
        <v>500</v>
      </c>
      <c r="U198">
        <v>1.1573705179282801</v>
      </c>
      <c r="V198" t="s">
        <v>498</v>
      </c>
      <c r="W198">
        <v>1.17125382262996</v>
      </c>
      <c r="X198" t="s">
        <v>498</v>
      </c>
      <c r="Y198">
        <v>0.89817232375979095</v>
      </c>
      <c r="Z198" t="s">
        <v>502</v>
      </c>
      <c r="AA198">
        <v>0.97419354838709604</v>
      </c>
      <c r="AB198" t="s">
        <v>504</v>
      </c>
      <c r="AC198">
        <v>0.91554173025002905</v>
      </c>
      <c r="AD198" t="s">
        <v>503</v>
      </c>
      <c r="AE198">
        <v>0.85600907029478401</v>
      </c>
      <c r="AF198" t="s">
        <v>502</v>
      </c>
      <c r="AG198">
        <v>1.2258064516128999</v>
      </c>
      <c r="AH198" t="s">
        <v>515</v>
      </c>
      <c r="AI198">
        <v>0.895316804407713</v>
      </c>
      <c r="AJ198" t="s">
        <v>521</v>
      </c>
      <c r="AK198">
        <v>0.89267129228100595</v>
      </c>
      <c r="AL198" t="s">
        <v>510</v>
      </c>
      <c r="AM198">
        <v>1.27428571428571</v>
      </c>
      <c r="AN198" t="s">
        <v>513</v>
      </c>
      <c r="AO198">
        <v>1</v>
      </c>
      <c r="AP198" t="s">
        <v>513</v>
      </c>
      <c r="AQ198">
        <v>1.2214765100671101</v>
      </c>
      <c r="AR198" t="s">
        <v>518</v>
      </c>
      <c r="AS198">
        <v>0.91739077224329901</v>
      </c>
      <c r="AT198" t="s">
        <v>518</v>
      </c>
      <c r="AU198">
        <v>1.09324973319103</v>
      </c>
      <c r="AV198" t="s">
        <v>518</v>
      </c>
      <c r="AW198">
        <v>0.96473459426479502</v>
      </c>
      <c r="AX198" t="s">
        <v>517</v>
      </c>
      <c r="AY198">
        <v>1.00843454790823</v>
      </c>
      <c r="AZ198" t="s">
        <v>530</v>
      </c>
      <c r="BA198">
        <v>0.85430463576158899</v>
      </c>
      <c r="BB198" t="s">
        <v>533</v>
      </c>
      <c r="BC198">
        <v>0.826315789473684</v>
      </c>
      <c r="BD198" t="s">
        <v>533</v>
      </c>
      <c r="BE198">
        <v>1.0525477707006301</v>
      </c>
      <c r="BF198" t="s">
        <v>533</v>
      </c>
      <c r="BG198">
        <v>1.9969742813918301</v>
      </c>
      <c r="BH198" t="s">
        <v>531</v>
      </c>
      <c r="BI198">
        <v>0.79450785773366395</v>
      </c>
      <c r="BJ198" t="s">
        <v>532</v>
      </c>
      <c r="BK198">
        <v>0.92897196261682202</v>
      </c>
      <c r="BL198" t="s">
        <v>528</v>
      </c>
      <c r="BM198">
        <v>0.94290657439446302</v>
      </c>
      <c r="BN198" t="s">
        <v>528</v>
      </c>
      <c r="BO198">
        <v>1.1394495412843999</v>
      </c>
      <c r="BP198" t="s">
        <v>528</v>
      </c>
      <c r="BQ198">
        <v>0.94363929146537795</v>
      </c>
      <c r="BR198" t="s">
        <v>528</v>
      </c>
      <c r="BS198">
        <v>0.79778156996587002</v>
      </c>
      <c r="BT198" t="s">
        <v>534</v>
      </c>
      <c r="BU198">
        <v>1.0097087378640699</v>
      </c>
      <c r="BV198" t="s">
        <v>527</v>
      </c>
      <c r="BW198">
        <v>1.08978873239436</v>
      </c>
    </row>
    <row r="199" spans="1:75" x14ac:dyDescent="0.4">
      <c r="A199">
        <v>197</v>
      </c>
      <c r="B199" t="s">
        <v>479</v>
      </c>
      <c r="C199">
        <v>0.86403508771929804</v>
      </c>
      <c r="D199" t="s">
        <v>481</v>
      </c>
      <c r="E199">
        <v>0.90232558139534802</v>
      </c>
      <c r="F199" t="s">
        <v>490</v>
      </c>
      <c r="G199">
        <v>0.82012578616352205</v>
      </c>
      <c r="H199" t="s">
        <v>493</v>
      </c>
      <c r="I199">
        <v>0.77261613691931497</v>
      </c>
      <c r="J199" t="s">
        <v>491</v>
      </c>
      <c r="K199">
        <v>1.4620689655172401</v>
      </c>
      <c r="L199" t="s">
        <v>491</v>
      </c>
      <c r="M199">
        <v>0.94811320754716899</v>
      </c>
      <c r="N199" t="s">
        <v>498</v>
      </c>
      <c r="O199">
        <v>0.92526690391458999</v>
      </c>
      <c r="P199" t="s">
        <v>498</v>
      </c>
      <c r="Q199">
        <v>1.40384615384615</v>
      </c>
      <c r="R199" t="s">
        <v>499</v>
      </c>
      <c r="S199">
        <v>1.3541666666666601</v>
      </c>
      <c r="T199" t="s">
        <v>499</v>
      </c>
      <c r="U199">
        <v>1.4423076923076901</v>
      </c>
      <c r="V199" t="s">
        <v>500</v>
      </c>
      <c r="W199">
        <v>0.91566265060240903</v>
      </c>
      <c r="X199" t="s">
        <v>500</v>
      </c>
      <c r="Y199">
        <v>0.83834586466165395</v>
      </c>
      <c r="Z199" t="s">
        <v>535</v>
      </c>
      <c r="AA199">
        <v>1.29282542650151</v>
      </c>
      <c r="AB199" t="s">
        <v>536</v>
      </c>
      <c r="AC199">
        <v>1.29390681003584</v>
      </c>
      <c r="AD199" t="s">
        <v>520</v>
      </c>
      <c r="AE199">
        <v>1.16256830601092</v>
      </c>
      <c r="AF199" t="s">
        <v>503</v>
      </c>
      <c r="AG199">
        <v>1.0913907284768201</v>
      </c>
      <c r="AH199" t="s">
        <v>508</v>
      </c>
      <c r="AI199">
        <v>1.0472560975609699</v>
      </c>
      <c r="AJ199" t="s">
        <v>513</v>
      </c>
      <c r="AK199">
        <v>1.1584889274858801</v>
      </c>
      <c r="AL199" t="s">
        <v>513</v>
      </c>
      <c r="AM199">
        <v>1.39617691154422</v>
      </c>
      <c r="AN199" t="s">
        <v>517</v>
      </c>
      <c r="AO199">
        <v>1.2934030856534799</v>
      </c>
      <c r="AP199" t="s">
        <v>517</v>
      </c>
      <c r="AQ199">
        <v>1.0031534928360799</v>
      </c>
      <c r="AR199" t="s">
        <v>519</v>
      </c>
      <c r="AS199">
        <v>1.03778337531486</v>
      </c>
      <c r="AT199" t="s">
        <v>519</v>
      </c>
      <c r="AU199">
        <v>1.30825242718446</v>
      </c>
      <c r="AV199" t="s">
        <v>530</v>
      </c>
      <c r="AW199">
        <v>1.0100671140939499</v>
      </c>
      <c r="AX199" t="s">
        <v>518</v>
      </c>
      <c r="AY199">
        <v>0.951239564887427</v>
      </c>
      <c r="AZ199" t="s">
        <v>533</v>
      </c>
      <c r="BA199">
        <v>1.5866388308977</v>
      </c>
      <c r="BB199" t="s">
        <v>523</v>
      </c>
      <c r="BC199">
        <v>0.91652001759788804</v>
      </c>
      <c r="BD199" t="s">
        <v>523</v>
      </c>
      <c r="BE199">
        <v>1.29797191887675</v>
      </c>
      <c r="BF199" t="s">
        <v>523</v>
      </c>
      <c r="BG199">
        <v>1.2620192307692299</v>
      </c>
      <c r="BH199" t="s">
        <v>532</v>
      </c>
      <c r="BI199">
        <v>0.93449781659388598</v>
      </c>
      <c r="BJ199" t="s">
        <v>534</v>
      </c>
      <c r="BK199">
        <v>1.03452685421994</v>
      </c>
      <c r="BL199" t="s">
        <v>532</v>
      </c>
      <c r="BM199">
        <v>0.96076458752515004</v>
      </c>
      <c r="BN199" t="s">
        <v>532</v>
      </c>
      <c r="BO199">
        <v>0.91413612565445002</v>
      </c>
      <c r="BP199" t="s">
        <v>532</v>
      </c>
      <c r="BQ199">
        <v>0.87285223367697595</v>
      </c>
      <c r="BR199" t="s">
        <v>532</v>
      </c>
      <c r="BS199">
        <v>0.95538057742782101</v>
      </c>
      <c r="BT199" t="s">
        <v>537</v>
      </c>
      <c r="BU199">
        <v>1.13043478260869</v>
      </c>
      <c r="BV199" t="s">
        <v>532</v>
      </c>
      <c r="BW199">
        <v>1.09987029831387</v>
      </c>
    </row>
    <row r="200" spans="1:75" x14ac:dyDescent="0.4">
      <c r="A200">
        <v>198</v>
      </c>
      <c r="B200" t="s">
        <v>481</v>
      </c>
      <c r="C200">
        <v>1.02380952380952</v>
      </c>
      <c r="D200" t="s">
        <v>488</v>
      </c>
      <c r="E200">
        <v>1.0869565217391299</v>
      </c>
      <c r="F200" t="s">
        <v>524</v>
      </c>
      <c r="G200">
        <v>0.84792626728110598</v>
      </c>
      <c r="H200" t="s">
        <v>491</v>
      </c>
      <c r="I200">
        <v>1.06617647058823</v>
      </c>
      <c r="J200" t="s">
        <v>494</v>
      </c>
      <c r="K200">
        <v>1.4173278169871</v>
      </c>
      <c r="L200" t="s">
        <v>494</v>
      </c>
      <c r="M200">
        <v>0.78519179916892701</v>
      </c>
      <c r="N200" t="s">
        <v>502</v>
      </c>
      <c r="O200">
        <v>0.93220338983050799</v>
      </c>
      <c r="P200" t="s">
        <v>499</v>
      </c>
      <c r="Q200">
        <v>0.82051282051282004</v>
      </c>
      <c r="R200" t="s">
        <v>501</v>
      </c>
      <c r="S200">
        <v>0.97004132231404905</v>
      </c>
      <c r="T200" t="s">
        <v>502</v>
      </c>
      <c r="U200">
        <v>0.78792341678939604</v>
      </c>
      <c r="V200" t="s">
        <v>502</v>
      </c>
      <c r="W200">
        <v>1.0224299065420499</v>
      </c>
      <c r="X200" t="s">
        <v>502</v>
      </c>
      <c r="Y200">
        <v>1.13345521023766</v>
      </c>
      <c r="Z200" t="s">
        <v>520</v>
      </c>
      <c r="AA200">
        <v>0.99050203527815395</v>
      </c>
      <c r="AB200" t="s">
        <v>538</v>
      </c>
      <c r="AC200">
        <v>0.68556874631640896</v>
      </c>
      <c r="AD200" t="s">
        <v>538</v>
      </c>
      <c r="AE200">
        <v>0.51765428308259098</v>
      </c>
      <c r="AF200" t="s">
        <v>515</v>
      </c>
      <c r="AG200">
        <v>1.22016806722689</v>
      </c>
      <c r="AH200" t="s">
        <v>521</v>
      </c>
      <c r="AI200">
        <v>0.62013061851709494</v>
      </c>
      <c r="AJ200" t="s">
        <v>517</v>
      </c>
      <c r="AK200">
        <v>1.01720310765815</v>
      </c>
      <c r="AL200" t="s">
        <v>517</v>
      </c>
      <c r="AM200">
        <v>1.0254591743953401</v>
      </c>
      <c r="AN200" t="s">
        <v>518</v>
      </c>
      <c r="AO200">
        <v>1.2036724031960599</v>
      </c>
      <c r="AP200" t="s">
        <v>518</v>
      </c>
      <c r="AQ200">
        <v>1.04308418969809</v>
      </c>
      <c r="AR200" t="s">
        <v>530</v>
      </c>
      <c r="AS200">
        <v>1.09191176470588</v>
      </c>
      <c r="AT200" t="s">
        <v>530</v>
      </c>
      <c r="AU200">
        <v>1.0033670033669999</v>
      </c>
      <c r="AV200" t="s">
        <v>533</v>
      </c>
      <c r="AW200">
        <v>1.0480446927374301</v>
      </c>
      <c r="AX200" t="s">
        <v>530</v>
      </c>
      <c r="AY200">
        <v>1.0033222591362101</v>
      </c>
      <c r="AZ200" t="s">
        <v>523</v>
      </c>
      <c r="BA200">
        <v>0.92993760867341702</v>
      </c>
      <c r="BB200" t="s">
        <v>527</v>
      </c>
      <c r="BC200">
        <v>0.81536388140161697</v>
      </c>
      <c r="BD200" t="s">
        <v>527</v>
      </c>
      <c r="BE200">
        <v>1.1272727272727201</v>
      </c>
      <c r="BF200" t="s">
        <v>527</v>
      </c>
      <c r="BG200">
        <v>1.02785923753665</v>
      </c>
      <c r="BH200" t="s">
        <v>534</v>
      </c>
      <c r="BI200">
        <v>0.94673123486682798</v>
      </c>
      <c r="BJ200" t="s">
        <v>537</v>
      </c>
      <c r="BK200">
        <v>1.2270742358078599</v>
      </c>
      <c r="BL200" t="s">
        <v>534</v>
      </c>
      <c r="BM200">
        <v>0.97898640296662498</v>
      </c>
      <c r="BN200" t="s">
        <v>534</v>
      </c>
      <c r="BO200">
        <v>1.1489898989898899</v>
      </c>
      <c r="BP200" t="s">
        <v>534</v>
      </c>
      <c r="BQ200">
        <v>1.02967032967032</v>
      </c>
      <c r="BR200" t="s">
        <v>534</v>
      </c>
      <c r="BS200">
        <v>1.09925293489861</v>
      </c>
      <c r="BT200" t="s">
        <v>539</v>
      </c>
      <c r="BU200">
        <v>1.05626598465473</v>
      </c>
      <c r="BV200" t="s">
        <v>534</v>
      </c>
      <c r="BW200">
        <v>1.21634615384615</v>
      </c>
    </row>
    <row r="201" spans="1:75" x14ac:dyDescent="0.4">
      <c r="A201">
        <v>199</v>
      </c>
      <c r="B201" t="s">
        <v>488</v>
      </c>
      <c r="C201">
        <v>1.0474383301707699</v>
      </c>
      <c r="D201" t="s">
        <v>490</v>
      </c>
      <c r="E201">
        <v>1.04330708661417</v>
      </c>
      <c r="F201" t="s">
        <v>491</v>
      </c>
      <c r="G201">
        <v>0.79069767441860395</v>
      </c>
      <c r="H201" t="s">
        <v>494</v>
      </c>
      <c r="I201">
        <v>1.2575748301401699</v>
      </c>
      <c r="J201" t="s">
        <v>514</v>
      </c>
      <c r="K201">
        <v>1.2777777777777699</v>
      </c>
      <c r="L201" t="s">
        <v>498</v>
      </c>
      <c r="M201">
        <v>0.82890855457227097</v>
      </c>
      <c r="N201" t="s">
        <v>503</v>
      </c>
      <c r="O201">
        <v>1.1262135922330001</v>
      </c>
      <c r="P201" t="s">
        <v>502</v>
      </c>
      <c r="Q201">
        <v>0.91136363636363604</v>
      </c>
      <c r="R201" t="s">
        <v>502</v>
      </c>
      <c r="S201">
        <v>0.84663341645885204</v>
      </c>
      <c r="T201" t="s">
        <v>535</v>
      </c>
      <c r="U201">
        <v>0.74451718494271601</v>
      </c>
      <c r="V201" t="s">
        <v>536</v>
      </c>
      <c r="W201">
        <v>1.0833333333333299</v>
      </c>
      <c r="X201" t="s">
        <v>536</v>
      </c>
      <c r="Y201">
        <v>1.15384615384615</v>
      </c>
      <c r="Z201" t="s">
        <v>536</v>
      </c>
      <c r="AA201">
        <v>1.1625000000000001</v>
      </c>
      <c r="AB201" t="s">
        <v>521</v>
      </c>
      <c r="AC201">
        <v>1.36068646268488</v>
      </c>
      <c r="AD201" t="s">
        <v>521</v>
      </c>
      <c r="AE201">
        <v>0.78821069401573196</v>
      </c>
      <c r="AF201" t="s">
        <v>521</v>
      </c>
      <c r="AG201">
        <v>1.09609230250968</v>
      </c>
      <c r="AH201" t="s">
        <v>517</v>
      </c>
      <c r="AI201">
        <v>0.83156437471158196</v>
      </c>
      <c r="AJ201" t="s">
        <v>518</v>
      </c>
      <c r="AK201">
        <v>0.89415929203539801</v>
      </c>
      <c r="AL201" t="s">
        <v>518</v>
      </c>
      <c r="AM201">
        <v>1.03056215360253</v>
      </c>
      <c r="AN201" t="s">
        <v>533</v>
      </c>
      <c r="AO201">
        <v>0.97533206831119501</v>
      </c>
      <c r="AP201" t="s">
        <v>533</v>
      </c>
      <c r="AQ201">
        <v>0.96206225680933799</v>
      </c>
      <c r="AR201" t="s">
        <v>533</v>
      </c>
      <c r="AS201">
        <v>0.88978766430738099</v>
      </c>
      <c r="AT201" t="s">
        <v>533</v>
      </c>
      <c r="AU201">
        <v>1.0170454545454499</v>
      </c>
      <c r="AV201" t="s">
        <v>523</v>
      </c>
      <c r="AW201">
        <v>0.93273824490822199</v>
      </c>
      <c r="AX201" t="s">
        <v>533</v>
      </c>
      <c r="AY201">
        <v>1.0213219616204601</v>
      </c>
      <c r="AZ201" t="s">
        <v>532</v>
      </c>
      <c r="BA201">
        <v>1.08411214953271</v>
      </c>
      <c r="BB201" t="s">
        <v>532</v>
      </c>
      <c r="BC201">
        <v>0.86637931034482696</v>
      </c>
      <c r="BD201" t="s">
        <v>532</v>
      </c>
      <c r="BE201">
        <v>1.16417910447761</v>
      </c>
      <c r="BF201" t="s">
        <v>532</v>
      </c>
      <c r="BG201">
        <v>0.97863247863247804</v>
      </c>
      <c r="BH201" t="s">
        <v>540</v>
      </c>
      <c r="BI201">
        <v>0.82978723404255295</v>
      </c>
      <c r="BJ201" t="s">
        <v>540</v>
      </c>
      <c r="BK201">
        <v>1.3504273504273501</v>
      </c>
      <c r="BL201" t="s">
        <v>537</v>
      </c>
      <c r="BM201">
        <v>1.0427046263345101</v>
      </c>
      <c r="BN201" t="s">
        <v>537</v>
      </c>
      <c r="BO201">
        <v>0.89761092150170596</v>
      </c>
      <c r="BP201" t="s">
        <v>537</v>
      </c>
      <c r="BQ201">
        <v>1.2357414448669199</v>
      </c>
      <c r="BR201" t="s">
        <v>537</v>
      </c>
      <c r="BS201">
        <v>0.84923076923076901</v>
      </c>
      <c r="BT201" t="s">
        <v>541</v>
      </c>
      <c r="BU201">
        <v>1.0909090909090899</v>
      </c>
      <c r="BV201" t="s">
        <v>537</v>
      </c>
      <c r="BW201">
        <v>1.0192307692307601</v>
      </c>
    </row>
    <row r="202" spans="1:75" x14ac:dyDescent="0.4">
      <c r="A202">
        <v>200</v>
      </c>
    </row>
    <row r="203" spans="1:75" x14ac:dyDescent="0.4">
      <c r="A203">
        <v>201</v>
      </c>
    </row>
    <row r="204" spans="1:75" x14ac:dyDescent="0.4">
      <c r="A204">
        <v>202</v>
      </c>
    </row>
    <row r="205" spans="1:75" x14ac:dyDescent="0.4">
      <c r="A205">
        <v>203</v>
      </c>
    </row>
    <row r="206" spans="1:75" x14ac:dyDescent="0.4">
      <c r="A206">
        <v>204</v>
      </c>
    </row>
    <row r="207" spans="1:75" x14ac:dyDescent="0.4">
      <c r="A207">
        <v>205</v>
      </c>
    </row>
    <row r="208" spans="1:75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195" x14ac:dyDescent="0.4">
      <c r="A993">
        <v>991</v>
      </c>
    </row>
    <row r="994" spans="1:195" x14ac:dyDescent="0.4">
      <c r="A994">
        <v>992</v>
      </c>
    </row>
    <row r="995" spans="1:195" x14ac:dyDescent="0.4">
      <c r="A995">
        <v>993</v>
      </c>
    </row>
    <row r="996" spans="1:195" x14ac:dyDescent="0.4">
      <c r="A996">
        <v>994</v>
      </c>
    </row>
    <row r="997" spans="1:195" x14ac:dyDescent="0.4">
      <c r="A997">
        <v>995</v>
      </c>
      <c r="BQ997" t="s">
        <v>664</v>
      </c>
    </row>
    <row r="998" spans="1:195" x14ac:dyDescent="0.4">
      <c r="A998">
        <v>996</v>
      </c>
      <c r="B998">
        <v>7.43801652892562E-2</v>
      </c>
      <c r="C998">
        <v>4.3103448275862002E-2</v>
      </c>
      <c r="D998">
        <v>0.24503311258278099</v>
      </c>
      <c r="E998">
        <v>0.19892473118279499</v>
      </c>
      <c r="F998">
        <v>1.1560693641618399E-2</v>
      </c>
      <c r="G998">
        <v>4.1176470588235203E-2</v>
      </c>
      <c r="H998">
        <v>4.2424242424242399E-2</v>
      </c>
      <c r="I998">
        <v>0.111801242236024</v>
      </c>
      <c r="J998">
        <v>8.9285714285714204E-2</v>
      </c>
      <c r="K998">
        <v>8.8397790055248601E-2</v>
      </c>
      <c r="L998">
        <v>5.85106382978723E-2</v>
      </c>
      <c r="M998">
        <v>5.1813471502590601E-2</v>
      </c>
      <c r="N998">
        <v>2.2471910112359501E-2</v>
      </c>
      <c r="O998">
        <v>8.9473684210526302E-2</v>
      </c>
      <c r="P998">
        <v>0.12</v>
      </c>
      <c r="Q998">
        <v>0.16500000000000001</v>
      </c>
      <c r="R998">
        <v>6.5000000000000002E-2</v>
      </c>
      <c r="S998">
        <v>0.11</v>
      </c>
      <c r="T998">
        <v>0.215</v>
      </c>
      <c r="U998">
        <v>0.13500000000000001</v>
      </c>
      <c r="V998">
        <v>0.11</v>
      </c>
      <c r="W998">
        <v>0.115</v>
      </c>
      <c r="X998">
        <v>0.125</v>
      </c>
      <c r="Y998">
        <v>0.105</v>
      </c>
      <c r="Z998">
        <v>0.24</v>
      </c>
      <c r="AA998">
        <v>0.16500000000000001</v>
      </c>
      <c r="AB998">
        <v>0.2</v>
      </c>
      <c r="AC998">
        <v>0.125</v>
      </c>
      <c r="AD998">
        <v>0.12</v>
      </c>
      <c r="AE998">
        <v>0.18</v>
      </c>
      <c r="AF998">
        <v>0.315</v>
      </c>
      <c r="AG998">
        <v>0.11</v>
      </c>
      <c r="AH998">
        <v>0.215</v>
      </c>
      <c r="AI998">
        <v>0.14000000000000001</v>
      </c>
      <c r="AJ998">
        <v>0.115</v>
      </c>
      <c r="AK998">
        <v>0.115</v>
      </c>
      <c r="AL998">
        <v>0.115</v>
      </c>
      <c r="AM998">
        <v>0.1</v>
      </c>
      <c r="AN998">
        <v>0.12</v>
      </c>
      <c r="AO998">
        <v>0.14000000000000001</v>
      </c>
      <c r="AP998">
        <v>0.14000000000000001</v>
      </c>
      <c r="AQ998">
        <v>0.125</v>
      </c>
      <c r="AR998">
        <v>0.14000000000000001</v>
      </c>
      <c r="AS998">
        <v>0.18</v>
      </c>
      <c r="AT998">
        <v>0.17499999999999999</v>
      </c>
      <c r="AU998">
        <v>0.115</v>
      </c>
      <c r="AV998">
        <v>0.16</v>
      </c>
      <c r="AW998">
        <v>0.14499999999999999</v>
      </c>
      <c r="AX998">
        <v>0.17499999999999999</v>
      </c>
      <c r="AY998">
        <v>0.14000000000000001</v>
      </c>
      <c r="AZ998">
        <v>0.1</v>
      </c>
      <c r="BA998">
        <v>0.12</v>
      </c>
      <c r="BB998">
        <v>0.13</v>
      </c>
      <c r="BC998">
        <v>0.14499999999999999</v>
      </c>
      <c r="BD998">
        <v>0.185</v>
      </c>
      <c r="BE998">
        <v>0.13</v>
      </c>
      <c r="BF998">
        <v>0.185</v>
      </c>
      <c r="BG998">
        <v>0.12</v>
      </c>
      <c r="BH998">
        <v>0.13</v>
      </c>
      <c r="BI998">
        <v>0.11</v>
      </c>
      <c r="BJ998">
        <v>0.105</v>
      </c>
      <c r="BK998">
        <v>0.11</v>
      </c>
      <c r="BL998">
        <v>0.105</v>
      </c>
      <c r="BM998">
        <v>9.5000000000000001E-2</v>
      </c>
      <c r="BQ998">
        <f>AVERAGE(AD998:BM998)</f>
        <v>0.14027777777777783</v>
      </c>
    </row>
    <row r="999" spans="1:195" x14ac:dyDescent="0.4">
      <c r="A999">
        <v>997</v>
      </c>
      <c r="B999" s="27">
        <v>20010531</v>
      </c>
      <c r="C999" s="27">
        <v>20010831</v>
      </c>
      <c r="D999" s="27">
        <v>20011130</v>
      </c>
      <c r="E999" s="27">
        <v>20020228</v>
      </c>
      <c r="F999" s="27">
        <v>20020531</v>
      </c>
      <c r="G999" s="27">
        <v>20020830</v>
      </c>
      <c r="H999" s="27">
        <v>20021129</v>
      </c>
      <c r="I999" s="27">
        <v>20030228</v>
      </c>
      <c r="J999" s="27">
        <v>20030530</v>
      </c>
      <c r="K999" s="27">
        <v>20030829</v>
      </c>
      <c r="L999" s="27">
        <v>20031128</v>
      </c>
      <c r="M999" s="27">
        <v>20040227</v>
      </c>
      <c r="N999" s="27">
        <v>20040531</v>
      </c>
      <c r="O999" s="27">
        <v>20040831</v>
      </c>
      <c r="P999" s="27">
        <v>20041130</v>
      </c>
      <c r="Q999" s="27">
        <v>20050228</v>
      </c>
      <c r="R999" s="27">
        <v>20050531</v>
      </c>
      <c r="S999" s="27">
        <v>20050831</v>
      </c>
      <c r="T999" s="27">
        <v>20051130</v>
      </c>
      <c r="U999" s="27">
        <v>20060228</v>
      </c>
      <c r="V999" s="27">
        <v>20060530</v>
      </c>
      <c r="W999" s="27">
        <v>20060831</v>
      </c>
      <c r="X999" s="27">
        <v>20061130</v>
      </c>
      <c r="Y999" s="27">
        <v>20070228</v>
      </c>
      <c r="Z999" s="27">
        <v>20070531</v>
      </c>
      <c r="AA999" s="27">
        <v>20070831</v>
      </c>
      <c r="AB999" s="27">
        <v>20071130</v>
      </c>
      <c r="AC999" s="27">
        <v>20080229</v>
      </c>
      <c r="AD999" s="27">
        <v>20080530</v>
      </c>
      <c r="AE999" s="27">
        <v>20080829</v>
      </c>
      <c r="AF999" s="27">
        <v>20081128</v>
      </c>
      <c r="AG999" s="27">
        <v>20090227</v>
      </c>
      <c r="AH999" s="27">
        <v>20090529</v>
      </c>
      <c r="AI999" s="27">
        <v>20090831</v>
      </c>
      <c r="AJ999" s="27">
        <v>20091130</v>
      </c>
      <c r="AK999" s="27">
        <v>20100226</v>
      </c>
      <c r="AL999" s="27">
        <v>20100531</v>
      </c>
      <c r="AM999" s="27">
        <v>20100831</v>
      </c>
      <c r="AN999" s="27">
        <v>20101130</v>
      </c>
      <c r="AO999" s="27">
        <v>20110228</v>
      </c>
      <c r="AP999" s="27">
        <v>20110531</v>
      </c>
      <c r="AQ999" s="27">
        <v>20110831</v>
      </c>
      <c r="AR999" s="27">
        <v>20111130</v>
      </c>
      <c r="AS999" s="27">
        <v>20120229</v>
      </c>
      <c r="AT999" s="27">
        <v>20120531</v>
      </c>
      <c r="AU999" s="27">
        <v>20120831</v>
      </c>
      <c r="AV999" s="27">
        <v>20121130</v>
      </c>
      <c r="AW999" s="27">
        <v>20130228</v>
      </c>
      <c r="AX999" s="27">
        <v>20130531</v>
      </c>
      <c r="AY999" s="27">
        <v>20130830</v>
      </c>
      <c r="AZ999" s="27">
        <v>20131129</v>
      </c>
      <c r="BA999" s="27">
        <v>20140228</v>
      </c>
      <c r="BB999" s="27">
        <v>20140530</v>
      </c>
      <c r="BC999" s="27">
        <v>20140829</v>
      </c>
      <c r="BD999" s="27">
        <v>20141128</v>
      </c>
      <c r="BE999" s="27">
        <v>20150227</v>
      </c>
      <c r="BF999" s="27">
        <v>20150529</v>
      </c>
      <c r="BG999" s="27">
        <v>20150831</v>
      </c>
      <c r="BH999" s="27">
        <v>20151130</v>
      </c>
      <c r="BI999" s="27">
        <v>20160229</v>
      </c>
      <c r="BJ999" s="27">
        <v>20160531</v>
      </c>
      <c r="BK999" s="27">
        <v>20160831</v>
      </c>
      <c r="BL999" s="27">
        <v>20161130</v>
      </c>
      <c r="BM999" s="27">
        <v>20170228</v>
      </c>
      <c r="BN999" s="27">
        <v>20170531</v>
      </c>
      <c r="BP999" s="27"/>
      <c r="BQ999" s="27"/>
      <c r="BR999" s="27"/>
      <c r="BS999" s="27"/>
      <c r="BT999" s="27"/>
      <c r="BU999" s="27"/>
      <c r="BV999" s="27"/>
      <c r="BW999" s="27"/>
      <c r="BX999" s="27"/>
      <c r="BY999" s="27"/>
      <c r="BZ999" s="27"/>
      <c r="CA999" s="27"/>
      <c r="CB999" s="27"/>
      <c r="CC999" s="27"/>
      <c r="CD999" s="27"/>
      <c r="CE999" s="27"/>
      <c r="CF999" s="27"/>
      <c r="CG999" s="27"/>
      <c r="CH999" s="27"/>
      <c r="CI999" s="27"/>
      <c r="CJ999" s="27"/>
      <c r="CK999" s="27"/>
      <c r="CL999" s="27"/>
      <c r="CM999" s="27"/>
      <c r="CN999" s="27"/>
      <c r="CO999" s="27"/>
      <c r="CP999" s="27"/>
      <c r="CQ999" s="27"/>
      <c r="CR999" s="27"/>
      <c r="CS999" s="27"/>
      <c r="CT999" s="27"/>
      <c r="CU999" s="27"/>
      <c r="CV999" s="27"/>
      <c r="CW999" s="27"/>
      <c r="CX999" s="27"/>
      <c r="CY999" s="27"/>
      <c r="CZ999" s="27"/>
      <c r="DA999" s="27"/>
      <c r="DB999" s="27"/>
      <c r="DC999" s="27"/>
      <c r="DD999" s="27"/>
      <c r="DE999" s="27"/>
      <c r="DF999" s="27"/>
      <c r="DG999" s="27"/>
      <c r="DH999" s="27"/>
      <c r="DI999" s="27"/>
      <c r="DJ999" s="27"/>
      <c r="DK999" s="27"/>
      <c r="DL999" s="27"/>
      <c r="DM999" s="27"/>
      <c r="DN999" s="27"/>
      <c r="DO999" s="27"/>
      <c r="DP999" s="27"/>
      <c r="DQ999" s="27"/>
      <c r="DR999" s="27"/>
      <c r="DS999" s="27"/>
      <c r="DT999" s="27"/>
      <c r="DU999" s="27"/>
      <c r="DV999" s="27"/>
      <c r="DW999" s="27"/>
      <c r="DX999" s="27"/>
      <c r="DY999" s="27"/>
      <c r="DZ999" s="27"/>
      <c r="EA999" s="27"/>
      <c r="EB999" s="27"/>
      <c r="EC999" s="27"/>
      <c r="ED999" s="27"/>
      <c r="EE999" s="27"/>
      <c r="EF999" s="27"/>
      <c r="EG999" s="27"/>
      <c r="EH999" s="27"/>
      <c r="EI999" s="27"/>
      <c r="EJ999" s="27"/>
      <c r="EK999" s="27"/>
      <c r="EL999" s="27"/>
      <c r="EM999" s="27"/>
      <c r="EN999" s="27"/>
      <c r="EO999" s="27"/>
      <c r="EP999" s="27"/>
      <c r="EQ999" s="27"/>
      <c r="ER999" s="27"/>
      <c r="ES999" s="27"/>
      <c r="ET999" s="27"/>
      <c r="EU999" s="27"/>
      <c r="EV999" s="27"/>
      <c r="EW999" s="27"/>
      <c r="EX999" s="27"/>
      <c r="EY999" s="27"/>
      <c r="EZ999" s="27"/>
      <c r="FA999" s="27"/>
      <c r="FB999" s="27"/>
      <c r="FC999" s="27"/>
      <c r="FD999" s="27"/>
      <c r="FE999" s="27"/>
      <c r="FF999" s="27"/>
      <c r="FG999" s="27"/>
      <c r="FH999" s="27"/>
      <c r="FI999" s="27"/>
      <c r="FJ999" s="27"/>
      <c r="FK999" s="27"/>
      <c r="FL999" s="27"/>
      <c r="FM999" s="27"/>
      <c r="FN999" s="27"/>
      <c r="FO999" s="27"/>
      <c r="FP999" s="27"/>
      <c r="FQ999" s="27"/>
      <c r="FR999" s="27"/>
      <c r="FS999" s="27"/>
      <c r="FT999" s="27"/>
      <c r="FU999" s="27"/>
      <c r="FV999" s="27"/>
      <c r="FW999" s="27"/>
      <c r="FX999" s="27"/>
      <c r="FY999" s="27"/>
      <c r="FZ999" s="27"/>
      <c r="GA999" s="27"/>
      <c r="GB999" s="27"/>
      <c r="GC999" s="27"/>
      <c r="GD999" s="27"/>
      <c r="GE999" s="27"/>
      <c r="GF999" s="27"/>
      <c r="GG999" s="27"/>
      <c r="GH999" s="27"/>
      <c r="GI999" s="27"/>
      <c r="GJ999" s="27"/>
      <c r="GK999" s="27"/>
      <c r="GL999" s="27"/>
      <c r="GM999" s="27"/>
    </row>
    <row r="1000" spans="1:195" x14ac:dyDescent="0.4">
      <c r="A1000">
        <v>998</v>
      </c>
      <c r="B1000" t="b">
        <v>1</v>
      </c>
      <c r="C1000" t="b">
        <v>1</v>
      </c>
      <c r="D1000" t="b">
        <v>1</v>
      </c>
      <c r="E1000" t="b">
        <v>1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1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</row>
    <row r="1001" spans="1:195" x14ac:dyDescent="0.4">
      <c r="A1001">
        <v>999</v>
      </c>
      <c r="B1001">
        <f>IF(B1000=TRUE,1,0)</f>
        <v>1</v>
      </c>
      <c r="C1001">
        <f t="shared" ref="C1001:BN1001" si="0">IF(C1000=TRUE,1,0)</f>
        <v>1</v>
      </c>
      <c r="D1001">
        <f t="shared" si="0"/>
        <v>1</v>
      </c>
      <c r="E1001">
        <f t="shared" si="0"/>
        <v>1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1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20</v>
      </c>
      <c r="BP1001">
        <v>37</v>
      </c>
      <c r="BQ1001">
        <f>BO1001/BP1001</f>
        <v>0.54054054054054057</v>
      </c>
    </row>
    <row r="1002" spans="1:195" x14ac:dyDescent="0.4">
      <c r="B1002" s="28">
        <v>20010228</v>
      </c>
      <c r="C1002" s="28">
        <v>20010531</v>
      </c>
      <c r="D1002" s="28">
        <v>20010831</v>
      </c>
      <c r="E1002" s="28">
        <v>20011130</v>
      </c>
      <c r="F1002" s="28">
        <v>20020228</v>
      </c>
      <c r="G1002" s="28">
        <v>20020531</v>
      </c>
      <c r="H1002" s="28">
        <v>20020830</v>
      </c>
      <c r="I1002" s="28">
        <v>20021129</v>
      </c>
      <c r="J1002" s="28">
        <v>20030228</v>
      </c>
      <c r="K1002" s="28">
        <v>20030530</v>
      </c>
      <c r="L1002" s="28">
        <v>20030829</v>
      </c>
      <c r="M1002" s="28">
        <v>20031128</v>
      </c>
      <c r="N1002" s="28">
        <v>20040227</v>
      </c>
      <c r="O1002" s="28">
        <v>20040531</v>
      </c>
      <c r="P1002" s="28">
        <v>20040831</v>
      </c>
      <c r="Q1002" s="28">
        <v>20041130</v>
      </c>
      <c r="R1002" s="28">
        <v>20050228</v>
      </c>
      <c r="S1002" s="28">
        <v>20050531</v>
      </c>
      <c r="T1002" s="28">
        <v>20050831</v>
      </c>
      <c r="U1002" s="28">
        <v>20051130</v>
      </c>
      <c r="V1002" s="28">
        <v>20060228</v>
      </c>
      <c r="W1002" s="28">
        <v>20060530</v>
      </c>
      <c r="X1002" s="28">
        <v>20060831</v>
      </c>
      <c r="Y1002" s="28">
        <v>20061130</v>
      </c>
      <c r="Z1002" s="28">
        <v>20070228</v>
      </c>
      <c r="AA1002" s="28">
        <v>20070531</v>
      </c>
      <c r="AB1002" s="28">
        <v>20070831</v>
      </c>
      <c r="AC1002" s="28">
        <v>20071130</v>
      </c>
      <c r="AD1002" s="28">
        <v>20080229</v>
      </c>
      <c r="AE1002" s="28">
        <v>20080530</v>
      </c>
      <c r="AF1002" s="28">
        <v>20080829</v>
      </c>
      <c r="AG1002" s="28">
        <v>20081128</v>
      </c>
      <c r="AH1002" s="28">
        <v>20090227</v>
      </c>
      <c r="AI1002" s="28">
        <v>20090529</v>
      </c>
      <c r="AJ1002" s="28">
        <v>20090831</v>
      </c>
      <c r="AK1002" s="28">
        <v>20091130</v>
      </c>
      <c r="AL1002" s="28">
        <v>20100226</v>
      </c>
      <c r="AM1002" s="28">
        <v>20100531</v>
      </c>
      <c r="AN1002" s="28">
        <v>20100831</v>
      </c>
      <c r="AO1002" s="28">
        <v>20101130</v>
      </c>
      <c r="AP1002" s="28">
        <v>20110228</v>
      </c>
      <c r="AQ1002" s="28">
        <v>20110531</v>
      </c>
      <c r="AR1002" s="28">
        <v>20110831</v>
      </c>
      <c r="AS1002" s="28">
        <v>20111130</v>
      </c>
      <c r="AT1002" s="28">
        <v>20120229</v>
      </c>
      <c r="AU1002" s="28">
        <v>20120531</v>
      </c>
      <c r="AV1002" s="28">
        <v>20120831</v>
      </c>
      <c r="AW1002" s="28">
        <v>20121130</v>
      </c>
      <c r="AX1002" s="28">
        <v>20130228</v>
      </c>
      <c r="AY1002" s="28">
        <v>20130531</v>
      </c>
      <c r="AZ1002" s="28">
        <v>20130830</v>
      </c>
      <c r="BA1002" s="28">
        <v>20131129</v>
      </c>
      <c r="BB1002" s="28">
        <v>20140228</v>
      </c>
      <c r="BC1002" s="28">
        <v>20140530</v>
      </c>
      <c r="BD1002" s="28">
        <v>20140829</v>
      </c>
      <c r="BE1002" s="28">
        <v>20141128</v>
      </c>
      <c r="BF1002" s="28">
        <v>20150227</v>
      </c>
      <c r="BG1002" s="28">
        <v>20150529</v>
      </c>
      <c r="BH1002" s="28">
        <v>20150831</v>
      </c>
      <c r="BI1002" s="28">
        <v>20151130</v>
      </c>
      <c r="BJ1002" s="28">
        <v>20160229</v>
      </c>
      <c r="BK1002" s="28">
        <v>20160531</v>
      </c>
      <c r="BL1002" s="28">
        <v>20160831</v>
      </c>
      <c r="BM1002" s="28">
        <v>20161130</v>
      </c>
      <c r="BN1002" s="28">
        <v>20170228</v>
      </c>
    </row>
    <row r="1003" spans="1:195" x14ac:dyDescent="0.4">
      <c r="A1003" t="s">
        <v>665</v>
      </c>
      <c r="B1003" s="15">
        <v>0.16666666666666599</v>
      </c>
      <c r="C1003" s="15">
        <v>0.15702479338842901</v>
      </c>
      <c r="D1003" s="15">
        <v>0.15517241379310301</v>
      </c>
      <c r="E1003" s="15">
        <v>0.119205298013245</v>
      </c>
      <c r="F1003" s="15">
        <v>0.123655913978494</v>
      </c>
      <c r="G1003" s="15">
        <v>0.12138728323699401</v>
      </c>
      <c r="H1003" s="15">
        <v>0.129411764705882</v>
      </c>
      <c r="I1003" s="15">
        <v>0.12121212121212099</v>
      </c>
      <c r="J1003" s="15">
        <v>0.118012422360248</v>
      </c>
      <c r="K1003" s="15">
        <v>0.125</v>
      </c>
      <c r="L1003" s="15">
        <v>0.13259668508287201</v>
      </c>
      <c r="M1003" s="15">
        <v>0.12765957446808501</v>
      </c>
      <c r="N1003" s="15">
        <v>0.124352331606217</v>
      </c>
      <c r="O1003" s="15">
        <v>0.117977528089887</v>
      </c>
      <c r="P1003" s="15">
        <v>0.11578947368421</v>
      </c>
      <c r="Q1003" s="15">
        <v>0.105</v>
      </c>
      <c r="R1003" s="15">
        <v>0.08</v>
      </c>
      <c r="S1003" s="15">
        <v>0.09</v>
      </c>
      <c r="T1003" s="15">
        <v>0.09</v>
      </c>
      <c r="U1003" s="15">
        <v>0.08</v>
      </c>
      <c r="V1003" s="15">
        <v>8.5000000000000006E-2</v>
      </c>
      <c r="W1003" s="15">
        <v>0.1</v>
      </c>
      <c r="X1003" s="15">
        <v>0.08</v>
      </c>
      <c r="Y1003" s="15">
        <v>8.5000000000000006E-2</v>
      </c>
      <c r="Z1003" s="15">
        <v>7.0000000000000007E-2</v>
      </c>
      <c r="AA1003" s="15">
        <v>6.5000000000000002E-2</v>
      </c>
      <c r="AB1003" s="15">
        <v>0.05</v>
      </c>
      <c r="AC1003" s="15">
        <v>5.5E-2</v>
      </c>
      <c r="AD1003" s="15">
        <v>0.06</v>
      </c>
      <c r="AE1003" s="15">
        <v>0.05</v>
      </c>
      <c r="AF1003" s="15">
        <v>7.0000000000000007E-2</v>
      </c>
      <c r="AG1003" s="15">
        <v>0.05</v>
      </c>
      <c r="AH1003" s="15">
        <v>5.5E-2</v>
      </c>
      <c r="AI1003" s="15">
        <v>5.5E-2</v>
      </c>
      <c r="AJ1003" s="15">
        <v>0.04</v>
      </c>
      <c r="AK1003" s="15">
        <v>4.4999999999999998E-2</v>
      </c>
      <c r="AL1003" s="15">
        <v>0.05</v>
      </c>
      <c r="AM1003" s="15">
        <v>0.04</v>
      </c>
      <c r="AN1003" s="15">
        <v>6.5000000000000002E-2</v>
      </c>
      <c r="AO1003" s="15">
        <v>5.5E-2</v>
      </c>
      <c r="AP1003" s="15">
        <v>4.4999999999999998E-2</v>
      </c>
      <c r="AQ1003" s="15">
        <v>0.05</v>
      </c>
      <c r="AR1003" s="15">
        <v>7.4999999999999997E-2</v>
      </c>
      <c r="AS1003" s="15">
        <v>6.5000000000000002E-2</v>
      </c>
      <c r="AT1003" s="15">
        <v>0.04</v>
      </c>
      <c r="AU1003" s="15">
        <v>5.5E-2</v>
      </c>
      <c r="AV1003" s="15">
        <v>0.05</v>
      </c>
      <c r="AW1003" s="15">
        <v>3.5000000000000003E-2</v>
      </c>
      <c r="AX1003" s="15">
        <v>3.5000000000000003E-2</v>
      </c>
      <c r="AY1003" s="15">
        <v>2.5000000000000001E-2</v>
      </c>
      <c r="AZ1003" s="15">
        <v>0.03</v>
      </c>
      <c r="BA1003" s="15">
        <v>0.04</v>
      </c>
      <c r="BB1003" s="15">
        <v>0.05</v>
      </c>
      <c r="BC1003" s="15">
        <v>0.06</v>
      </c>
      <c r="BD1003" s="15">
        <v>4.4999999999999998E-2</v>
      </c>
      <c r="BE1003" s="15">
        <v>0.04</v>
      </c>
      <c r="BF1003" s="15">
        <v>4.4999999999999998E-2</v>
      </c>
      <c r="BG1003" s="15">
        <v>5.5E-2</v>
      </c>
      <c r="BH1003" s="15">
        <v>6.5000000000000002E-2</v>
      </c>
      <c r="BI1003" s="15">
        <v>6.5000000000000002E-2</v>
      </c>
      <c r="BJ1003" s="15">
        <v>0.04</v>
      </c>
      <c r="BK1003" s="15">
        <v>0.05</v>
      </c>
      <c r="BL1003" s="15">
        <v>0.04</v>
      </c>
      <c r="BM1003" s="15">
        <v>4.4999999999999998E-2</v>
      </c>
      <c r="BN1003" s="15">
        <v>3.5000000000000003E-2</v>
      </c>
    </row>
    <row r="1004" spans="1:195" x14ac:dyDescent="0.4">
      <c r="A1004" t="s">
        <v>666</v>
      </c>
      <c r="B1004" s="15">
        <v>3.5087719298245598E-2</v>
      </c>
      <c r="C1004" s="15">
        <v>4.9586776859504099E-2</v>
      </c>
      <c r="D1004" s="15">
        <v>5.1724137931034399E-2</v>
      </c>
      <c r="E1004" s="15">
        <v>3.9735099337748297E-2</v>
      </c>
      <c r="F1004" s="15">
        <v>3.7634408602150497E-2</v>
      </c>
      <c r="G1004" s="15">
        <v>4.0462427745664699E-2</v>
      </c>
      <c r="H1004" s="15">
        <v>3.5294117647058802E-2</v>
      </c>
      <c r="I1004" s="15">
        <v>3.03030303030303E-2</v>
      </c>
      <c r="J1004" s="15">
        <v>2.4844720496894401E-2</v>
      </c>
      <c r="K1004" s="15">
        <v>2.9761904761904701E-2</v>
      </c>
      <c r="L1004" s="15">
        <v>3.3149171270718203E-2</v>
      </c>
      <c r="M1004" s="15">
        <v>4.2553191489361701E-2</v>
      </c>
      <c r="N1004" s="15">
        <v>4.6632124352331598E-2</v>
      </c>
      <c r="O1004" s="15">
        <v>5.0561797752808897E-2</v>
      </c>
      <c r="P1004" s="15">
        <v>4.2105263157894701E-2</v>
      </c>
      <c r="Q1004" s="15">
        <v>0.04</v>
      </c>
      <c r="R1004" s="15">
        <v>3.5000000000000003E-2</v>
      </c>
      <c r="S1004" s="15">
        <v>0.04</v>
      </c>
      <c r="T1004" s="15">
        <v>2.5000000000000001E-2</v>
      </c>
      <c r="U1004" s="15">
        <v>0.05</v>
      </c>
      <c r="V1004" s="15">
        <v>4.4999999999999998E-2</v>
      </c>
      <c r="W1004" s="15">
        <v>0.04</v>
      </c>
      <c r="X1004" s="15">
        <v>0.04</v>
      </c>
      <c r="Y1004" s="15">
        <v>3.5000000000000003E-2</v>
      </c>
      <c r="Z1004" s="15">
        <v>4.4999999999999998E-2</v>
      </c>
      <c r="AA1004" s="15">
        <v>4.4999999999999998E-2</v>
      </c>
      <c r="AB1004" s="15">
        <v>3.5000000000000003E-2</v>
      </c>
      <c r="AC1004" s="15">
        <v>0.05</v>
      </c>
      <c r="AD1004" s="15">
        <v>3.5000000000000003E-2</v>
      </c>
      <c r="AE1004" s="15">
        <v>0.05</v>
      </c>
      <c r="AF1004" s="15">
        <v>3.5000000000000003E-2</v>
      </c>
      <c r="AG1004" s="15">
        <v>4.4999999999999998E-2</v>
      </c>
      <c r="AH1004" s="15">
        <v>0.04</v>
      </c>
      <c r="AI1004" s="15">
        <v>0.04</v>
      </c>
      <c r="AJ1004" s="15">
        <v>4.4999999999999998E-2</v>
      </c>
      <c r="AK1004" s="15">
        <v>4.4999999999999998E-2</v>
      </c>
      <c r="AL1004" s="15">
        <v>0.05</v>
      </c>
      <c r="AM1004" s="15">
        <v>0.05</v>
      </c>
      <c r="AN1004" s="15">
        <v>4.4999999999999998E-2</v>
      </c>
      <c r="AO1004" s="15">
        <v>0.05</v>
      </c>
      <c r="AP1004" s="15">
        <v>0.06</v>
      </c>
      <c r="AQ1004" s="15">
        <v>6.5000000000000002E-2</v>
      </c>
      <c r="AR1004" s="15">
        <v>5.5E-2</v>
      </c>
      <c r="AS1004" s="15">
        <v>6.5000000000000002E-2</v>
      </c>
      <c r="AT1004" s="15">
        <v>0.08</v>
      </c>
      <c r="AU1004" s="15">
        <v>7.0000000000000007E-2</v>
      </c>
      <c r="AV1004" s="15">
        <v>7.0000000000000007E-2</v>
      </c>
      <c r="AW1004" s="15">
        <v>0.03</v>
      </c>
      <c r="AX1004" s="15">
        <v>3.5000000000000003E-2</v>
      </c>
      <c r="AY1004" s="15">
        <v>0.03</v>
      </c>
      <c r="AZ1004" s="15">
        <v>2.5000000000000001E-2</v>
      </c>
      <c r="BA1004" s="15">
        <v>2.5000000000000001E-2</v>
      </c>
      <c r="BB1004" s="15">
        <v>1.4999999999999999E-2</v>
      </c>
      <c r="BC1004" s="15">
        <v>0.01</v>
      </c>
      <c r="BD1004" s="15">
        <v>1.4999999999999999E-2</v>
      </c>
      <c r="BE1004" s="15">
        <v>1.4999999999999999E-2</v>
      </c>
      <c r="BF1004" s="15">
        <v>0.01</v>
      </c>
      <c r="BG1004" s="15">
        <v>0</v>
      </c>
      <c r="BH1004" s="15">
        <v>0.01</v>
      </c>
      <c r="BI1004" s="15">
        <v>0</v>
      </c>
      <c r="BJ1004" s="15">
        <v>0</v>
      </c>
      <c r="BK1004" s="15">
        <v>0</v>
      </c>
      <c r="BL1004" s="15">
        <v>0</v>
      </c>
      <c r="BM1004" s="15">
        <v>0</v>
      </c>
      <c r="BN1004" s="15">
        <v>0</v>
      </c>
    </row>
    <row r="1005" spans="1:195" x14ac:dyDescent="0.4">
      <c r="A1005" t="s">
        <v>667</v>
      </c>
      <c r="B1005" s="15">
        <v>0.122807017543859</v>
      </c>
      <c r="C1005" s="15">
        <v>0.14049586776859499</v>
      </c>
      <c r="D1005" s="15">
        <v>0.13793103448275801</v>
      </c>
      <c r="E1005" s="15">
        <v>0.119205298013245</v>
      </c>
      <c r="F1005" s="15">
        <v>0.12903225806451599</v>
      </c>
      <c r="G1005" s="15">
        <v>0.13294797687861201</v>
      </c>
      <c r="H1005" s="15">
        <v>0.14117647058823499</v>
      </c>
      <c r="I1005" s="15">
        <v>0.145454545454545</v>
      </c>
      <c r="J1005" s="15">
        <v>0.14906832298136599</v>
      </c>
      <c r="K1005" s="15">
        <v>0.14285714285714199</v>
      </c>
      <c r="L1005" s="15">
        <v>0.138121546961325</v>
      </c>
      <c r="M1005" s="15">
        <v>0.14361702127659501</v>
      </c>
      <c r="N1005" s="15">
        <v>0.15025906735751199</v>
      </c>
      <c r="O1005" s="15">
        <v>0.15730337078651599</v>
      </c>
      <c r="P1005" s="15">
        <v>0.13157894736842099</v>
      </c>
      <c r="Q1005" s="15">
        <v>0.14000000000000001</v>
      </c>
      <c r="R1005" s="15">
        <v>0.115</v>
      </c>
      <c r="S1005" s="15">
        <v>0.125</v>
      </c>
      <c r="T1005" s="15">
        <v>0.14499999999999999</v>
      </c>
      <c r="U1005" s="15">
        <v>0.15</v>
      </c>
      <c r="V1005" s="15">
        <v>0.155</v>
      </c>
      <c r="W1005" s="15">
        <v>0.13500000000000001</v>
      </c>
      <c r="X1005" s="15">
        <v>0.155</v>
      </c>
      <c r="Y1005" s="15">
        <v>0.15</v>
      </c>
      <c r="Z1005" s="15">
        <v>0.15</v>
      </c>
      <c r="AA1005" s="15">
        <v>0.20499999999999999</v>
      </c>
      <c r="AB1005" s="15">
        <v>0.19500000000000001</v>
      </c>
      <c r="AC1005" s="15">
        <v>0.20499999999999999</v>
      </c>
      <c r="AD1005" s="15">
        <v>0.2</v>
      </c>
      <c r="AE1005" s="15">
        <v>0.18</v>
      </c>
      <c r="AF1005" s="15">
        <v>0.17</v>
      </c>
      <c r="AG1005" s="15">
        <v>0.19500000000000001</v>
      </c>
      <c r="AH1005" s="15">
        <v>0.17499999999999999</v>
      </c>
      <c r="AI1005" s="15">
        <v>0.14499999999999999</v>
      </c>
      <c r="AJ1005" s="15">
        <v>0.16</v>
      </c>
      <c r="AK1005" s="15">
        <v>0.14499999999999999</v>
      </c>
      <c r="AL1005" s="15">
        <v>0.17499999999999999</v>
      </c>
      <c r="AM1005" s="15">
        <v>0.15</v>
      </c>
      <c r="AN1005" s="15">
        <v>0.15</v>
      </c>
      <c r="AO1005" s="15">
        <v>0.155</v>
      </c>
      <c r="AP1005" s="15">
        <v>0.13500000000000001</v>
      </c>
      <c r="AQ1005" s="15">
        <v>0.13</v>
      </c>
      <c r="AR1005" s="15">
        <v>0.12</v>
      </c>
      <c r="AS1005" s="15">
        <v>0.12</v>
      </c>
      <c r="AT1005" s="15">
        <v>0.13</v>
      </c>
      <c r="AU1005" s="15">
        <v>0.115</v>
      </c>
      <c r="AV1005" s="15">
        <v>0.12</v>
      </c>
      <c r="AW1005" s="15">
        <v>0.13</v>
      </c>
      <c r="AX1005" s="15">
        <v>0.115</v>
      </c>
      <c r="AY1005" s="15">
        <v>0.13500000000000001</v>
      </c>
      <c r="AZ1005" s="15">
        <v>0.125</v>
      </c>
      <c r="BA1005" s="15">
        <v>0.13</v>
      </c>
      <c r="BB1005" s="15">
        <v>0.16</v>
      </c>
      <c r="BC1005" s="15">
        <v>0.16</v>
      </c>
      <c r="BD1005" s="15">
        <v>0.14499999999999999</v>
      </c>
      <c r="BE1005" s="15">
        <v>0.17499999999999999</v>
      </c>
      <c r="BF1005" s="15">
        <v>0.16500000000000001</v>
      </c>
      <c r="BG1005" s="15">
        <v>0.185</v>
      </c>
      <c r="BH1005" s="15">
        <v>0.19</v>
      </c>
      <c r="BI1005" s="15">
        <v>0.19500000000000001</v>
      </c>
      <c r="BJ1005" s="15">
        <v>0.185</v>
      </c>
      <c r="BK1005" s="15">
        <v>0.19500000000000001</v>
      </c>
      <c r="BL1005" s="15">
        <v>0.185</v>
      </c>
      <c r="BM1005" s="15">
        <v>0.2</v>
      </c>
      <c r="BN1005" s="15">
        <v>0.215</v>
      </c>
    </row>
    <row r="1006" spans="1:195" x14ac:dyDescent="0.4">
      <c r="A1006" t="s">
        <v>668</v>
      </c>
      <c r="B1006" s="15">
        <v>3.5087719298245598E-2</v>
      </c>
      <c r="C1006" s="15">
        <v>3.3057851239669402E-2</v>
      </c>
      <c r="D1006" s="15">
        <v>4.3103448275862002E-2</v>
      </c>
      <c r="E1006" s="15">
        <v>0.185430463576158</v>
      </c>
      <c r="F1006" s="15">
        <v>0.18279569892473099</v>
      </c>
      <c r="G1006" s="15">
        <v>0.190751445086705</v>
      </c>
      <c r="H1006" s="15">
        <v>0.19411764705882301</v>
      </c>
      <c r="I1006" s="15">
        <v>0.18787878787878701</v>
      </c>
      <c r="J1006" s="15">
        <v>0.21118012422360199</v>
      </c>
      <c r="K1006" s="15">
        <v>0.19047619047618999</v>
      </c>
      <c r="L1006" s="15">
        <v>0.187845303867403</v>
      </c>
      <c r="M1006" s="15">
        <v>0.175531914893617</v>
      </c>
      <c r="N1006" s="15">
        <v>0.170984455958549</v>
      </c>
      <c r="O1006" s="15">
        <v>0.14606741573033699</v>
      </c>
      <c r="P1006" s="15">
        <v>0.14736842105263101</v>
      </c>
      <c r="Q1006" s="15">
        <v>0.14000000000000001</v>
      </c>
      <c r="R1006" s="15">
        <v>0.16</v>
      </c>
      <c r="S1006" s="15">
        <v>0.16</v>
      </c>
      <c r="T1006" s="15">
        <v>0.13</v>
      </c>
      <c r="U1006" s="15">
        <v>0.115</v>
      </c>
      <c r="V1006" s="15">
        <v>0.14000000000000001</v>
      </c>
      <c r="W1006" s="15">
        <v>0.155</v>
      </c>
      <c r="X1006" s="15">
        <v>0.13500000000000001</v>
      </c>
      <c r="Y1006" s="15">
        <v>0.13500000000000001</v>
      </c>
      <c r="Z1006" s="15">
        <v>0.13500000000000001</v>
      </c>
      <c r="AA1006" s="15">
        <v>0.105</v>
      </c>
      <c r="AB1006" s="15">
        <v>9.5000000000000001E-2</v>
      </c>
      <c r="AC1006" s="15">
        <v>0.14000000000000001</v>
      </c>
      <c r="AD1006" s="15">
        <v>0.14000000000000001</v>
      </c>
      <c r="AE1006" s="15">
        <v>0.13500000000000001</v>
      </c>
      <c r="AF1006" s="15">
        <v>0.155</v>
      </c>
      <c r="AG1006" s="15">
        <v>0.16</v>
      </c>
      <c r="AH1006" s="15">
        <v>0.14499999999999999</v>
      </c>
      <c r="AI1006" s="15">
        <v>0.14499999999999999</v>
      </c>
      <c r="AJ1006" s="15">
        <v>0.15</v>
      </c>
      <c r="AK1006" s="15">
        <v>0.13500000000000001</v>
      </c>
      <c r="AL1006" s="15">
        <v>0.155</v>
      </c>
      <c r="AM1006" s="15">
        <v>0.155</v>
      </c>
      <c r="AN1006" s="15">
        <v>0.16500000000000001</v>
      </c>
      <c r="AO1006" s="15">
        <v>0.16500000000000001</v>
      </c>
      <c r="AP1006" s="15">
        <v>0.16</v>
      </c>
      <c r="AQ1006" s="15">
        <v>0.15</v>
      </c>
      <c r="AR1006" s="15">
        <v>0.14499999999999999</v>
      </c>
      <c r="AS1006" s="15">
        <v>0.155</v>
      </c>
      <c r="AT1006" s="15">
        <v>0.14499999999999999</v>
      </c>
      <c r="AU1006" s="15">
        <v>0.17</v>
      </c>
      <c r="AV1006" s="15">
        <v>0.16</v>
      </c>
      <c r="AW1006" s="15">
        <v>0.17</v>
      </c>
      <c r="AX1006" s="15">
        <v>0.18</v>
      </c>
      <c r="AY1006" s="15">
        <v>0.16</v>
      </c>
      <c r="AZ1006" s="15">
        <v>0.17499999999999999</v>
      </c>
      <c r="BA1006" s="15">
        <v>0.17499999999999999</v>
      </c>
      <c r="BB1006" s="15">
        <v>0.185</v>
      </c>
      <c r="BC1006" s="15">
        <v>0.17499999999999999</v>
      </c>
      <c r="BD1006" s="15">
        <v>0.15</v>
      </c>
      <c r="BE1006" s="15">
        <v>0.14000000000000001</v>
      </c>
      <c r="BF1006" s="15">
        <v>0.16500000000000001</v>
      </c>
      <c r="BG1006" s="15">
        <v>0.16500000000000001</v>
      </c>
      <c r="BH1006" s="15">
        <v>0.17</v>
      </c>
      <c r="BI1006" s="15">
        <v>0.17499999999999999</v>
      </c>
      <c r="BJ1006" s="15">
        <v>0.17499999999999999</v>
      </c>
      <c r="BK1006" s="15">
        <v>0.185</v>
      </c>
      <c r="BL1006" s="15">
        <v>0.19</v>
      </c>
      <c r="BM1006" s="15">
        <v>0.17</v>
      </c>
      <c r="BN1006" s="15">
        <v>0.16500000000000001</v>
      </c>
    </row>
    <row r="1007" spans="1:195" x14ac:dyDescent="0.4">
      <c r="A1007" t="s">
        <v>669</v>
      </c>
      <c r="B1007" s="15">
        <v>0.24561403508771901</v>
      </c>
      <c r="C1007" s="15">
        <v>0.23966942148760301</v>
      </c>
      <c r="D1007" s="15">
        <v>0.232758620689655</v>
      </c>
      <c r="E1007" s="15">
        <v>0.205298013245033</v>
      </c>
      <c r="F1007" s="15">
        <v>0.19354838709677399</v>
      </c>
      <c r="G1007" s="15">
        <v>0.17919075144508601</v>
      </c>
      <c r="H1007" s="15">
        <v>0.17647058823529399</v>
      </c>
      <c r="I1007" s="15">
        <v>0.175757575757575</v>
      </c>
      <c r="J1007" s="15">
        <v>0.18633540372670801</v>
      </c>
      <c r="K1007" s="15">
        <v>0.19642857142857101</v>
      </c>
      <c r="L1007" s="15">
        <v>0.193370165745856</v>
      </c>
      <c r="M1007" s="15">
        <v>0.20212765957446799</v>
      </c>
      <c r="N1007" s="15">
        <v>0.19689119170984401</v>
      </c>
      <c r="O1007" s="15">
        <v>0.21910112359550499</v>
      </c>
      <c r="P1007" s="15">
        <v>0.231578947368421</v>
      </c>
      <c r="Q1007" s="15">
        <v>0.23499999999999999</v>
      </c>
      <c r="R1007" s="15">
        <v>0.245</v>
      </c>
      <c r="S1007" s="15">
        <v>0.23</v>
      </c>
      <c r="T1007" s="15">
        <v>0.245</v>
      </c>
      <c r="U1007" s="15">
        <v>0.215</v>
      </c>
      <c r="V1007" s="15">
        <v>0.22500000000000001</v>
      </c>
      <c r="W1007" s="15">
        <v>0.22500000000000001</v>
      </c>
      <c r="X1007" s="15">
        <v>0.215</v>
      </c>
      <c r="Y1007" s="15">
        <v>0.215</v>
      </c>
      <c r="Z1007" s="15">
        <v>0.23</v>
      </c>
      <c r="AA1007" s="15">
        <v>0.22</v>
      </c>
      <c r="AB1007" s="15">
        <v>0.23499999999999999</v>
      </c>
      <c r="AC1007" s="15">
        <v>0.215</v>
      </c>
      <c r="AD1007" s="15">
        <v>0.215</v>
      </c>
      <c r="AE1007" s="15">
        <v>0.25</v>
      </c>
      <c r="AF1007" s="15">
        <v>0.23</v>
      </c>
      <c r="AG1007" s="15">
        <v>0.19</v>
      </c>
      <c r="AH1007" s="15">
        <v>0.23</v>
      </c>
      <c r="AI1007" s="15">
        <v>0.23</v>
      </c>
      <c r="AJ1007" s="15">
        <v>0.23499999999999999</v>
      </c>
      <c r="AK1007" s="15">
        <v>0.25</v>
      </c>
      <c r="AL1007" s="15">
        <v>0.21</v>
      </c>
      <c r="AM1007" s="15">
        <v>0.23</v>
      </c>
      <c r="AN1007" s="15">
        <v>0.22500000000000001</v>
      </c>
      <c r="AO1007" s="15">
        <v>0.215</v>
      </c>
      <c r="AP1007" s="15">
        <v>0.22</v>
      </c>
      <c r="AQ1007" s="15">
        <v>0.21</v>
      </c>
      <c r="AR1007" s="15">
        <v>0.215</v>
      </c>
      <c r="AS1007" s="15">
        <v>0.21</v>
      </c>
      <c r="AT1007" s="15">
        <v>0.2</v>
      </c>
      <c r="AU1007" s="15">
        <v>0.19</v>
      </c>
      <c r="AV1007" s="15">
        <v>0.22</v>
      </c>
      <c r="AW1007" s="15">
        <v>0.24</v>
      </c>
      <c r="AX1007" s="15">
        <v>0.22500000000000001</v>
      </c>
      <c r="AY1007" s="15">
        <v>0.23</v>
      </c>
      <c r="AZ1007" s="15">
        <v>0.23499999999999999</v>
      </c>
      <c r="BA1007" s="15">
        <v>0.21</v>
      </c>
      <c r="BB1007" s="15">
        <v>0.19500000000000001</v>
      </c>
      <c r="BC1007" s="15">
        <v>0.21</v>
      </c>
      <c r="BD1007" s="15">
        <v>0.245</v>
      </c>
      <c r="BE1007" s="15">
        <v>0.25</v>
      </c>
      <c r="BF1007" s="15">
        <v>0.23499999999999999</v>
      </c>
      <c r="BG1007" s="15">
        <v>0.22500000000000001</v>
      </c>
      <c r="BH1007" s="15">
        <v>0.2</v>
      </c>
      <c r="BI1007" s="15">
        <v>0.21</v>
      </c>
      <c r="BJ1007" s="15">
        <v>0.255</v>
      </c>
      <c r="BK1007" s="15">
        <v>0.22500000000000001</v>
      </c>
      <c r="BL1007" s="15">
        <v>0.22500000000000001</v>
      </c>
      <c r="BM1007" s="15">
        <v>0.23499999999999999</v>
      </c>
      <c r="BN1007" s="15">
        <v>0.23</v>
      </c>
    </row>
    <row r="1008" spans="1:195" x14ac:dyDescent="0.4">
      <c r="A1008" t="s">
        <v>670</v>
      </c>
      <c r="B1008" s="15">
        <v>0.19298245614035001</v>
      </c>
      <c r="C1008" s="15">
        <v>0.19008264462809901</v>
      </c>
      <c r="D1008" s="15">
        <v>0.18103448275862</v>
      </c>
      <c r="E1008" s="15">
        <v>0.158940397350993</v>
      </c>
      <c r="F1008" s="15">
        <v>0.17204301075268799</v>
      </c>
      <c r="G1008" s="15">
        <v>0.16184971098265799</v>
      </c>
      <c r="H1008" s="15">
        <v>0.158823529411764</v>
      </c>
      <c r="I1008" s="15">
        <v>0.15757575757575701</v>
      </c>
      <c r="J1008" s="15">
        <v>0.14285714285714199</v>
      </c>
      <c r="K1008" s="15">
        <v>0.148809523809523</v>
      </c>
      <c r="L1008" s="15">
        <v>0.16022099447513799</v>
      </c>
      <c r="M1008" s="15">
        <v>0.159574468085106</v>
      </c>
      <c r="N1008" s="15">
        <v>0.16062176165803099</v>
      </c>
      <c r="O1008" s="15">
        <v>0.14606741573033699</v>
      </c>
      <c r="P1008" s="15">
        <v>0.163157894736842</v>
      </c>
      <c r="Q1008" s="15">
        <v>0.17499999999999999</v>
      </c>
      <c r="R1008" s="15">
        <v>0.215</v>
      </c>
      <c r="S1008" s="15">
        <v>0.215</v>
      </c>
      <c r="T1008" s="15">
        <v>0.215</v>
      </c>
      <c r="U1008" s="15">
        <v>0.23499999999999999</v>
      </c>
      <c r="V1008" s="15">
        <v>0.215</v>
      </c>
      <c r="W1008" s="15">
        <v>0.20499999999999999</v>
      </c>
      <c r="X1008" s="15">
        <v>0.21</v>
      </c>
      <c r="Y1008" s="15">
        <v>0.22</v>
      </c>
      <c r="Z1008" s="15">
        <v>0.215</v>
      </c>
      <c r="AA1008" s="15">
        <v>0.215</v>
      </c>
      <c r="AB1008" s="15">
        <v>0.22</v>
      </c>
      <c r="AC1008" s="15">
        <v>0.20499999999999999</v>
      </c>
      <c r="AD1008" s="15">
        <v>0.19</v>
      </c>
      <c r="AE1008" s="15">
        <v>0.19</v>
      </c>
      <c r="AF1008" s="15">
        <v>0.19500000000000001</v>
      </c>
      <c r="AG1008" s="15">
        <v>0.19500000000000001</v>
      </c>
      <c r="AH1008" s="15">
        <v>0.2</v>
      </c>
      <c r="AI1008" s="15">
        <v>0.20499999999999999</v>
      </c>
      <c r="AJ1008" s="15">
        <v>0.21</v>
      </c>
      <c r="AK1008" s="15">
        <v>0.20499999999999999</v>
      </c>
      <c r="AL1008" s="15">
        <v>0.2</v>
      </c>
      <c r="AM1008" s="15">
        <v>0.21</v>
      </c>
      <c r="AN1008" s="15">
        <v>0.18</v>
      </c>
      <c r="AO1008" s="15">
        <v>0.17</v>
      </c>
      <c r="AP1008" s="15">
        <v>0.185</v>
      </c>
      <c r="AQ1008" s="15">
        <v>0.185</v>
      </c>
      <c r="AR1008" s="15">
        <v>0.19500000000000001</v>
      </c>
      <c r="AS1008" s="15">
        <v>0.19</v>
      </c>
      <c r="AT1008" s="15">
        <v>0.23</v>
      </c>
      <c r="AU1008" s="15">
        <v>0.215</v>
      </c>
      <c r="AV1008" s="15">
        <v>0.22500000000000001</v>
      </c>
      <c r="AW1008" s="15">
        <v>0.24</v>
      </c>
      <c r="AX1008" s="15">
        <v>0.25</v>
      </c>
      <c r="AY1008" s="15">
        <v>0.25</v>
      </c>
      <c r="AZ1008" s="15">
        <v>0.245</v>
      </c>
      <c r="BA1008" s="15">
        <v>0.25</v>
      </c>
      <c r="BB1008" s="15">
        <v>0.23499999999999999</v>
      </c>
      <c r="BC1008" s="15">
        <v>0.24</v>
      </c>
      <c r="BD1008" s="15">
        <v>0.25</v>
      </c>
      <c r="BE1008" s="15">
        <v>0.23499999999999999</v>
      </c>
      <c r="BF1008" s="15">
        <v>0.24</v>
      </c>
      <c r="BG1008" s="15">
        <v>0.23</v>
      </c>
      <c r="BH1008" s="15">
        <v>0.24</v>
      </c>
      <c r="BI1008" s="15">
        <v>0.23</v>
      </c>
      <c r="BJ1008" s="15">
        <v>0.22500000000000001</v>
      </c>
      <c r="BK1008" s="15">
        <v>0.22</v>
      </c>
      <c r="BL1008" s="15">
        <v>0.22500000000000001</v>
      </c>
      <c r="BM1008" s="15">
        <v>0.22500000000000001</v>
      </c>
      <c r="BN1008" s="15">
        <v>0.21</v>
      </c>
    </row>
    <row r="1009" spans="1:68" x14ac:dyDescent="0.4">
      <c r="A1009" t="s">
        <v>671</v>
      </c>
      <c r="B1009" s="15">
        <v>3.5087719298245598E-2</v>
      </c>
      <c r="C1009" s="15">
        <v>3.3057851239669402E-2</v>
      </c>
      <c r="D1009" s="15">
        <v>2.5862068965517199E-2</v>
      </c>
      <c r="E1009" s="15">
        <v>2.64900662251655E-2</v>
      </c>
      <c r="F1009" s="15">
        <v>2.1505376344085999E-2</v>
      </c>
      <c r="G1009" s="15">
        <v>2.3121387283236899E-2</v>
      </c>
      <c r="H1009" s="15">
        <v>1.1764705882352899E-2</v>
      </c>
      <c r="I1009" s="15">
        <v>1.8181818181818101E-2</v>
      </c>
      <c r="J1009" s="15">
        <v>1.2422360248447201E-2</v>
      </c>
      <c r="K1009" s="15">
        <v>1.7857142857142801E-2</v>
      </c>
      <c r="L1009" s="15">
        <v>1.1049723756906001E-2</v>
      </c>
      <c r="M1009" s="15">
        <v>1.0638297872340399E-2</v>
      </c>
      <c r="N1009" s="15">
        <v>1.03626943005181E-2</v>
      </c>
      <c r="O1009" s="15">
        <v>1.12359550561797E-2</v>
      </c>
      <c r="P1009" s="15">
        <v>1.5789473684210499E-2</v>
      </c>
      <c r="Q1009" s="15">
        <v>0.01</v>
      </c>
      <c r="R1009" s="15">
        <v>0.01</v>
      </c>
      <c r="S1009" s="15">
        <v>0.01</v>
      </c>
      <c r="T1009" s="15">
        <v>1.4999999999999999E-2</v>
      </c>
      <c r="U1009" s="15">
        <v>1.4999999999999999E-2</v>
      </c>
      <c r="V1009" s="15">
        <v>1.4999999999999999E-2</v>
      </c>
      <c r="W1009" s="15">
        <v>1.4999999999999999E-2</v>
      </c>
      <c r="X1009" s="15">
        <v>1.4999999999999999E-2</v>
      </c>
      <c r="Y1009" s="15">
        <v>1.4999999999999999E-2</v>
      </c>
      <c r="Z1009" s="15">
        <v>1.4999999999999999E-2</v>
      </c>
      <c r="AA1009" s="15">
        <v>0</v>
      </c>
      <c r="AB1009" s="15">
        <v>5.0000000000000001E-3</v>
      </c>
      <c r="AC1009" s="15">
        <v>0</v>
      </c>
      <c r="AD1009" s="15">
        <v>5.0000000000000001E-3</v>
      </c>
      <c r="AE1009" s="15">
        <v>5.0000000000000001E-3</v>
      </c>
      <c r="AF1009" s="15">
        <v>0.02</v>
      </c>
      <c r="AG1009" s="15">
        <v>0.02</v>
      </c>
      <c r="AH1009" s="15">
        <v>0.02</v>
      </c>
      <c r="AI1009" s="15">
        <v>1.4999999999999999E-2</v>
      </c>
      <c r="AJ1009" s="15">
        <v>1.4999999999999999E-2</v>
      </c>
      <c r="AK1009" s="15">
        <v>0.02</v>
      </c>
      <c r="AL1009" s="15">
        <v>1.4999999999999999E-2</v>
      </c>
      <c r="AM1009" s="15">
        <v>0.02</v>
      </c>
      <c r="AN1009" s="15">
        <v>1.4999999999999999E-2</v>
      </c>
      <c r="AO1009" s="15">
        <v>1.4999999999999999E-2</v>
      </c>
      <c r="AP1009" s="15">
        <v>1.4999999999999999E-2</v>
      </c>
      <c r="AQ1009" s="15">
        <v>0.02</v>
      </c>
      <c r="AR1009" s="15">
        <v>1.4999999999999999E-2</v>
      </c>
      <c r="AS1009" s="15">
        <v>2.5000000000000001E-2</v>
      </c>
      <c r="AT1009" s="15">
        <v>1.4999999999999999E-2</v>
      </c>
      <c r="AU1009" s="15">
        <v>2.5000000000000001E-2</v>
      </c>
      <c r="AV1009" s="15">
        <v>5.0000000000000001E-3</v>
      </c>
      <c r="AW1009" s="15">
        <v>5.0000000000000001E-3</v>
      </c>
      <c r="AX1009" s="15">
        <v>0.01</v>
      </c>
      <c r="AY1009" s="15">
        <v>0.02</v>
      </c>
      <c r="AZ1009" s="15">
        <v>2.5000000000000001E-2</v>
      </c>
      <c r="BA1009" s="15">
        <v>0.03</v>
      </c>
      <c r="BB1009" s="15">
        <v>2.5000000000000001E-2</v>
      </c>
      <c r="BC1009" s="15">
        <v>2.5000000000000001E-2</v>
      </c>
      <c r="BD1009" s="15">
        <v>2.5000000000000001E-2</v>
      </c>
      <c r="BE1009" s="15">
        <v>0.02</v>
      </c>
      <c r="BF1009" s="15">
        <v>0.02</v>
      </c>
      <c r="BG1009" s="15">
        <v>0.02</v>
      </c>
      <c r="BH1009" s="15">
        <v>1.4999999999999999E-2</v>
      </c>
      <c r="BI1009" s="15">
        <v>1.4999999999999999E-2</v>
      </c>
      <c r="BJ1009" s="15">
        <v>0.01</v>
      </c>
      <c r="BK1009" s="15">
        <v>0.01</v>
      </c>
      <c r="BL1009" s="15">
        <v>0.01</v>
      </c>
      <c r="BM1009" s="15">
        <v>5.0000000000000001E-3</v>
      </c>
      <c r="BN1009" s="15">
        <v>1.4999999999999999E-2</v>
      </c>
    </row>
    <row r="1010" spans="1:68" x14ac:dyDescent="0.4">
      <c r="A1010" t="s">
        <v>672</v>
      </c>
      <c r="B1010" s="15">
        <v>5.2631578947368397E-2</v>
      </c>
      <c r="C1010" s="15">
        <v>4.9586776859504099E-2</v>
      </c>
      <c r="D1010" s="15">
        <v>5.1724137931034399E-2</v>
      </c>
      <c r="E1010" s="15">
        <v>5.2980132450331098E-2</v>
      </c>
      <c r="F1010" s="15">
        <v>4.3010752688171998E-2</v>
      </c>
      <c r="G1010" s="15">
        <v>4.6242774566473903E-2</v>
      </c>
      <c r="H1010" s="15">
        <v>4.7058823529411702E-2</v>
      </c>
      <c r="I1010" s="15">
        <v>4.8484848484848402E-2</v>
      </c>
      <c r="J1010" s="15">
        <v>4.3478260869565202E-2</v>
      </c>
      <c r="K1010" s="15">
        <v>4.1666666666666602E-2</v>
      </c>
      <c r="L1010" s="15">
        <v>3.86740331491712E-2</v>
      </c>
      <c r="M1010" s="15">
        <v>3.7234042553191397E-2</v>
      </c>
      <c r="N1010" s="15">
        <v>3.6269430051813399E-2</v>
      </c>
      <c r="O1010" s="15">
        <v>3.9325842696629199E-2</v>
      </c>
      <c r="P1010" s="15">
        <v>4.2105263157894701E-2</v>
      </c>
      <c r="Q1010" s="15">
        <v>0.04</v>
      </c>
      <c r="R1010" s="15">
        <v>4.4999999999999998E-2</v>
      </c>
      <c r="S1010" s="15">
        <v>4.4999999999999998E-2</v>
      </c>
      <c r="T1010" s="15">
        <v>4.4999999999999998E-2</v>
      </c>
      <c r="U1010" s="15">
        <v>0.05</v>
      </c>
      <c r="V1010" s="15">
        <v>4.4999999999999998E-2</v>
      </c>
      <c r="W1010" s="15">
        <v>4.4999999999999998E-2</v>
      </c>
      <c r="X1010" s="15">
        <v>0.05</v>
      </c>
      <c r="Y1010" s="15">
        <v>0.05</v>
      </c>
      <c r="Z1010" s="15">
        <v>0.05</v>
      </c>
      <c r="AA1010" s="15">
        <v>0.05</v>
      </c>
      <c r="AB1010" s="15">
        <v>0.06</v>
      </c>
      <c r="AC1010" s="15">
        <v>0.05</v>
      </c>
      <c r="AD1010" s="15">
        <v>5.5E-2</v>
      </c>
      <c r="AE1010" s="15">
        <v>5.5E-2</v>
      </c>
      <c r="AF1010" s="15">
        <v>0.05</v>
      </c>
      <c r="AG1010" s="15">
        <v>0.05</v>
      </c>
      <c r="AH1010" s="15">
        <v>0.05</v>
      </c>
      <c r="AI1010" s="15">
        <v>5.5E-2</v>
      </c>
      <c r="AJ1010" s="15">
        <v>5.5E-2</v>
      </c>
      <c r="AK1010" s="15">
        <v>5.5E-2</v>
      </c>
      <c r="AL1010" s="15">
        <v>0.06</v>
      </c>
      <c r="AM1010" s="15">
        <v>5.5E-2</v>
      </c>
      <c r="AN1010" s="15">
        <v>5.5E-2</v>
      </c>
      <c r="AO1010" s="15">
        <v>5.5E-2</v>
      </c>
      <c r="AP1010" s="15">
        <v>5.5E-2</v>
      </c>
      <c r="AQ1010" s="15">
        <v>0.06</v>
      </c>
      <c r="AR1010" s="15">
        <v>6.5000000000000002E-2</v>
      </c>
      <c r="AS1010" s="15">
        <v>0.06</v>
      </c>
      <c r="AT1010" s="15">
        <v>6.5000000000000002E-2</v>
      </c>
      <c r="AU1010" s="15">
        <v>0.06</v>
      </c>
      <c r="AV1010" s="15">
        <v>0.06</v>
      </c>
      <c r="AW1010" s="15">
        <v>6.5000000000000002E-2</v>
      </c>
      <c r="AX1010" s="15">
        <v>6.5000000000000002E-2</v>
      </c>
      <c r="AY1010" s="15">
        <v>7.0000000000000007E-2</v>
      </c>
      <c r="AZ1010" s="15">
        <v>7.0000000000000007E-2</v>
      </c>
      <c r="BA1010" s="15">
        <v>6.5000000000000002E-2</v>
      </c>
      <c r="BB1010" s="15">
        <v>6.5000000000000002E-2</v>
      </c>
      <c r="BC1010" s="15">
        <v>5.5E-2</v>
      </c>
      <c r="BD1010" s="15">
        <v>6.5000000000000002E-2</v>
      </c>
      <c r="BE1010" s="15">
        <v>0.06</v>
      </c>
      <c r="BF1010" s="15">
        <v>0.06</v>
      </c>
      <c r="BG1010" s="15">
        <v>0.06</v>
      </c>
      <c r="BH1010" s="15">
        <v>0.06</v>
      </c>
      <c r="BI1010" s="15">
        <v>0.06</v>
      </c>
      <c r="BJ1010" s="15">
        <v>6.5000000000000002E-2</v>
      </c>
      <c r="BK1010" s="15">
        <v>6.5000000000000002E-2</v>
      </c>
      <c r="BL1010" s="15">
        <v>0.06</v>
      </c>
      <c r="BM1010" s="15">
        <v>0.06</v>
      </c>
      <c r="BN1010" s="15">
        <v>0.06</v>
      </c>
    </row>
    <row r="1011" spans="1:68" x14ac:dyDescent="0.4">
      <c r="A1011" t="s">
        <v>673</v>
      </c>
      <c r="B1011" s="15">
        <v>2.6315789473684199E-2</v>
      </c>
      <c r="C1011" s="15">
        <v>2.4793388429752001E-2</v>
      </c>
      <c r="D1011" s="15">
        <v>2.5862068965517199E-2</v>
      </c>
      <c r="E1011" s="15">
        <v>1.98675496688741E-2</v>
      </c>
      <c r="F1011" s="15">
        <v>1.6129032258064498E-2</v>
      </c>
      <c r="G1011" s="15">
        <v>1.7341040462427699E-2</v>
      </c>
      <c r="H1011" s="15">
        <v>1.7647058823529401E-2</v>
      </c>
      <c r="I1011" s="15">
        <v>1.8181818181818101E-2</v>
      </c>
      <c r="J1011" s="15">
        <v>1.8633540372670801E-2</v>
      </c>
      <c r="K1011" s="15">
        <v>1.7857142857142801E-2</v>
      </c>
      <c r="L1011" s="15">
        <v>1.6574585635359101E-2</v>
      </c>
      <c r="M1011" s="15">
        <v>1.5957446808510599E-2</v>
      </c>
      <c r="N1011" s="15">
        <v>1.55440414507772E-2</v>
      </c>
      <c r="O1011" s="15">
        <v>1.68539325842696E-2</v>
      </c>
      <c r="P1011" s="15">
        <v>2.1052631578947299E-2</v>
      </c>
      <c r="Q1011" s="15">
        <v>1.4999999999999999E-2</v>
      </c>
      <c r="R1011" s="15">
        <v>1.4999999999999999E-2</v>
      </c>
      <c r="S1011" s="15">
        <v>1.4999999999999999E-2</v>
      </c>
      <c r="T1011" s="15">
        <v>1.4999999999999999E-2</v>
      </c>
      <c r="U1011" s="15">
        <v>1.4999999999999999E-2</v>
      </c>
      <c r="V1011" s="15">
        <v>1.4999999999999999E-2</v>
      </c>
      <c r="W1011" s="15">
        <v>1.4999999999999999E-2</v>
      </c>
      <c r="X1011" s="15">
        <v>1.4999999999999999E-2</v>
      </c>
      <c r="Y1011" s="15">
        <v>0.01</v>
      </c>
      <c r="Z1011" s="15">
        <v>1.4999999999999999E-2</v>
      </c>
      <c r="AA1011" s="15">
        <v>1.4999999999999999E-2</v>
      </c>
      <c r="AB1011" s="15">
        <v>1.4999999999999999E-2</v>
      </c>
      <c r="AC1011" s="15">
        <v>5.0000000000000001E-3</v>
      </c>
      <c r="AD1011" s="15">
        <v>0.01</v>
      </c>
      <c r="AE1011" s="15">
        <v>0.01</v>
      </c>
      <c r="AF1011" s="15">
        <v>5.0000000000000001E-3</v>
      </c>
      <c r="AG1011" s="15">
        <v>1.4999999999999999E-2</v>
      </c>
      <c r="AH1011" s="15">
        <v>5.0000000000000001E-3</v>
      </c>
      <c r="AI1011" s="15">
        <v>0.02</v>
      </c>
      <c r="AJ1011" s="15">
        <v>0.02</v>
      </c>
      <c r="AK1011" s="15">
        <v>0.01</v>
      </c>
      <c r="AL1011" s="15">
        <v>0</v>
      </c>
      <c r="AM1011" s="15">
        <v>5.0000000000000001E-3</v>
      </c>
      <c r="AN1011" s="15">
        <v>5.0000000000000001E-3</v>
      </c>
      <c r="AO1011" s="15">
        <v>5.0000000000000001E-3</v>
      </c>
      <c r="AP1011" s="15">
        <v>0.01</v>
      </c>
      <c r="AQ1011" s="15">
        <v>0.01</v>
      </c>
      <c r="AR1011" s="15">
        <v>0.01</v>
      </c>
      <c r="AS1011" s="15">
        <v>0.01</v>
      </c>
      <c r="AT1011" s="15">
        <v>0.01</v>
      </c>
      <c r="AU1011" s="15">
        <v>1.4999999999999999E-2</v>
      </c>
      <c r="AV1011" s="15">
        <v>5.0000000000000001E-3</v>
      </c>
      <c r="AW1011" s="15">
        <v>0.01</v>
      </c>
      <c r="AX1011" s="15">
        <v>5.0000000000000001E-3</v>
      </c>
      <c r="AY1011" s="15">
        <v>5.0000000000000001E-3</v>
      </c>
      <c r="AZ1011" s="15">
        <v>5.0000000000000001E-3</v>
      </c>
      <c r="BA1011" s="15">
        <v>5.0000000000000001E-3</v>
      </c>
      <c r="BB1011" s="15">
        <v>5.0000000000000001E-3</v>
      </c>
      <c r="BC1011" s="15">
        <v>5.0000000000000001E-3</v>
      </c>
      <c r="BD1011" s="15">
        <v>5.0000000000000001E-3</v>
      </c>
      <c r="BE1011" s="15">
        <v>5.0000000000000001E-3</v>
      </c>
      <c r="BF1011" s="15">
        <v>5.0000000000000001E-3</v>
      </c>
      <c r="BG1011" s="15">
        <v>5.0000000000000001E-3</v>
      </c>
      <c r="BH1011" s="15">
        <v>5.0000000000000001E-3</v>
      </c>
      <c r="BI1011" s="15">
        <v>5.0000000000000001E-3</v>
      </c>
      <c r="BJ1011" s="15">
        <v>5.0000000000000001E-3</v>
      </c>
      <c r="BK1011" s="15">
        <v>5.0000000000000001E-3</v>
      </c>
      <c r="BL1011" s="15">
        <v>5.0000000000000001E-3</v>
      </c>
      <c r="BM1011" s="15">
        <v>5.0000000000000001E-3</v>
      </c>
      <c r="BN1011" s="15">
        <v>5.0000000000000001E-3</v>
      </c>
    </row>
    <row r="1012" spans="1:68" x14ac:dyDescent="0.4">
      <c r="A1012" t="s">
        <v>674</v>
      </c>
      <c r="B1012" s="15">
        <v>8.7719298245614002E-2</v>
      </c>
      <c r="C1012" s="15">
        <v>8.2644628099173501E-2</v>
      </c>
      <c r="D1012" s="15">
        <v>9.4827586206896505E-2</v>
      </c>
      <c r="E1012" s="15">
        <v>7.2847682119205295E-2</v>
      </c>
      <c r="F1012" s="15">
        <v>8.0645161290322495E-2</v>
      </c>
      <c r="G1012" s="15">
        <v>8.6705202312138699E-2</v>
      </c>
      <c r="H1012" s="15">
        <v>8.8235294117646995E-2</v>
      </c>
      <c r="I1012" s="15">
        <v>9.69696969696969E-2</v>
      </c>
      <c r="J1012" s="15">
        <v>9.3167701863354005E-2</v>
      </c>
      <c r="K1012" s="15">
        <v>8.9285714285714204E-2</v>
      </c>
      <c r="L1012" s="15">
        <v>8.8397790055248601E-2</v>
      </c>
      <c r="M1012" s="15">
        <v>8.5106382978723402E-2</v>
      </c>
      <c r="N1012" s="15">
        <v>8.8082901554404097E-2</v>
      </c>
      <c r="O1012" s="15">
        <v>9.5505617977528004E-2</v>
      </c>
      <c r="P1012" s="15">
        <v>8.9473684210526302E-2</v>
      </c>
      <c r="Q1012" s="15">
        <v>0.1</v>
      </c>
      <c r="R1012" s="15">
        <v>0.08</v>
      </c>
      <c r="S1012" s="15">
        <v>7.0000000000000007E-2</v>
      </c>
      <c r="T1012" s="15">
        <v>7.4999999999999997E-2</v>
      </c>
      <c r="U1012" s="15">
        <v>7.4999999999999997E-2</v>
      </c>
      <c r="V1012" s="15">
        <v>0.06</v>
      </c>
      <c r="W1012" s="15">
        <v>6.5000000000000002E-2</v>
      </c>
      <c r="X1012" s="15">
        <v>8.5000000000000006E-2</v>
      </c>
      <c r="Y1012" s="15">
        <v>8.5000000000000006E-2</v>
      </c>
      <c r="Z1012" s="15">
        <v>7.4999999999999997E-2</v>
      </c>
      <c r="AA1012" s="15">
        <v>0.08</v>
      </c>
      <c r="AB1012" s="15">
        <v>0.09</v>
      </c>
      <c r="AC1012" s="15">
        <v>7.4999999999999997E-2</v>
      </c>
      <c r="AD1012" s="15">
        <v>0.09</v>
      </c>
      <c r="AE1012" s="15">
        <v>7.4999999999999997E-2</v>
      </c>
      <c r="AF1012" s="15">
        <v>7.0000000000000007E-2</v>
      </c>
      <c r="AG1012" s="15">
        <v>0.08</v>
      </c>
      <c r="AH1012" s="15">
        <v>0.08</v>
      </c>
      <c r="AI1012" s="15">
        <v>0.09</v>
      </c>
      <c r="AJ1012" s="15">
        <v>7.0000000000000007E-2</v>
      </c>
      <c r="AK1012" s="15">
        <v>0.09</v>
      </c>
      <c r="AL1012" s="15">
        <v>8.5000000000000006E-2</v>
      </c>
      <c r="AM1012" s="15">
        <v>8.5000000000000006E-2</v>
      </c>
      <c r="AN1012" s="15">
        <v>9.5000000000000001E-2</v>
      </c>
      <c r="AO1012" s="15">
        <v>0.115</v>
      </c>
      <c r="AP1012" s="15">
        <v>0.115</v>
      </c>
      <c r="AQ1012" s="15">
        <v>0.12</v>
      </c>
      <c r="AR1012" s="15">
        <v>0.105</v>
      </c>
      <c r="AS1012" s="15">
        <v>0.1</v>
      </c>
      <c r="AT1012" s="15">
        <v>8.5000000000000006E-2</v>
      </c>
      <c r="AU1012" s="15">
        <v>8.5000000000000006E-2</v>
      </c>
      <c r="AV1012" s="15">
        <v>8.5000000000000006E-2</v>
      </c>
      <c r="AW1012" s="15">
        <v>7.4999999999999997E-2</v>
      </c>
      <c r="AX1012" s="15">
        <v>0.08</v>
      </c>
      <c r="AY1012" s="15">
        <v>7.4999999999999997E-2</v>
      </c>
      <c r="AZ1012" s="15">
        <v>6.5000000000000002E-2</v>
      </c>
      <c r="BA1012" s="15">
        <v>7.0000000000000007E-2</v>
      </c>
      <c r="BB1012" s="15">
        <v>6.5000000000000002E-2</v>
      </c>
      <c r="BC1012" s="15">
        <v>0.06</v>
      </c>
      <c r="BD1012" s="15">
        <v>5.5E-2</v>
      </c>
      <c r="BE1012" s="15">
        <v>0.06</v>
      </c>
      <c r="BF1012" s="15">
        <v>5.5E-2</v>
      </c>
      <c r="BG1012" s="15">
        <v>5.5E-2</v>
      </c>
      <c r="BH1012" s="15">
        <v>4.4999999999999998E-2</v>
      </c>
      <c r="BI1012" s="15">
        <v>4.4999999999999998E-2</v>
      </c>
      <c r="BJ1012" s="15">
        <v>0.04</v>
      </c>
      <c r="BK1012" s="15">
        <v>4.4999999999999998E-2</v>
      </c>
      <c r="BL1012" s="15">
        <v>0.06</v>
      </c>
      <c r="BM1012" s="15">
        <v>5.5E-2</v>
      </c>
      <c r="BN1012" s="15">
        <v>6.5000000000000002E-2</v>
      </c>
    </row>
    <row r="1013" spans="1:68" x14ac:dyDescent="0.4">
      <c r="B1013" s="15">
        <v>1</v>
      </c>
      <c r="C1013" s="15">
        <v>3</v>
      </c>
      <c r="D1013" s="15">
        <v>5</v>
      </c>
      <c r="E1013" s="15">
        <v>7</v>
      </c>
      <c r="F1013" s="15">
        <v>9</v>
      </c>
      <c r="G1013" s="15">
        <v>11</v>
      </c>
      <c r="H1013" s="15">
        <v>13</v>
      </c>
      <c r="I1013" s="15">
        <v>15</v>
      </c>
      <c r="J1013" s="15">
        <v>17</v>
      </c>
      <c r="K1013" s="15">
        <v>19</v>
      </c>
      <c r="L1013" s="15">
        <v>21</v>
      </c>
      <c r="M1013" s="15">
        <v>23</v>
      </c>
      <c r="N1013" s="15">
        <v>25</v>
      </c>
      <c r="O1013" s="15">
        <v>27</v>
      </c>
      <c r="P1013" s="15">
        <v>29</v>
      </c>
      <c r="Q1013" s="15">
        <v>31</v>
      </c>
      <c r="R1013" s="15">
        <v>33</v>
      </c>
      <c r="S1013" s="15">
        <v>35</v>
      </c>
      <c r="T1013" s="15">
        <v>37</v>
      </c>
      <c r="U1013" s="15">
        <v>39</v>
      </c>
      <c r="V1013" s="15">
        <v>41</v>
      </c>
      <c r="W1013" s="15">
        <v>43</v>
      </c>
      <c r="X1013" s="15">
        <v>45</v>
      </c>
      <c r="Y1013" s="15">
        <v>47</v>
      </c>
      <c r="Z1013" s="15">
        <v>49</v>
      </c>
      <c r="AA1013" s="15">
        <v>51</v>
      </c>
      <c r="AB1013" s="15">
        <v>53</v>
      </c>
      <c r="AC1013" s="15">
        <v>55</v>
      </c>
      <c r="AD1013" s="15">
        <v>57</v>
      </c>
      <c r="AE1013" s="15">
        <v>59</v>
      </c>
      <c r="AF1013" s="15">
        <v>61</v>
      </c>
      <c r="AG1013" s="15">
        <v>63</v>
      </c>
      <c r="AH1013" s="15">
        <v>65</v>
      </c>
      <c r="AI1013" s="15">
        <v>67</v>
      </c>
      <c r="AJ1013" s="15">
        <v>69</v>
      </c>
      <c r="AK1013" s="15">
        <v>71</v>
      </c>
      <c r="AL1013" s="15">
        <v>73</v>
      </c>
      <c r="AM1013" s="15">
        <v>75</v>
      </c>
      <c r="AN1013" s="15">
        <v>77</v>
      </c>
      <c r="AO1013" s="15">
        <v>79</v>
      </c>
      <c r="AP1013" s="15">
        <v>81</v>
      </c>
      <c r="AQ1013" s="15">
        <v>83</v>
      </c>
      <c r="AR1013" s="15">
        <v>85</v>
      </c>
      <c r="AS1013" s="15">
        <v>87</v>
      </c>
      <c r="AT1013" s="15">
        <v>89</v>
      </c>
      <c r="AU1013" s="15">
        <v>91</v>
      </c>
      <c r="AV1013" s="15">
        <v>93</v>
      </c>
      <c r="AW1013" s="15">
        <v>95</v>
      </c>
      <c r="AX1013" s="15">
        <v>97</v>
      </c>
      <c r="AY1013" s="15">
        <v>99</v>
      </c>
      <c r="AZ1013" s="15">
        <v>101</v>
      </c>
      <c r="BA1013" s="15">
        <v>103</v>
      </c>
      <c r="BB1013" s="15">
        <v>105</v>
      </c>
      <c r="BC1013" s="15">
        <v>107</v>
      </c>
      <c r="BD1013" s="15">
        <v>109</v>
      </c>
      <c r="BE1013" s="15">
        <v>111</v>
      </c>
      <c r="BF1013" s="15">
        <v>113</v>
      </c>
      <c r="BG1013" s="15">
        <v>115</v>
      </c>
      <c r="BH1013" s="15">
        <v>117</v>
      </c>
      <c r="BI1013" s="15">
        <v>119</v>
      </c>
      <c r="BJ1013" s="15">
        <v>121</v>
      </c>
      <c r="BK1013" s="15">
        <v>123</v>
      </c>
      <c r="BL1013" s="15">
        <v>125</v>
      </c>
      <c r="BM1013" s="15">
        <v>127</v>
      </c>
      <c r="BN1013" s="15">
        <v>129</v>
      </c>
    </row>
    <row r="1014" spans="1:68" x14ac:dyDescent="0.4">
      <c r="A1014" t="s">
        <v>679</v>
      </c>
      <c r="B1014" s="15">
        <v>0.58771929824561397</v>
      </c>
      <c r="C1014" s="15">
        <v>0.56198347107437996</v>
      </c>
      <c r="D1014" s="15">
        <v>0.58620689655172398</v>
      </c>
      <c r="E1014" s="15">
        <v>0.53642384105960195</v>
      </c>
      <c r="F1014" s="15">
        <v>0.44623655913978399</v>
      </c>
      <c r="G1014" s="15">
        <v>0.479768786127167</v>
      </c>
      <c r="H1014" s="15">
        <v>0.494117647058823</v>
      </c>
      <c r="I1014" s="15">
        <v>0.50909090909090904</v>
      </c>
      <c r="J1014" s="15">
        <v>0.60248447204968902</v>
      </c>
      <c r="K1014" s="15">
        <v>0.55952380952380898</v>
      </c>
      <c r="L1014" s="15">
        <v>0.54143646408839696</v>
      </c>
      <c r="M1014" s="15">
        <v>0.52659574468085102</v>
      </c>
      <c r="N1014" s="15">
        <v>0.51295336787564705</v>
      </c>
      <c r="O1014" s="15">
        <v>0.53932584269662898</v>
      </c>
      <c r="P1014" s="15">
        <v>0.51578947368421002</v>
      </c>
      <c r="Q1014" s="15">
        <v>0.44500000000000001</v>
      </c>
      <c r="R1014" s="15">
        <v>0.35</v>
      </c>
      <c r="S1014" s="15">
        <v>0.35</v>
      </c>
      <c r="T1014" s="15">
        <v>0.28999999999999998</v>
      </c>
      <c r="U1014" s="15">
        <v>0.19500000000000001</v>
      </c>
      <c r="V1014" s="15">
        <v>0.215</v>
      </c>
      <c r="W1014" s="15">
        <v>0.24</v>
      </c>
      <c r="X1014" s="15">
        <v>0.22</v>
      </c>
      <c r="Y1014" s="15">
        <v>0.18</v>
      </c>
      <c r="Z1014" s="15">
        <v>0.18</v>
      </c>
      <c r="AA1014" s="15">
        <v>0.13</v>
      </c>
      <c r="AB1014" s="15">
        <v>0.125</v>
      </c>
      <c r="AC1014" s="15">
        <v>0.14499999999999999</v>
      </c>
      <c r="AD1014" s="15">
        <v>0.17</v>
      </c>
      <c r="AE1014" s="15">
        <v>0.125</v>
      </c>
      <c r="AF1014" s="15">
        <v>0.17</v>
      </c>
      <c r="AG1014" s="15">
        <v>0.31</v>
      </c>
      <c r="AH1014" s="15">
        <v>0.29499999999999998</v>
      </c>
      <c r="AI1014" s="15">
        <v>0.19</v>
      </c>
      <c r="AJ1014" s="15">
        <v>0.16</v>
      </c>
      <c r="AK1014" s="15">
        <v>0.155</v>
      </c>
      <c r="AL1014" s="15">
        <v>0.14499999999999999</v>
      </c>
      <c r="AM1014" s="15">
        <v>0.16</v>
      </c>
      <c r="AN1014" s="15">
        <v>0.14499999999999999</v>
      </c>
      <c r="AO1014" s="15">
        <v>0.13500000000000001</v>
      </c>
      <c r="AP1014" s="15">
        <v>0.15</v>
      </c>
      <c r="AQ1014" s="15">
        <v>0.15</v>
      </c>
      <c r="AR1014" s="15">
        <v>0.17499999999999999</v>
      </c>
      <c r="AS1014" s="15">
        <v>0.19</v>
      </c>
      <c r="AT1014" s="15">
        <v>0.155</v>
      </c>
      <c r="AU1014" s="15">
        <v>0.17499999999999999</v>
      </c>
      <c r="AV1014" s="15">
        <v>0.14499999999999999</v>
      </c>
      <c r="AW1014" s="15">
        <v>0.16500000000000001</v>
      </c>
      <c r="AX1014" s="15">
        <v>0.14499999999999999</v>
      </c>
      <c r="AY1014" s="15">
        <v>0.16500000000000001</v>
      </c>
      <c r="AZ1014" s="15">
        <v>0.16</v>
      </c>
      <c r="BA1014" s="15">
        <v>0.155</v>
      </c>
      <c r="BB1014" s="15">
        <v>0.17</v>
      </c>
      <c r="BC1014" s="15">
        <v>0.17499999999999999</v>
      </c>
      <c r="BD1014" s="15">
        <v>0.14000000000000001</v>
      </c>
      <c r="BE1014" s="15">
        <v>0.17499999999999999</v>
      </c>
      <c r="BF1014" s="15">
        <v>0.19</v>
      </c>
      <c r="BG1014" s="15">
        <v>0.19500000000000001</v>
      </c>
      <c r="BH1014" s="15">
        <v>0.19500000000000001</v>
      </c>
      <c r="BI1014" s="15">
        <v>0.19500000000000001</v>
      </c>
      <c r="BJ1014" s="15">
        <v>0.19500000000000001</v>
      </c>
      <c r="BK1014" s="15">
        <v>0.17</v>
      </c>
      <c r="BL1014" s="15">
        <v>0.17</v>
      </c>
      <c r="BM1014" s="15">
        <v>0.17</v>
      </c>
      <c r="BN1014" s="15">
        <v>0.14000000000000001</v>
      </c>
    </row>
    <row r="1015" spans="1:68" x14ac:dyDescent="0.4">
      <c r="A1015" t="s">
        <v>680</v>
      </c>
      <c r="B1015" s="15">
        <v>0.40350877192982398</v>
      </c>
      <c r="C1015" s="15">
        <v>0.43801652892561899</v>
      </c>
      <c r="D1015" s="15">
        <v>0.39655172413793099</v>
      </c>
      <c r="E1015" s="15">
        <v>0.45033112582781398</v>
      </c>
      <c r="F1015" s="15">
        <v>0.54838709677419295</v>
      </c>
      <c r="G1015" s="15">
        <v>0.520231213872832</v>
      </c>
      <c r="H1015" s="15">
        <v>0.50588235294117601</v>
      </c>
      <c r="I1015" s="15">
        <v>0.48484848484848397</v>
      </c>
      <c r="J1015" s="15">
        <v>0.39130434782608697</v>
      </c>
      <c r="K1015" s="15">
        <v>0.43452380952380898</v>
      </c>
      <c r="L1015" s="15">
        <v>0.45303867403314901</v>
      </c>
      <c r="M1015" s="15">
        <v>0.45744680851063801</v>
      </c>
      <c r="N1015" s="15">
        <v>0.48704663212435201</v>
      </c>
      <c r="O1015" s="15">
        <v>0.449438202247191</v>
      </c>
      <c r="P1015" s="15">
        <v>0.47894736842105201</v>
      </c>
      <c r="Q1015" s="15">
        <v>0.53500000000000003</v>
      </c>
      <c r="R1015" s="15">
        <v>0.64500000000000002</v>
      </c>
      <c r="S1015" s="15">
        <v>0.64</v>
      </c>
      <c r="T1015" s="15">
        <v>0.7</v>
      </c>
      <c r="U1015" s="15">
        <v>0.66</v>
      </c>
      <c r="V1015" s="15">
        <v>0.70499999999999996</v>
      </c>
      <c r="W1015" s="15">
        <v>0.68</v>
      </c>
      <c r="X1015" s="15">
        <v>0.67500000000000004</v>
      </c>
      <c r="Y1015" s="15">
        <v>0.63500000000000001</v>
      </c>
      <c r="Z1015" s="15">
        <v>0.71</v>
      </c>
      <c r="AA1015" s="15">
        <v>0.56000000000000005</v>
      </c>
      <c r="AB1015" s="15">
        <v>0.495</v>
      </c>
      <c r="AC1015" s="15">
        <v>0.57499999999999996</v>
      </c>
      <c r="AD1015" s="15">
        <v>0.59499999999999997</v>
      </c>
      <c r="AE1015" s="15">
        <v>0.58499999999999996</v>
      </c>
      <c r="AF1015" s="15">
        <v>0.63500000000000001</v>
      </c>
      <c r="AG1015" s="15">
        <v>0.62</v>
      </c>
      <c r="AH1015" s="15">
        <v>0.63</v>
      </c>
      <c r="AI1015" s="15">
        <v>0.62</v>
      </c>
      <c r="AJ1015" s="15">
        <v>0.6</v>
      </c>
      <c r="AK1015" s="15">
        <v>0.63500000000000001</v>
      </c>
      <c r="AL1015" s="15">
        <v>0.63</v>
      </c>
      <c r="AM1015" s="15">
        <v>0.58499999999999996</v>
      </c>
      <c r="AN1015" s="15">
        <v>0.59</v>
      </c>
      <c r="AO1015" s="15">
        <v>0.55500000000000005</v>
      </c>
      <c r="AP1015" s="15">
        <v>0.56499999999999995</v>
      </c>
      <c r="AQ1015" s="15">
        <v>0.48</v>
      </c>
      <c r="AR1015" s="15">
        <v>0.48499999999999999</v>
      </c>
      <c r="AS1015" s="15">
        <v>0.51500000000000001</v>
      </c>
      <c r="AT1015" s="15">
        <v>0.47</v>
      </c>
      <c r="AU1015" s="15">
        <v>0.46500000000000002</v>
      </c>
      <c r="AV1015" s="15">
        <v>0.45500000000000002</v>
      </c>
      <c r="AW1015" s="15">
        <v>0.46500000000000002</v>
      </c>
      <c r="AX1015" s="15">
        <v>0.45</v>
      </c>
      <c r="AY1015" s="15">
        <v>0.42</v>
      </c>
      <c r="AZ1015" s="15">
        <v>0.42499999999999999</v>
      </c>
      <c r="BA1015" s="15">
        <v>0.42</v>
      </c>
      <c r="BB1015" s="15">
        <v>0.42499999999999999</v>
      </c>
      <c r="BC1015" s="15">
        <v>0.38500000000000001</v>
      </c>
      <c r="BD1015" s="15">
        <v>0.375</v>
      </c>
      <c r="BE1015" s="15">
        <v>0.38500000000000001</v>
      </c>
      <c r="BF1015" s="15">
        <v>0.37</v>
      </c>
      <c r="BG1015" s="15">
        <v>0.32500000000000001</v>
      </c>
      <c r="BH1015" s="15">
        <v>0.36499999999999999</v>
      </c>
      <c r="BI1015" s="15">
        <v>0.375</v>
      </c>
      <c r="BJ1015" s="15">
        <v>0.38</v>
      </c>
      <c r="BK1015" s="15">
        <v>0.32</v>
      </c>
      <c r="BL1015" s="15">
        <v>0.32</v>
      </c>
      <c r="BM1015" s="15">
        <v>0.3</v>
      </c>
      <c r="BN1015" s="15">
        <v>0.32</v>
      </c>
    </row>
    <row r="1016" spans="1:68" x14ac:dyDescent="0.4">
      <c r="A1016" t="s">
        <v>681</v>
      </c>
      <c r="B1016" s="15">
        <v>8.7719298245613996E-3</v>
      </c>
      <c r="C1016" s="15">
        <v>0</v>
      </c>
      <c r="D1016" s="15">
        <v>1.72413793103448E-2</v>
      </c>
      <c r="E1016" s="15">
        <v>1.32450331125827E-2</v>
      </c>
      <c r="F1016" s="15">
        <v>5.3763440860214997E-3</v>
      </c>
      <c r="G1016" s="15">
        <v>0</v>
      </c>
      <c r="H1016" s="15">
        <v>0</v>
      </c>
      <c r="I1016" s="15">
        <v>6.0606060606060597E-3</v>
      </c>
      <c r="J1016" s="15">
        <v>6.2111801242236003E-3</v>
      </c>
      <c r="K1016" s="15">
        <v>5.9523809523809503E-3</v>
      </c>
      <c r="L1016" s="15">
        <v>5.5248618784530298E-3</v>
      </c>
      <c r="M1016" s="15">
        <v>1.5957446808510599E-2</v>
      </c>
      <c r="N1016" s="15">
        <v>0</v>
      </c>
      <c r="O1016" s="15">
        <v>1.12359550561797E-2</v>
      </c>
      <c r="P1016" s="15">
        <v>5.2631578947368403E-3</v>
      </c>
      <c r="Q1016" s="15">
        <v>0.02</v>
      </c>
      <c r="R1016" s="15">
        <v>5.0000000000000001E-3</v>
      </c>
      <c r="S1016" s="15">
        <v>0.01</v>
      </c>
      <c r="T1016" s="15">
        <v>0.01</v>
      </c>
      <c r="U1016" s="15">
        <v>0.14499999999999999</v>
      </c>
      <c r="V1016" s="15">
        <v>0.08</v>
      </c>
      <c r="W1016" s="15">
        <v>0.08</v>
      </c>
      <c r="X1016" s="15">
        <v>0.105</v>
      </c>
      <c r="Y1016" s="15">
        <v>0.185</v>
      </c>
      <c r="Z1016" s="15">
        <v>0.11</v>
      </c>
      <c r="AA1016" s="15">
        <v>0.31</v>
      </c>
      <c r="AB1016" s="15">
        <v>0.38</v>
      </c>
      <c r="AC1016" s="15">
        <v>0.28000000000000003</v>
      </c>
      <c r="AD1016" s="15">
        <v>0.23499999999999999</v>
      </c>
      <c r="AE1016" s="15">
        <v>0.28999999999999998</v>
      </c>
      <c r="AF1016" s="15">
        <v>0.19500000000000001</v>
      </c>
      <c r="AG1016" s="15">
        <v>7.0000000000000007E-2</v>
      </c>
      <c r="AH1016" s="15">
        <v>7.4999999999999997E-2</v>
      </c>
      <c r="AI1016" s="15">
        <v>0.19</v>
      </c>
      <c r="AJ1016" s="15">
        <v>0.24</v>
      </c>
      <c r="AK1016" s="15">
        <v>0.21</v>
      </c>
      <c r="AL1016" s="15">
        <v>0.22500000000000001</v>
      </c>
      <c r="AM1016" s="15">
        <v>0.255</v>
      </c>
      <c r="AN1016" s="15">
        <v>0.26500000000000001</v>
      </c>
      <c r="AO1016" s="15">
        <v>0.31</v>
      </c>
      <c r="AP1016" s="15">
        <v>0.28499999999999998</v>
      </c>
      <c r="AQ1016" s="15">
        <v>0.37</v>
      </c>
      <c r="AR1016" s="15">
        <v>0.34</v>
      </c>
      <c r="AS1016" s="15">
        <v>0.29499999999999998</v>
      </c>
      <c r="AT1016" s="15">
        <v>0.375</v>
      </c>
      <c r="AU1016" s="15">
        <v>0.36</v>
      </c>
      <c r="AV1016" s="15">
        <v>0.4</v>
      </c>
      <c r="AW1016" s="15">
        <v>0.37</v>
      </c>
      <c r="AX1016" s="15">
        <v>0.40500000000000003</v>
      </c>
      <c r="AY1016" s="15">
        <v>0.41499999999999998</v>
      </c>
      <c r="AZ1016" s="15">
        <v>0.41499999999999998</v>
      </c>
      <c r="BA1016" s="15">
        <v>0.42499999999999999</v>
      </c>
      <c r="BB1016" s="15">
        <v>0.40500000000000003</v>
      </c>
      <c r="BC1016" s="15">
        <v>0.44</v>
      </c>
      <c r="BD1016" s="15">
        <v>0.48499999999999999</v>
      </c>
      <c r="BE1016" s="15">
        <v>0.44</v>
      </c>
      <c r="BF1016" s="15">
        <v>0.44</v>
      </c>
      <c r="BG1016" s="15">
        <v>0.48</v>
      </c>
      <c r="BH1016" s="15">
        <v>0.44</v>
      </c>
      <c r="BI1016" s="15">
        <v>0.43</v>
      </c>
      <c r="BJ1016" s="15">
        <v>0.42499999999999999</v>
      </c>
      <c r="BK1016" s="15">
        <v>0.51</v>
      </c>
      <c r="BL1016" s="15">
        <v>0.51</v>
      </c>
      <c r="BM1016" s="15">
        <v>0.53</v>
      </c>
      <c r="BN1016" s="15">
        <v>0.54</v>
      </c>
    </row>
    <row r="1022" spans="1:68" x14ac:dyDescent="0.4">
      <c r="A1022" t="s">
        <v>682</v>
      </c>
      <c r="B1022">
        <v>1.1255968798437399</v>
      </c>
      <c r="C1022">
        <v>0.90486657042182805</v>
      </c>
      <c r="D1022">
        <v>1.24848629006667</v>
      </c>
      <c r="E1022">
        <v>1.3080334265993401</v>
      </c>
      <c r="F1022">
        <v>0.90193523827219302</v>
      </c>
      <c r="G1022">
        <v>0.95949605020139905</v>
      </c>
      <c r="H1022">
        <v>0.95354984597903802</v>
      </c>
      <c r="I1022">
        <v>0.81501333195160197</v>
      </c>
      <c r="J1022">
        <v>1.1690557608630401</v>
      </c>
      <c r="K1022">
        <v>1.15907985672611</v>
      </c>
      <c r="L1022">
        <v>1.0329419623237099</v>
      </c>
      <c r="M1022">
        <v>1.0725485646083299</v>
      </c>
      <c r="N1022">
        <v>0.90119035227104605</v>
      </c>
      <c r="O1022">
        <v>1.0437304140675301</v>
      </c>
      <c r="P1022">
        <v>1.1711349069231101</v>
      </c>
      <c r="Q1022">
        <v>1.2537408284267999</v>
      </c>
      <c r="R1022">
        <v>0.93563053062367796</v>
      </c>
      <c r="S1022">
        <v>1.1738806691936301</v>
      </c>
      <c r="T1022">
        <v>1.32396266374459</v>
      </c>
      <c r="U1022">
        <v>0.95758667698980404</v>
      </c>
      <c r="V1022">
        <v>0.97014287736931504</v>
      </c>
      <c r="W1022">
        <v>0.98392827420364304</v>
      </c>
      <c r="X1022">
        <v>1.16842479202408</v>
      </c>
      <c r="Y1022">
        <v>0.95191121966096803</v>
      </c>
      <c r="Z1022">
        <v>1.41998180718932</v>
      </c>
      <c r="AA1022">
        <v>1.12808575382021</v>
      </c>
      <c r="AB1022">
        <v>0.90929511166316501</v>
      </c>
      <c r="AC1022">
        <v>0.96433835218682196</v>
      </c>
      <c r="AD1022">
        <v>1.0442776217098699</v>
      </c>
      <c r="AE1022">
        <v>0.83284446104172405</v>
      </c>
      <c r="AF1022">
        <v>0.64289471007590304</v>
      </c>
      <c r="AG1022">
        <v>1.0499394007288201</v>
      </c>
      <c r="AH1022">
        <v>1.42746396842158</v>
      </c>
      <c r="AI1022">
        <v>1.0875554795412301</v>
      </c>
      <c r="AJ1022">
        <v>0.93660604275194803</v>
      </c>
      <c r="AK1022">
        <v>1.0113230471558901</v>
      </c>
      <c r="AL1022">
        <v>1.0168132791579001</v>
      </c>
      <c r="AM1022">
        <v>1.0685177189544199</v>
      </c>
      <c r="AN1022">
        <v>1.10506969147503</v>
      </c>
      <c r="AO1022">
        <v>0.96712354385396704</v>
      </c>
      <c r="AP1022">
        <v>1.05077460588951</v>
      </c>
      <c r="AQ1022">
        <v>0.97634278000507202</v>
      </c>
      <c r="AR1022">
        <v>0.89927392800799799</v>
      </c>
      <c r="AS1022">
        <v>1.1586446600432501</v>
      </c>
      <c r="AT1022">
        <v>0.83977492924544594</v>
      </c>
      <c r="AU1022">
        <v>1.0637321981152701</v>
      </c>
      <c r="AV1022">
        <v>1.0486716274713701</v>
      </c>
      <c r="AW1022">
        <v>1.08909518529992</v>
      </c>
      <c r="AX1022">
        <v>1.08954099672451</v>
      </c>
      <c r="AY1022">
        <v>0.97067292884504197</v>
      </c>
      <c r="AZ1022">
        <v>1.0356410894538299</v>
      </c>
      <c r="BA1022">
        <v>1.04025364787439</v>
      </c>
      <c r="BB1022">
        <v>1.0766548525058399</v>
      </c>
      <c r="BC1022">
        <v>1.10777670349685</v>
      </c>
      <c r="BD1022">
        <v>0.94099675141781203</v>
      </c>
      <c r="BE1022">
        <v>1.0647338098685699</v>
      </c>
      <c r="BF1022">
        <v>1.1494855899479299</v>
      </c>
      <c r="BG1022">
        <v>0.920832377147485</v>
      </c>
      <c r="BH1022">
        <v>0.98800130180732504</v>
      </c>
      <c r="BI1022">
        <v>0.97288791732834601</v>
      </c>
      <c r="BJ1022">
        <v>1.0509106527855401</v>
      </c>
      <c r="BK1022">
        <v>1.0101734124519299</v>
      </c>
      <c r="BL1022">
        <v>0.97442334133400998</v>
      </c>
      <c r="BM1022">
        <v>1.0517222718947701</v>
      </c>
      <c r="BN1022">
        <v>1.07911371123446</v>
      </c>
    </row>
    <row r="1023" spans="1:68" x14ac:dyDescent="0.4">
      <c r="A1023" t="s">
        <v>683</v>
      </c>
      <c r="B1023">
        <v>1.12368503189808</v>
      </c>
      <c r="C1023">
        <v>0.912846820242315</v>
      </c>
      <c r="D1023">
        <v>1.2184842926820001</v>
      </c>
      <c r="E1023">
        <v>1.3078710460624401</v>
      </c>
      <c r="F1023">
        <v>0.90193523827219302</v>
      </c>
      <c r="G1023">
        <v>0.95949605020139905</v>
      </c>
      <c r="H1023">
        <v>0.95354984597903802</v>
      </c>
      <c r="I1023">
        <v>0.81501333195160197</v>
      </c>
      <c r="J1023">
        <v>1.16093038686893</v>
      </c>
      <c r="K1023">
        <v>1.1588939255735899</v>
      </c>
      <c r="L1023">
        <v>1.03351540258414</v>
      </c>
      <c r="M1023">
        <v>1.0725485646083299</v>
      </c>
      <c r="N1023">
        <v>0.90119035227104605</v>
      </c>
      <c r="O1023">
        <v>1.04378336404923</v>
      </c>
      <c r="P1023">
        <v>1.1708061920459101</v>
      </c>
      <c r="Q1023">
        <v>1.2558118398331599</v>
      </c>
      <c r="R1023">
        <v>0.93599054273795901</v>
      </c>
      <c r="S1023">
        <v>1.17470556226717</v>
      </c>
      <c r="T1023">
        <v>1.32459844373469</v>
      </c>
      <c r="U1023">
        <v>0.95758667698980404</v>
      </c>
      <c r="V1023">
        <v>0.971235478420165</v>
      </c>
      <c r="W1023">
        <v>0.98401221776878101</v>
      </c>
      <c r="X1023">
        <v>1.1677608075349599</v>
      </c>
      <c r="Y1023">
        <v>0.95191121966096803</v>
      </c>
      <c r="Z1023">
        <v>1.41998180718932</v>
      </c>
      <c r="AA1023">
        <v>1.12808575382021</v>
      </c>
      <c r="AB1023">
        <v>0.90929511166316501</v>
      </c>
      <c r="AC1023">
        <v>0.96433835218682196</v>
      </c>
      <c r="AD1023">
        <v>1.0442776217098699</v>
      </c>
      <c r="AE1023">
        <v>0.83284446104172405</v>
      </c>
      <c r="AF1023">
        <v>0.64289471007590304</v>
      </c>
      <c r="AG1023">
        <v>1.04893493847497</v>
      </c>
      <c r="AH1023">
        <v>1.4285299452674101</v>
      </c>
      <c r="AI1023">
        <v>1.0906103058699099</v>
      </c>
      <c r="AJ1023">
        <v>0.93660604275194803</v>
      </c>
      <c r="AK1023">
        <v>1.0113230471558901</v>
      </c>
      <c r="AL1023">
        <v>1.0168132791579001</v>
      </c>
      <c r="AM1023">
        <v>1.0692595932772799</v>
      </c>
      <c r="AN1023">
        <v>1.10506969147503</v>
      </c>
      <c r="AO1023">
        <v>0.96712354385396704</v>
      </c>
      <c r="AP1023">
        <v>1.0503394904034999</v>
      </c>
      <c r="AQ1023">
        <v>0.97605517070827297</v>
      </c>
      <c r="AR1023">
        <v>0.89802880039866795</v>
      </c>
      <c r="AS1023">
        <v>1.1587033626021399</v>
      </c>
      <c r="AT1023">
        <v>0.83865949895908498</v>
      </c>
      <c r="AU1023">
        <v>1.0637321981152701</v>
      </c>
      <c r="AV1023">
        <v>1.0486716274713701</v>
      </c>
      <c r="AW1023">
        <v>1.08909518529992</v>
      </c>
      <c r="AX1023">
        <v>1.08954099672451</v>
      </c>
      <c r="AY1023">
        <v>0.97067292884504197</v>
      </c>
      <c r="AZ1023">
        <v>1.0356410894538299</v>
      </c>
      <c r="BA1023">
        <v>1.0413110751024801</v>
      </c>
      <c r="BB1023">
        <v>1.0764879922744499</v>
      </c>
      <c r="BC1023">
        <v>1.1072833309252501</v>
      </c>
      <c r="BD1023">
        <v>0.94099675141781203</v>
      </c>
      <c r="BE1023">
        <v>1.0647338098685699</v>
      </c>
      <c r="BF1023">
        <v>1.1494855899479299</v>
      </c>
      <c r="BG1023">
        <v>0.920832377147485</v>
      </c>
      <c r="BH1023">
        <v>0.98800130180732504</v>
      </c>
      <c r="BI1023">
        <v>0.97288791732834601</v>
      </c>
      <c r="BJ1023">
        <v>1.0509106527855401</v>
      </c>
      <c r="BK1023">
        <v>1.0101734124519299</v>
      </c>
      <c r="BL1023">
        <v>0.97442334133400998</v>
      </c>
      <c r="BM1023">
        <v>1.0510142944830201</v>
      </c>
      <c r="BN1023">
        <v>1.07911371123446</v>
      </c>
    </row>
    <row r="1024" spans="1:68" x14ac:dyDescent="0.4">
      <c r="B1024">
        <f>IF(B1022-B1023=0,1,0)</f>
        <v>0</v>
      </c>
      <c r="C1024">
        <f t="shared" ref="C1024:BN1024" si="1">IF(C1022-C1023=0,1,0)</f>
        <v>0</v>
      </c>
      <c r="D1024">
        <f t="shared" si="1"/>
        <v>0</v>
      </c>
      <c r="E1024">
        <f t="shared" si="1"/>
        <v>0</v>
      </c>
      <c r="F1024">
        <f t="shared" si="1"/>
        <v>1</v>
      </c>
      <c r="G1024">
        <f t="shared" si="1"/>
        <v>1</v>
      </c>
      <c r="H1024">
        <f t="shared" si="1"/>
        <v>1</v>
      </c>
      <c r="I1024">
        <f t="shared" si="1"/>
        <v>1</v>
      </c>
      <c r="J1024">
        <f t="shared" si="1"/>
        <v>0</v>
      </c>
      <c r="K1024">
        <f t="shared" si="1"/>
        <v>0</v>
      </c>
      <c r="L1024">
        <f t="shared" si="1"/>
        <v>0</v>
      </c>
      <c r="M1024">
        <f t="shared" si="1"/>
        <v>1</v>
      </c>
      <c r="N1024">
        <f t="shared" si="1"/>
        <v>1</v>
      </c>
      <c r="O1024">
        <f t="shared" si="1"/>
        <v>0</v>
      </c>
      <c r="P1024">
        <f t="shared" si="1"/>
        <v>0</v>
      </c>
      <c r="Q1024">
        <f t="shared" si="1"/>
        <v>0</v>
      </c>
      <c r="R1024">
        <f t="shared" si="1"/>
        <v>0</v>
      </c>
      <c r="S1024">
        <f t="shared" si="1"/>
        <v>0</v>
      </c>
      <c r="T1024">
        <f t="shared" si="1"/>
        <v>0</v>
      </c>
      <c r="U1024">
        <f t="shared" si="1"/>
        <v>1</v>
      </c>
      <c r="V1024">
        <f t="shared" si="1"/>
        <v>0</v>
      </c>
      <c r="W1024">
        <f t="shared" si="1"/>
        <v>0</v>
      </c>
      <c r="X1024">
        <f t="shared" si="1"/>
        <v>0</v>
      </c>
      <c r="Y1024">
        <f t="shared" si="1"/>
        <v>1</v>
      </c>
      <c r="Z1024">
        <f t="shared" si="1"/>
        <v>1</v>
      </c>
      <c r="AA1024">
        <f t="shared" si="1"/>
        <v>1</v>
      </c>
      <c r="AB1024">
        <f t="shared" si="1"/>
        <v>1</v>
      </c>
      <c r="AC1024">
        <f t="shared" si="1"/>
        <v>1</v>
      </c>
      <c r="AD1024">
        <f t="shared" si="1"/>
        <v>1</v>
      </c>
      <c r="AE1024">
        <f t="shared" si="1"/>
        <v>1</v>
      </c>
      <c r="AF1024">
        <f t="shared" si="1"/>
        <v>1</v>
      </c>
      <c r="AG1024">
        <f t="shared" si="1"/>
        <v>0</v>
      </c>
      <c r="AH1024">
        <f t="shared" si="1"/>
        <v>0</v>
      </c>
      <c r="AI1024">
        <f t="shared" si="1"/>
        <v>0</v>
      </c>
      <c r="AJ1024">
        <f t="shared" si="1"/>
        <v>1</v>
      </c>
      <c r="AK1024">
        <f t="shared" si="1"/>
        <v>1</v>
      </c>
      <c r="AL1024">
        <f t="shared" si="1"/>
        <v>1</v>
      </c>
      <c r="AM1024">
        <f t="shared" si="1"/>
        <v>0</v>
      </c>
      <c r="AN1024">
        <f t="shared" si="1"/>
        <v>1</v>
      </c>
      <c r="AO1024">
        <f t="shared" si="1"/>
        <v>1</v>
      </c>
      <c r="AP1024">
        <f t="shared" si="1"/>
        <v>0</v>
      </c>
      <c r="AQ1024">
        <f t="shared" si="1"/>
        <v>0</v>
      </c>
      <c r="AR1024">
        <f t="shared" si="1"/>
        <v>0</v>
      </c>
      <c r="AS1024">
        <f t="shared" si="1"/>
        <v>0</v>
      </c>
      <c r="AT1024">
        <f t="shared" si="1"/>
        <v>0</v>
      </c>
      <c r="AU1024">
        <f t="shared" si="1"/>
        <v>1</v>
      </c>
      <c r="AV1024">
        <f t="shared" si="1"/>
        <v>1</v>
      </c>
      <c r="AW1024">
        <f t="shared" si="1"/>
        <v>1</v>
      </c>
      <c r="AX1024">
        <f t="shared" si="1"/>
        <v>1</v>
      </c>
      <c r="AY1024">
        <f t="shared" si="1"/>
        <v>1</v>
      </c>
      <c r="AZ1024">
        <f t="shared" si="1"/>
        <v>1</v>
      </c>
      <c r="BA1024">
        <f t="shared" si="1"/>
        <v>0</v>
      </c>
      <c r="BB1024">
        <f t="shared" si="1"/>
        <v>0</v>
      </c>
      <c r="BC1024">
        <f t="shared" si="1"/>
        <v>0</v>
      </c>
      <c r="BD1024">
        <f t="shared" si="1"/>
        <v>1</v>
      </c>
      <c r="BE1024">
        <f t="shared" si="1"/>
        <v>1</v>
      </c>
      <c r="BF1024">
        <f t="shared" si="1"/>
        <v>1</v>
      </c>
      <c r="BG1024">
        <f t="shared" si="1"/>
        <v>1</v>
      </c>
      <c r="BH1024">
        <f t="shared" si="1"/>
        <v>1</v>
      </c>
      <c r="BI1024">
        <f t="shared" si="1"/>
        <v>1</v>
      </c>
      <c r="BJ1024">
        <f t="shared" si="1"/>
        <v>1</v>
      </c>
      <c r="BK1024">
        <f t="shared" si="1"/>
        <v>1</v>
      </c>
      <c r="BL1024">
        <f t="shared" si="1"/>
        <v>1</v>
      </c>
      <c r="BM1024">
        <f t="shared" si="1"/>
        <v>0</v>
      </c>
      <c r="BN1024">
        <f t="shared" si="1"/>
        <v>1</v>
      </c>
      <c r="BO1024">
        <f>SUM(AD1024:BN1024)</f>
        <v>24</v>
      </c>
      <c r="BP1024">
        <v>37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W1016"/>
  <sheetViews>
    <sheetView topLeftCell="A984" workbookViewId="0">
      <selection activeCell="A1014" sqref="A1014"/>
    </sheetView>
  </sheetViews>
  <sheetFormatPr defaultRowHeight="17.399999999999999" x14ac:dyDescent="0.4"/>
  <sheetData>
    <row r="1" spans="1:75" x14ac:dyDescent="0.4">
      <c r="B1">
        <v>20080229</v>
      </c>
      <c r="D1">
        <v>20080530</v>
      </c>
      <c r="F1">
        <v>20080829</v>
      </c>
      <c r="H1">
        <v>20081128</v>
      </c>
      <c r="J1">
        <v>20090227</v>
      </c>
      <c r="L1">
        <v>20090529</v>
      </c>
      <c r="N1">
        <v>20090831</v>
      </c>
      <c r="P1">
        <v>20091130</v>
      </c>
      <c r="R1">
        <v>20100226</v>
      </c>
      <c r="T1">
        <v>20100531</v>
      </c>
      <c r="V1">
        <v>20100831</v>
      </c>
      <c r="X1">
        <v>20101130</v>
      </c>
      <c r="Z1">
        <v>20110228</v>
      </c>
      <c r="AB1">
        <v>20110531</v>
      </c>
      <c r="AD1">
        <v>20110831</v>
      </c>
      <c r="AF1">
        <v>20111130</v>
      </c>
      <c r="AH1">
        <v>20120229</v>
      </c>
      <c r="AJ1">
        <v>20120531</v>
      </c>
      <c r="AL1">
        <v>20120831</v>
      </c>
      <c r="AN1">
        <v>20121130</v>
      </c>
      <c r="AP1">
        <v>20130228</v>
      </c>
      <c r="AR1">
        <v>20130531</v>
      </c>
      <c r="AT1">
        <v>20130830</v>
      </c>
      <c r="AV1">
        <v>20131129</v>
      </c>
      <c r="AX1">
        <v>20140228</v>
      </c>
      <c r="AZ1">
        <v>20140530</v>
      </c>
      <c r="BB1">
        <v>20140829</v>
      </c>
      <c r="BD1">
        <v>20141128</v>
      </c>
      <c r="BF1">
        <v>20150227</v>
      </c>
      <c r="BH1">
        <v>20150529</v>
      </c>
      <c r="BJ1">
        <v>20150831</v>
      </c>
      <c r="BL1">
        <v>20151130</v>
      </c>
      <c r="BN1">
        <v>20160229</v>
      </c>
      <c r="BP1">
        <v>20160531</v>
      </c>
      <c r="BR1">
        <v>20160831</v>
      </c>
      <c r="BT1">
        <v>20161130</v>
      </c>
      <c r="BV1">
        <v>20170228</v>
      </c>
    </row>
    <row r="2" spans="1:75" x14ac:dyDescent="0.4">
      <c r="A2">
        <v>0</v>
      </c>
      <c r="B2" t="s">
        <v>29</v>
      </c>
      <c r="C2">
        <v>1.0033435987681401</v>
      </c>
      <c r="D2" t="s">
        <v>32</v>
      </c>
      <c r="E2">
        <v>0.82812745251922704</v>
      </c>
      <c r="F2" t="s">
        <v>29</v>
      </c>
      <c r="G2">
        <v>0.44837665727111298</v>
      </c>
      <c r="H2" t="s">
        <v>31</v>
      </c>
      <c r="I2">
        <v>1.175</v>
      </c>
      <c r="J2" t="s">
        <v>31</v>
      </c>
      <c r="K2">
        <v>1.20345744680851</v>
      </c>
      <c r="L2" t="s">
        <v>31</v>
      </c>
      <c r="M2">
        <v>0.94475138121546898</v>
      </c>
      <c r="N2" t="s">
        <v>31</v>
      </c>
      <c r="O2">
        <v>0.783625730994152</v>
      </c>
      <c r="P2" t="s">
        <v>31</v>
      </c>
      <c r="Q2">
        <v>0.89253731343283504</v>
      </c>
      <c r="R2" t="s">
        <v>31</v>
      </c>
      <c r="S2">
        <v>0.90301003344481601</v>
      </c>
      <c r="T2" t="s">
        <v>31</v>
      </c>
      <c r="U2">
        <v>0.89722222222222203</v>
      </c>
      <c r="V2" t="s">
        <v>31</v>
      </c>
      <c r="W2">
        <v>0.98968008255933904</v>
      </c>
      <c r="X2" t="s">
        <v>31</v>
      </c>
      <c r="Y2">
        <v>0.934306569343065</v>
      </c>
      <c r="Z2" t="s">
        <v>31</v>
      </c>
      <c r="AA2">
        <v>1.05133928571428</v>
      </c>
      <c r="AB2" t="s">
        <v>31</v>
      </c>
      <c r="AC2">
        <v>1.0976645435244099</v>
      </c>
      <c r="AD2" t="s">
        <v>31</v>
      </c>
      <c r="AE2">
        <v>0.83365570599613104</v>
      </c>
      <c r="AF2" t="s">
        <v>31</v>
      </c>
      <c r="AG2">
        <v>1.08584686774942</v>
      </c>
      <c r="AH2" t="s">
        <v>31</v>
      </c>
      <c r="AI2">
        <v>1.06623931623931</v>
      </c>
      <c r="AJ2" t="s">
        <v>31</v>
      </c>
      <c r="AK2">
        <v>1.1022044088176299</v>
      </c>
      <c r="AL2" t="s">
        <v>31</v>
      </c>
      <c r="AM2">
        <v>1.13636363636363</v>
      </c>
      <c r="AN2" t="s">
        <v>31</v>
      </c>
      <c r="AO2">
        <v>0.96479999999999999</v>
      </c>
      <c r="AP2" t="s">
        <v>31</v>
      </c>
      <c r="AQ2">
        <v>1.14925373134328</v>
      </c>
      <c r="AR2" t="s">
        <v>31</v>
      </c>
      <c r="AS2">
        <v>0.89610389610389596</v>
      </c>
      <c r="AT2" t="s">
        <v>31</v>
      </c>
      <c r="AU2">
        <v>0.80515297906602201</v>
      </c>
      <c r="AV2" t="s">
        <v>31</v>
      </c>
      <c r="AW2">
        <v>1.038</v>
      </c>
      <c r="AX2" t="s">
        <v>31</v>
      </c>
      <c r="AY2">
        <v>1.11368015414258</v>
      </c>
      <c r="AZ2" t="s">
        <v>31</v>
      </c>
      <c r="BA2">
        <v>0.89446366782006903</v>
      </c>
      <c r="BB2" t="s">
        <v>31</v>
      </c>
      <c r="BC2">
        <v>1.11992263056092</v>
      </c>
      <c r="BD2" t="s">
        <v>31</v>
      </c>
      <c r="BE2">
        <v>1.0794473229706301</v>
      </c>
      <c r="BF2" t="s">
        <v>31</v>
      </c>
      <c r="BG2">
        <v>1.4992000000000001</v>
      </c>
      <c r="BH2" t="s">
        <v>33</v>
      </c>
      <c r="BI2">
        <v>0.86857142857142799</v>
      </c>
      <c r="BJ2" t="s">
        <v>33</v>
      </c>
      <c r="BK2">
        <v>1.0405701754385901</v>
      </c>
      <c r="BL2" t="s">
        <v>33</v>
      </c>
      <c r="BM2">
        <v>0.91780821917808197</v>
      </c>
      <c r="BN2" t="s">
        <v>33</v>
      </c>
      <c r="BO2">
        <v>1.1423650975889701</v>
      </c>
      <c r="BP2" t="s">
        <v>33</v>
      </c>
      <c r="BQ2">
        <v>1.06532663316582</v>
      </c>
      <c r="BR2" t="s">
        <v>33</v>
      </c>
      <c r="BS2">
        <v>1.1320754716981101</v>
      </c>
      <c r="BT2" t="s">
        <v>33</v>
      </c>
      <c r="BU2">
        <v>1.1083333333333301</v>
      </c>
      <c r="BV2" t="s">
        <v>33</v>
      </c>
      <c r="BW2">
        <v>1.1503759398496201</v>
      </c>
    </row>
    <row r="3" spans="1:75" x14ac:dyDescent="0.4">
      <c r="A3">
        <v>1</v>
      </c>
      <c r="B3" t="s">
        <v>32</v>
      </c>
      <c r="C3">
        <v>1.06667286764021</v>
      </c>
      <c r="D3" t="s">
        <v>37</v>
      </c>
      <c r="E3">
        <v>0.77018390504760603</v>
      </c>
      <c r="F3" t="s">
        <v>32</v>
      </c>
      <c r="G3">
        <v>0.70754359363153896</v>
      </c>
      <c r="H3" t="s">
        <v>29</v>
      </c>
      <c r="I3">
        <v>1.1399301513387601</v>
      </c>
      <c r="J3" t="s">
        <v>29</v>
      </c>
      <c r="K3">
        <v>2.1970996732026098</v>
      </c>
      <c r="L3" t="s">
        <v>29</v>
      </c>
      <c r="M3">
        <v>0.99646741656595705</v>
      </c>
      <c r="N3" t="s">
        <v>29</v>
      </c>
      <c r="O3">
        <v>0.82274465901669902</v>
      </c>
      <c r="P3" t="s">
        <v>29</v>
      </c>
      <c r="Q3">
        <v>0.96552897153872297</v>
      </c>
      <c r="R3" t="s">
        <v>29</v>
      </c>
      <c r="S3">
        <v>0.93294186729301198</v>
      </c>
      <c r="T3" t="s">
        <v>29</v>
      </c>
      <c r="U3">
        <v>1.10057905337361</v>
      </c>
      <c r="V3" t="s">
        <v>29</v>
      </c>
      <c r="W3">
        <v>0.99130733157954898</v>
      </c>
      <c r="X3" t="s">
        <v>29</v>
      </c>
      <c r="Y3">
        <v>0.97807776623975995</v>
      </c>
      <c r="Z3" t="s">
        <v>29</v>
      </c>
      <c r="AA3">
        <v>1.23758405096142</v>
      </c>
      <c r="AB3" t="s">
        <v>29</v>
      </c>
      <c r="AC3">
        <v>0.82975884091125696</v>
      </c>
      <c r="AD3" t="s">
        <v>29</v>
      </c>
      <c r="AE3">
        <v>0.84009190120620303</v>
      </c>
      <c r="AF3" t="s">
        <v>29</v>
      </c>
      <c r="AG3">
        <v>1.2371119923424001</v>
      </c>
      <c r="AH3" t="s">
        <v>29</v>
      </c>
      <c r="AI3">
        <v>0.73527136067204601</v>
      </c>
      <c r="AJ3" t="s">
        <v>29</v>
      </c>
      <c r="AK3">
        <v>1.126879134095</v>
      </c>
      <c r="AL3" t="s">
        <v>29</v>
      </c>
      <c r="AM3">
        <v>1.0546958377801401</v>
      </c>
      <c r="AN3" t="s">
        <v>29</v>
      </c>
      <c r="AO3">
        <v>1.03971667088287</v>
      </c>
      <c r="AP3" t="s">
        <v>29</v>
      </c>
      <c r="AQ3">
        <v>1.5115571776155701</v>
      </c>
      <c r="AR3" t="s">
        <v>29</v>
      </c>
      <c r="AS3">
        <v>0.94873239436619705</v>
      </c>
      <c r="AT3" t="s">
        <v>29</v>
      </c>
      <c r="AU3">
        <v>0.82626399728537403</v>
      </c>
      <c r="AV3" t="s">
        <v>29</v>
      </c>
      <c r="AW3">
        <v>1.2217659137576999</v>
      </c>
      <c r="AX3" t="s">
        <v>29</v>
      </c>
      <c r="AY3">
        <v>1.01680672268907</v>
      </c>
      <c r="AZ3" t="s">
        <v>29</v>
      </c>
      <c r="BA3">
        <v>1.4793388429751999</v>
      </c>
      <c r="BB3" t="s">
        <v>29</v>
      </c>
      <c r="BC3">
        <v>1.0558659217877</v>
      </c>
      <c r="BD3" t="s">
        <v>29</v>
      </c>
      <c r="BE3">
        <v>0.90476190476190399</v>
      </c>
      <c r="BF3" t="s">
        <v>29</v>
      </c>
      <c r="BG3">
        <v>1.42105263157894</v>
      </c>
      <c r="BH3" t="s">
        <v>34</v>
      </c>
      <c r="BI3">
        <v>0.85951468710089396</v>
      </c>
      <c r="BJ3" t="s">
        <v>34</v>
      </c>
      <c r="BK3">
        <v>1.07280832095096</v>
      </c>
      <c r="BL3" t="s">
        <v>30</v>
      </c>
      <c r="BM3">
        <v>1.05</v>
      </c>
      <c r="BN3" t="s">
        <v>39</v>
      </c>
      <c r="BO3">
        <v>1.2864721485411099</v>
      </c>
      <c r="BP3" t="s">
        <v>36</v>
      </c>
      <c r="BQ3">
        <v>0.89084507042253502</v>
      </c>
      <c r="BR3" t="s">
        <v>30</v>
      </c>
      <c r="BS3">
        <v>1.0610932475884201</v>
      </c>
      <c r="BT3" t="s">
        <v>36</v>
      </c>
      <c r="BU3">
        <v>0.95901639344262202</v>
      </c>
      <c r="BV3" t="s">
        <v>29</v>
      </c>
      <c r="BW3">
        <v>1.1514084507042199</v>
      </c>
    </row>
    <row r="4" spans="1:75" x14ac:dyDescent="0.4">
      <c r="A4">
        <v>2</v>
      </c>
      <c r="B4" t="s">
        <v>37</v>
      </c>
      <c r="C4">
        <v>0.92742228135962201</v>
      </c>
      <c r="D4" t="s">
        <v>38</v>
      </c>
      <c r="E4">
        <v>1.0810478919361399</v>
      </c>
      <c r="F4" t="s">
        <v>41</v>
      </c>
      <c r="G4">
        <v>0.893043442823376</v>
      </c>
      <c r="H4" t="s">
        <v>30</v>
      </c>
      <c r="I4">
        <v>0.97084548104956203</v>
      </c>
      <c r="J4" t="s">
        <v>30</v>
      </c>
      <c r="K4">
        <v>1.81514848181514</v>
      </c>
      <c r="L4" t="s">
        <v>32</v>
      </c>
      <c r="M4">
        <v>1.04124090950934</v>
      </c>
      <c r="N4" t="s">
        <v>32</v>
      </c>
      <c r="O4">
        <v>0.95172840597648301</v>
      </c>
      <c r="P4" t="s">
        <v>32</v>
      </c>
      <c r="Q4">
        <v>1.00910357640501</v>
      </c>
      <c r="R4" t="s">
        <v>32</v>
      </c>
      <c r="S4">
        <v>1.2216468747123199</v>
      </c>
      <c r="T4" t="s">
        <v>32</v>
      </c>
      <c r="U4">
        <v>1.1498031384812399</v>
      </c>
      <c r="V4" t="s">
        <v>32</v>
      </c>
      <c r="W4">
        <v>1.25319898418939</v>
      </c>
      <c r="X4" t="s">
        <v>32</v>
      </c>
      <c r="Y4">
        <v>0.834551373400096</v>
      </c>
      <c r="Z4" t="s">
        <v>32</v>
      </c>
      <c r="AA4">
        <v>1.67370053576463</v>
      </c>
      <c r="AB4" t="s">
        <v>32</v>
      </c>
      <c r="AC4">
        <v>1.1582755360870001</v>
      </c>
      <c r="AD4" t="s">
        <v>32</v>
      </c>
      <c r="AE4">
        <v>0.73212712830002602</v>
      </c>
      <c r="AF4" t="s">
        <v>32</v>
      </c>
      <c r="AG4">
        <v>0.81015452538631305</v>
      </c>
      <c r="AH4" t="s">
        <v>32</v>
      </c>
      <c r="AI4">
        <v>0.71525885558583102</v>
      </c>
      <c r="AJ4" t="s">
        <v>32</v>
      </c>
      <c r="AK4">
        <v>1.0761904761904699</v>
      </c>
      <c r="AL4" t="s">
        <v>32</v>
      </c>
      <c r="AM4">
        <v>1.30265486725663</v>
      </c>
      <c r="AN4" t="s">
        <v>32</v>
      </c>
      <c r="AO4">
        <v>0.94293478260869501</v>
      </c>
      <c r="AP4" t="s">
        <v>30</v>
      </c>
      <c r="AQ4">
        <v>1.13793103448275</v>
      </c>
      <c r="AR4" t="s">
        <v>32</v>
      </c>
      <c r="AS4">
        <v>0.96704545454545399</v>
      </c>
      <c r="AT4" t="s">
        <v>32</v>
      </c>
      <c r="AU4">
        <v>1.01645123384253</v>
      </c>
      <c r="AV4" t="s">
        <v>32</v>
      </c>
      <c r="AW4">
        <v>0.84739884393063503</v>
      </c>
      <c r="AX4" t="s">
        <v>32</v>
      </c>
      <c r="AY4">
        <v>0.98772169167803503</v>
      </c>
      <c r="AZ4" t="s">
        <v>32</v>
      </c>
      <c r="BA4">
        <v>1.15469613259668</v>
      </c>
      <c r="BB4" t="s">
        <v>32</v>
      </c>
      <c r="BC4">
        <v>1.0622009569377899</v>
      </c>
      <c r="BD4" t="s">
        <v>32</v>
      </c>
      <c r="BE4">
        <v>1.0180180180180101</v>
      </c>
      <c r="BF4" t="s">
        <v>32</v>
      </c>
      <c r="BG4">
        <v>1.19469026548672</v>
      </c>
      <c r="BH4" t="s">
        <v>38</v>
      </c>
      <c r="BI4">
        <v>0.87531806615775998</v>
      </c>
      <c r="BJ4" t="s">
        <v>38</v>
      </c>
      <c r="BK4">
        <v>1.06395348837209</v>
      </c>
      <c r="BL4" t="s">
        <v>34</v>
      </c>
      <c r="BM4">
        <v>1.1135734072022101</v>
      </c>
      <c r="BN4" t="s">
        <v>34</v>
      </c>
      <c r="BO4">
        <v>1.01119402985074</v>
      </c>
      <c r="BP4" t="s">
        <v>34</v>
      </c>
      <c r="BQ4">
        <v>0.99753997539975403</v>
      </c>
      <c r="BR4" t="s">
        <v>36</v>
      </c>
      <c r="BS4">
        <v>0.96442687747035505</v>
      </c>
      <c r="BT4" t="s">
        <v>35</v>
      </c>
      <c r="BU4">
        <v>1.0064724919093799</v>
      </c>
      <c r="BV4" t="s">
        <v>30</v>
      </c>
      <c r="BW4">
        <v>1.2207792207792201</v>
      </c>
    </row>
    <row r="5" spans="1:75" x14ac:dyDescent="0.4">
      <c r="A5">
        <v>3</v>
      </c>
      <c r="B5" t="s">
        <v>38</v>
      </c>
      <c r="C5">
        <v>1.02068101107165</v>
      </c>
      <c r="D5" t="s">
        <v>42</v>
      </c>
      <c r="E5">
        <v>1.07377049180327</v>
      </c>
      <c r="F5" t="s">
        <v>36</v>
      </c>
      <c r="G5">
        <v>0.51808972503617901</v>
      </c>
      <c r="H5" t="s">
        <v>32</v>
      </c>
      <c r="I5">
        <v>1.0666726195791201</v>
      </c>
      <c r="J5" t="s">
        <v>32</v>
      </c>
      <c r="K5">
        <v>1.21248988475597</v>
      </c>
      <c r="L5" t="s">
        <v>41</v>
      </c>
      <c r="M5">
        <v>0.73578947368420999</v>
      </c>
      <c r="N5" t="s">
        <v>41</v>
      </c>
      <c r="O5">
        <v>0.74678111587982798</v>
      </c>
      <c r="P5" t="s">
        <v>41</v>
      </c>
      <c r="Q5">
        <v>1.07471264367816</v>
      </c>
      <c r="R5" t="s">
        <v>41</v>
      </c>
      <c r="S5">
        <v>0.989304812834224</v>
      </c>
      <c r="T5" t="s">
        <v>41</v>
      </c>
      <c r="U5">
        <v>1.05765765765765</v>
      </c>
      <c r="V5" t="s">
        <v>41</v>
      </c>
      <c r="W5">
        <v>1.28960817717206</v>
      </c>
      <c r="X5" t="s">
        <v>41</v>
      </c>
      <c r="Y5">
        <v>1.4200792602377801</v>
      </c>
      <c r="Z5" t="s">
        <v>34</v>
      </c>
      <c r="AA5">
        <v>1.08053007135575</v>
      </c>
      <c r="AB5" t="s">
        <v>36</v>
      </c>
      <c r="AC5">
        <v>0.95765472312703503</v>
      </c>
      <c r="AD5" t="s">
        <v>41</v>
      </c>
      <c r="AE5">
        <v>0.80703745743473299</v>
      </c>
      <c r="AF5" t="s">
        <v>41</v>
      </c>
      <c r="AG5">
        <v>1.15330520393811</v>
      </c>
      <c r="AH5" t="s">
        <v>41</v>
      </c>
      <c r="AI5">
        <v>0.76219512195121897</v>
      </c>
      <c r="AJ5" t="s">
        <v>41</v>
      </c>
      <c r="AK5">
        <v>1.496</v>
      </c>
      <c r="AL5" t="s">
        <v>36</v>
      </c>
      <c r="AM5">
        <v>1.4979959919839601</v>
      </c>
      <c r="AN5" t="s">
        <v>36</v>
      </c>
      <c r="AO5">
        <v>1.0836120401337701</v>
      </c>
      <c r="AP5" t="s">
        <v>32</v>
      </c>
      <c r="AQ5">
        <v>1.2680115273775201</v>
      </c>
      <c r="AR5" t="s">
        <v>36</v>
      </c>
      <c r="AS5">
        <v>0.81533101045296097</v>
      </c>
      <c r="AT5" t="s">
        <v>36</v>
      </c>
      <c r="AU5">
        <v>1.0085470085470001</v>
      </c>
      <c r="AV5" t="s">
        <v>36</v>
      </c>
      <c r="AW5">
        <v>1.0932203389830499</v>
      </c>
      <c r="AX5" t="s">
        <v>36</v>
      </c>
      <c r="AY5">
        <v>0.99612403100775104</v>
      </c>
      <c r="AZ5" t="s">
        <v>36</v>
      </c>
      <c r="BA5">
        <v>1.0544747081712</v>
      </c>
      <c r="BB5" t="s">
        <v>36</v>
      </c>
      <c r="BC5">
        <v>0.93357933579335795</v>
      </c>
      <c r="BD5" t="s">
        <v>36</v>
      </c>
      <c r="BE5">
        <v>0.94861660079051302</v>
      </c>
      <c r="BF5" t="s">
        <v>36</v>
      </c>
      <c r="BG5">
        <v>1.2666666666666599</v>
      </c>
      <c r="BH5" t="s">
        <v>42</v>
      </c>
      <c r="BI5">
        <v>1.02203567681007</v>
      </c>
      <c r="BJ5" t="s">
        <v>42</v>
      </c>
      <c r="BK5">
        <v>1.0780287474332599</v>
      </c>
      <c r="BL5" t="s">
        <v>38</v>
      </c>
      <c r="BM5">
        <v>1.0983606557376999</v>
      </c>
      <c r="BN5" t="s">
        <v>38</v>
      </c>
      <c r="BO5">
        <v>1.1616915422885501</v>
      </c>
      <c r="BP5" t="s">
        <v>38</v>
      </c>
      <c r="BQ5">
        <v>0.91648822269807195</v>
      </c>
      <c r="BR5" t="s">
        <v>35</v>
      </c>
      <c r="BS5">
        <v>1.04391891891891</v>
      </c>
      <c r="BT5" t="s">
        <v>34</v>
      </c>
      <c r="BU5">
        <v>1.09424083769633</v>
      </c>
      <c r="BV5" t="s">
        <v>36</v>
      </c>
      <c r="BW5">
        <v>1.0085470085470001</v>
      </c>
    </row>
    <row r="6" spans="1:75" x14ac:dyDescent="0.4">
      <c r="A6">
        <v>4</v>
      </c>
      <c r="B6" t="s">
        <v>42</v>
      </c>
      <c r="C6">
        <v>1.2525667351129299</v>
      </c>
      <c r="D6" t="s">
        <v>40</v>
      </c>
      <c r="E6">
        <v>0.78388278388278299</v>
      </c>
      <c r="F6" t="s">
        <v>34</v>
      </c>
      <c r="G6">
        <v>0.48458149779735599</v>
      </c>
      <c r="H6" t="s">
        <v>41</v>
      </c>
      <c r="I6">
        <v>1.1046386930431</v>
      </c>
      <c r="J6" t="s">
        <v>41</v>
      </c>
      <c r="K6">
        <v>1.96228285791006</v>
      </c>
      <c r="L6" t="s">
        <v>36</v>
      </c>
      <c r="M6">
        <v>1.3864818024263399</v>
      </c>
      <c r="N6" t="s">
        <v>34</v>
      </c>
      <c r="O6">
        <v>1.1428571428571399</v>
      </c>
      <c r="P6" t="s">
        <v>36</v>
      </c>
      <c r="Q6">
        <v>0.76261682242990603</v>
      </c>
      <c r="R6" t="s">
        <v>36</v>
      </c>
      <c r="S6">
        <v>1.0269607843137201</v>
      </c>
      <c r="T6" t="s">
        <v>36</v>
      </c>
      <c r="U6">
        <v>0.98090692124104994</v>
      </c>
      <c r="V6" t="s">
        <v>36</v>
      </c>
      <c r="W6">
        <v>0.97080291970802901</v>
      </c>
      <c r="X6" t="s">
        <v>36</v>
      </c>
      <c r="Y6">
        <v>0.89473684210526305</v>
      </c>
      <c r="Z6" t="s">
        <v>37</v>
      </c>
      <c r="AA6">
        <v>0.94728108246106701</v>
      </c>
      <c r="AB6" t="s">
        <v>39</v>
      </c>
      <c r="AC6">
        <v>1.1065560165975099</v>
      </c>
      <c r="AD6" t="s">
        <v>36</v>
      </c>
      <c r="AE6">
        <v>0.73129251700680198</v>
      </c>
      <c r="AF6" t="s">
        <v>36</v>
      </c>
      <c r="AG6">
        <v>1.1162790697674401</v>
      </c>
      <c r="AH6" t="s">
        <v>36</v>
      </c>
      <c r="AI6">
        <v>0.75249999999999995</v>
      </c>
      <c r="AJ6" t="s">
        <v>36</v>
      </c>
      <c r="AK6">
        <v>1.1052048726467301</v>
      </c>
      <c r="AL6" t="s">
        <v>39</v>
      </c>
      <c r="AM6">
        <v>0.93358189996562901</v>
      </c>
      <c r="AN6" t="s">
        <v>39</v>
      </c>
      <c r="AO6">
        <v>1.03245427988314</v>
      </c>
      <c r="AP6" t="s">
        <v>36</v>
      </c>
      <c r="AQ6">
        <v>0.88580246913580196</v>
      </c>
      <c r="AR6" t="s">
        <v>35</v>
      </c>
      <c r="AS6">
        <v>0.791860958033064</v>
      </c>
      <c r="AT6" t="s">
        <v>35</v>
      </c>
      <c r="AU6">
        <v>0.93683083511777299</v>
      </c>
      <c r="AV6" t="s">
        <v>35</v>
      </c>
      <c r="AW6">
        <v>1.1457142857142799</v>
      </c>
      <c r="AX6" t="s">
        <v>35</v>
      </c>
      <c r="AY6">
        <v>1.09576059850374</v>
      </c>
      <c r="AZ6" t="s">
        <v>35</v>
      </c>
      <c r="BA6">
        <v>1.0673645880746401</v>
      </c>
      <c r="BB6" t="s">
        <v>35</v>
      </c>
      <c r="BC6">
        <v>0.82601279317697196</v>
      </c>
      <c r="BD6" t="s">
        <v>35</v>
      </c>
      <c r="BE6">
        <v>1.16210635002581</v>
      </c>
      <c r="BF6" t="s">
        <v>35</v>
      </c>
      <c r="BG6">
        <v>2.0004442470013299</v>
      </c>
      <c r="BH6" t="s">
        <v>44</v>
      </c>
      <c r="BI6">
        <v>1.2105263157894699</v>
      </c>
      <c r="BJ6" t="s">
        <v>44</v>
      </c>
      <c r="BK6">
        <v>1.12201963534361</v>
      </c>
      <c r="BL6" t="s">
        <v>42</v>
      </c>
      <c r="BM6">
        <v>0.87809523809523804</v>
      </c>
      <c r="BN6" t="s">
        <v>42</v>
      </c>
      <c r="BO6">
        <v>1.0119305856832901</v>
      </c>
      <c r="BP6" t="s">
        <v>42</v>
      </c>
      <c r="BQ6">
        <v>0.89924973204715897</v>
      </c>
      <c r="BR6" t="s">
        <v>34</v>
      </c>
      <c r="BS6">
        <v>0.94204685573366198</v>
      </c>
      <c r="BT6" t="s">
        <v>37</v>
      </c>
      <c r="BU6">
        <v>0.76503759398496196</v>
      </c>
      <c r="BV6" t="s">
        <v>35</v>
      </c>
      <c r="BW6">
        <v>0.99839228295819904</v>
      </c>
    </row>
    <row r="7" spans="1:75" x14ac:dyDescent="0.4">
      <c r="A7">
        <v>5</v>
      </c>
      <c r="B7" t="s">
        <v>43</v>
      </c>
      <c r="C7">
        <v>1.0972193329172699</v>
      </c>
      <c r="D7" t="s">
        <v>43</v>
      </c>
      <c r="E7">
        <v>0.71307590216772998</v>
      </c>
      <c r="F7" t="s">
        <v>37</v>
      </c>
      <c r="G7">
        <v>0.80999153259949197</v>
      </c>
      <c r="H7" t="s">
        <v>36</v>
      </c>
      <c r="I7">
        <v>0.91340782122904995</v>
      </c>
      <c r="J7" t="s">
        <v>36</v>
      </c>
      <c r="K7">
        <v>1.7645259938837901</v>
      </c>
      <c r="L7" t="s">
        <v>34</v>
      </c>
      <c r="M7">
        <v>1.18976897689768</v>
      </c>
      <c r="N7" t="s">
        <v>37</v>
      </c>
      <c r="O7">
        <v>0.92858320963219498</v>
      </c>
      <c r="P7" t="s">
        <v>39</v>
      </c>
      <c r="Q7">
        <v>1.5406568647274601</v>
      </c>
      <c r="R7" t="s">
        <v>34</v>
      </c>
      <c r="S7">
        <v>0.80364656381486599</v>
      </c>
      <c r="T7" t="s">
        <v>34</v>
      </c>
      <c r="U7">
        <v>1.31588132635253</v>
      </c>
      <c r="V7" t="s">
        <v>34</v>
      </c>
      <c r="W7">
        <v>1.43899204244031</v>
      </c>
      <c r="X7" t="s">
        <v>34</v>
      </c>
      <c r="Y7">
        <v>0.90414746543778801</v>
      </c>
      <c r="Z7" t="s">
        <v>43</v>
      </c>
      <c r="AA7">
        <v>0.76891070982774401</v>
      </c>
      <c r="AB7" t="s">
        <v>34</v>
      </c>
      <c r="AC7">
        <v>1.0896226415094299</v>
      </c>
      <c r="AD7" t="s">
        <v>34</v>
      </c>
      <c r="AE7">
        <v>0.83030303030302999</v>
      </c>
      <c r="AF7" t="s">
        <v>34</v>
      </c>
      <c r="AG7">
        <v>1.3138686131386801</v>
      </c>
      <c r="AH7" t="s">
        <v>34</v>
      </c>
      <c r="AI7">
        <v>0.79126984126984101</v>
      </c>
      <c r="AJ7" t="s">
        <v>39</v>
      </c>
      <c r="AK7">
        <v>1.0840008747559899</v>
      </c>
      <c r="AL7" t="s">
        <v>34</v>
      </c>
      <c r="AM7">
        <v>0.88851351351351304</v>
      </c>
      <c r="AN7" t="s">
        <v>34</v>
      </c>
      <c r="AO7">
        <v>1.2256020278833899</v>
      </c>
      <c r="AP7" t="s">
        <v>34</v>
      </c>
      <c r="AQ7">
        <v>0.98241985522233699</v>
      </c>
      <c r="AR7" t="s">
        <v>34</v>
      </c>
      <c r="AS7">
        <v>0.92105263157894701</v>
      </c>
      <c r="AT7" t="s">
        <v>34</v>
      </c>
      <c r="AU7">
        <v>1.1485714285714199</v>
      </c>
      <c r="AV7" t="s">
        <v>34</v>
      </c>
      <c r="AW7">
        <v>0.876616915422885</v>
      </c>
      <c r="AX7" t="s">
        <v>34</v>
      </c>
      <c r="AY7">
        <v>0.91486946651532297</v>
      </c>
      <c r="AZ7" t="s">
        <v>34</v>
      </c>
      <c r="BA7">
        <v>1.0843672456575599</v>
      </c>
      <c r="BB7" t="s">
        <v>34</v>
      </c>
      <c r="BC7">
        <v>0.77231121281464499</v>
      </c>
      <c r="BD7" t="s">
        <v>34</v>
      </c>
      <c r="BE7">
        <v>0.96</v>
      </c>
      <c r="BF7" t="s">
        <v>34</v>
      </c>
      <c r="BG7">
        <v>1.2083333333333299</v>
      </c>
      <c r="BH7" t="s">
        <v>46</v>
      </c>
      <c r="BI7">
        <v>1.02835538752362</v>
      </c>
      <c r="BJ7" t="s">
        <v>45</v>
      </c>
      <c r="BK7">
        <v>1.0414893617021199</v>
      </c>
      <c r="BL7" t="s">
        <v>40</v>
      </c>
      <c r="BM7">
        <v>0.86570247933884203</v>
      </c>
      <c r="BN7" t="s">
        <v>40</v>
      </c>
      <c r="BO7">
        <v>1.00477326968973</v>
      </c>
      <c r="BP7" t="s">
        <v>40</v>
      </c>
      <c r="BQ7">
        <v>0.821852731591448</v>
      </c>
      <c r="BR7" t="s">
        <v>38</v>
      </c>
      <c r="BS7">
        <v>0.96495327102803696</v>
      </c>
      <c r="BT7" t="s">
        <v>38</v>
      </c>
      <c r="BU7">
        <v>0.99273607748184001</v>
      </c>
      <c r="BV7" t="s">
        <v>34</v>
      </c>
      <c r="BW7">
        <v>1.1052631578947301</v>
      </c>
    </row>
    <row r="8" spans="1:75" x14ac:dyDescent="0.4">
      <c r="A8">
        <v>6</v>
      </c>
      <c r="B8" t="s">
        <v>45</v>
      </c>
      <c r="C8">
        <v>1.1572150477259899</v>
      </c>
      <c r="D8" t="s">
        <v>45</v>
      </c>
      <c r="E8">
        <v>0.87578845220766599</v>
      </c>
      <c r="F8" t="s">
        <v>42</v>
      </c>
      <c r="G8">
        <v>0.53435114503816705</v>
      </c>
      <c r="H8" t="s">
        <v>34</v>
      </c>
      <c r="I8">
        <v>1.2242424242424199</v>
      </c>
      <c r="J8" t="s">
        <v>34</v>
      </c>
      <c r="K8">
        <v>1.5</v>
      </c>
      <c r="L8" t="s">
        <v>37</v>
      </c>
      <c r="M8">
        <v>0.87249964023600501</v>
      </c>
      <c r="N8" t="s">
        <v>42</v>
      </c>
      <c r="O8">
        <v>1.01479289940828</v>
      </c>
      <c r="P8" t="s">
        <v>34</v>
      </c>
      <c r="Q8">
        <v>0.865291262135922</v>
      </c>
      <c r="R8" t="s">
        <v>37</v>
      </c>
      <c r="S8">
        <v>0.97066136250621504</v>
      </c>
      <c r="T8" t="s">
        <v>37</v>
      </c>
      <c r="U8">
        <v>1.1764002732240399</v>
      </c>
      <c r="V8" t="s">
        <v>37</v>
      </c>
      <c r="W8">
        <v>1.1114820728697901</v>
      </c>
      <c r="X8" t="s">
        <v>37</v>
      </c>
      <c r="Y8">
        <v>1.0231161029123601</v>
      </c>
      <c r="Z8" t="s">
        <v>45</v>
      </c>
      <c r="AA8">
        <v>1.4018691588784999</v>
      </c>
      <c r="AB8" t="s">
        <v>37</v>
      </c>
      <c r="AC8">
        <v>1.06104298612046</v>
      </c>
      <c r="AD8" t="s">
        <v>37</v>
      </c>
      <c r="AE8">
        <v>0.91376682753365501</v>
      </c>
      <c r="AF8" t="s">
        <v>37</v>
      </c>
      <c r="AG8">
        <v>1.00945100764419</v>
      </c>
      <c r="AH8" t="s">
        <v>37</v>
      </c>
      <c r="AI8">
        <v>0.95125980999586901</v>
      </c>
      <c r="AJ8" t="s">
        <v>34</v>
      </c>
      <c r="AK8">
        <v>0.89067201604814406</v>
      </c>
      <c r="AL8" t="s">
        <v>37</v>
      </c>
      <c r="AM8">
        <v>1.1711229946524</v>
      </c>
      <c r="AN8" t="s">
        <v>37</v>
      </c>
      <c r="AO8">
        <v>1.2921106037544301</v>
      </c>
      <c r="AP8" t="s">
        <v>37</v>
      </c>
      <c r="AQ8">
        <v>1.1351722783940299</v>
      </c>
      <c r="AR8" t="s">
        <v>37</v>
      </c>
      <c r="AS8">
        <v>0.842615012106537</v>
      </c>
      <c r="AT8" t="s">
        <v>37</v>
      </c>
      <c r="AU8">
        <v>1.16153530377668</v>
      </c>
      <c r="AV8" t="s">
        <v>37</v>
      </c>
      <c r="AW8">
        <v>1.1957059551157401</v>
      </c>
      <c r="AX8" t="s">
        <v>38</v>
      </c>
      <c r="AY8">
        <v>1.0860465116278999</v>
      </c>
      <c r="AZ8" t="s">
        <v>38</v>
      </c>
      <c r="BA8">
        <v>0.93576017130620903</v>
      </c>
      <c r="BB8" t="s">
        <v>38</v>
      </c>
      <c r="BC8">
        <v>0.97482837528604105</v>
      </c>
      <c r="BD8" t="s">
        <v>38</v>
      </c>
      <c r="BE8">
        <v>1.11267605633802</v>
      </c>
      <c r="BF8" t="s">
        <v>42</v>
      </c>
      <c r="BG8">
        <v>1.04725274725274</v>
      </c>
      <c r="BH8" t="s">
        <v>47</v>
      </c>
      <c r="BI8">
        <v>0.79148936170212703</v>
      </c>
      <c r="BJ8" t="s">
        <v>47</v>
      </c>
      <c r="BK8">
        <v>1.00430107526881</v>
      </c>
      <c r="BL8" t="s">
        <v>44</v>
      </c>
      <c r="BM8">
        <v>0.98750000000000004</v>
      </c>
      <c r="BN8" t="s">
        <v>44</v>
      </c>
      <c r="BO8">
        <v>1.05696202531645</v>
      </c>
      <c r="BP8" t="s">
        <v>44</v>
      </c>
      <c r="BQ8">
        <v>0.76886227544910102</v>
      </c>
      <c r="BR8" t="s">
        <v>42</v>
      </c>
      <c r="BS8">
        <v>0.89153754469606605</v>
      </c>
      <c r="BT8" t="s">
        <v>42</v>
      </c>
      <c r="BU8">
        <v>1.02272727272727</v>
      </c>
      <c r="BV8" t="s">
        <v>37</v>
      </c>
      <c r="BW8">
        <v>0.91400491400491402</v>
      </c>
    </row>
    <row r="9" spans="1:75" x14ac:dyDescent="0.4">
      <c r="A9">
        <v>7</v>
      </c>
      <c r="B9" t="s">
        <v>49</v>
      </c>
      <c r="C9">
        <v>1.1314741035856499</v>
      </c>
      <c r="D9" t="s">
        <v>47</v>
      </c>
      <c r="E9">
        <v>0.92738589211618205</v>
      </c>
      <c r="F9" t="s">
        <v>43</v>
      </c>
      <c r="G9">
        <v>0.36922804218736099</v>
      </c>
      <c r="H9" t="s">
        <v>37</v>
      </c>
      <c r="I9">
        <v>1.0351243989128101</v>
      </c>
      <c r="J9" t="s">
        <v>37</v>
      </c>
      <c r="K9">
        <v>1.40355483740658</v>
      </c>
      <c r="L9" t="s">
        <v>42</v>
      </c>
      <c r="M9">
        <v>1.4142259414225899</v>
      </c>
      <c r="N9" t="s">
        <v>43</v>
      </c>
      <c r="O9">
        <v>0.92576362090391695</v>
      </c>
      <c r="P9" t="s">
        <v>37</v>
      </c>
      <c r="Q9">
        <v>1.0715808170515</v>
      </c>
      <c r="R9" t="s">
        <v>42</v>
      </c>
      <c r="S9">
        <v>1.4390804597701099</v>
      </c>
      <c r="T9" t="s">
        <v>43</v>
      </c>
      <c r="U9">
        <v>0.99531926167976603</v>
      </c>
      <c r="V9" t="s">
        <v>43</v>
      </c>
      <c r="W9">
        <v>1.1492457852706299</v>
      </c>
      <c r="X9" t="s">
        <v>43</v>
      </c>
      <c r="Y9">
        <v>0.92781037677578704</v>
      </c>
      <c r="Z9" t="s">
        <v>47</v>
      </c>
      <c r="AA9">
        <v>1.04340567612687</v>
      </c>
      <c r="AB9" t="s">
        <v>47</v>
      </c>
      <c r="AC9">
        <v>1.0528</v>
      </c>
      <c r="AD9" t="s">
        <v>40</v>
      </c>
      <c r="AE9">
        <v>0.86346396965865901</v>
      </c>
      <c r="AF9" t="s">
        <v>45</v>
      </c>
      <c r="AG9">
        <v>1.1598360655737701</v>
      </c>
      <c r="AH9" t="s">
        <v>40</v>
      </c>
      <c r="AI9">
        <v>0.922885572139303</v>
      </c>
      <c r="AJ9" t="s">
        <v>37</v>
      </c>
      <c r="AK9">
        <v>0.97438124185844499</v>
      </c>
      <c r="AL9" t="s">
        <v>40</v>
      </c>
      <c r="AM9">
        <v>1.09759036144578</v>
      </c>
      <c r="AN9" t="s">
        <v>38</v>
      </c>
      <c r="AO9">
        <v>1.2617449664429501</v>
      </c>
      <c r="AP9" t="s">
        <v>38</v>
      </c>
      <c r="AQ9">
        <v>1.02659574468085</v>
      </c>
      <c r="AR9" t="s">
        <v>38</v>
      </c>
      <c r="AS9">
        <v>1.2487046632124299</v>
      </c>
      <c r="AT9" t="s">
        <v>38</v>
      </c>
      <c r="AU9">
        <v>0.99170124481327804</v>
      </c>
      <c r="AV9" t="s">
        <v>46</v>
      </c>
      <c r="AW9">
        <v>1.2311075569772001</v>
      </c>
      <c r="AX9" t="s">
        <v>44</v>
      </c>
      <c r="AY9">
        <v>1.04239917269906</v>
      </c>
      <c r="AZ9" t="s">
        <v>44</v>
      </c>
      <c r="BA9">
        <v>1.2083333333333299</v>
      </c>
      <c r="BB9" t="s">
        <v>44</v>
      </c>
      <c r="BC9">
        <v>0.798029556650246</v>
      </c>
      <c r="BD9" t="s">
        <v>44</v>
      </c>
      <c r="BE9">
        <v>0.91872427983539096</v>
      </c>
      <c r="BF9" t="s">
        <v>44</v>
      </c>
      <c r="BG9">
        <v>1.31914893617021</v>
      </c>
      <c r="BH9" t="s">
        <v>50</v>
      </c>
      <c r="BI9">
        <v>0.83132530120481896</v>
      </c>
      <c r="BJ9" t="s">
        <v>52</v>
      </c>
      <c r="BK9">
        <v>0.88268156424581001</v>
      </c>
      <c r="BL9" t="s">
        <v>45</v>
      </c>
      <c r="BM9">
        <v>0.91930541368743601</v>
      </c>
      <c r="BN9" t="s">
        <v>45</v>
      </c>
      <c r="BO9">
        <v>1.08111111111111</v>
      </c>
      <c r="BP9" t="s">
        <v>58</v>
      </c>
      <c r="BQ9">
        <v>0.896505376344086</v>
      </c>
      <c r="BR9" t="s">
        <v>40</v>
      </c>
      <c r="BS9">
        <v>0.84104046242774499</v>
      </c>
      <c r="BT9" t="s">
        <v>40</v>
      </c>
      <c r="BU9">
        <v>1.04810996563573</v>
      </c>
      <c r="BV9" t="s">
        <v>38</v>
      </c>
      <c r="BW9">
        <v>1.0170731707317</v>
      </c>
    </row>
    <row r="10" spans="1:75" x14ac:dyDescent="0.4">
      <c r="A10">
        <v>8</v>
      </c>
      <c r="B10" t="s">
        <v>47</v>
      </c>
      <c r="C10">
        <v>0.99896373056994803</v>
      </c>
      <c r="D10" t="s">
        <v>50</v>
      </c>
      <c r="E10">
        <v>0.85638551513281502</v>
      </c>
      <c r="F10" t="s">
        <v>44</v>
      </c>
      <c r="G10">
        <v>0.49274267975501301</v>
      </c>
      <c r="H10" t="s">
        <v>38</v>
      </c>
      <c r="I10">
        <v>0.91307529084656402</v>
      </c>
      <c r="J10" t="s">
        <v>38</v>
      </c>
      <c r="K10">
        <v>1.10313326388332</v>
      </c>
      <c r="L10" t="s">
        <v>43</v>
      </c>
      <c r="M10">
        <v>0.81785599657644104</v>
      </c>
      <c r="N10" t="s">
        <v>45</v>
      </c>
      <c r="O10">
        <v>0.99222222222222201</v>
      </c>
      <c r="P10" t="s">
        <v>42</v>
      </c>
      <c r="Q10">
        <v>1.2682215743440199</v>
      </c>
      <c r="R10" t="s">
        <v>43</v>
      </c>
      <c r="S10">
        <v>0.92176815369586396</v>
      </c>
      <c r="T10" t="s">
        <v>54</v>
      </c>
      <c r="U10">
        <v>1.0277777777777699</v>
      </c>
      <c r="V10" t="s">
        <v>54</v>
      </c>
      <c r="W10">
        <v>1.0270270270270201</v>
      </c>
      <c r="X10" t="s">
        <v>54</v>
      </c>
      <c r="Y10">
        <v>0.83789473684210503</v>
      </c>
      <c r="Z10" t="s">
        <v>53</v>
      </c>
      <c r="AA10">
        <v>1.1717032967032901</v>
      </c>
      <c r="AB10" t="s">
        <v>51</v>
      </c>
      <c r="AC10">
        <v>0.91608391608391604</v>
      </c>
      <c r="AD10" t="s">
        <v>47</v>
      </c>
      <c r="AE10">
        <v>0.96656534954407203</v>
      </c>
      <c r="AF10" t="s">
        <v>47</v>
      </c>
      <c r="AG10">
        <v>1.02830188679245</v>
      </c>
      <c r="AH10" t="s">
        <v>44</v>
      </c>
      <c r="AI10">
        <v>0.82548677709967999</v>
      </c>
      <c r="AJ10" t="s">
        <v>40</v>
      </c>
      <c r="AK10">
        <v>1.11859838274932</v>
      </c>
      <c r="AL10" t="s">
        <v>44</v>
      </c>
      <c r="AM10">
        <v>0.76644694325966101</v>
      </c>
      <c r="AN10" t="s">
        <v>40</v>
      </c>
      <c r="AO10">
        <v>1.0098792535675001</v>
      </c>
      <c r="AP10" t="s">
        <v>40</v>
      </c>
      <c r="AQ10">
        <v>1.5760869565217299</v>
      </c>
      <c r="AR10" t="s">
        <v>40</v>
      </c>
      <c r="AS10">
        <v>1.2620689655172399</v>
      </c>
      <c r="AT10" t="s">
        <v>44</v>
      </c>
      <c r="AU10">
        <v>1.13927105961863</v>
      </c>
      <c r="AV10" t="s">
        <v>47</v>
      </c>
      <c r="AW10">
        <v>1.00750938673341</v>
      </c>
      <c r="AX10" t="s">
        <v>47</v>
      </c>
      <c r="AY10">
        <v>1.23602484472049</v>
      </c>
      <c r="AZ10" t="s">
        <v>47</v>
      </c>
      <c r="BA10">
        <v>1.23115577889447</v>
      </c>
      <c r="BB10" t="s">
        <v>46</v>
      </c>
      <c r="BC10">
        <v>0.93724917913170303</v>
      </c>
      <c r="BD10" t="s">
        <v>54</v>
      </c>
      <c r="BE10">
        <v>1.2270742358078599</v>
      </c>
      <c r="BF10" t="s">
        <v>46</v>
      </c>
      <c r="BG10">
        <v>0.87728026533996595</v>
      </c>
      <c r="BH10" t="s">
        <v>58</v>
      </c>
      <c r="BI10">
        <v>0.98666666666666603</v>
      </c>
      <c r="BJ10" t="s">
        <v>55</v>
      </c>
      <c r="BK10">
        <v>0.92725030826140498</v>
      </c>
      <c r="BL10" t="s">
        <v>47</v>
      </c>
      <c r="BM10">
        <v>0.89293361884368305</v>
      </c>
      <c r="BN10" t="s">
        <v>58</v>
      </c>
      <c r="BO10">
        <v>0.96875</v>
      </c>
      <c r="BP10" t="s">
        <v>53</v>
      </c>
      <c r="BQ10">
        <v>1.1523809523809501</v>
      </c>
      <c r="BR10" t="s">
        <v>44</v>
      </c>
      <c r="BS10">
        <v>1.21028037383177</v>
      </c>
      <c r="BT10" t="s">
        <v>44</v>
      </c>
      <c r="BU10">
        <v>0.86872586872586799</v>
      </c>
      <c r="BV10" t="s">
        <v>42</v>
      </c>
      <c r="BW10">
        <v>1.0209150326797301</v>
      </c>
    </row>
    <row r="11" spans="1:75" x14ac:dyDescent="0.4">
      <c r="A11">
        <v>9</v>
      </c>
      <c r="B11" t="s">
        <v>50</v>
      </c>
      <c r="C11">
        <v>0.94995869860641102</v>
      </c>
      <c r="D11" t="s">
        <v>53</v>
      </c>
      <c r="E11">
        <v>1.0169851380042401</v>
      </c>
      <c r="F11" t="s">
        <v>45</v>
      </c>
      <c r="G11">
        <v>0.79889196675900198</v>
      </c>
      <c r="H11" t="s">
        <v>42</v>
      </c>
      <c r="I11">
        <v>0.95857142857142796</v>
      </c>
      <c r="J11" t="s">
        <v>42</v>
      </c>
      <c r="K11">
        <v>1.78092399403874</v>
      </c>
      <c r="L11" t="s">
        <v>44</v>
      </c>
      <c r="M11">
        <v>1.13992925509779</v>
      </c>
      <c r="N11" t="s">
        <v>47</v>
      </c>
      <c r="O11">
        <v>0.94934640522875802</v>
      </c>
      <c r="P11" t="s">
        <v>43</v>
      </c>
      <c r="Q11">
        <v>0.86788187084922896</v>
      </c>
      <c r="R11" t="s">
        <v>45</v>
      </c>
      <c r="S11">
        <v>1.39839572192513</v>
      </c>
      <c r="T11" t="s">
        <v>45</v>
      </c>
      <c r="U11">
        <v>0.94837476099426299</v>
      </c>
      <c r="V11" t="s">
        <v>45</v>
      </c>
      <c r="W11">
        <v>1.69354838709677</v>
      </c>
      <c r="X11" t="s">
        <v>45</v>
      </c>
      <c r="Y11">
        <v>1.0190476190476101</v>
      </c>
      <c r="Z11" t="s">
        <v>55</v>
      </c>
      <c r="AA11">
        <v>0.94086021505376305</v>
      </c>
      <c r="AB11" t="s">
        <v>53</v>
      </c>
      <c r="AC11">
        <v>1.36459554513481</v>
      </c>
      <c r="AD11" t="s">
        <v>55</v>
      </c>
      <c r="AE11">
        <v>0.91966173361522197</v>
      </c>
      <c r="AF11" t="s">
        <v>55</v>
      </c>
      <c r="AG11">
        <v>1.18160919540229</v>
      </c>
      <c r="AH11" t="s">
        <v>47</v>
      </c>
      <c r="AI11">
        <v>0.91131498470948002</v>
      </c>
      <c r="AJ11" t="s">
        <v>44</v>
      </c>
      <c r="AK11">
        <v>1.3619081147685199</v>
      </c>
      <c r="AL11" t="s">
        <v>47</v>
      </c>
      <c r="AM11">
        <v>0.98719999999999997</v>
      </c>
      <c r="AN11" t="s">
        <v>44</v>
      </c>
      <c r="AO11">
        <v>0.933558178752107</v>
      </c>
      <c r="AP11" t="s">
        <v>44</v>
      </c>
      <c r="AQ11">
        <v>0.908056358381502</v>
      </c>
      <c r="AR11" t="s">
        <v>44</v>
      </c>
      <c r="AS11">
        <v>0.82414959220210804</v>
      </c>
      <c r="AT11" t="s">
        <v>54</v>
      </c>
      <c r="AU11">
        <v>1.2176724137931001</v>
      </c>
      <c r="AV11" t="s">
        <v>51</v>
      </c>
      <c r="AW11">
        <v>1.1247947454844001</v>
      </c>
      <c r="AX11" t="s">
        <v>51</v>
      </c>
      <c r="AY11">
        <v>1.35620437956204</v>
      </c>
      <c r="AZ11" t="s">
        <v>50</v>
      </c>
      <c r="BA11">
        <v>0.84326018808777403</v>
      </c>
      <c r="BB11" t="s">
        <v>47</v>
      </c>
      <c r="BC11">
        <v>1.0408163265306101</v>
      </c>
      <c r="BD11" t="s">
        <v>46</v>
      </c>
      <c r="BE11">
        <v>1.17360840794083</v>
      </c>
      <c r="BF11" t="s">
        <v>47</v>
      </c>
      <c r="BG11">
        <v>1.0930232558139501</v>
      </c>
      <c r="BH11" t="s">
        <v>55</v>
      </c>
      <c r="BI11">
        <v>0.98902439024390199</v>
      </c>
      <c r="BJ11" t="s">
        <v>56</v>
      </c>
      <c r="BK11">
        <v>0.86251342642319995</v>
      </c>
      <c r="BL11" t="s">
        <v>52</v>
      </c>
      <c r="BM11">
        <v>0.949367088607594</v>
      </c>
      <c r="BN11" t="s">
        <v>52</v>
      </c>
      <c r="BO11">
        <v>0.956666666666666</v>
      </c>
      <c r="BP11" t="s">
        <v>59</v>
      </c>
      <c r="BQ11">
        <v>1.12719298245614</v>
      </c>
      <c r="BR11" t="s">
        <v>46</v>
      </c>
      <c r="BS11">
        <v>0.97660818713450204</v>
      </c>
      <c r="BT11" t="s">
        <v>45</v>
      </c>
      <c r="BU11">
        <v>1.0021459227467799</v>
      </c>
      <c r="BV11" t="s">
        <v>40</v>
      </c>
      <c r="BW11">
        <v>1.0163934426229499</v>
      </c>
    </row>
    <row r="12" spans="1:75" x14ac:dyDescent="0.4">
      <c r="A12">
        <v>10</v>
      </c>
      <c r="B12" t="s">
        <v>53</v>
      </c>
      <c r="C12">
        <v>1.06681766704416</v>
      </c>
      <c r="D12" t="s">
        <v>57</v>
      </c>
      <c r="E12">
        <v>0.60509554140127297</v>
      </c>
      <c r="F12" t="s">
        <v>47</v>
      </c>
      <c r="G12">
        <v>0.59843400447427297</v>
      </c>
      <c r="H12" t="s">
        <v>44</v>
      </c>
      <c r="I12">
        <v>0.99012429763323595</v>
      </c>
      <c r="J12" t="s">
        <v>43</v>
      </c>
      <c r="K12">
        <v>1.5890853451207001</v>
      </c>
      <c r="L12" t="s">
        <v>47</v>
      </c>
      <c r="M12">
        <v>1.0909090909090899</v>
      </c>
      <c r="N12" t="s">
        <v>50</v>
      </c>
      <c r="O12">
        <v>0.98704698911395805</v>
      </c>
      <c r="P12" t="s">
        <v>45</v>
      </c>
      <c r="Q12">
        <v>1.0470324748040301</v>
      </c>
      <c r="R12" t="s">
        <v>47</v>
      </c>
      <c r="S12">
        <v>0.94862385321100895</v>
      </c>
      <c r="T12" t="s">
        <v>47</v>
      </c>
      <c r="U12">
        <v>1.0580270793036699</v>
      </c>
      <c r="V12" t="s">
        <v>47</v>
      </c>
      <c r="W12">
        <v>1.17915904936014</v>
      </c>
      <c r="X12" t="s">
        <v>47</v>
      </c>
      <c r="Y12">
        <v>0.92868217054263502</v>
      </c>
      <c r="Z12" t="s">
        <v>56</v>
      </c>
      <c r="AA12">
        <v>0.85062439961575398</v>
      </c>
      <c r="AB12" t="s">
        <v>55</v>
      </c>
      <c r="AC12">
        <v>0.90095238095238095</v>
      </c>
      <c r="AD12" t="s">
        <v>56</v>
      </c>
      <c r="AE12">
        <v>0.693493150684931</v>
      </c>
      <c r="AF12" t="s">
        <v>56</v>
      </c>
      <c r="AG12">
        <v>1.2083950617283901</v>
      </c>
      <c r="AH12" t="s">
        <v>51</v>
      </c>
      <c r="AI12">
        <v>1.02433628318584</v>
      </c>
      <c r="AJ12" t="s">
        <v>47</v>
      </c>
      <c r="AK12">
        <v>1.0486577181208001</v>
      </c>
      <c r="AL12" t="s">
        <v>51</v>
      </c>
      <c r="AM12">
        <v>0.96380952380952301</v>
      </c>
      <c r="AN12" t="s">
        <v>46</v>
      </c>
      <c r="AO12">
        <v>1.0610496251338799</v>
      </c>
      <c r="AP12" t="s">
        <v>54</v>
      </c>
      <c r="AQ12">
        <v>1.26595744680851</v>
      </c>
      <c r="AR12" t="s">
        <v>54</v>
      </c>
      <c r="AS12">
        <v>1.5596638655462101</v>
      </c>
      <c r="AT12" t="s">
        <v>46</v>
      </c>
      <c r="AU12">
        <v>0.966756861229223</v>
      </c>
      <c r="AV12" t="s">
        <v>58</v>
      </c>
      <c r="AW12">
        <v>0.93485714285714205</v>
      </c>
      <c r="AX12" t="s">
        <v>58</v>
      </c>
      <c r="AY12">
        <v>0.98533007334963296</v>
      </c>
      <c r="AZ12" t="s">
        <v>58</v>
      </c>
      <c r="BA12">
        <v>1.0322580645161199</v>
      </c>
      <c r="BB12" t="s">
        <v>50</v>
      </c>
      <c r="BC12">
        <v>1.0427509293680199</v>
      </c>
      <c r="BD12" t="s">
        <v>50</v>
      </c>
      <c r="BE12">
        <v>0.88770053475935795</v>
      </c>
      <c r="BF12" t="s">
        <v>50</v>
      </c>
      <c r="BG12">
        <v>1</v>
      </c>
      <c r="BH12" t="s">
        <v>56</v>
      </c>
      <c r="BI12">
        <v>0.77907949790794895</v>
      </c>
      <c r="BJ12" t="s">
        <v>59</v>
      </c>
      <c r="BK12">
        <v>0.96234939759036098</v>
      </c>
      <c r="BL12" t="s">
        <v>53</v>
      </c>
      <c r="BM12">
        <v>0.93605683836589604</v>
      </c>
      <c r="BN12" t="s">
        <v>53</v>
      </c>
      <c r="BO12">
        <v>0.896584440227704</v>
      </c>
      <c r="BP12" t="s">
        <v>62</v>
      </c>
      <c r="BQ12">
        <v>0.99613152804642102</v>
      </c>
      <c r="BR12" t="s">
        <v>58</v>
      </c>
      <c r="BS12">
        <v>1.07496251874062</v>
      </c>
      <c r="BT12" t="s">
        <v>47</v>
      </c>
      <c r="BU12">
        <v>0.99535423925667799</v>
      </c>
      <c r="BV12" t="s">
        <v>44</v>
      </c>
      <c r="BW12">
        <v>1.1437037037036999</v>
      </c>
    </row>
    <row r="13" spans="1:75" x14ac:dyDescent="0.4">
      <c r="A13">
        <v>11</v>
      </c>
      <c r="B13" t="s">
        <v>56</v>
      </c>
      <c r="C13">
        <v>1.2916980725745599</v>
      </c>
      <c r="D13" t="s">
        <v>60</v>
      </c>
      <c r="E13">
        <v>0.45087719298245599</v>
      </c>
      <c r="F13" t="s">
        <v>50</v>
      </c>
      <c r="G13">
        <v>0.56152762765713504</v>
      </c>
      <c r="H13" t="s">
        <v>47</v>
      </c>
      <c r="I13">
        <v>1.3271028037383099</v>
      </c>
      <c r="J13" t="s">
        <v>44</v>
      </c>
      <c r="K13">
        <v>1.6529664660361101</v>
      </c>
      <c r="L13" t="s">
        <v>50</v>
      </c>
      <c r="M13">
        <v>0.98097394478050703</v>
      </c>
      <c r="N13" t="s">
        <v>61</v>
      </c>
      <c r="O13">
        <v>0.87012987012986998</v>
      </c>
      <c r="P13" t="s">
        <v>47</v>
      </c>
      <c r="Q13">
        <v>0.93803786574870895</v>
      </c>
      <c r="R13" t="s">
        <v>50</v>
      </c>
      <c r="S13">
        <v>1.01039273215737</v>
      </c>
      <c r="T13" t="s">
        <v>51</v>
      </c>
      <c r="U13">
        <v>1.01459034792368</v>
      </c>
      <c r="V13" t="s">
        <v>51</v>
      </c>
      <c r="W13">
        <v>1.05641592920353</v>
      </c>
      <c r="X13" t="s">
        <v>51</v>
      </c>
      <c r="Y13">
        <v>1.0157068062827199</v>
      </c>
      <c r="Z13" t="s">
        <v>60</v>
      </c>
      <c r="AA13">
        <v>1.17085427135678</v>
      </c>
      <c r="AB13" t="s">
        <v>56</v>
      </c>
      <c r="AC13">
        <v>0.82439299830604096</v>
      </c>
      <c r="AD13" t="s">
        <v>60</v>
      </c>
      <c r="AE13">
        <v>0.73802816901408397</v>
      </c>
      <c r="AF13" t="s">
        <v>60</v>
      </c>
      <c r="AG13">
        <v>1.3422391857506299</v>
      </c>
      <c r="AH13" t="s">
        <v>55</v>
      </c>
      <c r="AI13">
        <v>0.83171206225680905</v>
      </c>
      <c r="AJ13" t="s">
        <v>51</v>
      </c>
      <c r="AK13">
        <v>1.13390928725701</v>
      </c>
      <c r="AL13" t="s">
        <v>53</v>
      </c>
      <c r="AM13">
        <v>1.1422413793103401</v>
      </c>
      <c r="AN13" t="s">
        <v>47</v>
      </c>
      <c r="AO13">
        <v>1.0372771474878399</v>
      </c>
      <c r="AP13" t="s">
        <v>47</v>
      </c>
      <c r="AQ13">
        <v>1.16875</v>
      </c>
      <c r="AR13" t="s">
        <v>46</v>
      </c>
      <c r="AS13">
        <v>0.83424701709126003</v>
      </c>
      <c r="AT13" t="s">
        <v>47</v>
      </c>
      <c r="AU13">
        <v>1.0540897097625299</v>
      </c>
      <c r="AV13" t="s">
        <v>55</v>
      </c>
      <c r="AW13">
        <v>1.0022598870056401</v>
      </c>
      <c r="AX13" t="s">
        <v>55</v>
      </c>
      <c r="AY13">
        <v>0.99774520856820703</v>
      </c>
      <c r="AZ13" t="s">
        <v>55</v>
      </c>
      <c r="BA13">
        <v>1.08474576271186</v>
      </c>
      <c r="BB13" t="s">
        <v>58</v>
      </c>
      <c r="BC13">
        <v>0.90264423076922995</v>
      </c>
      <c r="BD13" t="s">
        <v>58</v>
      </c>
      <c r="BE13">
        <v>1.09853528628495</v>
      </c>
      <c r="BF13" t="s">
        <v>58</v>
      </c>
      <c r="BG13">
        <v>1</v>
      </c>
      <c r="BH13" t="s">
        <v>59</v>
      </c>
      <c r="BI13">
        <v>0.75028248587570601</v>
      </c>
      <c r="BJ13" t="s">
        <v>62</v>
      </c>
      <c r="BK13">
        <v>0.80030487804878003</v>
      </c>
      <c r="BL13" t="s">
        <v>55</v>
      </c>
      <c r="BM13">
        <v>0.83643617021276595</v>
      </c>
      <c r="BN13" t="s">
        <v>56</v>
      </c>
      <c r="BO13">
        <v>1.19754601226993</v>
      </c>
      <c r="BP13" t="s">
        <v>64</v>
      </c>
      <c r="BQ13">
        <v>1.0079575596816901</v>
      </c>
      <c r="BR13" t="s">
        <v>67</v>
      </c>
      <c r="BS13">
        <v>0.90888382687927105</v>
      </c>
      <c r="BT13" t="s">
        <v>58</v>
      </c>
      <c r="BU13">
        <v>1.0320781032078099</v>
      </c>
      <c r="BV13" t="s">
        <v>46</v>
      </c>
      <c r="BW13">
        <v>1.1288343558282199</v>
      </c>
    </row>
    <row r="14" spans="1:75" x14ac:dyDescent="0.4">
      <c r="A14">
        <v>12</v>
      </c>
      <c r="B14" t="s">
        <v>57</v>
      </c>
      <c r="C14">
        <v>0.80102040816326503</v>
      </c>
      <c r="D14" t="s">
        <v>62</v>
      </c>
      <c r="E14">
        <v>0.78112449799196704</v>
      </c>
      <c r="F14" t="s">
        <v>53</v>
      </c>
      <c r="G14">
        <v>1.0187891440501</v>
      </c>
      <c r="H14" t="s">
        <v>52</v>
      </c>
      <c r="I14">
        <v>1.165991902834</v>
      </c>
      <c r="J14" t="s">
        <v>47</v>
      </c>
      <c r="K14">
        <v>0.79014084507042204</v>
      </c>
      <c r="L14" t="s">
        <v>53</v>
      </c>
      <c r="M14">
        <v>1.08883553421368</v>
      </c>
      <c r="N14" t="s">
        <v>53</v>
      </c>
      <c r="O14">
        <v>1.19073869900771</v>
      </c>
      <c r="P14" t="s">
        <v>51</v>
      </c>
      <c r="Q14">
        <v>1.1011764705882301</v>
      </c>
      <c r="R14" t="s">
        <v>53</v>
      </c>
      <c r="S14">
        <v>0.95038167938931295</v>
      </c>
      <c r="T14" t="s">
        <v>50</v>
      </c>
      <c r="U14">
        <v>0.88146800545778903</v>
      </c>
      <c r="V14" t="s">
        <v>50</v>
      </c>
      <c r="W14">
        <v>0.95514983131573705</v>
      </c>
      <c r="X14" t="s">
        <v>50</v>
      </c>
      <c r="Y14">
        <v>0.81653854145023896</v>
      </c>
      <c r="Z14" t="s">
        <v>65</v>
      </c>
      <c r="AA14">
        <v>1.05618055395135</v>
      </c>
      <c r="AB14" t="s">
        <v>60</v>
      </c>
      <c r="AC14">
        <v>0.91416309012875496</v>
      </c>
      <c r="AD14" t="s">
        <v>62</v>
      </c>
      <c r="AE14">
        <v>0.82263513513513498</v>
      </c>
      <c r="AF14" t="s">
        <v>62</v>
      </c>
      <c r="AG14">
        <v>1.1416837782340801</v>
      </c>
      <c r="AH14" t="s">
        <v>60</v>
      </c>
      <c r="AI14">
        <v>0.63696682464454901</v>
      </c>
      <c r="AJ14" t="s">
        <v>55</v>
      </c>
      <c r="AK14">
        <v>1.03625730994152</v>
      </c>
      <c r="AL14" t="s">
        <v>55</v>
      </c>
      <c r="AM14">
        <v>0.96275395033860001</v>
      </c>
      <c r="AN14" t="s">
        <v>51</v>
      </c>
      <c r="AO14">
        <v>1.2055335968379399</v>
      </c>
      <c r="AP14" t="s">
        <v>51</v>
      </c>
      <c r="AQ14">
        <v>1.0491803278688501</v>
      </c>
      <c r="AR14" t="s">
        <v>47</v>
      </c>
      <c r="AS14">
        <v>1.01336898395721</v>
      </c>
      <c r="AT14" t="s">
        <v>51</v>
      </c>
      <c r="AU14">
        <v>0.94565217391304301</v>
      </c>
      <c r="AV14" t="s">
        <v>63</v>
      </c>
      <c r="AW14">
        <v>0.995253164556962</v>
      </c>
      <c r="AX14" t="s">
        <v>63</v>
      </c>
      <c r="AY14">
        <v>1.16057233704292</v>
      </c>
      <c r="AZ14" t="s">
        <v>62</v>
      </c>
      <c r="BA14">
        <v>1.21317157712305</v>
      </c>
      <c r="BB14" t="s">
        <v>55</v>
      </c>
      <c r="BC14">
        <v>0.92291666666666605</v>
      </c>
      <c r="BD14" t="s">
        <v>55</v>
      </c>
      <c r="BE14">
        <v>0.914221218961625</v>
      </c>
      <c r="BF14" t="s">
        <v>67</v>
      </c>
      <c r="BG14">
        <v>0.95563139931740604</v>
      </c>
      <c r="BH14" t="s">
        <v>63</v>
      </c>
      <c r="BI14">
        <v>0.763492063492063</v>
      </c>
      <c r="BJ14" t="s">
        <v>64</v>
      </c>
      <c r="BK14">
        <v>0.74646464646464605</v>
      </c>
      <c r="BL14" t="s">
        <v>59</v>
      </c>
      <c r="BM14">
        <v>1.1893583724569601</v>
      </c>
      <c r="BN14" t="s">
        <v>59</v>
      </c>
      <c r="BO14">
        <v>0.9</v>
      </c>
      <c r="BP14" t="s">
        <v>65</v>
      </c>
      <c r="BQ14">
        <v>0.97858592331517602</v>
      </c>
      <c r="BR14" t="s">
        <v>53</v>
      </c>
      <c r="BS14">
        <v>0.96051423324150598</v>
      </c>
      <c r="BT14" t="s">
        <v>53</v>
      </c>
      <c r="BU14">
        <v>0.946462715105162</v>
      </c>
      <c r="BV14" t="s">
        <v>45</v>
      </c>
      <c r="BW14">
        <v>1.00428265524625</v>
      </c>
    </row>
    <row r="15" spans="1:75" x14ac:dyDescent="0.4">
      <c r="A15">
        <v>13</v>
      </c>
      <c r="B15" t="s">
        <v>60</v>
      </c>
      <c r="C15">
        <v>0.75098814229249</v>
      </c>
      <c r="D15" t="s">
        <v>64</v>
      </c>
      <c r="E15">
        <v>0.93529411764705805</v>
      </c>
      <c r="F15" t="s">
        <v>56</v>
      </c>
      <c r="G15">
        <v>0.564299692479731</v>
      </c>
      <c r="H15" t="s">
        <v>53</v>
      </c>
      <c r="I15">
        <v>0.85040983606557297</v>
      </c>
      <c r="J15" t="s">
        <v>61</v>
      </c>
      <c r="K15">
        <v>1.6519230769230699</v>
      </c>
      <c r="L15" t="s">
        <v>56</v>
      </c>
      <c r="M15">
        <v>1.10152990264255</v>
      </c>
      <c r="N15" t="s">
        <v>60</v>
      </c>
      <c r="O15">
        <v>0.58757396449704102</v>
      </c>
      <c r="P15" t="s">
        <v>50</v>
      </c>
      <c r="Q15">
        <v>0.98733072734887595</v>
      </c>
      <c r="R15" t="s">
        <v>60</v>
      </c>
      <c r="S15">
        <v>0.87553648068669498</v>
      </c>
      <c r="T15" t="s">
        <v>53</v>
      </c>
      <c r="U15">
        <v>1.20281124497991</v>
      </c>
      <c r="V15" t="s">
        <v>53</v>
      </c>
      <c r="W15">
        <v>1.35225375626043</v>
      </c>
      <c r="X15" t="s">
        <v>55</v>
      </c>
      <c r="Y15">
        <v>0.87874015748031498</v>
      </c>
      <c r="Z15" t="s">
        <v>66</v>
      </c>
      <c r="AA15">
        <v>1.12805443860191</v>
      </c>
      <c r="AB15" t="s">
        <v>62</v>
      </c>
      <c r="AC15">
        <v>0.92500000000000004</v>
      </c>
      <c r="AD15" t="s">
        <v>65</v>
      </c>
      <c r="AE15">
        <v>0.88168574135238198</v>
      </c>
      <c r="AF15" t="s">
        <v>65</v>
      </c>
      <c r="AG15">
        <v>0.99860610988500398</v>
      </c>
      <c r="AH15" t="s">
        <v>62</v>
      </c>
      <c r="AI15">
        <v>0.83812949640287704</v>
      </c>
      <c r="AJ15" t="s">
        <v>60</v>
      </c>
      <c r="AK15">
        <v>0.952380952380952</v>
      </c>
      <c r="AL15" t="s">
        <v>60</v>
      </c>
      <c r="AM15">
        <v>0.890625</v>
      </c>
      <c r="AN15" t="s">
        <v>58</v>
      </c>
      <c r="AO15">
        <v>1.0070070070070001</v>
      </c>
      <c r="AP15" t="s">
        <v>58</v>
      </c>
      <c r="AQ15">
        <v>1</v>
      </c>
      <c r="AR15" t="s">
        <v>51</v>
      </c>
      <c r="AS15">
        <v>1.0062500000000001</v>
      </c>
      <c r="AT15" t="s">
        <v>55</v>
      </c>
      <c r="AU15">
        <v>0.84770114942528696</v>
      </c>
      <c r="AV15" t="s">
        <v>62</v>
      </c>
      <c r="AW15">
        <v>1.05284552845528</v>
      </c>
      <c r="AX15" t="s">
        <v>62</v>
      </c>
      <c r="AY15">
        <v>1.11389961389961</v>
      </c>
      <c r="AZ15" t="s">
        <v>64</v>
      </c>
      <c r="BA15">
        <v>0.98131868131868105</v>
      </c>
      <c r="BB15" t="s">
        <v>62</v>
      </c>
      <c r="BC15">
        <v>0.96857142857142797</v>
      </c>
      <c r="BD15" t="s">
        <v>56</v>
      </c>
      <c r="BE15">
        <v>2.0627417275461899</v>
      </c>
      <c r="BF15" t="s">
        <v>55</v>
      </c>
      <c r="BG15">
        <v>1.01234567901234</v>
      </c>
      <c r="BH15" t="s">
        <v>62</v>
      </c>
      <c r="BI15">
        <v>0.92655367231638397</v>
      </c>
      <c r="BJ15" t="s">
        <v>65</v>
      </c>
      <c r="BK15">
        <v>0.86357095822256902</v>
      </c>
      <c r="BL15" t="s">
        <v>62</v>
      </c>
      <c r="BM15">
        <v>1.02857142857142</v>
      </c>
      <c r="BN15" t="s">
        <v>62</v>
      </c>
      <c r="BO15">
        <v>0.95740740740740704</v>
      </c>
      <c r="BP15" t="s">
        <v>72</v>
      </c>
      <c r="BQ15">
        <v>0.91338582677165303</v>
      </c>
      <c r="BR15" t="s">
        <v>59</v>
      </c>
      <c r="BS15">
        <v>1.0207522697795</v>
      </c>
      <c r="BT15" t="s">
        <v>55</v>
      </c>
      <c r="BU15">
        <v>0.96789727126805702</v>
      </c>
      <c r="BV15" t="s">
        <v>58</v>
      </c>
      <c r="BW15">
        <v>1.2986486486486399</v>
      </c>
    </row>
    <row r="16" spans="1:75" x14ac:dyDescent="0.4">
      <c r="A16">
        <v>14</v>
      </c>
      <c r="B16" t="s">
        <v>62</v>
      </c>
      <c r="C16">
        <v>1.0375000000000001</v>
      </c>
      <c r="D16" t="s">
        <v>66</v>
      </c>
      <c r="E16">
        <v>0.69642504444005504</v>
      </c>
      <c r="F16" t="s">
        <v>60</v>
      </c>
      <c r="G16">
        <v>0.41712062256809301</v>
      </c>
      <c r="H16" t="s">
        <v>55</v>
      </c>
      <c r="I16">
        <v>1</v>
      </c>
      <c r="J16" t="s">
        <v>53</v>
      </c>
      <c r="K16">
        <v>1.00361445783132</v>
      </c>
      <c r="L16" t="s">
        <v>60</v>
      </c>
      <c r="M16">
        <v>1.5504587155963301</v>
      </c>
      <c r="N16" t="s">
        <v>68</v>
      </c>
      <c r="O16">
        <v>1.0439121756487</v>
      </c>
      <c r="P16" t="s">
        <v>53</v>
      </c>
      <c r="Q16">
        <v>0.97037037037036999</v>
      </c>
      <c r="R16" t="s">
        <v>70</v>
      </c>
      <c r="S16">
        <v>0.88546255506607896</v>
      </c>
      <c r="T16" t="s">
        <v>55</v>
      </c>
      <c r="U16">
        <v>1.0210526315789401</v>
      </c>
      <c r="V16" t="s">
        <v>55</v>
      </c>
      <c r="W16">
        <v>0.93519882179675995</v>
      </c>
      <c r="X16" t="s">
        <v>56</v>
      </c>
      <c r="Y16">
        <v>0.88501594048884102</v>
      </c>
      <c r="Z16" t="s">
        <v>68</v>
      </c>
      <c r="AA16">
        <v>1.0661040787623</v>
      </c>
      <c r="AB16" t="s">
        <v>65</v>
      </c>
      <c r="AC16">
        <v>0.85424640755888903</v>
      </c>
      <c r="AD16" t="s">
        <v>66</v>
      </c>
      <c r="AE16">
        <v>0.73737373737373701</v>
      </c>
      <c r="AF16" t="s">
        <v>68</v>
      </c>
      <c r="AG16">
        <v>1.0427135678391899</v>
      </c>
      <c r="AH16" t="s">
        <v>64</v>
      </c>
      <c r="AI16">
        <v>0.85755813953488302</v>
      </c>
      <c r="AJ16" t="s">
        <v>62</v>
      </c>
      <c r="AK16">
        <v>0.88948497854077202</v>
      </c>
      <c r="AL16" t="s">
        <v>64</v>
      </c>
      <c r="AM16">
        <v>1.23780487804878</v>
      </c>
      <c r="AN16" t="s">
        <v>55</v>
      </c>
      <c r="AO16">
        <v>0.99179366940211</v>
      </c>
      <c r="AP16" t="s">
        <v>55</v>
      </c>
      <c r="AQ16">
        <v>1.0862884160756501</v>
      </c>
      <c r="AR16" t="s">
        <v>58</v>
      </c>
      <c r="AS16">
        <v>0.91451292246520799</v>
      </c>
      <c r="AT16" t="s">
        <v>56</v>
      </c>
      <c r="AU16">
        <v>0.97011308562197096</v>
      </c>
      <c r="AV16" t="s">
        <v>64</v>
      </c>
      <c r="AW16">
        <v>1.2175438596491199</v>
      </c>
      <c r="AX16" t="s">
        <v>64</v>
      </c>
      <c r="AY16">
        <v>1.3112391930835701</v>
      </c>
      <c r="AZ16" t="s">
        <v>65</v>
      </c>
      <c r="BA16">
        <v>1.1162658371898899</v>
      </c>
      <c r="BB16" t="s">
        <v>64</v>
      </c>
      <c r="BC16">
        <v>0.90705487122060402</v>
      </c>
      <c r="BD16" t="s">
        <v>59</v>
      </c>
      <c r="BE16">
        <v>1.1026785714285701</v>
      </c>
      <c r="BF16" t="s">
        <v>56</v>
      </c>
      <c r="BG16">
        <v>1.2447916666666601</v>
      </c>
      <c r="BH16" t="s">
        <v>64</v>
      </c>
      <c r="BI16">
        <v>0.92178770949720601</v>
      </c>
      <c r="BJ16" t="s">
        <v>71</v>
      </c>
      <c r="BK16">
        <v>1.38403041825095</v>
      </c>
      <c r="BL16" t="s">
        <v>64</v>
      </c>
      <c r="BM16">
        <v>0.99323410013531799</v>
      </c>
      <c r="BN16" t="s">
        <v>64</v>
      </c>
      <c r="BO16">
        <v>1.0272479564032599</v>
      </c>
      <c r="BP16" t="s">
        <v>74</v>
      </c>
      <c r="BQ16">
        <v>1.00595238095238</v>
      </c>
      <c r="BR16" t="s">
        <v>62</v>
      </c>
      <c r="BS16">
        <v>0.95048543689320297</v>
      </c>
      <c r="BT16" t="s">
        <v>59</v>
      </c>
      <c r="BU16">
        <v>1.2147395171537401</v>
      </c>
      <c r="BV16" t="s">
        <v>48</v>
      </c>
      <c r="BW16">
        <v>1.234375</v>
      </c>
    </row>
    <row r="17" spans="1:75" x14ac:dyDescent="0.4">
      <c r="A17">
        <v>15</v>
      </c>
      <c r="B17" t="s">
        <v>64</v>
      </c>
      <c r="C17">
        <v>0.94972067039106101</v>
      </c>
      <c r="D17" t="s">
        <v>70</v>
      </c>
      <c r="E17">
        <v>0.92644483362521801</v>
      </c>
      <c r="F17" t="s">
        <v>64</v>
      </c>
      <c r="G17">
        <v>0.62893081761006198</v>
      </c>
      <c r="H17" t="s">
        <v>56</v>
      </c>
      <c r="I17">
        <v>0.97473371315333102</v>
      </c>
      <c r="J17" t="s">
        <v>55</v>
      </c>
      <c r="K17">
        <v>1.63855122798313</v>
      </c>
      <c r="L17" t="s">
        <v>70</v>
      </c>
      <c r="M17">
        <v>0.75464684014869798</v>
      </c>
      <c r="N17" t="s">
        <v>75</v>
      </c>
      <c r="O17">
        <v>0.91005291005291</v>
      </c>
      <c r="P17" t="s">
        <v>60</v>
      </c>
      <c r="Q17">
        <v>0.93856998992950602</v>
      </c>
      <c r="R17" t="s">
        <v>72</v>
      </c>
      <c r="S17">
        <v>1.1089494163424101</v>
      </c>
      <c r="T17" t="s">
        <v>60</v>
      </c>
      <c r="U17">
        <v>0.94852941176470495</v>
      </c>
      <c r="V17" t="s">
        <v>60</v>
      </c>
      <c r="W17">
        <v>1.26356589147286</v>
      </c>
      <c r="X17" t="s">
        <v>60</v>
      </c>
      <c r="Y17">
        <v>1.0173824130879301</v>
      </c>
      <c r="Z17" t="s">
        <v>75</v>
      </c>
      <c r="AA17">
        <v>1.00758681062153</v>
      </c>
      <c r="AB17" t="s">
        <v>66</v>
      </c>
      <c r="AC17">
        <v>0.65149437894159501</v>
      </c>
      <c r="AD17" t="s">
        <v>69</v>
      </c>
      <c r="AE17">
        <v>0.81538461538461504</v>
      </c>
      <c r="AF17" t="s">
        <v>75</v>
      </c>
      <c r="AG17">
        <v>1.25101896154527</v>
      </c>
      <c r="AH17" t="s">
        <v>65</v>
      </c>
      <c r="AI17">
        <v>0.79632429917412995</v>
      </c>
      <c r="AJ17" t="s">
        <v>65</v>
      </c>
      <c r="AK17">
        <v>1.17050102249488</v>
      </c>
      <c r="AL17" t="s">
        <v>65</v>
      </c>
      <c r="AM17">
        <v>0.966617789286494</v>
      </c>
      <c r="AN17" t="s">
        <v>64</v>
      </c>
      <c r="AO17">
        <v>1.10837438423645</v>
      </c>
      <c r="AP17" t="s">
        <v>56</v>
      </c>
      <c r="AQ17">
        <v>0.82291666666666596</v>
      </c>
      <c r="AR17" t="s">
        <v>55</v>
      </c>
      <c r="AS17">
        <v>1.1360174102284999</v>
      </c>
      <c r="AT17" t="s">
        <v>63</v>
      </c>
      <c r="AU17">
        <v>1.1029668411867299</v>
      </c>
      <c r="AV17" t="s">
        <v>65</v>
      </c>
      <c r="AW17">
        <v>0.90793601410386005</v>
      </c>
      <c r="AX17" t="s">
        <v>65</v>
      </c>
      <c r="AY17">
        <v>0.75276984580239803</v>
      </c>
      <c r="AZ17" t="s">
        <v>71</v>
      </c>
      <c r="BA17">
        <v>1.02385321100917</v>
      </c>
      <c r="BB17" t="s">
        <v>65</v>
      </c>
      <c r="BC17">
        <v>0.98181941754171298</v>
      </c>
      <c r="BD17" t="s">
        <v>62</v>
      </c>
      <c r="BE17">
        <v>1.01327433628318</v>
      </c>
      <c r="BF17" t="s">
        <v>63</v>
      </c>
      <c r="BG17">
        <v>1.0396039603960301</v>
      </c>
      <c r="BH17" t="s">
        <v>65</v>
      </c>
      <c r="BI17">
        <v>0.97570435941366795</v>
      </c>
      <c r="BJ17" t="s">
        <v>72</v>
      </c>
      <c r="BK17">
        <v>0.89598108747044902</v>
      </c>
      <c r="BL17" t="s">
        <v>65</v>
      </c>
      <c r="BM17">
        <v>0.93131689683413799</v>
      </c>
      <c r="BN17" t="s">
        <v>65</v>
      </c>
      <c r="BO17">
        <v>1.1357006398398799</v>
      </c>
      <c r="BP17" t="s">
        <v>73</v>
      </c>
      <c r="BQ17">
        <v>1.01314217443249</v>
      </c>
      <c r="BR17" t="s">
        <v>64</v>
      </c>
      <c r="BS17">
        <v>0.95526315789473604</v>
      </c>
      <c r="BT17" t="s">
        <v>62</v>
      </c>
      <c r="BU17">
        <v>1.0561797752808899</v>
      </c>
      <c r="BV17" t="s">
        <v>52</v>
      </c>
      <c r="BW17">
        <v>1.2205567451820101</v>
      </c>
    </row>
    <row r="18" spans="1:75" x14ac:dyDescent="0.4">
      <c r="A18">
        <v>16</v>
      </c>
      <c r="B18" t="s">
        <v>66</v>
      </c>
      <c r="C18">
        <v>1.0724422791781401</v>
      </c>
      <c r="D18" t="s">
        <v>69</v>
      </c>
      <c r="E18">
        <v>0.99056603773584895</v>
      </c>
      <c r="F18" t="s">
        <v>66</v>
      </c>
      <c r="G18">
        <v>0.50453771979580198</v>
      </c>
      <c r="H18" t="s">
        <v>65</v>
      </c>
      <c r="I18">
        <v>1.3054567681707001</v>
      </c>
      <c r="J18" t="s">
        <v>56</v>
      </c>
      <c r="K18">
        <v>1.27903430749682</v>
      </c>
      <c r="L18" t="s">
        <v>68</v>
      </c>
      <c r="M18">
        <v>1.0481171548117101</v>
      </c>
      <c r="N18" t="s">
        <v>72</v>
      </c>
      <c r="O18">
        <v>1.04</v>
      </c>
      <c r="P18" t="s">
        <v>64</v>
      </c>
      <c r="Q18">
        <v>0.92556634304207097</v>
      </c>
      <c r="R18" t="s">
        <v>73</v>
      </c>
      <c r="S18">
        <v>0.91011945226765001</v>
      </c>
      <c r="T18" t="s">
        <v>65</v>
      </c>
      <c r="U18">
        <v>1.2931785629028401</v>
      </c>
      <c r="V18" t="s">
        <v>69</v>
      </c>
      <c r="W18">
        <v>1.24439461883408</v>
      </c>
      <c r="X18" t="s">
        <v>64</v>
      </c>
      <c r="Y18">
        <v>0.88509316770186297</v>
      </c>
      <c r="Z18" t="s">
        <v>72</v>
      </c>
      <c r="AA18">
        <v>1.0032154340835999</v>
      </c>
      <c r="AB18" t="s">
        <v>68</v>
      </c>
      <c r="AC18">
        <v>1.17414248021108</v>
      </c>
      <c r="AD18" t="s">
        <v>68</v>
      </c>
      <c r="AE18">
        <v>0.89438202247191001</v>
      </c>
      <c r="AF18" t="s">
        <v>72</v>
      </c>
      <c r="AG18">
        <v>1.19424460431654</v>
      </c>
      <c r="AH18" t="s">
        <v>66</v>
      </c>
      <c r="AI18">
        <v>0.71212121212121204</v>
      </c>
      <c r="AJ18" t="s">
        <v>68</v>
      </c>
      <c r="AK18">
        <v>1.0074074074074</v>
      </c>
      <c r="AL18" t="s">
        <v>68</v>
      </c>
      <c r="AM18">
        <v>1.3174019607843099</v>
      </c>
      <c r="AN18" t="s">
        <v>65</v>
      </c>
      <c r="AO18">
        <v>1.0957621921698899</v>
      </c>
      <c r="AP18" t="s">
        <v>60</v>
      </c>
      <c r="AQ18">
        <v>1.0060514372163301</v>
      </c>
      <c r="AR18" t="s">
        <v>56</v>
      </c>
      <c r="AS18">
        <v>0.979430379746835</v>
      </c>
      <c r="AT18" t="s">
        <v>62</v>
      </c>
      <c r="AU18">
        <v>0.95719844357976602</v>
      </c>
      <c r="AV18" t="s">
        <v>71</v>
      </c>
      <c r="AW18">
        <v>0.96923076923076901</v>
      </c>
      <c r="AX18" t="s">
        <v>71</v>
      </c>
      <c r="AY18">
        <v>0.96119929453262698</v>
      </c>
      <c r="AZ18" t="s">
        <v>72</v>
      </c>
      <c r="BA18">
        <v>1.3838709677419301</v>
      </c>
      <c r="BB18" t="s">
        <v>70</v>
      </c>
      <c r="BC18">
        <v>0.93062605752961003</v>
      </c>
      <c r="BD18" t="s">
        <v>64</v>
      </c>
      <c r="BE18">
        <v>1.3753086419753</v>
      </c>
      <c r="BF18" t="s">
        <v>62</v>
      </c>
      <c r="BG18">
        <v>1.0305676855895101</v>
      </c>
      <c r="BH18" t="s">
        <v>542</v>
      </c>
      <c r="BI18">
        <v>0.92482915717539804</v>
      </c>
      <c r="BJ18" t="s">
        <v>74</v>
      </c>
      <c r="BK18">
        <v>0.94247038917089598</v>
      </c>
      <c r="BL18" t="s">
        <v>69</v>
      </c>
      <c r="BM18">
        <v>1.2561983471074301</v>
      </c>
      <c r="BN18" t="s">
        <v>69</v>
      </c>
      <c r="BO18">
        <v>1.3190789473684199</v>
      </c>
      <c r="BP18" t="s">
        <v>80</v>
      </c>
      <c r="BQ18">
        <v>1.0498687664041899</v>
      </c>
      <c r="BR18" t="s">
        <v>65</v>
      </c>
      <c r="BS18">
        <v>0.96316507503410598</v>
      </c>
      <c r="BT18" t="s">
        <v>64</v>
      </c>
      <c r="BU18">
        <v>1.0027548209366299</v>
      </c>
      <c r="BV18" t="s">
        <v>53</v>
      </c>
      <c r="BW18">
        <v>1.0606060606060601</v>
      </c>
    </row>
    <row r="19" spans="1:75" x14ac:dyDescent="0.4">
      <c r="A19">
        <v>17</v>
      </c>
      <c r="B19" t="s">
        <v>70</v>
      </c>
      <c r="C19">
        <v>1.11960784313725</v>
      </c>
      <c r="D19" t="s">
        <v>75</v>
      </c>
      <c r="E19">
        <v>0.83197389885807504</v>
      </c>
      <c r="F19" t="s">
        <v>70</v>
      </c>
      <c r="G19">
        <v>0.41871455576559502</v>
      </c>
      <c r="H19" t="s">
        <v>69</v>
      </c>
      <c r="I19">
        <v>1.09319526627218</v>
      </c>
      <c r="J19" t="s">
        <v>65</v>
      </c>
      <c r="K19">
        <v>1.44924019920827</v>
      </c>
      <c r="L19" t="s">
        <v>75</v>
      </c>
      <c r="M19">
        <v>1.33098591549295</v>
      </c>
      <c r="N19" t="s">
        <v>73</v>
      </c>
      <c r="O19">
        <v>0.84587677725118404</v>
      </c>
      <c r="P19" t="s">
        <v>68</v>
      </c>
      <c r="Q19">
        <v>1.31548757170172</v>
      </c>
      <c r="R19" t="s">
        <v>80</v>
      </c>
      <c r="S19">
        <v>0.73972602739726001</v>
      </c>
      <c r="T19" t="s">
        <v>68</v>
      </c>
      <c r="U19">
        <v>1.45874587458745</v>
      </c>
      <c r="V19" t="s">
        <v>68</v>
      </c>
      <c r="W19">
        <v>0.89819004524886803</v>
      </c>
      <c r="X19" t="s">
        <v>66</v>
      </c>
      <c r="Y19">
        <v>1.0579188481675299</v>
      </c>
      <c r="Z19" t="s">
        <v>78</v>
      </c>
      <c r="AA19">
        <v>0.76815642458100497</v>
      </c>
      <c r="AB19" t="s">
        <v>75</v>
      </c>
      <c r="AC19">
        <v>1.3655758277826</v>
      </c>
      <c r="AD19" t="s">
        <v>72</v>
      </c>
      <c r="AE19">
        <v>0.97887323943661897</v>
      </c>
      <c r="AF19" t="s">
        <v>74</v>
      </c>
      <c r="AG19">
        <v>1.1816005471956199</v>
      </c>
      <c r="AH19" t="s">
        <v>70</v>
      </c>
      <c r="AI19">
        <v>0.73737373737373701</v>
      </c>
      <c r="AJ19" t="s">
        <v>71</v>
      </c>
      <c r="AK19">
        <v>1.0598958333333299</v>
      </c>
      <c r="AL19" t="s">
        <v>71</v>
      </c>
      <c r="AM19">
        <v>1.11179361179361</v>
      </c>
      <c r="AN19" t="s">
        <v>72</v>
      </c>
      <c r="AO19">
        <v>1.0150375939849601</v>
      </c>
      <c r="AP19" t="s">
        <v>63</v>
      </c>
      <c r="AQ19">
        <v>0.92749244712990897</v>
      </c>
      <c r="AR19" t="s">
        <v>60</v>
      </c>
      <c r="AS19">
        <v>0.81503759398496201</v>
      </c>
      <c r="AT19" t="s">
        <v>64</v>
      </c>
      <c r="AU19">
        <v>1.0401459854014501</v>
      </c>
      <c r="AV19" t="s">
        <v>72</v>
      </c>
      <c r="AW19">
        <v>0.96969696969696895</v>
      </c>
      <c r="AX19" t="s">
        <v>72</v>
      </c>
      <c r="AY19">
        <v>1.07638888888888</v>
      </c>
      <c r="AZ19" t="s">
        <v>74</v>
      </c>
      <c r="BA19">
        <v>0.97840755735492502</v>
      </c>
      <c r="BB19" t="s">
        <v>71</v>
      </c>
      <c r="BC19">
        <v>1.02150537634408</v>
      </c>
      <c r="BD19" t="s">
        <v>65</v>
      </c>
      <c r="BE19">
        <v>1.0302852000553699</v>
      </c>
      <c r="BF19" t="s">
        <v>64</v>
      </c>
      <c r="BG19">
        <v>0.96409335727109502</v>
      </c>
      <c r="BH19" t="s">
        <v>76</v>
      </c>
      <c r="BI19">
        <v>0.80923694779116395</v>
      </c>
      <c r="BJ19" t="s">
        <v>73</v>
      </c>
      <c r="BK19">
        <v>1.1008403361344501</v>
      </c>
      <c r="BL19" t="s">
        <v>72</v>
      </c>
      <c r="BM19">
        <v>0.920844327176781</v>
      </c>
      <c r="BN19" t="s">
        <v>72</v>
      </c>
      <c r="BO19">
        <v>1.0916905444125999</v>
      </c>
      <c r="BP19" t="s">
        <v>87</v>
      </c>
      <c r="BQ19">
        <v>0.98606271777003396</v>
      </c>
      <c r="BR19" t="s">
        <v>72</v>
      </c>
      <c r="BS19">
        <v>1.01436781609195</v>
      </c>
      <c r="BT19" t="s">
        <v>65</v>
      </c>
      <c r="BU19">
        <v>1.03116147308781</v>
      </c>
      <c r="BV19" t="s">
        <v>62</v>
      </c>
      <c r="BW19">
        <v>1.0290135396518301</v>
      </c>
    </row>
    <row r="20" spans="1:75" x14ac:dyDescent="0.4">
      <c r="A20">
        <v>18</v>
      </c>
      <c r="B20" t="s">
        <v>69</v>
      </c>
      <c r="C20">
        <v>0.95280898876404496</v>
      </c>
      <c r="D20" t="s">
        <v>72</v>
      </c>
      <c r="E20">
        <v>1.0231958762886499</v>
      </c>
      <c r="F20" t="s">
        <v>69</v>
      </c>
      <c r="G20">
        <v>0.40238095238095201</v>
      </c>
      <c r="H20" t="s">
        <v>68</v>
      </c>
      <c r="I20">
        <v>1.0943708609271501</v>
      </c>
      <c r="J20" t="s">
        <v>68</v>
      </c>
      <c r="K20">
        <v>1.4462934947049899</v>
      </c>
      <c r="L20" t="s">
        <v>72</v>
      </c>
      <c r="M20">
        <v>1.07758620689655</v>
      </c>
      <c r="N20" t="s">
        <v>80</v>
      </c>
      <c r="O20">
        <v>0.903345724907063</v>
      </c>
      <c r="P20" t="s">
        <v>75</v>
      </c>
      <c r="Q20">
        <v>1.0838642879897999</v>
      </c>
      <c r="R20" t="s">
        <v>90</v>
      </c>
      <c r="S20">
        <v>0.92635658914728602</v>
      </c>
      <c r="T20" t="s">
        <v>75</v>
      </c>
      <c r="U20">
        <v>0.98180789133247004</v>
      </c>
      <c r="V20" t="s">
        <v>75</v>
      </c>
      <c r="W20">
        <v>0.94424771473276703</v>
      </c>
      <c r="X20" t="s">
        <v>69</v>
      </c>
      <c r="Y20">
        <v>1.42342342342342</v>
      </c>
      <c r="Z20" t="s">
        <v>73</v>
      </c>
      <c r="AA20">
        <v>1.1092538609439899</v>
      </c>
      <c r="AB20" t="s">
        <v>72</v>
      </c>
      <c r="AC20">
        <v>0.91025641025641002</v>
      </c>
      <c r="AD20" t="s">
        <v>74</v>
      </c>
      <c r="AE20">
        <v>0.83854316030972098</v>
      </c>
      <c r="AF20" t="s">
        <v>78</v>
      </c>
      <c r="AG20">
        <v>1.3301435406698501</v>
      </c>
      <c r="AH20" t="s">
        <v>68</v>
      </c>
      <c r="AI20">
        <v>0.97590361445783103</v>
      </c>
      <c r="AJ20" t="s">
        <v>72</v>
      </c>
      <c r="AK20">
        <v>1.11848341232227</v>
      </c>
      <c r="AL20" t="s">
        <v>72</v>
      </c>
      <c r="AM20">
        <v>1.1271186440677901</v>
      </c>
      <c r="AN20" t="s">
        <v>78</v>
      </c>
      <c r="AO20">
        <v>1.4470842332613301</v>
      </c>
      <c r="AP20" t="s">
        <v>64</v>
      </c>
      <c r="AQ20">
        <v>1.16888888888888</v>
      </c>
      <c r="AR20" t="s">
        <v>63</v>
      </c>
      <c r="AS20">
        <v>0.93322475570032504</v>
      </c>
      <c r="AT20" t="s">
        <v>65</v>
      </c>
      <c r="AU20">
        <v>1.2162520102166301</v>
      </c>
      <c r="AV20" t="s">
        <v>74</v>
      </c>
      <c r="AW20">
        <v>1.0045045045045</v>
      </c>
      <c r="AX20" t="s">
        <v>74</v>
      </c>
      <c r="AY20">
        <v>1.1076233183856501</v>
      </c>
      <c r="AZ20" t="s">
        <v>73</v>
      </c>
      <c r="BA20">
        <v>0.87799043062200899</v>
      </c>
      <c r="BB20" t="s">
        <v>72</v>
      </c>
      <c r="BC20">
        <v>0.80652680652680597</v>
      </c>
      <c r="BD20" t="s">
        <v>70</v>
      </c>
      <c r="BE20">
        <v>1.5909090909090899</v>
      </c>
      <c r="BF20" t="s">
        <v>65</v>
      </c>
      <c r="BG20">
        <v>1.4117647058823499</v>
      </c>
      <c r="BH20" t="s">
        <v>72</v>
      </c>
      <c r="BI20">
        <v>0.97465437788018405</v>
      </c>
      <c r="BJ20" t="s">
        <v>83</v>
      </c>
      <c r="BK20">
        <v>0.95401785714285703</v>
      </c>
      <c r="BL20" t="s">
        <v>74</v>
      </c>
      <c r="BM20">
        <v>1.04129263913824</v>
      </c>
      <c r="BN20" t="s">
        <v>74</v>
      </c>
      <c r="BO20">
        <v>0.86896551724137905</v>
      </c>
      <c r="BP20" t="s">
        <v>85</v>
      </c>
      <c r="BQ20">
        <v>0.94509803921568603</v>
      </c>
      <c r="BR20" t="s">
        <v>74</v>
      </c>
      <c r="BS20">
        <v>0.90927021696252397</v>
      </c>
      <c r="BT20" t="s">
        <v>72</v>
      </c>
      <c r="BU20">
        <v>1.0424929178470199</v>
      </c>
      <c r="BV20" t="s">
        <v>64</v>
      </c>
      <c r="BW20">
        <v>1.0631868131868101</v>
      </c>
    </row>
    <row r="21" spans="1:75" x14ac:dyDescent="0.4">
      <c r="A21">
        <v>19</v>
      </c>
      <c r="B21" t="s">
        <v>75</v>
      </c>
      <c r="C21">
        <v>0.94529299456601501</v>
      </c>
      <c r="D21" t="s">
        <v>73</v>
      </c>
      <c r="E21">
        <v>0.83671251004300695</v>
      </c>
      <c r="F21" t="s">
        <v>68</v>
      </c>
      <c r="G21">
        <v>0.52613240418118401</v>
      </c>
      <c r="H21" t="s">
        <v>71</v>
      </c>
      <c r="I21">
        <v>1.1592592592592501</v>
      </c>
      <c r="J21" t="s">
        <v>75</v>
      </c>
      <c r="K21">
        <v>1.15911886391591</v>
      </c>
      <c r="L21" t="s">
        <v>73</v>
      </c>
      <c r="M21">
        <v>0.989829617953914</v>
      </c>
      <c r="N21" t="s">
        <v>90</v>
      </c>
      <c r="O21">
        <v>0.74258970358814302</v>
      </c>
      <c r="P21" t="s">
        <v>72</v>
      </c>
      <c r="Q21">
        <v>0.98846153846153795</v>
      </c>
      <c r="R21" t="s">
        <v>87</v>
      </c>
      <c r="S21">
        <v>0.82142857142857095</v>
      </c>
      <c r="T21" t="s">
        <v>72</v>
      </c>
      <c r="U21">
        <v>1</v>
      </c>
      <c r="V21" t="s">
        <v>72</v>
      </c>
      <c r="W21">
        <v>1.0385964912280701</v>
      </c>
      <c r="X21" t="s">
        <v>68</v>
      </c>
      <c r="Y21">
        <v>0.89546599496221602</v>
      </c>
      <c r="Z21" t="s">
        <v>80</v>
      </c>
      <c r="AA21">
        <v>1.00882352941176</v>
      </c>
      <c r="AB21" t="s">
        <v>78</v>
      </c>
      <c r="AC21">
        <v>0.81272727272727197</v>
      </c>
      <c r="AD21" t="s">
        <v>78</v>
      </c>
      <c r="AE21">
        <v>0.93512304250559197</v>
      </c>
      <c r="AF21" t="s">
        <v>73</v>
      </c>
      <c r="AG21">
        <v>1.15070016682675</v>
      </c>
      <c r="AH21" t="s">
        <v>72</v>
      </c>
      <c r="AI21">
        <v>0.63554216867469804</v>
      </c>
      <c r="AJ21" t="s">
        <v>74</v>
      </c>
      <c r="AK21">
        <v>0.88687426093811506</v>
      </c>
      <c r="AL21" t="s">
        <v>78</v>
      </c>
      <c r="AM21">
        <v>1.2313829787234001</v>
      </c>
      <c r="AN21" t="s">
        <v>73</v>
      </c>
      <c r="AO21">
        <v>1.0079393083980199</v>
      </c>
      <c r="AP21" t="s">
        <v>65</v>
      </c>
      <c r="AQ21">
        <v>0.90830633284241502</v>
      </c>
      <c r="AR21" t="s">
        <v>62</v>
      </c>
      <c r="AS21">
        <v>1.0118110236220399</v>
      </c>
      <c r="AT21" t="s">
        <v>71</v>
      </c>
      <c r="AU21">
        <v>0.925632911392405</v>
      </c>
      <c r="AV21" t="s">
        <v>73</v>
      </c>
      <c r="AW21">
        <v>0.88928834055069805</v>
      </c>
      <c r="AX21" t="s">
        <v>73</v>
      </c>
      <c r="AY21">
        <v>0.76809996324880503</v>
      </c>
      <c r="AZ21" t="s">
        <v>83</v>
      </c>
      <c r="BA21">
        <v>1.0298350824587701</v>
      </c>
      <c r="BB21" t="s">
        <v>74</v>
      </c>
      <c r="BC21">
        <v>0.92873563218390798</v>
      </c>
      <c r="BD21" t="s">
        <v>71</v>
      </c>
      <c r="BE21">
        <v>1.3017543859649101</v>
      </c>
      <c r="BF21" t="s">
        <v>72</v>
      </c>
      <c r="BG21">
        <v>1.21229050279329</v>
      </c>
      <c r="BH21" t="s">
        <v>74</v>
      </c>
      <c r="BI21">
        <v>0.87426035502958499</v>
      </c>
      <c r="BJ21" t="s">
        <v>80</v>
      </c>
      <c r="BK21">
        <v>1.0029498525073699</v>
      </c>
      <c r="BL21" t="s">
        <v>73</v>
      </c>
      <c r="BM21">
        <v>0.89770992366412194</v>
      </c>
      <c r="BN21" t="s">
        <v>80</v>
      </c>
      <c r="BO21">
        <v>1.190625</v>
      </c>
      <c r="BP21" t="s">
        <v>93</v>
      </c>
      <c r="BQ21">
        <v>1.06962025316455</v>
      </c>
      <c r="BR21" t="s">
        <v>73</v>
      </c>
      <c r="BS21">
        <v>1.14504716981132</v>
      </c>
      <c r="BT21" t="s">
        <v>74</v>
      </c>
      <c r="BU21">
        <v>1.16919739696312</v>
      </c>
      <c r="BV21" t="s">
        <v>65</v>
      </c>
      <c r="BW21">
        <v>1.31456043956043</v>
      </c>
    </row>
    <row r="22" spans="1:75" x14ac:dyDescent="0.4">
      <c r="A22">
        <v>20</v>
      </c>
      <c r="B22" t="s">
        <v>72</v>
      </c>
      <c r="C22">
        <v>1.0402144772117901</v>
      </c>
      <c r="D22" t="s">
        <v>80</v>
      </c>
      <c r="E22">
        <v>0.94163424124513595</v>
      </c>
      <c r="F22" t="s">
        <v>75</v>
      </c>
      <c r="G22">
        <v>0.57217553688141898</v>
      </c>
      <c r="H22" t="s">
        <v>72</v>
      </c>
      <c r="I22">
        <v>0.860869565217391</v>
      </c>
      <c r="J22" t="s">
        <v>71</v>
      </c>
      <c r="K22">
        <v>1.7571884984025501</v>
      </c>
      <c r="L22" t="s">
        <v>80</v>
      </c>
      <c r="M22">
        <v>0.97287522603978305</v>
      </c>
      <c r="N22" t="s">
        <v>99</v>
      </c>
      <c r="O22">
        <v>0.96556291390728399</v>
      </c>
      <c r="P22" t="s">
        <v>73</v>
      </c>
      <c r="Q22">
        <v>0.92308381891528402</v>
      </c>
      <c r="R22" t="s">
        <v>85</v>
      </c>
      <c r="S22">
        <v>1.12658227848101</v>
      </c>
      <c r="T22" t="s">
        <v>73</v>
      </c>
      <c r="U22">
        <v>1.15659179426986</v>
      </c>
      <c r="V22" t="s">
        <v>74</v>
      </c>
      <c r="W22">
        <v>1.0317290006131199</v>
      </c>
      <c r="X22" t="s">
        <v>75</v>
      </c>
      <c r="Y22">
        <v>0.89665096807953903</v>
      </c>
      <c r="Z22" t="s">
        <v>86</v>
      </c>
      <c r="AA22">
        <v>1.16574943347361</v>
      </c>
      <c r="AB22" t="s">
        <v>73</v>
      </c>
      <c r="AC22">
        <v>0.770192065755262</v>
      </c>
      <c r="AD22" t="s">
        <v>73</v>
      </c>
      <c r="AE22">
        <v>0.71802969254782301</v>
      </c>
      <c r="AF22" t="s">
        <v>80</v>
      </c>
      <c r="AG22">
        <v>0.98290598290598197</v>
      </c>
      <c r="AH22" t="s">
        <v>74</v>
      </c>
      <c r="AI22">
        <v>0.73429811866859596</v>
      </c>
      <c r="AJ22" t="s">
        <v>78</v>
      </c>
      <c r="AK22">
        <v>1.0773638968481301</v>
      </c>
      <c r="AL22" t="s">
        <v>73</v>
      </c>
      <c r="AM22">
        <v>0.79685083649655497</v>
      </c>
      <c r="AN22" t="s">
        <v>83</v>
      </c>
      <c r="AO22">
        <v>0.952800579430226</v>
      </c>
      <c r="AP22" t="s">
        <v>72</v>
      </c>
      <c r="AQ22">
        <v>1.06666666666666</v>
      </c>
      <c r="AR22" t="s">
        <v>64</v>
      </c>
      <c r="AS22">
        <v>1.04182509505703</v>
      </c>
      <c r="AT22" t="s">
        <v>72</v>
      </c>
      <c r="AU22">
        <v>0.99664429530201304</v>
      </c>
      <c r="AV22" t="s">
        <v>83</v>
      </c>
      <c r="AW22">
        <v>0.96272335181762103</v>
      </c>
      <c r="AX22" t="s">
        <v>83</v>
      </c>
      <c r="AY22">
        <v>1.0671999999999999</v>
      </c>
      <c r="AZ22" t="s">
        <v>80</v>
      </c>
      <c r="BA22">
        <v>1.09055118110236</v>
      </c>
      <c r="BB22" t="s">
        <v>73</v>
      </c>
      <c r="BC22">
        <v>0.85286103542234304</v>
      </c>
      <c r="BD22" t="s">
        <v>72</v>
      </c>
      <c r="BE22">
        <v>1.03468208092485</v>
      </c>
      <c r="BF22" t="s">
        <v>74</v>
      </c>
      <c r="BG22">
        <v>1.54691075514874</v>
      </c>
      <c r="BH22" t="s">
        <v>83</v>
      </c>
      <c r="BI22">
        <v>0.75726842461122301</v>
      </c>
      <c r="BJ22" t="s">
        <v>85</v>
      </c>
      <c r="BK22">
        <v>0.90125391849529701</v>
      </c>
      <c r="BL22" t="s">
        <v>83</v>
      </c>
      <c r="BM22">
        <v>0.78778661675245598</v>
      </c>
      <c r="BN22" t="s">
        <v>87</v>
      </c>
      <c r="BO22">
        <v>0.97288135593220304</v>
      </c>
      <c r="BP22" t="s">
        <v>95</v>
      </c>
      <c r="BQ22">
        <v>0.91351351351351295</v>
      </c>
      <c r="BR22" t="s">
        <v>80</v>
      </c>
      <c r="BS22">
        <v>0.97750000000000004</v>
      </c>
      <c r="BT22" t="s">
        <v>73</v>
      </c>
      <c r="BU22">
        <v>1.29763130792996</v>
      </c>
      <c r="BV22" t="s">
        <v>72</v>
      </c>
      <c r="BW22">
        <v>1.01086956521739</v>
      </c>
    </row>
    <row r="23" spans="1:75" x14ac:dyDescent="0.4">
      <c r="A23">
        <v>21</v>
      </c>
      <c r="B23" t="s">
        <v>78</v>
      </c>
      <c r="C23">
        <v>1.31305903398926</v>
      </c>
      <c r="D23" t="s">
        <v>90</v>
      </c>
      <c r="E23">
        <v>0.63594994311717801</v>
      </c>
      <c r="F23" t="s">
        <v>72</v>
      </c>
      <c r="G23">
        <v>0.579345088161209</v>
      </c>
      <c r="H23" t="s">
        <v>78</v>
      </c>
      <c r="I23">
        <v>1.5476839237057201</v>
      </c>
      <c r="J23" t="s">
        <v>72</v>
      </c>
      <c r="K23">
        <v>1.1717171717171699</v>
      </c>
      <c r="L23" t="s">
        <v>90</v>
      </c>
      <c r="M23">
        <v>1.0031298904538299</v>
      </c>
      <c r="N23" t="s">
        <v>87</v>
      </c>
      <c r="O23">
        <v>0.99492900608519197</v>
      </c>
      <c r="P23" t="s">
        <v>80</v>
      </c>
      <c r="Q23">
        <v>0.90123456790123402</v>
      </c>
      <c r="R23" t="s">
        <v>89</v>
      </c>
      <c r="S23">
        <v>1.03157894736842</v>
      </c>
      <c r="T23" t="s">
        <v>77</v>
      </c>
      <c r="U23">
        <v>0.99093655532534297</v>
      </c>
      <c r="V23" t="s">
        <v>78</v>
      </c>
      <c r="W23">
        <v>1.02713178294573</v>
      </c>
      <c r="X23" t="s">
        <v>72</v>
      </c>
      <c r="Y23">
        <v>1.0506756756756701</v>
      </c>
      <c r="Z23" t="s">
        <v>89</v>
      </c>
      <c r="AA23">
        <v>1.0469798657718099</v>
      </c>
      <c r="AB23" t="s">
        <v>80</v>
      </c>
      <c r="AC23">
        <v>1.01166180758017</v>
      </c>
      <c r="AD23" t="s">
        <v>80</v>
      </c>
      <c r="AE23">
        <v>1.01152737752161</v>
      </c>
      <c r="AF23" t="s">
        <v>86</v>
      </c>
      <c r="AG23">
        <v>1.3103922918100399</v>
      </c>
      <c r="AH23" t="s">
        <v>78</v>
      </c>
      <c r="AI23">
        <v>0.62769784172661802</v>
      </c>
      <c r="AJ23" t="s">
        <v>73</v>
      </c>
      <c r="AK23">
        <v>0.96329902491874297</v>
      </c>
      <c r="AL23" t="s">
        <v>80</v>
      </c>
      <c r="AM23">
        <v>0.95810055865921695</v>
      </c>
      <c r="AN23" t="s">
        <v>80</v>
      </c>
      <c r="AO23">
        <v>0.99708454810495595</v>
      </c>
      <c r="AP23" t="s">
        <v>74</v>
      </c>
      <c r="AQ23">
        <v>0.98845660538691704</v>
      </c>
      <c r="AR23" t="s">
        <v>65</v>
      </c>
      <c r="AS23">
        <v>1.02840743262963</v>
      </c>
      <c r="AT23" t="s">
        <v>74</v>
      </c>
      <c r="AU23">
        <v>1.0422535211267601</v>
      </c>
      <c r="AV23" t="s">
        <v>80</v>
      </c>
      <c r="AW23">
        <v>0.98814229249011798</v>
      </c>
      <c r="AX23" t="s">
        <v>80</v>
      </c>
      <c r="AY23">
        <v>1.016</v>
      </c>
      <c r="AZ23" t="s">
        <v>85</v>
      </c>
      <c r="BA23">
        <v>1.26725663716814</v>
      </c>
      <c r="BB23" t="s">
        <v>83</v>
      </c>
      <c r="BC23">
        <v>0.93477944387829304</v>
      </c>
      <c r="BD23" t="s">
        <v>74</v>
      </c>
      <c r="BE23">
        <v>1.08168316831683</v>
      </c>
      <c r="BF23" t="s">
        <v>78</v>
      </c>
      <c r="BG23">
        <v>0.90801886792452802</v>
      </c>
      <c r="BH23" t="s">
        <v>80</v>
      </c>
      <c r="BI23">
        <v>0.97694524495677204</v>
      </c>
      <c r="BJ23" t="s">
        <v>93</v>
      </c>
      <c r="BK23">
        <v>1.2107142857142801</v>
      </c>
      <c r="BL23" t="s">
        <v>80</v>
      </c>
      <c r="BM23">
        <v>0.94117647058823495</v>
      </c>
      <c r="BN23" t="s">
        <v>85</v>
      </c>
      <c r="BO23">
        <v>0.9375</v>
      </c>
      <c r="BP23" t="s">
        <v>92</v>
      </c>
      <c r="BQ23">
        <v>1.0298507462686499</v>
      </c>
      <c r="BR23" t="s">
        <v>87</v>
      </c>
      <c r="BS23">
        <v>1.00706713780918</v>
      </c>
      <c r="BT23" t="s">
        <v>80</v>
      </c>
      <c r="BU23">
        <v>0.930946291560102</v>
      </c>
      <c r="BV23" t="s">
        <v>74</v>
      </c>
      <c r="BW23">
        <v>1.3358070500927599</v>
      </c>
    </row>
    <row r="24" spans="1:75" x14ac:dyDescent="0.4">
      <c r="A24">
        <v>22</v>
      </c>
      <c r="B24" t="s">
        <v>73</v>
      </c>
      <c r="C24">
        <v>1.0895468589083399</v>
      </c>
      <c r="D24" t="s">
        <v>82</v>
      </c>
      <c r="E24">
        <v>0.616865869853917</v>
      </c>
      <c r="F24" t="s">
        <v>78</v>
      </c>
      <c r="G24">
        <v>0.772631578947368</v>
      </c>
      <c r="H24" t="s">
        <v>73</v>
      </c>
      <c r="I24">
        <v>0.92843419788664705</v>
      </c>
      <c r="J24" t="s">
        <v>78</v>
      </c>
      <c r="K24">
        <v>1.19542253521126</v>
      </c>
      <c r="L24" t="s">
        <v>85</v>
      </c>
      <c r="M24">
        <v>1.0675241157556199</v>
      </c>
      <c r="N24" t="s">
        <v>85</v>
      </c>
      <c r="O24">
        <v>0.86144578313252995</v>
      </c>
      <c r="P24" t="s">
        <v>86</v>
      </c>
      <c r="Q24">
        <v>1.0138264777048001</v>
      </c>
      <c r="R24" t="s">
        <v>95</v>
      </c>
      <c r="S24">
        <v>0.67303104476917097</v>
      </c>
      <c r="T24" t="s">
        <v>80</v>
      </c>
      <c r="U24">
        <v>0.95061728395061695</v>
      </c>
      <c r="V24" t="s">
        <v>73</v>
      </c>
      <c r="W24">
        <v>1.1875172986437801</v>
      </c>
      <c r="X24" t="s">
        <v>74</v>
      </c>
      <c r="Y24">
        <v>0.90774030604664901</v>
      </c>
      <c r="Z24" t="s">
        <v>95</v>
      </c>
      <c r="AA24">
        <v>0.819935691318328</v>
      </c>
      <c r="AB24" t="s">
        <v>86</v>
      </c>
      <c r="AC24">
        <v>0.902804776450985</v>
      </c>
      <c r="AD24" t="s">
        <v>86</v>
      </c>
      <c r="AE24">
        <v>0.89387880652106999</v>
      </c>
      <c r="AF24" t="s">
        <v>89</v>
      </c>
      <c r="AG24">
        <v>1.06984126984126</v>
      </c>
      <c r="AH24" t="s">
        <v>73</v>
      </c>
      <c r="AI24">
        <v>0.64880063263333598</v>
      </c>
      <c r="AJ24" t="s">
        <v>80</v>
      </c>
      <c r="AK24">
        <v>1.0718562874251401</v>
      </c>
      <c r="AL24" t="s">
        <v>86</v>
      </c>
      <c r="AM24">
        <v>1.2579885637403201</v>
      </c>
      <c r="AN24" t="s">
        <v>85</v>
      </c>
      <c r="AO24">
        <v>1.28406909788867</v>
      </c>
      <c r="AP24" t="s">
        <v>73</v>
      </c>
      <c r="AQ24">
        <v>0.99212322772623796</v>
      </c>
      <c r="AR24" t="s">
        <v>71</v>
      </c>
      <c r="AS24">
        <v>0.87172413793103398</v>
      </c>
      <c r="AT24" t="s">
        <v>73</v>
      </c>
      <c r="AU24">
        <v>1.0343108256570599</v>
      </c>
      <c r="AV24" t="s">
        <v>87</v>
      </c>
      <c r="AW24">
        <v>1.17133956386292</v>
      </c>
      <c r="AX24" t="s">
        <v>85</v>
      </c>
      <c r="AY24">
        <v>1.17463617463617</v>
      </c>
      <c r="AZ24" t="s">
        <v>89</v>
      </c>
      <c r="BA24">
        <v>1.10917030567685</v>
      </c>
      <c r="BB24" t="s">
        <v>80</v>
      </c>
      <c r="BC24">
        <v>1.01805054151624</v>
      </c>
      <c r="BD24" t="s">
        <v>78</v>
      </c>
      <c r="BE24">
        <v>1.1977401129943499</v>
      </c>
      <c r="BF24" t="s">
        <v>73</v>
      </c>
      <c r="BG24">
        <v>0.863924050632911</v>
      </c>
      <c r="BH24" t="s">
        <v>93</v>
      </c>
      <c r="BI24">
        <v>1.0071942446043101</v>
      </c>
      <c r="BJ24" t="s">
        <v>89</v>
      </c>
      <c r="BK24">
        <v>1.41856925418569</v>
      </c>
      <c r="BL24" t="s">
        <v>85</v>
      </c>
      <c r="BM24">
        <v>0.94608695652173902</v>
      </c>
      <c r="BN24" t="s">
        <v>92</v>
      </c>
      <c r="BO24">
        <v>1.0350154479917599</v>
      </c>
      <c r="BP24" t="s">
        <v>101</v>
      </c>
      <c r="BQ24">
        <v>0.86819484240687606</v>
      </c>
      <c r="BR24" t="s">
        <v>85</v>
      </c>
      <c r="BS24">
        <v>1.0228215767634801</v>
      </c>
      <c r="BT24" t="s">
        <v>87</v>
      </c>
      <c r="BU24">
        <v>0.98947368421052595</v>
      </c>
      <c r="BV24" t="s">
        <v>73</v>
      </c>
      <c r="BW24">
        <v>0.99206349206349198</v>
      </c>
    </row>
    <row r="25" spans="1:75" x14ac:dyDescent="0.4">
      <c r="A25">
        <v>23</v>
      </c>
      <c r="B25" t="s">
        <v>77</v>
      </c>
      <c r="C25">
        <v>5.1633466139181898</v>
      </c>
      <c r="D25" t="s">
        <v>85</v>
      </c>
      <c r="E25">
        <v>1.1863207547169801</v>
      </c>
      <c r="F25" t="s">
        <v>73</v>
      </c>
      <c r="G25">
        <v>0.58800271125169401</v>
      </c>
      <c r="H25" t="s">
        <v>80</v>
      </c>
      <c r="I25">
        <v>1.234375</v>
      </c>
      <c r="J25" t="s">
        <v>73</v>
      </c>
      <c r="K25">
        <v>1.3784790481117399</v>
      </c>
      <c r="L25" t="s">
        <v>95</v>
      </c>
      <c r="M25">
        <v>1.0042923028018</v>
      </c>
      <c r="N25" t="s">
        <v>95</v>
      </c>
      <c r="O25">
        <v>0.95726484391301403</v>
      </c>
      <c r="P25" t="s">
        <v>87</v>
      </c>
      <c r="Q25">
        <v>1.28440366972477</v>
      </c>
      <c r="R25" t="s">
        <v>91</v>
      </c>
      <c r="S25">
        <v>1.13267080212067</v>
      </c>
      <c r="T25" t="s">
        <v>86</v>
      </c>
      <c r="U25">
        <v>0.938322938322938</v>
      </c>
      <c r="V25" t="s">
        <v>80</v>
      </c>
      <c r="W25">
        <v>1.1590909090909001</v>
      </c>
      <c r="X25" t="s">
        <v>78</v>
      </c>
      <c r="Y25">
        <v>0.90062893081760997</v>
      </c>
      <c r="Z25" t="s">
        <v>91</v>
      </c>
      <c r="AA25">
        <v>1.0430444548921201</v>
      </c>
      <c r="AB25" t="s">
        <v>89</v>
      </c>
      <c r="AC25">
        <v>1.0897435897435801</v>
      </c>
      <c r="AD25" t="s">
        <v>89</v>
      </c>
      <c r="AE25">
        <v>0.92647058823529405</v>
      </c>
      <c r="AF25" t="s">
        <v>92</v>
      </c>
      <c r="AG25">
        <v>1.1939163498098799</v>
      </c>
      <c r="AH25" t="s">
        <v>80</v>
      </c>
      <c r="AI25">
        <v>0.96811594202898499</v>
      </c>
      <c r="AJ25" t="s">
        <v>86</v>
      </c>
      <c r="AK25">
        <v>0.94711691621535499</v>
      </c>
      <c r="AL25" t="s">
        <v>85</v>
      </c>
      <c r="AM25">
        <v>0.73691654879773605</v>
      </c>
      <c r="AN25" t="s">
        <v>89</v>
      </c>
      <c r="AO25">
        <v>1.0505319148936101</v>
      </c>
      <c r="AP25" t="s">
        <v>80</v>
      </c>
      <c r="AQ25">
        <v>0.95614035087719296</v>
      </c>
      <c r="AR25" t="s">
        <v>72</v>
      </c>
      <c r="AS25">
        <v>1.0347222222222201</v>
      </c>
      <c r="AT25" t="s">
        <v>83</v>
      </c>
      <c r="AU25">
        <v>1.0398846708313301</v>
      </c>
      <c r="AV25" t="s">
        <v>85</v>
      </c>
      <c r="AW25">
        <v>0.88745387453874502</v>
      </c>
      <c r="AX25" t="s">
        <v>89</v>
      </c>
      <c r="AY25">
        <v>1.10895883777239</v>
      </c>
      <c r="AZ25" t="s">
        <v>92</v>
      </c>
      <c r="BA25">
        <v>1.24757281553398</v>
      </c>
      <c r="BB25" t="s">
        <v>87</v>
      </c>
      <c r="BC25">
        <v>1.2464285714285701</v>
      </c>
      <c r="BD25" t="s">
        <v>73</v>
      </c>
      <c r="BE25">
        <v>1.0095846645367399</v>
      </c>
      <c r="BF25" t="s">
        <v>83</v>
      </c>
      <c r="BG25">
        <v>1.0322805793055301</v>
      </c>
      <c r="BH25" t="s">
        <v>89</v>
      </c>
      <c r="BI25">
        <v>0.893877551020408</v>
      </c>
      <c r="BJ25" t="s">
        <v>92</v>
      </c>
      <c r="BK25">
        <v>0.96634615384615297</v>
      </c>
      <c r="BL25" t="s">
        <v>92</v>
      </c>
      <c r="BM25">
        <v>0.96616915422885497</v>
      </c>
      <c r="BN25" t="s">
        <v>101</v>
      </c>
      <c r="BO25">
        <v>1.1423895253682399</v>
      </c>
      <c r="BP25" t="s">
        <v>91</v>
      </c>
      <c r="BQ25">
        <v>0.97115525642488099</v>
      </c>
      <c r="BR25" t="s">
        <v>93</v>
      </c>
      <c r="BS25">
        <v>1.07692307692307</v>
      </c>
      <c r="BT25" t="s">
        <v>85</v>
      </c>
      <c r="BU25">
        <v>1.05679513184584</v>
      </c>
      <c r="BV25" t="s">
        <v>80</v>
      </c>
      <c r="BW25">
        <v>1.16483516483516</v>
      </c>
    </row>
    <row r="26" spans="1:75" x14ac:dyDescent="0.4">
      <c r="A26">
        <v>24</v>
      </c>
      <c r="B26" t="s">
        <v>82</v>
      </c>
      <c r="C26">
        <v>0.86551724137930997</v>
      </c>
      <c r="D26" t="s">
        <v>89</v>
      </c>
      <c r="E26">
        <v>1.0679611650485401</v>
      </c>
      <c r="F26" t="s">
        <v>80</v>
      </c>
      <c r="G26">
        <v>0.52892561983470998</v>
      </c>
      <c r="H26" t="s">
        <v>79</v>
      </c>
      <c r="I26">
        <v>0.92230576441102696</v>
      </c>
      <c r="J26" t="s">
        <v>80</v>
      </c>
      <c r="K26">
        <v>1.75</v>
      </c>
      <c r="L26" t="s">
        <v>91</v>
      </c>
      <c r="M26">
        <v>0.99207479018378797</v>
      </c>
      <c r="N26" t="s">
        <v>91</v>
      </c>
      <c r="O26">
        <v>0.91317570461749298</v>
      </c>
      <c r="P26" t="s">
        <v>85</v>
      </c>
      <c r="Q26">
        <v>1.1048951048950999</v>
      </c>
      <c r="R26" t="s">
        <v>100</v>
      </c>
      <c r="S26">
        <v>0.83415868823594097</v>
      </c>
      <c r="T26" t="s">
        <v>87</v>
      </c>
      <c r="U26">
        <v>1.03381642512077</v>
      </c>
      <c r="V26" t="s">
        <v>87</v>
      </c>
      <c r="W26">
        <v>0.91682242990654195</v>
      </c>
      <c r="X26" t="s">
        <v>73</v>
      </c>
      <c r="Y26">
        <v>1.2526123606417201</v>
      </c>
      <c r="Z26" t="s">
        <v>100</v>
      </c>
      <c r="AA26">
        <v>1.1456438150614201</v>
      </c>
      <c r="AB26" t="s">
        <v>91</v>
      </c>
      <c r="AC26">
        <v>0.83649688652943999</v>
      </c>
      <c r="AD26" t="s">
        <v>92</v>
      </c>
      <c r="AE26">
        <v>0.80923076923076898</v>
      </c>
      <c r="AF26" t="s">
        <v>96</v>
      </c>
      <c r="AG26">
        <v>1.2307692307692299</v>
      </c>
      <c r="AH26" t="s">
        <v>86</v>
      </c>
      <c r="AI26">
        <v>0.82431722689075604</v>
      </c>
      <c r="AJ26" t="s">
        <v>89</v>
      </c>
      <c r="AK26">
        <v>0.98542274052478096</v>
      </c>
      <c r="AL26" t="s">
        <v>89</v>
      </c>
      <c r="AM26">
        <v>1.1124260355029501</v>
      </c>
      <c r="AN26" t="s">
        <v>92</v>
      </c>
      <c r="AO26">
        <v>1.1040000000000001</v>
      </c>
      <c r="AP26" t="s">
        <v>86</v>
      </c>
      <c r="AQ26">
        <v>1.21976107516177</v>
      </c>
      <c r="AR26" t="s">
        <v>74</v>
      </c>
      <c r="AS26">
        <v>0.82915224913494801</v>
      </c>
      <c r="AT26" t="s">
        <v>80</v>
      </c>
      <c r="AU26">
        <v>0.84333333333333305</v>
      </c>
      <c r="AV26" t="s">
        <v>89</v>
      </c>
      <c r="AW26">
        <v>1.0897097625329799</v>
      </c>
      <c r="AX26" t="s">
        <v>92</v>
      </c>
      <c r="AY26">
        <v>1.0751565762004101</v>
      </c>
      <c r="AZ26" t="s">
        <v>96</v>
      </c>
      <c r="BA26">
        <v>1.4355062413314801</v>
      </c>
      <c r="BB26" t="s">
        <v>85</v>
      </c>
      <c r="BC26">
        <v>0.92737430167597701</v>
      </c>
      <c r="BD26" t="s">
        <v>83</v>
      </c>
      <c r="BE26">
        <v>0.892540102787727</v>
      </c>
      <c r="BF26" t="s">
        <v>80</v>
      </c>
      <c r="BG26">
        <v>0.97198879551820705</v>
      </c>
      <c r="BH26" t="s">
        <v>92</v>
      </c>
      <c r="BI26">
        <v>0.86307053941908696</v>
      </c>
      <c r="BJ26" t="s">
        <v>101</v>
      </c>
      <c r="BK26">
        <v>1.0280898876404401</v>
      </c>
      <c r="BL26" t="s">
        <v>101</v>
      </c>
      <c r="BM26">
        <v>1.1129326047358801</v>
      </c>
      <c r="BN26" t="s">
        <v>91</v>
      </c>
      <c r="BO26">
        <v>1.0113391017717299</v>
      </c>
      <c r="BP26" t="s">
        <v>88</v>
      </c>
      <c r="BQ26">
        <v>1.02593192868719</v>
      </c>
      <c r="BR26" t="s">
        <v>95</v>
      </c>
      <c r="BS26">
        <v>0.40769230769230702</v>
      </c>
      <c r="BT26" t="s">
        <v>92</v>
      </c>
      <c r="BU26">
        <v>1.03205791106515</v>
      </c>
      <c r="BV26" t="s">
        <v>85</v>
      </c>
      <c r="BW26">
        <v>1.0921305182341601</v>
      </c>
    </row>
    <row r="27" spans="1:75" x14ac:dyDescent="0.4">
      <c r="A27">
        <v>25</v>
      </c>
      <c r="B27" t="s">
        <v>85</v>
      </c>
      <c r="C27">
        <v>1.3167701863354</v>
      </c>
      <c r="D27" t="s">
        <v>91</v>
      </c>
      <c r="E27">
        <v>0.85697258641239504</v>
      </c>
      <c r="F27" t="s">
        <v>90</v>
      </c>
      <c r="G27">
        <v>0.68515205724507999</v>
      </c>
      <c r="H27" t="s">
        <v>94</v>
      </c>
      <c r="I27">
        <v>0.75675675675675602</v>
      </c>
      <c r="J27" t="s">
        <v>85</v>
      </c>
      <c r="K27">
        <v>1.0724137931034401</v>
      </c>
      <c r="L27" t="s">
        <v>100</v>
      </c>
      <c r="M27">
        <v>1.1547589616810801</v>
      </c>
      <c r="N27" t="s">
        <v>100</v>
      </c>
      <c r="O27">
        <v>1.1414044101905301</v>
      </c>
      <c r="P27" t="s">
        <v>81</v>
      </c>
      <c r="Q27">
        <v>1.0092579175320799</v>
      </c>
      <c r="R27" t="s">
        <v>84</v>
      </c>
      <c r="S27">
        <v>1.2368794326241099</v>
      </c>
      <c r="T27" t="s">
        <v>85</v>
      </c>
      <c r="U27">
        <v>1.2359550561797701</v>
      </c>
      <c r="V27" t="s">
        <v>85</v>
      </c>
      <c r="W27">
        <v>1.52272727272727</v>
      </c>
      <c r="X27" t="s">
        <v>80</v>
      </c>
      <c r="Y27">
        <v>0.952380952380952</v>
      </c>
      <c r="Z27" t="s">
        <v>84</v>
      </c>
      <c r="AA27">
        <v>1.4184397163120499</v>
      </c>
      <c r="AB27" t="s">
        <v>100</v>
      </c>
      <c r="AC27">
        <v>0.93361165684348302</v>
      </c>
      <c r="AD27" t="s">
        <v>91</v>
      </c>
      <c r="AE27">
        <v>0.93833196958508702</v>
      </c>
      <c r="AF27" t="s">
        <v>91</v>
      </c>
      <c r="AG27">
        <v>1.0859476359614599</v>
      </c>
      <c r="AH27" t="s">
        <v>89</v>
      </c>
      <c r="AI27">
        <v>1.0178041543026699</v>
      </c>
      <c r="AJ27" t="s">
        <v>92</v>
      </c>
      <c r="AK27">
        <v>0.94071146245059201</v>
      </c>
      <c r="AL27" t="s">
        <v>92</v>
      </c>
      <c r="AM27">
        <v>1.0504201680672201</v>
      </c>
      <c r="AN27" t="s">
        <v>98</v>
      </c>
      <c r="AO27">
        <v>1.0948678071539599</v>
      </c>
      <c r="AP27" t="s">
        <v>85</v>
      </c>
      <c r="AQ27">
        <v>1</v>
      </c>
      <c r="AR27" t="s">
        <v>73</v>
      </c>
      <c r="AS27">
        <v>1.04384262526464</v>
      </c>
      <c r="AT27" t="s">
        <v>86</v>
      </c>
      <c r="AU27">
        <v>0.78828571428571403</v>
      </c>
      <c r="AV27" t="s">
        <v>92</v>
      </c>
      <c r="AW27">
        <v>0.93921568627450902</v>
      </c>
      <c r="AX27" t="s">
        <v>96</v>
      </c>
      <c r="AY27">
        <v>0.97696476964769596</v>
      </c>
      <c r="AZ27" t="s">
        <v>91</v>
      </c>
      <c r="BA27">
        <v>1.12314983490834</v>
      </c>
      <c r="BB27" t="s">
        <v>89</v>
      </c>
      <c r="BC27">
        <v>1.08070866141732</v>
      </c>
      <c r="BD27" t="s">
        <v>80</v>
      </c>
      <c r="BE27">
        <v>1.26595744680851</v>
      </c>
      <c r="BF27" t="s">
        <v>85</v>
      </c>
      <c r="BG27">
        <v>1.2175792507204599</v>
      </c>
      <c r="BH27" t="s">
        <v>101</v>
      </c>
      <c r="BI27">
        <v>1.8040540540540499</v>
      </c>
      <c r="BJ27" t="s">
        <v>91</v>
      </c>
      <c r="BK27">
        <v>0.88694961722272903</v>
      </c>
      <c r="BL27" t="s">
        <v>91</v>
      </c>
      <c r="BM27">
        <v>1.02486360488488</v>
      </c>
      <c r="BN27" t="s">
        <v>98</v>
      </c>
      <c r="BO27">
        <v>1.0077519379844899</v>
      </c>
      <c r="BP27" t="s">
        <v>107</v>
      </c>
      <c r="BQ27">
        <v>1.1298701298701299</v>
      </c>
      <c r="BR27" t="s">
        <v>92</v>
      </c>
      <c r="BS27">
        <v>0.934299516908212</v>
      </c>
      <c r="BT27" t="s">
        <v>91</v>
      </c>
      <c r="BU27">
        <v>1.0220125786163501</v>
      </c>
      <c r="BV27" t="s">
        <v>93</v>
      </c>
      <c r="BW27">
        <v>1.1651234567901201</v>
      </c>
    </row>
    <row r="28" spans="1:75" x14ac:dyDescent="0.4">
      <c r="A28">
        <v>26</v>
      </c>
      <c r="B28" t="s">
        <v>89</v>
      </c>
      <c r="C28">
        <v>0.94712643678160902</v>
      </c>
      <c r="D28" t="s">
        <v>84</v>
      </c>
      <c r="E28">
        <v>0.81769911504424697</v>
      </c>
      <c r="F28" t="s">
        <v>85</v>
      </c>
      <c r="G28">
        <v>0.71570576540755404</v>
      </c>
      <c r="H28" t="s">
        <v>85</v>
      </c>
      <c r="I28">
        <v>0.80555555555555503</v>
      </c>
      <c r="J28" t="s">
        <v>81</v>
      </c>
      <c r="K28">
        <v>1.5583046848358</v>
      </c>
      <c r="L28" t="s">
        <v>84</v>
      </c>
      <c r="M28">
        <v>1.20341614906832</v>
      </c>
      <c r="N28" t="s">
        <v>84</v>
      </c>
      <c r="O28">
        <v>0.98580645161290303</v>
      </c>
      <c r="P28" t="s">
        <v>95</v>
      </c>
      <c r="Q28">
        <v>0.95239221170018296</v>
      </c>
      <c r="R28" t="s">
        <v>98</v>
      </c>
      <c r="S28">
        <v>0.95657894736842097</v>
      </c>
      <c r="T28" t="s">
        <v>89</v>
      </c>
      <c r="U28">
        <v>0.91496598639455695</v>
      </c>
      <c r="V28" t="s">
        <v>81</v>
      </c>
      <c r="W28">
        <v>0.98601151550684696</v>
      </c>
      <c r="X28" t="s">
        <v>90</v>
      </c>
      <c r="Y28">
        <v>0.71692607003890996</v>
      </c>
      <c r="Z28" t="s">
        <v>98</v>
      </c>
      <c r="AA28">
        <v>0.92134831460674105</v>
      </c>
      <c r="AB28" t="s">
        <v>84</v>
      </c>
      <c r="AC28">
        <v>1.48</v>
      </c>
      <c r="AD28" t="s">
        <v>100</v>
      </c>
      <c r="AE28">
        <v>0.72358614642700503</v>
      </c>
      <c r="AF28" t="s">
        <v>100</v>
      </c>
      <c r="AG28">
        <v>1.07864283550439</v>
      </c>
      <c r="AH28" t="s">
        <v>92</v>
      </c>
      <c r="AI28">
        <v>0.80573248407643305</v>
      </c>
      <c r="AJ28" t="s">
        <v>91</v>
      </c>
      <c r="AK28">
        <v>0.92765395631936898</v>
      </c>
      <c r="AL28" t="s">
        <v>100</v>
      </c>
      <c r="AM28">
        <v>1.3945317436912801</v>
      </c>
      <c r="AN28" t="s">
        <v>88</v>
      </c>
      <c r="AO28">
        <v>0.96614268440145101</v>
      </c>
      <c r="AP28" t="s">
        <v>89</v>
      </c>
      <c r="AQ28">
        <v>1.10126582278481</v>
      </c>
      <c r="AR28" t="s">
        <v>83</v>
      </c>
      <c r="AS28">
        <v>0.85240305843801201</v>
      </c>
      <c r="AT28" t="s">
        <v>85</v>
      </c>
      <c r="AU28">
        <v>0.91245791245791197</v>
      </c>
      <c r="AV28" t="s">
        <v>96</v>
      </c>
      <c r="AW28">
        <v>0.94252873563218298</v>
      </c>
      <c r="AX28" t="s">
        <v>91</v>
      </c>
      <c r="AY28">
        <v>1.11127981274119</v>
      </c>
      <c r="AZ28" t="s">
        <v>100</v>
      </c>
      <c r="BA28">
        <v>1.04189044038668</v>
      </c>
      <c r="BB28" t="s">
        <v>92</v>
      </c>
      <c r="BC28">
        <v>0.86381322957198403</v>
      </c>
      <c r="BD28" t="s">
        <v>85</v>
      </c>
      <c r="BE28">
        <v>1.0451807228915599</v>
      </c>
      <c r="BF28" t="s">
        <v>89</v>
      </c>
      <c r="BG28">
        <v>1.2068965517241299</v>
      </c>
      <c r="BH28" t="s">
        <v>91</v>
      </c>
      <c r="BI28">
        <v>0.79401653482424295</v>
      </c>
      <c r="BJ28" t="s">
        <v>98</v>
      </c>
      <c r="BK28">
        <v>0.96275605214152704</v>
      </c>
      <c r="BL28" t="s">
        <v>98</v>
      </c>
      <c r="BM28">
        <v>0.99806576402321001</v>
      </c>
      <c r="BN28" t="s">
        <v>88</v>
      </c>
      <c r="BO28">
        <v>1.03523489932885</v>
      </c>
      <c r="BP28" t="s">
        <v>108</v>
      </c>
      <c r="BQ28">
        <v>1.08</v>
      </c>
      <c r="BR28" t="s">
        <v>101</v>
      </c>
      <c r="BS28">
        <v>0.98019801980197996</v>
      </c>
      <c r="BT28" t="s">
        <v>88</v>
      </c>
      <c r="BU28">
        <v>1.08970588235294</v>
      </c>
      <c r="BV28" t="s">
        <v>92</v>
      </c>
      <c r="BW28">
        <v>1.1973947895791499</v>
      </c>
    </row>
    <row r="29" spans="1:75" x14ac:dyDescent="0.4">
      <c r="A29">
        <v>27</v>
      </c>
      <c r="B29" t="s">
        <v>91</v>
      </c>
      <c r="C29">
        <v>1.03947330509695</v>
      </c>
      <c r="D29" t="s">
        <v>98</v>
      </c>
      <c r="E29">
        <v>0.824824824824824</v>
      </c>
      <c r="F29" t="s">
        <v>89</v>
      </c>
      <c r="G29">
        <v>0.64090909090908998</v>
      </c>
      <c r="H29" t="s">
        <v>81</v>
      </c>
      <c r="I29">
        <v>0.92483612775641999</v>
      </c>
      <c r="J29" t="s">
        <v>93</v>
      </c>
      <c r="K29">
        <v>1.36619718309859</v>
      </c>
      <c r="L29" t="s">
        <v>98</v>
      </c>
      <c r="M29">
        <v>1.0484927916120499</v>
      </c>
      <c r="N29" t="s">
        <v>98</v>
      </c>
      <c r="O29">
        <v>0.84750000000000003</v>
      </c>
      <c r="P29" t="s">
        <v>92</v>
      </c>
      <c r="Q29">
        <v>1.1198830409356699</v>
      </c>
      <c r="R29" t="s">
        <v>88</v>
      </c>
      <c r="S29">
        <v>1.0334928229664999</v>
      </c>
      <c r="T29" t="s">
        <v>95</v>
      </c>
      <c r="U29">
        <v>0.94326224783861601</v>
      </c>
      <c r="V29" t="s">
        <v>95</v>
      </c>
      <c r="W29">
        <v>1.1428575793127</v>
      </c>
      <c r="X29" t="s">
        <v>86</v>
      </c>
      <c r="Y29">
        <v>1.00162127107652</v>
      </c>
      <c r="Z29" t="s">
        <v>88</v>
      </c>
      <c r="AA29">
        <v>1.0043290043290001</v>
      </c>
      <c r="AB29" t="s">
        <v>98</v>
      </c>
      <c r="AC29">
        <v>0.94207317073170704</v>
      </c>
      <c r="AD29" t="s">
        <v>98</v>
      </c>
      <c r="AE29">
        <v>0.88187702265372103</v>
      </c>
      <c r="AF29" t="s">
        <v>84</v>
      </c>
      <c r="AG29">
        <v>1.14229249011857</v>
      </c>
      <c r="AH29" t="s">
        <v>91</v>
      </c>
      <c r="AI29">
        <v>0.87523992322456801</v>
      </c>
      <c r="AJ29" t="s">
        <v>100</v>
      </c>
      <c r="AK29">
        <v>1.83509856977193</v>
      </c>
      <c r="AL29" t="s">
        <v>98</v>
      </c>
      <c r="AM29">
        <v>1.13403880070546</v>
      </c>
      <c r="AN29" t="s">
        <v>105</v>
      </c>
      <c r="AO29">
        <v>1.07021694491563</v>
      </c>
      <c r="AP29" t="s">
        <v>92</v>
      </c>
      <c r="AQ29">
        <v>0.92753623188405798</v>
      </c>
      <c r="AR29" t="s">
        <v>80</v>
      </c>
      <c r="AS29">
        <v>0.91743119266054995</v>
      </c>
      <c r="AT29" t="s">
        <v>89</v>
      </c>
      <c r="AU29">
        <v>0.99736842105263102</v>
      </c>
      <c r="AV29" t="s">
        <v>91</v>
      </c>
      <c r="AW29">
        <v>1.3299957930163999</v>
      </c>
      <c r="AX29" t="s">
        <v>98</v>
      </c>
      <c r="AY29">
        <v>1.0762499999999999</v>
      </c>
      <c r="AZ29" t="s">
        <v>98</v>
      </c>
      <c r="BA29">
        <v>1.4959349593495901</v>
      </c>
      <c r="BB29" t="s">
        <v>91</v>
      </c>
      <c r="BC29">
        <v>1.01203796393679</v>
      </c>
      <c r="BD29" t="s">
        <v>89</v>
      </c>
      <c r="BE29">
        <v>1.10928961748633</v>
      </c>
      <c r="BF29" t="s">
        <v>92</v>
      </c>
      <c r="BG29">
        <v>1.11574074074074</v>
      </c>
      <c r="BH29" t="s">
        <v>98</v>
      </c>
      <c r="BI29">
        <v>0.91638225255972605</v>
      </c>
      <c r="BJ29" t="s">
        <v>88</v>
      </c>
      <c r="BK29">
        <v>0.92846270928462704</v>
      </c>
      <c r="BL29" t="s">
        <v>88</v>
      </c>
      <c r="BM29">
        <v>0.97704918032786803</v>
      </c>
      <c r="BN29" t="s">
        <v>107</v>
      </c>
      <c r="BO29">
        <v>0.89534883720930203</v>
      </c>
      <c r="BP29" t="s">
        <v>97</v>
      </c>
      <c r="BQ29">
        <v>1.02425373134328</v>
      </c>
      <c r="BR29" t="s">
        <v>91</v>
      </c>
      <c r="BS29">
        <v>0.98186028560401395</v>
      </c>
      <c r="BT29" t="s">
        <v>105</v>
      </c>
      <c r="BU29">
        <v>1.0185950413223099</v>
      </c>
      <c r="BV29" t="s">
        <v>91</v>
      </c>
      <c r="BW29">
        <v>0.98327759197324405</v>
      </c>
    </row>
    <row r="30" spans="1:75" x14ac:dyDescent="0.4">
      <c r="A30">
        <v>28</v>
      </c>
      <c r="B30" t="s">
        <v>84</v>
      </c>
      <c r="C30">
        <v>1.0511627906976699</v>
      </c>
      <c r="D30" t="s">
        <v>105</v>
      </c>
      <c r="E30">
        <v>1.05862068965517</v>
      </c>
      <c r="F30" t="s">
        <v>95</v>
      </c>
      <c r="G30">
        <v>0.30661073454641702</v>
      </c>
      <c r="H30" t="s">
        <v>93</v>
      </c>
      <c r="I30">
        <v>0.81297709923664097</v>
      </c>
      <c r="J30" t="s">
        <v>95</v>
      </c>
      <c r="K30">
        <v>1.3546502117013</v>
      </c>
      <c r="L30" t="s">
        <v>103</v>
      </c>
      <c r="M30">
        <v>1.0216450216450199</v>
      </c>
      <c r="N30" t="s">
        <v>103</v>
      </c>
      <c r="O30">
        <v>0.88135593220338904</v>
      </c>
      <c r="P30" t="s">
        <v>84</v>
      </c>
      <c r="Q30">
        <v>0.92277486910994699</v>
      </c>
      <c r="R30" t="s">
        <v>103</v>
      </c>
      <c r="S30">
        <v>0.81619047619047602</v>
      </c>
      <c r="T30" t="s">
        <v>91</v>
      </c>
      <c r="U30">
        <v>1.04142505211294</v>
      </c>
      <c r="V30" t="s">
        <v>92</v>
      </c>
      <c r="W30">
        <v>1.0739644970414199</v>
      </c>
      <c r="X30" t="s">
        <v>87</v>
      </c>
      <c r="Y30">
        <v>0.81957186544342497</v>
      </c>
      <c r="Z30" t="s">
        <v>103</v>
      </c>
      <c r="AA30">
        <v>0.84187082405345204</v>
      </c>
      <c r="AB30" t="s">
        <v>88</v>
      </c>
      <c r="AC30">
        <v>0.99137931034482696</v>
      </c>
      <c r="AD30" t="s">
        <v>88</v>
      </c>
      <c r="AE30">
        <v>0.89565217391304297</v>
      </c>
      <c r="AF30" t="s">
        <v>98</v>
      </c>
      <c r="AG30">
        <v>1.1522935779816501</v>
      </c>
      <c r="AH30" t="s">
        <v>100</v>
      </c>
      <c r="AI30">
        <v>0.72656293883053402</v>
      </c>
      <c r="AJ30" t="s">
        <v>98</v>
      </c>
      <c r="AK30">
        <v>0.99125874125874103</v>
      </c>
      <c r="AL30" t="s">
        <v>88</v>
      </c>
      <c r="AM30">
        <v>0.87605932203389802</v>
      </c>
      <c r="AN30" t="s">
        <v>108</v>
      </c>
      <c r="AO30">
        <v>1.001443001443</v>
      </c>
      <c r="AP30" t="s">
        <v>96</v>
      </c>
      <c r="AQ30">
        <v>0.92407407407407405</v>
      </c>
      <c r="AR30" t="s">
        <v>85</v>
      </c>
      <c r="AS30">
        <v>0.88789237668161403</v>
      </c>
      <c r="AT30" t="s">
        <v>92</v>
      </c>
      <c r="AU30">
        <v>0.95327102803738295</v>
      </c>
      <c r="AV30" t="s">
        <v>98</v>
      </c>
      <c r="AW30">
        <v>1.03359173126614</v>
      </c>
      <c r="AX30" t="s">
        <v>88</v>
      </c>
      <c r="AY30">
        <v>1.13805522208883</v>
      </c>
      <c r="AZ30" t="s">
        <v>88</v>
      </c>
      <c r="BA30">
        <v>1.0369198312236201</v>
      </c>
      <c r="BB30" t="s">
        <v>100</v>
      </c>
      <c r="BC30">
        <v>1.4350515463917499</v>
      </c>
      <c r="BD30" t="s">
        <v>92</v>
      </c>
      <c r="BE30">
        <v>0.97297297297297303</v>
      </c>
      <c r="BF30" t="s">
        <v>101</v>
      </c>
      <c r="BG30">
        <v>1.0647482014388401</v>
      </c>
      <c r="BH30" t="s">
        <v>88</v>
      </c>
      <c r="BI30">
        <v>0.79539951573849799</v>
      </c>
      <c r="BJ30" t="s">
        <v>103</v>
      </c>
      <c r="BK30">
        <v>1.0132850241545801</v>
      </c>
      <c r="BL30" t="s">
        <v>103</v>
      </c>
      <c r="BM30">
        <v>0.85220500595947501</v>
      </c>
      <c r="BN30" t="s">
        <v>108</v>
      </c>
      <c r="BO30">
        <v>1.03993344425956</v>
      </c>
      <c r="BP30" t="s">
        <v>112</v>
      </c>
      <c r="BQ30">
        <v>0.876651982378854</v>
      </c>
      <c r="BR30" t="s">
        <v>88</v>
      </c>
      <c r="BS30">
        <v>1.0742496050552901</v>
      </c>
      <c r="BT30" t="s">
        <v>108</v>
      </c>
      <c r="BU30">
        <v>1.00329489291598</v>
      </c>
      <c r="BV30" t="s">
        <v>105</v>
      </c>
      <c r="BW30">
        <v>1.0709939148073</v>
      </c>
    </row>
    <row r="31" spans="1:75" x14ac:dyDescent="0.4">
      <c r="A31">
        <v>29</v>
      </c>
      <c r="B31" t="s">
        <v>103</v>
      </c>
      <c r="C31">
        <v>1.08762886597938</v>
      </c>
      <c r="D31" t="s">
        <v>107</v>
      </c>
      <c r="E31">
        <v>0.42406417112299399</v>
      </c>
      <c r="F31" t="s">
        <v>91</v>
      </c>
      <c r="G31">
        <v>0.73854190251317997</v>
      </c>
      <c r="H31" t="s">
        <v>92</v>
      </c>
      <c r="I31">
        <v>1.4183127371801101</v>
      </c>
      <c r="J31" t="s">
        <v>92</v>
      </c>
      <c r="K31">
        <v>1.81805708013172</v>
      </c>
      <c r="L31" t="s">
        <v>105</v>
      </c>
      <c r="M31">
        <v>0.82166403565790602</v>
      </c>
      <c r="N31" t="s">
        <v>105</v>
      </c>
      <c r="O31">
        <v>1.02232016725998</v>
      </c>
      <c r="P31" t="s">
        <v>98</v>
      </c>
      <c r="Q31">
        <v>1.1209439528023599</v>
      </c>
      <c r="R31" t="s">
        <v>105</v>
      </c>
      <c r="S31">
        <v>1.0742873934763399</v>
      </c>
      <c r="T31" t="s">
        <v>100</v>
      </c>
      <c r="U31">
        <v>1.3517150395778299</v>
      </c>
      <c r="V31" t="s">
        <v>91</v>
      </c>
      <c r="W31">
        <v>1.01730475289322</v>
      </c>
      <c r="X31" t="s">
        <v>89</v>
      </c>
      <c r="Y31">
        <v>1.0170648464163801</v>
      </c>
      <c r="Z31" t="s">
        <v>105</v>
      </c>
      <c r="AA31">
        <v>1.05615514333895</v>
      </c>
      <c r="AB31" t="s">
        <v>103</v>
      </c>
      <c r="AC31">
        <v>0.97883597883597795</v>
      </c>
      <c r="AD31" t="s">
        <v>105</v>
      </c>
      <c r="AE31">
        <v>0.66665359733385599</v>
      </c>
      <c r="AF31" t="s">
        <v>88</v>
      </c>
      <c r="AG31">
        <v>1.0436893203883399</v>
      </c>
      <c r="AH31" t="s">
        <v>84</v>
      </c>
      <c r="AI31">
        <v>1.26989619377162</v>
      </c>
      <c r="AJ31" t="s">
        <v>88</v>
      </c>
      <c r="AK31">
        <v>1.11848341232227</v>
      </c>
      <c r="AL31" t="s">
        <v>105</v>
      </c>
      <c r="AM31">
        <v>1.2342019723431199</v>
      </c>
      <c r="AN31" t="s">
        <v>113</v>
      </c>
      <c r="AO31">
        <v>1.02102102102102</v>
      </c>
      <c r="AP31" t="s">
        <v>98</v>
      </c>
      <c r="AQ31">
        <v>1.1235795454545401</v>
      </c>
      <c r="AR31" t="s">
        <v>89</v>
      </c>
      <c r="AS31">
        <v>0.87356321839080397</v>
      </c>
      <c r="AT31" t="s">
        <v>96</v>
      </c>
      <c r="AU31">
        <v>0.98988621997471504</v>
      </c>
      <c r="AV31" t="s">
        <v>88</v>
      </c>
      <c r="AW31">
        <v>1.11512717536813</v>
      </c>
      <c r="AX31" t="s">
        <v>110</v>
      </c>
      <c r="AY31">
        <v>1.40263157894736</v>
      </c>
      <c r="AZ31" t="s">
        <v>105</v>
      </c>
      <c r="BA31">
        <v>1.10093150684931</v>
      </c>
      <c r="BB31" t="s">
        <v>105</v>
      </c>
      <c r="BC31">
        <v>0.79690092242351795</v>
      </c>
      <c r="BD31" t="s">
        <v>101</v>
      </c>
      <c r="BE31">
        <v>1.48345784418356</v>
      </c>
      <c r="BF31" t="s">
        <v>91</v>
      </c>
      <c r="BG31">
        <v>1.0495268296336899</v>
      </c>
      <c r="BH31" t="s">
        <v>103</v>
      </c>
      <c r="BI31">
        <v>0.99161676646706498</v>
      </c>
      <c r="BJ31" t="s">
        <v>108</v>
      </c>
      <c r="BK31">
        <v>0.95294117647058796</v>
      </c>
      <c r="BL31" t="s">
        <v>107</v>
      </c>
      <c r="BM31">
        <v>1.1862068965517201</v>
      </c>
      <c r="BN31" t="s">
        <v>97</v>
      </c>
      <c r="BO31">
        <v>1.0983606557376999</v>
      </c>
      <c r="BP31" t="s">
        <v>121</v>
      </c>
      <c r="BQ31">
        <v>1.0136411332633699</v>
      </c>
      <c r="BR31" t="s">
        <v>107</v>
      </c>
      <c r="BS31">
        <v>0.99425287356321801</v>
      </c>
      <c r="BT31" t="s">
        <v>97</v>
      </c>
      <c r="BU31">
        <v>1.0090909090908999</v>
      </c>
      <c r="BV31" t="s">
        <v>107</v>
      </c>
      <c r="BW31">
        <v>1.2279635258358601</v>
      </c>
    </row>
    <row r="32" spans="1:75" x14ac:dyDescent="0.4">
      <c r="A32">
        <v>30</v>
      </c>
      <c r="B32" t="s">
        <v>105</v>
      </c>
      <c r="C32">
        <v>0.95341090972011899</v>
      </c>
      <c r="D32" t="s">
        <v>108</v>
      </c>
      <c r="E32">
        <v>0.50769197102654395</v>
      </c>
      <c r="F32" t="s">
        <v>84</v>
      </c>
      <c r="G32">
        <v>0.57900432900432897</v>
      </c>
      <c r="H32" t="s">
        <v>91</v>
      </c>
      <c r="I32">
        <v>1.01020430507806</v>
      </c>
      <c r="J32" t="s">
        <v>91</v>
      </c>
      <c r="K32">
        <v>1.02020245811024</v>
      </c>
      <c r="L32" t="s">
        <v>108</v>
      </c>
      <c r="M32">
        <v>1.1656626506023999</v>
      </c>
      <c r="N32" t="s">
        <v>108</v>
      </c>
      <c r="O32">
        <v>0.91989664082687295</v>
      </c>
      <c r="P32" t="s">
        <v>88</v>
      </c>
      <c r="Q32">
        <v>1.0145631067961101</v>
      </c>
      <c r="R32" t="s">
        <v>108</v>
      </c>
      <c r="S32">
        <v>0.78245614035087696</v>
      </c>
      <c r="T32" t="s">
        <v>84</v>
      </c>
      <c r="U32">
        <v>0.82568807339449501</v>
      </c>
      <c r="V32" t="s">
        <v>84</v>
      </c>
      <c r="W32">
        <v>1.0972222222222201</v>
      </c>
      <c r="X32" t="s">
        <v>95</v>
      </c>
      <c r="Y32">
        <v>1.0392412135664</v>
      </c>
      <c r="Z32" t="s">
        <v>108</v>
      </c>
      <c r="AA32">
        <v>0.96310935441370205</v>
      </c>
      <c r="AB32" t="s">
        <v>105</v>
      </c>
      <c r="AC32">
        <v>1.35744318484219</v>
      </c>
      <c r="AD32" t="s">
        <v>108</v>
      </c>
      <c r="AE32">
        <v>0.90589887640449396</v>
      </c>
      <c r="AF32" t="s">
        <v>105</v>
      </c>
      <c r="AG32">
        <v>1.1225077927424501</v>
      </c>
      <c r="AH32" t="s">
        <v>98</v>
      </c>
      <c r="AI32">
        <v>0.91082802547770703</v>
      </c>
      <c r="AJ32" t="s">
        <v>105</v>
      </c>
      <c r="AK32">
        <v>1.04148496672022</v>
      </c>
      <c r="AL32" t="s">
        <v>108</v>
      </c>
      <c r="AM32">
        <v>0.97605633802816905</v>
      </c>
      <c r="AN32" t="s">
        <v>112</v>
      </c>
      <c r="AO32">
        <v>1.23770954096819</v>
      </c>
      <c r="AP32" t="s">
        <v>88</v>
      </c>
      <c r="AQ32">
        <v>0.87609511889862302</v>
      </c>
      <c r="AR32" t="s">
        <v>92</v>
      </c>
      <c r="AS32">
        <v>0.8359375</v>
      </c>
      <c r="AT32" t="s">
        <v>91</v>
      </c>
      <c r="AU32">
        <v>0.96338176586215896</v>
      </c>
      <c r="AV32" t="s">
        <v>105</v>
      </c>
      <c r="AW32">
        <v>0.96780574025755395</v>
      </c>
      <c r="AX32" t="s">
        <v>105</v>
      </c>
      <c r="AY32">
        <v>1.1903726573031199</v>
      </c>
      <c r="AZ32" t="s">
        <v>108</v>
      </c>
      <c r="BA32">
        <v>1.0951871657754</v>
      </c>
      <c r="BB32" t="s">
        <v>108</v>
      </c>
      <c r="BC32">
        <v>0.970703125</v>
      </c>
      <c r="BD32" t="s">
        <v>91</v>
      </c>
      <c r="BE32">
        <v>1.0028923084628101</v>
      </c>
      <c r="BF32" t="s">
        <v>103</v>
      </c>
      <c r="BG32">
        <v>1.07881136950904</v>
      </c>
      <c r="BH32" t="s">
        <v>105</v>
      </c>
      <c r="BI32">
        <v>0.90812720848056505</v>
      </c>
      <c r="BJ32" t="s">
        <v>97</v>
      </c>
      <c r="BK32">
        <v>0.93269230769230704</v>
      </c>
      <c r="BL32" t="s">
        <v>108</v>
      </c>
      <c r="BM32">
        <v>1.0599647266313901</v>
      </c>
      <c r="BN32" t="s">
        <v>112</v>
      </c>
      <c r="BO32">
        <v>1.05092592592592</v>
      </c>
      <c r="BP32" t="s">
        <v>118</v>
      </c>
      <c r="BQ32">
        <v>0.98029045643153501</v>
      </c>
      <c r="BR32" t="s">
        <v>108</v>
      </c>
      <c r="BS32">
        <v>0.89925925925925898</v>
      </c>
      <c r="BT32" t="s">
        <v>112</v>
      </c>
      <c r="BU32">
        <v>0.91775700934579396</v>
      </c>
      <c r="BV32" t="s">
        <v>108</v>
      </c>
      <c r="BW32">
        <v>1.12972085385878</v>
      </c>
    </row>
    <row r="33" spans="1:75" x14ac:dyDescent="0.4">
      <c r="A33">
        <v>31</v>
      </c>
      <c r="B33" t="s">
        <v>107</v>
      </c>
      <c r="C33">
        <v>1.1032448377581101</v>
      </c>
      <c r="D33" t="s">
        <v>97</v>
      </c>
      <c r="E33">
        <v>0.96933560477001701</v>
      </c>
      <c r="F33" t="s">
        <v>98</v>
      </c>
      <c r="G33">
        <v>0.55339805825242705</v>
      </c>
      <c r="H33" t="s">
        <v>100</v>
      </c>
      <c r="I33">
        <v>1.41401971522453</v>
      </c>
      <c r="J33" t="s">
        <v>100</v>
      </c>
      <c r="K33">
        <v>0.96407078591431805</v>
      </c>
      <c r="L33" t="s">
        <v>97</v>
      </c>
      <c r="M33">
        <v>1.0534883720930199</v>
      </c>
      <c r="N33" t="s">
        <v>97</v>
      </c>
      <c r="O33">
        <v>0.95364238410596003</v>
      </c>
      <c r="P33" t="s">
        <v>103</v>
      </c>
      <c r="Q33">
        <v>1.0096153846153799</v>
      </c>
      <c r="R33" t="s">
        <v>97</v>
      </c>
      <c r="S33">
        <v>1.0550239234449701</v>
      </c>
      <c r="T33" t="s">
        <v>98</v>
      </c>
      <c r="U33">
        <v>0.98486932599724897</v>
      </c>
      <c r="V33" t="s">
        <v>98</v>
      </c>
      <c r="W33">
        <v>1.0307262569832401</v>
      </c>
      <c r="X33" t="s">
        <v>92</v>
      </c>
      <c r="Y33">
        <v>1.1074380165289199</v>
      </c>
      <c r="Z33" t="s">
        <v>97</v>
      </c>
      <c r="AA33">
        <v>1.0116666666666601</v>
      </c>
      <c r="AB33" t="s">
        <v>108</v>
      </c>
      <c r="AC33">
        <v>0.97400820793433596</v>
      </c>
      <c r="AD33" t="s">
        <v>97</v>
      </c>
      <c r="AE33">
        <v>0.91397849462365499</v>
      </c>
      <c r="AF33" t="s">
        <v>108</v>
      </c>
      <c r="AG33">
        <v>1.2124031007751901</v>
      </c>
      <c r="AH33" t="s">
        <v>88</v>
      </c>
      <c r="AI33">
        <v>0.785116279069767</v>
      </c>
      <c r="AJ33" t="s">
        <v>108</v>
      </c>
      <c r="AK33">
        <v>1.03498542274052</v>
      </c>
      <c r="AL33" t="s">
        <v>113</v>
      </c>
      <c r="AM33">
        <v>0.76376146788990795</v>
      </c>
      <c r="AN33" t="s">
        <v>102</v>
      </c>
      <c r="AO33">
        <v>0.98333333333333295</v>
      </c>
      <c r="AP33" t="s">
        <v>105</v>
      </c>
      <c r="AQ33">
        <v>1.1240875912408701</v>
      </c>
      <c r="AR33" t="s">
        <v>96</v>
      </c>
      <c r="AS33">
        <v>0.79258517034068099</v>
      </c>
      <c r="AT33" t="s">
        <v>98</v>
      </c>
      <c r="AU33">
        <v>1.0487804878048701</v>
      </c>
      <c r="AV33" t="s">
        <v>108</v>
      </c>
      <c r="AW33">
        <v>1.05852417302798</v>
      </c>
      <c r="AX33" t="s">
        <v>108</v>
      </c>
      <c r="AY33">
        <v>1.12379807692307</v>
      </c>
      <c r="AZ33" t="s">
        <v>97</v>
      </c>
      <c r="BA33">
        <v>1.1422413793103401</v>
      </c>
      <c r="BB33" t="s">
        <v>97</v>
      </c>
      <c r="BC33">
        <v>1.0188679245283001</v>
      </c>
      <c r="BD33" t="s">
        <v>100</v>
      </c>
      <c r="BE33">
        <v>0.87643678160919503</v>
      </c>
      <c r="BF33" t="s">
        <v>105</v>
      </c>
      <c r="BG33">
        <v>1.0760456273764201</v>
      </c>
      <c r="BH33" t="s">
        <v>108</v>
      </c>
      <c r="BI33">
        <v>1.0759493670886</v>
      </c>
      <c r="BJ33" t="s">
        <v>112</v>
      </c>
      <c r="BK33">
        <v>0.85887096774193505</v>
      </c>
      <c r="BL33" t="s">
        <v>97</v>
      </c>
      <c r="BM33">
        <v>1.0061855670102999</v>
      </c>
      <c r="BN33" t="s">
        <v>115</v>
      </c>
      <c r="BO33">
        <v>1.0594059405940499</v>
      </c>
      <c r="BP33" t="s">
        <v>102</v>
      </c>
      <c r="BQ33">
        <v>0.95063291139240502</v>
      </c>
      <c r="BR33" t="s">
        <v>97</v>
      </c>
      <c r="BS33">
        <v>1.00182149362477</v>
      </c>
      <c r="BT33" t="s">
        <v>118</v>
      </c>
      <c r="BU33">
        <v>0.96577946768060796</v>
      </c>
      <c r="BV33" t="s">
        <v>97</v>
      </c>
      <c r="BW33">
        <v>0.98738738738738696</v>
      </c>
    </row>
    <row r="34" spans="1:75" x14ac:dyDescent="0.4">
      <c r="A34">
        <v>32</v>
      </c>
      <c r="B34" t="s">
        <v>108</v>
      </c>
      <c r="C34">
        <v>1.1787602858100901</v>
      </c>
      <c r="D34" t="s">
        <v>113</v>
      </c>
      <c r="E34">
        <v>1</v>
      </c>
      <c r="F34" t="s">
        <v>103</v>
      </c>
      <c r="G34">
        <v>0.62577777777777699</v>
      </c>
      <c r="H34" t="s">
        <v>84</v>
      </c>
      <c r="I34">
        <v>0.84859813084112101</v>
      </c>
      <c r="J34" t="s">
        <v>84</v>
      </c>
      <c r="K34">
        <v>1.41850220264317</v>
      </c>
      <c r="L34" t="s">
        <v>113</v>
      </c>
      <c r="M34">
        <v>0.98459005244035502</v>
      </c>
      <c r="N34" t="s">
        <v>113</v>
      </c>
      <c r="O34">
        <v>0.80240674761870101</v>
      </c>
      <c r="P34" t="s">
        <v>110</v>
      </c>
      <c r="Q34">
        <v>1.375</v>
      </c>
      <c r="R34" t="s">
        <v>113</v>
      </c>
      <c r="S34">
        <v>0.86356073211314399</v>
      </c>
      <c r="T34" t="s">
        <v>88</v>
      </c>
      <c r="U34">
        <v>0.91388888888888797</v>
      </c>
      <c r="V34" t="s">
        <v>88</v>
      </c>
      <c r="W34">
        <v>1.1094224924012099</v>
      </c>
      <c r="X34" t="s">
        <v>91</v>
      </c>
      <c r="Y34">
        <v>1.0272237823528301</v>
      </c>
      <c r="Z34" t="s">
        <v>113</v>
      </c>
      <c r="AA34">
        <v>0.98901098901098905</v>
      </c>
      <c r="AB34" t="s">
        <v>97</v>
      </c>
      <c r="AC34">
        <v>0.91927512355848395</v>
      </c>
      <c r="AD34" t="s">
        <v>113</v>
      </c>
      <c r="AE34">
        <v>0.62146050670640796</v>
      </c>
      <c r="AF34" t="s">
        <v>97</v>
      </c>
      <c r="AG34">
        <v>1.0647058823529401</v>
      </c>
      <c r="AH34" t="s">
        <v>105</v>
      </c>
      <c r="AI34">
        <v>0.91313004296342803</v>
      </c>
      <c r="AJ34" t="s">
        <v>97</v>
      </c>
      <c r="AK34">
        <v>1</v>
      </c>
      <c r="AL34" t="s">
        <v>112</v>
      </c>
      <c r="AM34">
        <v>1.3146458509257899</v>
      </c>
      <c r="AN34" t="s">
        <v>124</v>
      </c>
      <c r="AO34">
        <v>1.15384615384615</v>
      </c>
      <c r="AP34" t="s">
        <v>108</v>
      </c>
      <c r="AQ34">
        <v>1.4135446685878901</v>
      </c>
      <c r="AR34" t="s">
        <v>91</v>
      </c>
      <c r="AS34">
        <v>0.96648909083787005</v>
      </c>
      <c r="AT34" t="s">
        <v>88</v>
      </c>
      <c r="AU34">
        <v>1.1318181818181801</v>
      </c>
      <c r="AV34" t="s">
        <v>97</v>
      </c>
      <c r="AW34">
        <v>1.08227848101265</v>
      </c>
      <c r="AX34" t="s">
        <v>97</v>
      </c>
      <c r="AY34">
        <v>1.3567251461988299</v>
      </c>
      <c r="AZ34" t="s">
        <v>113</v>
      </c>
      <c r="BA34">
        <v>1.23266219239373</v>
      </c>
      <c r="BB34" t="s">
        <v>113</v>
      </c>
      <c r="BC34">
        <v>0.80580762250453697</v>
      </c>
      <c r="BD34" t="s">
        <v>105</v>
      </c>
      <c r="BE34">
        <v>1.0950576674855299</v>
      </c>
      <c r="BF34" t="s">
        <v>108</v>
      </c>
      <c r="BG34">
        <v>1.1194331983805601</v>
      </c>
      <c r="BH34" t="s">
        <v>97</v>
      </c>
      <c r="BI34">
        <v>0.82018927444794898</v>
      </c>
      <c r="BJ34" t="s">
        <v>115</v>
      </c>
      <c r="BK34">
        <v>0.971857410881801</v>
      </c>
      <c r="BL34" t="s">
        <v>112</v>
      </c>
      <c r="BM34">
        <v>1.0140845070422499</v>
      </c>
      <c r="BN34" t="s">
        <v>121</v>
      </c>
      <c r="BO34">
        <v>1.0817253121452799</v>
      </c>
      <c r="BP34" t="s">
        <v>124</v>
      </c>
      <c r="BQ34">
        <v>0.90614886731391497</v>
      </c>
      <c r="BR34" t="s">
        <v>113</v>
      </c>
      <c r="BS34">
        <v>0.92779783393501802</v>
      </c>
      <c r="BT34" t="s">
        <v>102</v>
      </c>
      <c r="BU34">
        <v>0.98205741626794196</v>
      </c>
      <c r="BV34" t="s">
        <v>112</v>
      </c>
      <c r="BW34">
        <v>1.0845213849287101</v>
      </c>
    </row>
    <row r="35" spans="1:75" x14ac:dyDescent="0.4">
      <c r="A35">
        <v>33</v>
      </c>
      <c r="B35" t="s">
        <v>113</v>
      </c>
      <c r="C35">
        <v>1.34708005443464</v>
      </c>
      <c r="D35" t="s">
        <v>112</v>
      </c>
      <c r="E35">
        <v>0.90327101410382504</v>
      </c>
      <c r="F35" t="s">
        <v>105</v>
      </c>
      <c r="G35">
        <v>0.76924395679753099</v>
      </c>
      <c r="H35" t="s">
        <v>98</v>
      </c>
      <c r="I35">
        <v>1.1973684210526301</v>
      </c>
      <c r="J35" t="s">
        <v>98</v>
      </c>
      <c r="K35">
        <v>1.39743589743589</v>
      </c>
      <c r="L35" t="s">
        <v>112</v>
      </c>
      <c r="M35">
        <v>1.2545473208786599</v>
      </c>
      <c r="N35" t="s">
        <v>112</v>
      </c>
      <c r="O35">
        <v>0.85617503150108798</v>
      </c>
      <c r="P35" t="s">
        <v>105</v>
      </c>
      <c r="Q35">
        <v>0.94047092637629803</v>
      </c>
      <c r="R35" t="s">
        <v>112</v>
      </c>
      <c r="S35">
        <v>0.875259270746505</v>
      </c>
      <c r="T35" t="s">
        <v>103</v>
      </c>
      <c r="U35">
        <v>1.05250875145857</v>
      </c>
      <c r="V35" t="s">
        <v>103</v>
      </c>
      <c r="W35">
        <v>1.0199556541019901</v>
      </c>
      <c r="X35" t="s">
        <v>100</v>
      </c>
      <c r="Y35">
        <v>1.1138037290437099</v>
      </c>
      <c r="Z35" t="s">
        <v>112</v>
      </c>
      <c r="AA35">
        <v>1.04052948773138</v>
      </c>
      <c r="AB35" t="s">
        <v>113</v>
      </c>
      <c r="AC35">
        <v>1.24259259259259</v>
      </c>
      <c r="AD35" t="s">
        <v>112</v>
      </c>
      <c r="AE35">
        <v>0.84773601657294995</v>
      </c>
      <c r="AF35" t="s">
        <v>113</v>
      </c>
      <c r="AG35">
        <v>1.31175059952038</v>
      </c>
      <c r="AH35" t="s">
        <v>108</v>
      </c>
      <c r="AI35">
        <v>0.87723785166240398</v>
      </c>
      <c r="AJ35" t="s">
        <v>113</v>
      </c>
      <c r="AK35">
        <v>0.95196506550218296</v>
      </c>
      <c r="AL35" t="s">
        <v>102</v>
      </c>
      <c r="AM35">
        <v>0.91883951524054297</v>
      </c>
      <c r="AN35" t="s">
        <v>104</v>
      </c>
      <c r="AO35">
        <v>1.02244389027431</v>
      </c>
      <c r="AP35" t="s">
        <v>97</v>
      </c>
      <c r="AQ35">
        <v>0.938271604938271</v>
      </c>
      <c r="AR35" t="s">
        <v>98</v>
      </c>
      <c r="AS35">
        <v>0.93299620733249</v>
      </c>
      <c r="AT35" t="s">
        <v>105</v>
      </c>
      <c r="AU35">
        <v>0.90161259723012699</v>
      </c>
      <c r="AV35" t="s">
        <v>113</v>
      </c>
      <c r="AW35">
        <v>1.02770083102493</v>
      </c>
      <c r="AX35" t="s">
        <v>113</v>
      </c>
      <c r="AY35">
        <v>1.20485175202156</v>
      </c>
      <c r="AZ35" t="s">
        <v>112</v>
      </c>
      <c r="BA35">
        <v>0.89102564102564097</v>
      </c>
      <c r="BB35" t="s">
        <v>112</v>
      </c>
      <c r="BC35">
        <v>1.05395683453237</v>
      </c>
      <c r="BD35" t="s">
        <v>108</v>
      </c>
      <c r="BE35">
        <v>0.99396378269617702</v>
      </c>
      <c r="BF35" t="s">
        <v>97</v>
      </c>
      <c r="BG35">
        <v>1.10452961672473</v>
      </c>
      <c r="BH35" t="s">
        <v>112</v>
      </c>
      <c r="BI35">
        <v>0.83783783783783705</v>
      </c>
      <c r="BJ35" t="s">
        <v>121</v>
      </c>
      <c r="BK35">
        <v>0.99024390243902405</v>
      </c>
      <c r="BL35" t="s">
        <v>115</v>
      </c>
      <c r="BM35">
        <v>0.97490347490347495</v>
      </c>
      <c r="BN35" t="s">
        <v>118</v>
      </c>
      <c r="BO35">
        <v>1.05010893246187</v>
      </c>
      <c r="BP35" t="s">
        <v>104</v>
      </c>
      <c r="BQ35">
        <v>1.0507757404795399</v>
      </c>
      <c r="BR35" t="s">
        <v>112</v>
      </c>
      <c r="BS35">
        <v>1.0753768844221101</v>
      </c>
      <c r="BT35" t="s">
        <v>124</v>
      </c>
      <c r="BU35">
        <v>1.0560897435897401</v>
      </c>
      <c r="BV35" t="s">
        <v>118</v>
      </c>
      <c r="BW35">
        <v>1.06692913385826</v>
      </c>
    </row>
    <row r="36" spans="1:75" x14ac:dyDescent="0.4">
      <c r="A36">
        <v>34</v>
      </c>
      <c r="B36" t="s">
        <v>112</v>
      </c>
      <c r="C36">
        <v>1.04909673887542</v>
      </c>
      <c r="D36" t="s">
        <v>115</v>
      </c>
      <c r="E36">
        <v>0.81612903225806399</v>
      </c>
      <c r="F36" t="s">
        <v>107</v>
      </c>
      <c r="G36">
        <v>0.31525851197982302</v>
      </c>
      <c r="H36" t="s">
        <v>105</v>
      </c>
      <c r="I36">
        <v>1.2299977713394199</v>
      </c>
      <c r="J36" t="s">
        <v>88</v>
      </c>
      <c r="K36">
        <v>2.3287671232876699</v>
      </c>
      <c r="L36" t="s">
        <v>102</v>
      </c>
      <c r="M36">
        <v>0.89880540426684297</v>
      </c>
      <c r="N36" t="s">
        <v>102</v>
      </c>
      <c r="O36">
        <v>0.82447271509876097</v>
      </c>
      <c r="P36" t="s">
        <v>108</v>
      </c>
      <c r="Q36">
        <v>0.800561797752809</v>
      </c>
      <c r="R36" t="s">
        <v>102</v>
      </c>
      <c r="S36">
        <v>1.0665919641427799</v>
      </c>
      <c r="T36" t="s">
        <v>105</v>
      </c>
      <c r="U36">
        <v>0.89299195798457198</v>
      </c>
      <c r="V36" t="s">
        <v>105</v>
      </c>
      <c r="W36">
        <v>1.55731176866997</v>
      </c>
      <c r="X36" t="s">
        <v>84</v>
      </c>
      <c r="Y36">
        <v>0.892405063291139</v>
      </c>
      <c r="Z36" t="s">
        <v>102</v>
      </c>
      <c r="AA36">
        <v>1.2482546121143501</v>
      </c>
      <c r="AB36" t="s">
        <v>112</v>
      </c>
      <c r="AC36">
        <v>0.838756386653703</v>
      </c>
      <c r="AD36" t="s">
        <v>102</v>
      </c>
      <c r="AE36">
        <v>0.86923342816878901</v>
      </c>
      <c r="AF36" t="s">
        <v>112</v>
      </c>
      <c r="AG36">
        <v>1.29376854599406</v>
      </c>
      <c r="AH36" t="s">
        <v>97</v>
      </c>
      <c r="AI36">
        <v>0.83241252302025703</v>
      </c>
      <c r="AJ36" t="s">
        <v>112</v>
      </c>
      <c r="AK36">
        <v>1.0593689998254401</v>
      </c>
      <c r="AL36" t="s">
        <v>104</v>
      </c>
      <c r="AM36">
        <v>1.09562841530054</v>
      </c>
      <c r="AN36" t="s">
        <v>106</v>
      </c>
      <c r="AO36">
        <v>0.99650349650349601</v>
      </c>
      <c r="AP36" t="s">
        <v>113</v>
      </c>
      <c r="AQ36">
        <v>1.3588235294117601</v>
      </c>
      <c r="AR36" t="s">
        <v>88</v>
      </c>
      <c r="AS36">
        <v>0.94285714285714195</v>
      </c>
      <c r="AT36" t="s">
        <v>108</v>
      </c>
      <c r="AU36">
        <v>1.04244031830238</v>
      </c>
      <c r="AV36" t="s">
        <v>112</v>
      </c>
      <c r="AW36">
        <v>1.11666666666666</v>
      </c>
      <c r="AX36" t="s">
        <v>112</v>
      </c>
      <c r="AY36">
        <v>1.16417910447761</v>
      </c>
      <c r="AZ36" t="s">
        <v>115</v>
      </c>
      <c r="BA36">
        <v>0.97422680412371099</v>
      </c>
      <c r="BB36" t="s">
        <v>115</v>
      </c>
      <c r="BC36">
        <v>0.88888888888888795</v>
      </c>
      <c r="BD36" t="s">
        <v>97</v>
      </c>
      <c r="BE36">
        <v>1.06296296296296</v>
      </c>
      <c r="BF36" t="s">
        <v>113</v>
      </c>
      <c r="BG36">
        <v>2.6308243727598501</v>
      </c>
      <c r="BH36" t="s">
        <v>115</v>
      </c>
      <c r="BI36">
        <v>0.950089126559714</v>
      </c>
      <c r="BJ36" t="s">
        <v>102</v>
      </c>
      <c r="BK36">
        <v>0.87553648068669498</v>
      </c>
      <c r="BL36" t="s">
        <v>121</v>
      </c>
      <c r="BM36">
        <v>1.0849753694581199</v>
      </c>
      <c r="BN36" t="s">
        <v>102</v>
      </c>
      <c r="BO36">
        <v>0.98873591989987397</v>
      </c>
      <c r="BP36" t="s">
        <v>135</v>
      </c>
      <c r="BQ36">
        <v>1</v>
      </c>
      <c r="BR36" t="s">
        <v>118</v>
      </c>
      <c r="BS36">
        <v>1.11322751322751</v>
      </c>
      <c r="BT36" t="s">
        <v>130</v>
      </c>
      <c r="BU36">
        <v>0.90610328638497595</v>
      </c>
      <c r="BV36" t="s">
        <v>102</v>
      </c>
      <c r="BW36">
        <v>0.97442143727162001</v>
      </c>
    </row>
    <row r="37" spans="1:75" x14ac:dyDescent="0.4">
      <c r="A37">
        <v>35</v>
      </c>
      <c r="B37" t="s">
        <v>115</v>
      </c>
      <c r="C37">
        <v>0.80589254766031104</v>
      </c>
      <c r="D37" t="s">
        <v>118</v>
      </c>
      <c r="E37">
        <v>0.84927536231884004</v>
      </c>
      <c r="F37" t="s">
        <v>108</v>
      </c>
      <c r="G37">
        <v>0.47270114942528701</v>
      </c>
      <c r="H37" t="s">
        <v>97</v>
      </c>
      <c r="I37">
        <v>0.842592592592592</v>
      </c>
      <c r="J37" t="s">
        <v>105</v>
      </c>
      <c r="K37">
        <v>0.97562964305127697</v>
      </c>
      <c r="L37" t="s">
        <v>120</v>
      </c>
      <c r="M37">
        <v>1.0689655172413699</v>
      </c>
      <c r="N37" t="s">
        <v>120</v>
      </c>
      <c r="O37">
        <v>1.1182795698924699</v>
      </c>
      <c r="P37" t="s">
        <v>97</v>
      </c>
      <c r="Q37">
        <v>0.967592592592592</v>
      </c>
      <c r="R37" t="s">
        <v>120</v>
      </c>
      <c r="S37">
        <v>1.1263157894736799</v>
      </c>
      <c r="T37" t="s">
        <v>108</v>
      </c>
      <c r="U37">
        <v>1.1154708520179299</v>
      </c>
      <c r="V37" t="s">
        <v>108</v>
      </c>
      <c r="W37">
        <v>1.06532663316582</v>
      </c>
      <c r="X37" t="s">
        <v>98</v>
      </c>
      <c r="Y37">
        <v>0.964769647696477</v>
      </c>
      <c r="Z37" t="s">
        <v>120</v>
      </c>
      <c r="AA37">
        <v>1.3742574257425699</v>
      </c>
      <c r="AB37" t="s">
        <v>102</v>
      </c>
      <c r="AC37">
        <v>1.1751343582052201</v>
      </c>
      <c r="AD37" t="s">
        <v>120</v>
      </c>
      <c r="AE37">
        <v>1.1132596685082801</v>
      </c>
      <c r="AF37" t="s">
        <v>102</v>
      </c>
      <c r="AG37">
        <v>1.1301581475023701</v>
      </c>
      <c r="AH37" t="s">
        <v>113</v>
      </c>
      <c r="AI37">
        <v>0.83729433272394804</v>
      </c>
      <c r="AJ37" t="s">
        <v>121</v>
      </c>
      <c r="AK37">
        <v>1.0504201680672201</v>
      </c>
      <c r="AL37" t="s">
        <v>106</v>
      </c>
      <c r="AM37">
        <v>1.0106007067137801</v>
      </c>
      <c r="AN37" t="s">
        <v>126</v>
      </c>
      <c r="AO37">
        <v>0.94918699186991795</v>
      </c>
      <c r="AP37" t="s">
        <v>112</v>
      </c>
      <c r="AQ37">
        <v>1.0066200017720801</v>
      </c>
      <c r="AR37" t="s">
        <v>105</v>
      </c>
      <c r="AS37">
        <v>0.97792207792207797</v>
      </c>
      <c r="AT37" t="s">
        <v>97</v>
      </c>
      <c r="AU37">
        <v>0.94047619047619002</v>
      </c>
      <c r="AV37" t="s">
        <v>121</v>
      </c>
      <c r="AW37">
        <v>1.0244399185335999</v>
      </c>
      <c r="AX37" t="s">
        <v>121</v>
      </c>
      <c r="AY37">
        <v>0.96322067594433403</v>
      </c>
      <c r="AZ37" t="s">
        <v>121</v>
      </c>
      <c r="BA37">
        <v>1.0691434468524199</v>
      </c>
      <c r="BB37" t="s">
        <v>121</v>
      </c>
      <c r="BC37">
        <v>0.77992277992277903</v>
      </c>
      <c r="BD37" t="s">
        <v>113</v>
      </c>
      <c r="BE37">
        <v>1.2567567567567499</v>
      </c>
      <c r="BF37" t="s">
        <v>112</v>
      </c>
      <c r="BG37">
        <v>1.0068027210884301</v>
      </c>
      <c r="BH37" t="s">
        <v>121</v>
      </c>
      <c r="BI37">
        <v>0.95459837019790394</v>
      </c>
      <c r="BJ37" t="s">
        <v>124</v>
      </c>
      <c r="BK37">
        <v>0.89560439560439498</v>
      </c>
      <c r="BL37" t="s">
        <v>118</v>
      </c>
      <c r="BM37">
        <v>1.0443686006825901</v>
      </c>
      <c r="BN37" t="s">
        <v>124</v>
      </c>
      <c r="BO37">
        <v>0.99677419354838703</v>
      </c>
      <c r="BP37" t="s">
        <v>126</v>
      </c>
      <c r="BQ37">
        <v>0.852848101265822</v>
      </c>
      <c r="BR37" t="s">
        <v>102</v>
      </c>
      <c r="BS37">
        <v>1.11318242343541</v>
      </c>
      <c r="BT37" t="s">
        <v>104</v>
      </c>
      <c r="BU37">
        <v>0.97649186256781195</v>
      </c>
      <c r="BV37" t="s">
        <v>124</v>
      </c>
      <c r="BW37">
        <v>0.915022761760242</v>
      </c>
    </row>
    <row r="38" spans="1:75" x14ac:dyDescent="0.4">
      <c r="A38">
        <v>36</v>
      </c>
      <c r="B38" t="s">
        <v>118</v>
      </c>
      <c r="C38">
        <v>0.86142322097378199</v>
      </c>
      <c r="D38" t="s">
        <v>102</v>
      </c>
      <c r="E38">
        <v>0.90569829760403497</v>
      </c>
      <c r="F38" t="s">
        <v>97</v>
      </c>
      <c r="G38">
        <v>0.75922671353251303</v>
      </c>
      <c r="H38" t="s">
        <v>113</v>
      </c>
      <c r="I38">
        <v>1.2225173380551799</v>
      </c>
      <c r="J38" t="s">
        <v>108</v>
      </c>
      <c r="K38">
        <v>1.5090909090908999</v>
      </c>
      <c r="L38" t="s">
        <v>124</v>
      </c>
      <c r="M38">
        <v>1.1414514145141399</v>
      </c>
      <c r="N38" t="s">
        <v>124</v>
      </c>
      <c r="O38">
        <v>0.83943965517241304</v>
      </c>
      <c r="P38" t="s">
        <v>113</v>
      </c>
      <c r="Q38">
        <v>0.68075755516288305</v>
      </c>
      <c r="R38" t="s">
        <v>124</v>
      </c>
      <c r="S38">
        <v>1.06866197183098</v>
      </c>
      <c r="T38" t="s">
        <v>97</v>
      </c>
      <c r="U38">
        <v>1.2380952380952299</v>
      </c>
      <c r="V38" t="s">
        <v>97</v>
      </c>
      <c r="W38">
        <v>1.09523809523809</v>
      </c>
      <c r="X38" t="s">
        <v>88</v>
      </c>
      <c r="Y38">
        <v>1.0547945205479401</v>
      </c>
      <c r="Z38" t="s">
        <v>124</v>
      </c>
      <c r="AA38">
        <v>0.80043859649122795</v>
      </c>
      <c r="AB38" t="s">
        <v>120</v>
      </c>
      <c r="AC38">
        <v>1.04322766570605</v>
      </c>
      <c r="AD38" t="s">
        <v>104</v>
      </c>
      <c r="AE38">
        <v>0.70404984423675998</v>
      </c>
      <c r="AF38" t="s">
        <v>104</v>
      </c>
      <c r="AG38">
        <v>1.0663716814159201</v>
      </c>
      <c r="AH38" t="s">
        <v>112</v>
      </c>
      <c r="AI38">
        <v>1.0305810397553501</v>
      </c>
      <c r="AJ38" t="s">
        <v>102</v>
      </c>
      <c r="AK38">
        <v>0.98196898665705001</v>
      </c>
      <c r="AL38" t="s">
        <v>128</v>
      </c>
      <c r="AM38">
        <v>2.0447896120973001</v>
      </c>
      <c r="AN38" t="s">
        <v>140</v>
      </c>
      <c r="AO38">
        <v>1.2833333333333301</v>
      </c>
      <c r="AP38" t="s">
        <v>102</v>
      </c>
      <c r="AQ38">
        <v>1.1660773076454001</v>
      </c>
      <c r="AR38" t="s">
        <v>108</v>
      </c>
      <c r="AS38">
        <v>0.76860346585117201</v>
      </c>
      <c r="AT38" t="s">
        <v>113</v>
      </c>
      <c r="AU38">
        <v>0.92327365728900201</v>
      </c>
      <c r="AV38" t="s">
        <v>102</v>
      </c>
      <c r="AW38">
        <v>0.93489461358313797</v>
      </c>
      <c r="AX38" t="s">
        <v>102</v>
      </c>
      <c r="AY38">
        <v>1.0055778223112799</v>
      </c>
      <c r="AZ38" t="s">
        <v>118</v>
      </c>
      <c r="BA38">
        <v>2.1844380403458201</v>
      </c>
      <c r="BB38" t="s">
        <v>102</v>
      </c>
      <c r="BC38">
        <v>1.06514448477052</v>
      </c>
      <c r="BD38" t="s">
        <v>112</v>
      </c>
      <c r="BE38">
        <v>1.0034129692832701</v>
      </c>
      <c r="BF38" t="s">
        <v>115</v>
      </c>
      <c r="BG38">
        <v>1.11976047904191</v>
      </c>
      <c r="BH38" t="s">
        <v>102</v>
      </c>
      <c r="BI38">
        <v>0.77537437603993298</v>
      </c>
      <c r="BJ38" t="s">
        <v>130</v>
      </c>
      <c r="BK38">
        <v>0.82908163265306101</v>
      </c>
      <c r="BL38" t="s">
        <v>102</v>
      </c>
      <c r="BM38">
        <v>0.97916666666666596</v>
      </c>
      <c r="BN38" t="s">
        <v>135</v>
      </c>
      <c r="BO38">
        <v>0.87822878228782197</v>
      </c>
      <c r="BP38" t="s">
        <v>144</v>
      </c>
      <c r="BQ38">
        <v>0.93859649122806998</v>
      </c>
      <c r="BR38" t="s">
        <v>124</v>
      </c>
      <c r="BS38">
        <v>1.1142857142857101</v>
      </c>
      <c r="BT38" t="s">
        <v>106</v>
      </c>
      <c r="BU38">
        <v>0.93020134228187901</v>
      </c>
      <c r="BV38" t="s">
        <v>130</v>
      </c>
      <c r="BW38">
        <v>1.0284974093264201</v>
      </c>
    </row>
    <row r="39" spans="1:75" x14ac:dyDescent="0.4">
      <c r="A39">
        <v>37</v>
      </c>
      <c r="B39" t="s">
        <v>102</v>
      </c>
      <c r="C39">
        <v>1.0447097571016799</v>
      </c>
      <c r="D39" t="s">
        <v>120</v>
      </c>
      <c r="E39">
        <v>0.96969696969696895</v>
      </c>
      <c r="F39" t="s">
        <v>113</v>
      </c>
      <c r="G39">
        <v>0.595335353801554</v>
      </c>
      <c r="H39" t="s">
        <v>112</v>
      </c>
      <c r="I39">
        <v>0.93846945526722003</v>
      </c>
      <c r="J39" t="s">
        <v>97</v>
      </c>
      <c r="K39">
        <v>1.18131868131868</v>
      </c>
      <c r="L39" t="s">
        <v>104</v>
      </c>
      <c r="M39">
        <v>1.21969696969696</v>
      </c>
      <c r="N39" t="s">
        <v>104</v>
      </c>
      <c r="O39">
        <v>0.84472049689440998</v>
      </c>
      <c r="P39" t="s">
        <v>112</v>
      </c>
      <c r="Q39">
        <v>0.98599006116207899</v>
      </c>
      <c r="R39" t="s">
        <v>104</v>
      </c>
      <c r="S39">
        <v>1.1493902439024299</v>
      </c>
      <c r="T39" t="s">
        <v>113</v>
      </c>
      <c r="U39">
        <v>1.24470134874759</v>
      </c>
      <c r="V39" t="s">
        <v>113</v>
      </c>
      <c r="W39">
        <v>1.0092879256965901</v>
      </c>
      <c r="X39" t="s">
        <v>103</v>
      </c>
      <c r="Y39">
        <v>0.97608695652173905</v>
      </c>
      <c r="Z39" t="s">
        <v>104</v>
      </c>
      <c r="AA39">
        <v>0.87</v>
      </c>
      <c r="AB39" t="s">
        <v>104</v>
      </c>
      <c r="AC39">
        <v>1.2298850574712601</v>
      </c>
      <c r="AD39" t="s">
        <v>106</v>
      </c>
      <c r="AE39">
        <v>0.77013422818791899</v>
      </c>
      <c r="AF39" t="s">
        <v>106</v>
      </c>
      <c r="AG39">
        <v>1.5642701525054401</v>
      </c>
      <c r="AH39" t="s">
        <v>102</v>
      </c>
      <c r="AI39">
        <v>0.75055486385535597</v>
      </c>
      <c r="AJ39" t="s">
        <v>104</v>
      </c>
      <c r="AK39">
        <v>1.0338983050847399</v>
      </c>
      <c r="AL39" t="s">
        <v>126</v>
      </c>
      <c r="AM39">
        <v>1.0040816326530599</v>
      </c>
      <c r="AN39" t="s">
        <v>148</v>
      </c>
      <c r="AO39">
        <v>1.3319974525063201</v>
      </c>
      <c r="AP39" t="s">
        <v>124</v>
      </c>
      <c r="AQ39">
        <v>1.0125</v>
      </c>
      <c r="AR39" t="s">
        <v>97</v>
      </c>
      <c r="AS39">
        <v>0.884210526315789</v>
      </c>
      <c r="AT39" t="s">
        <v>112</v>
      </c>
      <c r="AU39">
        <v>1.32272216220982</v>
      </c>
      <c r="AV39" t="s">
        <v>124</v>
      </c>
      <c r="AW39">
        <v>1.00790513833992</v>
      </c>
      <c r="AX39" t="s">
        <v>124</v>
      </c>
      <c r="AY39">
        <v>1.0196078431372499</v>
      </c>
      <c r="AZ39" t="s">
        <v>102</v>
      </c>
      <c r="BA39">
        <v>1.44597601886604</v>
      </c>
      <c r="BB39" t="s">
        <v>124</v>
      </c>
      <c r="BC39">
        <v>0.93533123028391096</v>
      </c>
      <c r="BD39" t="s">
        <v>115</v>
      </c>
      <c r="BE39">
        <v>0.99404761904761896</v>
      </c>
      <c r="BF39" t="s">
        <v>121</v>
      </c>
      <c r="BG39">
        <v>1.0312124849939901</v>
      </c>
      <c r="BH39" t="s">
        <v>124</v>
      </c>
      <c r="BI39">
        <v>1.0370370370370301</v>
      </c>
      <c r="BJ39" t="s">
        <v>104</v>
      </c>
      <c r="BK39">
        <v>0.95416666666666605</v>
      </c>
      <c r="BL39" t="s">
        <v>124</v>
      </c>
      <c r="BM39">
        <v>0.95092024539877296</v>
      </c>
      <c r="BN39" t="s">
        <v>126</v>
      </c>
      <c r="BO39">
        <v>0.97984496124030995</v>
      </c>
      <c r="BP39" t="s">
        <v>149</v>
      </c>
      <c r="BQ39">
        <v>0.99484536082474195</v>
      </c>
      <c r="BR39" t="s">
        <v>104</v>
      </c>
      <c r="BS39">
        <v>0.74228187919462996</v>
      </c>
      <c r="BT39" t="s">
        <v>135</v>
      </c>
      <c r="BU39">
        <v>0.97122302158273299</v>
      </c>
      <c r="BV39" t="s">
        <v>104</v>
      </c>
      <c r="BW39">
        <v>1.13518518518518</v>
      </c>
    </row>
    <row r="40" spans="1:75" x14ac:dyDescent="0.4">
      <c r="A40">
        <v>38</v>
      </c>
      <c r="B40" t="s">
        <v>120</v>
      </c>
      <c r="C40">
        <v>0.90410958904109495</v>
      </c>
      <c r="D40" t="s">
        <v>124</v>
      </c>
      <c r="E40">
        <v>0.81599123767798398</v>
      </c>
      <c r="F40" t="s">
        <v>112</v>
      </c>
      <c r="G40">
        <v>0.67357145215066105</v>
      </c>
      <c r="H40" t="s">
        <v>102</v>
      </c>
      <c r="I40">
        <v>1.0850780990362201</v>
      </c>
      <c r="J40" t="s">
        <v>113</v>
      </c>
      <c r="K40">
        <v>1.6859686179843001</v>
      </c>
      <c r="L40" t="s">
        <v>128</v>
      </c>
      <c r="M40">
        <v>1.5281290224880699</v>
      </c>
      <c r="N40" t="s">
        <v>106</v>
      </c>
      <c r="O40">
        <v>1.1320754716981101</v>
      </c>
      <c r="P40" t="s">
        <v>102</v>
      </c>
      <c r="Q40">
        <v>1.01465870792219</v>
      </c>
      <c r="R40" t="s">
        <v>127</v>
      </c>
      <c r="S40">
        <v>1.24615384615384</v>
      </c>
      <c r="T40" t="s">
        <v>112</v>
      </c>
      <c r="U40">
        <v>1.02201452870304</v>
      </c>
      <c r="V40" t="s">
        <v>112</v>
      </c>
      <c r="W40">
        <v>0.99659775495167502</v>
      </c>
      <c r="X40" t="s">
        <v>105</v>
      </c>
      <c r="Y40">
        <v>0.69984264358772597</v>
      </c>
      <c r="Z40" t="s">
        <v>106</v>
      </c>
      <c r="AA40">
        <v>1.0159489633173799</v>
      </c>
      <c r="AB40" t="s">
        <v>106</v>
      </c>
      <c r="AC40">
        <v>0.93563579277864894</v>
      </c>
      <c r="AD40" t="s">
        <v>128</v>
      </c>
      <c r="AE40">
        <v>0.91823237637156097</v>
      </c>
      <c r="AF40" t="s">
        <v>128</v>
      </c>
      <c r="AG40">
        <v>1.0202160746439599</v>
      </c>
      <c r="AH40" t="s">
        <v>124</v>
      </c>
      <c r="AI40">
        <v>0.83111111111111102</v>
      </c>
      <c r="AJ40" t="s">
        <v>106</v>
      </c>
      <c r="AK40">
        <v>0.95608108108108103</v>
      </c>
      <c r="AL40" t="s">
        <v>140</v>
      </c>
      <c r="AM40">
        <v>1.0714285714285701</v>
      </c>
      <c r="AN40" t="s">
        <v>139</v>
      </c>
      <c r="AO40">
        <v>0.70093457943925197</v>
      </c>
      <c r="AP40" t="s">
        <v>130</v>
      </c>
      <c r="AQ40">
        <v>1.19705882352941</v>
      </c>
      <c r="AR40" t="s">
        <v>113</v>
      </c>
      <c r="AS40">
        <v>0.84632034632034603</v>
      </c>
      <c r="AT40" t="s">
        <v>121</v>
      </c>
      <c r="AU40">
        <v>1.14186046511627</v>
      </c>
      <c r="AV40" t="s">
        <v>130</v>
      </c>
      <c r="AW40">
        <v>0.89293849658314295</v>
      </c>
      <c r="AX40" t="s">
        <v>130</v>
      </c>
      <c r="AY40">
        <v>1.0153061224489699</v>
      </c>
      <c r="AZ40" t="s">
        <v>124</v>
      </c>
      <c r="BA40">
        <v>1.21923076923076</v>
      </c>
      <c r="BB40" t="s">
        <v>130</v>
      </c>
      <c r="BC40">
        <v>1.0363636363636299</v>
      </c>
      <c r="BD40" t="s">
        <v>121</v>
      </c>
      <c r="BE40">
        <v>1.0309405940594001</v>
      </c>
      <c r="BF40" t="s">
        <v>102</v>
      </c>
      <c r="BG40">
        <v>1.2760084925690001</v>
      </c>
      <c r="BH40" t="s">
        <v>130</v>
      </c>
      <c r="BI40">
        <v>0.67008547008547004</v>
      </c>
      <c r="BJ40" t="s">
        <v>106</v>
      </c>
      <c r="BK40">
        <v>1.17070063694267</v>
      </c>
      <c r="BL40" t="s">
        <v>130</v>
      </c>
      <c r="BM40">
        <v>1.02461538461538</v>
      </c>
      <c r="BN40" t="s">
        <v>144</v>
      </c>
      <c r="BO40">
        <v>0.98701298701298701</v>
      </c>
      <c r="BP40" t="s">
        <v>143</v>
      </c>
      <c r="BQ40">
        <v>0.925561797752809</v>
      </c>
      <c r="BR40" t="s">
        <v>135</v>
      </c>
      <c r="BS40">
        <v>1.1680672268907499</v>
      </c>
      <c r="BT40" t="s">
        <v>126</v>
      </c>
      <c r="BU40">
        <v>0.92618629173989397</v>
      </c>
      <c r="BV40" t="s">
        <v>106</v>
      </c>
      <c r="BW40">
        <v>1.17604617604617</v>
      </c>
    </row>
    <row r="41" spans="1:75" x14ac:dyDescent="0.4">
      <c r="A41">
        <v>39</v>
      </c>
      <c r="B41" t="s">
        <v>124</v>
      </c>
      <c r="C41">
        <v>1.26454293628808</v>
      </c>
      <c r="D41" t="s">
        <v>127</v>
      </c>
      <c r="E41">
        <v>0.75806451612903203</v>
      </c>
      <c r="F41" t="s">
        <v>102</v>
      </c>
      <c r="G41">
        <v>0.91645999216812402</v>
      </c>
      <c r="H41" t="s">
        <v>120</v>
      </c>
      <c r="I41">
        <v>0.87323943661971803</v>
      </c>
      <c r="J41" t="s">
        <v>112</v>
      </c>
      <c r="K41">
        <v>1.2718679826622801</v>
      </c>
      <c r="L41" t="s">
        <v>133</v>
      </c>
      <c r="M41">
        <v>1.109375</v>
      </c>
      <c r="N41" t="s">
        <v>133</v>
      </c>
      <c r="O41">
        <v>0.91830985915492902</v>
      </c>
      <c r="P41" t="s">
        <v>120</v>
      </c>
      <c r="Q41">
        <v>1.14182692307692</v>
      </c>
      <c r="R41" t="s">
        <v>106</v>
      </c>
      <c r="S41">
        <v>0.79574468085106298</v>
      </c>
      <c r="T41" t="s">
        <v>102</v>
      </c>
      <c r="U41">
        <v>1.0311796488068401</v>
      </c>
      <c r="V41" t="s">
        <v>102</v>
      </c>
      <c r="W41">
        <v>0.99345049667066898</v>
      </c>
      <c r="X41" t="s">
        <v>108</v>
      </c>
      <c r="Y41">
        <v>0.71603773584905595</v>
      </c>
      <c r="Z41" t="s">
        <v>128</v>
      </c>
      <c r="AA41">
        <v>0.98417898521773794</v>
      </c>
      <c r="AB41" t="s">
        <v>128</v>
      </c>
      <c r="AC41">
        <v>1.08029552650807</v>
      </c>
      <c r="AD41" t="s">
        <v>129</v>
      </c>
      <c r="AE41">
        <v>1.10840108401084</v>
      </c>
      <c r="AF41" t="s">
        <v>133</v>
      </c>
      <c r="AG41">
        <v>1.19383259911894</v>
      </c>
      <c r="AH41" t="s">
        <v>104</v>
      </c>
      <c r="AI41">
        <v>0.73443983402489599</v>
      </c>
      <c r="AJ41" t="s">
        <v>128</v>
      </c>
      <c r="AK41">
        <v>1.1080958018395399</v>
      </c>
      <c r="AL41" t="s">
        <v>143</v>
      </c>
      <c r="AM41">
        <v>1.0282805429864199</v>
      </c>
      <c r="AN41" t="s">
        <v>143</v>
      </c>
      <c r="AO41">
        <v>1</v>
      </c>
      <c r="AP41" t="s">
        <v>104</v>
      </c>
      <c r="AQ41">
        <v>1.17560975609756</v>
      </c>
      <c r="AR41" t="s">
        <v>112</v>
      </c>
      <c r="AS41">
        <v>1.14078414606543</v>
      </c>
      <c r="AT41" t="s">
        <v>102</v>
      </c>
      <c r="AU41">
        <v>1.11143888387589</v>
      </c>
      <c r="AV41" t="s">
        <v>104</v>
      </c>
      <c r="AW41">
        <v>1.42165242165242</v>
      </c>
      <c r="AX41" t="s">
        <v>104</v>
      </c>
      <c r="AY41">
        <v>1.3807615230460899</v>
      </c>
      <c r="AZ41" t="s">
        <v>130</v>
      </c>
      <c r="BA41">
        <v>1.24371859296482</v>
      </c>
      <c r="BB41" t="s">
        <v>104</v>
      </c>
      <c r="BC41">
        <v>1.33510638297872</v>
      </c>
      <c r="BD41" t="s">
        <v>102</v>
      </c>
      <c r="BE41">
        <v>1.0157429372439</v>
      </c>
      <c r="BF41" t="s">
        <v>124</v>
      </c>
      <c r="BG41">
        <v>1.1878172588832401</v>
      </c>
      <c r="BH41" t="s">
        <v>135</v>
      </c>
      <c r="BI41">
        <v>0.93924050632911305</v>
      </c>
      <c r="BJ41" t="s">
        <v>135</v>
      </c>
      <c r="BK41">
        <v>0.75202156334231796</v>
      </c>
      <c r="BL41" t="s">
        <v>104</v>
      </c>
      <c r="BM41">
        <v>1.0502183406113501</v>
      </c>
      <c r="BN41" t="s">
        <v>143</v>
      </c>
      <c r="BO41">
        <v>1.2318339100346001</v>
      </c>
      <c r="BP41" t="s">
        <v>146</v>
      </c>
      <c r="BQ41">
        <v>0.99003322259136195</v>
      </c>
      <c r="BR41" t="s">
        <v>126</v>
      </c>
      <c r="BS41">
        <v>1.0556586270871899</v>
      </c>
      <c r="BT41" t="s">
        <v>144</v>
      </c>
      <c r="BU41">
        <v>1.0143540669856399</v>
      </c>
      <c r="BV41" t="s">
        <v>135</v>
      </c>
      <c r="BW41">
        <v>1.2296296296296201</v>
      </c>
    </row>
    <row r="42" spans="1:75" x14ac:dyDescent="0.4">
      <c r="A42">
        <v>40</v>
      </c>
      <c r="B42" t="s">
        <v>104</v>
      </c>
      <c r="C42">
        <v>1.01298701298701</v>
      </c>
      <c r="D42" t="s">
        <v>128</v>
      </c>
      <c r="E42">
        <v>0.97781771213567703</v>
      </c>
      <c r="F42" t="s">
        <v>120</v>
      </c>
      <c r="G42">
        <v>0.73958333333333304</v>
      </c>
      <c r="H42" t="s">
        <v>124</v>
      </c>
      <c r="I42">
        <v>0.88932038834951399</v>
      </c>
      <c r="J42" t="s">
        <v>102</v>
      </c>
      <c r="K42">
        <v>1.4540800700065599</v>
      </c>
      <c r="L42" t="s">
        <v>109</v>
      </c>
      <c r="M42">
        <v>1.1559999999999999</v>
      </c>
      <c r="N42" t="s">
        <v>109</v>
      </c>
      <c r="O42">
        <v>1.0415224913494801</v>
      </c>
      <c r="P42" t="s">
        <v>124</v>
      </c>
      <c r="Q42">
        <v>0.72913992297817698</v>
      </c>
      <c r="R42" t="s">
        <v>128</v>
      </c>
      <c r="S42">
        <v>0.81787460020517699</v>
      </c>
      <c r="T42" t="s">
        <v>120</v>
      </c>
      <c r="U42">
        <v>0.90467289719626098</v>
      </c>
      <c r="V42" t="s">
        <v>120</v>
      </c>
      <c r="W42">
        <v>1.10330578512396</v>
      </c>
      <c r="X42" t="s">
        <v>97</v>
      </c>
      <c r="Y42">
        <v>1.0033444816053501</v>
      </c>
      <c r="Z42" t="s">
        <v>133</v>
      </c>
      <c r="AA42">
        <v>0.92490118577075098</v>
      </c>
      <c r="AB42" t="s">
        <v>133</v>
      </c>
      <c r="AC42">
        <v>0.854700854700854</v>
      </c>
      <c r="AD42" t="s">
        <v>133</v>
      </c>
      <c r="AE42">
        <v>1.135</v>
      </c>
      <c r="AF42" t="s">
        <v>139</v>
      </c>
      <c r="AG42">
        <v>1.3596214511041</v>
      </c>
      <c r="AH42" t="s">
        <v>106</v>
      </c>
      <c r="AI42">
        <v>0.82451253481894105</v>
      </c>
      <c r="AJ42" t="s">
        <v>133</v>
      </c>
      <c r="AK42">
        <v>1.0431654676258899</v>
      </c>
      <c r="AL42" t="s">
        <v>146</v>
      </c>
      <c r="AM42">
        <v>0.79853765537411603</v>
      </c>
      <c r="AN42" t="s">
        <v>146</v>
      </c>
      <c r="AO42">
        <v>1.15443779758271</v>
      </c>
      <c r="AP42" t="s">
        <v>106</v>
      </c>
      <c r="AQ42">
        <v>1.2052631578947299</v>
      </c>
      <c r="AR42" t="s">
        <v>141</v>
      </c>
      <c r="AS42">
        <v>0.92635658914728602</v>
      </c>
      <c r="AT42" t="s">
        <v>124</v>
      </c>
      <c r="AU42">
        <v>1.00596421471172</v>
      </c>
      <c r="AV42" t="s">
        <v>128</v>
      </c>
      <c r="AW42">
        <v>0.95774487471526104</v>
      </c>
      <c r="AX42" t="s">
        <v>128</v>
      </c>
      <c r="AY42">
        <v>1.4924485670115299</v>
      </c>
      <c r="AZ42" t="s">
        <v>104</v>
      </c>
      <c r="BA42">
        <v>1.0914368650217701</v>
      </c>
      <c r="BB42" t="s">
        <v>135</v>
      </c>
      <c r="BC42">
        <v>0.87401574803149595</v>
      </c>
      <c r="BD42" t="s">
        <v>124</v>
      </c>
      <c r="BE42">
        <v>0.99662731871838095</v>
      </c>
      <c r="BF42" t="s">
        <v>130</v>
      </c>
      <c r="BG42">
        <v>1.0263157894736801</v>
      </c>
      <c r="BH42" t="s">
        <v>126</v>
      </c>
      <c r="BI42">
        <v>0.91573033707865104</v>
      </c>
      <c r="BJ42" t="s">
        <v>126</v>
      </c>
      <c r="BK42">
        <v>1.13087934560327</v>
      </c>
      <c r="BL42" t="s">
        <v>135</v>
      </c>
      <c r="BM42">
        <v>0.97132616487455103</v>
      </c>
      <c r="BN42" t="s">
        <v>146</v>
      </c>
      <c r="BO42">
        <v>1.1189591078066901</v>
      </c>
      <c r="BP42" t="s">
        <v>152</v>
      </c>
      <c r="BQ42">
        <v>0.949367088607594</v>
      </c>
      <c r="BR42" t="s">
        <v>144</v>
      </c>
      <c r="BS42">
        <v>0.97663551401869098</v>
      </c>
      <c r="BT42" t="s">
        <v>149</v>
      </c>
      <c r="BU42">
        <v>1.0719512195121901</v>
      </c>
      <c r="BV42" t="s">
        <v>126</v>
      </c>
      <c r="BW42">
        <v>1.14990512333965</v>
      </c>
    </row>
    <row r="43" spans="1:75" x14ac:dyDescent="0.4">
      <c r="A43">
        <v>41</v>
      </c>
      <c r="B43" t="s">
        <v>127</v>
      </c>
      <c r="C43">
        <v>0.99272197962154296</v>
      </c>
      <c r="D43" t="s">
        <v>132</v>
      </c>
      <c r="E43">
        <v>0.93817203674745597</v>
      </c>
      <c r="F43" t="s">
        <v>124</v>
      </c>
      <c r="G43">
        <v>0.69127516778523401</v>
      </c>
      <c r="H43" t="s">
        <v>127</v>
      </c>
      <c r="I43">
        <v>1.36363636363636</v>
      </c>
      <c r="J43" t="s">
        <v>120</v>
      </c>
      <c r="K43">
        <v>1.4032258064516101</v>
      </c>
      <c r="L43" t="s">
        <v>143</v>
      </c>
      <c r="M43">
        <v>0.92074592074591999</v>
      </c>
      <c r="N43" t="s">
        <v>147</v>
      </c>
      <c r="O43">
        <v>0.85823765960807097</v>
      </c>
      <c r="P43" t="s">
        <v>104</v>
      </c>
      <c r="Q43">
        <v>0.96470588235294097</v>
      </c>
      <c r="R43" t="s">
        <v>133</v>
      </c>
      <c r="S43">
        <v>1.4604236343366701</v>
      </c>
      <c r="T43" t="s">
        <v>124</v>
      </c>
      <c r="U43">
        <v>0.97364085667215805</v>
      </c>
      <c r="V43" t="s">
        <v>124</v>
      </c>
      <c r="W43">
        <v>0.90693739424703801</v>
      </c>
      <c r="X43" t="s">
        <v>113</v>
      </c>
      <c r="Y43">
        <v>0.83742331288343497</v>
      </c>
      <c r="Z43" t="s">
        <v>143</v>
      </c>
      <c r="AA43">
        <v>1.26657060518731</v>
      </c>
      <c r="AB43" t="s">
        <v>136</v>
      </c>
      <c r="AC43">
        <v>0.84494417361220298</v>
      </c>
      <c r="AD43" t="s">
        <v>136</v>
      </c>
      <c r="AE43">
        <v>0.74911595012097498</v>
      </c>
      <c r="AF43" t="s">
        <v>143</v>
      </c>
      <c r="AG43">
        <v>1.70553935860058</v>
      </c>
      <c r="AH43" t="s">
        <v>128</v>
      </c>
      <c r="AI43">
        <v>0.88094665062174005</v>
      </c>
      <c r="AJ43" t="s">
        <v>139</v>
      </c>
      <c r="AK43">
        <v>1.0363196125907901</v>
      </c>
      <c r="AL43" t="s">
        <v>117</v>
      </c>
      <c r="AM43">
        <v>1.3179012345679</v>
      </c>
      <c r="AN43" t="s">
        <v>117</v>
      </c>
      <c r="AO43">
        <v>1.1615925058548</v>
      </c>
      <c r="AP43" t="s">
        <v>128</v>
      </c>
      <c r="AQ43">
        <v>0.81435148118494705</v>
      </c>
      <c r="AR43" t="s">
        <v>102</v>
      </c>
      <c r="AS43">
        <v>1.00435707065425</v>
      </c>
      <c r="AT43" t="s">
        <v>130</v>
      </c>
      <c r="AU43">
        <v>1.20604395604395</v>
      </c>
      <c r="AV43" t="s">
        <v>129</v>
      </c>
      <c r="AW43">
        <v>0.81176470588235194</v>
      </c>
      <c r="AX43" t="s">
        <v>129</v>
      </c>
      <c r="AY43">
        <v>1.8381642512077201</v>
      </c>
      <c r="AZ43" t="s">
        <v>135</v>
      </c>
      <c r="BA43">
        <v>1.1981132075471601</v>
      </c>
      <c r="BB43" t="s">
        <v>144</v>
      </c>
      <c r="BC43">
        <v>0.753157782059516</v>
      </c>
      <c r="BD43" t="s">
        <v>130</v>
      </c>
      <c r="BE43">
        <v>1.1111111111111101</v>
      </c>
      <c r="BF43" t="s">
        <v>135</v>
      </c>
      <c r="BG43">
        <v>1.17210682492581</v>
      </c>
      <c r="BH43" t="s">
        <v>149</v>
      </c>
      <c r="BI43">
        <v>0.75499092558983605</v>
      </c>
      <c r="BJ43" t="s">
        <v>149</v>
      </c>
      <c r="BK43">
        <v>1.0096153846153799</v>
      </c>
      <c r="BL43" t="s">
        <v>126</v>
      </c>
      <c r="BM43">
        <v>1.1663652802893301</v>
      </c>
      <c r="BN43" t="s">
        <v>152</v>
      </c>
      <c r="BO43">
        <v>1.0871559633027501</v>
      </c>
      <c r="BP43" t="s">
        <v>154</v>
      </c>
      <c r="BQ43">
        <v>0.865051903114186</v>
      </c>
      <c r="BR43" t="s">
        <v>149</v>
      </c>
      <c r="BS43">
        <v>1.0621761658030999</v>
      </c>
      <c r="BT43" t="s">
        <v>147</v>
      </c>
      <c r="BU43">
        <v>1.06321839080459</v>
      </c>
      <c r="BV43" t="s">
        <v>144</v>
      </c>
      <c r="BW43">
        <v>1.03301886792452</v>
      </c>
    </row>
    <row r="44" spans="1:75" x14ac:dyDescent="0.4">
      <c r="A44">
        <v>42</v>
      </c>
      <c r="B44" t="s">
        <v>128</v>
      </c>
      <c r="C44">
        <v>0.99170193807083895</v>
      </c>
      <c r="D44" t="s">
        <v>135</v>
      </c>
      <c r="E44">
        <v>0.58701298701298699</v>
      </c>
      <c r="F44" t="s">
        <v>127</v>
      </c>
      <c r="G44">
        <v>0.680851063829787</v>
      </c>
      <c r="H44" t="s">
        <v>106</v>
      </c>
      <c r="I44">
        <v>1.11328125</v>
      </c>
      <c r="J44" t="s">
        <v>124</v>
      </c>
      <c r="K44">
        <v>1.7751091703056701</v>
      </c>
      <c r="L44" t="s">
        <v>146</v>
      </c>
      <c r="M44">
        <v>0.89455601258165895</v>
      </c>
      <c r="N44" t="s">
        <v>143</v>
      </c>
      <c r="O44">
        <v>0.816455696202531</v>
      </c>
      <c r="P44" t="s">
        <v>106</v>
      </c>
      <c r="Q44">
        <v>0.97916666666666596</v>
      </c>
      <c r="R44" t="s">
        <v>109</v>
      </c>
      <c r="S44">
        <v>1.11392405063291</v>
      </c>
      <c r="T44" t="s">
        <v>104</v>
      </c>
      <c r="U44">
        <v>0.85543766578249303</v>
      </c>
      <c r="V44" t="s">
        <v>104</v>
      </c>
      <c r="W44">
        <v>1.02325581395348</v>
      </c>
      <c r="X44" t="s">
        <v>112</v>
      </c>
      <c r="Y44">
        <v>1.0102415795081401</v>
      </c>
      <c r="Z44" t="s">
        <v>146</v>
      </c>
      <c r="AA44">
        <v>0.80789058838566696</v>
      </c>
      <c r="AB44" t="s">
        <v>148</v>
      </c>
      <c r="AC44">
        <v>0.87659110195175105</v>
      </c>
      <c r="AD44" t="s">
        <v>139</v>
      </c>
      <c r="AE44">
        <v>0.68318965517241304</v>
      </c>
      <c r="AF44" t="s">
        <v>146</v>
      </c>
      <c r="AG44">
        <v>1.43867991149192</v>
      </c>
      <c r="AH44" t="s">
        <v>133</v>
      </c>
      <c r="AI44">
        <v>1.02583025830258</v>
      </c>
      <c r="AJ44" t="s">
        <v>143</v>
      </c>
      <c r="AK44">
        <v>0.93052631578947298</v>
      </c>
      <c r="AL44" t="s">
        <v>152</v>
      </c>
      <c r="AM44">
        <v>1.0048019207683001</v>
      </c>
      <c r="AN44" t="s">
        <v>152</v>
      </c>
      <c r="AO44">
        <v>0.91995221027479002</v>
      </c>
      <c r="AP44" t="s">
        <v>126</v>
      </c>
      <c r="AQ44">
        <v>1.06423982869379</v>
      </c>
      <c r="AR44" t="s">
        <v>124</v>
      </c>
      <c r="AS44">
        <v>1.0349794238683101</v>
      </c>
      <c r="AT44" t="s">
        <v>104</v>
      </c>
      <c r="AU44">
        <v>0.84782608695652095</v>
      </c>
      <c r="AV44" t="s">
        <v>133</v>
      </c>
      <c r="AW44">
        <v>1.2923076923076899</v>
      </c>
      <c r="AX44" t="s">
        <v>135</v>
      </c>
      <c r="AY44">
        <v>1.1635565312842999</v>
      </c>
      <c r="AZ44" t="s">
        <v>144</v>
      </c>
      <c r="BA44">
        <v>0.86483984447324502</v>
      </c>
      <c r="BB44" t="s">
        <v>149</v>
      </c>
      <c r="BC44">
        <v>0.844507845934379</v>
      </c>
      <c r="BD44" t="s">
        <v>104</v>
      </c>
      <c r="BE44">
        <v>1.1812749003984</v>
      </c>
      <c r="BF44" t="s">
        <v>126</v>
      </c>
      <c r="BG44">
        <v>1.1125</v>
      </c>
      <c r="BH44" t="s">
        <v>147</v>
      </c>
      <c r="BI44">
        <v>1.03779069767441</v>
      </c>
      <c r="BJ44" t="s">
        <v>143</v>
      </c>
      <c r="BK44">
        <v>0.81014492753623102</v>
      </c>
      <c r="BL44" t="s">
        <v>149</v>
      </c>
      <c r="BM44">
        <v>0.911904761904761</v>
      </c>
      <c r="BN44" t="s">
        <v>154</v>
      </c>
      <c r="BO44">
        <v>0.94754098360655703</v>
      </c>
      <c r="BP44" t="s">
        <v>114</v>
      </c>
      <c r="BQ44">
        <v>0.89945945945945904</v>
      </c>
      <c r="BR44" t="s">
        <v>147</v>
      </c>
      <c r="BS44">
        <v>0.77678571428571397</v>
      </c>
      <c r="BT44" t="s">
        <v>143</v>
      </c>
      <c r="BU44">
        <v>1.2947976878612699</v>
      </c>
      <c r="BV44" t="s">
        <v>149</v>
      </c>
      <c r="BW44">
        <v>1.032992036405</v>
      </c>
    </row>
    <row r="45" spans="1:75" x14ac:dyDescent="0.4">
      <c r="A45">
        <v>43</v>
      </c>
      <c r="B45" t="s">
        <v>132</v>
      </c>
      <c r="C45">
        <v>1.1588785631437899</v>
      </c>
      <c r="D45" t="s">
        <v>138</v>
      </c>
      <c r="E45">
        <v>0.67758770515411604</v>
      </c>
      <c r="F45" t="s">
        <v>106</v>
      </c>
      <c r="G45">
        <v>0.71309192200557103</v>
      </c>
      <c r="H45" t="s">
        <v>128</v>
      </c>
      <c r="I45">
        <v>1.14993261455525</v>
      </c>
      <c r="J45" t="s">
        <v>104</v>
      </c>
      <c r="K45">
        <v>1.06451612903225</v>
      </c>
      <c r="L45" t="s">
        <v>117</v>
      </c>
      <c r="M45">
        <v>1.1016377649325599</v>
      </c>
      <c r="N45" t="s">
        <v>146</v>
      </c>
      <c r="O45">
        <v>0.75473331169533697</v>
      </c>
      <c r="P45" t="s">
        <v>128</v>
      </c>
      <c r="Q45">
        <v>1.3136990645314699</v>
      </c>
      <c r="R45" t="s">
        <v>148</v>
      </c>
      <c r="S45">
        <v>1.0461057473467299</v>
      </c>
      <c r="T45" t="s">
        <v>106</v>
      </c>
      <c r="U45">
        <v>1.0623885918003499</v>
      </c>
      <c r="V45" t="s">
        <v>106</v>
      </c>
      <c r="W45">
        <v>1.1241610738254999</v>
      </c>
      <c r="X45" t="s">
        <v>102</v>
      </c>
      <c r="Y45">
        <v>0.93905431637548897</v>
      </c>
      <c r="Z45" t="s">
        <v>152</v>
      </c>
      <c r="AA45">
        <v>0.97943444730077101</v>
      </c>
      <c r="AB45" t="s">
        <v>139</v>
      </c>
      <c r="AC45">
        <v>1.08411214953271</v>
      </c>
      <c r="AD45" t="s">
        <v>143</v>
      </c>
      <c r="AE45">
        <v>0.79582366589327103</v>
      </c>
      <c r="AF45" t="s">
        <v>152</v>
      </c>
      <c r="AG45">
        <v>1.07490636704119</v>
      </c>
      <c r="AH45" t="s">
        <v>140</v>
      </c>
      <c r="AI45">
        <v>0.94568690095846597</v>
      </c>
      <c r="AJ45" t="s">
        <v>146</v>
      </c>
      <c r="AK45">
        <v>0.79361702127659495</v>
      </c>
      <c r="AL45" t="s">
        <v>154</v>
      </c>
      <c r="AM45">
        <v>1.0754716981132</v>
      </c>
      <c r="AN45" t="s">
        <v>154</v>
      </c>
      <c r="AO45">
        <v>1.0463659147869599</v>
      </c>
      <c r="AP45" t="s">
        <v>133</v>
      </c>
      <c r="AQ45">
        <v>1.0071942446043101</v>
      </c>
      <c r="AR45" t="s">
        <v>130</v>
      </c>
      <c r="AS45">
        <v>0.89434889434889397</v>
      </c>
      <c r="AT45" t="s">
        <v>106</v>
      </c>
      <c r="AU45">
        <v>1.11589008363201</v>
      </c>
      <c r="AV45" t="s">
        <v>149</v>
      </c>
      <c r="AW45">
        <v>0.88888888888888795</v>
      </c>
      <c r="AX45" t="s">
        <v>149</v>
      </c>
      <c r="AY45">
        <v>1.1886363636363599</v>
      </c>
      <c r="AZ45" t="s">
        <v>149</v>
      </c>
      <c r="BA45">
        <v>1.3403441682600299</v>
      </c>
      <c r="BB45" t="s">
        <v>143</v>
      </c>
      <c r="BC45">
        <v>0.92620320855614902</v>
      </c>
      <c r="BD45" t="s">
        <v>128</v>
      </c>
      <c r="BE45">
        <v>1.2755905511811001</v>
      </c>
      <c r="BF45" t="s">
        <v>144</v>
      </c>
      <c r="BG45">
        <v>1.30300429184549</v>
      </c>
      <c r="BH45" t="s">
        <v>143</v>
      </c>
      <c r="BI45">
        <v>0.94133697135061301</v>
      </c>
      <c r="BJ45" t="s">
        <v>146</v>
      </c>
      <c r="BK45">
        <v>0.66589327146171695</v>
      </c>
      <c r="BL45" t="s">
        <v>143</v>
      </c>
      <c r="BM45">
        <v>1.0339892665474</v>
      </c>
      <c r="BN45" t="s">
        <v>114</v>
      </c>
      <c r="BO45">
        <v>0.91133004926108296</v>
      </c>
      <c r="BP45" t="s">
        <v>116</v>
      </c>
      <c r="BQ45">
        <v>0.87909604519773998</v>
      </c>
      <c r="BR45" t="s">
        <v>143</v>
      </c>
      <c r="BS45">
        <v>1.31259484066767</v>
      </c>
      <c r="BT45" t="s">
        <v>146</v>
      </c>
      <c r="BU45">
        <v>1.35</v>
      </c>
      <c r="BV45" t="s">
        <v>147</v>
      </c>
      <c r="BW45">
        <v>1.1621621621621601</v>
      </c>
    </row>
    <row r="46" spans="1:75" x14ac:dyDescent="0.4">
      <c r="A46">
        <v>44</v>
      </c>
      <c r="B46" t="s">
        <v>135</v>
      </c>
      <c r="C46">
        <v>0.83393501805054104</v>
      </c>
      <c r="D46" t="s">
        <v>133</v>
      </c>
      <c r="E46">
        <v>0.976958525345622</v>
      </c>
      <c r="F46" t="s">
        <v>132</v>
      </c>
      <c r="G46">
        <v>0.47277937327230402</v>
      </c>
      <c r="H46" t="s">
        <v>126</v>
      </c>
      <c r="I46">
        <v>1.02755905511811</v>
      </c>
      <c r="J46" t="s">
        <v>127</v>
      </c>
      <c r="K46">
        <v>1.7958333333333301</v>
      </c>
      <c r="L46" t="s">
        <v>152</v>
      </c>
      <c r="M46">
        <v>1.0122324159021401</v>
      </c>
      <c r="N46" t="s">
        <v>152</v>
      </c>
      <c r="O46">
        <v>0.83987915407854896</v>
      </c>
      <c r="P46" t="s">
        <v>133</v>
      </c>
      <c r="Q46">
        <v>0.91717791411042904</v>
      </c>
      <c r="R46" t="s">
        <v>143</v>
      </c>
      <c r="S46">
        <v>1.0825688073394399</v>
      </c>
      <c r="T46" t="s">
        <v>128</v>
      </c>
      <c r="U46">
        <v>1.05843724636611</v>
      </c>
      <c r="V46" t="s">
        <v>128</v>
      </c>
      <c r="W46">
        <v>1.01380271871732</v>
      </c>
      <c r="X46" t="s">
        <v>120</v>
      </c>
      <c r="Y46">
        <v>0.94569288389513095</v>
      </c>
      <c r="Z46" t="s">
        <v>154</v>
      </c>
      <c r="AA46">
        <v>1.23949579831932</v>
      </c>
      <c r="AB46" t="s">
        <v>149</v>
      </c>
      <c r="AC46">
        <v>0.71410736579275902</v>
      </c>
      <c r="AD46" t="s">
        <v>146</v>
      </c>
      <c r="AE46">
        <v>0.97471549192364104</v>
      </c>
      <c r="AF46" t="s">
        <v>154</v>
      </c>
      <c r="AG46">
        <v>0.99051008303677301</v>
      </c>
      <c r="AH46" t="s">
        <v>143</v>
      </c>
      <c r="AI46">
        <v>0.81196581196581197</v>
      </c>
      <c r="AJ46" t="s">
        <v>117</v>
      </c>
      <c r="AK46">
        <v>1.08</v>
      </c>
      <c r="AL46" t="s">
        <v>114</v>
      </c>
      <c r="AM46">
        <v>1.0447427293064799</v>
      </c>
      <c r="AN46" t="s">
        <v>114</v>
      </c>
      <c r="AO46">
        <v>1.10813704496788</v>
      </c>
      <c r="AP46" t="s">
        <v>143</v>
      </c>
      <c r="AQ46">
        <v>1.33663366336633</v>
      </c>
      <c r="AR46" t="s">
        <v>104</v>
      </c>
      <c r="AS46">
        <v>0.85892116182572598</v>
      </c>
      <c r="AT46" t="s">
        <v>128</v>
      </c>
      <c r="AU46">
        <v>1.1451676014086301</v>
      </c>
      <c r="AV46" t="s">
        <v>143</v>
      </c>
      <c r="AW46">
        <v>1.2602579132473599</v>
      </c>
      <c r="AX46" t="s">
        <v>143</v>
      </c>
      <c r="AY46">
        <v>1.2</v>
      </c>
      <c r="AZ46" t="s">
        <v>143</v>
      </c>
      <c r="BA46">
        <v>0.724806201550387</v>
      </c>
      <c r="BB46" t="s">
        <v>146</v>
      </c>
      <c r="BC46">
        <v>0.862697448359659</v>
      </c>
      <c r="BD46" t="s">
        <v>135</v>
      </c>
      <c r="BE46">
        <v>1.5180180180180101</v>
      </c>
      <c r="BF46" t="s">
        <v>149</v>
      </c>
      <c r="BG46">
        <v>0.97868561278863198</v>
      </c>
      <c r="BH46" t="s">
        <v>146</v>
      </c>
      <c r="BI46">
        <v>1.16172506738544</v>
      </c>
      <c r="BJ46" t="s">
        <v>154</v>
      </c>
      <c r="BK46">
        <v>0.76885644768856398</v>
      </c>
      <c r="BL46" t="s">
        <v>146</v>
      </c>
      <c r="BM46">
        <v>0.93728222996515598</v>
      </c>
      <c r="BN46" t="s">
        <v>160</v>
      </c>
      <c r="BO46">
        <v>1.01370851370851</v>
      </c>
      <c r="BP46" t="s">
        <v>119</v>
      </c>
      <c r="BQ46">
        <v>0.96174863387978105</v>
      </c>
      <c r="BR46" t="s">
        <v>146</v>
      </c>
      <c r="BS46">
        <v>0.73825503355704702</v>
      </c>
      <c r="BT46" t="s">
        <v>161</v>
      </c>
      <c r="BU46">
        <v>0.95774647887323905</v>
      </c>
      <c r="BV46" t="s">
        <v>143</v>
      </c>
      <c r="BW46">
        <v>0.85178571428571404</v>
      </c>
    </row>
    <row r="47" spans="1:75" x14ac:dyDescent="0.4">
      <c r="A47">
        <v>45</v>
      </c>
      <c r="B47" t="s">
        <v>138</v>
      </c>
      <c r="C47">
        <v>0.87481021899382105</v>
      </c>
      <c r="D47" t="s">
        <v>109</v>
      </c>
      <c r="E47">
        <v>1.0691056910569099</v>
      </c>
      <c r="F47" t="s">
        <v>138</v>
      </c>
      <c r="G47">
        <v>0.38040828486207001</v>
      </c>
      <c r="H47" t="s">
        <v>109</v>
      </c>
      <c r="I47">
        <v>0.76506024096385505</v>
      </c>
      <c r="J47" t="s">
        <v>106</v>
      </c>
      <c r="K47">
        <v>1.42631578947368</v>
      </c>
      <c r="L47" t="s">
        <v>154</v>
      </c>
      <c r="M47">
        <v>1.03264604810996</v>
      </c>
      <c r="N47" t="s">
        <v>154</v>
      </c>
      <c r="O47">
        <v>0.97504159733776996</v>
      </c>
      <c r="P47" t="s">
        <v>109</v>
      </c>
      <c r="Q47">
        <v>0.78737541528239197</v>
      </c>
      <c r="R47" t="s">
        <v>146</v>
      </c>
      <c r="S47">
        <v>0.81537113032391695</v>
      </c>
      <c r="T47" t="s">
        <v>133</v>
      </c>
      <c r="U47">
        <v>0.98854961832060995</v>
      </c>
      <c r="V47" t="s">
        <v>133</v>
      </c>
      <c r="W47">
        <v>1.12355212355212</v>
      </c>
      <c r="X47" t="s">
        <v>124</v>
      </c>
      <c r="Y47">
        <v>0.85074626865671599</v>
      </c>
      <c r="Z47" t="s">
        <v>114</v>
      </c>
      <c r="AA47">
        <v>1.5656652360515</v>
      </c>
      <c r="AB47" t="s">
        <v>143</v>
      </c>
      <c r="AC47">
        <v>0.98065984072809997</v>
      </c>
      <c r="AD47" t="s">
        <v>152</v>
      </c>
      <c r="AE47">
        <v>1.02298850574712</v>
      </c>
      <c r="AF47" t="s">
        <v>114</v>
      </c>
      <c r="AG47">
        <v>1.0314960629921199</v>
      </c>
      <c r="AH47" t="s">
        <v>146</v>
      </c>
      <c r="AI47">
        <v>0.84590464347655303</v>
      </c>
      <c r="AJ47" t="s">
        <v>152</v>
      </c>
      <c r="AK47">
        <v>1.12415654520917</v>
      </c>
      <c r="AL47" t="s">
        <v>116</v>
      </c>
      <c r="AM47">
        <v>1.2701149425287299</v>
      </c>
      <c r="AN47" t="s">
        <v>116</v>
      </c>
      <c r="AO47">
        <v>1.31900452488687</v>
      </c>
      <c r="AP47" t="s">
        <v>146</v>
      </c>
      <c r="AQ47">
        <v>1.12447123519458</v>
      </c>
      <c r="AR47" t="s">
        <v>106</v>
      </c>
      <c r="AS47">
        <v>1.2183406113537101</v>
      </c>
      <c r="AT47" t="s">
        <v>133</v>
      </c>
      <c r="AU47">
        <v>0.94545454545454499</v>
      </c>
      <c r="AV47" t="s">
        <v>146</v>
      </c>
      <c r="AW47">
        <v>0.97288359788359702</v>
      </c>
      <c r="AX47" t="s">
        <v>146</v>
      </c>
      <c r="AY47">
        <v>0.74161053086953799</v>
      </c>
      <c r="AZ47" t="s">
        <v>146</v>
      </c>
      <c r="BA47">
        <v>0.68583333333333296</v>
      </c>
      <c r="BB47" t="s">
        <v>152</v>
      </c>
      <c r="BC47">
        <v>1.10227272727272</v>
      </c>
      <c r="BD47" t="s">
        <v>126</v>
      </c>
      <c r="BE47">
        <v>0.91954022988505701</v>
      </c>
      <c r="BF47" t="s">
        <v>143</v>
      </c>
      <c r="BG47">
        <v>0.868483412322274</v>
      </c>
      <c r="BH47" t="s">
        <v>154</v>
      </c>
      <c r="BI47">
        <v>1.0873015873015801</v>
      </c>
      <c r="BJ47" t="s">
        <v>114</v>
      </c>
      <c r="BK47">
        <v>0.952060555088309</v>
      </c>
      <c r="BL47" t="s">
        <v>154</v>
      </c>
      <c r="BM47">
        <v>0.965189873417721</v>
      </c>
      <c r="BN47" t="s">
        <v>116</v>
      </c>
      <c r="BO47">
        <v>0.98006644518272401</v>
      </c>
      <c r="BP47" t="s">
        <v>159</v>
      </c>
      <c r="BQ47">
        <v>1.1404056162246401</v>
      </c>
      <c r="BR47" t="s">
        <v>152</v>
      </c>
      <c r="BS47">
        <v>1.0888888888888799</v>
      </c>
      <c r="BT47" t="s">
        <v>152</v>
      </c>
      <c r="BU47">
        <v>1.04489795918367</v>
      </c>
      <c r="BV47" t="s">
        <v>146</v>
      </c>
      <c r="BW47">
        <v>0.96969696969696895</v>
      </c>
    </row>
    <row r="48" spans="1:75" x14ac:dyDescent="0.4">
      <c r="A48">
        <v>46</v>
      </c>
      <c r="B48" t="s">
        <v>126</v>
      </c>
      <c r="C48">
        <v>1.18652849740932</v>
      </c>
      <c r="D48" t="s">
        <v>147</v>
      </c>
      <c r="E48">
        <v>0.45678964016159801</v>
      </c>
      <c r="F48" t="s">
        <v>133</v>
      </c>
      <c r="G48">
        <v>0.52358490566037696</v>
      </c>
      <c r="H48" t="s">
        <v>147</v>
      </c>
      <c r="I48">
        <v>0.93999898531239601</v>
      </c>
      <c r="J48" t="s">
        <v>128</v>
      </c>
      <c r="K48">
        <v>0.96740404336360897</v>
      </c>
      <c r="L48" t="s">
        <v>114</v>
      </c>
      <c r="M48">
        <v>1.1742424242424201</v>
      </c>
      <c r="N48" t="s">
        <v>114</v>
      </c>
      <c r="O48">
        <v>0.891612903225806</v>
      </c>
      <c r="P48" t="s">
        <v>147</v>
      </c>
      <c r="Q48">
        <v>0.38348357360452001</v>
      </c>
      <c r="R48" t="s">
        <v>117</v>
      </c>
      <c r="S48">
        <v>0.96384270256004201</v>
      </c>
      <c r="T48" t="s">
        <v>109</v>
      </c>
      <c r="U48">
        <v>1.2916666666666601</v>
      </c>
      <c r="V48" t="s">
        <v>109</v>
      </c>
      <c r="W48">
        <v>1.10850439882697</v>
      </c>
      <c r="X48" t="s">
        <v>104</v>
      </c>
      <c r="Y48">
        <v>0.90909090909090895</v>
      </c>
      <c r="Z48" t="s">
        <v>116</v>
      </c>
      <c r="AA48">
        <v>0.93040293040292998</v>
      </c>
      <c r="AB48" t="s">
        <v>146</v>
      </c>
      <c r="AC48">
        <v>1.14924586014133</v>
      </c>
      <c r="AD48" t="s">
        <v>154</v>
      </c>
      <c r="AE48">
        <v>0.98137369033760102</v>
      </c>
      <c r="AF48" t="s">
        <v>116</v>
      </c>
      <c r="AG48">
        <v>1.2515644555694601</v>
      </c>
      <c r="AH48" t="s">
        <v>117</v>
      </c>
      <c r="AI48">
        <v>0.95816033216224805</v>
      </c>
      <c r="AJ48" t="s">
        <v>154</v>
      </c>
      <c r="AK48">
        <v>1.0363128491620099</v>
      </c>
      <c r="AL48" t="s">
        <v>119</v>
      </c>
      <c r="AM48">
        <v>1.0623223710921601</v>
      </c>
      <c r="AN48" t="s">
        <v>119</v>
      </c>
      <c r="AO48">
        <v>1.5121345308618299</v>
      </c>
      <c r="AP48" t="s">
        <v>152</v>
      </c>
      <c r="AQ48">
        <v>1.02727272727272</v>
      </c>
      <c r="AR48" t="s">
        <v>128</v>
      </c>
      <c r="AS48">
        <v>0.94223915447953699</v>
      </c>
      <c r="AT48" t="s">
        <v>149</v>
      </c>
      <c r="AU48">
        <v>0.92696629213483095</v>
      </c>
      <c r="AV48" t="s">
        <v>152</v>
      </c>
      <c r="AW48">
        <v>0.98956975228161603</v>
      </c>
      <c r="AX48" t="s">
        <v>152</v>
      </c>
      <c r="AY48">
        <v>1.0540184453227901</v>
      </c>
      <c r="AZ48" t="s">
        <v>152</v>
      </c>
      <c r="BA48">
        <v>1.1000000000000001</v>
      </c>
      <c r="BB48" t="s">
        <v>154</v>
      </c>
      <c r="BC48">
        <v>1.12179487179487</v>
      </c>
      <c r="BD48" t="s">
        <v>149</v>
      </c>
      <c r="BE48">
        <v>0.95101351351351304</v>
      </c>
      <c r="BF48" t="s">
        <v>146</v>
      </c>
      <c r="BG48">
        <v>1.7018348623853199</v>
      </c>
      <c r="BH48" t="s">
        <v>114</v>
      </c>
      <c r="BI48">
        <v>0.96431467964314599</v>
      </c>
      <c r="BJ48" t="s">
        <v>116</v>
      </c>
      <c r="BK48">
        <v>0.87258687258687195</v>
      </c>
      <c r="BL48" t="s">
        <v>114</v>
      </c>
      <c r="BM48">
        <v>0.89664310954063597</v>
      </c>
      <c r="BN48" t="s">
        <v>159</v>
      </c>
      <c r="BO48">
        <v>0.99379844961240305</v>
      </c>
      <c r="BP48" t="s">
        <v>166</v>
      </c>
      <c r="BQ48">
        <v>0.98113207547169801</v>
      </c>
      <c r="BR48" t="s">
        <v>154</v>
      </c>
      <c r="BS48">
        <v>1.0640000000000001</v>
      </c>
      <c r="BT48" t="s">
        <v>154</v>
      </c>
      <c r="BU48">
        <v>0.87593984962406002</v>
      </c>
      <c r="BV48" t="s">
        <v>161</v>
      </c>
      <c r="BW48">
        <v>1.1094771241829999</v>
      </c>
    </row>
    <row r="49" spans="1:75" x14ac:dyDescent="0.4">
      <c r="A49">
        <v>47</v>
      </c>
      <c r="B49" t="s">
        <v>133</v>
      </c>
      <c r="C49">
        <v>0.99541284403669705</v>
      </c>
      <c r="D49" t="s">
        <v>143</v>
      </c>
      <c r="E49">
        <v>0.99842519685039299</v>
      </c>
      <c r="F49" t="s">
        <v>156</v>
      </c>
      <c r="G49">
        <v>0.5</v>
      </c>
      <c r="H49" t="s">
        <v>143</v>
      </c>
      <c r="I49">
        <v>0.99354613640327905</v>
      </c>
      <c r="J49" t="s">
        <v>126</v>
      </c>
      <c r="K49">
        <v>1.17241379310344</v>
      </c>
      <c r="L49" t="s">
        <v>116</v>
      </c>
      <c r="M49">
        <v>0.98835705045278099</v>
      </c>
      <c r="N49" t="s">
        <v>116</v>
      </c>
      <c r="O49">
        <v>0.92539267015706805</v>
      </c>
      <c r="P49" t="s">
        <v>143</v>
      </c>
      <c r="Q49">
        <v>1.01395348837209</v>
      </c>
      <c r="R49" t="s">
        <v>152</v>
      </c>
      <c r="S49">
        <v>1.3485714285714201</v>
      </c>
      <c r="T49" t="s">
        <v>143</v>
      </c>
      <c r="U49">
        <v>1.13418079096045</v>
      </c>
      <c r="V49" t="s">
        <v>143</v>
      </c>
      <c r="W49">
        <v>1.20672478206724</v>
      </c>
      <c r="X49" t="s">
        <v>106</v>
      </c>
      <c r="Y49">
        <v>0.93582089552238801</v>
      </c>
      <c r="Z49" t="s">
        <v>119</v>
      </c>
      <c r="AA49">
        <v>1.13173940949935</v>
      </c>
      <c r="AB49" t="s">
        <v>152</v>
      </c>
      <c r="AC49">
        <v>1.02755905511811</v>
      </c>
      <c r="AD49" t="s">
        <v>114</v>
      </c>
      <c r="AE49">
        <v>0.90779127948534599</v>
      </c>
      <c r="AF49" t="s">
        <v>119</v>
      </c>
      <c r="AG49">
        <v>1.3422655298416499</v>
      </c>
      <c r="AH49" t="s">
        <v>152</v>
      </c>
      <c r="AI49">
        <v>0.86062717770034802</v>
      </c>
      <c r="AJ49" t="s">
        <v>173</v>
      </c>
      <c r="AK49">
        <v>1.0627906976744099</v>
      </c>
      <c r="AL49" t="s">
        <v>159</v>
      </c>
      <c r="AM49">
        <v>0.96226415094339601</v>
      </c>
      <c r="AN49" t="s">
        <v>159</v>
      </c>
      <c r="AO49">
        <v>1.09313725490196</v>
      </c>
      <c r="AP49" t="s">
        <v>154</v>
      </c>
      <c r="AQ49">
        <v>1.3712574850299399</v>
      </c>
      <c r="AR49" t="s">
        <v>126</v>
      </c>
      <c r="AS49">
        <v>0.98993963782696104</v>
      </c>
      <c r="AT49" t="s">
        <v>143</v>
      </c>
      <c r="AU49">
        <v>0.86598984771573595</v>
      </c>
      <c r="AV49" t="s">
        <v>154</v>
      </c>
      <c r="AW49">
        <v>1.1578947368421</v>
      </c>
      <c r="AX49" t="s">
        <v>154</v>
      </c>
      <c r="AY49">
        <v>1.0340909090909001</v>
      </c>
      <c r="AZ49" t="s">
        <v>154</v>
      </c>
      <c r="BA49">
        <v>1.1428571428571399</v>
      </c>
      <c r="BB49" t="s">
        <v>114</v>
      </c>
      <c r="BC49">
        <v>0.91397849462365499</v>
      </c>
      <c r="BD49" t="s">
        <v>143</v>
      </c>
      <c r="BE49">
        <v>0.97459584295612001</v>
      </c>
      <c r="BF49" t="s">
        <v>154</v>
      </c>
      <c r="BG49">
        <v>1.04709141274238</v>
      </c>
      <c r="BH49" t="s">
        <v>160</v>
      </c>
      <c r="BI49">
        <v>0.72631208171891504</v>
      </c>
      <c r="BJ49" t="s">
        <v>159</v>
      </c>
      <c r="BK49">
        <v>0.87907608695652095</v>
      </c>
      <c r="BL49" t="s">
        <v>160</v>
      </c>
      <c r="BM49">
        <v>0.85239852398523897</v>
      </c>
      <c r="BN49" t="s">
        <v>166</v>
      </c>
      <c r="BO49">
        <v>1.06354515050167</v>
      </c>
      <c r="BP49" t="s">
        <v>123</v>
      </c>
      <c r="BQ49">
        <v>1.1389678212118799</v>
      </c>
      <c r="BR49" t="s">
        <v>114</v>
      </c>
      <c r="BS49">
        <v>1.06490384615384</v>
      </c>
      <c r="BT49" t="s">
        <v>114</v>
      </c>
      <c r="BU49">
        <v>1.0857787810383699</v>
      </c>
      <c r="BV49" t="s">
        <v>154</v>
      </c>
      <c r="BW49">
        <v>1.02145922746781</v>
      </c>
    </row>
    <row r="50" spans="1:75" x14ac:dyDescent="0.4">
      <c r="A50">
        <v>48</v>
      </c>
      <c r="B50" t="s">
        <v>109</v>
      </c>
      <c r="C50">
        <v>0.89454545454545398</v>
      </c>
      <c r="D50" t="s">
        <v>146</v>
      </c>
      <c r="E50">
        <v>0.72622261489880402</v>
      </c>
      <c r="F50" t="s">
        <v>109</v>
      </c>
      <c r="G50">
        <v>0.75741444866920105</v>
      </c>
      <c r="H50" t="s">
        <v>117</v>
      </c>
      <c r="I50">
        <v>1.1165624999999999</v>
      </c>
      <c r="J50" t="s">
        <v>156</v>
      </c>
      <c r="K50">
        <v>1.25103541543402</v>
      </c>
      <c r="L50" t="s">
        <v>159</v>
      </c>
      <c r="M50">
        <v>1.22349974037534</v>
      </c>
      <c r="N50" t="s">
        <v>166</v>
      </c>
      <c r="O50">
        <v>0.96666666666666601</v>
      </c>
      <c r="P50" t="s">
        <v>146</v>
      </c>
      <c r="Q50">
        <v>0.89947677752293498</v>
      </c>
      <c r="R50" t="s">
        <v>154</v>
      </c>
      <c r="S50">
        <v>1.34146341463414</v>
      </c>
      <c r="T50" t="s">
        <v>117</v>
      </c>
      <c r="U50">
        <v>0.943592552026287</v>
      </c>
      <c r="V50" t="s">
        <v>117</v>
      </c>
      <c r="W50">
        <v>1.0197330237957001</v>
      </c>
      <c r="X50" t="s">
        <v>128</v>
      </c>
      <c r="Y50">
        <v>0.86055146806023497</v>
      </c>
      <c r="Z50" t="s">
        <v>159</v>
      </c>
      <c r="AA50">
        <v>0.94236311239193005</v>
      </c>
      <c r="AB50" t="s">
        <v>154</v>
      </c>
      <c r="AC50">
        <v>0.72796610169491505</v>
      </c>
      <c r="AD50" t="s">
        <v>116</v>
      </c>
      <c r="AE50">
        <v>0.83229166666666599</v>
      </c>
      <c r="AF50" t="s">
        <v>159</v>
      </c>
      <c r="AG50">
        <v>1.2556818181818099</v>
      </c>
      <c r="AH50" t="s">
        <v>154</v>
      </c>
      <c r="AI50">
        <v>0.85748502994011899</v>
      </c>
      <c r="AJ50" t="s">
        <v>114</v>
      </c>
      <c r="AK50">
        <v>1.1316455696202501</v>
      </c>
      <c r="AL50" t="s">
        <v>166</v>
      </c>
      <c r="AM50">
        <v>0.97727272727272696</v>
      </c>
      <c r="AN50" t="s">
        <v>166</v>
      </c>
      <c r="AO50">
        <v>0.95348837209302295</v>
      </c>
      <c r="AP50" t="s">
        <v>114</v>
      </c>
      <c r="AQ50">
        <v>1.0135265700483</v>
      </c>
      <c r="AR50" t="s">
        <v>133</v>
      </c>
      <c r="AS50">
        <v>0.98214285714285698</v>
      </c>
      <c r="AT50" t="s">
        <v>146</v>
      </c>
      <c r="AU50">
        <v>0.75281763454487804</v>
      </c>
      <c r="AV50" t="s">
        <v>114</v>
      </c>
      <c r="AW50">
        <v>1.16526845637583</v>
      </c>
      <c r="AX50" t="s">
        <v>114</v>
      </c>
      <c r="AY50">
        <v>0.920086393088552</v>
      </c>
      <c r="AZ50" t="s">
        <v>114</v>
      </c>
      <c r="BA50">
        <v>1.0187793427230001</v>
      </c>
      <c r="BB50" t="s">
        <v>160</v>
      </c>
      <c r="BC50">
        <v>1.2253193960511</v>
      </c>
      <c r="BD50" t="s">
        <v>146</v>
      </c>
      <c r="BE50">
        <v>1.53521126760563</v>
      </c>
      <c r="BF50" t="s">
        <v>114</v>
      </c>
      <c r="BG50">
        <v>1.0583690987124399</v>
      </c>
      <c r="BH50" t="s">
        <v>116</v>
      </c>
      <c r="BI50">
        <v>0.89619377162629699</v>
      </c>
      <c r="BJ50" t="s">
        <v>166</v>
      </c>
      <c r="BK50">
        <v>1.16911764705882</v>
      </c>
      <c r="BL50" t="s">
        <v>116</v>
      </c>
      <c r="BM50">
        <v>0.79911504424778701</v>
      </c>
      <c r="BN50" t="s">
        <v>163</v>
      </c>
      <c r="BO50">
        <v>0.98065476190476097</v>
      </c>
      <c r="BP50" t="s">
        <v>171</v>
      </c>
      <c r="BQ50">
        <v>0.97156398104265396</v>
      </c>
      <c r="BR50" t="s">
        <v>116</v>
      </c>
      <c r="BS50">
        <v>0.93187660668380401</v>
      </c>
      <c r="BT50" t="s">
        <v>116</v>
      </c>
      <c r="BU50">
        <v>1.26758620689655</v>
      </c>
      <c r="BV50" t="s">
        <v>114</v>
      </c>
      <c r="BW50">
        <v>1.1434511434511401</v>
      </c>
    </row>
    <row r="51" spans="1:75" x14ac:dyDescent="0.4">
      <c r="A51">
        <v>49</v>
      </c>
      <c r="B51" t="s">
        <v>144</v>
      </c>
      <c r="C51">
        <v>0.90491484184914805</v>
      </c>
      <c r="D51" t="s">
        <v>117</v>
      </c>
      <c r="E51">
        <v>0.71274738067520305</v>
      </c>
      <c r="F51" t="s">
        <v>147</v>
      </c>
      <c r="G51">
        <v>0.84459575270383702</v>
      </c>
      <c r="H51" t="s">
        <v>152</v>
      </c>
      <c r="I51">
        <v>0.87694483734087603</v>
      </c>
      <c r="J51" t="s">
        <v>109</v>
      </c>
      <c r="K51">
        <v>1.64041994750656</v>
      </c>
      <c r="L51" t="s">
        <v>166</v>
      </c>
      <c r="M51">
        <v>1.0526315789473599</v>
      </c>
      <c r="N51" t="s">
        <v>122</v>
      </c>
      <c r="O51">
        <v>0.73378839590443601</v>
      </c>
      <c r="P51" t="s">
        <v>152</v>
      </c>
      <c r="Q51">
        <v>1.2589928057553901</v>
      </c>
      <c r="R51" t="s">
        <v>173</v>
      </c>
      <c r="S51">
        <v>1.0672514619883</v>
      </c>
      <c r="T51" t="s">
        <v>152</v>
      </c>
      <c r="U51">
        <v>0.72669491525423702</v>
      </c>
      <c r="V51" t="s">
        <v>152</v>
      </c>
      <c r="W51">
        <v>1.14431486880466</v>
      </c>
      <c r="X51" t="s">
        <v>143</v>
      </c>
      <c r="Y51">
        <v>1.4324045407636701</v>
      </c>
      <c r="Z51" t="s">
        <v>166</v>
      </c>
      <c r="AA51">
        <v>0.91059602649006599</v>
      </c>
      <c r="AB51" t="s">
        <v>114</v>
      </c>
      <c r="AC51">
        <v>0.76699561403508698</v>
      </c>
      <c r="AD51" t="s">
        <v>119</v>
      </c>
      <c r="AE51">
        <v>0.76987996999249797</v>
      </c>
      <c r="AF51" t="s">
        <v>166</v>
      </c>
      <c r="AG51">
        <v>1.11678832116788</v>
      </c>
      <c r="AH51" t="s">
        <v>114</v>
      </c>
      <c r="AI51">
        <v>0.60305343511450304</v>
      </c>
      <c r="AJ51" t="s">
        <v>116</v>
      </c>
      <c r="AK51">
        <v>1.08920187793427</v>
      </c>
      <c r="AL51" t="s">
        <v>163</v>
      </c>
      <c r="AM51">
        <v>0.99099099099099097</v>
      </c>
      <c r="AN51" t="s">
        <v>163</v>
      </c>
      <c r="AO51">
        <v>1.0727272727272701</v>
      </c>
      <c r="AP51" t="s">
        <v>116</v>
      </c>
      <c r="AQ51">
        <v>0.97770154373927898</v>
      </c>
      <c r="AR51" t="s">
        <v>149</v>
      </c>
      <c r="AS51">
        <v>1.2027027027027</v>
      </c>
      <c r="AT51" t="s">
        <v>152</v>
      </c>
      <c r="AU51">
        <v>0.96477987421383604</v>
      </c>
      <c r="AV51" t="s">
        <v>116</v>
      </c>
      <c r="AW51">
        <v>1.1957730812013301</v>
      </c>
      <c r="AX51" t="s">
        <v>160</v>
      </c>
      <c r="AY51">
        <v>1</v>
      </c>
      <c r="AZ51" t="s">
        <v>160</v>
      </c>
      <c r="BA51">
        <v>1.40228013029315</v>
      </c>
      <c r="BB51" t="s">
        <v>116</v>
      </c>
      <c r="BC51">
        <v>0.93992932862190803</v>
      </c>
      <c r="BD51" t="s">
        <v>152</v>
      </c>
      <c r="BE51">
        <v>1.19587628865979</v>
      </c>
      <c r="BF51" t="s">
        <v>119</v>
      </c>
      <c r="BG51">
        <v>1.20205596024235</v>
      </c>
      <c r="BH51" t="s">
        <v>119</v>
      </c>
      <c r="BI51">
        <v>1.0587868833890199</v>
      </c>
      <c r="BJ51" t="s">
        <v>169</v>
      </c>
      <c r="BK51">
        <v>0.82903533906399196</v>
      </c>
      <c r="BL51" t="s">
        <v>119</v>
      </c>
      <c r="BM51">
        <v>1.1907428144830099</v>
      </c>
      <c r="BN51" t="s">
        <v>123</v>
      </c>
      <c r="BO51">
        <v>1.07780812846618</v>
      </c>
      <c r="BP51" t="s">
        <v>125</v>
      </c>
      <c r="BQ51">
        <v>1</v>
      </c>
      <c r="BR51" t="s">
        <v>166</v>
      </c>
      <c r="BS51">
        <v>1.0128205128205101</v>
      </c>
      <c r="BT51" t="s">
        <v>166</v>
      </c>
      <c r="BU51">
        <v>0.936708860759493</v>
      </c>
      <c r="BV51" t="s">
        <v>116</v>
      </c>
      <c r="BW51">
        <v>1.4036996735582099</v>
      </c>
    </row>
    <row r="52" spans="1:75" x14ac:dyDescent="0.4">
      <c r="A52">
        <v>50</v>
      </c>
      <c r="B52" t="s">
        <v>147</v>
      </c>
      <c r="C52">
        <v>0.69156865757607899</v>
      </c>
      <c r="D52" t="s">
        <v>152</v>
      </c>
      <c r="E52">
        <v>1.1201923076922999</v>
      </c>
      <c r="F52" t="s">
        <v>143</v>
      </c>
      <c r="G52">
        <v>0.60961258994080703</v>
      </c>
      <c r="H52" t="s">
        <v>154</v>
      </c>
      <c r="I52">
        <v>0.94679186228482004</v>
      </c>
      <c r="J52" t="s">
        <v>147</v>
      </c>
      <c r="K52">
        <v>1.9319160075238</v>
      </c>
      <c r="L52" t="s">
        <v>122</v>
      </c>
      <c r="M52">
        <v>0.78342245989304804</v>
      </c>
      <c r="N52" t="s">
        <v>123</v>
      </c>
      <c r="O52">
        <v>1.18301778542742</v>
      </c>
      <c r="P52" t="s">
        <v>154</v>
      </c>
      <c r="Q52">
        <v>1.0494880546075001</v>
      </c>
      <c r="R52" t="s">
        <v>114</v>
      </c>
      <c r="S52">
        <v>1.09256449165402</v>
      </c>
      <c r="T52" t="s">
        <v>154</v>
      </c>
      <c r="U52">
        <v>1.0303030303030301</v>
      </c>
      <c r="V52" t="s">
        <v>154</v>
      </c>
      <c r="W52">
        <v>1.1341176470588199</v>
      </c>
      <c r="X52" t="s">
        <v>146</v>
      </c>
      <c r="Y52">
        <v>1.0770466226138</v>
      </c>
      <c r="Z52" t="s">
        <v>163</v>
      </c>
      <c r="AA52">
        <v>0.76753246753246696</v>
      </c>
      <c r="AB52" t="s">
        <v>116</v>
      </c>
      <c r="AC52">
        <v>0.94488188976377896</v>
      </c>
      <c r="AD52" t="s">
        <v>159</v>
      </c>
      <c r="AE52">
        <v>0.77821011673151697</v>
      </c>
      <c r="AF52" t="s">
        <v>163</v>
      </c>
      <c r="AG52">
        <v>1.31067961165048</v>
      </c>
      <c r="AH52" t="s">
        <v>116</v>
      </c>
      <c r="AI52">
        <v>0.63900000000000001</v>
      </c>
      <c r="AJ52" t="s">
        <v>119</v>
      </c>
      <c r="AK52">
        <v>1.2311922019495101</v>
      </c>
      <c r="AL52" t="s">
        <v>122</v>
      </c>
      <c r="AM52">
        <v>0.96250000000000002</v>
      </c>
      <c r="AN52" t="s">
        <v>122</v>
      </c>
      <c r="AO52">
        <v>0.94805194805194803</v>
      </c>
      <c r="AP52" t="s">
        <v>119</v>
      </c>
      <c r="AQ52">
        <v>1.0337419436370501</v>
      </c>
      <c r="AR52" t="s">
        <v>143</v>
      </c>
      <c r="AS52">
        <v>0.81069958847736601</v>
      </c>
      <c r="AT52" t="s">
        <v>154</v>
      </c>
      <c r="AU52">
        <v>0.92307692307692302</v>
      </c>
      <c r="AV52" t="s">
        <v>119</v>
      </c>
      <c r="AW52">
        <v>1.3855614119150199</v>
      </c>
      <c r="AX52" t="s">
        <v>116</v>
      </c>
      <c r="AY52">
        <v>1.0511627906976699</v>
      </c>
      <c r="AZ52" t="s">
        <v>116</v>
      </c>
      <c r="BA52">
        <v>1.2522123893805299</v>
      </c>
      <c r="BB52" t="s">
        <v>119</v>
      </c>
      <c r="BC52">
        <v>0.99046793760831797</v>
      </c>
      <c r="BD52" t="s">
        <v>154</v>
      </c>
      <c r="BE52">
        <v>1.03142857142857</v>
      </c>
      <c r="BF52" t="s">
        <v>159</v>
      </c>
      <c r="BG52">
        <v>1.24155844155844</v>
      </c>
      <c r="BH52" t="s">
        <v>159</v>
      </c>
      <c r="BI52">
        <v>0.76987447698744704</v>
      </c>
      <c r="BJ52" t="s">
        <v>171</v>
      </c>
      <c r="BK52">
        <v>1.07317073170731</v>
      </c>
      <c r="BL52" t="s">
        <v>159</v>
      </c>
      <c r="BM52">
        <v>0.99690880989180797</v>
      </c>
      <c r="BN52" t="s">
        <v>169</v>
      </c>
      <c r="BO52">
        <v>0.87616897774911295</v>
      </c>
      <c r="BP52" t="s">
        <v>175</v>
      </c>
      <c r="BQ52">
        <v>0.92020202020202002</v>
      </c>
      <c r="BR52" t="s">
        <v>171</v>
      </c>
      <c r="BS52">
        <v>1.0146341463414601</v>
      </c>
      <c r="BT52" t="s">
        <v>163</v>
      </c>
      <c r="BU52">
        <v>1.0456692913385801</v>
      </c>
      <c r="BV52" t="s">
        <v>119</v>
      </c>
      <c r="BW52">
        <v>1.0944055944055899</v>
      </c>
    </row>
    <row r="53" spans="1:75" x14ac:dyDescent="0.4">
      <c r="A53">
        <v>51</v>
      </c>
      <c r="B53" t="s">
        <v>143</v>
      </c>
      <c r="C53">
        <v>1.42058165548098</v>
      </c>
      <c r="D53" t="s">
        <v>154</v>
      </c>
      <c r="E53">
        <v>0.95555555555555505</v>
      </c>
      <c r="F53" t="s">
        <v>146</v>
      </c>
      <c r="G53">
        <v>0.462195286802144</v>
      </c>
      <c r="H53" t="s">
        <v>116</v>
      </c>
      <c r="I53">
        <v>1.0780399274047101</v>
      </c>
      <c r="J53" t="s">
        <v>143</v>
      </c>
      <c r="K53">
        <v>1.25526685393258</v>
      </c>
      <c r="L53" t="s">
        <v>123</v>
      </c>
      <c r="M53">
        <v>1.11614929560285</v>
      </c>
      <c r="N53" t="s">
        <v>169</v>
      </c>
      <c r="O53">
        <v>0.769098922624877</v>
      </c>
      <c r="P53" t="s">
        <v>114</v>
      </c>
      <c r="Q53">
        <v>0.95369030390737997</v>
      </c>
      <c r="R53" t="s">
        <v>116</v>
      </c>
      <c r="S53">
        <v>0.82191780821917804</v>
      </c>
      <c r="T53" t="s">
        <v>114</v>
      </c>
      <c r="U53">
        <v>1.2819444444444399</v>
      </c>
      <c r="V53" t="s">
        <v>114</v>
      </c>
      <c r="W53">
        <v>1.54387865655471</v>
      </c>
      <c r="X53" t="s">
        <v>117</v>
      </c>
      <c r="Y53">
        <v>0.95247581104154799</v>
      </c>
      <c r="Z53" t="s">
        <v>122</v>
      </c>
      <c r="AA53">
        <v>0.94827586206896497</v>
      </c>
      <c r="AB53" t="s">
        <v>119</v>
      </c>
      <c r="AC53">
        <v>0.755990358712604</v>
      </c>
      <c r="AD53" t="s">
        <v>166</v>
      </c>
      <c r="AE53">
        <v>1.0300751879699199</v>
      </c>
      <c r="AF53" t="s">
        <v>122</v>
      </c>
      <c r="AG53">
        <v>1.2691771269177099</v>
      </c>
      <c r="AH53" t="s">
        <v>119</v>
      </c>
      <c r="AI53">
        <v>0.726134301270417</v>
      </c>
      <c r="AJ53" t="s">
        <v>159</v>
      </c>
      <c r="AK53">
        <v>1.04049079754601</v>
      </c>
      <c r="AL53" t="s">
        <v>169</v>
      </c>
      <c r="AM53">
        <v>0.96765417170495704</v>
      </c>
      <c r="AN53" t="s">
        <v>169</v>
      </c>
      <c r="AO53">
        <v>1.2530459231490101</v>
      </c>
      <c r="AP53" t="s">
        <v>159</v>
      </c>
      <c r="AQ53">
        <v>0.87443946188340804</v>
      </c>
      <c r="AR53" t="s">
        <v>146</v>
      </c>
      <c r="AS53">
        <v>1.0388883664064701</v>
      </c>
      <c r="AT53" t="s">
        <v>114</v>
      </c>
      <c r="AU53">
        <v>1.0311418685121101</v>
      </c>
      <c r="AV53" t="s">
        <v>159</v>
      </c>
      <c r="AW53">
        <v>1.13389830508474</v>
      </c>
      <c r="AX53" t="s">
        <v>119</v>
      </c>
      <c r="AY53">
        <v>1.1402881844380399</v>
      </c>
      <c r="AZ53" t="s">
        <v>119</v>
      </c>
      <c r="BA53">
        <v>1.0499393449251899</v>
      </c>
      <c r="BB53" t="s">
        <v>159</v>
      </c>
      <c r="BC53">
        <v>0.92199488491048598</v>
      </c>
      <c r="BD53" t="s">
        <v>114</v>
      </c>
      <c r="BE53">
        <v>0.97899159663865498</v>
      </c>
      <c r="BF53" t="s">
        <v>166</v>
      </c>
      <c r="BG53">
        <v>0.95192307692307598</v>
      </c>
      <c r="BH53" t="s">
        <v>166</v>
      </c>
      <c r="BI53">
        <v>0.91582491582491499</v>
      </c>
      <c r="BJ53" t="s">
        <v>125</v>
      </c>
      <c r="BK53">
        <v>1.26460481099656</v>
      </c>
      <c r="BL53" t="s">
        <v>166</v>
      </c>
      <c r="BM53">
        <v>0.94025157232704404</v>
      </c>
      <c r="BN53" t="s">
        <v>171</v>
      </c>
      <c r="BO53">
        <v>0.88655462184873901</v>
      </c>
      <c r="BP53" t="s">
        <v>179</v>
      </c>
      <c r="BQ53">
        <v>0.92546583850931596</v>
      </c>
      <c r="BR53" t="s">
        <v>125</v>
      </c>
      <c r="BS53">
        <v>0.85735963581183605</v>
      </c>
      <c r="BT53" t="s">
        <v>171</v>
      </c>
      <c r="BU53">
        <v>1.1009615384615301</v>
      </c>
      <c r="BV53" t="s">
        <v>166</v>
      </c>
      <c r="BW53">
        <v>1.0540540540540499</v>
      </c>
    </row>
    <row r="54" spans="1:75" x14ac:dyDescent="0.4">
      <c r="A54">
        <v>52</v>
      </c>
      <c r="B54" t="s">
        <v>146</v>
      </c>
      <c r="C54">
        <v>0.991869522882181</v>
      </c>
      <c r="D54" t="s">
        <v>114</v>
      </c>
      <c r="E54">
        <v>1.0416666666666601</v>
      </c>
      <c r="F54" t="s">
        <v>117</v>
      </c>
      <c r="G54">
        <v>0.65332788893425797</v>
      </c>
      <c r="H54" t="s">
        <v>119</v>
      </c>
      <c r="I54">
        <v>1.15995575221238</v>
      </c>
      <c r="J54" t="s">
        <v>146</v>
      </c>
      <c r="K54">
        <v>1.2331791735044</v>
      </c>
      <c r="L54" t="s">
        <v>169</v>
      </c>
      <c r="M54">
        <v>0.99042075906390203</v>
      </c>
      <c r="N54" t="s">
        <v>171</v>
      </c>
      <c r="O54">
        <v>0.92</v>
      </c>
      <c r="P54" t="s">
        <v>116</v>
      </c>
      <c r="Q54">
        <v>1.03253182461103</v>
      </c>
      <c r="R54" t="s">
        <v>119</v>
      </c>
      <c r="S54">
        <v>0.69978603904787295</v>
      </c>
      <c r="T54" t="s">
        <v>116</v>
      </c>
      <c r="U54">
        <v>0.94166666666666599</v>
      </c>
      <c r="V54" t="s">
        <v>116</v>
      </c>
      <c r="W54">
        <v>1.09380530973451</v>
      </c>
      <c r="X54" t="s">
        <v>152</v>
      </c>
      <c r="Y54">
        <v>0.99108280254777004</v>
      </c>
      <c r="Z54" t="s">
        <v>123</v>
      </c>
      <c r="AA54">
        <v>1.0276302595907401</v>
      </c>
      <c r="AB54" t="s">
        <v>159</v>
      </c>
      <c r="AC54">
        <v>0.93462269609058601</v>
      </c>
      <c r="AD54" t="s">
        <v>163</v>
      </c>
      <c r="AE54">
        <v>0.78326996197718601</v>
      </c>
      <c r="AF54" t="s">
        <v>169</v>
      </c>
      <c r="AG54">
        <v>1.16176087522792</v>
      </c>
      <c r="AH54" t="s">
        <v>159</v>
      </c>
      <c r="AI54">
        <v>0.73755656108597201</v>
      </c>
      <c r="AJ54" t="s">
        <v>166</v>
      </c>
      <c r="AK54">
        <v>1.0393700787401501</v>
      </c>
      <c r="AL54" t="s">
        <v>171</v>
      </c>
      <c r="AM54">
        <v>1.0586124401913799</v>
      </c>
      <c r="AN54" t="s">
        <v>171</v>
      </c>
      <c r="AO54">
        <v>1.1694915254237199</v>
      </c>
      <c r="AP54" t="s">
        <v>166</v>
      </c>
      <c r="AQ54">
        <v>1.0243902439024299</v>
      </c>
      <c r="AR54" t="s">
        <v>117</v>
      </c>
      <c r="AS54">
        <v>1.1666666666666601</v>
      </c>
      <c r="AT54" t="s">
        <v>160</v>
      </c>
      <c r="AU54">
        <v>0.654471544715447</v>
      </c>
      <c r="AV54" t="s">
        <v>166</v>
      </c>
      <c r="AW54">
        <v>1.01673640167364</v>
      </c>
      <c r="AX54" t="s">
        <v>159</v>
      </c>
      <c r="AY54">
        <v>0.91479820627802599</v>
      </c>
      <c r="AZ54" t="s">
        <v>159</v>
      </c>
      <c r="BA54">
        <v>1.2777777777777699</v>
      </c>
      <c r="BB54" t="s">
        <v>166</v>
      </c>
      <c r="BC54">
        <v>1.006993006993</v>
      </c>
      <c r="BD54" t="s">
        <v>116</v>
      </c>
      <c r="BE54">
        <v>1.27067669172932</v>
      </c>
      <c r="BF54" t="s">
        <v>122</v>
      </c>
      <c r="BG54">
        <v>1.1493943472409101</v>
      </c>
      <c r="BH54" t="s">
        <v>123</v>
      </c>
      <c r="BI54">
        <v>0.82324015882615897</v>
      </c>
      <c r="BJ54" t="s">
        <v>175</v>
      </c>
      <c r="BK54">
        <v>1.17307692307692</v>
      </c>
      <c r="BL54" t="s">
        <v>169</v>
      </c>
      <c r="BM54">
        <v>0.89314516129032195</v>
      </c>
      <c r="BN54" t="s">
        <v>175</v>
      </c>
      <c r="BO54">
        <v>0.68989547038327503</v>
      </c>
      <c r="BP54" t="s">
        <v>182</v>
      </c>
      <c r="BQ54">
        <v>0.92218717139852702</v>
      </c>
      <c r="BR54" t="s">
        <v>175</v>
      </c>
      <c r="BS54">
        <v>0.99670691547749701</v>
      </c>
      <c r="BT54" t="s">
        <v>125</v>
      </c>
      <c r="BU54">
        <v>1.11150442477876</v>
      </c>
      <c r="BV54" t="s">
        <v>123</v>
      </c>
      <c r="BW54">
        <v>1.2283737024221399</v>
      </c>
    </row>
    <row r="55" spans="1:75" x14ac:dyDescent="0.4">
      <c r="A55">
        <v>53</v>
      </c>
      <c r="B55" t="s">
        <v>152</v>
      </c>
      <c r="C55">
        <v>0.88510638297872302</v>
      </c>
      <c r="D55" t="s">
        <v>116</v>
      </c>
      <c r="E55">
        <v>0.81655480984340001</v>
      </c>
      <c r="F55" t="s">
        <v>152</v>
      </c>
      <c r="G55">
        <v>0.60686695278969904</v>
      </c>
      <c r="H55" t="s">
        <v>159</v>
      </c>
      <c r="I55">
        <v>1.2463886617606901</v>
      </c>
      <c r="J55" t="s">
        <v>117</v>
      </c>
      <c r="K55">
        <v>1.1620486985726199</v>
      </c>
      <c r="L55" t="s">
        <v>171</v>
      </c>
      <c r="M55">
        <v>0.98784194528875302</v>
      </c>
      <c r="N55" t="s">
        <v>175</v>
      </c>
      <c r="O55">
        <v>0.94637223974763396</v>
      </c>
      <c r="P55" t="s">
        <v>119</v>
      </c>
      <c r="Q55">
        <v>0.919690075021522</v>
      </c>
      <c r="R55" t="s">
        <v>159</v>
      </c>
      <c r="S55">
        <v>0.85057025370470896</v>
      </c>
      <c r="T55" t="s">
        <v>119</v>
      </c>
      <c r="U55">
        <v>1.1001337664819399</v>
      </c>
      <c r="V55" t="s">
        <v>119</v>
      </c>
      <c r="W55">
        <v>1.0825082508250801</v>
      </c>
      <c r="X55" t="s">
        <v>154</v>
      </c>
      <c r="Y55">
        <v>0.98755186721991695</v>
      </c>
      <c r="Z55" t="s">
        <v>169</v>
      </c>
      <c r="AA55">
        <v>0.80075471698113199</v>
      </c>
      <c r="AB55" t="s">
        <v>166</v>
      </c>
      <c r="AC55">
        <v>0.96727272727272695</v>
      </c>
      <c r="AD55" t="s">
        <v>122</v>
      </c>
      <c r="AE55">
        <v>0.76439232409381597</v>
      </c>
      <c r="AF55" t="s">
        <v>171</v>
      </c>
      <c r="AG55">
        <v>1.18691588785046</v>
      </c>
      <c r="AH55" t="s">
        <v>166</v>
      </c>
      <c r="AI55">
        <v>0.83006535947712401</v>
      </c>
      <c r="AJ55" t="s">
        <v>163</v>
      </c>
      <c r="AK55">
        <v>0.96401985111662503</v>
      </c>
      <c r="AL55" t="s">
        <v>125</v>
      </c>
      <c r="AM55">
        <v>1.03833865814696</v>
      </c>
      <c r="AN55" t="s">
        <v>125</v>
      </c>
      <c r="AO55">
        <v>1.0138461538461501</v>
      </c>
      <c r="AP55" t="s">
        <v>163</v>
      </c>
      <c r="AQ55">
        <v>0.99394673123486599</v>
      </c>
      <c r="AR55" t="s">
        <v>152</v>
      </c>
      <c r="AS55">
        <v>1.00505689001264</v>
      </c>
      <c r="AT55" t="s">
        <v>116</v>
      </c>
      <c r="AU55">
        <v>1.5083892617449599</v>
      </c>
      <c r="AV55" t="s">
        <v>163</v>
      </c>
      <c r="AW55">
        <v>0.89245283018867905</v>
      </c>
      <c r="AX55" t="s">
        <v>166</v>
      </c>
      <c r="AY55">
        <v>1.0329218106995799</v>
      </c>
      <c r="AZ55" t="s">
        <v>166</v>
      </c>
      <c r="BA55">
        <v>1.13944223107569</v>
      </c>
      <c r="BB55" t="s">
        <v>122</v>
      </c>
      <c r="BC55">
        <v>0.84095238095238101</v>
      </c>
      <c r="BD55" t="s">
        <v>119</v>
      </c>
      <c r="BE55">
        <v>1.4279187323806699</v>
      </c>
      <c r="BF55" t="s">
        <v>169</v>
      </c>
      <c r="BG55">
        <v>1.23534179951364</v>
      </c>
      <c r="BH55" t="s">
        <v>169</v>
      </c>
      <c r="BI55">
        <v>0.91601049868766404</v>
      </c>
      <c r="BJ55" t="s">
        <v>179</v>
      </c>
      <c r="BK55">
        <v>0.98763250883392195</v>
      </c>
      <c r="BL55" t="s">
        <v>171</v>
      </c>
      <c r="BM55">
        <v>1.08181818181818</v>
      </c>
      <c r="BN55" t="s">
        <v>179</v>
      </c>
      <c r="BO55">
        <v>0.971830985915493</v>
      </c>
      <c r="BP55" t="s">
        <v>181</v>
      </c>
      <c r="BQ55">
        <v>0.93359375</v>
      </c>
      <c r="BR55" t="s">
        <v>182</v>
      </c>
      <c r="BS55">
        <v>0.98175598631698902</v>
      </c>
      <c r="BT55" t="s">
        <v>175</v>
      </c>
      <c r="BU55">
        <v>1.0550660792951501</v>
      </c>
      <c r="BV55" t="s">
        <v>171</v>
      </c>
      <c r="BW55">
        <v>1.1310043668122201</v>
      </c>
    </row>
    <row r="56" spans="1:75" x14ac:dyDescent="0.4">
      <c r="A56">
        <v>54</v>
      </c>
      <c r="B56" t="s">
        <v>154</v>
      </c>
      <c r="C56">
        <v>0.94117647058823495</v>
      </c>
      <c r="D56" t="s">
        <v>159</v>
      </c>
      <c r="E56">
        <v>0.81685334915807395</v>
      </c>
      <c r="F56" t="s">
        <v>154</v>
      </c>
      <c r="G56">
        <v>0.92877906976744096</v>
      </c>
      <c r="H56" t="s">
        <v>166</v>
      </c>
      <c r="I56">
        <v>1.015625</v>
      </c>
      <c r="J56" t="s">
        <v>152</v>
      </c>
      <c r="K56">
        <v>1.0548387096774099</v>
      </c>
      <c r="L56" t="s">
        <v>175</v>
      </c>
      <c r="M56">
        <v>1.0462046204620401</v>
      </c>
      <c r="N56" t="s">
        <v>131</v>
      </c>
      <c r="O56">
        <v>0.80190476190476101</v>
      </c>
      <c r="P56" t="s">
        <v>159</v>
      </c>
      <c r="Q56">
        <v>0.949116347569955</v>
      </c>
      <c r="R56" t="s">
        <v>166</v>
      </c>
      <c r="S56">
        <v>0.95622895622895598</v>
      </c>
      <c r="T56" t="s">
        <v>159</v>
      </c>
      <c r="U56">
        <v>1.2928030648545099</v>
      </c>
      <c r="V56" t="s">
        <v>159</v>
      </c>
      <c r="W56">
        <v>0.87109292316376197</v>
      </c>
      <c r="X56" t="s">
        <v>114</v>
      </c>
      <c r="Y56">
        <v>0.81754385964912202</v>
      </c>
      <c r="Z56" t="s">
        <v>171</v>
      </c>
      <c r="AA56">
        <v>0.88424437299035297</v>
      </c>
      <c r="AB56" t="s">
        <v>163</v>
      </c>
      <c r="AC56">
        <v>0.89001692047377301</v>
      </c>
      <c r="AD56" t="s">
        <v>169</v>
      </c>
      <c r="AE56">
        <v>0.77791286727456899</v>
      </c>
      <c r="AF56" t="s">
        <v>125</v>
      </c>
      <c r="AG56">
        <v>1.14215686274509</v>
      </c>
      <c r="AH56" t="s">
        <v>163</v>
      </c>
      <c r="AI56">
        <v>0.74629629629629601</v>
      </c>
      <c r="AJ56" t="s">
        <v>122</v>
      </c>
      <c r="AK56">
        <v>1.0126582278481</v>
      </c>
      <c r="AL56" t="s">
        <v>175</v>
      </c>
      <c r="AM56">
        <v>0.93975903614457801</v>
      </c>
      <c r="AN56" t="s">
        <v>175</v>
      </c>
      <c r="AO56">
        <v>1.0384615384615301</v>
      </c>
      <c r="AP56" t="s">
        <v>122</v>
      </c>
      <c r="AQ56">
        <v>1.07610350076103</v>
      </c>
      <c r="AR56" t="s">
        <v>154</v>
      </c>
      <c r="AS56">
        <v>1.07860262008733</v>
      </c>
      <c r="AT56" t="s">
        <v>119</v>
      </c>
      <c r="AU56">
        <v>1.15495296070835</v>
      </c>
      <c r="AV56" t="s">
        <v>122</v>
      </c>
      <c r="AW56">
        <v>1.1565656565656499</v>
      </c>
      <c r="AX56" t="s">
        <v>163</v>
      </c>
      <c r="AY56">
        <v>0.96405919661733597</v>
      </c>
      <c r="AZ56" t="s">
        <v>163</v>
      </c>
      <c r="BA56">
        <v>1.3223684210526301</v>
      </c>
      <c r="BB56" t="s">
        <v>123</v>
      </c>
      <c r="BC56">
        <v>1.1522747519429799</v>
      </c>
      <c r="BD56" t="s">
        <v>159</v>
      </c>
      <c r="BE56">
        <v>1.0679611650485401</v>
      </c>
      <c r="BF56" t="s">
        <v>171</v>
      </c>
      <c r="BG56">
        <v>1.0727272727272701</v>
      </c>
      <c r="BH56" t="s">
        <v>171</v>
      </c>
      <c r="BI56">
        <v>0.86864406779660996</v>
      </c>
      <c r="BJ56" t="s">
        <v>182</v>
      </c>
      <c r="BK56">
        <v>1.0554803788903899</v>
      </c>
      <c r="BL56" t="s">
        <v>179</v>
      </c>
      <c r="BM56">
        <v>0.88908765652951705</v>
      </c>
      <c r="BN56" t="s">
        <v>182</v>
      </c>
      <c r="BO56">
        <v>1.0981524249422601</v>
      </c>
      <c r="BP56" t="s">
        <v>184</v>
      </c>
      <c r="BQ56">
        <v>0.98113207547169801</v>
      </c>
      <c r="BR56" t="s">
        <v>181</v>
      </c>
      <c r="BS56">
        <v>0.95815899581589903</v>
      </c>
      <c r="BT56" t="s">
        <v>182</v>
      </c>
      <c r="BU56">
        <v>1.0499419279907001</v>
      </c>
      <c r="BV56" t="s">
        <v>125</v>
      </c>
      <c r="BW56">
        <v>1.2898089171974501</v>
      </c>
    </row>
    <row r="57" spans="1:75" x14ac:dyDescent="0.4">
      <c r="A57">
        <v>55</v>
      </c>
      <c r="B57" t="s">
        <v>114</v>
      </c>
      <c r="C57">
        <v>0.902970297029703</v>
      </c>
      <c r="D57" t="s">
        <v>166</v>
      </c>
      <c r="E57">
        <v>0.88524590163934402</v>
      </c>
      <c r="F57" t="s">
        <v>114</v>
      </c>
      <c r="G57">
        <v>1.20842105263157</v>
      </c>
      <c r="H57" t="s">
        <v>163</v>
      </c>
      <c r="I57">
        <v>1.31627906976744</v>
      </c>
      <c r="J57" t="s">
        <v>154</v>
      </c>
      <c r="K57">
        <v>0.96198347107437998</v>
      </c>
      <c r="L57" t="s">
        <v>131</v>
      </c>
      <c r="M57">
        <v>0.967741935483871</v>
      </c>
      <c r="N57" t="s">
        <v>137</v>
      </c>
      <c r="O57">
        <v>0.98624754420432204</v>
      </c>
      <c r="P57" t="s">
        <v>166</v>
      </c>
      <c r="Q57">
        <v>1.02413793103448</v>
      </c>
      <c r="R57" t="s">
        <v>163</v>
      </c>
      <c r="S57">
        <v>0.78584905660377302</v>
      </c>
      <c r="T57" t="s">
        <v>166</v>
      </c>
      <c r="U57">
        <v>1.09154929577464</v>
      </c>
      <c r="V57" t="s">
        <v>166</v>
      </c>
      <c r="W57">
        <v>0.99677419354838703</v>
      </c>
      <c r="X57" t="s">
        <v>116</v>
      </c>
      <c r="Y57">
        <v>0.88349514563106801</v>
      </c>
      <c r="Z57" t="s">
        <v>175</v>
      </c>
      <c r="AA57">
        <v>0.96107784431137699</v>
      </c>
      <c r="AB57" t="s">
        <v>122</v>
      </c>
      <c r="AC57">
        <v>0.852727272727272</v>
      </c>
      <c r="AD57" t="s">
        <v>171</v>
      </c>
      <c r="AE57">
        <v>0.88065843621399098</v>
      </c>
      <c r="AF57" t="s">
        <v>175</v>
      </c>
      <c r="AG57">
        <v>1.0625</v>
      </c>
      <c r="AH57" t="s">
        <v>122</v>
      </c>
      <c r="AI57">
        <v>0.78131868131868099</v>
      </c>
      <c r="AJ57" t="s">
        <v>169</v>
      </c>
      <c r="AK57">
        <v>0.97322741982936101</v>
      </c>
      <c r="AL57" t="s">
        <v>131</v>
      </c>
      <c r="AM57">
        <v>1.0748502994011899</v>
      </c>
      <c r="AN57" t="s">
        <v>131</v>
      </c>
      <c r="AO57">
        <v>0.98050139275766002</v>
      </c>
      <c r="AP57" t="s">
        <v>169</v>
      </c>
      <c r="AQ57">
        <v>0.913986537023186</v>
      </c>
      <c r="AR57" t="s">
        <v>114</v>
      </c>
      <c r="AS57">
        <v>1.10200190657769</v>
      </c>
      <c r="AT57" t="s">
        <v>159</v>
      </c>
      <c r="AU57">
        <v>1.0350877192982399</v>
      </c>
      <c r="AV57" t="s">
        <v>123</v>
      </c>
      <c r="AW57">
        <v>1.13466205780686</v>
      </c>
      <c r="AX57" t="s">
        <v>122</v>
      </c>
      <c r="AY57">
        <v>0.93886462882096</v>
      </c>
      <c r="AZ57" t="s">
        <v>122</v>
      </c>
      <c r="BA57">
        <v>0.97674418604651103</v>
      </c>
      <c r="BB57" t="s">
        <v>169</v>
      </c>
      <c r="BC57">
        <v>0.86457536342769703</v>
      </c>
      <c r="BD57" t="s">
        <v>166</v>
      </c>
      <c r="BE57">
        <v>1.0833333333333299</v>
      </c>
      <c r="BF57" t="s">
        <v>125</v>
      </c>
      <c r="BG57">
        <v>0.97955974842767202</v>
      </c>
      <c r="BH57" t="s">
        <v>125</v>
      </c>
      <c r="BI57">
        <v>0.93418940609951795</v>
      </c>
      <c r="BJ57" t="s">
        <v>181</v>
      </c>
      <c r="BK57">
        <v>0.93525179856115104</v>
      </c>
      <c r="BL57" t="s">
        <v>182</v>
      </c>
      <c r="BM57">
        <v>1.1102564102564101</v>
      </c>
      <c r="BN57" t="s">
        <v>181</v>
      </c>
      <c r="BO57">
        <v>0.984615384615384</v>
      </c>
      <c r="BP57" t="s">
        <v>145</v>
      </c>
      <c r="BQ57">
        <v>1.04907975460122</v>
      </c>
      <c r="BR57" t="s">
        <v>184</v>
      </c>
      <c r="BS57">
        <v>1</v>
      </c>
      <c r="BT57" t="s">
        <v>181</v>
      </c>
      <c r="BU57">
        <v>0.97816593886462799</v>
      </c>
      <c r="BV57" t="s">
        <v>182</v>
      </c>
      <c r="BW57">
        <v>0.96017699115044197</v>
      </c>
    </row>
    <row r="58" spans="1:75" x14ac:dyDescent="0.4">
      <c r="A58">
        <v>56</v>
      </c>
      <c r="B58" t="s">
        <v>116</v>
      </c>
      <c r="C58">
        <v>0.98241758241758204</v>
      </c>
      <c r="D58" t="s">
        <v>122</v>
      </c>
      <c r="E58">
        <v>0.57023411371237398</v>
      </c>
      <c r="F58" t="s">
        <v>116</v>
      </c>
      <c r="G58">
        <v>0.75479452054794505</v>
      </c>
      <c r="H58" t="s">
        <v>122</v>
      </c>
      <c r="I58">
        <v>1.09649122807017</v>
      </c>
      <c r="J58" t="s">
        <v>173</v>
      </c>
      <c r="K58">
        <v>1.3792048929663601</v>
      </c>
      <c r="L58" t="s">
        <v>134</v>
      </c>
      <c r="M58">
        <v>1.5178571428571399</v>
      </c>
      <c r="N58" t="s">
        <v>186</v>
      </c>
      <c r="O58">
        <v>0.95385674931129405</v>
      </c>
      <c r="P58" t="s">
        <v>163</v>
      </c>
      <c r="Q58">
        <v>0.91774891774891698</v>
      </c>
      <c r="R58" t="s">
        <v>122</v>
      </c>
      <c r="S58">
        <v>1.0673076923076901</v>
      </c>
      <c r="T58" t="s">
        <v>163</v>
      </c>
      <c r="U58">
        <v>1.17286914765906</v>
      </c>
      <c r="V58" t="s">
        <v>163</v>
      </c>
      <c r="W58">
        <v>0.90174002047082902</v>
      </c>
      <c r="X58" t="s">
        <v>119</v>
      </c>
      <c r="Y58">
        <v>1</v>
      </c>
      <c r="Z58" t="s">
        <v>131</v>
      </c>
      <c r="AA58">
        <v>1.5358490566037699</v>
      </c>
      <c r="AB58" t="s">
        <v>169</v>
      </c>
      <c r="AC58">
        <v>0.93025447690857599</v>
      </c>
      <c r="AD58" t="s">
        <v>175</v>
      </c>
      <c r="AE58">
        <v>1.0797546012269901</v>
      </c>
      <c r="AF58" t="s">
        <v>131</v>
      </c>
      <c r="AG58">
        <v>1.21505376344086</v>
      </c>
      <c r="AH58" t="s">
        <v>169</v>
      </c>
      <c r="AI58">
        <v>0.762107623318385</v>
      </c>
      <c r="AJ58" t="s">
        <v>171</v>
      </c>
      <c r="AK58">
        <v>0.93721973094170397</v>
      </c>
      <c r="AL58" t="s">
        <v>134</v>
      </c>
      <c r="AM58">
        <v>0.86641221374045796</v>
      </c>
      <c r="AN58" t="s">
        <v>134</v>
      </c>
      <c r="AO58">
        <v>1.13215859030837</v>
      </c>
      <c r="AP58" t="s">
        <v>171</v>
      </c>
      <c r="AQ58">
        <v>0.94396135265700398</v>
      </c>
      <c r="AR58" t="s">
        <v>116</v>
      </c>
      <c r="AS58">
        <v>1.0456140350877099</v>
      </c>
      <c r="AT58" t="s">
        <v>166</v>
      </c>
      <c r="AU58">
        <v>1.0257510729613699</v>
      </c>
      <c r="AV58" t="s">
        <v>169</v>
      </c>
      <c r="AW58">
        <v>0.95546064673581399</v>
      </c>
      <c r="AX58" t="s">
        <v>123</v>
      </c>
      <c r="AY58">
        <v>0.96525797251750001</v>
      </c>
      <c r="AZ58" t="s">
        <v>123</v>
      </c>
      <c r="BA58">
        <v>1.0929693795326301</v>
      </c>
      <c r="BB58" t="s">
        <v>171</v>
      </c>
      <c r="BC58">
        <v>0.79338842975206603</v>
      </c>
      <c r="BD58" t="s">
        <v>122</v>
      </c>
      <c r="BE58">
        <v>0.841449603624009</v>
      </c>
      <c r="BF58" t="s">
        <v>175</v>
      </c>
      <c r="BG58">
        <v>1.3013698630136901</v>
      </c>
      <c r="BH58" t="s">
        <v>179</v>
      </c>
      <c r="BI58">
        <v>1.0179856115107899</v>
      </c>
      <c r="BJ58" t="s">
        <v>184</v>
      </c>
      <c r="BK58">
        <v>0.9</v>
      </c>
      <c r="BL58" t="s">
        <v>181</v>
      </c>
      <c r="BM58">
        <v>1</v>
      </c>
      <c r="BN58" t="s">
        <v>184</v>
      </c>
      <c r="BO58">
        <v>1.09617373319544</v>
      </c>
      <c r="BP58" t="s">
        <v>150</v>
      </c>
      <c r="BQ58">
        <v>1.0038461538461501</v>
      </c>
      <c r="BR58" t="s">
        <v>190</v>
      </c>
      <c r="BS58">
        <v>1.0657142857142801</v>
      </c>
      <c r="BT58" t="s">
        <v>184</v>
      </c>
      <c r="BU58">
        <v>0.98557692307692302</v>
      </c>
      <c r="BV58" t="s">
        <v>181</v>
      </c>
      <c r="BW58">
        <v>1.06696428571428</v>
      </c>
    </row>
    <row r="59" spans="1:75" x14ac:dyDescent="0.4">
      <c r="A59">
        <v>57</v>
      </c>
      <c r="B59" t="s">
        <v>159</v>
      </c>
      <c r="C59">
        <v>0.80768078605236304</v>
      </c>
      <c r="D59" t="s">
        <v>169</v>
      </c>
      <c r="E59">
        <v>0.75527983104540597</v>
      </c>
      <c r="F59" t="s">
        <v>119</v>
      </c>
      <c r="G59">
        <v>0.486126048612604</v>
      </c>
      <c r="H59" t="s">
        <v>123</v>
      </c>
      <c r="I59">
        <v>0.79533149906807399</v>
      </c>
      <c r="J59" t="s">
        <v>114</v>
      </c>
      <c r="K59">
        <v>0.95652173913043403</v>
      </c>
      <c r="L59" t="s">
        <v>137</v>
      </c>
      <c r="M59">
        <v>1.0159680638722499</v>
      </c>
      <c r="N59" t="s">
        <v>190</v>
      </c>
      <c r="O59">
        <v>0.92894736842105197</v>
      </c>
      <c r="P59" t="s">
        <v>122</v>
      </c>
      <c r="Q59">
        <v>0.96744186046511604</v>
      </c>
      <c r="R59" t="s">
        <v>169</v>
      </c>
      <c r="S59">
        <v>0.83262118756446102</v>
      </c>
      <c r="T59" t="s">
        <v>122</v>
      </c>
      <c r="U59">
        <v>1.08558558558558</v>
      </c>
      <c r="V59" t="s">
        <v>122</v>
      </c>
      <c r="W59">
        <v>1.2365145228215699</v>
      </c>
      <c r="X59" t="s">
        <v>159</v>
      </c>
      <c r="Y59">
        <v>1.0399319617689899</v>
      </c>
      <c r="Z59" t="s">
        <v>134</v>
      </c>
      <c r="AA59">
        <v>1.1315789473684199</v>
      </c>
      <c r="AB59" t="s">
        <v>171</v>
      </c>
      <c r="AC59">
        <v>0.883636363636363</v>
      </c>
      <c r="AD59" t="s">
        <v>131</v>
      </c>
      <c r="AE59">
        <v>0.84802431610942197</v>
      </c>
      <c r="AF59" t="s">
        <v>177</v>
      </c>
      <c r="AG59">
        <v>1.4346076458752499</v>
      </c>
      <c r="AH59" t="s">
        <v>171</v>
      </c>
      <c r="AI59">
        <v>0.70236220472440902</v>
      </c>
      <c r="AJ59" t="s">
        <v>125</v>
      </c>
      <c r="AK59">
        <v>1.13818181818181</v>
      </c>
      <c r="AL59" t="s">
        <v>181</v>
      </c>
      <c r="AM59">
        <v>0.94116022099447505</v>
      </c>
      <c r="AN59" t="s">
        <v>181</v>
      </c>
      <c r="AO59">
        <v>1.12503668916935</v>
      </c>
      <c r="AP59" t="s">
        <v>125</v>
      </c>
      <c r="AQ59">
        <v>1.0667678300455199</v>
      </c>
      <c r="AR59" t="s">
        <v>119</v>
      </c>
      <c r="AS59">
        <v>0.66271393643031695</v>
      </c>
      <c r="AT59" t="s">
        <v>163</v>
      </c>
      <c r="AU59">
        <v>0.88628762541806005</v>
      </c>
      <c r="AV59" t="s">
        <v>171</v>
      </c>
      <c r="AW59">
        <v>0.97703788748564802</v>
      </c>
      <c r="AX59" t="s">
        <v>169</v>
      </c>
      <c r="AY59">
        <v>0.98180076628352397</v>
      </c>
      <c r="AZ59" t="s">
        <v>169</v>
      </c>
      <c r="BA59">
        <v>1.27512195121951</v>
      </c>
      <c r="BB59" t="s">
        <v>175</v>
      </c>
      <c r="BC59">
        <v>0.94994892747701698</v>
      </c>
      <c r="BD59" t="s">
        <v>169</v>
      </c>
      <c r="BE59">
        <v>1.09174041297935</v>
      </c>
      <c r="BF59" t="s">
        <v>131</v>
      </c>
      <c r="BG59">
        <v>0.96236559139784905</v>
      </c>
      <c r="BH59" t="s">
        <v>182</v>
      </c>
      <c r="BI59">
        <v>0.94865211810012795</v>
      </c>
      <c r="BJ59" t="s">
        <v>137</v>
      </c>
      <c r="BK59">
        <v>0.91769041769041704</v>
      </c>
      <c r="BL59" t="s">
        <v>184</v>
      </c>
      <c r="BM59">
        <v>0.96796796796796702</v>
      </c>
      <c r="BN59" t="s">
        <v>190</v>
      </c>
      <c r="BO59">
        <v>1.1859838274932599</v>
      </c>
      <c r="BP59" t="s">
        <v>155</v>
      </c>
      <c r="BQ59">
        <v>0.98072289156626502</v>
      </c>
      <c r="BR59" t="s">
        <v>145</v>
      </c>
      <c r="BS59">
        <v>0.97270955165691997</v>
      </c>
      <c r="BT59" t="s">
        <v>137</v>
      </c>
      <c r="BU59">
        <v>1.0650969529085801</v>
      </c>
      <c r="BV59" t="s">
        <v>184</v>
      </c>
      <c r="BW59">
        <v>1.2195121951219501</v>
      </c>
    </row>
    <row r="60" spans="1:75" x14ac:dyDescent="0.4">
      <c r="A60">
        <v>58</v>
      </c>
      <c r="B60" t="s">
        <v>166</v>
      </c>
      <c r="C60">
        <v>1.0440097799510999</v>
      </c>
      <c r="D60" t="s">
        <v>171</v>
      </c>
      <c r="E60">
        <v>0.89672544080604499</v>
      </c>
      <c r="F60" t="s">
        <v>159</v>
      </c>
      <c r="G60">
        <v>0.66636396658190999</v>
      </c>
      <c r="H60" t="s">
        <v>169</v>
      </c>
      <c r="I60">
        <v>1.44307304785894</v>
      </c>
      <c r="J60" t="s">
        <v>116</v>
      </c>
      <c r="K60">
        <v>1.3013468013467999</v>
      </c>
      <c r="L60" t="s">
        <v>186</v>
      </c>
      <c r="M60">
        <v>1.14234893704356</v>
      </c>
      <c r="N60" t="s">
        <v>150</v>
      </c>
      <c r="O60">
        <v>0.84360189573459698</v>
      </c>
      <c r="P60" t="s">
        <v>169</v>
      </c>
      <c r="Q60">
        <v>1.0803884113339699</v>
      </c>
      <c r="R60" t="s">
        <v>171</v>
      </c>
      <c r="S60">
        <v>0.89743589743589702</v>
      </c>
      <c r="T60" t="s">
        <v>169</v>
      </c>
      <c r="U60">
        <v>1.09148823217129</v>
      </c>
      <c r="V60" t="s">
        <v>169</v>
      </c>
      <c r="W60">
        <v>1.0951686121919499</v>
      </c>
      <c r="X60" t="s">
        <v>166</v>
      </c>
      <c r="Y60">
        <v>0.97734627831715204</v>
      </c>
      <c r="Z60" t="s">
        <v>184</v>
      </c>
      <c r="AA60">
        <v>1.1867266591676</v>
      </c>
      <c r="AB60" t="s">
        <v>175</v>
      </c>
      <c r="AC60">
        <v>1.0155763239875299</v>
      </c>
      <c r="AD60" t="s">
        <v>177</v>
      </c>
      <c r="AE60">
        <v>0.77656250000000004</v>
      </c>
      <c r="AF60" t="s">
        <v>134</v>
      </c>
      <c r="AG60">
        <v>1.15151515151515</v>
      </c>
      <c r="AH60" t="s">
        <v>175</v>
      </c>
      <c r="AI60">
        <v>0.65240641711229896</v>
      </c>
      <c r="AJ60" t="s">
        <v>175</v>
      </c>
      <c r="AK60">
        <v>1.0204918032786801</v>
      </c>
      <c r="AL60" t="s">
        <v>188</v>
      </c>
      <c r="AM60">
        <v>0.84285714285714197</v>
      </c>
      <c r="AN60" t="s">
        <v>188</v>
      </c>
      <c r="AO60">
        <v>1.0169491525423699</v>
      </c>
      <c r="AP60" t="s">
        <v>175</v>
      </c>
      <c r="AQ60">
        <v>1.13168724279835</v>
      </c>
      <c r="AR60" t="s">
        <v>159</v>
      </c>
      <c r="AS60">
        <v>0.73076923076922995</v>
      </c>
      <c r="AT60" t="s">
        <v>122</v>
      </c>
      <c r="AU60">
        <v>1.3342318059299101</v>
      </c>
      <c r="AV60" t="s">
        <v>125</v>
      </c>
      <c r="AW60">
        <v>0.89600000000000002</v>
      </c>
      <c r="AX60" t="s">
        <v>171</v>
      </c>
      <c r="AY60">
        <v>1.0716803760282001</v>
      </c>
      <c r="AZ60" t="s">
        <v>171</v>
      </c>
      <c r="BA60">
        <v>1.32675438596491</v>
      </c>
      <c r="BB60" t="s">
        <v>131</v>
      </c>
      <c r="BC60">
        <v>1.0591900311526401</v>
      </c>
      <c r="BD60" t="s">
        <v>171</v>
      </c>
      <c r="BE60">
        <v>1.1458333333333299</v>
      </c>
      <c r="BF60" t="s">
        <v>179</v>
      </c>
      <c r="BG60">
        <v>0.958620689655172</v>
      </c>
      <c r="BH60" t="s">
        <v>181</v>
      </c>
      <c r="BI60">
        <v>1.1487603305785099</v>
      </c>
      <c r="BJ60" t="s">
        <v>190</v>
      </c>
      <c r="BK60">
        <v>0.97164948453608202</v>
      </c>
      <c r="BL60" t="s">
        <v>190</v>
      </c>
      <c r="BM60">
        <v>0.98408488063660404</v>
      </c>
      <c r="BN60" t="s">
        <v>145</v>
      </c>
      <c r="BO60">
        <v>0.87949640287769704</v>
      </c>
      <c r="BP60" t="s">
        <v>198</v>
      </c>
      <c r="BQ60">
        <v>0.94512195121951204</v>
      </c>
      <c r="BR60" t="s">
        <v>150</v>
      </c>
      <c r="BS60">
        <v>0.83524904214559303</v>
      </c>
      <c r="BT60" t="s">
        <v>190</v>
      </c>
      <c r="BU60">
        <v>1.0321715817694299</v>
      </c>
      <c r="BV60" t="s">
        <v>190</v>
      </c>
      <c r="BW60">
        <v>1.27012987012987</v>
      </c>
    </row>
    <row r="61" spans="1:75" x14ac:dyDescent="0.4">
      <c r="A61">
        <v>59</v>
      </c>
      <c r="B61" t="s">
        <v>122</v>
      </c>
      <c r="C61">
        <v>0.87426900584795297</v>
      </c>
      <c r="D61" t="s">
        <v>131</v>
      </c>
      <c r="E61">
        <v>0.67592592592592504</v>
      </c>
      <c r="F61" t="s">
        <v>166</v>
      </c>
      <c r="G61">
        <v>0.67724867724867699</v>
      </c>
      <c r="H61" t="s">
        <v>171</v>
      </c>
      <c r="I61">
        <v>1.2723577235772301</v>
      </c>
      <c r="J61" t="s">
        <v>159</v>
      </c>
      <c r="K61">
        <v>1.4739776951672801</v>
      </c>
      <c r="L61" t="s">
        <v>145</v>
      </c>
      <c r="M61">
        <v>1.3238731218697799</v>
      </c>
      <c r="N61" t="s">
        <v>153</v>
      </c>
      <c r="O61">
        <v>0.82666666666666599</v>
      </c>
      <c r="P61" t="s">
        <v>171</v>
      </c>
      <c r="Q61">
        <v>1.0434782608695601</v>
      </c>
      <c r="R61" t="s">
        <v>125</v>
      </c>
      <c r="S61">
        <v>1.10163934426229</v>
      </c>
      <c r="T61" t="s">
        <v>171</v>
      </c>
      <c r="U61">
        <v>1.02857142857142</v>
      </c>
      <c r="V61" t="s">
        <v>171</v>
      </c>
      <c r="W61">
        <v>1.02430555555555</v>
      </c>
      <c r="X61" t="s">
        <v>163</v>
      </c>
      <c r="Y61">
        <v>0.87400681044267803</v>
      </c>
      <c r="Z61" t="s">
        <v>137</v>
      </c>
      <c r="AA61">
        <v>1.0927536231884001</v>
      </c>
      <c r="AB61" t="s">
        <v>131</v>
      </c>
      <c r="AC61">
        <v>0.80835380835380799</v>
      </c>
      <c r="AD61" t="s">
        <v>134</v>
      </c>
      <c r="AE61">
        <v>0.80487804878048697</v>
      </c>
      <c r="AF61" t="s">
        <v>137</v>
      </c>
      <c r="AG61">
        <v>1.0025542784163399</v>
      </c>
      <c r="AH61" t="s">
        <v>131</v>
      </c>
      <c r="AI61">
        <v>0.72271386430678397</v>
      </c>
      <c r="AJ61" t="s">
        <v>131</v>
      </c>
      <c r="AK61">
        <v>1.36326530612244</v>
      </c>
      <c r="AL61" t="s">
        <v>187</v>
      </c>
      <c r="AM61">
        <v>1.58808724832214</v>
      </c>
      <c r="AN61" t="s">
        <v>137</v>
      </c>
      <c r="AO61">
        <v>1.0680127523910701</v>
      </c>
      <c r="AP61" t="s">
        <v>131</v>
      </c>
      <c r="AQ61">
        <v>1.01136363636363</v>
      </c>
      <c r="AR61" t="s">
        <v>166</v>
      </c>
      <c r="AS61">
        <v>0.92460317460317398</v>
      </c>
      <c r="AT61" t="s">
        <v>169</v>
      </c>
      <c r="AU61">
        <v>1.1782890007189</v>
      </c>
      <c r="AV61" t="s">
        <v>175</v>
      </c>
      <c r="AW61">
        <v>0.92460317460317398</v>
      </c>
      <c r="AX61" t="s">
        <v>125</v>
      </c>
      <c r="AY61">
        <v>1.08392857142857</v>
      </c>
      <c r="AZ61" t="s">
        <v>125</v>
      </c>
      <c r="BA61">
        <v>1.16803953871499</v>
      </c>
      <c r="BB61" t="s">
        <v>134</v>
      </c>
      <c r="BC61">
        <v>0.93913043478260805</v>
      </c>
      <c r="BD61" t="s">
        <v>175</v>
      </c>
      <c r="BE61">
        <v>1.1774193548387</v>
      </c>
      <c r="BF61" t="s">
        <v>182</v>
      </c>
      <c r="BG61">
        <v>1.14222873900293</v>
      </c>
      <c r="BH61" t="s">
        <v>184</v>
      </c>
      <c r="BI61">
        <v>0.96943231441047995</v>
      </c>
      <c r="BJ61" t="s">
        <v>145</v>
      </c>
      <c r="BK61">
        <v>0.960302457466918</v>
      </c>
      <c r="BL61" t="s">
        <v>145</v>
      </c>
      <c r="BM61">
        <v>1.09448818897637</v>
      </c>
      <c r="BN61" t="s">
        <v>150</v>
      </c>
      <c r="BO61">
        <v>1.26829268292682</v>
      </c>
      <c r="BP61" t="s">
        <v>206</v>
      </c>
      <c r="BQ61">
        <v>0.92874692874692799</v>
      </c>
      <c r="BR61" t="s">
        <v>155</v>
      </c>
      <c r="BS61">
        <v>0.88697788697788604</v>
      </c>
      <c r="BT61" t="s">
        <v>142</v>
      </c>
      <c r="BU61">
        <v>1.2184115523465699</v>
      </c>
      <c r="BV61" t="s">
        <v>145</v>
      </c>
      <c r="BW61">
        <v>0.94720000000000004</v>
      </c>
    </row>
    <row r="62" spans="1:75" x14ac:dyDescent="0.4">
      <c r="A62">
        <v>60</v>
      </c>
      <c r="B62" t="s">
        <v>169</v>
      </c>
      <c r="C62">
        <v>0.76186645213193804</v>
      </c>
      <c r="D62" t="s">
        <v>177</v>
      </c>
      <c r="E62">
        <v>0.55110642781875596</v>
      </c>
      <c r="F62" t="s">
        <v>122</v>
      </c>
      <c r="G62">
        <v>0.66862170087976502</v>
      </c>
      <c r="H62" t="s">
        <v>125</v>
      </c>
      <c r="I62">
        <v>0.98313253012048196</v>
      </c>
      <c r="J62" t="s">
        <v>166</v>
      </c>
      <c r="K62">
        <v>1.09615384615384</v>
      </c>
      <c r="L62" t="s">
        <v>150</v>
      </c>
      <c r="M62">
        <v>1.14054054054054</v>
      </c>
      <c r="N62" t="s">
        <v>202</v>
      </c>
      <c r="O62">
        <v>0.82847896440129398</v>
      </c>
      <c r="P62" t="s">
        <v>175</v>
      </c>
      <c r="Q62">
        <v>0.96666666666666601</v>
      </c>
      <c r="R62" t="s">
        <v>175</v>
      </c>
      <c r="S62">
        <v>1.1482758620689599</v>
      </c>
      <c r="T62" t="s">
        <v>175</v>
      </c>
      <c r="U62">
        <v>1.2432432432432401</v>
      </c>
      <c r="V62" t="s">
        <v>131</v>
      </c>
      <c r="W62">
        <v>1.38043478260869</v>
      </c>
      <c r="X62" t="s">
        <v>122</v>
      </c>
      <c r="Y62">
        <v>0.778523489932885</v>
      </c>
      <c r="Z62" t="s">
        <v>186</v>
      </c>
      <c r="AA62">
        <v>1.11899123640952</v>
      </c>
      <c r="AB62" t="s">
        <v>134</v>
      </c>
      <c r="AC62">
        <v>0.866807610993657</v>
      </c>
      <c r="AD62" t="s">
        <v>184</v>
      </c>
      <c r="AE62">
        <v>0.89891696750902494</v>
      </c>
      <c r="AF62" t="s">
        <v>186</v>
      </c>
      <c r="AG62">
        <v>0.95687591331654298</v>
      </c>
      <c r="AH62" t="s">
        <v>134</v>
      </c>
      <c r="AI62">
        <v>0.61578947368421</v>
      </c>
      <c r="AJ62" t="s">
        <v>134</v>
      </c>
      <c r="AK62">
        <v>1.1196581196581099</v>
      </c>
      <c r="AL62" t="s">
        <v>137</v>
      </c>
      <c r="AM62">
        <v>1.1392251815980601</v>
      </c>
      <c r="AN62" t="s">
        <v>186</v>
      </c>
      <c r="AO62">
        <v>1.2596071733561001</v>
      </c>
      <c r="AP62" t="s">
        <v>134</v>
      </c>
      <c r="AQ62">
        <v>0.96498054474708095</v>
      </c>
      <c r="AR62" t="s">
        <v>163</v>
      </c>
      <c r="AS62">
        <v>0.72838002436053595</v>
      </c>
      <c r="AT62" t="s">
        <v>171</v>
      </c>
      <c r="AU62">
        <v>1.02955082742316</v>
      </c>
      <c r="AV62" t="s">
        <v>131</v>
      </c>
      <c r="AW62">
        <v>1.02941176470588</v>
      </c>
      <c r="AX62" t="s">
        <v>175</v>
      </c>
      <c r="AY62">
        <v>0.935622317596566</v>
      </c>
      <c r="AZ62" t="s">
        <v>175</v>
      </c>
      <c r="BA62">
        <v>0.89816513761467798</v>
      </c>
      <c r="BB62" t="s">
        <v>182</v>
      </c>
      <c r="BC62">
        <v>0.90208877284595301</v>
      </c>
      <c r="BD62" t="s">
        <v>131</v>
      </c>
      <c r="BE62">
        <v>1.0941176470588201</v>
      </c>
      <c r="BF62" t="s">
        <v>181</v>
      </c>
      <c r="BG62">
        <v>1.1634615384615301</v>
      </c>
      <c r="BH62" t="s">
        <v>190</v>
      </c>
      <c r="BI62">
        <v>0.98979591836734604</v>
      </c>
      <c r="BJ62" t="s">
        <v>150</v>
      </c>
      <c r="BK62">
        <v>1.1004464285714199</v>
      </c>
      <c r="BL62" t="s">
        <v>150</v>
      </c>
      <c r="BM62">
        <v>1.0395537525354901</v>
      </c>
      <c r="BN62" t="s">
        <v>155</v>
      </c>
      <c r="BO62">
        <v>0.97647058823529398</v>
      </c>
      <c r="BP62" t="s">
        <v>210</v>
      </c>
      <c r="BQ62">
        <v>1.2379421221864899</v>
      </c>
      <c r="BR62" t="s">
        <v>199</v>
      </c>
      <c r="BS62">
        <v>0.95245398773006096</v>
      </c>
      <c r="BT62" t="s">
        <v>145</v>
      </c>
      <c r="BU62">
        <v>1.2525050100200401</v>
      </c>
      <c r="BV62" t="s">
        <v>150</v>
      </c>
      <c r="BW62">
        <v>1.4347826086956501</v>
      </c>
    </row>
    <row r="63" spans="1:75" x14ac:dyDescent="0.4">
      <c r="A63">
        <v>61</v>
      </c>
      <c r="B63" t="s">
        <v>171</v>
      </c>
      <c r="C63">
        <v>0.79241516966067804</v>
      </c>
      <c r="D63" t="s">
        <v>134</v>
      </c>
      <c r="E63">
        <v>0.80968858131487798</v>
      </c>
      <c r="F63" t="s">
        <v>169</v>
      </c>
      <c r="G63">
        <v>0.69381335197483396</v>
      </c>
      <c r="H63" t="s">
        <v>175</v>
      </c>
      <c r="I63">
        <v>1.30530973451327</v>
      </c>
      <c r="J63" t="s">
        <v>163</v>
      </c>
      <c r="K63">
        <v>2.1908127208480499</v>
      </c>
      <c r="L63" t="s">
        <v>153</v>
      </c>
      <c r="M63">
        <v>1.3128221649484499</v>
      </c>
      <c r="N63" t="s">
        <v>198</v>
      </c>
      <c r="O63">
        <v>0.93645484949832702</v>
      </c>
      <c r="P63" t="s">
        <v>131</v>
      </c>
      <c r="Q63">
        <v>1.02612826603325</v>
      </c>
      <c r="R63" t="s">
        <v>131</v>
      </c>
      <c r="S63">
        <v>0.97916666666666596</v>
      </c>
      <c r="T63" t="s">
        <v>131</v>
      </c>
      <c r="U63">
        <v>1.08747044917257</v>
      </c>
      <c r="V63" t="s">
        <v>134</v>
      </c>
      <c r="W63">
        <v>1.2214611872146099</v>
      </c>
      <c r="X63" t="s">
        <v>169</v>
      </c>
      <c r="Y63">
        <v>0.98075499629903695</v>
      </c>
      <c r="Z63" t="s">
        <v>190</v>
      </c>
      <c r="AA63">
        <v>0.74821428571428505</v>
      </c>
      <c r="AB63" t="s">
        <v>184</v>
      </c>
      <c r="AC63">
        <v>0.787677725118483</v>
      </c>
      <c r="AD63" t="s">
        <v>187</v>
      </c>
      <c r="AE63">
        <v>0.78050212890911697</v>
      </c>
      <c r="AF63" t="s">
        <v>145</v>
      </c>
      <c r="AG63">
        <v>1.1927083333333299</v>
      </c>
      <c r="AH63" t="s">
        <v>184</v>
      </c>
      <c r="AI63">
        <v>0.65818584070796404</v>
      </c>
      <c r="AJ63" t="s">
        <v>181</v>
      </c>
      <c r="AK63">
        <v>0.95665961945031697</v>
      </c>
      <c r="AL63" t="s">
        <v>186</v>
      </c>
      <c r="AM63">
        <v>1.1552121012824701</v>
      </c>
      <c r="AN63" t="s">
        <v>145</v>
      </c>
      <c r="AO63">
        <v>1.05977584059775</v>
      </c>
      <c r="AP63" t="s">
        <v>182</v>
      </c>
      <c r="AQ63">
        <v>1.2017045454545401</v>
      </c>
      <c r="AR63" t="s">
        <v>122</v>
      </c>
      <c r="AS63">
        <v>1.04950495049504</v>
      </c>
      <c r="AT63" t="s">
        <v>175</v>
      </c>
      <c r="AU63">
        <v>1.008</v>
      </c>
      <c r="AV63" t="s">
        <v>134</v>
      </c>
      <c r="AW63">
        <v>0.98355263157894701</v>
      </c>
      <c r="AX63" t="s">
        <v>131</v>
      </c>
      <c r="AY63">
        <v>0.95584415584415505</v>
      </c>
      <c r="AZ63" t="s">
        <v>131</v>
      </c>
      <c r="BA63">
        <v>0.872282608695652</v>
      </c>
      <c r="BB63" t="s">
        <v>181</v>
      </c>
      <c r="BC63">
        <v>0.97033898305084698</v>
      </c>
      <c r="BD63" t="s">
        <v>179</v>
      </c>
      <c r="BE63">
        <v>1.12403100775193</v>
      </c>
      <c r="BF63" t="s">
        <v>184</v>
      </c>
      <c r="BG63">
        <v>1.4066339066339</v>
      </c>
      <c r="BH63" t="s">
        <v>145</v>
      </c>
      <c r="BI63">
        <v>0.70911528150133996</v>
      </c>
      <c r="BJ63" t="s">
        <v>155</v>
      </c>
      <c r="BK63">
        <v>1</v>
      </c>
      <c r="BL63" t="s">
        <v>155</v>
      </c>
      <c r="BM63">
        <v>0.84830339321357195</v>
      </c>
      <c r="BN63" t="s">
        <v>198</v>
      </c>
      <c r="BO63">
        <v>1.00923076923076</v>
      </c>
      <c r="BP63" t="s">
        <v>158</v>
      </c>
      <c r="BQ63">
        <v>0.95754716981132004</v>
      </c>
      <c r="BR63" t="s">
        <v>198</v>
      </c>
      <c r="BS63">
        <v>0.99354838709677396</v>
      </c>
      <c r="BT63" t="s">
        <v>150</v>
      </c>
      <c r="BU63">
        <v>1.1605504587155899</v>
      </c>
      <c r="BV63" t="s">
        <v>155</v>
      </c>
      <c r="BW63">
        <v>1.2205513784461099</v>
      </c>
    </row>
    <row r="64" spans="1:75" x14ac:dyDescent="0.4">
      <c r="A64">
        <v>62</v>
      </c>
      <c r="B64" t="s">
        <v>175</v>
      </c>
      <c r="C64">
        <v>1.44910179640718</v>
      </c>
      <c r="D64" t="s">
        <v>184</v>
      </c>
      <c r="E64">
        <v>0.83870967741935398</v>
      </c>
      <c r="F64" t="s">
        <v>171</v>
      </c>
      <c r="G64">
        <v>0.69101123595505598</v>
      </c>
      <c r="H64" t="s">
        <v>131</v>
      </c>
      <c r="I64">
        <v>0.99418604651162701</v>
      </c>
      <c r="J64" t="s">
        <v>122</v>
      </c>
      <c r="K64">
        <v>1.496</v>
      </c>
      <c r="L64" t="s">
        <v>198</v>
      </c>
      <c r="M64">
        <v>1.1589147286821699</v>
      </c>
      <c r="N64" t="s">
        <v>206</v>
      </c>
      <c r="O64">
        <v>0.88372093023255804</v>
      </c>
      <c r="P64" t="s">
        <v>134</v>
      </c>
      <c r="Q64">
        <v>0.88839285714285698</v>
      </c>
      <c r="R64" t="s">
        <v>134</v>
      </c>
      <c r="S64">
        <v>1.12562814070351</v>
      </c>
      <c r="T64" t="s">
        <v>134</v>
      </c>
      <c r="U64">
        <v>0.97767857142857095</v>
      </c>
      <c r="V64" t="s">
        <v>137</v>
      </c>
      <c r="W64">
        <v>1.2705410821643199</v>
      </c>
      <c r="X64" t="s">
        <v>171</v>
      </c>
      <c r="Y64">
        <v>1.0542372881355899</v>
      </c>
      <c r="Z64" t="s">
        <v>150</v>
      </c>
      <c r="AA64">
        <v>1.1517412935323299</v>
      </c>
      <c r="AB64" t="s">
        <v>137</v>
      </c>
      <c r="AC64">
        <v>1.09151193633952</v>
      </c>
      <c r="AD64" t="s">
        <v>137</v>
      </c>
      <c r="AE64">
        <v>0.95139732685297695</v>
      </c>
      <c r="AF64" t="s">
        <v>150</v>
      </c>
      <c r="AG64">
        <v>1.22257053291536</v>
      </c>
      <c r="AH64" t="s">
        <v>187</v>
      </c>
      <c r="AI64">
        <v>0.810447268526159</v>
      </c>
      <c r="AJ64" t="s">
        <v>188</v>
      </c>
      <c r="AK64">
        <v>1.1356932153392301</v>
      </c>
      <c r="AL64" t="s">
        <v>145</v>
      </c>
      <c r="AM64">
        <v>0.96052631578947301</v>
      </c>
      <c r="AN64" t="s">
        <v>203</v>
      </c>
      <c r="AO64">
        <v>1.5384615384615301</v>
      </c>
      <c r="AP64" t="s">
        <v>181</v>
      </c>
      <c r="AQ64">
        <v>0.97434559526915299</v>
      </c>
      <c r="AR64" t="s">
        <v>169</v>
      </c>
      <c r="AS64">
        <v>0.75886524822695001</v>
      </c>
      <c r="AT64" t="s">
        <v>131</v>
      </c>
      <c r="AU64">
        <v>1</v>
      </c>
      <c r="AV64" t="s">
        <v>182</v>
      </c>
      <c r="AW64">
        <v>0.997282608695652</v>
      </c>
      <c r="AX64" t="s">
        <v>134</v>
      </c>
      <c r="AY64">
        <v>0.93311036789297597</v>
      </c>
      <c r="AZ64" t="s">
        <v>134</v>
      </c>
      <c r="BA64">
        <v>0.82437275985663006</v>
      </c>
      <c r="BB64" t="s">
        <v>184</v>
      </c>
      <c r="BC64">
        <v>0.93672316384180698</v>
      </c>
      <c r="BD64" t="s">
        <v>182</v>
      </c>
      <c r="BE64">
        <v>0.98697539797394995</v>
      </c>
      <c r="BF64" t="s">
        <v>137</v>
      </c>
      <c r="BG64">
        <v>1.01768707482993</v>
      </c>
      <c r="BH64" t="s">
        <v>150</v>
      </c>
      <c r="BI64">
        <v>0.83738317757009295</v>
      </c>
      <c r="BJ64" t="s">
        <v>198</v>
      </c>
      <c r="BK64">
        <v>0.86968085106382897</v>
      </c>
      <c r="BL64" t="s">
        <v>198</v>
      </c>
      <c r="BM64">
        <v>0.99388379204892896</v>
      </c>
      <c r="BN64" t="s">
        <v>206</v>
      </c>
      <c r="BO64">
        <v>1.0853333333333299</v>
      </c>
      <c r="BP64" t="s">
        <v>162</v>
      </c>
      <c r="BQ64">
        <v>1.1234042553191399</v>
      </c>
      <c r="BR64" t="s">
        <v>207</v>
      </c>
      <c r="BS64">
        <v>0.82712765957446799</v>
      </c>
      <c r="BT64" t="s">
        <v>153</v>
      </c>
      <c r="BU64">
        <v>1.14685314685314</v>
      </c>
      <c r="BV64" t="s">
        <v>199</v>
      </c>
      <c r="BW64">
        <v>0.96323529411764697</v>
      </c>
    </row>
    <row r="65" spans="1:75" x14ac:dyDescent="0.4">
      <c r="A65">
        <v>63</v>
      </c>
      <c r="B65" t="s">
        <v>131</v>
      </c>
      <c r="C65">
        <v>0.950146627565982</v>
      </c>
      <c r="D65" t="s">
        <v>187</v>
      </c>
      <c r="E65">
        <v>0.529554751882373</v>
      </c>
      <c r="F65" t="s">
        <v>131</v>
      </c>
      <c r="G65">
        <v>0.78538812785388101</v>
      </c>
      <c r="H65" t="s">
        <v>177</v>
      </c>
      <c r="I65">
        <v>1.15023474178403</v>
      </c>
      <c r="J65" t="s">
        <v>123</v>
      </c>
      <c r="K65">
        <v>1.2198787337722701</v>
      </c>
      <c r="L65" t="s">
        <v>157</v>
      </c>
      <c r="M65">
        <v>1.1179245283018799</v>
      </c>
      <c r="N65" t="s">
        <v>165</v>
      </c>
      <c r="O65">
        <v>0.69316239316239303</v>
      </c>
      <c r="P65" t="s">
        <v>187</v>
      </c>
      <c r="Q65">
        <v>0.89992150706436402</v>
      </c>
      <c r="R65" t="s">
        <v>187</v>
      </c>
      <c r="S65">
        <v>0.85669428696031402</v>
      </c>
      <c r="T65" t="s">
        <v>137</v>
      </c>
      <c r="U65">
        <v>1.0494216614090399</v>
      </c>
      <c r="V65" t="s">
        <v>186</v>
      </c>
      <c r="W65">
        <v>1.0283520559071799</v>
      </c>
      <c r="X65" t="s">
        <v>131</v>
      </c>
      <c r="Y65">
        <v>1.04330708661417</v>
      </c>
      <c r="Z65" t="s">
        <v>153</v>
      </c>
      <c r="AA65">
        <v>0.92949604122156504</v>
      </c>
      <c r="AB65" t="s">
        <v>186</v>
      </c>
      <c r="AC65">
        <v>1.2254043282821201</v>
      </c>
      <c r="AD65" t="s">
        <v>186</v>
      </c>
      <c r="AE65">
        <v>0.81087622433158102</v>
      </c>
      <c r="AF65" t="s">
        <v>153</v>
      </c>
      <c r="AG65">
        <v>0.98329511955453597</v>
      </c>
      <c r="AH65" t="s">
        <v>137</v>
      </c>
      <c r="AI65">
        <v>0.83184713375796104</v>
      </c>
      <c r="AJ65" t="s">
        <v>137</v>
      </c>
      <c r="AK65">
        <v>1.2649310872894299</v>
      </c>
      <c r="AL65" t="s">
        <v>150</v>
      </c>
      <c r="AM65">
        <v>1.3432835820895499</v>
      </c>
      <c r="AN65" t="s">
        <v>153</v>
      </c>
      <c r="AO65">
        <v>1.13142272262026</v>
      </c>
      <c r="AP65" t="s">
        <v>188</v>
      </c>
      <c r="AQ65">
        <v>0.851515151515151</v>
      </c>
      <c r="AR65" t="s">
        <v>171</v>
      </c>
      <c r="AS65">
        <v>0.86591606960081802</v>
      </c>
      <c r="AT65" t="s">
        <v>134</v>
      </c>
      <c r="AU65">
        <v>1.15151515151515</v>
      </c>
      <c r="AV65" t="s">
        <v>181</v>
      </c>
      <c r="AW65">
        <v>0.99518029275258801</v>
      </c>
      <c r="AX65" t="s">
        <v>182</v>
      </c>
      <c r="AY65">
        <v>0.980926430517711</v>
      </c>
      <c r="AZ65" t="s">
        <v>182</v>
      </c>
      <c r="BA65">
        <v>1.06388888888888</v>
      </c>
      <c r="BB65" t="s">
        <v>137</v>
      </c>
      <c r="BC65">
        <v>0.78985507246376796</v>
      </c>
      <c r="BD65" t="s">
        <v>181</v>
      </c>
      <c r="BE65">
        <v>0.90829694323144095</v>
      </c>
      <c r="BF65" t="s">
        <v>186</v>
      </c>
      <c r="BG65">
        <v>1.8450704225352099</v>
      </c>
      <c r="BH65" t="s">
        <v>198</v>
      </c>
      <c r="BI65">
        <v>0.90821256038647302</v>
      </c>
      <c r="BJ65" t="s">
        <v>206</v>
      </c>
      <c r="BK65">
        <v>1.0801526717557199</v>
      </c>
      <c r="BL65" t="s">
        <v>207</v>
      </c>
      <c r="BM65">
        <v>1.42798353909465</v>
      </c>
      <c r="BN65" t="s">
        <v>210</v>
      </c>
      <c r="BO65">
        <v>0.88436018957345897</v>
      </c>
      <c r="BP65" t="s">
        <v>217</v>
      </c>
      <c r="BQ65">
        <v>1.00378378378378</v>
      </c>
      <c r="BR65" t="s">
        <v>206</v>
      </c>
      <c r="BS65">
        <v>1.005291005291</v>
      </c>
      <c r="BT65" t="s">
        <v>155</v>
      </c>
      <c r="BU65">
        <v>1.1052631578947301</v>
      </c>
      <c r="BV65" t="s">
        <v>198</v>
      </c>
      <c r="BW65">
        <v>0.98722044728434499</v>
      </c>
    </row>
    <row r="66" spans="1:75" x14ac:dyDescent="0.4">
      <c r="A66">
        <v>64</v>
      </c>
      <c r="B66" t="s">
        <v>177</v>
      </c>
      <c r="C66">
        <v>0.93222003929273001</v>
      </c>
      <c r="D66" t="s">
        <v>137</v>
      </c>
      <c r="E66">
        <v>0.85080147965474695</v>
      </c>
      <c r="F66" t="s">
        <v>177</v>
      </c>
      <c r="G66">
        <v>0.40726577437858502</v>
      </c>
      <c r="H66" t="s">
        <v>134</v>
      </c>
      <c r="I66">
        <v>0.91254752851710996</v>
      </c>
      <c r="J66" t="s">
        <v>169</v>
      </c>
      <c r="K66">
        <v>1.4395182405306299</v>
      </c>
      <c r="L66" t="s">
        <v>165</v>
      </c>
      <c r="M66">
        <v>1.10481586402266</v>
      </c>
      <c r="N66" t="s">
        <v>158</v>
      </c>
      <c r="O66">
        <v>0.83203125</v>
      </c>
      <c r="P66" t="s">
        <v>137</v>
      </c>
      <c r="Q66">
        <v>1.00996015936254</v>
      </c>
      <c r="R66" t="s">
        <v>137</v>
      </c>
      <c r="S66">
        <v>0.93786982248520701</v>
      </c>
      <c r="T66" t="s">
        <v>186</v>
      </c>
      <c r="U66">
        <v>0.98910110656358896</v>
      </c>
      <c r="V66" t="s">
        <v>193</v>
      </c>
      <c r="W66">
        <v>1.20600858369098</v>
      </c>
      <c r="X66" t="s">
        <v>177</v>
      </c>
      <c r="Y66">
        <v>1.1123227917120999</v>
      </c>
      <c r="Z66" t="s">
        <v>198</v>
      </c>
      <c r="AA66">
        <v>1.0440251572327</v>
      </c>
      <c r="AB66" t="s">
        <v>190</v>
      </c>
      <c r="AC66">
        <v>0.82100238663484404</v>
      </c>
      <c r="AD66" t="s">
        <v>145</v>
      </c>
      <c r="AE66">
        <v>0.88479262672810999</v>
      </c>
      <c r="AF66" t="s">
        <v>199</v>
      </c>
      <c r="AG66">
        <v>1.09551656920077</v>
      </c>
      <c r="AH66" t="s">
        <v>186</v>
      </c>
      <c r="AI66">
        <v>0.821370548479334</v>
      </c>
      <c r="AJ66" t="s">
        <v>186</v>
      </c>
      <c r="AK66">
        <v>0.96239887651561595</v>
      </c>
      <c r="AL66" t="s">
        <v>200</v>
      </c>
      <c r="AM66">
        <v>0.60787366548042698</v>
      </c>
      <c r="AN66" t="s">
        <v>155</v>
      </c>
      <c r="AO66">
        <v>1.12406947890818</v>
      </c>
      <c r="AP66" t="s">
        <v>137</v>
      </c>
      <c r="AQ66">
        <v>0.947263681592039</v>
      </c>
      <c r="AR66" t="s">
        <v>175</v>
      </c>
      <c r="AS66">
        <v>0.90909090909090895</v>
      </c>
      <c r="AT66" t="s">
        <v>182</v>
      </c>
      <c r="AU66">
        <v>0.97872340425531901</v>
      </c>
      <c r="AV66" t="s">
        <v>137</v>
      </c>
      <c r="AW66">
        <v>0.95105672969966604</v>
      </c>
      <c r="AX66" t="s">
        <v>181</v>
      </c>
      <c r="AY66">
        <v>0.89686098654708502</v>
      </c>
      <c r="AZ66" t="s">
        <v>181</v>
      </c>
      <c r="BA66">
        <v>1.18</v>
      </c>
      <c r="BB66" t="s">
        <v>186</v>
      </c>
      <c r="BC66">
        <v>0.69198606271776997</v>
      </c>
      <c r="BD66" t="s">
        <v>184</v>
      </c>
      <c r="BE66">
        <v>0.981905910735826</v>
      </c>
      <c r="BF66" t="s">
        <v>142</v>
      </c>
      <c r="BG66">
        <v>1.13730929264909</v>
      </c>
      <c r="BH66" t="s">
        <v>206</v>
      </c>
      <c r="BI66">
        <v>0.84425349087003199</v>
      </c>
      <c r="BJ66" t="s">
        <v>210</v>
      </c>
      <c r="BK66">
        <v>0.92788461538461497</v>
      </c>
      <c r="BL66" t="s">
        <v>206</v>
      </c>
      <c r="BM66">
        <v>0.88339222614840895</v>
      </c>
      <c r="BN66" t="s">
        <v>158</v>
      </c>
      <c r="BO66">
        <v>1.09165808444902</v>
      </c>
      <c r="BP66" t="s">
        <v>214</v>
      </c>
      <c r="BQ66">
        <v>1.1666666666666601</v>
      </c>
      <c r="BR66" t="s">
        <v>210</v>
      </c>
      <c r="BS66">
        <v>0.96536796536796499</v>
      </c>
      <c r="BT66" t="s">
        <v>198</v>
      </c>
      <c r="BU66">
        <v>1.0162337662337599</v>
      </c>
      <c r="BV66" t="s">
        <v>206</v>
      </c>
      <c r="BW66">
        <v>1.0759668508287199</v>
      </c>
    </row>
    <row r="67" spans="1:75" x14ac:dyDescent="0.4">
      <c r="A67">
        <v>65</v>
      </c>
      <c r="B67" t="s">
        <v>134</v>
      </c>
      <c r="C67">
        <v>1.25652173913043</v>
      </c>
      <c r="D67" t="s">
        <v>186</v>
      </c>
      <c r="E67">
        <v>0.88372915399521901</v>
      </c>
      <c r="F67" t="s">
        <v>134</v>
      </c>
      <c r="G67">
        <v>0.56196581196581197</v>
      </c>
      <c r="H67" t="s">
        <v>137</v>
      </c>
      <c r="I67">
        <v>0.96318289786223199</v>
      </c>
      <c r="J67" t="s">
        <v>171</v>
      </c>
      <c r="K67">
        <v>1.05111821086261</v>
      </c>
      <c r="L67" t="s">
        <v>158</v>
      </c>
      <c r="M67">
        <v>1.01185770750988</v>
      </c>
      <c r="N67" t="s">
        <v>162</v>
      </c>
      <c r="O67">
        <v>0.93023255813953398</v>
      </c>
      <c r="P67" t="s">
        <v>186</v>
      </c>
      <c r="Q67">
        <v>0.98386438549678201</v>
      </c>
      <c r="R67" t="s">
        <v>186</v>
      </c>
      <c r="S67">
        <v>1.05245525031109</v>
      </c>
      <c r="T67" t="s">
        <v>150</v>
      </c>
      <c r="U67">
        <v>0.87775551102204397</v>
      </c>
      <c r="V67" t="s">
        <v>150</v>
      </c>
      <c r="W67">
        <v>1.01940639269406</v>
      </c>
      <c r="X67" t="s">
        <v>134</v>
      </c>
      <c r="Y67">
        <v>0.78130841121495298</v>
      </c>
      <c r="Z67" t="s">
        <v>157</v>
      </c>
      <c r="AA67">
        <v>1.21204819277108</v>
      </c>
      <c r="AB67" t="s">
        <v>145</v>
      </c>
      <c r="AC67">
        <v>0.91176470588235203</v>
      </c>
      <c r="AD67" t="s">
        <v>150</v>
      </c>
      <c r="AE67">
        <v>1.1917808219178001</v>
      </c>
      <c r="AF67" t="s">
        <v>198</v>
      </c>
      <c r="AG67">
        <v>1.12292358803986</v>
      </c>
      <c r="AH67" t="s">
        <v>150</v>
      </c>
      <c r="AI67">
        <v>1.1025641025641</v>
      </c>
      <c r="AJ67" t="s">
        <v>145</v>
      </c>
      <c r="AK67">
        <v>0.98701298701298701</v>
      </c>
      <c r="AL67" t="s">
        <v>153</v>
      </c>
      <c r="AM67">
        <v>1.0715069094099501</v>
      </c>
      <c r="AN67" t="s">
        <v>198</v>
      </c>
      <c r="AO67">
        <v>1.0489296636085601</v>
      </c>
      <c r="AP67" t="s">
        <v>186</v>
      </c>
      <c r="AQ67">
        <v>1.16525423728813</v>
      </c>
      <c r="AR67" t="s">
        <v>131</v>
      </c>
      <c r="AS67">
        <v>1.0505617977527999</v>
      </c>
      <c r="AT67" t="s">
        <v>137</v>
      </c>
      <c r="AU67">
        <v>1.1167701863354</v>
      </c>
      <c r="AV67" t="s">
        <v>186</v>
      </c>
      <c r="AW67">
        <v>1.0511679644048899</v>
      </c>
      <c r="AX67" t="s">
        <v>137</v>
      </c>
      <c r="AY67">
        <v>1.0865497076023301</v>
      </c>
      <c r="AZ67" t="s">
        <v>184</v>
      </c>
      <c r="BA67">
        <v>1.1389961389961301</v>
      </c>
      <c r="BB67" t="s">
        <v>142</v>
      </c>
      <c r="BC67">
        <v>0.85499999999999998</v>
      </c>
      <c r="BD67" t="s">
        <v>137</v>
      </c>
      <c r="BE67">
        <v>1.1238532110091699</v>
      </c>
      <c r="BF67" t="s">
        <v>145</v>
      </c>
      <c r="BG67">
        <v>1.11343283582089</v>
      </c>
      <c r="BH67" t="s">
        <v>210</v>
      </c>
      <c r="BI67">
        <v>0.71724137931034404</v>
      </c>
      <c r="BJ67" t="s">
        <v>158</v>
      </c>
      <c r="BK67">
        <v>0.88695652173912998</v>
      </c>
      <c r="BL67" t="s">
        <v>210</v>
      </c>
      <c r="BM67">
        <v>1.09326424870466</v>
      </c>
      <c r="BN67" t="s">
        <v>217</v>
      </c>
      <c r="BO67">
        <v>1.09052631578947</v>
      </c>
      <c r="BP67" t="s">
        <v>223</v>
      </c>
      <c r="BQ67">
        <v>0.96484375</v>
      </c>
      <c r="BR67" t="s">
        <v>158</v>
      </c>
      <c r="BS67">
        <v>0.96650246305418697</v>
      </c>
      <c r="BT67" t="s">
        <v>206</v>
      </c>
      <c r="BU67">
        <v>0.95263157894736805</v>
      </c>
      <c r="BV67" t="s">
        <v>210</v>
      </c>
      <c r="BW67">
        <v>0.95925925925925903</v>
      </c>
    </row>
    <row r="68" spans="1:75" x14ac:dyDescent="0.4">
      <c r="A68">
        <v>66</v>
      </c>
      <c r="B68" t="s">
        <v>184</v>
      </c>
      <c r="C68">
        <v>0.89208633093525103</v>
      </c>
      <c r="D68" t="s">
        <v>190</v>
      </c>
      <c r="E68">
        <v>0.86016949152542299</v>
      </c>
      <c r="F68" t="s">
        <v>184</v>
      </c>
      <c r="G68">
        <v>0.63749999999999996</v>
      </c>
      <c r="H68" t="s">
        <v>186</v>
      </c>
      <c r="I68">
        <v>0.88922015338171001</v>
      </c>
      <c r="J68" t="s">
        <v>125</v>
      </c>
      <c r="K68">
        <v>1.5833333333333299</v>
      </c>
      <c r="L68" t="s">
        <v>236</v>
      </c>
      <c r="M68">
        <v>1.2310939148786399</v>
      </c>
      <c r="N68" t="s">
        <v>214</v>
      </c>
      <c r="O68">
        <v>0.77922077922077904</v>
      </c>
      <c r="P68" t="s">
        <v>150</v>
      </c>
      <c r="Q68">
        <v>1.0426966292134801</v>
      </c>
      <c r="R68" t="s">
        <v>150</v>
      </c>
      <c r="S68">
        <v>1.07543103448275</v>
      </c>
      <c r="T68" t="s">
        <v>153</v>
      </c>
      <c r="U68">
        <v>1</v>
      </c>
      <c r="V68" t="s">
        <v>153</v>
      </c>
      <c r="W68">
        <v>0.76290533662934401</v>
      </c>
      <c r="X68" t="s">
        <v>182</v>
      </c>
      <c r="Y68">
        <v>0.69880418535126998</v>
      </c>
      <c r="Z68" t="s">
        <v>206</v>
      </c>
      <c r="AA68">
        <v>1.24081632653061</v>
      </c>
      <c r="AB68" t="s">
        <v>150</v>
      </c>
      <c r="AC68">
        <v>0.86717062634989195</v>
      </c>
      <c r="AD68" t="s">
        <v>153</v>
      </c>
      <c r="AE68">
        <v>0.90539739027283495</v>
      </c>
      <c r="AF68" t="s">
        <v>157</v>
      </c>
      <c r="AG68">
        <v>1.0341151385927501</v>
      </c>
      <c r="AH68" t="s">
        <v>153</v>
      </c>
      <c r="AI68">
        <v>0.82011992005329704</v>
      </c>
      <c r="AJ68" t="s">
        <v>150</v>
      </c>
      <c r="AK68">
        <v>1.03875968992248</v>
      </c>
      <c r="AL68" t="s">
        <v>199</v>
      </c>
      <c r="AM68">
        <v>0.95906432748537995</v>
      </c>
      <c r="AN68" t="s">
        <v>215</v>
      </c>
      <c r="AO68">
        <v>1.0806754221388299</v>
      </c>
      <c r="AP68" t="s">
        <v>145</v>
      </c>
      <c r="AQ68">
        <v>0.84723854289071598</v>
      </c>
      <c r="AR68" t="s">
        <v>134</v>
      </c>
      <c r="AS68">
        <v>1.06451612903225</v>
      </c>
      <c r="AT68" t="s">
        <v>186</v>
      </c>
      <c r="AU68">
        <v>0.94831223628691896</v>
      </c>
      <c r="AV68" t="s">
        <v>145</v>
      </c>
      <c r="AW68">
        <v>0.82324455205811098</v>
      </c>
      <c r="AX68" t="s">
        <v>186</v>
      </c>
      <c r="AY68">
        <v>1.2962962962962901</v>
      </c>
      <c r="AZ68" t="s">
        <v>137</v>
      </c>
      <c r="BA68">
        <v>0.89128094725511298</v>
      </c>
      <c r="BB68" t="s">
        <v>145</v>
      </c>
      <c r="BC68">
        <v>0.84544253632760902</v>
      </c>
      <c r="BD68" t="s">
        <v>186</v>
      </c>
      <c r="BE68">
        <v>1.07250755287009</v>
      </c>
      <c r="BF68" t="s">
        <v>203</v>
      </c>
      <c r="BG68">
        <v>1.0263522884882099</v>
      </c>
      <c r="BH68" t="s">
        <v>158</v>
      </c>
      <c r="BI68">
        <v>0.80701754385964897</v>
      </c>
      <c r="BJ68" t="s">
        <v>217</v>
      </c>
      <c r="BK68">
        <v>0.99642458100558595</v>
      </c>
      <c r="BL68" t="s">
        <v>158</v>
      </c>
      <c r="BM68">
        <v>0.95196078431372499</v>
      </c>
      <c r="BN68" t="s">
        <v>214</v>
      </c>
      <c r="BO68">
        <v>0.94327390599675798</v>
      </c>
      <c r="BP68" t="s">
        <v>222</v>
      </c>
      <c r="BQ68">
        <v>0.86330935251798502</v>
      </c>
      <c r="BR68" t="s">
        <v>217</v>
      </c>
      <c r="BS68">
        <v>0.84960381567812904</v>
      </c>
      <c r="BT68" t="s">
        <v>210</v>
      </c>
      <c r="BU68">
        <v>1.2107623318385601</v>
      </c>
      <c r="BV68" t="s">
        <v>158</v>
      </c>
      <c r="BW68">
        <v>1.2191358024691299</v>
      </c>
    </row>
    <row r="69" spans="1:75" x14ac:dyDescent="0.4">
      <c r="A69">
        <v>67</v>
      </c>
      <c r="B69" t="s">
        <v>187</v>
      </c>
      <c r="C69">
        <v>1.0319995105237301</v>
      </c>
      <c r="D69" t="s">
        <v>193</v>
      </c>
      <c r="E69">
        <v>0.70750000000000002</v>
      </c>
      <c r="F69" t="s">
        <v>137</v>
      </c>
      <c r="G69">
        <v>0.61014492753623095</v>
      </c>
      <c r="H69" t="s">
        <v>193</v>
      </c>
      <c r="I69">
        <v>1.0894568690095801</v>
      </c>
      <c r="J69" t="s">
        <v>175</v>
      </c>
      <c r="K69">
        <v>1.71186440677966</v>
      </c>
      <c r="L69" t="s">
        <v>214</v>
      </c>
      <c r="M69">
        <v>0.93333333333333302</v>
      </c>
      <c r="N69" t="s">
        <v>212</v>
      </c>
      <c r="O69">
        <v>1.27354260089686</v>
      </c>
      <c r="P69" t="s">
        <v>153</v>
      </c>
      <c r="Q69">
        <v>1.0534336037997201</v>
      </c>
      <c r="R69" t="s">
        <v>153</v>
      </c>
      <c r="S69">
        <v>1.29194063498027</v>
      </c>
      <c r="T69" t="s">
        <v>198</v>
      </c>
      <c r="U69">
        <v>1.04290429042904</v>
      </c>
      <c r="V69" t="s">
        <v>198</v>
      </c>
      <c r="W69">
        <v>1.0506329113924</v>
      </c>
      <c r="X69" t="s">
        <v>184</v>
      </c>
      <c r="Y69">
        <v>0.93875395987328403</v>
      </c>
      <c r="Z69" t="s">
        <v>210</v>
      </c>
      <c r="AA69">
        <v>1.5882352941176401</v>
      </c>
      <c r="AB69" t="s">
        <v>153</v>
      </c>
      <c r="AC69">
        <v>1.3677663601946899</v>
      </c>
      <c r="AD69" t="s">
        <v>199</v>
      </c>
      <c r="AE69">
        <v>0.95887850467289704</v>
      </c>
      <c r="AF69" t="s">
        <v>207</v>
      </c>
      <c r="AG69">
        <v>1.06930693069306</v>
      </c>
      <c r="AH69" t="s">
        <v>199</v>
      </c>
      <c r="AI69">
        <v>0.80960854092526602</v>
      </c>
      <c r="AJ69" t="s">
        <v>153</v>
      </c>
      <c r="AK69">
        <v>1.2344976983482201</v>
      </c>
      <c r="AL69" t="s">
        <v>198</v>
      </c>
      <c r="AM69">
        <v>1.0186915887850401</v>
      </c>
      <c r="AN69" t="s">
        <v>206</v>
      </c>
      <c r="AO69">
        <v>1.0286016949152501</v>
      </c>
      <c r="AP69" t="s">
        <v>153</v>
      </c>
      <c r="AQ69">
        <v>1.3271214040166399</v>
      </c>
      <c r="AR69" t="s">
        <v>182</v>
      </c>
      <c r="AS69">
        <v>0.88888888888888795</v>
      </c>
      <c r="AT69" t="s">
        <v>145</v>
      </c>
      <c r="AU69">
        <v>1.1253405994550401</v>
      </c>
      <c r="AV69" t="s">
        <v>203</v>
      </c>
      <c r="AW69">
        <v>0.89567809239940299</v>
      </c>
      <c r="AX69" t="s">
        <v>145</v>
      </c>
      <c r="AY69">
        <v>1.01176470588235</v>
      </c>
      <c r="AZ69" t="s">
        <v>186</v>
      </c>
      <c r="BA69">
        <v>1.1714285714285699</v>
      </c>
      <c r="BB69" t="s">
        <v>203</v>
      </c>
      <c r="BC69">
        <v>1.0396039603960301</v>
      </c>
      <c r="BD69" t="s">
        <v>142</v>
      </c>
      <c r="BE69">
        <v>1.05409356725146</v>
      </c>
      <c r="BF69" t="s">
        <v>150</v>
      </c>
      <c r="BG69">
        <v>0.79259259259259196</v>
      </c>
      <c r="BH69" t="s">
        <v>217</v>
      </c>
      <c r="BI69">
        <v>0.97240330291177701</v>
      </c>
      <c r="BJ69" t="s">
        <v>214</v>
      </c>
      <c r="BK69">
        <v>0.83954154727793695</v>
      </c>
      <c r="BL69" t="s">
        <v>162</v>
      </c>
      <c r="BM69">
        <v>1.08225108225108</v>
      </c>
      <c r="BN69" t="s">
        <v>223</v>
      </c>
      <c r="BO69">
        <v>1.0491803278688501</v>
      </c>
      <c r="BP69" t="s">
        <v>225</v>
      </c>
      <c r="BQ69">
        <v>0.90490797546012203</v>
      </c>
      <c r="BR69" t="s">
        <v>214</v>
      </c>
      <c r="BS69">
        <v>1.11045655375552</v>
      </c>
      <c r="BT69" t="s">
        <v>158</v>
      </c>
      <c r="BU69">
        <v>0.990825688073394</v>
      </c>
      <c r="BV69" t="s">
        <v>217</v>
      </c>
      <c r="BW69">
        <v>0.95022624434389102</v>
      </c>
    </row>
    <row r="70" spans="1:75" x14ac:dyDescent="0.4">
      <c r="A70">
        <v>68</v>
      </c>
      <c r="B70" t="s">
        <v>137</v>
      </c>
      <c r="C70">
        <v>1.06570302233902</v>
      </c>
      <c r="D70" t="s">
        <v>150</v>
      </c>
      <c r="E70">
        <v>0.86369593709043202</v>
      </c>
      <c r="F70" t="s">
        <v>186</v>
      </c>
      <c r="G70">
        <v>0.85361012852729801</v>
      </c>
      <c r="H70" t="s">
        <v>145</v>
      </c>
      <c r="I70">
        <v>1.0500758725341399</v>
      </c>
      <c r="J70" t="s">
        <v>131</v>
      </c>
      <c r="K70">
        <v>1.26900584795321</v>
      </c>
      <c r="L70" t="s">
        <v>212</v>
      </c>
      <c r="M70">
        <v>1.2159214830970499</v>
      </c>
      <c r="N70" t="s">
        <v>222</v>
      </c>
      <c r="O70">
        <v>0.923684210526315</v>
      </c>
      <c r="P70" t="s">
        <v>202</v>
      </c>
      <c r="Q70">
        <v>0.845703125</v>
      </c>
      <c r="R70" t="s">
        <v>198</v>
      </c>
      <c r="S70">
        <v>1.17441860465116</v>
      </c>
      <c r="T70" t="s">
        <v>206</v>
      </c>
      <c r="U70">
        <v>0.88590604026845599</v>
      </c>
      <c r="V70" t="s">
        <v>157</v>
      </c>
      <c r="W70">
        <v>0.960093896713615</v>
      </c>
      <c r="X70" t="s">
        <v>137</v>
      </c>
      <c r="Y70">
        <v>1.08832807570977</v>
      </c>
      <c r="Z70" t="s">
        <v>158</v>
      </c>
      <c r="AA70">
        <v>0.98529411764705799</v>
      </c>
      <c r="AB70" t="s">
        <v>199</v>
      </c>
      <c r="AC70">
        <v>0.99074074074074003</v>
      </c>
      <c r="AD70" t="s">
        <v>198</v>
      </c>
      <c r="AE70">
        <v>0.94952681388012605</v>
      </c>
      <c r="AF70" t="s">
        <v>210</v>
      </c>
      <c r="AG70">
        <v>1.1857707509881401</v>
      </c>
      <c r="AH70" t="s">
        <v>198</v>
      </c>
      <c r="AI70">
        <v>0.87278106508875697</v>
      </c>
      <c r="AJ70" t="s">
        <v>198</v>
      </c>
      <c r="AK70">
        <v>1.08813559322033</v>
      </c>
      <c r="AL70" t="s">
        <v>207</v>
      </c>
      <c r="AM70">
        <v>1.0350877192982399</v>
      </c>
      <c r="AN70" t="s">
        <v>216</v>
      </c>
      <c r="AO70">
        <v>1.1791907514450799</v>
      </c>
      <c r="AP70" t="s">
        <v>199</v>
      </c>
      <c r="AQ70">
        <v>1.5578231292517</v>
      </c>
      <c r="AR70" t="s">
        <v>181</v>
      </c>
      <c r="AS70">
        <v>1.02632988218493</v>
      </c>
      <c r="AT70" t="s">
        <v>203</v>
      </c>
      <c r="AU70">
        <v>0.92297111416781297</v>
      </c>
      <c r="AV70" t="s">
        <v>150</v>
      </c>
      <c r="AW70">
        <v>0.89005235602094201</v>
      </c>
      <c r="AX70" t="s">
        <v>203</v>
      </c>
      <c r="AY70">
        <v>1.0099833610648901</v>
      </c>
      <c r="AZ70" t="s">
        <v>145</v>
      </c>
      <c r="BA70">
        <v>1.10029069767441</v>
      </c>
      <c r="BB70" t="s">
        <v>150</v>
      </c>
      <c r="BC70">
        <v>0.85074626865671599</v>
      </c>
      <c r="BD70" t="s">
        <v>145</v>
      </c>
      <c r="BE70">
        <v>1.046875</v>
      </c>
      <c r="BF70" t="s">
        <v>153</v>
      </c>
      <c r="BG70">
        <v>1.4029255319148899</v>
      </c>
      <c r="BH70" t="s">
        <v>214</v>
      </c>
      <c r="BI70">
        <v>0.949659863945578</v>
      </c>
      <c r="BJ70" t="s">
        <v>225</v>
      </c>
      <c r="BK70">
        <v>0.85635359116022103</v>
      </c>
      <c r="BL70" t="s">
        <v>217</v>
      </c>
      <c r="BM70">
        <v>0.88771772445241803</v>
      </c>
      <c r="BN70" t="s">
        <v>222</v>
      </c>
      <c r="BO70">
        <v>1.21929824561403</v>
      </c>
      <c r="BP70" t="s">
        <v>209</v>
      </c>
      <c r="BQ70">
        <v>0.82358490566037701</v>
      </c>
      <c r="BR70" t="s">
        <v>223</v>
      </c>
      <c r="BS70">
        <v>0.90688259109311697</v>
      </c>
      <c r="BT70" t="s">
        <v>217</v>
      </c>
      <c r="BU70">
        <v>1.0005432814197699</v>
      </c>
      <c r="BV70" t="s">
        <v>214</v>
      </c>
      <c r="BW70">
        <v>0.90123456790123402</v>
      </c>
    </row>
    <row r="71" spans="1:75" x14ac:dyDescent="0.4">
      <c r="A71">
        <v>69</v>
      </c>
      <c r="B71" t="s">
        <v>186</v>
      </c>
      <c r="C71">
        <v>1.0920648161020701</v>
      </c>
      <c r="D71" t="s">
        <v>153</v>
      </c>
      <c r="E71">
        <v>1.1535181236673699</v>
      </c>
      <c r="F71" t="s">
        <v>193</v>
      </c>
      <c r="G71">
        <v>0.73733804475853904</v>
      </c>
      <c r="H71" t="s">
        <v>153</v>
      </c>
      <c r="I71">
        <v>0.83978891820580404</v>
      </c>
      <c r="J71" t="s">
        <v>134</v>
      </c>
      <c r="K71">
        <v>1.4</v>
      </c>
      <c r="L71" t="s">
        <v>222</v>
      </c>
      <c r="M71">
        <v>1.31944444444444</v>
      </c>
      <c r="N71" t="s">
        <v>225</v>
      </c>
      <c r="O71">
        <v>0.83333333333333304</v>
      </c>
      <c r="P71" t="s">
        <v>198</v>
      </c>
      <c r="Q71">
        <v>0.92142857142857104</v>
      </c>
      <c r="R71" t="s">
        <v>207</v>
      </c>
      <c r="S71">
        <v>1.0093457943925199</v>
      </c>
      <c r="T71" t="s">
        <v>210</v>
      </c>
      <c r="U71">
        <v>1.17713004484304</v>
      </c>
      <c r="V71" t="s">
        <v>206</v>
      </c>
      <c r="W71">
        <v>1.2083333333333299</v>
      </c>
      <c r="X71" t="s">
        <v>186</v>
      </c>
      <c r="Y71">
        <v>0.86217791091041796</v>
      </c>
      <c r="Z71" t="s">
        <v>162</v>
      </c>
      <c r="AA71">
        <v>1.0397435897435801</v>
      </c>
      <c r="AB71" t="s">
        <v>198</v>
      </c>
      <c r="AC71">
        <v>0.95481927710843295</v>
      </c>
      <c r="AD71" t="s">
        <v>157</v>
      </c>
      <c r="AE71">
        <v>0.98117154811715401</v>
      </c>
      <c r="AF71" t="s">
        <v>158</v>
      </c>
      <c r="AG71">
        <v>1.12761276127612</v>
      </c>
      <c r="AH71" t="s">
        <v>210</v>
      </c>
      <c r="AI71">
        <v>0.72666666666666602</v>
      </c>
      <c r="AJ71" t="s">
        <v>215</v>
      </c>
      <c r="AK71">
        <v>0.98827470686767105</v>
      </c>
      <c r="AL71" t="s">
        <v>206</v>
      </c>
      <c r="AM71">
        <v>0.96820512820512805</v>
      </c>
      <c r="AN71" t="s">
        <v>210</v>
      </c>
      <c r="AO71">
        <v>1.11881188118811</v>
      </c>
      <c r="AP71" t="s">
        <v>198</v>
      </c>
      <c r="AQ71">
        <v>1.1545189504373099</v>
      </c>
      <c r="AR71" t="s">
        <v>137</v>
      </c>
      <c r="AS71">
        <v>0.84558823529411697</v>
      </c>
      <c r="AT71" t="s">
        <v>153</v>
      </c>
      <c r="AU71">
        <v>1.0311491143879199</v>
      </c>
      <c r="AV71" t="s">
        <v>153</v>
      </c>
      <c r="AW71">
        <v>1.1163479438145201</v>
      </c>
      <c r="AX71" t="s">
        <v>150</v>
      </c>
      <c r="AY71">
        <v>0.85882352941176399</v>
      </c>
      <c r="AZ71" t="s">
        <v>203</v>
      </c>
      <c r="BA71">
        <v>0.99835255354200902</v>
      </c>
      <c r="BB71" t="s">
        <v>153</v>
      </c>
      <c r="BC71">
        <v>0.82913472070098504</v>
      </c>
      <c r="BD71" t="s">
        <v>203</v>
      </c>
      <c r="BE71">
        <v>1.1444444444444399</v>
      </c>
      <c r="BF71" t="s">
        <v>155</v>
      </c>
      <c r="BG71">
        <v>1.40869565217391</v>
      </c>
      <c r="BH71" t="s">
        <v>225</v>
      </c>
      <c r="BI71">
        <v>0.88292682926829202</v>
      </c>
      <c r="BJ71" t="s">
        <v>209</v>
      </c>
      <c r="BK71">
        <v>0.82661290322580605</v>
      </c>
      <c r="BL71" t="s">
        <v>214</v>
      </c>
      <c r="BM71">
        <v>1.0529010238907801</v>
      </c>
      <c r="BN71" t="s">
        <v>225</v>
      </c>
      <c r="BO71">
        <v>1.0723684210526301</v>
      </c>
      <c r="BP71" t="s">
        <v>174</v>
      </c>
      <c r="BQ71">
        <v>0.95340501792114696</v>
      </c>
      <c r="BR71" t="s">
        <v>222</v>
      </c>
      <c r="BS71">
        <v>0.86666666666666603</v>
      </c>
      <c r="BT71" t="s">
        <v>214</v>
      </c>
      <c r="BU71">
        <v>1.07427055702917</v>
      </c>
      <c r="BV71" t="s">
        <v>223</v>
      </c>
      <c r="BW71">
        <v>0.97663551401869098</v>
      </c>
    </row>
    <row r="72" spans="1:75" x14ac:dyDescent="0.4">
      <c r="A72">
        <v>70</v>
      </c>
      <c r="B72" t="s">
        <v>190</v>
      </c>
      <c r="C72">
        <v>1.1456310679611601</v>
      </c>
      <c r="D72" t="s">
        <v>202</v>
      </c>
      <c r="E72">
        <v>0.53353658536585302</v>
      </c>
      <c r="F72" t="s">
        <v>145</v>
      </c>
      <c r="G72">
        <v>0.64734774066797596</v>
      </c>
      <c r="H72" t="s">
        <v>198</v>
      </c>
      <c r="I72">
        <v>0.97466960352422904</v>
      </c>
      <c r="J72" t="s">
        <v>137</v>
      </c>
      <c r="K72">
        <v>1.23551171393341</v>
      </c>
      <c r="L72" t="s">
        <v>225</v>
      </c>
      <c r="M72">
        <v>0.99359673024523099</v>
      </c>
      <c r="N72" t="s">
        <v>209</v>
      </c>
      <c r="O72">
        <v>0.89479768786127101</v>
      </c>
      <c r="P72" t="s">
        <v>206</v>
      </c>
      <c r="Q72">
        <v>1.1244019138755901</v>
      </c>
      <c r="R72" t="s">
        <v>206</v>
      </c>
      <c r="S72">
        <v>1.2680851063829699</v>
      </c>
      <c r="T72" t="s">
        <v>158</v>
      </c>
      <c r="U72">
        <v>0.967592592592592</v>
      </c>
      <c r="V72" t="s">
        <v>210</v>
      </c>
      <c r="W72">
        <v>1.0047619047619001</v>
      </c>
      <c r="X72" t="s">
        <v>190</v>
      </c>
      <c r="Y72">
        <v>1.2962962962962901</v>
      </c>
      <c r="Z72" t="s">
        <v>217</v>
      </c>
      <c r="AA72">
        <v>1.02161572052401</v>
      </c>
      <c r="AB72" t="s">
        <v>158</v>
      </c>
      <c r="AC72">
        <v>1.0049751243781</v>
      </c>
      <c r="AD72" t="s">
        <v>210</v>
      </c>
      <c r="AE72">
        <v>0.74852071005917098</v>
      </c>
      <c r="AF72" t="s">
        <v>236</v>
      </c>
      <c r="AG72">
        <v>1.1666855331673001</v>
      </c>
      <c r="AH72" t="s">
        <v>158</v>
      </c>
      <c r="AI72">
        <v>0.87804878048780399</v>
      </c>
      <c r="AJ72" t="s">
        <v>207</v>
      </c>
      <c r="AK72">
        <v>1.4393939393939299</v>
      </c>
      <c r="AL72" t="s">
        <v>210</v>
      </c>
      <c r="AM72">
        <v>1.0233029381965499</v>
      </c>
      <c r="AN72" t="s">
        <v>158</v>
      </c>
      <c r="AO72">
        <v>0.85393258426966201</v>
      </c>
      <c r="AP72" t="s">
        <v>210</v>
      </c>
      <c r="AQ72">
        <v>1.2610619469026501</v>
      </c>
      <c r="AR72" t="s">
        <v>186</v>
      </c>
      <c r="AS72">
        <v>1.1490909090909001</v>
      </c>
      <c r="AT72" t="s">
        <v>155</v>
      </c>
      <c r="AU72">
        <v>1.2793017456359099</v>
      </c>
      <c r="AV72" t="s">
        <v>198</v>
      </c>
      <c r="AW72">
        <v>1.00539083557951</v>
      </c>
      <c r="AX72" t="s">
        <v>153</v>
      </c>
      <c r="AY72">
        <v>0.89964375047373601</v>
      </c>
      <c r="AZ72" t="s">
        <v>150</v>
      </c>
      <c r="BA72">
        <v>0.91780821917808197</v>
      </c>
      <c r="BB72" t="s">
        <v>155</v>
      </c>
      <c r="BC72">
        <v>0.84763948497854003</v>
      </c>
      <c r="BD72" t="s">
        <v>150</v>
      </c>
      <c r="BE72">
        <v>1.1842105263157801</v>
      </c>
      <c r="BF72" t="s">
        <v>198</v>
      </c>
      <c r="BG72">
        <v>1.0534351145038101</v>
      </c>
      <c r="BH72" t="s">
        <v>209</v>
      </c>
      <c r="BI72">
        <v>0.94656488549618301</v>
      </c>
      <c r="BJ72" t="s">
        <v>228</v>
      </c>
      <c r="BK72">
        <v>0.93294460641399402</v>
      </c>
      <c r="BL72" t="s">
        <v>223</v>
      </c>
      <c r="BM72">
        <v>0.98387096774193505</v>
      </c>
      <c r="BN72" t="s">
        <v>209</v>
      </c>
      <c r="BO72">
        <v>1.1228813559322</v>
      </c>
      <c r="BP72" t="s">
        <v>231</v>
      </c>
      <c r="BQ72">
        <v>1.1959459459459401</v>
      </c>
      <c r="BR72" t="s">
        <v>225</v>
      </c>
      <c r="BS72">
        <v>0.92203389830508398</v>
      </c>
      <c r="BT72" t="s">
        <v>223</v>
      </c>
      <c r="BU72">
        <v>0.95535714285714202</v>
      </c>
      <c r="BV72" t="s">
        <v>222</v>
      </c>
      <c r="BW72">
        <v>1.25471698113207</v>
      </c>
    </row>
    <row r="73" spans="1:75" x14ac:dyDescent="0.4">
      <c r="A73">
        <v>71</v>
      </c>
      <c r="B73" t="s">
        <v>193</v>
      </c>
      <c r="C73">
        <v>1.0859728506787301</v>
      </c>
      <c r="D73" t="s">
        <v>205</v>
      </c>
      <c r="E73">
        <v>0.84378843788437796</v>
      </c>
      <c r="F73" t="s">
        <v>150</v>
      </c>
      <c r="G73">
        <v>0.64491654021244305</v>
      </c>
      <c r="H73" t="s">
        <v>206</v>
      </c>
      <c r="I73">
        <v>1.2717770034843201</v>
      </c>
      <c r="J73" t="s">
        <v>186</v>
      </c>
      <c r="K73">
        <v>1.2329249520274901</v>
      </c>
      <c r="L73" t="s">
        <v>209</v>
      </c>
      <c r="M73">
        <v>1.21148459383753</v>
      </c>
      <c r="N73" t="s">
        <v>164</v>
      </c>
      <c r="O73">
        <v>1.20366795366795</v>
      </c>
      <c r="P73" t="s">
        <v>165</v>
      </c>
      <c r="Q73">
        <v>0.88779284833538796</v>
      </c>
      <c r="R73" t="s">
        <v>210</v>
      </c>
      <c r="S73">
        <v>1.1191969887076501</v>
      </c>
      <c r="T73" t="s">
        <v>162</v>
      </c>
      <c r="U73">
        <v>1.5758468335787901</v>
      </c>
      <c r="V73" t="s">
        <v>158</v>
      </c>
      <c r="W73">
        <v>1</v>
      </c>
      <c r="X73" t="s">
        <v>150</v>
      </c>
      <c r="Y73">
        <v>0.90033594624860003</v>
      </c>
      <c r="Z73" t="s">
        <v>214</v>
      </c>
      <c r="AA73">
        <v>1.01428571428571</v>
      </c>
      <c r="AB73" t="s">
        <v>236</v>
      </c>
      <c r="AC73">
        <v>0.754566601838081</v>
      </c>
      <c r="AD73" t="s">
        <v>158</v>
      </c>
      <c r="AE73">
        <v>0.9</v>
      </c>
      <c r="AF73" t="s">
        <v>162</v>
      </c>
      <c r="AG73">
        <v>1.08660130718954</v>
      </c>
      <c r="AH73" t="s">
        <v>162</v>
      </c>
      <c r="AI73">
        <v>0.79398496240601502</v>
      </c>
      <c r="AJ73" t="s">
        <v>210</v>
      </c>
      <c r="AK73">
        <v>0.90550458715596305</v>
      </c>
      <c r="AL73" t="s">
        <v>158</v>
      </c>
      <c r="AM73">
        <v>1.3217821782178201</v>
      </c>
      <c r="AN73" t="s">
        <v>236</v>
      </c>
      <c r="AO73">
        <v>1.6376729964596</v>
      </c>
      <c r="AP73" t="s">
        <v>158</v>
      </c>
      <c r="AQ73">
        <v>1.1008771929824499</v>
      </c>
      <c r="AR73" t="s">
        <v>145</v>
      </c>
      <c r="AS73">
        <v>1.01803051317614</v>
      </c>
      <c r="AT73" t="s">
        <v>198</v>
      </c>
      <c r="AU73">
        <v>1.03342618384401</v>
      </c>
      <c r="AV73" t="s">
        <v>207</v>
      </c>
      <c r="AW73">
        <v>0.98571428571428499</v>
      </c>
      <c r="AX73" t="s">
        <v>155</v>
      </c>
      <c r="AY73">
        <v>0.92682926829268297</v>
      </c>
      <c r="AZ73" t="s">
        <v>153</v>
      </c>
      <c r="BA73">
        <v>1</v>
      </c>
      <c r="BB73" t="s">
        <v>198</v>
      </c>
      <c r="BC73">
        <v>0.91529411764705804</v>
      </c>
      <c r="BD73" t="s">
        <v>153</v>
      </c>
      <c r="BE73">
        <v>0.76414998475764595</v>
      </c>
      <c r="BF73" t="s">
        <v>207</v>
      </c>
      <c r="BG73">
        <v>1.19463869463869</v>
      </c>
      <c r="BH73" t="s">
        <v>228</v>
      </c>
      <c r="BI73">
        <v>0.74403470715835096</v>
      </c>
      <c r="BJ73" t="s">
        <v>174</v>
      </c>
      <c r="BK73">
        <v>0.98993288590604001</v>
      </c>
      <c r="BL73" t="s">
        <v>222</v>
      </c>
      <c r="BM73">
        <v>0.92934782608695599</v>
      </c>
      <c r="BN73" t="s">
        <v>228</v>
      </c>
      <c r="BO73">
        <v>0.95016611295680997</v>
      </c>
      <c r="BP73" t="s">
        <v>178</v>
      </c>
      <c r="BQ73">
        <v>1.11057692307692</v>
      </c>
      <c r="BR73" t="s">
        <v>209</v>
      </c>
      <c r="BS73">
        <v>0.81672394043527996</v>
      </c>
      <c r="BT73" t="s">
        <v>222</v>
      </c>
      <c r="BU73">
        <v>1.0192307692307601</v>
      </c>
      <c r="BV73" t="s">
        <v>225</v>
      </c>
      <c r="BW73">
        <v>0.93690851735015701</v>
      </c>
    </row>
    <row r="74" spans="1:75" x14ac:dyDescent="0.4">
      <c r="A74">
        <v>72</v>
      </c>
      <c r="B74" t="s">
        <v>150</v>
      </c>
      <c r="C74">
        <v>1.0269179004037601</v>
      </c>
      <c r="D74" t="s">
        <v>198</v>
      </c>
      <c r="E74">
        <v>0.82392026578072997</v>
      </c>
      <c r="F74" t="s">
        <v>200</v>
      </c>
      <c r="G74">
        <v>0.34887824552558599</v>
      </c>
      <c r="H74" t="s">
        <v>165</v>
      </c>
      <c r="I74">
        <v>0.72072334840309105</v>
      </c>
      <c r="J74" t="s">
        <v>193</v>
      </c>
      <c r="K74">
        <v>2.1627565982404602</v>
      </c>
      <c r="L74" t="s">
        <v>164</v>
      </c>
      <c r="M74">
        <v>1.0329012961116599</v>
      </c>
      <c r="N74" t="s">
        <v>228</v>
      </c>
      <c r="O74">
        <v>0.82417582417582402</v>
      </c>
      <c r="P74" t="s">
        <v>210</v>
      </c>
      <c r="Q74">
        <v>1.0828804347826</v>
      </c>
      <c r="R74" t="s">
        <v>158</v>
      </c>
      <c r="S74">
        <v>0.95575221238938002</v>
      </c>
      <c r="T74" t="s">
        <v>217</v>
      </c>
      <c r="U74">
        <v>1.3778353856124399</v>
      </c>
      <c r="V74" t="s">
        <v>217</v>
      </c>
      <c r="W74">
        <v>0.79147068046409497</v>
      </c>
      <c r="X74" t="s">
        <v>153</v>
      </c>
      <c r="Y74">
        <v>0.75831506718764896</v>
      </c>
      <c r="Z74" t="s">
        <v>212</v>
      </c>
      <c r="AA74">
        <v>1.0197152245345</v>
      </c>
      <c r="AB74" t="s">
        <v>162</v>
      </c>
      <c r="AC74">
        <v>0.97040690505548699</v>
      </c>
      <c r="AD74" t="s">
        <v>236</v>
      </c>
      <c r="AE74">
        <v>0.89290948602617803</v>
      </c>
      <c r="AF74" t="s">
        <v>217</v>
      </c>
      <c r="AG74">
        <v>1.3480392156862699</v>
      </c>
      <c r="AH74" t="s">
        <v>217</v>
      </c>
      <c r="AI74">
        <v>0.77737373737373705</v>
      </c>
      <c r="AJ74" t="s">
        <v>158</v>
      </c>
      <c r="AK74">
        <v>1.12222222222222</v>
      </c>
      <c r="AL74" t="s">
        <v>162</v>
      </c>
      <c r="AM74">
        <v>1.11696869851729</v>
      </c>
      <c r="AN74" t="s">
        <v>162</v>
      </c>
      <c r="AO74">
        <v>0.83333333333333304</v>
      </c>
      <c r="AP74" t="s">
        <v>162</v>
      </c>
      <c r="AQ74">
        <v>1.05486725663716</v>
      </c>
      <c r="AR74" t="s">
        <v>203</v>
      </c>
      <c r="AS74">
        <v>0.85529411764705798</v>
      </c>
      <c r="AT74" t="s">
        <v>207</v>
      </c>
      <c r="AU74">
        <v>0.96330275229357798</v>
      </c>
      <c r="AV74" t="s">
        <v>216</v>
      </c>
      <c r="AW74">
        <v>0.93110236220472398</v>
      </c>
      <c r="AX74" t="s">
        <v>198</v>
      </c>
      <c r="AY74">
        <v>1.01876675603217</v>
      </c>
      <c r="AZ74" t="s">
        <v>155</v>
      </c>
      <c r="BA74">
        <v>1.1148325358851601</v>
      </c>
      <c r="BB74" t="s">
        <v>207</v>
      </c>
      <c r="BC74">
        <v>1.0878661087866099</v>
      </c>
      <c r="BD74" t="s">
        <v>155</v>
      </c>
      <c r="BE74">
        <v>0.873417721518987</v>
      </c>
      <c r="BF74" t="s">
        <v>206</v>
      </c>
      <c r="BG74">
        <v>1.1381418092909501</v>
      </c>
      <c r="BH74" t="s">
        <v>174</v>
      </c>
      <c r="BI74">
        <v>0.943037974683544</v>
      </c>
      <c r="BJ74" t="s">
        <v>231</v>
      </c>
      <c r="BK74">
        <v>0.93385826771653502</v>
      </c>
      <c r="BL74" t="s">
        <v>225</v>
      </c>
      <c r="BM74">
        <v>0.98064516129032198</v>
      </c>
      <c r="BN74" t="s">
        <v>174</v>
      </c>
      <c r="BO74">
        <v>0.94576271186440597</v>
      </c>
      <c r="BP74" t="s">
        <v>185</v>
      </c>
      <c r="BQ74">
        <v>0.98360655737704905</v>
      </c>
      <c r="BR74" t="s">
        <v>543</v>
      </c>
      <c r="BS74">
        <v>0.79870129870129802</v>
      </c>
      <c r="BT74" t="s">
        <v>225</v>
      </c>
      <c r="BU74">
        <v>1.1654411764705801</v>
      </c>
      <c r="BV74" t="s">
        <v>209</v>
      </c>
      <c r="BW74">
        <v>1.12947658402203</v>
      </c>
    </row>
    <row r="75" spans="1:75" x14ac:dyDescent="0.4">
      <c r="A75">
        <v>73</v>
      </c>
      <c r="B75" t="s">
        <v>153</v>
      </c>
      <c r="C75">
        <v>1.1867201814850299</v>
      </c>
      <c r="D75" t="s">
        <v>157</v>
      </c>
      <c r="E75">
        <v>1.21606648199445</v>
      </c>
      <c r="F75" t="s">
        <v>202</v>
      </c>
      <c r="G75">
        <v>0.46057142857142802</v>
      </c>
      <c r="H75" t="s">
        <v>158</v>
      </c>
      <c r="I75">
        <v>0.83783783783783705</v>
      </c>
      <c r="J75" t="s">
        <v>145</v>
      </c>
      <c r="K75">
        <v>1.73121387283237</v>
      </c>
      <c r="L75" t="s">
        <v>228</v>
      </c>
      <c r="M75">
        <v>0.92857142857142805</v>
      </c>
      <c r="N75" t="s">
        <v>230</v>
      </c>
      <c r="O75">
        <v>0.96965865992414602</v>
      </c>
      <c r="P75" t="s">
        <v>158</v>
      </c>
      <c r="Q75">
        <v>1.0610328638497599</v>
      </c>
      <c r="R75" t="s">
        <v>162</v>
      </c>
      <c r="S75">
        <v>0.77600000000000002</v>
      </c>
      <c r="T75" t="s">
        <v>214</v>
      </c>
      <c r="U75">
        <v>0.90945945945945905</v>
      </c>
      <c r="V75" t="s">
        <v>214</v>
      </c>
      <c r="W75">
        <v>1.2540861812778601</v>
      </c>
      <c r="X75" t="s">
        <v>198</v>
      </c>
      <c r="Y75">
        <v>0.95783132530120396</v>
      </c>
      <c r="Z75" t="s">
        <v>225</v>
      </c>
      <c r="AA75">
        <v>1.09407665505226</v>
      </c>
      <c r="AB75" t="s">
        <v>217</v>
      </c>
      <c r="AC75">
        <v>1.27441761060055</v>
      </c>
      <c r="AD75" t="s">
        <v>162</v>
      </c>
      <c r="AE75">
        <v>0.77763659466327795</v>
      </c>
      <c r="AF75" t="s">
        <v>214</v>
      </c>
      <c r="AG75">
        <v>1.16811091854419</v>
      </c>
      <c r="AH75" t="s">
        <v>214</v>
      </c>
      <c r="AI75">
        <v>0.72329376854599403</v>
      </c>
      <c r="AJ75" t="s">
        <v>236</v>
      </c>
      <c r="AK75">
        <v>1.24643720310025</v>
      </c>
      <c r="AL75" t="s">
        <v>217</v>
      </c>
      <c r="AM75">
        <v>0.75398048279404195</v>
      </c>
      <c r="AN75" t="s">
        <v>214</v>
      </c>
      <c r="AO75">
        <v>1.1552270327349501</v>
      </c>
      <c r="AP75" t="s">
        <v>214</v>
      </c>
      <c r="AQ75">
        <v>1.0365630712979801</v>
      </c>
      <c r="AR75" t="s">
        <v>153</v>
      </c>
      <c r="AS75">
        <v>0.78125426039536405</v>
      </c>
      <c r="AT75" t="s">
        <v>216</v>
      </c>
      <c r="AU75">
        <v>0.99607843137254903</v>
      </c>
      <c r="AV75" t="s">
        <v>210</v>
      </c>
      <c r="AW75">
        <v>1.21167883211678</v>
      </c>
      <c r="AX75" t="s">
        <v>207</v>
      </c>
      <c r="AY75">
        <v>0.84830917874396095</v>
      </c>
      <c r="AZ75" t="s">
        <v>198</v>
      </c>
      <c r="BA75">
        <v>1.1184210526315701</v>
      </c>
      <c r="BB75" t="s">
        <v>206</v>
      </c>
      <c r="BC75">
        <v>0.85714285714285698</v>
      </c>
      <c r="BD75" t="s">
        <v>198</v>
      </c>
      <c r="BE75">
        <v>1.0102827763496101</v>
      </c>
      <c r="BF75" t="s">
        <v>216</v>
      </c>
      <c r="BG75">
        <v>1.5194805194805101</v>
      </c>
      <c r="BH75" t="s">
        <v>231</v>
      </c>
      <c r="BI75">
        <v>0.82467532467532401</v>
      </c>
      <c r="BJ75" t="s">
        <v>178</v>
      </c>
      <c r="BK75">
        <v>0.88947368421052597</v>
      </c>
      <c r="BL75" t="s">
        <v>209</v>
      </c>
      <c r="BM75">
        <v>0.92097560975609705</v>
      </c>
      <c r="BN75" t="s">
        <v>178</v>
      </c>
      <c r="BO75">
        <v>1.04785894206549</v>
      </c>
      <c r="BP75" t="s">
        <v>238</v>
      </c>
      <c r="BQ75">
        <v>0.99397590361445698</v>
      </c>
      <c r="BR75" t="s">
        <v>174</v>
      </c>
      <c r="BS75">
        <v>1</v>
      </c>
      <c r="BT75" t="s">
        <v>209</v>
      </c>
      <c r="BU75">
        <v>1.0182328190743299</v>
      </c>
      <c r="BV75" t="s">
        <v>228</v>
      </c>
      <c r="BW75">
        <v>0.97839506172839497</v>
      </c>
    </row>
    <row r="76" spans="1:75" x14ac:dyDescent="0.4">
      <c r="A76">
        <v>74</v>
      </c>
      <c r="B76" t="s">
        <v>202</v>
      </c>
      <c r="C76">
        <v>0.93714285714285706</v>
      </c>
      <c r="D76" t="s">
        <v>165</v>
      </c>
      <c r="E76">
        <v>0.62215332373675802</v>
      </c>
      <c r="F76" t="s">
        <v>198</v>
      </c>
      <c r="G76">
        <v>0.73225806451612896</v>
      </c>
      <c r="H76" t="s">
        <v>162</v>
      </c>
      <c r="I76">
        <v>1.48529411764705</v>
      </c>
      <c r="J76" t="s">
        <v>150</v>
      </c>
      <c r="K76">
        <v>1.91115702479338</v>
      </c>
      <c r="L76" t="s">
        <v>230</v>
      </c>
      <c r="M76">
        <v>1.05186170212765</v>
      </c>
      <c r="N76" t="s">
        <v>168</v>
      </c>
      <c r="O76">
        <v>1.1340206185567001</v>
      </c>
      <c r="P76" t="s">
        <v>162</v>
      </c>
      <c r="Q76">
        <v>1.0416666666666601</v>
      </c>
      <c r="R76" t="s">
        <v>214</v>
      </c>
      <c r="S76">
        <v>1.26495726495726</v>
      </c>
      <c r="T76" t="s">
        <v>212</v>
      </c>
      <c r="U76">
        <v>0.97683397683397599</v>
      </c>
      <c r="V76" t="s">
        <v>212</v>
      </c>
      <c r="W76">
        <v>0.88537549407114602</v>
      </c>
      <c r="X76" t="s">
        <v>157</v>
      </c>
      <c r="Y76">
        <v>1.01466992665036</v>
      </c>
      <c r="Z76" t="s">
        <v>164</v>
      </c>
      <c r="AA76">
        <v>1.1647482014388399</v>
      </c>
      <c r="AB76" t="s">
        <v>214</v>
      </c>
      <c r="AC76">
        <v>0.95774647887323905</v>
      </c>
      <c r="AD76" t="s">
        <v>217</v>
      </c>
      <c r="AE76">
        <v>0.92369612611101704</v>
      </c>
      <c r="AF76" t="s">
        <v>212</v>
      </c>
      <c r="AG76">
        <v>1.0074165636588299</v>
      </c>
      <c r="AH76" t="s">
        <v>212</v>
      </c>
      <c r="AI76">
        <v>1.00736196319018</v>
      </c>
      <c r="AJ76" t="s">
        <v>162</v>
      </c>
      <c r="AK76">
        <v>1.1496212121212099</v>
      </c>
      <c r="AL76" t="s">
        <v>214</v>
      </c>
      <c r="AM76">
        <v>0.98440748440748405</v>
      </c>
      <c r="AN76" t="s">
        <v>212</v>
      </c>
      <c r="AO76">
        <v>1.04252400548696</v>
      </c>
      <c r="AP76" t="s">
        <v>225</v>
      </c>
      <c r="AQ76">
        <v>1.2236286919831201</v>
      </c>
      <c r="AR76" t="s">
        <v>198</v>
      </c>
      <c r="AS76">
        <v>0.90656565656565602</v>
      </c>
      <c r="AT76" t="s">
        <v>210</v>
      </c>
      <c r="AU76">
        <v>0.89542483660130701</v>
      </c>
      <c r="AV76" t="s">
        <v>158</v>
      </c>
      <c r="AW76">
        <v>0.90909090909090895</v>
      </c>
      <c r="AX76" t="s">
        <v>216</v>
      </c>
      <c r="AY76">
        <v>1.06553911205074</v>
      </c>
      <c r="AZ76" t="s">
        <v>207</v>
      </c>
      <c r="BA76">
        <v>0.81662870159453305</v>
      </c>
      <c r="BB76" t="s">
        <v>216</v>
      </c>
      <c r="BC76">
        <v>0.83276450511945299</v>
      </c>
      <c r="BD76" t="s">
        <v>207</v>
      </c>
      <c r="BE76">
        <v>1.1000000000000001</v>
      </c>
      <c r="BF76" t="s">
        <v>210</v>
      </c>
      <c r="BG76">
        <v>0.93548387096774099</v>
      </c>
      <c r="BH76" t="s">
        <v>178</v>
      </c>
      <c r="BI76">
        <v>0.77868852459016302</v>
      </c>
      <c r="BJ76" t="s">
        <v>185</v>
      </c>
      <c r="BK76">
        <v>0.99193548387096697</v>
      </c>
      <c r="BL76" t="s">
        <v>228</v>
      </c>
      <c r="BM76">
        <v>0.94062500000000004</v>
      </c>
      <c r="BN76" t="s">
        <v>185</v>
      </c>
      <c r="BO76">
        <v>1.05627705627705</v>
      </c>
      <c r="BP76" t="s">
        <v>241</v>
      </c>
      <c r="BQ76">
        <v>0.92236024844720499</v>
      </c>
      <c r="BR76" t="s">
        <v>231</v>
      </c>
      <c r="BS76">
        <v>0.92655367231638397</v>
      </c>
      <c r="BT76" t="s">
        <v>228</v>
      </c>
      <c r="BU76">
        <v>1.0253164556962</v>
      </c>
      <c r="BV76" t="s">
        <v>174</v>
      </c>
      <c r="BW76">
        <v>1.09030100334448</v>
      </c>
    </row>
    <row r="77" spans="1:75" x14ac:dyDescent="0.4">
      <c r="A77">
        <v>75</v>
      </c>
      <c r="B77" t="s">
        <v>198</v>
      </c>
      <c r="C77">
        <v>1.1576923076923</v>
      </c>
      <c r="D77" t="s">
        <v>158</v>
      </c>
      <c r="E77">
        <v>0.82857142857142796</v>
      </c>
      <c r="F77" t="s">
        <v>206</v>
      </c>
      <c r="G77">
        <v>0.83918128654970703</v>
      </c>
      <c r="H77" t="s">
        <v>212</v>
      </c>
      <c r="I77">
        <v>0.75728155339805803</v>
      </c>
      <c r="J77" t="s">
        <v>153</v>
      </c>
      <c r="K77">
        <v>1.1702903104184901</v>
      </c>
      <c r="L77" t="s">
        <v>168</v>
      </c>
      <c r="M77">
        <v>1.44776119402985</v>
      </c>
      <c r="N77" t="s">
        <v>170</v>
      </c>
      <c r="O77">
        <v>1.13333333333333</v>
      </c>
      <c r="P77" t="s">
        <v>214</v>
      </c>
      <c r="Q77">
        <v>1.21875</v>
      </c>
      <c r="R77" t="s">
        <v>212</v>
      </c>
      <c r="S77">
        <v>1.0156862745098001</v>
      </c>
      <c r="T77" t="s">
        <v>225</v>
      </c>
      <c r="U77">
        <v>1.07627118644067</v>
      </c>
      <c r="V77" t="s">
        <v>225</v>
      </c>
      <c r="W77">
        <v>0.929133858267716</v>
      </c>
      <c r="X77" t="s">
        <v>210</v>
      </c>
      <c r="Y77">
        <v>1.1279620853080501</v>
      </c>
      <c r="Z77" t="s">
        <v>228</v>
      </c>
      <c r="AA77">
        <v>1.1818181818181801</v>
      </c>
      <c r="AB77" t="s">
        <v>212</v>
      </c>
      <c r="AC77">
        <v>0.86680988184747498</v>
      </c>
      <c r="AD77" t="s">
        <v>214</v>
      </c>
      <c r="AE77">
        <v>0.84852941176470498</v>
      </c>
      <c r="AF77" t="s">
        <v>225</v>
      </c>
      <c r="AG77">
        <v>1.2139737991266299</v>
      </c>
      <c r="AH77" t="s">
        <v>225</v>
      </c>
      <c r="AI77">
        <v>1.0251798561151</v>
      </c>
      <c r="AJ77" t="s">
        <v>217</v>
      </c>
      <c r="AK77">
        <v>1.34927234927234</v>
      </c>
      <c r="AL77" t="s">
        <v>212</v>
      </c>
      <c r="AM77">
        <v>0.85263157894736796</v>
      </c>
      <c r="AN77" t="s">
        <v>225</v>
      </c>
      <c r="AO77">
        <v>0.98956158663882998</v>
      </c>
      <c r="AP77" t="s">
        <v>209</v>
      </c>
      <c r="AQ77">
        <v>0.96339677891654396</v>
      </c>
      <c r="AR77" t="s">
        <v>216</v>
      </c>
      <c r="AS77">
        <v>0.89947089947089898</v>
      </c>
      <c r="AT77" t="s">
        <v>158</v>
      </c>
      <c r="AU77">
        <v>1.0272373540855999</v>
      </c>
      <c r="AV77" t="s">
        <v>162</v>
      </c>
      <c r="AW77">
        <v>1.0097087378640699</v>
      </c>
      <c r="AX77" t="s">
        <v>210</v>
      </c>
      <c r="AY77">
        <v>1.3524096385542099</v>
      </c>
      <c r="AZ77" t="s">
        <v>216</v>
      </c>
      <c r="BA77">
        <v>1.1626984126984099</v>
      </c>
      <c r="BB77" t="s">
        <v>158</v>
      </c>
      <c r="BC77">
        <v>0.82978723404255295</v>
      </c>
      <c r="BD77" t="s">
        <v>206</v>
      </c>
      <c r="BE77">
        <v>1.0174129353233801</v>
      </c>
      <c r="BF77" t="s">
        <v>158</v>
      </c>
      <c r="BG77">
        <v>1.15384615384615</v>
      </c>
      <c r="BH77" t="s">
        <v>185</v>
      </c>
      <c r="BI77">
        <v>0.80781758957654703</v>
      </c>
      <c r="BJ77" t="s">
        <v>238</v>
      </c>
      <c r="BK77">
        <v>0.934306569343065</v>
      </c>
      <c r="BL77" t="s">
        <v>174</v>
      </c>
      <c r="BM77">
        <v>1</v>
      </c>
      <c r="BN77" t="s">
        <v>238</v>
      </c>
      <c r="BO77">
        <v>1.1037234042553099</v>
      </c>
      <c r="BP77" t="s">
        <v>189</v>
      </c>
      <c r="BQ77">
        <v>1.0426267281105901</v>
      </c>
      <c r="BR77" t="s">
        <v>178</v>
      </c>
      <c r="BS77">
        <v>1.08008658008658</v>
      </c>
      <c r="BT77" t="s">
        <v>174</v>
      </c>
      <c r="BU77">
        <v>1.12406015037593</v>
      </c>
      <c r="BV77" t="s">
        <v>231</v>
      </c>
      <c r="BW77">
        <v>1.0048309178743899</v>
      </c>
    </row>
    <row r="78" spans="1:75" x14ac:dyDescent="0.4">
      <c r="A78">
        <v>76</v>
      </c>
      <c r="B78" t="s">
        <v>157</v>
      </c>
      <c r="C78">
        <v>0.94010416666666596</v>
      </c>
      <c r="D78" t="s">
        <v>214</v>
      </c>
      <c r="E78">
        <v>0.75463917525773105</v>
      </c>
      <c r="F78" t="s">
        <v>165</v>
      </c>
      <c r="G78">
        <v>0.406798766018035</v>
      </c>
      <c r="H78" t="s">
        <v>222</v>
      </c>
      <c r="I78">
        <v>1.1578947368421</v>
      </c>
      <c r="J78" t="s">
        <v>198</v>
      </c>
      <c r="K78">
        <v>1.4576271186440599</v>
      </c>
      <c r="L78" t="s">
        <v>170</v>
      </c>
      <c r="M78">
        <v>1.44974226804123</v>
      </c>
      <c r="N78" t="s">
        <v>172</v>
      </c>
      <c r="O78">
        <v>1.0855263157894699</v>
      </c>
      <c r="P78" t="s">
        <v>222</v>
      </c>
      <c r="Q78">
        <v>0.77777777777777701</v>
      </c>
      <c r="R78" t="s">
        <v>222</v>
      </c>
      <c r="S78">
        <v>0.58827838827838796</v>
      </c>
      <c r="T78" t="s">
        <v>164</v>
      </c>
      <c r="U78">
        <v>0.98247011952191199</v>
      </c>
      <c r="V78" t="s">
        <v>164</v>
      </c>
      <c r="W78">
        <v>1.1224655312246501</v>
      </c>
      <c r="X78" t="s">
        <v>158</v>
      </c>
      <c r="Y78">
        <v>0.97607655502392299</v>
      </c>
      <c r="Z78" t="s">
        <v>167</v>
      </c>
      <c r="AA78">
        <v>1.1545454545454501</v>
      </c>
      <c r="AB78" t="s">
        <v>225</v>
      </c>
      <c r="AC78">
        <v>0.83757961783439405</v>
      </c>
      <c r="AD78" t="s">
        <v>212</v>
      </c>
      <c r="AE78">
        <v>1.0024783147459699</v>
      </c>
      <c r="AF78" t="s">
        <v>228</v>
      </c>
      <c r="AG78">
        <v>1.5277044854881201</v>
      </c>
      <c r="AH78" t="s">
        <v>228</v>
      </c>
      <c r="AI78">
        <v>0.79447322970639001</v>
      </c>
      <c r="AJ78" t="s">
        <v>214</v>
      </c>
      <c r="AK78">
        <v>0.98666666666666603</v>
      </c>
      <c r="AL78" t="s">
        <v>225</v>
      </c>
      <c r="AM78">
        <v>1.4088235294117599</v>
      </c>
      <c r="AN78" t="s">
        <v>164</v>
      </c>
      <c r="AO78">
        <v>1.2476125511596099</v>
      </c>
      <c r="AP78" t="s">
        <v>228</v>
      </c>
      <c r="AQ78">
        <v>1.0454545454545401</v>
      </c>
      <c r="AR78" t="s">
        <v>210</v>
      </c>
      <c r="AS78">
        <v>1.07368421052631</v>
      </c>
      <c r="AT78" t="s">
        <v>162</v>
      </c>
      <c r="AU78">
        <v>1.01549295774647</v>
      </c>
      <c r="AV78" t="s">
        <v>217</v>
      </c>
      <c r="AW78">
        <v>0.950754668713225</v>
      </c>
      <c r="AX78" t="s">
        <v>158</v>
      </c>
      <c r="AY78">
        <v>1.24166666666666</v>
      </c>
      <c r="AZ78" t="s">
        <v>158</v>
      </c>
      <c r="BA78">
        <v>1.1040268456375799</v>
      </c>
      <c r="BB78" t="s">
        <v>214</v>
      </c>
      <c r="BC78">
        <v>1.0243902439024299</v>
      </c>
      <c r="BD78" t="s">
        <v>216</v>
      </c>
      <c r="BE78">
        <v>0.94672131147540906</v>
      </c>
      <c r="BF78" t="s">
        <v>162</v>
      </c>
      <c r="BG78">
        <v>1.5710382513661201</v>
      </c>
      <c r="BH78" t="s">
        <v>238</v>
      </c>
      <c r="BI78">
        <v>0.91638795986622001</v>
      </c>
      <c r="BJ78" t="s">
        <v>241</v>
      </c>
      <c r="BK78">
        <v>0.95253164556962</v>
      </c>
      <c r="BL78" t="s">
        <v>178</v>
      </c>
      <c r="BM78">
        <v>1.17455621301775</v>
      </c>
      <c r="BN78" t="s">
        <v>241</v>
      </c>
      <c r="BO78">
        <v>1.2243346007604501</v>
      </c>
      <c r="BP78" t="s">
        <v>247</v>
      </c>
      <c r="BQ78">
        <v>1.07371794871794</v>
      </c>
      <c r="BR78" t="s">
        <v>185</v>
      </c>
      <c r="BS78">
        <v>0.92500000000000004</v>
      </c>
      <c r="BT78" t="s">
        <v>231</v>
      </c>
      <c r="BU78">
        <v>1.0097560975609701</v>
      </c>
      <c r="BV78" t="s">
        <v>178</v>
      </c>
      <c r="BW78">
        <v>0.99470899470899399</v>
      </c>
    </row>
    <row r="79" spans="1:75" x14ac:dyDescent="0.4">
      <c r="A79">
        <v>77</v>
      </c>
      <c r="B79" t="s">
        <v>206</v>
      </c>
      <c r="C79">
        <v>3.0229746070133001</v>
      </c>
      <c r="D79" t="s">
        <v>222</v>
      </c>
      <c r="E79">
        <v>0.75961538461538403</v>
      </c>
      <c r="F79" t="s">
        <v>210</v>
      </c>
      <c r="G79">
        <v>0.53596127247579495</v>
      </c>
      <c r="H79" t="s">
        <v>225</v>
      </c>
      <c r="I79">
        <v>0.82498090145148895</v>
      </c>
      <c r="J79" t="s">
        <v>206</v>
      </c>
      <c r="K79">
        <v>1.58630136986301</v>
      </c>
      <c r="L79" t="s">
        <v>172</v>
      </c>
      <c r="M79">
        <v>0.94645080946450799</v>
      </c>
      <c r="N79" t="s">
        <v>231</v>
      </c>
      <c r="O79">
        <v>0.89149560117301996</v>
      </c>
      <c r="P79" t="s">
        <v>225</v>
      </c>
      <c r="Q79">
        <v>0.97902097902097895</v>
      </c>
      <c r="R79" t="s">
        <v>225</v>
      </c>
      <c r="S79">
        <v>0.99159663865546199</v>
      </c>
      <c r="T79" t="s">
        <v>228</v>
      </c>
      <c r="U79">
        <v>1.0828025477707</v>
      </c>
      <c r="V79" t="s">
        <v>228</v>
      </c>
      <c r="W79">
        <v>1.04411764705882</v>
      </c>
      <c r="X79" t="s">
        <v>217</v>
      </c>
      <c r="Y79">
        <v>0.90729001584785995</v>
      </c>
      <c r="Z79" t="s">
        <v>168</v>
      </c>
      <c r="AA79">
        <v>1.0163934426229499</v>
      </c>
      <c r="AB79" t="s">
        <v>228</v>
      </c>
      <c r="AC79">
        <v>0.91346153846153799</v>
      </c>
      <c r="AD79" t="s">
        <v>225</v>
      </c>
      <c r="AE79">
        <v>0.87072243346007605</v>
      </c>
      <c r="AF79" t="s">
        <v>172</v>
      </c>
      <c r="AG79">
        <v>0.90948587979724804</v>
      </c>
      <c r="AH79" t="s">
        <v>172</v>
      </c>
      <c r="AI79">
        <v>1.0772292993630499</v>
      </c>
      <c r="AJ79" t="s">
        <v>212</v>
      </c>
      <c r="AK79">
        <v>1.04141291108404</v>
      </c>
      <c r="AL79" t="s">
        <v>228</v>
      </c>
      <c r="AM79">
        <v>1.0342741935483799</v>
      </c>
      <c r="AN79" t="s">
        <v>228</v>
      </c>
      <c r="AO79">
        <v>0.94346978557504801</v>
      </c>
      <c r="AP79" t="s">
        <v>172</v>
      </c>
      <c r="AQ79">
        <v>1.0457063711911301</v>
      </c>
      <c r="AR79" t="s">
        <v>158</v>
      </c>
      <c r="AS79">
        <v>1.02390438247011</v>
      </c>
      <c r="AT79" t="s">
        <v>214</v>
      </c>
      <c r="AU79">
        <v>0.94111969111969096</v>
      </c>
      <c r="AV79" t="s">
        <v>214</v>
      </c>
      <c r="AW79">
        <v>1.0317948717948699</v>
      </c>
      <c r="AX79" t="s">
        <v>217</v>
      </c>
      <c r="AY79">
        <v>1.7579712094712701</v>
      </c>
      <c r="AZ79" t="s">
        <v>162</v>
      </c>
      <c r="BA79">
        <v>1.1478770131771501</v>
      </c>
      <c r="BB79" t="s">
        <v>223</v>
      </c>
      <c r="BC79">
        <v>0.95031712473572905</v>
      </c>
      <c r="BD79" t="s">
        <v>210</v>
      </c>
      <c r="BE79">
        <v>0.89855072463768104</v>
      </c>
      <c r="BF79" t="s">
        <v>214</v>
      </c>
      <c r="BG79">
        <v>0.98923283983849197</v>
      </c>
      <c r="BH79" t="s">
        <v>241</v>
      </c>
      <c r="BI79">
        <v>1.1791044776119399</v>
      </c>
      <c r="BJ79" t="s">
        <v>189</v>
      </c>
      <c r="BK79">
        <v>0.97457627118643997</v>
      </c>
      <c r="BL79" t="s">
        <v>185</v>
      </c>
      <c r="BM79">
        <v>0.93902439024390205</v>
      </c>
      <c r="BN79" t="s">
        <v>189</v>
      </c>
      <c r="BO79">
        <v>1.09595959595959</v>
      </c>
      <c r="BP79" t="s">
        <v>249</v>
      </c>
      <c r="BQ79">
        <v>1.1284153005464399</v>
      </c>
      <c r="BR79" t="s">
        <v>238</v>
      </c>
      <c r="BS79">
        <v>0.98545454545454503</v>
      </c>
      <c r="BT79" t="s">
        <v>178</v>
      </c>
      <c r="BU79">
        <v>1.1362725450901801</v>
      </c>
      <c r="BV79" t="s">
        <v>185</v>
      </c>
      <c r="BW79">
        <v>1.07633587786259</v>
      </c>
    </row>
    <row r="80" spans="1:75" x14ac:dyDescent="0.4">
      <c r="A80">
        <v>78</v>
      </c>
      <c r="B80" t="s">
        <v>210</v>
      </c>
      <c r="C80">
        <v>0.84671532846715303</v>
      </c>
      <c r="D80" t="s">
        <v>209</v>
      </c>
      <c r="E80">
        <v>0.57714285714285696</v>
      </c>
      <c r="F80" t="s">
        <v>158</v>
      </c>
      <c r="G80">
        <v>0.74425287356321801</v>
      </c>
      <c r="H80" t="s">
        <v>164</v>
      </c>
      <c r="I80">
        <v>0.81224489795918298</v>
      </c>
      <c r="J80" t="s">
        <v>165</v>
      </c>
      <c r="K80">
        <v>2.1428571428571401</v>
      </c>
      <c r="L80" t="s">
        <v>174</v>
      </c>
      <c r="M80">
        <v>1.52958152958152</v>
      </c>
      <c r="N80" t="s">
        <v>176</v>
      </c>
      <c r="O80">
        <v>1.1808972503617901</v>
      </c>
      <c r="P80" t="s">
        <v>209</v>
      </c>
      <c r="Q80">
        <v>0.98191214470284205</v>
      </c>
      <c r="R80" t="s">
        <v>209</v>
      </c>
      <c r="S80">
        <v>0.53157894736842104</v>
      </c>
      <c r="T80" t="s">
        <v>230</v>
      </c>
      <c r="U80">
        <v>1.4049382716049299</v>
      </c>
      <c r="V80" t="s">
        <v>168</v>
      </c>
      <c r="W80">
        <v>1.0358422939068099</v>
      </c>
      <c r="X80" t="s">
        <v>214</v>
      </c>
      <c r="Y80">
        <v>0.82938388625592396</v>
      </c>
      <c r="Z80" t="s">
        <v>172</v>
      </c>
      <c r="AA80">
        <v>1.2600652883568999</v>
      </c>
      <c r="AB80" t="s">
        <v>233</v>
      </c>
      <c r="AC80">
        <v>1.0125348189415</v>
      </c>
      <c r="AD80" t="s">
        <v>164</v>
      </c>
      <c r="AE80">
        <v>0.95605022831050201</v>
      </c>
      <c r="AF80" t="s">
        <v>237</v>
      </c>
      <c r="AG80">
        <v>2.04663212435233</v>
      </c>
      <c r="AH80" t="s">
        <v>234</v>
      </c>
      <c r="AI80">
        <v>0.76832844574780002</v>
      </c>
      <c r="AJ80" t="s">
        <v>225</v>
      </c>
      <c r="AK80">
        <v>1.1929824561403499</v>
      </c>
      <c r="AL80" t="s">
        <v>167</v>
      </c>
      <c r="AM80">
        <v>1.13970588235294</v>
      </c>
      <c r="AN80" t="s">
        <v>172</v>
      </c>
      <c r="AO80">
        <v>1.0169014084507</v>
      </c>
      <c r="AP80" t="s">
        <v>237</v>
      </c>
      <c r="AQ80">
        <v>1.2630480167014599</v>
      </c>
      <c r="AR80" t="s">
        <v>162</v>
      </c>
      <c r="AS80">
        <v>1.19127516778523</v>
      </c>
      <c r="AT80" t="s">
        <v>222</v>
      </c>
      <c r="AU80">
        <v>0.95669291338582596</v>
      </c>
      <c r="AV80" t="s">
        <v>222</v>
      </c>
      <c r="AW80">
        <v>1.1646090534979401</v>
      </c>
      <c r="AX80" t="s">
        <v>214</v>
      </c>
      <c r="AY80">
        <v>1.0278330019880699</v>
      </c>
      <c r="AZ80" t="s">
        <v>214</v>
      </c>
      <c r="BA80">
        <v>1.1895551257253301</v>
      </c>
      <c r="BB80" t="s">
        <v>222</v>
      </c>
      <c r="BC80">
        <v>0.88196721311475401</v>
      </c>
      <c r="BD80" t="s">
        <v>158</v>
      </c>
      <c r="BE80">
        <v>0.90476190476190399</v>
      </c>
      <c r="BF80" t="s">
        <v>225</v>
      </c>
      <c r="BG80">
        <v>0.94688221709006903</v>
      </c>
      <c r="BH80" t="s">
        <v>189</v>
      </c>
      <c r="BI80">
        <v>0.904709748083242</v>
      </c>
      <c r="BJ80" t="s">
        <v>243</v>
      </c>
      <c r="BK80">
        <v>1.1672932330826999</v>
      </c>
      <c r="BL80" t="s">
        <v>238</v>
      </c>
      <c r="BM80">
        <v>0.97916666666666596</v>
      </c>
      <c r="BN80" t="s">
        <v>247</v>
      </c>
      <c r="BO80">
        <v>0.88636363636363602</v>
      </c>
      <c r="BP80" t="s">
        <v>251</v>
      </c>
      <c r="BQ80">
        <v>1.11233480176211</v>
      </c>
      <c r="BR80" t="s">
        <v>241</v>
      </c>
      <c r="BS80">
        <v>1.13804713804713</v>
      </c>
      <c r="BT80" t="s">
        <v>185</v>
      </c>
      <c r="BU80">
        <v>1.1801801801801799</v>
      </c>
      <c r="BV80" t="s">
        <v>238</v>
      </c>
      <c r="BW80">
        <v>1.0825</v>
      </c>
    </row>
    <row r="81" spans="1:75" x14ac:dyDescent="0.4">
      <c r="A81">
        <v>79</v>
      </c>
      <c r="B81" t="s">
        <v>236</v>
      </c>
      <c r="C81">
        <v>1.2012778144965801</v>
      </c>
      <c r="D81" t="s">
        <v>164</v>
      </c>
      <c r="E81">
        <v>1.1293103448275801</v>
      </c>
      <c r="F81" t="s">
        <v>236</v>
      </c>
      <c r="G81">
        <v>0.78247201349486195</v>
      </c>
      <c r="H81" t="s">
        <v>221</v>
      </c>
      <c r="I81">
        <v>0.90249999999999997</v>
      </c>
      <c r="J81" t="s">
        <v>158</v>
      </c>
      <c r="K81">
        <v>1.16589861751152</v>
      </c>
      <c r="L81" t="s">
        <v>231</v>
      </c>
      <c r="M81">
        <v>0.99272197962154296</v>
      </c>
      <c r="N81" t="s">
        <v>183</v>
      </c>
      <c r="O81">
        <v>1.083460474639</v>
      </c>
      <c r="P81" t="s">
        <v>164</v>
      </c>
      <c r="Q81">
        <v>0.98155573376102601</v>
      </c>
      <c r="R81" t="s">
        <v>164</v>
      </c>
      <c r="S81">
        <v>1.0253267973856199</v>
      </c>
      <c r="T81" t="s">
        <v>167</v>
      </c>
      <c r="U81">
        <v>1.1005208333333301</v>
      </c>
      <c r="V81" t="s">
        <v>170</v>
      </c>
      <c r="W81">
        <v>1.0745098039215599</v>
      </c>
      <c r="X81" t="s">
        <v>212</v>
      </c>
      <c r="Y81">
        <v>0.81517857142857097</v>
      </c>
      <c r="Z81" t="s">
        <v>231</v>
      </c>
      <c r="AA81">
        <v>0.94588235294117595</v>
      </c>
      <c r="AB81" t="s">
        <v>172</v>
      </c>
      <c r="AC81">
        <v>1.09671848013816</v>
      </c>
      <c r="AD81" t="s">
        <v>228</v>
      </c>
      <c r="AE81">
        <v>0.99736842105263102</v>
      </c>
      <c r="AF81" t="s">
        <v>178</v>
      </c>
      <c r="AG81">
        <v>1.1167785234899299</v>
      </c>
      <c r="AH81" t="s">
        <v>231</v>
      </c>
      <c r="AI81">
        <v>0.86502177068214803</v>
      </c>
      <c r="AJ81" t="s">
        <v>164</v>
      </c>
      <c r="AK81">
        <v>1.0450450450450399</v>
      </c>
      <c r="AL81" t="s">
        <v>172</v>
      </c>
      <c r="AM81">
        <v>1.0157367668097199</v>
      </c>
      <c r="AN81" t="s">
        <v>237</v>
      </c>
      <c r="AO81">
        <v>0.96088264794383105</v>
      </c>
      <c r="AP81" t="s">
        <v>234</v>
      </c>
      <c r="AQ81">
        <v>0.85529715762273895</v>
      </c>
      <c r="AR81" t="s">
        <v>217</v>
      </c>
      <c r="AS81">
        <v>0.88210606638687505</v>
      </c>
      <c r="AT81" t="s">
        <v>209</v>
      </c>
      <c r="AU81">
        <v>1.16833667334669</v>
      </c>
      <c r="AV81" t="s">
        <v>209</v>
      </c>
      <c r="AW81">
        <v>1.7409948542024001</v>
      </c>
      <c r="AX81" t="s">
        <v>222</v>
      </c>
      <c r="AY81">
        <v>1.0388692579505301</v>
      </c>
      <c r="AZ81" t="s">
        <v>222</v>
      </c>
      <c r="BA81">
        <v>1.03741496598639</v>
      </c>
      <c r="BB81" t="s">
        <v>209</v>
      </c>
      <c r="BC81">
        <v>0.75377358490566004</v>
      </c>
      <c r="BD81" t="s">
        <v>162</v>
      </c>
      <c r="BE81">
        <v>1.05627705627705</v>
      </c>
      <c r="BF81" t="s">
        <v>209</v>
      </c>
      <c r="BG81">
        <v>1.0274509803921501</v>
      </c>
      <c r="BH81" t="s">
        <v>243</v>
      </c>
      <c r="BI81">
        <v>1.0350194552529099</v>
      </c>
      <c r="BJ81" t="s">
        <v>247</v>
      </c>
      <c r="BK81">
        <v>1.1414790996784501</v>
      </c>
      <c r="BL81" t="s">
        <v>241</v>
      </c>
      <c r="BM81">
        <v>0.87375415282391999</v>
      </c>
      <c r="BN81" t="s">
        <v>249</v>
      </c>
      <c r="BO81">
        <v>1.13664596273291</v>
      </c>
      <c r="BP81" t="s">
        <v>254</v>
      </c>
      <c r="BQ81">
        <v>1.0455840455840399</v>
      </c>
      <c r="BR81" t="s">
        <v>189</v>
      </c>
      <c r="BS81">
        <v>1.04972375690607</v>
      </c>
      <c r="BT81" t="s">
        <v>238</v>
      </c>
      <c r="BU81">
        <v>0.98400984009840098</v>
      </c>
      <c r="BV81" t="s">
        <v>241</v>
      </c>
      <c r="BW81">
        <v>0.98863636363636298</v>
      </c>
    </row>
    <row r="82" spans="1:75" x14ac:dyDescent="0.4">
      <c r="A82">
        <v>80</v>
      </c>
      <c r="B82" t="s">
        <v>214</v>
      </c>
      <c r="C82">
        <v>1.61666666666666</v>
      </c>
      <c r="D82" t="s">
        <v>228</v>
      </c>
      <c r="E82">
        <v>1.0394736842105201</v>
      </c>
      <c r="F82" t="s">
        <v>214</v>
      </c>
      <c r="G82">
        <v>0.487021857923497</v>
      </c>
      <c r="H82" t="s">
        <v>168</v>
      </c>
      <c r="I82">
        <v>0.84028776978417197</v>
      </c>
      <c r="J82" t="s">
        <v>236</v>
      </c>
      <c r="K82">
        <v>1.2720357941834399</v>
      </c>
      <c r="L82" t="s">
        <v>176</v>
      </c>
      <c r="M82">
        <v>1.21228070175438</v>
      </c>
      <c r="N82" t="s">
        <v>185</v>
      </c>
      <c r="O82">
        <v>0.83750000000000002</v>
      </c>
      <c r="P82" t="s">
        <v>228</v>
      </c>
      <c r="Q82">
        <v>1.05</v>
      </c>
      <c r="R82" t="s">
        <v>228</v>
      </c>
      <c r="S82">
        <v>0.99682539682539595</v>
      </c>
      <c r="T82" t="s">
        <v>168</v>
      </c>
      <c r="U82">
        <v>0.98586572438162501</v>
      </c>
      <c r="V82" t="s">
        <v>172</v>
      </c>
      <c r="W82">
        <v>1.11006711409395</v>
      </c>
      <c r="X82" t="s">
        <v>225</v>
      </c>
      <c r="Y82">
        <v>1.2161016949152501</v>
      </c>
      <c r="Z82" t="s">
        <v>176</v>
      </c>
      <c r="AA82">
        <v>1.2568807339449499</v>
      </c>
      <c r="AB82" t="s">
        <v>234</v>
      </c>
      <c r="AC82">
        <v>1.4756097560975601</v>
      </c>
      <c r="AD82" t="s">
        <v>233</v>
      </c>
      <c r="AE82">
        <v>0.89133425034387803</v>
      </c>
      <c r="AF82" t="s">
        <v>183</v>
      </c>
      <c r="AG82">
        <v>1.0150250417362201</v>
      </c>
      <c r="AH82" t="s">
        <v>178</v>
      </c>
      <c r="AI82">
        <v>0.87019230769230704</v>
      </c>
      <c r="AJ82" t="s">
        <v>228</v>
      </c>
      <c r="AK82">
        <v>1.0782608695652101</v>
      </c>
      <c r="AL82" t="s">
        <v>237</v>
      </c>
      <c r="AM82">
        <v>0.92314814814814805</v>
      </c>
      <c r="AN82" t="s">
        <v>234</v>
      </c>
      <c r="AO82">
        <v>0.92805755395683398</v>
      </c>
      <c r="AP82" t="s">
        <v>178</v>
      </c>
      <c r="AQ82">
        <v>0.91089108910891003</v>
      </c>
      <c r="AR82" t="s">
        <v>214</v>
      </c>
      <c r="AS82">
        <v>0.91358024691357997</v>
      </c>
      <c r="AT82" t="s">
        <v>164</v>
      </c>
      <c r="AU82">
        <v>1.16005291005291</v>
      </c>
      <c r="AV82" t="s">
        <v>164</v>
      </c>
      <c r="AW82">
        <v>1.0273660205245101</v>
      </c>
      <c r="AX82" t="s">
        <v>209</v>
      </c>
      <c r="AY82">
        <v>1.07389162561576</v>
      </c>
      <c r="AZ82" t="s">
        <v>209</v>
      </c>
      <c r="BA82">
        <v>0.97247706422018299</v>
      </c>
      <c r="BB82" t="s">
        <v>228</v>
      </c>
      <c r="BC82">
        <v>1.0027700831024899</v>
      </c>
      <c r="BD82" t="s">
        <v>217</v>
      </c>
      <c r="BE82">
        <v>1.2715132218979299</v>
      </c>
      <c r="BF82" t="s">
        <v>228</v>
      </c>
      <c r="BG82">
        <v>1.21957671957671</v>
      </c>
      <c r="BH82" t="s">
        <v>247</v>
      </c>
      <c r="BI82">
        <v>0.80989583333333304</v>
      </c>
      <c r="BJ82" t="s">
        <v>249</v>
      </c>
      <c r="BK82">
        <v>0.77904328018223201</v>
      </c>
      <c r="BL82" t="s">
        <v>189</v>
      </c>
      <c r="BM82">
        <v>0.98385093167701798</v>
      </c>
      <c r="BN82" t="s">
        <v>251</v>
      </c>
      <c r="BO82">
        <v>0.92842535787321001</v>
      </c>
      <c r="BP82" t="s">
        <v>256</v>
      </c>
      <c r="BQ82">
        <v>1.13636363636363</v>
      </c>
      <c r="BR82" t="s">
        <v>247</v>
      </c>
      <c r="BS82">
        <v>1.11343283582089</v>
      </c>
      <c r="BT82" t="s">
        <v>241</v>
      </c>
      <c r="BU82">
        <v>1.0414201183431899</v>
      </c>
      <c r="BV82" t="s">
        <v>189</v>
      </c>
      <c r="BW82">
        <v>1.06488156539649</v>
      </c>
    </row>
    <row r="83" spans="1:75" x14ac:dyDescent="0.4">
      <c r="A83">
        <v>81</v>
      </c>
      <c r="B83" t="s">
        <v>212</v>
      </c>
      <c r="C83">
        <v>1.15849056603773</v>
      </c>
      <c r="D83" t="s">
        <v>230</v>
      </c>
      <c r="E83">
        <v>0.79111111111111099</v>
      </c>
      <c r="F83" t="s">
        <v>222</v>
      </c>
      <c r="G83">
        <v>0.52911392405063296</v>
      </c>
      <c r="H83" t="s">
        <v>170</v>
      </c>
      <c r="I83">
        <v>0.90039979141317505</v>
      </c>
      <c r="J83" t="s">
        <v>162</v>
      </c>
      <c r="K83">
        <v>2.0891089108910799</v>
      </c>
      <c r="L83" t="s">
        <v>252</v>
      </c>
      <c r="M83">
        <v>0.88698630136986301</v>
      </c>
      <c r="N83" t="s">
        <v>238</v>
      </c>
      <c r="O83">
        <v>1.2276422764227599</v>
      </c>
      <c r="P83" t="s">
        <v>230</v>
      </c>
      <c r="Q83">
        <v>1.0404172099087301</v>
      </c>
      <c r="R83" t="s">
        <v>230</v>
      </c>
      <c r="S83">
        <v>1.0150375939849601</v>
      </c>
      <c r="T83" t="s">
        <v>170</v>
      </c>
      <c r="U83">
        <v>1.17511520737327</v>
      </c>
      <c r="V83" t="s">
        <v>231</v>
      </c>
      <c r="W83">
        <v>1.2002567394094901</v>
      </c>
      <c r="X83" t="s">
        <v>164</v>
      </c>
      <c r="Y83">
        <v>1.0043352601155999</v>
      </c>
      <c r="Z83" t="s">
        <v>244</v>
      </c>
      <c r="AA83">
        <v>0.99632352941176405</v>
      </c>
      <c r="AB83" t="s">
        <v>231</v>
      </c>
      <c r="AC83">
        <v>0.93905472636815901</v>
      </c>
      <c r="AD83" t="s">
        <v>172</v>
      </c>
      <c r="AE83">
        <v>1.08740157480314</v>
      </c>
      <c r="AF83" t="s">
        <v>185</v>
      </c>
      <c r="AG83">
        <v>1.1955307262569801</v>
      </c>
      <c r="AH83" t="s">
        <v>244</v>
      </c>
      <c r="AI83">
        <v>0.97805642633228795</v>
      </c>
      <c r="AJ83" t="s">
        <v>167</v>
      </c>
      <c r="AK83">
        <v>1.0750988142292399</v>
      </c>
      <c r="AL83" t="s">
        <v>234</v>
      </c>
      <c r="AM83">
        <v>0.69790794979079496</v>
      </c>
      <c r="AN83" t="s">
        <v>178</v>
      </c>
      <c r="AO83">
        <v>1.0927357032457401</v>
      </c>
      <c r="AP83" t="s">
        <v>246</v>
      </c>
      <c r="AQ83">
        <v>0.756845564074479</v>
      </c>
      <c r="AR83" t="s">
        <v>222</v>
      </c>
      <c r="AS83">
        <v>0.96212121212121204</v>
      </c>
      <c r="AT83" t="s">
        <v>228</v>
      </c>
      <c r="AU83">
        <v>0.92944038929440298</v>
      </c>
      <c r="AV83" t="s">
        <v>228</v>
      </c>
      <c r="AW83">
        <v>1.04712041884816</v>
      </c>
      <c r="AX83" t="s">
        <v>164</v>
      </c>
      <c r="AY83">
        <v>0.97724750277469397</v>
      </c>
      <c r="AZ83" t="s">
        <v>228</v>
      </c>
      <c r="BA83">
        <v>0.87409200968523004</v>
      </c>
      <c r="BB83" t="s">
        <v>237</v>
      </c>
      <c r="BC83">
        <v>1.2175925925925899</v>
      </c>
      <c r="BD83" t="s">
        <v>214</v>
      </c>
      <c r="BE83">
        <v>1.1793650793650701</v>
      </c>
      <c r="BF83" t="s">
        <v>174</v>
      </c>
      <c r="BG83">
        <v>0.98442367601246095</v>
      </c>
      <c r="BH83" t="s">
        <v>249</v>
      </c>
      <c r="BI83">
        <v>0.92811839323467205</v>
      </c>
      <c r="BJ83" t="s">
        <v>191</v>
      </c>
      <c r="BK83">
        <v>1.17906336088154</v>
      </c>
      <c r="BL83" t="s">
        <v>247</v>
      </c>
      <c r="BM83">
        <v>0.99154929577464701</v>
      </c>
      <c r="BN83" t="s">
        <v>254</v>
      </c>
      <c r="BO83">
        <v>1.2763636363636299</v>
      </c>
      <c r="BP83" t="s">
        <v>194</v>
      </c>
      <c r="BQ83">
        <v>1.1073943661971799</v>
      </c>
      <c r="BR83" t="s">
        <v>249</v>
      </c>
      <c r="BS83">
        <v>0.85714285714285698</v>
      </c>
      <c r="BT83" t="s">
        <v>189</v>
      </c>
      <c r="BU83">
        <v>1.02210526315789</v>
      </c>
      <c r="BV83" t="s">
        <v>247</v>
      </c>
      <c r="BW83">
        <v>0.83669354838709598</v>
      </c>
    </row>
    <row r="84" spans="1:75" x14ac:dyDescent="0.4">
      <c r="A84">
        <v>82</v>
      </c>
      <c r="B84" t="s">
        <v>222</v>
      </c>
      <c r="C84">
        <v>0.86956521739130399</v>
      </c>
      <c r="D84" t="s">
        <v>221</v>
      </c>
      <c r="E84">
        <v>0.99863013698630099</v>
      </c>
      <c r="F84" t="s">
        <v>209</v>
      </c>
      <c r="G84">
        <v>0.48349834983498302</v>
      </c>
      <c r="H84" t="s">
        <v>172</v>
      </c>
      <c r="I84">
        <v>1.01204819277108</v>
      </c>
      <c r="J84" t="s">
        <v>212</v>
      </c>
      <c r="K84">
        <v>1.67948717948717</v>
      </c>
      <c r="L84" t="s">
        <v>183</v>
      </c>
      <c r="M84">
        <v>0.95524338758662097</v>
      </c>
      <c r="N84" t="s">
        <v>189</v>
      </c>
      <c r="O84">
        <v>1.0208333333333299</v>
      </c>
      <c r="P84" t="s">
        <v>170</v>
      </c>
      <c r="Q84">
        <v>0.91372549019607796</v>
      </c>
      <c r="R84" t="s">
        <v>168</v>
      </c>
      <c r="S84">
        <v>0.95608108108108103</v>
      </c>
      <c r="T84" t="s">
        <v>172</v>
      </c>
      <c r="U84">
        <v>0.94663278271918605</v>
      </c>
      <c r="V84" t="s">
        <v>246</v>
      </c>
      <c r="W84">
        <v>0.95769230769230695</v>
      </c>
      <c r="X84" t="s">
        <v>228</v>
      </c>
      <c r="Y84">
        <v>0.99154929577464701</v>
      </c>
      <c r="Z84" t="s">
        <v>183</v>
      </c>
      <c r="AA84">
        <v>0.77127659574467999</v>
      </c>
      <c r="AB84" t="s">
        <v>178</v>
      </c>
      <c r="AC84">
        <v>0.92457142857142804</v>
      </c>
      <c r="AD84" t="s">
        <v>234</v>
      </c>
      <c r="AE84">
        <v>1.0495867768595</v>
      </c>
      <c r="AF84" t="s">
        <v>238</v>
      </c>
      <c r="AG84">
        <v>0.74529485570890797</v>
      </c>
      <c r="AH84" t="s">
        <v>183</v>
      </c>
      <c r="AI84">
        <v>0.65707236842105199</v>
      </c>
      <c r="AJ84" t="s">
        <v>172</v>
      </c>
      <c r="AK84">
        <v>1.0332594235033199</v>
      </c>
      <c r="AL84" t="s">
        <v>178</v>
      </c>
      <c r="AM84">
        <v>0.87669376693766898</v>
      </c>
      <c r="AN84" t="s">
        <v>246</v>
      </c>
      <c r="AO84">
        <v>0.89509803921568598</v>
      </c>
      <c r="AP84" t="s">
        <v>185</v>
      </c>
      <c r="AQ84">
        <v>1.08634772462077</v>
      </c>
      <c r="AR84" t="s">
        <v>209</v>
      </c>
      <c r="AS84">
        <v>0.75835866261398099</v>
      </c>
      <c r="AT84" t="s">
        <v>172</v>
      </c>
      <c r="AU84">
        <v>1.1034482758620601</v>
      </c>
      <c r="AV84" t="s">
        <v>230</v>
      </c>
      <c r="AW84">
        <v>1.1412803532008799</v>
      </c>
      <c r="AX84" t="s">
        <v>228</v>
      </c>
      <c r="AY84">
        <v>1.0325</v>
      </c>
      <c r="AZ84" t="s">
        <v>172</v>
      </c>
      <c r="BA84">
        <v>1.2968553459119401</v>
      </c>
      <c r="BB84" t="s">
        <v>178</v>
      </c>
      <c r="BC84">
        <v>0.90568862275449102</v>
      </c>
      <c r="BD84" t="s">
        <v>223</v>
      </c>
      <c r="BE84">
        <v>1.4571746384872</v>
      </c>
      <c r="BF84" t="s">
        <v>231</v>
      </c>
      <c r="BG84">
        <v>1.0026041666666601</v>
      </c>
      <c r="BH84" t="s">
        <v>251</v>
      </c>
      <c r="BI84">
        <v>0.76156862745097997</v>
      </c>
      <c r="BJ84" t="s">
        <v>251</v>
      </c>
      <c r="BK84">
        <v>1.0556127703398499</v>
      </c>
      <c r="BL84" t="s">
        <v>249</v>
      </c>
      <c r="BM84">
        <v>0.94152046783625698</v>
      </c>
      <c r="BN84" t="s">
        <v>544</v>
      </c>
      <c r="BO84">
        <v>1.22131147540983</v>
      </c>
      <c r="BP84" t="s">
        <v>195</v>
      </c>
      <c r="BQ84">
        <v>0.97128378378378299</v>
      </c>
      <c r="BR84" t="s">
        <v>251</v>
      </c>
      <c r="BS84">
        <v>0.97326732673267302</v>
      </c>
      <c r="BT84" t="s">
        <v>247</v>
      </c>
      <c r="BU84">
        <v>1.3297587131367199</v>
      </c>
      <c r="BV84" t="s">
        <v>251</v>
      </c>
      <c r="BW84">
        <v>1.2198275862068899</v>
      </c>
    </row>
    <row r="85" spans="1:75" x14ac:dyDescent="0.4">
      <c r="A85">
        <v>83</v>
      </c>
      <c r="B85" t="s">
        <v>228</v>
      </c>
      <c r="C85">
        <v>1.4568690095846599</v>
      </c>
      <c r="D85" t="s">
        <v>168</v>
      </c>
      <c r="E85">
        <v>0.79934210526315697</v>
      </c>
      <c r="F85" t="s">
        <v>228</v>
      </c>
      <c r="G85">
        <v>0.588607594936708</v>
      </c>
      <c r="H85" t="s">
        <v>174</v>
      </c>
      <c r="I85">
        <v>1.17349397590361</v>
      </c>
      <c r="J85" t="s">
        <v>222</v>
      </c>
      <c r="K85">
        <v>1.1900826446280901</v>
      </c>
      <c r="L85" t="s">
        <v>185</v>
      </c>
      <c r="M85">
        <v>0.952380952380952</v>
      </c>
      <c r="N85" t="s">
        <v>251</v>
      </c>
      <c r="O85">
        <v>0.85147392290249402</v>
      </c>
      <c r="P85" t="s">
        <v>172</v>
      </c>
      <c r="Q85">
        <v>0.98303030303030303</v>
      </c>
      <c r="R85" t="s">
        <v>170</v>
      </c>
      <c r="S85">
        <v>0.93133047210300401</v>
      </c>
      <c r="T85" t="s">
        <v>231</v>
      </c>
      <c r="U85">
        <v>0.94424242424242399</v>
      </c>
      <c r="V85" t="s">
        <v>183</v>
      </c>
      <c r="W85">
        <v>0.83105022831050201</v>
      </c>
      <c r="X85" t="s">
        <v>167</v>
      </c>
      <c r="Y85">
        <v>1.01354464203446</v>
      </c>
      <c r="Z85" t="s">
        <v>185</v>
      </c>
      <c r="AA85">
        <v>1.1512195121951201</v>
      </c>
      <c r="AB85" t="s">
        <v>180</v>
      </c>
      <c r="AC85">
        <v>1.0506329113924</v>
      </c>
      <c r="AD85" t="s">
        <v>231</v>
      </c>
      <c r="AE85">
        <v>0.80927152317880702</v>
      </c>
      <c r="AF85" t="s">
        <v>259</v>
      </c>
      <c r="AG85">
        <v>1.24709348622392</v>
      </c>
      <c r="AH85" t="s">
        <v>185</v>
      </c>
      <c r="AI85">
        <v>0.76168224299065401</v>
      </c>
      <c r="AJ85" t="s">
        <v>237</v>
      </c>
      <c r="AK85">
        <v>1.14406779661016</v>
      </c>
      <c r="AL85" t="s">
        <v>185</v>
      </c>
      <c r="AM85">
        <v>0.98039215686274495</v>
      </c>
      <c r="AN85" t="s">
        <v>185</v>
      </c>
      <c r="AO85">
        <v>1.00823529411764</v>
      </c>
      <c r="AP85" t="s">
        <v>189</v>
      </c>
      <c r="AQ85">
        <v>1.0872340425531899</v>
      </c>
      <c r="AR85" t="s">
        <v>164</v>
      </c>
      <c r="AS85">
        <v>0.86399999999999999</v>
      </c>
      <c r="AT85" t="s">
        <v>237</v>
      </c>
      <c r="AU85">
        <v>1.0049504950495001</v>
      </c>
      <c r="AV85" t="s">
        <v>172</v>
      </c>
      <c r="AW85">
        <v>0.98958333333333304</v>
      </c>
      <c r="AX85" t="s">
        <v>172</v>
      </c>
      <c r="AY85">
        <v>1.04605263157894</v>
      </c>
      <c r="AZ85" t="s">
        <v>237</v>
      </c>
      <c r="BA85">
        <v>0.874493927125506</v>
      </c>
      <c r="BB85" t="s">
        <v>185</v>
      </c>
      <c r="BC85">
        <v>0.903474903474903</v>
      </c>
      <c r="BD85" t="s">
        <v>225</v>
      </c>
      <c r="BE85">
        <v>1.0509708737864001</v>
      </c>
      <c r="BF85" t="s">
        <v>178</v>
      </c>
      <c r="BG85">
        <v>0.91214953271027999</v>
      </c>
      <c r="BH85" t="s">
        <v>256</v>
      </c>
      <c r="BI85">
        <v>0.93303571428571397</v>
      </c>
      <c r="BJ85" t="s">
        <v>254</v>
      </c>
      <c r="BK85">
        <v>1.1218985976267499</v>
      </c>
      <c r="BL85" t="s">
        <v>251</v>
      </c>
      <c r="BM85">
        <v>0.95414634146341404</v>
      </c>
      <c r="BN85" t="s">
        <v>256</v>
      </c>
      <c r="BO85">
        <v>0.86738351254480195</v>
      </c>
      <c r="BP85" t="s">
        <v>262</v>
      </c>
      <c r="BQ85">
        <v>0.94623655913978499</v>
      </c>
      <c r="BR85" t="s">
        <v>254</v>
      </c>
      <c r="BS85">
        <v>0.76021798365122595</v>
      </c>
      <c r="BT85" t="s">
        <v>249</v>
      </c>
      <c r="BU85">
        <v>1.3389830508474501</v>
      </c>
      <c r="BV85" t="s">
        <v>254</v>
      </c>
      <c r="BW85">
        <v>0.93162393162393098</v>
      </c>
    </row>
    <row r="86" spans="1:75" x14ac:dyDescent="0.4">
      <c r="A86">
        <v>84</v>
      </c>
      <c r="B86" t="s">
        <v>230</v>
      </c>
      <c r="C86">
        <v>0.89641434262948205</v>
      </c>
      <c r="D86" t="s">
        <v>170</v>
      </c>
      <c r="E86">
        <v>0.816039395005276</v>
      </c>
      <c r="F86" t="s">
        <v>230</v>
      </c>
      <c r="G86">
        <v>0.67415730337078605</v>
      </c>
      <c r="H86" t="s">
        <v>176</v>
      </c>
      <c r="I86">
        <v>1.0677361853832401</v>
      </c>
      <c r="J86" t="s">
        <v>225</v>
      </c>
      <c r="K86">
        <v>1.3593851282526099</v>
      </c>
      <c r="L86" t="s">
        <v>189</v>
      </c>
      <c r="M86">
        <v>1.0105263157894699</v>
      </c>
      <c r="N86" t="s">
        <v>254</v>
      </c>
      <c r="O86">
        <v>0.82005899705014695</v>
      </c>
      <c r="P86" t="s">
        <v>174</v>
      </c>
      <c r="Q86">
        <v>1.16161616161616</v>
      </c>
      <c r="R86" t="s">
        <v>172</v>
      </c>
      <c r="S86">
        <v>0.97040690505548699</v>
      </c>
      <c r="T86" t="s">
        <v>176</v>
      </c>
      <c r="U86">
        <v>1.2328767123287601</v>
      </c>
      <c r="V86" t="s">
        <v>185</v>
      </c>
      <c r="W86">
        <v>0.96296296296296202</v>
      </c>
      <c r="X86" t="s">
        <v>168</v>
      </c>
      <c r="Y86">
        <v>1.0553633217992999</v>
      </c>
      <c r="Z86" t="s">
        <v>238</v>
      </c>
      <c r="AA86">
        <v>1.26460481099656</v>
      </c>
      <c r="AB86" t="s">
        <v>244</v>
      </c>
      <c r="AC86">
        <v>0.955719557195572</v>
      </c>
      <c r="AD86" t="s">
        <v>178</v>
      </c>
      <c r="AE86">
        <v>0.92088998763906005</v>
      </c>
      <c r="AF86" t="s">
        <v>189</v>
      </c>
      <c r="AG86">
        <v>1.07692307692307</v>
      </c>
      <c r="AH86" t="s">
        <v>238</v>
      </c>
      <c r="AI86">
        <v>1.0269360269360199</v>
      </c>
      <c r="AJ86" t="s">
        <v>234</v>
      </c>
      <c r="AK86">
        <v>0.91221374045801495</v>
      </c>
      <c r="AL86" t="s">
        <v>259</v>
      </c>
      <c r="AM86">
        <v>1.0945482050386901</v>
      </c>
      <c r="AN86" t="s">
        <v>189</v>
      </c>
      <c r="AO86">
        <v>0.99576271186440601</v>
      </c>
      <c r="AP86" t="s">
        <v>247</v>
      </c>
      <c r="AQ86">
        <v>1.06270627062706</v>
      </c>
      <c r="AR86" t="s">
        <v>228</v>
      </c>
      <c r="AS86">
        <v>0.812252964426877</v>
      </c>
      <c r="AT86" t="s">
        <v>234</v>
      </c>
      <c r="AU86">
        <v>0.810590631364562</v>
      </c>
      <c r="AV86" t="s">
        <v>237</v>
      </c>
      <c r="AW86">
        <v>0.94581280788177302</v>
      </c>
      <c r="AX86" t="s">
        <v>237</v>
      </c>
      <c r="AY86">
        <v>1.2864583333333299</v>
      </c>
      <c r="AZ86" t="s">
        <v>178</v>
      </c>
      <c r="BA86">
        <v>1.15570934256055</v>
      </c>
      <c r="BB86" t="s">
        <v>238</v>
      </c>
      <c r="BC86">
        <v>0.98637911464245098</v>
      </c>
      <c r="BD86" t="s">
        <v>209</v>
      </c>
      <c r="BE86">
        <v>1.59574468085106</v>
      </c>
      <c r="BF86" t="s">
        <v>185</v>
      </c>
      <c r="BG86">
        <v>1.2329317269076301</v>
      </c>
      <c r="BH86" t="s">
        <v>194</v>
      </c>
      <c r="BI86">
        <v>0.63248730964467004</v>
      </c>
      <c r="BJ86" t="s">
        <v>256</v>
      </c>
      <c r="BK86">
        <v>0.98564593301435399</v>
      </c>
      <c r="BL86" t="s">
        <v>254</v>
      </c>
      <c r="BM86">
        <v>1.3221153846153799</v>
      </c>
      <c r="BN86" t="s">
        <v>194</v>
      </c>
      <c r="BO86">
        <v>1.3556085918854399</v>
      </c>
      <c r="BP86" t="s">
        <v>270</v>
      </c>
      <c r="BQ86">
        <v>0.97297297297297303</v>
      </c>
      <c r="BR86" t="s">
        <v>544</v>
      </c>
      <c r="BS86">
        <v>1.1825726141078801</v>
      </c>
      <c r="BT86" t="s">
        <v>251</v>
      </c>
      <c r="BU86">
        <v>1.1800610376398699</v>
      </c>
      <c r="BV86" t="s">
        <v>196</v>
      </c>
      <c r="BW86">
        <v>1.5797872340425501</v>
      </c>
    </row>
    <row r="87" spans="1:75" x14ac:dyDescent="0.4">
      <c r="A87">
        <v>85</v>
      </c>
      <c r="B87" t="s">
        <v>221</v>
      </c>
      <c r="C87">
        <v>1.0735294117647001</v>
      </c>
      <c r="D87" t="s">
        <v>172</v>
      </c>
      <c r="E87">
        <v>0.9375</v>
      </c>
      <c r="F87" t="s">
        <v>168</v>
      </c>
      <c r="G87">
        <v>0.57201646090534897</v>
      </c>
      <c r="H87" t="s">
        <v>252</v>
      </c>
      <c r="I87">
        <v>0.64583333333333304</v>
      </c>
      <c r="J87" t="s">
        <v>164</v>
      </c>
      <c r="K87">
        <v>1.00804020100502</v>
      </c>
      <c r="L87" t="s">
        <v>247</v>
      </c>
      <c r="M87">
        <v>1.6588235294117599</v>
      </c>
      <c r="N87" t="s">
        <v>196</v>
      </c>
      <c r="O87">
        <v>0.78387008558007798</v>
      </c>
      <c r="P87" t="s">
        <v>176</v>
      </c>
      <c r="Q87">
        <v>0.91911764705882304</v>
      </c>
      <c r="R87" t="s">
        <v>176</v>
      </c>
      <c r="S87">
        <v>1.2653333333333301</v>
      </c>
      <c r="T87" t="s">
        <v>246</v>
      </c>
      <c r="U87">
        <v>1.1016949152542299</v>
      </c>
      <c r="V87" t="s">
        <v>238</v>
      </c>
      <c r="W87">
        <v>1.1448692152917499</v>
      </c>
      <c r="X87" t="s">
        <v>170</v>
      </c>
      <c r="Y87">
        <v>0.98905109489051002</v>
      </c>
      <c r="Z87" t="s">
        <v>189</v>
      </c>
      <c r="AA87">
        <v>0.84408602150537604</v>
      </c>
      <c r="AB87" t="s">
        <v>183</v>
      </c>
      <c r="AC87">
        <v>1.19137931034482</v>
      </c>
      <c r="AD87" t="s">
        <v>244</v>
      </c>
      <c r="AE87">
        <v>0.84942084942084894</v>
      </c>
      <c r="AF87" t="s">
        <v>251</v>
      </c>
      <c r="AG87">
        <v>1.4120603015075299</v>
      </c>
      <c r="AH87" t="s">
        <v>259</v>
      </c>
      <c r="AI87">
        <v>1.1383053444863001</v>
      </c>
      <c r="AJ87" t="s">
        <v>178</v>
      </c>
      <c r="AK87">
        <v>1.0193370165745801</v>
      </c>
      <c r="AL87" t="s">
        <v>189</v>
      </c>
      <c r="AM87">
        <v>1.05829596412556</v>
      </c>
      <c r="AN87" t="s">
        <v>251</v>
      </c>
      <c r="AO87">
        <v>1.1971830985915399</v>
      </c>
      <c r="AP87" t="s">
        <v>251</v>
      </c>
      <c r="AQ87">
        <v>0.98039215686274495</v>
      </c>
      <c r="AR87" t="s">
        <v>172</v>
      </c>
      <c r="AS87">
        <v>0.92185430463576101</v>
      </c>
      <c r="AT87" t="s">
        <v>178</v>
      </c>
      <c r="AU87">
        <v>1.0155038759689901</v>
      </c>
      <c r="AV87" t="s">
        <v>234</v>
      </c>
      <c r="AW87">
        <v>0.98743718592964802</v>
      </c>
      <c r="AX87" t="s">
        <v>234</v>
      </c>
      <c r="AY87">
        <v>0.853689567430025</v>
      </c>
      <c r="AZ87" t="s">
        <v>185</v>
      </c>
      <c r="BA87">
        <v>1.12121212121212</v>
      </c>
      <c r="BB87" t="s">
        <v>241</v>
      </c>
      <c r="BC87">
        <v>1.0170940170940099</v>
      </c>
      <c r="BD87" t="s">
        <v>228</v>
      </c>
      <c r="BE87">
        <v>1.04419889502762</v>
      </c>
      <c r="BF87" t="s">
        <v>238</v>
      </c>
      <c r="BG87">
        <v>1.0135593220338901</v>
      </c>
      <c r="BH87" t="s">
        <v>195</v>
      </c>
      <c r="BI87">
        <v>0.90018484288354805</v>
      </c>
      <c r="BJ87" t="s">
        <v>194</v>
      </c>
      <c r="BK87">
        <v>1.1781701444622701</v>
      </c>
      <c r="BL87" t="s">
        <v>256</v>
      </c>
      <c r="BM87">
        <v>0.81262135922330003</v>
      </c>
      <c r="BN87" t="s">
        <v>195</v>
      </c>
      <c r="BO87">
        <v>1.17928286852589</v>
      </c>
      <c r="BP87" t="s">
        <v>266</v>
      </c>
      <c r="BQ87">
        <v>0.86504424778761002</v>
      </c>
      <c r="BR87" t="s">
        <v>256</v>
      </c>
      <c r="BS87">
        <v>0.95030303030302998</v>
      </c>
      <c r="BT87" t="s">
        <v>254</v>
      </c>
      <c r="BU87">
        <v>1.25806451612903</v>
      </c>
      <c r="BV87" t="s">
        <v>544</v>
      </c>
      <c r="BW87">
        <v>1.16412213740458</v>
      </c>
    </row>
    <row r="88" spans="1:75" x14ac:dyDescent="0.4">
      <c r="A88">
        <v>86</v>
      </c>
      <c r="B88" t="s">
        <v>168</v>
      </c>
      <c r="C88">
        <v>1.16923076923076</v>
      </c>
      <c r="D88" t="s">
        <v>174</v>
      </c>
      <c r="E88">
        <v>0.85357142857142798</v>
      </c>
      <c r="F88" t="s">
        <v>170</v>
      </c>
      <c r="G88">
        <v>0.49594827586206802</v>
      </c>
      <c r="H88" t="s">
        <v>178</v>
      </c>
      <c r="I88">
        <v>0.92647058823529405</v>
      </c>
      <c r="J88" t="s">
        <v>228</v>
      </c>
      <c r="K88">
        <v>1.27272727272727</v>
      </c>
      <c r="L88" t="s">
        <v>251</v>
      </c>
      <c r="M88">
        <v>1.0478989494747299</v>
      </c>
      <c r="N88" t="s">
        <v>271</v>
      </c>
      <c r="O88">
        <v>0.91203703703703698</v>
      </c>
      <c r="P88" t="s">
        <v>246</v>
      </c>
      <c r="Q88">
        <v>0.89230769230769202</v>
      </c>
      <c r="R88" t="s">
        <v>246</v>
      </c>
      <c r="S88">
        <v>0.81379310344827505</v>
      </c>
      <c r="T88" t="s">
        <v>183</v>
      </c>
      <c r="U88">
        <v>0.97892845329304301</v>
      </c>
      <c r="V88" t="s">
        <v>189</v>
      </c>
      <c r="W88">
        <v>1.4489112227805601</v>
      </c>
      <c r="X88" t="s">
        <v>172</v>
      </c>
      <c r="Y88">
        <v>1.1112454655380799</v>
      </c>
      <c r="Z88" t="s">
        <v>254</v>
      </c>
      <c r="AA88">
        <v>1.6059701492537299</v>
      </c>
      <c r="AB88" t="s">
        <v>185</v>
      </c>
      <c r="AC88">
        <v>0.79661016949152497</v>
      </c>
      <c r="AD88" t="s">
        <v>183</v>
      </c>
      <c r="AE88">
        <v>0.86685962373371905</v>
      </c>
      <c r="AF88" t="s">
        <v>254</v>
      </c>
      <c r="AG88">
        <v>1.01821493624772</v>
      </c>
      <c r="AH88" t="s">
        <v>189</v>
      </c>
      <c r="AI88">
        <v>0.76923076923076905</v>
      </c>
      <c r="AJ88" t="s">
        <v>185</v>
      </c>
      <c r="AK88">
        <v>1.0638036809815901</v>
      </c>
      <c r="AL88" t="s">
        <v>251</v>
      </c>
      <c r="AM88">
        <v>0.95945945945945899</v>
      </c>
      <c r="AN88" t="s">
        <v>254</v>
      </c>
      <c r="AO88">
        <v>0.96</v>
      </c>
      <c r="AP88" t="s">
        <v>254</v>
      </c>
      <c r="AQ88">
        <v>1.0361111111111101</v>
      </c>
      <c r="AR88" t="s">
        <v>237</v>
      </c>
      <c r="AS88">
        <v>0.834710743801652</v>
      </c>
      <c r="AT88" t="s">
        <v>185</v>
      </c>
      <c r="AU88">
        <v>1.07683615819209</v>
      </c>
      <c r="AV88" t="s">
        <v>178</v>
      </c>
      <c r="AW88">
        <v>0.86717557251908395</v>
      </c>
      <c r="AX88" t="s">
        <v>178</v>
      </c>
      <c r="AY88">
        <v>1.0176056338028101</v>
      </c>
      <c r="AZ88" t="s">
        <v>238</v>
      </c>
      <c r="BA88">
        <v>1.0438388625592401</v>
      </c>
      <c r="BB88" t="s">
        <v>189</v>
      </c>
      <c r="BC88">
        <v>0.91754756871035903</v>
      </c>
      <c r="BD88" t="s">
        <v>174</v>
      </c>
      <c r="BE88">
        <v>0.89664804469273696</v>
      </c>
      <c r="BF88" t="s">
        <v>255</v>
      </c>
      <c r="BG88">
        <v>2.75714285714285</v>
      </c>
      <c r="BH88" t="s">
        <v>262</v>
      </c>
      <c r="BI88">
        <v>0.85932721712538196</v>
      </c>
      <c r="BJ88" t="s">
        <v>195</v>
      </c>
      <c r="BK88">
        <v>0.89938398357289495</v>
      </c>
      <c r="BL88" t="s">
        <v>194</v>
      </c>
      <c r="BM88">
        <v>1.1416893732969999</v>
      </c>
      <c r="BN88" t="s">
        <v>262</v>
      </c>
      <c r="BO88">
        <v>0.95221843003412898</v>
      </c>
      <c r="BP88" t="s">
        <v>264</v>
      </c>
      <c r="BQ88">
        <v>1.00252206809583</v>
      </c>
      <c r="BR88" t="s">
        <v>194</v>
      </c>
      <c r="BS88">
        <v>0.96820349761526203</v>
      </c>
      <c r="BT88" t="s">
        <v>256</v>
      </c>
      <c r="BU88">
        <v>0.92346938775510201</v>
      </c>
      <c r="BV88" t="s">
        <v>256</v>
      </c>
      <c r="BW88">
        <v>1.08839779005524</v>
      </c>
    </row>
    <row r="89" spans="1:75" x14ac:dyDescent="0.4">
      <c r="A89">
        <v>87</v>
      </c>
      <c r="B89" t="s">
        <v>170</v>
      </c>
      <c r="C89">
        <v>1.18646189800517</v>
      </c>
      <c r="D89" t="s">
        <v>231</v>
      </c>
      <c r="E89">
        <v>0.82912032355915</v>
      </c>
      <c r="F89" t="s">
        <v>172</v>
      </c>
      <c r="G89">
        <v>0.76615384615384596</v>
      </c>
      <c r="H89" t="s">
        <v>183</v>
      </c>
      <c r="I89">
        <v>0.96000488937782602</v>
      </c>
      <c r="J89" t="s">
        <v>230</v>
      </c>
      <c r="K89">
        <v>1.7208237986270001</v>
      </c>
      <c r="L89" t="s">
        <v>254</v>
      </c>
      <c r="M89">
        <v>1.2889733840304101</v>
      </c>
      <c r="N89" t="s">
        <v>256</v>
      </c>
      <c r="O89">
        <v>1.00314960629921</v>
      </c>
      <c r="P89" t="s">
        <v>183</v>
      </c>
      <c r="Q89">
        <v>1.0689185260556699</v>
      </c>
      <c r="R89" t="s">
        <v>183</v>
      </c>
      <c r="S89">
        <v>0.95069608526407001</v>
      </c>
      <c r="T89" t="s">
        <v>185</v>
      </c>
      <c r="U89">
        <v>1.11467889908256</v>
      </c>
      <c r="V89" t="s">
        <v>247</v>
      </c>
      <c r="W89">
        <v>1.4439461883408</v>
      </c>
      <c r="X89" t="s">
        <v>231</v>
      </c>
      <c r="Y89">
        <v>0.90909090909090895</v>
      </c>
      <c r="Z89" t="s">
        <v>196</v>
      </c>
      <c r="AA89">
        <v>0.916904761904761</v>
      </c>
      <c r="AB89" t="s">
        <v>238</v>
      </c>
      <c r="AC89">
        <v>0.96467391304347805</v>
      </c>
      <c r="AD89" t="s">
        <v>185</v>
      </c>
      <c r="AE89">
        <v>0.95212765957446799</v>
      </c>
      <c r="AF89" t="s">
        <v>196</v>
      </c>
      <c r="AG89">
        <v>1.03950325825073</v>
      </c>
      <c r="AH89" t="s">
        <v>251</v>
      </c>
      <c r="AI89">
        <v>0.75444839857651202</v>
      </c>
      <c r="AJ89" t="s">
        <v>238</v>
      </c>
      <c r="AK89">
        <v>1.10163934426229</v>
      </c>
      <c r="AL89" t="s">
        <v>254</v>
      </c>
      <c r="AM89">
        <v>0.84080717488789203</v>
      </c>
      <c r="AN89" t="s">
        <v>192</v>
      </c>
      <c r="AO89">
        <v>0.95820029525869399</v>
      </c>
      <c r="AP89" t="s">
        <v>196</v>
      </c>
      <c r="AQ89">
        <v>1.0188758850937301</v>
      </c>
      <c r="AR89" t="s">
        <v>178</v>
      </c>
      <c r="AS89">
        <v>1.0015527950310501</v>
      </c>
      <c r="AT89" t="s">
        <v>238</v>
      </c>
      <c r="AU89">
        <v>0.95749704840613903</v>
      </c>
      <c r="AV89" t="s">
        <v>185</v>
      </c>
      <c r="AW89">
        <v>1.0807974816369299</v>
      </c>
      <c r="AX89" t="s">
        <v>185</v>
      </c>
      <c r="AY89">
        <v>1.1213592233009699</v>
      </c>
      <c r="AZ89" t="s">
        <v>189</v>
      </c>
      <c r="BA89">
        <v>1.4119402985074601</v>
      </c>
      <c r="BB89" t="s">
        <v>247</v>
      </c>
      <c r="BC89">
        <v>0.88</v>
      </c>
      <c r="BD89" t="s">
        <v>231</v>
      </c>
      <c r="BE89">
        <v>0.85238623751387299</v>
      </c>
      <c r="BF89" t="s">
        <v>241</v>
      </c>
      <c r="BG89">
        <v>1.0894308943089399</v>
      </c>
      <c r="BH89" t="s">
        <v>197</v>
      </c>
      <c r="BI89">
        <v>0.68979591836734699</v>
      </c>
      <c r="BJ89" t="s">
        <v>262</v>
      </c>
      <c r="BK89">
        <v>0.97153024911032004</v>
      </c>
      <c r="BL89" t="s">
        <v>195</v>
      </c>
      <c r="BM89">
        <v>1.1461187214611801</v>
      </c>
      <c r="BN89" t="s">
        <v>197</v>
      </c>
      <c r="BO89">
        <v>1.12612612612612</v>
      </c>
      <c r="BP89" t="s">
        <v>272</v>
      </c>
      <c r="BQ89">
        <v>0.92407407407407405</v>
      </c>
      <c r="BR89" t="s">
        <v>195</v>
      </c>
      <c r="BS89">
        <v>0.82260869565217298</v>
      </c>
      <c r="BT89" t="s">
        <v>195</v>
      </c>
      <c r="BU89">
        <v>1.26004228329809</v>
      </c>
      <c r="BV89" t="s">
        <v>195</v>
      </c>
      <c r="BW89">
        <v>1.0302013422818701</v>
      </c>
    </row>
    <row r="90" spans="1:75" x14ac:dyDescent="0.4">
      <c r="A90">
        <v>88</v>
      </c>
      <c r="B90" t="s">
        <v>172</v>
      </c>
      <c r="C90">
        <v>1.0246305418719199</v>
      </c>
      <c r="D90" t="s">
        <v>176</v>
      </c>
      <c r="E90">
        <v>0.84210526315789402</v>
      </c>
      <c r="F90" t="s">
        <v>174</v>
      </c>
      <c r="G90">
        <v>0.57880055788005502</v>
      </c>
      <c r="H90" t="s">
        <v>185</v>
      </c>
      <c r="I90">
        <v>1.1773399014778301</v>
      </c>
      <c r="J90" t="s">
        <v>221</v>
      </c>
      <c r="K90">
        <v>1.24376731301939</v>
      </c>
      <c r="L90" t="s">
        <v>196</v>
      </c>
      <c r="M90">
        <v>0.97185917078356499</v>
      </c>
      <c r="N90" t="s">
        <v>261</v>
      </c>
      <c r="O90">
        <v>1.12025208652699</v>
      </c>
      <c r="P90" t="s">
        <v>185</v>
      </c>
      <c r="Q90">
        <v>0.98109452736318403</v>
      </c>
      <c r="R90" t="s">
        <v>185</v>
      </c>
      <c r="S90">
        <v>1.1054766734279899</v>
      </c>
      <c r="T90" t="s">
        <v>238</v>
      </c>
      <c r="U90">
        <v>1.05857294994675</v>
      </c>
      <c r="V90" t="s">
        <v>249</v>
      </c>
      <c r="W90">
        <v>0.65211330993927696</v>
      </c>
      <c r="X90" t="s">
        <v>176</v>
      </c>
      <c r="Y90">
        <v>0.93162393162393098</v>
      </c>
      <c r="Z90" t="s">
        <v>271</v>
      </c>
      <c r="AA90">
        <v>1.22085889570552</v>
      </c>
      <c r="AB90" t="s">
        <v>259</v>
      </c>
      <c r="AC90">
        <v>1.1309427880741301</v>
      </c>
      <c r="AD90" t="s">
        <v>238</v>
      </c>
      <c r="AE90">
        <v>1.1225352112675999</v>
      </c>
      <c r="AF90" t="s">
        <v>256</v>
      </c>
      <c r="AG90">
        <v>0.97455968688845396</v>
      </c>
      <c r="AH90" t="s">
        <v>254</v>
      </c>
      <c r="AI90">
        <v>0.82468694096601003</v>
      </c>
      <c r="AJ90" t="s">
        <v>189</v>
      </c>
      <c r="AK90">
        <v>1.0619047619047599</v>
      </c>
      <c r="AL90" t="s">
        <v>192</v>
      </c>
      <c r="AM90">
        <v>0.98193035094225101</v>
      </c>
      <c r="AN90" t="s">
        <v>261</v>
      </c>
      <c r="AO90">
        <v>1.2870813397129099</v>
      </c>
      <c r="AP90" t="s">
        <v>192</v>
      </c>
      <c r="AQ90">
        <v>0.75305899424926903</v>
      </c>
      <c r="AR90" t="s">
        <v>185</v>
      </c>
      <c r="AS90">
        <v>0.95059076262083697</v>
      </c>
      <c r="AT90" t="s">
        <v>189</v>
      </c>
      <c r="AU90">
        <v>1.05555555555555</v>
      </c>
      <c r="AV90" t="s">
        <v>238</v>
      </c>
      <c r="AW90">
        <v>0.96177558569666999</v>
      </c>
      <c r="AX90" t="s">
        <v>238</v>
      </c>
      <c r="AY90">
        <v>1.08205128205128</v>
      </c>
      <c r="AZ90" t="s">
        <v>251</v>
      </c>
      <c r="BA90">
        <v>1.3747099767981401</v>
      </c>
      <c r="BB90" t="s">
        <v>251</v>
      </c>
      <c r="BC90">
        <v>1.0042194092826999</v>
      </c>
      <c r="BD90" t="s">
        <v>178</v>
      </c>
      <c r="BE90">
        <v>0.88429752066115697</v>
      </c>
      <c r="BF90" t="s">
        <v>189</v>
      </c>
      <c r="BG90">
        <v>1.1000000000000001</v>
      </c>
      <c r="BH90" t="s">
        <v>266</v>
      </c>
      <c r="BI90">
        <v>0.87125748502994005</v>
      </c>
      <c r="BJ90" t="s">
        <v>270</v>
      </c>
      <c r="BK90">
        <v>1.01837270341207</v>
      </c>
      <c r="BL90" t="s">
        <v>262</v>
      </c>
      <c r="BM90">
        <v>1.0732600732600699</v>
      </c>
      <c r="BN90" t="s">
        <v>264</v>
      </c>
      <c r="BO90">
        <v>0.99249061326658305</v>
      </c>
      <c r="BP90" t="s">
        <v>204</v>
      </c>
      <c r="BQ90">
        <v>0.986206896551724</v>
      </c>
      <c r="BR90" t="s">
        <v>262</v>
      </c>
      <c r="BS90">
        <v>1.02272727272727</v>
      </c>
      <c r="BT90" t="s">
        <v>262</v>
      </c>
      <c r="BU90">
        <v>1.0333333333333301</v>
      </c>
      <c r="BV90" t="s">
        <v>262</v>
      </c>
      <c r="BW90">
        <v>0.94982078853046503</v>
      </c>
    </row>
    <row r="91" spans="1:75" x14ac:dyDescent="0.4">
      <c r="A91">
        <v>89</v>
      </c>
      <c r="B91" t="s">
        <v>174</v>
      </c>
      <c r="C91">
        <v>1.2574850299401099</v>
      </c>
      <c r="D91" t="s">
        <v>185</v>
      </c>
      <c r="E91">
        <v>0.92592592592592504</v>
      </c>
      <c r="F91" t="s">
        <v>231</v>
      </c>
      <c r="G91">
        <v>0.65975609756097497</v>
      </c>
      <c r="H91" t="s">
        <v>259</v>
      </c>
      <c r="I91">
        <v>0.62563775510204001</v>
      </c>
      <c r="J91" t="s">
        <v>168</v>
      </c>
      <c r="K91">
        <v>1.7208904109589001</v>
      </c>
      <c r="L91" t="s">
        <v>271</v>
      </c>
      <c r="M91">
        <v>1.1134020618556699</v>
      </c>
      <c r="N91" t="s">
        <v>262</v>
      </c>
      <c r="O91">
        <v>0.927659574468085</v>
      </c>
      <c r="P91" t="s">
        <v>238</v>
      </c>
      <c r="Q91">
        <v>0.96357615894039705</v>
      </c>
      <c r="R91" t="s">
        <v>238</v>
      </c>
      <c r="S91">
        <v>1.07560137457044</v>
      </c>
      <c r="T91" t="s">
        <v>259</v>
      </c>
      <c r="U91">
        <v>1.4266983016982999</v>
      </c>
      <c r="V91" t="s">
        <v>251</v>
      </c>
      <c r="W91">
        <v>1.09121742234916</v>
      </c>
      <c r="X91" t="s">
        <v>246</v>
      </c>
      <c r="Y91">
        <v>0.72771084337349401</v>
      </c>
      <c r="Z91" t="s">
        <v>256</v>
      </c>
      <c r="AA91">
        <v>0.89285714285714202</v>
      </c>
      <c r="AB91" t="s">
        <v>189</v>
      </c>
      <c r="AC91">
        <v>0.984076433121019</v>
      </c>
      <c r="AD91" t="s">
        <v>259</v>
      </c>
      <c r="AE91">
        <v>0.89476309226932604</v>
      </c>
      <c r="AF91" t="s">
        <v>261</v>
      </c>
      <c r="AG91">
        <v>1.03975535168195</v>
      </c>
      <c r="AH91" t="s">
        <v>256</v>
      </c>
      <c r="AI91">
        <v>0.96385542168674698</v>
      </c>
      <c r="AJ91" t="s">
        <v>251</v>
      </c>
      <c r="AK91">
        <v>1.0471698113207499</v>
      </c>
      <c r="AL91" t="s">
        <v>261</v>
      </c>
      <c r="AM91">
        <v>0.92580287929125105</v>
      </c>
      <c r="AN91" t="s">
        <v>195</v>
      </c>
      <c r="AO91">
        <v>1.02622572348569</v>
      </c>
      <c r="AP91" t="s">
        <v>256</v>
      </c>
      <c r="AQ91">
        <v>1.0274509803921501</v>
      </c>
      <c r="AR91" t="s">
        <v>238</v>
      </c>
      <c r="AS91">
        <v>0.97356321839080395</v>
      </c>
      <c r="AT91" t="s">
        <v>247</v>
      </c>
      <c r="AU91">
        <v>1.0562499999999999</v>
      </c>
      <c r="AV91" t="s">
        <v>189</v>
      </c>
      <c r="AW91">
        <v>1.09122807017543</v>
      </c>
      <c r="AX91" t="s">
        <v>189</v>
      </c>
      <c r="AY91">
        <v>1.0771704180064301</v>
      </c>
      <c r="AZ91" t="s">
        <v>254</v>
      </c>
      <c r="BA91">
        <v>0.94007490636704105</v>
      </c>
      <c r="BB91" t="s">
        <v>254</v>
      </c>
      <c r="BC91">
        <v>0.81274900398406302</v>
      </c>
      <c r="BD91" t="s">
        <v>185</v>
      </c>
      <c r="BE91">
        <v>1.0641025641025601</v>
      </c>
      <c r="BF91" t="s">
        <v>247</v>
      </c>
      <c r="BG91">
        <v>1.0696378830083499</v>
      </c>
      <c r="BH91" t="s">
        <v>274</v>
      </c>
      <c r="BI91">
        <v>1.20597652081109</v>
      </c>
      <c r="BJ91" t="s">
        <v>197</v>
      </c>
      <c r="BK91">
        <v>1.42011834319526</v>
      </c>
      <c r="BL91" t="s">
        <v>266</v>
      </c>
      <c r="BM91">
        <v>1.3953488372092999</v>
      </c>
      <c r="BN91" t="s">
        <v>272</v>
      </c>
      <c r="BO91">
        <v>1.0266159695817401</v>
      </c>
      <c r="BP91" t="s">
        <v>284</v>
      </c>
      <c r="BQ91">
        <v>0.85758196721311397</v>
      </c>
      <c r="BR91" t="s">
        <v>265</v>
      </c>
      <c r="BS91">
        <v>0.96015180265654598</v>
      </c>
      <c r="BT91" t="s">
        <v>265</v>
      </c>
      <c r="BU91">
        <v>1.63043478260869</v>
      </c>
      <c r="BV91" t="s">
        <v>266</v>
      </c>
      <c r="BW91">
        <v>1.0150375939849601</v>
      </c>
    </row>
    <row r="92" spans="1:75" x14ac:dyDescent="0.4">
      <c r="A92">
        <v>90</v>
      </c>
      <c r="B92" t="s">
        <v>231</v>
      </c>
      <c r="C92">
        <v>0.88303571428571404</v>
      </c>
      <c r="D92" t="s">
        <v>259</v>
      </c>
      <c r="E92">
        <v>0.66328235445315498</v>
      </c>
      <c r="F92" t="s">
        <v>176</v>
      </c>
      <c r="G92">
        <v>0.76222826086956497</v>
      </c>
      <c r="H92" t="s">
        <v>243</v>
      </c>
      <c r="I92">
        <v>0.92903225806451595</v>
      </c>
      <c r="J92" t="s">
        <v>170</v>
      </c>
      <c r="K92">
        <v>1.49806949806949</v>
      </c>
      <c r="L92" t="s">
        <v>256</v>
      </c>
      <c r="M92">
        <v>0.96651445966514404</v>
      </c>
      <c r="N92" t="s">
        <v>266</v>
      </c>
      <c r="O92">
        <v>0.90374331550802101</v>
      </c>
      <c r="P92" t="s">
        <v>259</v>
      </c>
      <c r="Q92">
        <v>0.83783016188582704</v>
      </c>
      <c r="R92" t="s">
        <v>189</v>
      </c>
      <c r="S92">
        <v>1.3203342618384399</v>
      </c>
      <c r="T92" t="s">
        <v>189</v>
      </c>
      <c r="U92">
        <v>1.25949367088607</v>
      </c>
      <c r="V92" t="s">
        <v>254</v>
      </c>
      <c r="W92">
        <v>1.1911357340720199</v>
      </c>
      <c r="X92" t="s">
        <v>183</v>
      </c>
      <c r="Y92">
        <v>0.82637362637362599</v>
      </c>
      <c r="Z92" t="s">
        <v>261</v>
      </c>
      <c r="AA92">
        <v>0.83333333333333304</v>
      </c>
      <c r="AB92" t="s">
        <v>251</v>
      </c>
      <c r="AC92">
        <v>0.85189813161965899</v>
      </c>
      <c r="AD92" t="s">
        <v>189</v>
      </c>
      <c r="AE92">
        <v>0.82038834951456296</v>
      </c>
      <c r="AF92" t="s">
        <v>262</v>
      </c>
      <c r="AG92">
        <v>1.234375</v>
      </c>
      <c r="AH92" t="s">
        <v>261</v>
      </c>
      <c r="AI92">
        <v>0.86666666666666603</v>
      </c>
      <c r="AJ92" t="s">
        <v>254</v>
      </c>
      <c r="AK92">
        <v>0.96746203904555295</v>
      </c>
      <c r="AL92" t="s">
        <v>195</v>
      </c>
      <c r="AM92">
        <v>0.760683365683827</v>
      </c>
      <c r="AN92" t="s">
        <v>262</v>
      </c>
      <c r="AO92">
        <v>1.0337078651685301</v>
      </c>
      <c r="AP92" t="s">
        <v>261</v>
      </c>
      <c r="AQ92">
        <v>1.1914498141263901</v>
      </c>
      <c r="AR92" t="s">
        <v>189</v>
      </c>
      <c r="AS92">
        <v>1.05675146771037</v>
      </c>
      <c r="AT92" t="s">
        <v>251</v>
      </c>
      <c r="AU92">
        <v>0.97247706422018299</v>
      </c>
      <c r="AV92" t="s">
        <v>247</v>
      </c>
      <c r="AW92">
        <v>0.98224852071005897</v>
      </c>
      <c r="AX92" t="s">
        <v>247</v>
      </c>
      <c r="AY92">
        <v>1.17469879518072</v>
      </c>
      <c r="AZ92" t="s">
        <v>256</v>
      </c>
      <c r="BA92">
        <v>1.2257575757575701</v>
      </c>
      <c r="BB92" t="s">
        <v>256</v>
      </c>
      <c r="BC92">
        <v>0.94437577255871397</v>
      </c>
      <c r="BD92" t="s">
        <v>238</v>
      </c>
      <c r="BE92">
        <v>1.01841196777905</v>
      </c>
      <c r="BF92" t="s">
        <v>251</v>
      </c>
      <c r="BG92">
        <v>1.0365853658536499</v>
      </c>
      <c r="BH92" t="s">
        <v>280</v>
      </c>
      <c r="BI92">
        <v>0.93175074183976203</v>
      </c>
      <c r="BJ92" t="s">
        <v>266</v>
      </c>
      <c r="BK92">
        <v>1.1821305841924299</v>
      </c>
      <c r="BL92" t="s">
        <v>264</v>
      </c>
      <c r="BM92">
        <v>0.77198067632850198</v>
      </c>
      <c r="BN92" t="s">
        <v>204</v>
      </c>
      <c r="BO92">
        <v>0.96828046744574203</v>
      </c>
      <c r="BP92" t="s">
        <v>277</v>
      </c>
      <c r="BQ92">
        <v>1.1756756756756701</v>
      </c>
      <c r="BR92" t="s">
        <v>266</v>
      </c>
      <c r="BS92">
        <v>1.14578005115089</v>
      </c>
      <c r="BT92" t="s">
        <v>197</v>
      </c>
      <c r="BU92">
        <v>1.397616468039</v>
      </c>
      <c r="BV92" t="s">
        <v>267</v>
      </c>
      <c r="BW92">
        <v>1.04330708661417</v>
      </c>
    </row>
    <row r="93" spans="1:75" x14ac:dyDescent="0.4">
      <c r="A93">
        <v>91</v>
      </c>
      <c r="B93" t="s">
        <v>176</v>
      </c>
      <c r="C93">
        <v>1.13506493506493</v>
      </c>
      <c r="D93" t="s">
        <v>241</v>
      </c>
      <c r="E93">
        <v>0.90217391304347805</v>
      </c>
      <c r="F93" t="s">
        <v>183</v>
      </c>
      <c r="G93">
        <v>0.57291520770889903</v>
      </c>
      <c r="H93" t="s">
        <v>249</v>
      </c>
      <c r="I93">
        <v>0.93717278013212302</v>
      </c>
      <c r="J93" t="s">
        <v>172</v>
      </c>
      <c r="K93">
        <v>1.0621693121693101</v>
      </c>
      <c r="L93" t="s">
        <v>261</v>
      </c>
      <c r="M93">
        <v>1.0778410134018701</v>
      </c>
      <c r="N93" t="s">
        <v>311</v>
      </c>
      <c r="O93">
        <v>0.73117729771187501</v>
      </c>
      <c r="P93" t="s">
        <v>189</v>
      </c>
      <c r="Q93">
        <v>0.91581632653061196</v>
      </c>
      <c r="R93" t="s">
        <v>247</v>
      </c>
      <c r="S93">
        <v>1.45746164574616</v>
      </c>
      <c r="T93" t="s">
        <v>247</v>
      </c>
      <c r="U93">
        <v>1.06698564593301</v>
      </c>
      <c r="V93" t="s">
        <v>196</v>
      </c>
      <c r="W93">
        <v>1.14477090419418</v>
      </c>
      <c r="X93" t="s">
        <v>185</v>
      </c>
      <c r="Y93">
        <v>0.87606837606837595</v>
      </c>
      <c r="Z93" t="s">
        <v>262</v>
      </c>
      <c r="AA93">
        <v>0.94560669456066904</v>
      </c>
      <c r="AB93" t="s">
        <v>254</v>
      </c>
      <c r="AC93">
        <v>1.0371747211895901</v>
      </c>
      <c r="AD93" t="s">
        <v>251</v>
      </c>
      <c r="AE93">
        <v>0.69497799818397699</v>
      </c>
      <c r="AF93" t="s">
        <v>266</v>
      </c>
      <c r="AG93">
        <v>1.10752688172043</v>
      </c>
      <c r="AH93" t="s">
        <v>262</v>
      </c>
      <c r="AI93">
        <v>0.873417721518987</v>
      </c>
      <c r="AJ93" t="s">
        <v>192</v>
      </c>
      <c r="AK93">
        <v>1.17342458166857</v>
      </c>
      <c r="AL93" t="s">
        <v>262</v>
      </c>
      <c r="AM93">
        <v>0.96739130434782605</v>
      </c>
      <c r="AN93" t="s">
        <v>266</v>
      </c>
      <c r="AO93">
        <v>1.05074971164936</v>
      </c>
      <c r="AP93" t="s">
        <v>195</v>
      </c>
      <c r="AQ93">
        <v>0.61313494099538202</v>
      </c>
      <c r="AR93" t="s">
        <v>247</v>
      </c>
      <c r="AS93">
        <v>0.99378881987577605</v>
      </c>
      <c r="AT93" t="s">
        <v>254</v>
      </c>
      <c r="AU93">
        <v>0.99673202614378997</v>
      </c>
      <c r="AV93" t="s">
        <v>249</v>
      </c>
      <c r="AW93">
        <v>1.17631578947368</v>
      </c>
      <c r="AX93" t="s">
        <v>249</v>
      </c>
      <c r="AY93">
        <v>1.13646532438478</v>
      </c>
      <c r="AZ93" t="s">
        <v>195</v>
      </c>
      <c r="BA93">
        <v>1.1116138763197501</v>
      </c>
      <c r="BB93" t="s">
        <v>194</v>
      </c>
      <c r="BC93">
        <v>0.86571428571428499</v>
      </c>
      <c r="BD93" t="s">
        <v>241</v>
      </c>
      <c r="BE93">
        <v>1.03361344537815</v>
      </c>
      <c r="BF93" t="s">
        <v>254</v>
      </c>
      <c r="BG93">
        <v>1.0877192982456101</v>
      </c>
      <c r="BH93" t="s">
        <v>272</v>
      </c>
      <c r="BI93">
        <v>1.10212765957446</v>
      </c>
      <c r="BJ93" t="s">
        <v>272</v>
      </c>
      <c r="BK93">
        <v>0.94401544401544402</v>
      </c>
      <c r="BL93" t="s">
        <v>201</v>
      </c>
      <c r="BM93">
        <v>0.87785016286644901</v>
      </c>
      <c r="BN93" t="s">
        <v>284</v>
      </c>
      <c r="BO93">
        <v>0.83063829787234</v>
      </c>
      <c r="BP93" t="s">
        <v>208</v>
      </c>
      <c r="BQ93">
        <v>1.0768156424580999</v>
      </c>
      <c r="BR93" t="s">
        <v>264</v>
      </c>
      <c r="BS93">
        <v>0.87421383647798701</v>
      </c>
      <c r="BT93" t="s">
        <v>264</v>
      </c>
      <c r="BU93">
        <v>1.2848920863309301</v>
      </c>
      <c r="BV93" t="s">
        <v>272</v>
      </c>
      <c r="BW93">
        <v>1.04414587332053</v>
      </c>
    </row>
    <row r="94" spans="1:75" x14ac:dyDescent="0.4">
      <c r="A94">
        <v>92</v>
      </c>
      <c r="B94" t="s">
        <v>185</v>
      </c>
      <c r="C94">
        <v>0.88888888888888795</v>
      </c>
      <c r="D94" t="s">
        <v>189</v>
      </c>
      <c r="E94">
        <v>0.63220005619555997</v>
      </c>
      <c r="F94" t="s">
        <v>185</v>
      </c>
      <c r="G94">
        <v>0.81200000000000006</v>
      </c>
      <c r="H94" t="s">
        <v>251</v>
      </c>
      <c r="I94">
        <v>1.31893855312279</v>
      </c>
      <c r="J94" t="s">
        <v>174</v>
      </c>
      <c r="K94">
        <v>1.4229979466119</v>
      </c>
      <c r="L94" t="s">
        <v>262</v>
      </c>
      <c r="M94">
        <v>1.16336633663366</v>
      </c>
      <c r="N94" t="s">
        <v>297</v>
      </c>
      <c r="O94">
        <v>0.84199999999999997</v>
      </c>
      <c r="P94" t="s">
        <v>247</v>
      </c>
      <c r="Q94">
        <v>1.20504201680672</v>
      </c>
      <c r="R94" t="s">
        <v>251</v>
      </c>
      <c r="S94">
        <v>0.98987412980803002</v>
      </c>
      <c r="T94" t="s">
        <v>251</v>
      </c>
      <c r="U94">
        <v>1.19386232862115</v>
      </c>
      <c r="V94" t="s">
        <v>256</v>
      </c>
      <c r="W94">
        <v>0.95486111111111105</v>
      </c>
      <c r="X94" t="s">
        <v>238</v>
      </c>
      <c r="Y94">
        <v>1.02284710017574</v>
      </c>
      <c r="Z94" t="s">
        <v>266</v>
      </c>
      <c r="AA94">
        <v>1.55737704918032</v>
      </c>
      <c r="AB94" t="s">
        <v>196</v>
      </c>
      <c r="AC94">
        <v>0.90301838730818196</v>
      </c>
      <c r="AD94" t="s">
        <v>254</v>
      </c>
      <c r="AE94">
        <v>0.98387096774193505</v>
      </c>
      <c r="AF94" t="s">
        <v>201</v>
      </c>
      <c r="AG94">
        <v>1.12257810707143</v>
      </c>
      <c r="AH94" t="s">
        <v>266</v>
      </c>
      <c r="AI94">
        <v>0.64951456310679601</v>
      </c>
      <c r="AJ94" t="s">
        <v>256</v>
      </c>
      <c r="AK94">
        <v>0.93958333333333299</v>
      </c>
      <c r="AL94" t="s">
        <v>266</v>
      </c>
      <c r="AM94">
        <v>0.619285714285714</v>
      </c>
      <c r="AN94" t="s">
        <v>201</v>
      </c>
      <c r="AO94">
        <v>1.05893517617286</v>
      </c>
      <c r="AP94" t="s">
        <v>262</v>
      </c>
      <c r="AQ94">
        <v>1.1630434782608601</v>
      </c>
      <c r="AR94" t="s">
        <v>251</v>
      </c>
      <c r="AS94">
        <v>0.872</v>
      </c>
      <c r="AT94" t="s">
        <v>196</v>
      </c>
      <c r="AU94">
        <v>0.83048218400992702</v>
      </c>
      <c r="AV94" t="s">
        <v>251</v>
      </c>
      <c r="AW94">
        <v>0.86981132075471701</v>
      </c>
      <c r="AX94" t="s">
        <v>251</v>
      </c>
      <c r="AY94">
        <v>0.934924078091106</v>
      </c>
      <c r="AZ94" t="s">
        <v>262</v>
      </c>
      <c r="BA94">
        <v>0.73819742489270301</v>
      </c>
      <c r="BB94" t="s">
        <v>195</v>
      </c>
      <c r="BC94">
        <v>0.72591587516960598</v>
      </c>
      <c r="BD94" t="s">
        <v>189</v>
      </c>
      <c r="BE94">
        <v>0.95622119815668205</v>
      </c>
      <c r="BF94" t="s">
        <v>256</v>
      </c>
      <c r="BG94">
        <v>1.30232558139534</v>
      </c>
      <c r="BH94" t="s">
        <v>287</v>
      </c>
      <c r="BI94">
        <v>0.87467018469656899</v>
      </c>
      <c r="BJ94" t="s">
        <v>306</v>
      </c>
      <c r="BK94">
        <v>0.87295825771324798</v>
      </c>
      <c r="BL94" t="s">
        <v>272</v>
      </c>
      <c r="BM94">
        <v>1.0756646216768899</v>
      </c>
      <c r="BN94" t="s">
        <v>277</v>
      </c>
      <c r="BO94">
        <v>0.94468085106382904</v>
      </c>
      <c r="BP94" t="s">
        <v>299</v>
      </c>
      <c r="BQ94">
        <v>1</v>
      </c>
      <c r="BR94" t="s">
        <v>293</v>
      </c>
      <c r="BS94">
        <v>1.0450885668276899</v>
      </c>
      <c r="BT94" t="s">
        <v>280</v>
      </c>
      <c r="BU94">
        <v>1.1139817629179301</v>
      </c>
      <c r="BV94" t="s">
        <v>306</v>
      </c>
      <c r="BW94">
        <v>0.97449521785334703</v>
      </c>
    </row>
    <row r="95" spans="1:75" x14ac:dyDescent="0.4">
      <c r="A95">
        <v>93</v>
      </c>
      <c r="B95" t="s">
        <v>259</v>
      </c>
      <c r="C95">
        <v>0.77453712920565398</v>
      </c>
      <c r="D95" t="s">
        <v>247</v>
      </c>
      <c r="E95">
        <v>0.79479768786127103</v>
      </c>
      <c r="F95" t="s">
        <v>241</v>
      </c>
      <c r="G95">
        <v>0.67871485943775101</v>
      </c>
      <c r="H95" t="s">
        <v>196</v>
      </c>
      <c r="I95">
        <v>1.58241025641025</v>
      </c>
      <c r="J95" t="s">
        <v>176</v>
      </c>
      <c r="K95">
        <v>0.95158597662771205</v>
      </c>
      <c r="L95" t="s">
        <v>266</v>
      </c>
      <c r="M95">
        <v>1.06735159817351</v>
      </c>
      <c r="N95" t="s">
        <v>279</v>
      </c>
      <c r="O95">
        <v>0.98909090909090902</v>
      </c>
      <c r="P95" t="s">
        <v>251</v>
      </c>
      <c r="Q95">
        <v>0.99663606419510797</v>
      </c>
      <c r="R95" t="s">
        <v>254</v>
      </c>
      <c r="S95">
        <v>0.96031746031746001</v>
      </c>
      <c r="T95" t="s">
        <v>254</v>
      </c>
      <c r="U95">
        <v>1.49173553719008</v>
      </c>
      <c r="V95" t="s">
        <v>261</v>
      </c>
      <c r="W95">
        <v>1.10328328658637</v>
      </c>
      <c r="X95" t="s">
        <v>189</v>
      </c>
      <c r="Y95">
        <v>0.86011560693641598</v>
      </c>
      <c r="Z95" t="s">
        <v>201</v>
      </c>
      <c r="AA95">
        <v>1.92166562073166</v>
      </c>
      <c r="AB95" t="s">
        <v>256</v>
      </c>
      <c r="AC95">
        <v>0.97299999999999998</v>
      </c>
      <c r="AD95" t="s">
        <v>196</v>
      </c>
      <c r="AE95">
        <v>0.84683956838472896</v>
      </c>
      <c r="AF95" t="s">
        <v>291</v>
      </c>
      <c r="AG95">
        <v>1.36263736263736</v>
      </c>
      <c r="AH95" t="s">
        <v>201</v>
      </c>
      <c r="AI95">
        <v>0.67528181765083795</v>
      </c>
      <c r="AJ95" t="s">
        <v>261</v>
      </c>
      <c r="AK95">
        <v>1.0214932126696801</v>
      </c>
      <c r="AL95" t="s">
        <v>201</v>
      </c>
      <c r="AM95">
        <v>0.57766157825194597</v>
      </c>
      <c r="AN95" t="s">
        <v>291</v>
      </c>
      <c r="AO95">
        <v>0.86341463414634101</v>
      </c>
      <c r="AP95" t="s">
        <v>197</v>
      </c>
      <c r="AQ95">
        <v>1.03237410071942</v>
      </c>
      <c r="AR95" t="s">
        <v>254</v>
      </c>
      <c r="AS95">
        <v>0.82037533512064298</v>
      </c>
      <c r="AT95" t="s">
        <v>192</v>
      </c>
      <c r="AU95">
        <v>1.1428539925463601</v>
      </c>
      <c r="AV95" t="s">
        <v>254</v>
      </c>
      <c r="AW95">
        <v>0.91803278688524503</v>
      </c>
      <c r="AX95" t="s">
        <v>254</v>
      </c>
      <c r="AY95">
        <v>0.95357142857142796</v>
      </c>
      <c r="AZ95" t="s">
        <v>265</v>
      </c>
      <c r="BA95">
        <v>0.88443935926773398</v>
      </c>
      <c r="BB95" t="s">
        <v>262</v>
      </c>
      <c r="BC95">
        <v>0.87790697674418605</v>
      </c>
      <c r="BD95" t="s">
        <v>247</v>
      </c>
      <c r="BE95">
        <v>1.01988636363636</v>
      </c>
      <c r="BF95" t="s">
        <v>194</v>
      </c>
      <c r="BG95">
        <v>0.95631067961164995</v>
      </c>
      <c r="BH95" t="s">
        <v>306</v>
      </c>
      <c r="BI95">
        <v>0.82981927710843295</v>
      </c>
      <c r="BJ95" t="s">
        <v>204</v>
      </c>
      <c r="BK95">
        <v>0.84195804195804103</v>
      </c>
      <c r="BL95" t="s">
        <v>306</v>
      </c>
      <c r="BM95">
        <v>1.15800415800415</v>
      </c>
      <c r="BN95" t="s">
        <v>281</v>
      </c>
      <c r="BO95">
        <v>0.95789473684210502</v>
      </c>
      <c r="BP95" t="s">
        <v>281</v>
      </c>
      <c r="BQ95">
        <v>1.06122448979591</v>
      </c>
      <c r="BR95" t="s">
        <v>272</v>
      </c>
      <c r="BS95">
        <v>1</v>
      </c>
      <c r="BT95" t="s">
        <v>272</v>
      </c>
      <c r="BU95">
        <v>1.0440881763526999</v>
      </c>
      <c r="BV95" t="s">
        <v>204</v>
      </c>
      <c r="BW95">
        <v>1.03313840155945</v>
      </c>
    </row>
    <row r="96" spans="1:75" x14ac:dyDescent="0.4">
      <c r="A96">
        <v>94</v>
      </c>
      <c r="B96" t="s">
        <v>241</v>
      </c>
      <c r="C96">
        <v>0.98571428571428499</v>
      </c>
      <c r="D96" t="s">
        <v>273</v>
      </c>
      <c r="E96">
        <v>0.74788946202580597</v>
      </c>
      <c r="F96" t="s">
        <v>247</v>
      </c>
      <c r="G96">
        <v>0.381818181818181</v>
      </c>
      <c r="H96" t="s">
        <v>271</v>
      </c>
      <c r="I96">
        <v>0.93614457831325304</v>
      </c>
      <c r="J96" t="s">
        <v>178</v>
      </c>
      <c r="K96">
        <v>1.3333333333333299</v>
      </c>
      <c r="L96" t="s">
        <v>201</v>
      </c>
      <c r="M96">
        <v>0.97629599785119503</v>
      </c>
      <c r="N96" t="s">
        <v>272</v>
      </c>
      <c r="O96">
        <v>1.01133501259445</v>
      </c>
      <c r="P96" t="s">
        <v>254</v>
      </c>
      <c r="Q96">
        <v>0.90647482014388403</v>
      </c>
      <c r="R96" t="s">
        <v>196</v>
      </c>
      <c r="S96">
        <v>0.90707918917988695</v>
      </c>
      <c r="T96" t="s">
        <v>196</v>
      </c>
      <c r="U96">
        <v>1.0894386058099601</v>
      </c>
      <c r="V96" t="s">
        <v>262</v>
      </c>
      <c r="W96">
        <v>1.0382978723404199</v>
      </c>
      <c r="X96" t="s">
        <v>249</v>
      </c>
      <c r="Y96">
        <v>0.39616037572528701</v>
      </c>
      <c r="Z96" t="s">
        <v>297</v>
      </c>
      <c r="AA96">
        <v>0.86601307189542398</v>
      </c>
      <c r="AB96" t="s">
        <v>261</v>
      </c>
      <c r="AC96">
        <v>0.91996285979572801</v>
      </c>
      <c r="AD96" t="s">
        <v>256</v>
      </c>
      <c r="AE96">
        <v>1.05035971223021</v>
      </c>
      <c r="AF96" t="s">
        <v>279</v>
      </c>
      <c r="AG96">
        <v>1.2307692307692299</v>
      </c>
      <c r="AH96" t="s">
        <v>279</v>
      </c>
      <c r="AI96">
        <v>1.0125</v>
      </c>
      <c r="AJ96" t="s">
        <v>262</v>
      </c>
      <c r="AK96">
        <v>1</v>
      </c>
      <c r="AL96" t="s">
        <v>293</v>
      </c>
      <c r="AM96">
        <v>0.88547008547008499</v>
      </c>
      <c r="AN96" t="s">
        <v>272</v>
      </c>
      <c r="AO96">
        <v>0.95975232198142402</v>
      </c>
      <c r="AP96" t="s">
        <v>266</v>
      </c>
      <c r="AQ96">
        <v>1.0537870472008699</v>
      </c>
      <c r="AR96" t="s">
        <v>196</v>
      </c>
      <c r="AS96">
        <v>0.81248762220261705</v>
      </c>
      <c r="AT96" t="s">
        <v>256</v>
      </c>
      <c r="AU96">
        <v>1.0627450980392099</v>
      </c>
      <c r="AV96" t="s">
        <v>196</v>
      </c>
      <c r="AW96">
        <v>1.13036981695928</v>
      </c>
      <c r="AX96" t="s">
        <v>196</v>
      </c>
      <c r="AY96">
        <v>0.61759984892833497</v>
      </c>
      <c r="AZ96" t="s">
        <v>266</v>
      </c>
      <c r="BA96">
        <v>1.08421052631578</v>
      </c>
      <c r="BB96" t="s">
        <v>265</v>
      </c>
      <c r="BC96">
        <v>0.81888745148771003</v>
      </c>
      <c r="BD96" t="s">
        <v>251</v>
      </c>
      <c r="BE96">
        <v>1.03361344537815</v>
      </c>
      <c r="BF96" t="s">
        <v>195</v>
      </c>
      <c r="BG96">
        <v>0.89273927392739205</v>
      </c>
      <c r="BH96" t="s">
        <v>204</v>
      </c>
      <c r="BI96">
        <v>1.1663947797716101</v>
      </c>
      <c r="BJ96" t="s">
        <v>284</v>
      </c>
      <c r="BK96">
        <v>1.18701007838745</v>
      </c>
      <c r="BL96" t="s">
        <v>204</v>
      </c>
      <c r="BM96">
        <v>0.99501661129568097</v>
      </c>
      <c r="BN96" t="s">
        <v>285</v>
      </c>
      <c r="BO96">
        <v>0.98285714285714199</v>
      </c>
      <c r="BP96" t="s">
        <v>285</v>
      </c>
      <c r="BQ96">
        <v>0.92587209302325502</v>
      </c>
      <c r="BR96" t="s">
        <v>276</v>
      </c>
      <c r="BS96">
        <v>0.71799628942486005</v>
      </c>
      <c r="BT96" t="s">
        <v>204</v>
      </c>
      <c r="BU96">
        <v>0.94301470588235203</v>
      </c>
      <c r="BV96" t="s">
        <v>277</v>
      </c>
      <c r="BW96">
        <v>1.0141509433962199</v>
      </c>
    </row>
    <row r="97" spans="1:75" x14ac:dyDescent="0.4">
      <c r="A97">
        <v>95</v>
      </c>
      <c r="B97" t="s">
        <v>189</v>
      </c>
      <c r="C97">
        <v>0.86733481585280403</v>
      </c>
      <c r="D97" t="s">
        <v>251</v>
      </c>
      <c r="E97">
        <v>0.87416363983941803</v>
      </c>
      <c r="F97" t="s">
        <v>249</v>
      </c>
      <c r="G97">
        <v>0.32372883189887902</v>
      </c>
      <c r="H97" t="s">
        <v>256</v>
      </c>
      <c r="I97">
        <v>1.02564102564102</v>
      </c>
      <c r="J97" t="s">
        <v>183</v>
      </c>
      <c r="K97">
        <v>1.3541597697929599</v>
      </c>
      <c r="L97" t="s">
        <v>293</v>
      </c>
      <c r="M97">
        <v>1.31078224101479</v>
      </c>
      <c r="N97" t="s">
        <v>319</v>
      </c>
      <c r="O97">
        <v>1.0314088803524999</v>
      </c>
      <c r="P97" t="s">
        <v>196</v>
      </c>
      <c r="Q97">
        <v>0.89445601649958395</v>
      </c>
      <c r="R97" t="s">
        <v>271</v>
      </c>
      <c r="S97">
        <v>0.96850393700787396</v>
      </c>
      <c r="T97" t="s">
        <v>271</v>
      </c>
      <c r="U97">
        <v>0.98373983739837401</v>
      </c>
      <c r="V97" t="s">
        <v>266</v>
      </c>
      <c r="W97">
        <v>1.1319942611190801</v>
      </c>
      <c r="X97" t="s">
        <v>251</v>
      </c>
      <c r="Y97">
        <v>1.0652707345002399</v>
      </c>
      <c r="Z97" t="s">
        <v>291</v>
      </c>
      <c r="AA97">
        <v>0.98172323759791102</v>
      </c>
      <c r="AB97" t="s">
        <v>262</v>
      </c>
      <c r="AC97">
        <v>1.3672566371681401</v>
      </c>
      <c r="AD97" t="s">
        <v>261</v>
      </c>
      <c r="AE97">
        <v>0.99010900282599901</v>
      </c>
      <c r="AF97" t="s">
        <v>272</v>
      </c>
      <c r="AG97">
        <v>1.1399999999999999</v>
      </c>
      <c r="AH97" t="s">
        <v>272</v>
      </c>
      <c r="AI97">
        <v>1.0087719298245601</v>
      </c>
      <c r="AJ97" t="s">
        <v>266</v>
      </c>
      <c r="AK97">
        <v>1.0463378176382601</v>
      </c>
      <c r="AL97" t="s">
        <v>272</v>
      </c>
      <c r="AM97">
        <v>1.2817460317460301</v>
      </c>
      <c r="AN97" t="s">
        <v>276</v>
      </c>
      <c r="AO97">
        <v>0.96615720524017401</v>
      </c>
      <c r="AP97" t="s">
        <v>201</v>
      </c>
      <c r="AQ97">
        <v>1.30736706650121</v>
      </c>
      <c r="AR97" t="s">
        <v>192</v>
      </c>
      <c r="AS97">
        <v>1.0787914832877299</v>
      </c>
      <c r="AT97" t="s">
        <v>195</v>
      </c>
      <c r="AU97">
        <v>0.85452434777295705</v>
      </c>
      <c r="AV97" t="s">
        <v>192</v>
      </c>
      <c r="AW97">
        <v>1.1691654606849899</v>
      </c>
      <c r="AX97" t="s">
        <v>256</v>
      </c>
      <c r="AY97">
        <v>1.10367892976588</v>
      </c>
      <c r="AZ97" t="s">
        <v>264</v>
      </c>
      <c r="BA97">
        <v>1.3578826237054</v>
      </c>
      <c r="BB97" t="s">
        <v>266</v>
      </c>
      <c r="BC97">
        <v>1.0915395284327301</v>
      </c>
      <c r="BD97" t="s">
        <v>254</v>
      </c>
      <c r="BE97">
        <v>0.89411764705882302</v>
      </c>
      <c r="BF97" t="s">
        <v>262</v>
      </c>
      <c r="BG97">
        <v>0.99695121951219501</v>
      </c>
      <c r="BH97" t="s">
        <v>284</v>
      </c>
      <c r="BI97">
        <v>0.92538860103626897</v>
      </c>
      <c r="BJ97" t="s">
        <v>277</v>
      </c>
      <c r="BK97">
        <v>1.0206611570247901</v>
      </c>
      <c r="BL97" t="s">
        <v>284</v>
      </c>
      <c r="BM97">
        <v>1.10849056603773</v>
      </c>
      <c r="BN97" t="s">
        <v>288</v>
      </c>
      <c r="BO97">
        <v>1.02079395085066</v>
      </c>
      <c r="BP97" t="s">
        <v>288</v>
      </c>
      <c r="BQ97">
        <v>0.937037037037037</v>
      </c>
      <c r="BR97" t="s">
        <v>306</v>
      </c>
      <c r="BS97">
        <v>0.92170022371364602</v>
      </c>
      <c r="BT97" t="s">
        <v>284</v>
      </c>
      <c r="BU97">
        <v>1.59904534606205</v>
      </c>
      <c r="BV97" t="s">
        <v>326</v>
      </c>
      <c r="BW97">
        <v>1.06451612903225</v>
      </c>
    </row>
    <row r="98" spans="1:75" x14ac:dyDescent="0.4">
      <c r="A98">
        <v>96</v>
      </c>
      <c r="B98" t="s">
        <v>247</v>
      </c>
      <c r="C98">
        <v>0.89986996098829597</v>
      </c>
      <c r="D98" t="s">
        <v>254</v>
      </c>
      <c r="E98">
        <v>1.20600858369098</v>
      </c>
      <c r="F98" t="s">
        <v>251</v>
      </c>
      <c r="G98">
        <v>0.54185118364222795</v>
      </c>
      <c r="H98" t="s">
        <v>261</v>
      </c>
      <c r="I98">
        <v>0.86389337641357</v>
      </c>
      <c r="J98" t="s">
        <v>185</v>
      </c>
      <c r="K98">
        <v>1.31799163179916</v>
      </c>
      <c r="L98" t="s">
        <v>297</v>
      </c>
      <c r="M98">
        <v>1.28865979381443</v>
      </c>
      <c r="N98" t="s">
        <v>204</v>
      </c>
      <c r="O98">
        <v>0.89554794520547898</v>
      </c>
      <c r="P98" t="s">
        <v>271</v>
      </c>
      <c r="Q98">
        <v>1.2893401015228401</v>
      </c>
      <c r="R98" t="s">
        <v>192</v>
      </c>
      <c r="S98">
        <v>1.1581959131594699</v>
      </c>
      <c r="T98" t="s">
        <v>256</v>
      </c>
      <c r="U98">
        <v>1.08679245283018</v>
      </c>
      <c r="V98" t="s">
        <v>201</v>
      </c>
      <c r="W98">
        <v>1.23551838642233</v>
      </c>
      <c r="X98" t="s">
        <v>254</v>
      </c>
      <c r="Y98">
        <v>0.77906976744185996</v>
      </c>
      <c r="Z98" t="s">
        <v>279</v>
      </c>
      <c r="AA98">
        <v>1.0609756097560901</v>
      </c>
      <c r="AB98" t="s">
        <v>291</v>
      </c>
      <c r="AC98">
        <v>1.02659574468085</v>
      </c>
      <c r="AD98" t="s">
        <v>262</v>
      </c>
      <c r="AE98">
        <v>0.82847896440129398</v>
      </c>
      <c r="AF98" t="s">
        <v>301</v>
      </c>
      <c r="AG98">
        <v>1.06181818181818</v>
      </c>
      <c r="AH98" t="s">
        <v>276</v>
      </c>
      <c r="AI98">
        <v>0.83545105323145696</v>
      </c>
      <c r="AJ98" t="s">
        <v>264</v>
      </c>
      <c r="AK98">
        <v>1.1029411764705801</v>
      </c>
      <c r="AL98" t="s">
        <v>306</v>
      </c>
      <c r="AM98">
        <v>1.09450549450549</v>
      </c>
      <c r="AN98" t="s">
        <v>204</v>
      </c>
      <c r="AO98">
        <v>0.97371565113500602</v>
      </c>
      <c r="AP98" t="s">
        <v>280</v>
      </c>
      <c r="AQ98">
        <v>0.73863636363636298</v>
      </c>
      <c r="AR98" t="s">
        <v>256</v>
      </c>
      <c r="AS98">
        <v>0.97328244274809095</v>
      </c>
      <c r="AT98" t="s">
        <v>262</v>
      </c>
      <c r="AU98">
        <v>1.1328903654485001</v>
      </c>
      <c r="AV98" t="s">
        <v>256</v>
      </c>
      <c r="AW98">
        <v>1.10332103321033</v>
      </c>
      <c r="AX98" t="s">
        <v>195</v>
      </c>
      <c r="AY98">
        <v>0.99442044636428994</v>
      </c>
      <c r="AZ98" t="s">
        <v>293</v>
      </c>
      <c r="BA98">
        <v>1.14410480349344</v>
      </c>
      <c r="BB98" t="s">
        <v>267</v>
      </c>
      <c r="BC98">
        <v>0.91566265060240903</v>
      </c>
      <c r="BD98" t="s">
        <v>256</v>
      </c>
      <c r="BE98">
        <v>1.12565445026178</v>
      </c>
      <c r="BF98" t="s">
        <v>265</v>
      </c>
      <c r="BG98">
        <v>0.83458646616541299</v>
      </c>
      <c r="BH98" t="s">
        <v>277</v>
      </c>
      <c r="BI98">
        <v>0.96031746031746001</v>
      </c>
      <c r="BJ98" t="s">
        <v>208</v>
      </c>
      <c r="BK98">
        <v>1.0027434842249601</v>
      </c>
      <c r="BL98" t="s">
        <v>277</v>
      </c>
      <c r="BM98">
        <v>0.95141700404858298</v>
      </c>
      <c r="BN98" t="s">
        <v>294</v>
      </c>
      <c r="BO98">
        <v>0.93267651888341496</v>
      </c>
      <c r="BP98" t="s">
        <v>294</v>
      </c>
      <c r="BQ98">
        <v>0.97535211267605604</v>
      </c>
      <c r="BR98" t="s">
        <v>204</v>
      </c>
      <c r="BS98">
        <v>0.95104895104895104</v>
      </c>
      <c r="BT98" t="s">
        <v>277</v>
      </c>
      <c r="BU98">
        <v>1.04433497536945</v>
      </c>
      <c r="BV98" t="s">
        <v>281</v>
      </c>
      <c r="BW98">
        <v>1.2134062927496501</v>
      </c>
    </row>
    <row r="99" spans="1:75" x14ac:dyDescent="0.4">
      <c r="A99">
        <v>97</v>
      </c>
      <c r="B99" t="s">
        <v>249</v>
      </c>
      <c r="C99">
        <v>1.0149254212519501</v>
      </c>
      <c r="D99" t="s">
        <v>196</v>
      </c>
      <c r="E99">
        <v>0.48648695993385299</v>
      </c>
      <c r="F99" t="s">
        <v>254</v>
      </c>
      <c r="G99">
        <v>0.69822064056939503</v>
      </c>
      <c r="H99" t="s">
        <v>195</v>
      </c>
      <c r="I99">
        <v>0.958515761821366</v>
      </c>
      <c r="J99" t="s">
        <v>243</v>
      </c>
      <c r="K99">
        <v>1.69444444444444</v>
      </c>
      <c r="L99" t="s">
        <v>279</v>
      </c>
      <c r="M99">
        <v>1</v>
      </c>
      <c r="N99" t="s">
        <v>277</v>
      </c>
      <c r="O99">
        <v>1.29790026246719</v>
      </c>
      <c r="P99" t="s">
        <v>256</v>
      </c>
      <c r="Q99">
        <v>0.92935635792778604</v>
      </c>
      <c r="R99" t="s">
        <v>256</v>
      </c>
      <c r="S99">
        <v>0.89527027027026995</v>
      </c>
      <c r="T99" t="s">
        <v>261</v>
      </c>
      <c r="U99">
        <v>0.96267471410419303</v>
      </c>
      <c r="V99" t="s">
        <v>293</v>
      </c>
      <c r="W99">
        <v>1.3063063063063001</v>
      </c>
      <c r="X99" t="s">
        <v>196</v>
      </c>
      <c r="Y99">
        <v>0.89439633317784495</v>
      </c>
      <c r="Z99" t="s">
        <v>272</v>
      </c>
      <c r="AA99">
        <v>1.0426035502958499</v>
      </c>
      <c r="AB99" t="s">
        <v>279</v>
      </c>
      <c r="AC99">
        <v>1.1111111111111101</v>
      </c>
      <c r="AD99" t="s">
        <v>201</v>
      </c>
      <c r="AE99">
        <v>0.83064647894994803</v>
      </c>
      <c r="AF99" t="s">
        <v>220</v>
      </c>
      <c r="AG99">
        <v>0.96654719235364395</v>
      </c>
      <c r="AH99" t="s">
        <v>292</v>
      </c>
      <c r="AI99">
        <v>0.87132867132867098</v>
      </c>
      <c r="AJ99" t="s">
        <v>201</v>
      </c>
      <c r="AK99">
        <v>1.53833845089305</v>
      </c>
      <c r="AL99" t="s">
        <v>204</v>
      </c>
      <c r="AM99">
        <v>0.87552301255230103</v>
      </c>
      <c r="AN99" t="s">
        <v>277</v>
      </c>
      <c r="AO99">
        <v>1.2462987886944801</v>
      </c>
      <c r="AP99" t="s">
        <v>291</v>
      </c>
      <c r="AQ99">
        <v>1.08757062146892</v>
      </c>
      <c r="AR99" t="s">
        <v>195</v>
      </c>
      <c r="AS99">
        <v>1.0535564853556401</v>
      </c>
      <c r="AT99" t="s">
        <v>265</v>
      </c>
      <c r="AU99">
        <v>0.91655450874831701</v>
      </c>
      <c r="AV99" t="s">
        <v>195</v>
      </c>
      <c r="AW99">
        <v>1.1917631917631899</v>
      </c>
      <c r="AX99" t="s">
        <v>262</v>
      </c>
      <c r="AY99">
        <v>1.1738035264483599</v>
      </c>
      <c r="AZ99" t="s">
        <v>272</v>
      </c>
      <c r="BA99">
        <v>1.01442307692307</v>
      </c>
      <c r="BB99" t="s">
        <v>280</v>
      </c>
      <c r="BC99">
        <v>0.80367231638418002</v>
      </c>
      <c r="BD99" t="s">
        <v>194</v>
      </c>
      <c r="BE99">
        <v>0.84983498349834896</v>
      </c>
      <c r="BF99" t="s">
        <v>270</v>
      </c>
      <c r="BG99">
        <v>1.0254237288135499</v>
      </c>
      <c r="BH99" t="s">
        <v>208</v>
      </c>
      <c r="BI99">
        <v>0.84668989547038298</v>
      </c>
      <c r="BJ99" t="s">
        <v>299</v>
      </c>
      <c r="BK99">
        <v>0.70786516853932502</v>
      </c>
      <c r="BL99" t="s">
        <v>299</v>
      </c>
      <c r="BM99">
        <v>0.83730158730158699</v>
      </c>
      <c r="BN99" t="s">
        <v>219</v>
      </c>
      <c r="BO99">
        <v>1.15568862275449</v>
      </c>
      <c r="BP99" t="s">
        <v>350</v>
      </c>
      <c r="BQ99">
        <v>0.986093552465233</v>
      </c>
      <c r="BR99" t="s">
        <v>284</v>
      </c>
      <c r="BS99">
        <v>1.0011947431302199</v>
      </c>
      <c r="BT99" t="s">
        <v>285</v>
      </c>
      <c r="BU99">
        <v>1.00593471810089</v>
      </c>
      <c r="BV99" t="s">
        <v>285</v>
      </c>
      <c r="BW99">
        <v>0.98377581120943902</v>
      </c>
    </row>
    <row r="100" spans="1:75" x14ac:dyDescent="0.4">
      <c r="A100">
        <v>98</v>
      </c>
      <c r="B100" t="s">
        <v>273</v>
      </c>
      <c r="C100">
        <v>0.95838065335025702</v>
      </c>
      <c r="D100" t="s">
        <v>283</v>
      </c>
      <c r="E100">
        <v>0.54822335025380697</v>
      </c>
      <c r="F100" t="s">
        <v>196</v>
      </c>
      <c r="G100">
        <v>0.421296729729145</v>
      </c>
      <c r="H100" t="s">
        <v>265</v>
      </c>
      <c r="I100">
        <v>1.3196480938416399</v>
      </c>
      <c r="J100" t="s">
        <v>249</v>
      </c>
      <c r="K100">
        <v>1.37802597738315</v>
      </c>
      <c r="L100" t="s">
        <v>272</v>
      </c>
      <c r="M100">
        <v>0.90950744558991903</v>
      </c>
      <c r="N100" t="s">
        <v>208</v>
      </c>
      <c r="O100">
        <v>0.95108695652173902</v>
      </c>
      <c r="P100" t="s">
        <v>261</v>
      </c>
      <c r="Q100">
        <v>1.0539759768891499</v>
      </c>
      <c r="R100" t="s">
        <v>261</v>
      </c>
      <c r="S100">
        <v>0.90825158684362295</v>
      </c>
      <c r="T100" t="s">
        <v>262</v>
      </c>
      <c r="U100">
        <v>1.10328638497652</v>
      </c>
      <c r="V100" t="s">
        <v>297</v>
      </c>
      <c r="W100">
        <v>0.97647058823529398</v>
      </c>
      <c r="X100" t="s">
        <v>271</v>
      </c>
      <c r="Y100">
        <v>1.3092369477911601</v>
      </c>
      <c r="Z100" t="s">
        <v>306</v>
      </c>
      <c r="AA100">
        <v>0.95695364238410596</v>
      </c>
      <c r="AB100" t="s">
        <v>272</v>
      </c>
      <c r="AC100">
        <v>1.1055618615209899</v>
      </c>
      <c r="AD100" t="s">
        <v>291</v>
      </c>
      <c r="AE100">
        <v>0.94300518134714995</v>
      </c>
      <c r="AF100" t="s">
        <v>296</v>
      </c>
      <c r="AG100">
        <v>0.94977029096477705</v>
      </c>
      <c r="AH100" t="s">
        <v>286</v>
      </c>
      <c r="AI100">
        <v>0.81660470879801705</v>
      </c>
      <c r="AJ100" t="s">
        <v>293</v>
      </c>
      <c r="AK100">
        <v>1.15384615384615</v>
      </c>
      <c r="AL100" t="s">
        <v>286</v>
      </c>
      <c r="AM100">
        <v>1.1521739130434701</v>
      </c>
      <c r="AN100" t="s">
        <v>269</v>
      </c>
      <c r="AO100">
        <v>1.72486772486772</v>
      </c>
      <c r="AP100" t="s">
        <v>272</v>
      </c>
      <c r="AQ100">
        <v>1.2</v>
      </c>
      <c r="AR100" t="s">
        <v>262</v>
      </c>
      <c r="AS100">
        <v>0.93769470404984401</v>
      </c>
      <c r="AT100" t="s">
        <v>266</v>
      </c>
      <c r="AU100">
        <v>1.57088122605363</v>
      </c>
      <c r="AV100" t="s">
        <v>262</v>
      </c>
      <c r="AW100">
        <v>1.16422287390029</v>
      </c>
      <c r="AX100" t="s">
        <v>265</v>
      </c>
      <c r="AY100">
        <v>0.77896613190730801</v>
      </c>
      <c r="AZ100" t="s">
        <v>276</v>
      </c>
      <c r="BA100">
        <v>0.90510746154647403</v>
      </c>
      <c r="BB100" t="s">
        <v>293</v>
      </c>
      <c r="BC100">
        <v>1.0356234096692101</v>
      </c>
      <c r="BD100" t="s">
        <v>195</v>
      </c>
      <c r="BE100">
        <v>1.13271028037383</v>
      </c>
      <c r="BF100" t="s">
        <v>197</v>
      </c>
      <c r="BG100">
        <v>0.89743589743589702</v>
      </c>
      <c r="BH100" t="s">
        <v>285</v>
      </c>
      <c r="BI100">
        <v>0.86122448979591804</v>
      </c>
      <c r="BJ100" t="s">
        <v>288</v>
      </c>
      <c r="BK100">
        <v>0.92846924177396195</v>
      </c>
      <c r="BL100" t="s">
        <v>288</v>
      </c>
      <c r="BM100">
        <v>0.81510015408320402</v>
      </c>
      <c r="BN100" t="s">
        <v>224</v>
      </c>
      <c r="BO100">
        <v>1.1902071563088501</v>
      </c>
      <c r="BP100" t="s">
        <v>226</v>
      </c>
      <c r="BQ100">
        <v>1.25571002466689</v>
      </c>
      <c r="BR100" t="s">
        <v>277</v>
      </c>
      <c r="BS100">
        <v>0.77777777777777701</v>
      </c>
      <c r="BT100" t="s">
        <v>288</v>
      </c>
      <c r="BU100">
        <v>1.0674285714285701</v>
      </c>
      <c r="BV100" t="s">
        <v>288</v>
      </c>
      <c r="BW100">
        <v>1.0192719486081301</v>
      </c>
    </row>
    <row r="101" spans="1:75" x14ac:dyDescent="0.4">
      <c r="A101">
        <v>99</v>
      </c>
      <c r="B101" t="s">
        <v>251</v>
      </c>
      <c r="C101">
        <v>1</v>
      </c>
      <c r="D101" t="s">
        <v>256</v>
      </c>
      <c r="E101">
        <v>0.89763147330389403</v>
      </c>
      <c r="F101" t="s">
        <v>271</v>
      </c>
      <c r="G101">
        <v>0.74107142857142805</v>
      </c>
      <c r="H101" t="s">
        <v>197</v>
      </c>
      <c r="I101">
        <v>0.96801346801346799</v>
      </c>
      <c r="J101" t="s">
        <v>251</v>
      </c>
      <c r="K101">
        <v>1.2233782129742901</v>
      </c>
      <c r="L101" t="s">
        <v>319</v>
      </c>
      <c r="M101">
        <v>0.87336775976054903</v>
      </c>
      <c r="N101" t="s">
        <v>299</v>
      </c>
      <c r="O101">
        <v>0.90845070422535201</v>
      </c>
      <c r="P101" t="s">
        <v>262</v>
      </c>
      <c r="Q101">
        <v>1.11467889908256</v>
      </c>
      <c r="R101" t="s">
        <v>262</v>
      </c>
      <c r="S101">
        <v>0.87654320987654299</v>
      </c>
      <c r="T101" t="s">
        <v>266</v>
      </c>
      <c r="U101">
        <v>1.6634844868734999</v>
      </c>
      <c r="V101" t="s">
        <v>291</v>
      </c>
      <c r="W101">
        <v>1.1493902439024299</v>
      </c>
      <c r="X101" t="s">
        <v>256</v>
      </c>
      <c r="Y101">
        <v>1.0181818181818101</v>
      </c>
      <c r="Z101" t="s">
        <v>204</v>
      </c>
      <c r="AA101">
        <v>1.3212851405622399</v>
      </c>
      <c r="AB101" t="s">
        <v>306</v>
      </c>
      <c r="AC101">
        <v>1.29411764705882</v>
      </c>
      <c r="AD101" t="s">
        <v>272</v>
      </c>
      <c r="AE101">
        <v>1.0266940451745299</v>
      </c>
      <c r="AF101" t="s">
        <v>288</v>
      </c>
      <c r="AG101">
        <v>1.02650176678445</v>
      </c>
      <c r="AH101" t="s">
        <v>301</v>
      </c>
      <c r="AI101">
        <v>0.852739726027397</v>
      </c>
      <c r="AJ101" t="s">
        <v>272</v>
      </c>
      <c r="AK101">
        <v>1.09565217391304</v>
      </c>
      <c r="AL101" t="s">
        <v>301</v>
      </c>
      <c r="AM101">
        <v>1.34615384615384</v>
      </c>
      <c r="AN101" t="s">
        <v>286</v>
      </c>
      <c r="AO101">
        <v>1.16627358490566</v>
      </c>
      <c r="AP101" t="s">
        <v>276</v>
      </c>
      <c r="AQ101">
        <v>1.055330781848</v>
      </c>
      <c r="AR101" t="s">
        <v>197</v>
      </c>
      <c r="AS101">
        <v>1.1777003484320501</v>
      </c>
      <c r="AT101" t="s">
        <v>264</v>
      </c>
      <c r="AU101">
        <v>0.98395721925133695</v>
      </c>
      <c r="AV101" t="s">
        <v>265</v>
      </c>
      <c r="AW101">
        <v>0.82378854625550602</v>
      </c>
      <c r="AX101" t="s">
        <v>266</v>
      </c>
      <c r="AY101">
        <v>0.84929757343550405</v>
      </c>
      <c r="AZ101" t="s">
        <v>306</v>
      </c>
      <c r="BA101">
        <v>1.23522595596755</v>
      </c>
      <c r="BB101" t="s">
        <v>272</v>
      </c>
      <c r="BC101">
        <v>0.90047393364928896</v>
      </c>
      <c r="BD101" t="s">
        <v>262</v>
      </c>
      <c r="BE101">
        <v>1.0860927152317801</v>
      </c>
      <c r="BF101" t="s">
        <v>266</v>
      </c>
      <c r="BG101">
        <v>1.77659574468085</v>
      </c>
      <c r="BH101" t="s">
        <v>288</v>
      </c>
      <c r="BI101">
        <v>0.901935483870967</v>
      </c>
      <c r="BJ101" t="s">
        <v>350</v>
      </c>
      <c r="BK101">
        <v>1.2342465753424601</v>
      </c>
      <c r="BL101" t="s">
        <v>294</v>
      </c>
      <c r="BM101">
        <v>0.93981481481481399</v>
      </c>
      <c r="BN101" t="s">
        <v>350</v>
      </c>
      <c r="BO101">
        <v>1.07036535859269</v>
      </c>
      <c r="BP101" t="s">
        <v>302</v>
      </c>
      <c r="BQ101">
        <v>1.02992518703241</v>
      </c>
      <c r="BR101" t="s">
        <v>326</v>
      </c>
      <c r="BS101">
        <v>0.88432835820895495</v>
      </c>
      <c r="BT101" t="s">
        <v>294</v>
      </c>
      <c r="BU101">
        <v>1.06407766990291</v>
      </c>
      <c r="BV101" t="s">
        <v>294</v>
      </c>
      <c r="BW101">
        <v>1.0036496350364901</v>
      </c>
    </row>
    <row r="102" spans="1:75" x14ac:dyDescent="0.4">
      <c r="A102">
        <v>100</v>
      </c>
      <c r="B102" t="s">
        <v>196</v>
      </c>
      <c r="C102">
        <v>1.1384605566502</v>
      </c>
      <c r="D102" t="s">
        <v>261</v>
      </c>
      <c r="E102">
        <v>0.84876103674166903</v>
      </c>
      <c r="F102" t="s">
        <v>256</v>
      </c>
      <c r="G102">
        <v>0.93023255813953398</v>
      </c>
      <c r="H102" t="s">
        <v>266</v>
      </c>
      <c r="I102">
        <v>0.955696202531645</v>
      </c>
      <c r="J102" t="s">
        <v>196</v>
      </c>
      <c r="K102">
        <v>1.38194466949692</v>
      </c>
      <c r="L102" t="s">
        <v>204</v>
      </c>
      <c r="M102">
        <v>0.78284182305630001</v>
      </c>
      <c r="N102" t="s">
        <v>281</v>
      </c>
      <c r="O102">
        <v>0.920208152645273</v>
      </c>
      <c r="P102" t="s">
        <v>270</v>
      </c>
      <c r="Q102">
        <v>0.811328811856317</v>
      </c>
      <c r="R102" t="s">
        <v>266</v>
      </c>
      <c r="S102">
        <v>1.0826873385012901</v>
      </c>
      <c r="T102" t="s">
        <v>201</v>
      </c>
      <c r="U102">
        <v>1.5206657939031201</v>
      </c>
      <c r="V102" t="s">
        <v>279</v>
      </c>
      <c r="W102">
        <v>0.95652173913043403</v>
      </c>
      <c r="X102" t="s">
        <v>261</v>
      </c>
      <c r="Y102">
        <v>0.96635262449528903</v>
      </c>
      <c r="Z102" t="s">
        <v>277</v>
      </c>
      <c r="AA102">
        <v>1.8777943368107299</v>
      </c>
      <c r="AB102" t="s">
        <v>292</v>
      </c>
      <c r="AC102">
        <v>0.96614268440145101</v>
      </c>
      <c r="AD102" t="s">
        <v>292</v>
      </c>
      <c r="AE102">
        <v>0.77471839799749598</v>
      </c>
      <c r="AF102" t="s">
        <v>294</v>
      </c>
      <c r="AG102">
        <v>1.1837524177949701</v>
      </c>
      <c r="AH102" t="s">
        <v>298</v>
      </c>
      <c r="AI102">
        <v>0.90046296296296202</v>
      </c>
      <c r="AJ102" t="s">
        <v>204</v>
      </c>
      <c r="AK102">
        <v>1.17879161528976</v>
      </c>
      <c r="AL102" t="s">
        <v>281</v>
      </c>
      <c r="AM102">
        <v>1.39853300733496</v>
      </c>
      <c r="AN102" t="s">
        <v>281</v>
      </c>
      <c r="AO102">
        <v>1.1153846153846101</v>
      </c>
      <c r="AP102" t="s">
        <v>204</v>
      </c>
      <c r="AQ102">
        <v>1.20736196319018</v>
      </c>
      <c r="AR102" t="s">
        <v>266</v>
      </c>
      <c r="AS102">
        <v>1.0874999999999999</v>
      </c>
      <c r="AT102" t="s">
        <v>293</v>
      </c>
      <c r="AU102">
        <v>0.82507288629737596</v>
      </c>
      <c r="AV102" t="s">
        <v>266</v>
      </c>
      <c r="AW102">
        <v>0.95487804878048699</v>
      </c>
      <c r="AX102" t="s">
        <v>264</v>
      </c>
      <c r="AY102">
        <v>1.0175644028102999</v>
      </c>
      <c r="AZ102" t="s">
        <v>204</v>
      </c>
      <c r="BA102">
        <v>0.85787671232876705</v>
      </c>
      <c r="BB102" t="s">
        <v>276</v>
      </c>
      <c r="BC102">
        <v>1.2951511431640299</v>
      </c>
      <c r="BD102" t="s">
        <v>265</v>
      </c>
      <c r="BE102">
        <v>1.260663507109</v>
      </c>
      <c r="BF102" t="s">
        <v>264</v>
      </c>
      <c r="BG102">
        <v>1.34272300469483</v>
      </c>
      <c r="BH102" t="s">
        <v>294</v>
      </c>
      <c r="BI102">
        <v>1.13105413105413</v>
      </c>
      <c r="BJ102" t="s">
        <v>226</v>
      </c>
      <c r="BK102">
        <v>0.99015611876883503</v>
      </c>
      <c r="BL102" t="s">
        <v>350</v>
      </c>
      <c r="BM102">
        <v>0.82019977802441701</v>
      </c>
      <c r="BN102" t="s">
        <v>226</v>
      </c>
      <c r="BO102">
        <v>1.0631123887688001</v>
      </c>
      <c r="BP102" t="s">
        <v>229</v>
      </c>
      <c r="BQ102">
        <v>1.0733752620545001</v>
      </c>
      <c r="BR102" t="s">
        <v>281</v>
      </c>
      <c r="BS102">
        <v>1.04881656804733</v>
      </c>
      <c r="BT102" t="s">
        <v>224</v>
      </c>
      <c r="BU102">
        <v>1.10079051383399</v>
      </c>
      <c r="BV102" t="s">
        <v>302</v>
      </c>
      <c r="BW102">
        <v>1.07133917396745</v>
      </c>
    </row>
    <row r="103" spans="1:75" x14ac:dyDescent="0.4">
      <c r="A103">
        <v>101</v>
      </c>
      <c r="B103" t="s">
        <v>271</v>
      </c>
      <c r="C103">
        <v>1.32323232323232</v>
      </c>
      <c r="D103" t="s">
        <v>262</v>
      </c>
      <c r="E103">
        <v>0.77857142857142803</v>
      </c>
      <c r="F103" t="s">
        <v>261</v>
      </c>
      <c r="G103">
        <v>0.830872483221476</v>
      </c>
      <c r="H103" t="s">
        <v>264</v>
      </c>
      <c r="I103">
        <v>1.3618275607958701</v>
      </c>
      <c r="J103" t="s">
        <v>271</v>
      </c>
      <c r="K103">
        <v>1.24839124839124</v>
      </c>
      <c r="L103" t="s">
        <v>208</v>
      </c>
      <c r="M103">
        <v>1.40816326530612</v>
      </c>
      <c r="N103" t="s">
        <v>220</v>
      </c>
      <c r="O103">
        <v>1.1627620221948201</v>
      </c>
      <c r="P103" t="s">
        <v>266</v>
      </c>
      <c r="Q103">
        <v>0.91597633136094603</v>
      </c>
      <c r="R103" t="s">
        <v>293</v>
      </c>
      <c r="S103">
        <v>1.12544169611307</v>
      </c>
      <c r="T103" t="s">
        <v>293</v>
      </c>
      <c r="U103">
        <v>1.04552590266875</v>
      </c>
      <c r="V103" t="s">
        <v>272</v>
      </c>
      <c r="W103">
        <v>1.1024691358024601</v>
      </c>
      <c r="X103" t="s">
        <v>262</v>
      </c>
      <c r="Y103">
        <v>0.97950819672131095</v>
      </c>
      <c r="Z103" t="s">
        <v>281</v>
      </c>
      <c r="AA103">
        <v>0.870488322717622</v>
      </c>
      <c r="AB103" t="s">
        <v>284</v>
      </c>
      <c r="AC103">
        <v>0.62868654311039396</v>
      </c>
      <c r="AD103" t="s">
        <v>286</v>
      </c>
      <c r="AE103">
        <v>0.934306569343065</v>
      </c>
      <c r="AF103" t="s">
        <v>313</v>
      </c>
      <c r="AG103">
        <v>1.0931506849315</v>
      </c>
      <c r="AH103" t="s">
        <v>220</v>
      </c>
      <c r="AI103">
        <v>0.95797280593325096</v>
      </c>
      <c r="AJ103" t="s">
        <v>301</v>
      </c>
      <c r="AK103">
        <v>1.14859437751004</v>
      </c>
      <c r="AL103" t="s">
        <v>220</v>
      </c>
      <c r="AM103">
        <v>1.0358851674641101</v>
      </c>
      <c r="AN103" t="s">
        <v>220</v>
      </c>
      <c r="AO103">
        <v>1.0023094688221701</v>
      </c>
      <c r="AP103" t="s">
        <v>277</v>
      </c>
      <c r="AQ103">
        <v>1.5172786177105799</v>
      </c>
      <c r="AR103" t="s">
        <v>201</v>
      </c>
      <c r="AS103">
        <v>1.41227545962667</v>
      </c>
      <c r="AT103" t="s">
        <v>291</v>
      </c>
      <c r="AU103">
        <v>1.318407960199</v>
      </c>
      <c r="AV103" t="s">
        <v>264</v>
      </c>
      <c r="AW103">
        <v>0.92826086956521703</v>
      </c>
      <c r="AX103" t="s">
        <v>293</v>
      </c>
      <c r="AY103">
        <v>1.1763698630136901</v>
      </c>
      <c r="AZ103" t="s">
        <v>292</v>
      </c>
      <c r="BA103">
        <v>1.00456621004566</v>
      </c>
      <c r="BB103" t="s">
        <v>204</v>
      </c>
      <c r="BC103">
        <v>0.89421157684630703</v>
      </c>
      <c r="BD103" t="s">
        <v>197</v>
      </c>
      <c r="BE103">
        <v>1.0186567164179099</v>
      </c>
      <c r="BF103" t="s">
        <v>274</v>
      </c>
      <c r="BG103">
        <v>1.06841505131128</v>
      </c>
      <c r="BH103" t="s">
        <v>226</v>
      </c>
      <c r="BI103">
        <v>0.70385116926019298</v>
      </c>
      <c r="BJ103" t="s">
        <v>302</v>
      </c>
      <c r="BK103">
        <v>0.980530973451327</v>
      </c>
      <c r="BL103" t="s">
        <v>226</v>
      </c>
      <c r="BM103">
        <v>1.1368642957825501</v>
      </c>
      <c r="BN103" t="s">
        <v>302</v>
      </c>
      <c r="BO103">
        <v>0.95023696682464398</v>
      </c>
      <c r="BP103" t="s">
        <v>240</v>
      </c>
      <c r="BQ103">
        <v>0.892747701736465</v>
      </c>
      <c r="BR103" t="s">
        <v>288</v>
      </c>
      <c r="BS103">
        <v>0.86462450592885298</v>
      </c>
      <c r="BT103" t="s">
        <v>226</v>
      </c>
      <c r="BU103">
        <v>1.15845855087227</v>
      </c>
      <c r="BV103" t="s">
        <v>309</v>
      </c>
      <c r="BW103">
        <v>1.0893665158371</v>
      </c>
    </row>
    <row r="104" spans="1:75" x14ac:dyDescent="0.4">
      <c r="A104">
        <v>102</v>
      </c>
      <c r="B104" t="s">
        <v>256</v>
      </c>
      <c r="C104">
        <v>1.0440067057837299</v>
      </c>
      <c r="D104" t="s">
        <v>270</v>
      </c>
      <c r="E104">
        <v>0.48993202238757899</v>
      </c>
      <c r="F104" t="s">
        <v>262</v>
      </c>
      <c r="G104">
        <v>0.652293577981651</v>
      </c>
      <c r="H104" t="s">
        <v>293</v>
      </c>
      <c r="I104">
        <v>0.93516209476309198</v>
      </c>
      <c r="J104" t="s">
        <v>192</v>
      </c>
      <c r="K104">
        <v>1.6098024090666301</v>
      </c>
      <c r="L104" t="s">
        <v>299</v>
      </c>
      <c r="M104">
        <v>0.81375358166189105</v>
      </c>
      <c r="N104" t="s">
        <v>294</v>
      </c>
      <c r="O104">
        <v>0.85806451612903201</v>
      </c>
      <c r="P104" t="s">
        <v>293</v>
      </c>
      <c r="Q104">
        <v>1.0500927643784701</v>
      </c>
      <c r="R104" t="s">
        <v>297</v>
      </c>
      <c r="S104">
        <v>0.88048780487804801</v>
      </c>
      <c r="T104" t="s">
        <v>297</v>
      </c>
      <c r="U104">
        <v>0.94182825484764499</v>
      </c>
      <c r="V104" t="s">
        <v>306</v>
      </c>
      <c r="W104">
        <v>1.17077464788732</v>
      </c>
      <c r="X104" t="s">
        <v>266</v>
      </c>
      <c r="Y104">
        <v>1.1596958174904901</v>
      </c>
      <c r="Z104" t="s">
        <v>220</v>
      </c>
      <c r="AA104">
        <v>1.03869407496977</v>
      </c>
      <c r="AB104" t="s">
        <v>301</v>
      </c>
      <c r="AC104">
        <v>1.12380952380952</v>
      </c>
      <c r="AD104" t="s">
        <v>312</v>
      </c>
      <c r="AE104">
        <v>1.1974110032362399</v>
      </c>
      <c r="AF104" t="s">
        <v>321</v>
      </c>
      <c r="AG104">
        <v>0.97021276595744599</v>
      </c>
      <c r="AH104" t="s">
        <v>296</v>
      </c>
      <c r="AI104">
        <v>0.96356014188971295</v>
      </c>
      <c r="AJ104" t="s">
        <v>298</v>
      </c>
      <c r="AK104">
        <v>1.1722365038560401</v>
      </c>
      <c r="AL104" t="s">
        <v>288</v>
      </c>
      <c r="AM104">
        <v>1.3037037037037</v>
      </c>
      <c r="AN104" t="s">
        <v>294</v>
      </c>
      <c r="AO104">
        <v>0.89837398373983701</v>
      </c>
      <c r="AP104" t="s">
        <v>286</v>
      </c>
      <c r="AQ104">
        <v>1.31850353892821</v>
      </c>
      <c r="AR104" t="s">
        <v>280</v>
      </c>
      <c r="AS104">
        <v>0.93384615384615299</v>
      </c>
      <c r="AT104" t="s">
        <v>272</v>
      </c>
      <c r="AU104">
        <v>0.97250000000000003</v>
      </c>
      <c r="AV104" t="s">
        <v>293</v>
      </c>
      <c r="AW104">
        <v>1.0318021201413401</v>
      </c>
      <c r="AX104" t="s">
        <v>272</v>
      </c>
      <c r="AY104">
        <v>1.0861618798955599</v>
      </c>
      <c r="AZ104" t="s">
        <v>284</v>
      </c>
      <c r="BA104">
        <v>0.94380853277835497</v>
      </c>
      <c r="BB104" t="s">
        <v>292</v>
      </c>
      <c r="BC104">
        <v>1.5454545454545401</v>
      </c>
      <c r="BD104" t="s">
        <v>266</v>
      </c>
      <c r="BE104">
        <v>1.1944091486658099</v>
      </c>
      <c r="BF104" t="s">
        <v>272</v>
      </c>
      <c r="BG104">
        <v>1.13801452784503</v>
      </c>
      <c r="BH104" t="s">
        <v>302</v>
      </c>
      <c r="BI104">
        <v>1.2163616792249701</v>
      </c>
      <c r="BJ104" t="s">
        <v>229</v>
      </c>
      <c r="BK104">
        <v>1.37190082644628</v>
      </c>
      <c r="BL104" t="s">
        <v>302</v>
      </c>
      <c r="BM104">
        <v>0.76173285198555896</v>
      </c>
      <c r="BN104" t="s">
        <v>229</v>
      </c>
      <c r="BO104">
        <v>0.99582463465553195</v>
      </c>
      <c r="BP104" t="s">
        <v>235</v>
      </c>
      <c r="BQ104">
        <v>1.0147342995169</v>
      </c>
      <c r="BR104" t="s">
        <v>294</v>
      </c>
      <c r="BS104">
        <v>0.92960288808664204</v>
      </c>
      <c r="BT104" t="s">
        <v>302</v>
      </c>
      <c r="BU104">
        <v>0.98036809815950898</v>
      </c>
      <c r="BV104" t="s">
        <v>229</v>
      </c>
      <c r="BW104">
        <v>1.17554240631163</v>
      </c>
    </row>
    <row r="105" spans="1:75" x14ac:dyDescent="0.4">
      <c r="A105">
        <v>103</v>
      </c>
      <c r="B105" t="s">
        <v>261</v>
      </c>
      <c r="C105">
        <v>0.93826830571886599</v>
      </c>
      <c r="D105" t="s">
        <v>197</v>
      </c>
      <c r="E105">
        <v>1.0451693851944699</v>
      </c>
      <c r="F105" t="s">
        <v>270</v>
      </c>
      <c r="G105">
        <v>0.40383857836915099</v>
      </c>
      <c r="H105" t="s">
        <v>272</v>
      </c>
      <c r="I105">
        <v>1.0049019607843099</v>
      </c>
      <c r="J105" t="s">
        <v>256</v>
      </c>
      <c r="K105">
        <v>1.0265625</v>
      </c>
      <c r="L105" t="s">
        <v>281</v>
      </c>
      <c r="M105">
        <v>1.03687050359712</v>
      </c>
      <c r="N105" t="s">
        <v>304</v>
      </c>
      <c r="O105">
        <v>1.2893462469733601</v>
      </c>
      <c r="P105" t="s">
        <v>297</v>
      </c>
      <c r="Q105">
        <v>0.97387173396674498</v>
      </c>
      <c r="R105" t="s">
        <v>279</v>
      </c>
      <c r="S105">
        <v>1.0884615384615299</v>
      </c>
      <c r="T105" t="s">
        <v>279</v>
      </c>
      <c r="U105">
        <v>0.97526501766784401</v>
      </c>
      <c r="V105" t="s">
        <v>204</v>
      </c>
      <c r="W105">
        <v>1.38055555555555</v>
      </c>
      <c r="X105" t="s">
        <v>201</v>
      </c>
      <c r="Y105">
        <v>0.89883203928595101</v>
      </c>
      <c r="Z105" t="s">
        <v>296</v>
      </c>
      <c r="AA105">
        <v>0.90350325152087196</v>
      </c>
      <c r="AB105" t="s">
        <v>281</v>
      </c>
      <c r="AC105">
        <v>0.92073170731707299</v>
      </c>
      <c r="AD105" t="s">
        <v>208</v>
      </c>
      <c r="AE105">
        <v>1.5796703296703201</v>
      </c>
      <c r="AF105" t="s">
        <v>224</v>
      </c>
      <c r="AG105">
        <v>1.02739726027397</v>
      </c>
      <c r="AH105" t="s">
        <v>294</v>
      </c>
      <c r="AI105">
        <v>0.828431372549019</v>
      </c>
      <c r="AJ105" t="s">
        <v>220</v>
      </c>
      <c r="AK105">
        <v>1.0787096774193501</v>
      </c>
      <c r="AL105" t="s">
        <v>294</v>
      </c>
      <c r="AM105">
        <v>0.97233201581027595</v>
      </c>
      <c r="AN105" t="s">
        <v>224</v>
      </c>
      <c r="AO105">
        <v>1.0925196850393699</v>
      </c>
      <c r="AP105" t="s">
        <v>281</v>
      </c>
      <c r="AQ105">
        <v>1.1293103448275801</v>
      </c>
      <c r="AR105" t="s">
        <v>293</v>
      </c>
      <c r="AS105">
        <v>0.80327868852458995</v>
      </c>
      <c r="AT105" t="s">
        <v>276</v>
      </c>
      <c r="AU105">
        <v>0.99563375410686406</v>
      </c>
      <c r="AV105" t="s">
        <v>272</v>
      </c>
      <c r="AW105">
        <v>0.98457583547557803</v>
      </c>
      <c r="AX105" t="s">
        <v>276</v>
      </c>
      <c r="AY105">
        <v>1.0838037179197699</v>
      </c>
      <c r="AZ105" t="s">
        <v>208</v>
      </c>
      <c r="BA105">
        <v>1.15300546448087</v>
      </c>
      <c r="BB105" t="s">
        <v>284</v>
      </c>
      <c r="BC105">
        <v>0.84674751929437697</v>
      </c>
      <c r="BD105" t="s">
        <v>264</v>
      </c>
      <c r="BE105">
        <v>0.97706422018348604</v>
      </c>
      <c r="BF105" t="s">
        <v>204</v>
      </c>
      <c r="BG105">
        <v>1.2678386763185101</v>
      </c>
      <c r="BH105" t="s">
        <v>229</v>
      </c>
      <c r="BI105">
        <v>0.952755905511811</v>
      </c>
      <c r="BJ105" t="s">
        <v>240</v>
      </c>
      <c r="BK105">
        <v>0.93145654834761304</v>
      </c>
      <c r="BL105" t="s">
        <v>240</v>
      </c>
      <c r="BM105">
        <v>1.19973718791064</v>
      </c>
      <c r="BN105" t="s">
        <v>240</v>
      </c>
      <c r="BO105">
        <v>1.0722891566265</v>
      </c>
      <c r="BP105" t="s">
        <v>258</v>
      </c>
      <c r="BQ105">
        <v>1.05980528511821</v>
      </c>
      <c r="BR105" t="s">
        <v>350</v>
      </c>
      <c r="BS105">
        <v>0.93076923076923002</v>
      </c>
      <c r="BT105" t="s">
        <v>309</v>
      </c>
      <c r="BU105">
        <v>0.99325842696629196</v>
      </c>
      <c r="BV105" t="s">
        <v>258</v>
      </c>
      <c r="BW105">
        <v>1.3904109589041</v>
      </c>
    </row>
    <row r="106" spans="1:75" x14ac:dyDescent="0.4">
      <c r="A106">
        <v>104</v>
      </c>
      <c r="B106" t="s">
        <v>262</v>
      </c>
      <c r="C106">
        <v>0.89743589743589702</v>
      </c>
      <c r="D106" t="s">
        <v>305</v>
      </c>
      <c r="E106">
        <v>0.48998159161710497</v>
      </c>
      <c r="F106" t="s">
        <v>197</v>
      </c>
      <c r="G106">
        <v>0.713085234093637</v>
      </c>
      <c r="H106" t="s">
        <v>276</v>
      </c>
      <c r="I106">
        <v>0.78769942377797797</v>
      </c>
      <c r="J106" t="s">
        <v>261</v>
      </c>
      <c r="K106">
        <v>1.2732585320243099</v>
      </c>
      <c r="L106" t="s">
        <v>220</v>
      </c>
      <c r="M106">
        <v>1.0546163849154699</v>
      </c>
      <c r="N106" t="s">
        <v>219</v>
      </c>
      <c r="O106">
        <v>0.97041420118343102</v>
      </c>
      <c r="P106" t="s">
        <v>279</v>
      </c>
      <c r="Q106">
        <v>0.95588235294117596</v>
      </c>
      <c r="R106" t="s">
        <v>272</v>
      </c>
      <c r="S106">
        <v>0.98069498069497996</v>
      </c>
      <c r="T106" t="s">
        <v>272</v>
      </c>
      <c r="U106">
        <v>1.0629921259842501</v>
      </c>
      <c r="V106" t="s">
        <v>208</v>
      </c>
      <c r="W106">
        <v>1.2362804878048701</v>
      </c>
      <c r="X106" t="s">
        <v>297</v>
      </c>
      <c r="Y106">
        <v>0.92168674698795106</v>
      </c>
      <c r="Z106" t="s">
        <v>288</v>
      </c>
      <c r="AA106">
        <v>1.47708333333333</v>
      </c>
      <c r="AB106" t="s">
        <v>220</v>
      </c>
      <c r="AC106">
        <v>0.95343422584400395</v>
      </c>
      <c r="AD106" t="s">
        <v>301</v>
      </c>
      <c r="AE106">
        <v>1.16525423728813</v>
      </c>
      <c r="AF106" t="s">
        <v>302</v>
      </c>
      <c r="AG106">
        <v>1.28799149840595</v>
      </c>
      <c r="AH106" t="s">
        <v>313</v>
      </c>
      <c r="AI106">
        <v>0.94611528822055102</v>
      </c>
      <c r="AJ106" t="s">
        <v>296</v>
      </c>
      <c r="AK106">
        <v>1.1452476572958501</v>
      </c>
      <c r="AL106" t="s">
        <v>313</v>
      </c>
      <c r="AM106">
        <v>1.25791855203619</v>
      </c>
      <c r="AN106" t="s">
        <v>226</v>
      </c>
      <c r="AO106">
        <v>1.01658784272346</v>
      </c>
      <c r="AP106" t="s">
        <v>220</v>
      </c>
      <c r="AQ106">
        <v>1.3306451612903201</v>
      </c>
      <c r="AR106" t="s">
        <v>291</v>
      </c>
      <c r="AS106">
        <v>1.0441558441558401</v>
      </c>
      <c r="AT106" t="s">
        <v>204</v>
      </c>
      <c r="AU106">
        <v>1.0277777777777699</v>
      </c>
      <c r="AV106" t="s">
        <v>276</v>
      </c>
      <c r="AW106">
        <v>1.15383613390647</v>
      </c>
      <c r="AX106" t="s">
        <v>204</v>
      </c>
      <c r="AY106">
        <v>1.17034068136272</v>
      </c>
      <c r="AZ106" t="s">
        <v>288</v>
      </c>
      <c r="BA106">
        <v>0.95244755244755197</v>
      </c>
      <c r="BB106" t="s">
        <v>286</v>
      </c>
      <c r="BC106">
        <v>0.86062246278754995</v>
      </c>
      <c r="BD106" t="s">
        <v>293</v>
      </c>
      <c r="BE106">
        <v>1.27027027027027</v>
      </c>
      <c r="BF106" t="s">
        <v>284</v>
      </c>
      <c r="BG106">
        <v>0.77200000000000002</v>
      </c>
      <c r="BH106" t="s">
        <v>325</v>
      </c>
      <c r="BI106">
        <v>0.83832335329341301</v>
      </c>
      <c r="BJ106" t="s">
        <v>258</v>
      </c>
      <c r="BK106">
        <v>1.16697588126159</v>
      </c>
      <c r="BL106" t="s">
        <v>258</v>
      </c>
      <c r="BM106">
        <v>1.01271860095389</v>
      </c>
      <c r="BN106" t="s">
        <v>235</v>
      </c>
      <c r="BO106">
        <v>0.90859212114561605</v>
      </c>
      <c r="BP106" t="s">
        <v>316</v>
      </c>
      <c r="BQ106">
        <v>1.2804154302670601</v>
      </c>
      <c r="BR106" t="s">
        <v>226</v>
      </c>
      <c r="BS106">
        <v>1.0327204583001099</v>
      </c>
      <c r="BT106" t="s">
        <v>229</v>
      </c>
      <c r="BU106">
        <v>1.09032258064516</v>
      </c>
      <c r="BV106" t="s">
        <v>316</v>
      </c>
      <c r="BW106">
        <v>0.82621082621082598</v>
      </c>
    </row>
    <row r="107" spans="1:75" x14ac:dyDescent="0.4">
      <c r="A107">
        <v>105</v>
      </c>
      <c r="B107" t="s">
        <v>197</v>
      </c>
      <c r="C107">
        <v>1.2003012048192701</v>
      </c>
      <c r="D107" t="s">
        <v>266</v>
      </c>
      <c r="E107">
        <v>0.59226519337016503</v>
      </c>
      <c r="F107" t="s">
        <v>266</v>
      </c>
      <c r="G107">
        <v>0.58955223880596996</v>
      </c>
      <c r="H107" t="s">
        <v>269</v>
      </c>
      <c r="I107">
        <v>1.34565217391304</v>
      </c>
      <c r="J107" t="s">
        <v>195</v>
      </c>
      <c r="K107">
        <v>1.68952837729816</v>
      </c>
      <c r="L107" t="s">
        <v>294</v>
      </c>
      <c r="M107">
        <v>1.17044228694714</v>
      </c>
      <c r="N107" t="s">
        <v>336</v>
      </c>
      <c r="O107">
        <v>0.913274336283185</v>
      </c>
      <c r="P107" t="s">
        <v>272</v>
      </c>
      <c r="Q107">
        <v>0.96762141967621396</v>
      </c>
      <c r="R107" t="s">
        <v>319</v>
      </c>
      <c r="S107">
        <v>0.81450414757954603</v>
      </c>
      <c r="T107" t="s">
        <v>306</v>
      </c>
      <c r="U107">
        <v>0.925081433224755</v>
      </c>
      <c r="V107" t="s">
        <v>281</v>
      </c>
      <c r="W107">
        <v>0.96392333709131905</v>
      </c>
      <c r="X107" t="s">
        <v>291</v>
      </c>
      <c r="Y107">
        <v>1.01591511936339</v>
      </c>
      <c r="Z107" t="s">
        <v>294</v>
      </c>
      <c r="AA107">
        <v>0.80704041720990805</v>
      </c>
      <c r="AB107" t="s">
        <v>296</v>
      </c>
      <c r="AC107">
        <v>0.86835384258184301</v>
      </c>
      <c r="AD107" t="s">
        <v>220</v>
      </c>
      <c r="AE107">
        <v>1.0219780219780199</v>
      </c>
      <c r="AF107" t="s">
        <v>307</v>
      </c>
      <c r="AG107">
        <v>1.2390109890109799</v>
      </c>
      <c r="AH107" t="s">
        <v>321</v>
      </c>
      <c r="AI107">
        <v>0.64473684210526305</v>
      </c>
      <c r="AJ107" t="s">
        <v>288</v>
      </c>
      <c r="AK107">
        <v>1.09756097560975</v>
      </c>
      <c r="AL107" t="s">
        <v>224</v>
      </c>
      <c r="AM107">
        <v>0.96761904761904705</v>
      </c>
      <c r="AN107" t="s">
        <v>302</v>
      </c>
      <c r="AO107">
        <v>1.0065445026177999</v>
      </c>
      <c r="AP107" t="s">
        <v>224</v>
      </c>
      <c r="AQ107">
        <v>1.2018018018018</v>
      </c>
      <c r="AR107" t="s">
        <v>272</v>
      </c>
      <c r="AS107">
        <v>1.0752688172042999</v>
      </c>
      <c r="AT107" t="s">
        <v>286</v>
      </c>
      <c r="AU107">
        <v>1.0831889081455801</v>
      </c>
      <c r="AV107" t="s">
        <v>204</v>
      </c>
      <c r="AW107">
        <v>0.96332046332046295</v>
      </c>
      <c r="AX107" t="s">
        <v>292</v>
      </c>
      <c r="AY107">
        <v>1.2217573221757301</v>
      </c>
      <c r="AZ107" t="s">
        <v>294</v>
      </c>
      <c r="BA107">
        <v>0.99797160243407701</v>
      </c>
      <c r="BB107" t="s">
        <v>299</v>
      </c>
      <c r="BC107">
        <v>1.1347517730496399</v>
      </c>
      <c r="BD107" t="s">
        <v>272</v>
      </c>
      <c r="BE107">
        <v>1.0868421052631501</v>
      </c>
      <c r="BF107" t="s">
        <v>277</v>
      </c>
      <c r="BG107">
        <v>0.78996865203761701</v>
      </c>
      <c r="BH107" t="s">
        <v>235</v>
      </c>
      <c r="BI107">
        <v>0.62847579814624099</v>
      </c>
      <c r="BJ107" t="s">
        <v>316</v>
      </c>
      <c r="BK107">
        <v>1.0034423407917299</v>
      </c>
      <c r="BL107" t="s">
        <v>316</v>
      </c>
      <c r="BM107">
        <v>0.96912521440823296</v>
      </c>
      <c r="BN107" t="s">
        <v>258</v>
      </c>
      <c r="BO107">
        <v>1.1287284144426999</v>
      </c>
      <c r="BP107" t="s">
        <v>339</v>
      </c>
      <c r="BQ107">
        <v>1.0071794871794799</v>
      </c>
      <c r="BR107" t="s">
        <v>302</v>
      </c>
      <c r="BS107">
        <v>0.98668280871670699</v>
      </c>
      <c r="BT107" t="s">
        <v>240</v>
      </c>
      <c r="BU107">
        <v>1.2105978260869501</v>
      </c>
      <c r="BV107" t="s">
        <v>320</v>
      </c>
      <c r="BW107">
        <v>1.22857142857142</v>
      </c>
    </row>
    <row r="108" spans="1:75" x14ac:dyDescent="0.4">
      <c r="A108">
        <v>106</v>
      </c>
      <c r="B108" t="s">
        <v>305</v>
      </c>
      <c r="C108">
        <v>0.95053502927518596</v>
      </c>
      <c r="D108" t="s">
        <v>201</v>
      </c>
      <c r="E108">
        <v>0.68360660977402699</v>
      </c>
      <c r="F108" t="s">
        <v>201</v>
      </c>
      <c r="G108">
        <v>0.52272302225546996</v>
      </c>
      <c r="H108" t="s">
        <v>208</v>
      </c>
      <c r="I108">
        <v>0.87656250000000002</v>
      </c>
      <c r="J108" t="s">
        <v>197</v>
      </c>
      <c r="K108">
        <v>1.8</v>
      </c>
      <c r="L108" t="s">
        <v>304</v>
      </c>
      <c r="M108">
        <v>1.1253405994550401</v>
      </c>
      <c r="N108" t="s">
        <v>313</v>
      </c>
      <c r="O108">
        <v>0.80269058295964102</v>
      </c>
      <c r="P108" t="s">
        <v>319</v>
      </c>
      <c r="Q108">
        <v>1.1796837915799401</v>
      </c>
      <c r="R108" t="s">
        <v>306</v>
      </c>
      <c r="S108">
        <v>1.1043165467625899</v>
      </c>
      <c r="T108" t="s">
        <v>204</v>
      </c>
      <c r="U108">
        <v>1.1145510835913299</v>
      </c>
      <c r="V108" t="s">
        <v>220</v>
      </c>
      <c r="W108">
        <v>1.0076169749727899</v>
      </c>
      <c r="X108" t="s">
        <v>279</v>
      </c>
      <c r="Y108">
        <v>0.93181818181818099</v>
      </c>
      <c r="Z108" t="s">
        <v>313</v>
      </c>
      <c r="AA108">
        <v>1.0151006711409301</v>
      </c>
      <c r="AB108" t="s">
        <v>294</v>
      </c>
      <c r="AC108">
        <v>1.00807754442649</v>
      </c>
      <c r="AD108" t="s">
        <v>296</v>
      </c>
      <c r="AE108">
        <v>0.87299465240641705</v>
      </c>
      <c r="AF108" t="s">
        <v>229</v>
      </c>
      <c r="AG108">
        <v>1.09197651663405</v>
      </c>
      <c r="AH108" t="s">
        <v>224</v>
      </c>
      <c r="AI108">
        <v>0.76416666666666599</v>
      </c>
      <c r="AJ108" t="s">
        <v>294</v>
      </c>
      <c r="AK108">
        <v>0.99802761341222801</v>
      </c>
      <c r="AL108" t="s">
        <v>302</v>
      </c>
      <c r="AM108">
        <v>1.03523035230352</v>
      </c>
      <c r="AN108" t="s">
        <v>229</v>
      </c>
      <c r="AO108">
        <v>1.1916167664670601</v>
      </c>
      <c r="AP108" t="s">
        <v>302</v>
      </c>
      <c r="AQ108">
        <v>1.5084525357607199</v>
      </c>
      <c r="AR108" t="s">
        <v>204</v>
      </c>
      <c r="AS108">
        <v>1.0243902439024299</v>
      </c>
      <c r="AT108" t="s">
        <v>281</v>
      </c>
      <c r="AU108">
        <v>1.3032721468475601</v>
      </c>
      <c r="AV108" t="s">
        <v>292</v>
      </c>
      <c r="AW108">
        <v>0.99583333333333302</v>
      </c>
      <c r="AX108" t="s">
        <v>284</v>
      </c>
      <c r="AY108">
        <v>0.81787234042553103</v>
      </c>
      <c r="AZ108" t="s">
        <v>219</v>
      </c>
      <c r="BA108">
        <v>1.2472527472527399</v>
      </c>
      <c r="BB108" t="s">
        <v>285</v>
      </c>
      <c r="BC108">
        <v>0.83449235048678705</v>
      </c>
      <c r="BD108" t="s">
        <v>306</v>
      </c>
      <c r="BE108">
        <v>1.4982332155477001</v>
      </c>
      <c r="BF108" t="s">
        <v>286</v>
      </c>
      <c r="BG108">
        <v>0.99184782608695599</v>
      </c>
      <c r="BH108" t="s">
        <v>316</v>
      </c>
      <c r="BI108">
        <v>0.84941520467836196</v>
      </c>
      <c r="BJ108" t="s">
        <v>111</v>
      </c>
      <c r="BK108">
        <v>0.78590078328981705</v>
      </c>
      <c r="BL108" t="s">
        <v>111</v>
      </c>
      <c r="BM108">
        <v>0.67940199335548102</v>
      </c>
      <c r="BN108" t="s">
        <v>316</v>
      </c>
      <c r="BO108">
        <v>1.1929203539822999</v>
      </c>
      <c r="BP108" t="s">
        <v>111</v>
      </c>
      <c r="BQ108">
        <v>0.91726251276812998</v>
      </c>
      <c r="BR108" t="s">
        <v>309</v>
      </c>
      <c r="BS108">
        <v>1.1042183622828701</v>
      </c>
      <c r="BT108" t="s">
        <v>235</v>
      </c>
      <c r="BU108">
        <v>1.3493975903614399</v>
      </c>
      <c r="BV108" t="s">
        <v>245</v>
      </c>
      <c r="BW108">
        <v>0.98902606310013697</v>
      </c>
    </row>
    <row r="109" spans="1:75" x14ac:dyDescent="0.4">
      <c r="A109">
        <v>107</v>
      </c>
      <c r="B109" t="s">
        <v>266</v>
      </c>
      <c r="C109">
        <v>0.97732181425485898</v>
      </c>
      <c r="D109" t="s">
        <v>297</v>
      </c>
      <c r="E109">
        <v>0.795053003533568</v>
      </c>
      <c r="F109" t="s">
        <v>297</v>
      </c>
      <c r="G109">
        <v>0.371111111111111</v>
      </c>
      <c r="H109" t="s">
        <v>281</v>
      </c>
      <c r="I109">
        <v>0.97110552763819002</v>
      </c>
      <c r="J109" t="s">
        <v>279</v>
      </c>
      <c r="K109">
        <v>1.2114537444933899</v>
      </c>
      <c r="L109" t="s">
        <v>336</v>
      </c>
      <c r="M109">
        <v>0.95117845117845101</v>
      </c>
      <c r="N109" t="s">
        <v>224</v>
      </c>
      <c r="O109">
        <v>0.82769726247987097</v>
      </c>
      <c r="P109" t="s">
        <v>204</v>
      </c>
      <c r="Q109">
        <v>1.07074569789674</v>
      </c>
      <c r="R109" t="s">
        <v>204</v>
      </c>
      <c r="S109">
        <v>1.15357142857142</v>
      </c>
      <c r="T109" t="s">
        <v>277</v>
      </c>
      <c r="U109">
        <v>1.0398899587345201</v>
      </c>
      <c r="V109" t="s">
        <v>288</v>
      </c>
      <c r="W109">
        <v>1.1183355006501901</v>
      </c>
      <c r="X109" t="s">
        <v>272</v>
      </c>
      <c r="Y109">
        <v>0.94624860022396395</v>
      </c>
      <c r="Z109" t="s">
        <v>224</v>
      </c>
      <c r="AA109">
        <v>1.1076320939334601</v>
      </c>
      <c r="AB109" t="s">
        <v>313</v>
      </c>
      <c r="AC109">
        <v>1.03305785123966</v>
      </c>
      <c r="AD109" t="s">
        <v>294</v>
      </c>
      <c r="AE109">
        <v>0.82852564102564097</v>
      </c>
      <c r="AF109" t="s">
        <v>327</v>
      </c>
      <c r="AG109">
        <v>1.0903614457831301</v>
      </c>
      <c r="AH109" t="s">
        <v>302</v>
      </c>
      <c r="AI109">
        <v>0.69059405940593999</v>
      </c>
      <c r="AJ109" t="s">
        <v>313</v>
      </c>
      <c r="AK109">
        <v>1.17086092715231</v>
      </c>
      <c r="AL109" t="s">
        <v>307</v>
      </c>
      <c r="AM109">
        <v>1.4765525982256</v>
      </c>
      <c r="AN109" t="s">
        <v>327</v>
      </c>
      <c r="AO109">
        <v>1.0331950207468801</v>
      </c>
      <c r="AP109" t="s">
        <v>229</v>
      </c>
      <c r="AQ109">
        <v>0.90703517587939697</v>
      </c>
      <c r="AR109" t="s">
        <v>292</v>
      </c>
      <c r="AS109">
        <v>0.83866666666666601</v>
      </c>
      <c r="AT109" t="s">
        <v>224</v>
      </c>
      <c r="AU109">
        <v>0.90625</v>
      </c>
      <c r="AV109" t="s">
        <v>284</v>
      </c>
      <c r="AW109">
        <v>0.91796875</v>
      </c>
      <c r="AX109" t="s">
        <v>324</v>
      </c>
      <c r="AY109">
        <v>1.57392686804451</v>
      </c>
      <c r="AZ109" t="s">
        <v>224</v>
      </c>
      <c r="BA109">
        <v>0.924193548387096</v>
      </c>
      <c r="BB109" t="s">
        <v>288</v>
      </c>
      <c r="BC109">
        <v>0.82378854625550602</v>
      </c>
      <c r="BD109" t="s">
        <v>204</v>
      </c>
      <c r="BE109">
        <v>1.0792410714285701</v>
      </c>
      <c r="BF109" t="s">
        <v>285</v>
      </c>
      <c r="BG109">
        <v>1.0068493150684901</v>
      </c>
      <c r="BH109" t="s">
        <v>111</v>
      </c>
      <c r="BI109">
        <v>0.86848072562358203</v>
      </c>
      <c r="BJ109" t="s">
        <v>322</v>
      </c>
      <c r="BK109">
        <v>1.1578947368421</v>
      </c>
      <c r="BL109" t="s">
        <v>245</v>
      </c>
      <c r="BM109">
        <v>1.32848232848232</v>
      </c>
      <c r="BN109" t="s">
        <v>322</v>
      </c>
      <c r="BO109">
        <v>0.84566210045662105</v>
      </c>
      <c r="BP109" t="s">
        <v>245</v>
      </c>
      <c r="BQ109">
        <v>0.94366197183098499</v>
      </c>
      <c r="BR109" t="s">
        <v>229</v>
      </c>
      <c r="BS109">
        <v>0.908203125</v>
      </c>
      <c r="BT109" t="s">
        <v>258</v>
      </c>
      <c r="BU109">
        <v>1.17932148626817</v>
      </c>
      <c r="BV109" t="s">
        <v>322</v>
      </c>
      <c r="BW109">
        <v>1.0313901345291401</v>
      </c>
    </row>
    <row r="110" spans="1:75" x14ac:dyDescent="0.4">
      <c r="A110">
        <v>108</v>
      </c>
      <c r="B110" t="s">
        <v>201</v>
      </c>
      <c r="C110">
        <v>1.11147820526484</v>
      </c>
      <c r="D110" t="s">
        <v>291</v>
      </c>
      <c r="E110">
        <v>1.0186915887850401</v>
      </c>
      <c r="F110" t="s">
        <v>291</v>
      </c>
      <c r="G110">
        <v>0.43669724770642199</v>
      </c>
      <c r="H110" t="s">
        <v>220</v>
      </c>
      <c r="I110">
        <v>0.82270408163265296</v>
      </c>
      <c r="J110" t="s">
        <v>272</v>
      </c>
      <c r="K110">
        <v>1.41951219512195</v>
      </c>
      <c r="L110" t="s">
        <v>313</v>
      </c>
      <c r="M110">
        <v>1.06698564593301</v>
      </c>
      <c r="N110" t="s">
        <v>302</v>
      </c>
      <c r="O110">
        <v>0.80861244019138701</v>
      </c>
      <c r="P110" t="s">
        <v>277</v>
      </c>
      <c r="Q110">
        <v>1.1506572295247699</v>
      </c>
      <c r="R110" t="s">
        <v>277</v>
      </c>
      <c r="S110">
        <v>1.27768014059753</v>
      </c>
      <c r="T110" t="s">
        <v>281</v>
      </c>
      <c r="U110">
        <v>0.94161358811040297</v>
      </c>
      <c r="V110" t="s">
        <v>218</v>
      </c>
      <c r="W110">
        <v>1.03045133224578</v>
      </c>
      <c r="X110" t="s">
        <v>306</v>
      </c>
      <c r="Y110">
        <v>1.3624060150375901</v>
      </c>
      <c r="Z110" t="s">
        <v>302</v>
      </c>
      <c r="AA110">
        <v>1.1491228070175401</v>
      </c>
      <c r="AB110" t="s">
        <v>321</v>
      </c>
      <c r="AC110">
        <v>0.818965517241379</v>
      </c>
      <c r="AD110" t="s">
        <v>313</v>
      </c>
      <c r="AE110">
        <v>1.1679999999999999</v>
      </c>
      <c r="AF110" t="s">
        <v>258</v>
      </c>
      <c r="AG110">
        <v>1.38053097345132</v>
      </c>
      <c r="AH110" t="s">
        <v>307</v>
      </c>
      <c r="AI110">
        <v>0.76940133037694003</v>
      </c>
      <c r="AJ110" t="s">
        <v>224</v>
      </c>
      <c r="AK110">
        <v>1.1450381679389301</v>
      </c>
      <c r="AL110" t="s">
        <v>229</v>
      </c>
      <c r="AM110">
        <v>0.799043062200956</v>
      </c>
      <c r="AN110" t="s">
        <v>258</v>
      </c>
      <c r="AO110">
        <v>1.04424778761061</v>
      </c>
      <c r="AP110" t="s">
        <v>327</v>
      </c>
      <c r="AQ110">
        <v>0.97389558232931694</v>
      </c>
      <c r="AR110" t="s">
        <v>286</v>
      </c>
      <c r="AS110">
        <v>0.88496932515337401</v>
      </c>
      <c r="AT110" t="s">
        <v>302</v>
      </c>
      <c r="AU110">
        <v>1.1635687732341999</v>
      </c>
      <c r="AV110" t="s">
        <v>324</v>
      </c>
      <c r="AW110">
        <v>0.94728915662650603</v>
      </c>
      <c r="AX110" t="s">
        <v>286</v>
      </c>
      <c r="AY110">
        <v>1.01931034482758</v>
      </c>
      <c r="AZ110" t="s">
        <v>226</v>
      </c>
      <c r="BA110">
        <v>0.77837712358809197</v>
      </c>
      <c r="BB110" t="s">
        <v>294</v>
      </c>
      <c r="BC110">
        <v>0.91666666666666596</v>
      </c>
      <c r="BD110" t="s">
        <v>284</v>
      </c>
      <c r="BE110">
        <v>1.6276041666666601</v>
      </c>
      <c r="BF110" t="s">
        <v>288</v>
      </c>
      <c r="BG110">
        <v>1.1567164179104401</v>
      </c>
      <c r="BH110" t="s">
        <v>332</v>
      </c>
      <c r="BI110">
        <v>0.83291139240506296</v>
      </c>
      <c r="BJ110" t="s">
        <v>332</v>
      </c>
      <c r="BK110">
        <v>0.92857142857142805</v>
      </c>
      <c r="BL110" t="s">
        <v>322</v>
      </c>
      <c r="BM110">
        <v>0.90495867768594995</v>
      </c>
      <c r="BN110" t="s">
        <v>250</v>
      </c>
      <c r="BO110">
        <v>1.28292682926829</v>
      </c>
      <c r="BP110" t="s">
        <v>322</v>
      </c>
      <c r="BQ110">
        <v>0.98272138228941597</v>
      </c>
      <c r="BR110" t="s">
        <v>315</v>
      </c>
      <c r="BS110">
        <v>0.91638795986622001</v>
      </c>
      <c r="BT110" t="s">
        <v>316</v>
      </c>
      <c r="BU110">
        <v>1.1680532445923399</v>
      </c>
      <c r="BV110" t="s">
        <v>253</v>
      </c>
      <c r="BW110">
        <v>1.00635930047694</v>
      </c>
    </row>
    <row r="111" spans="1:75" x14ac:dyDescent="0.4">
      <c r="A111">
        <v>109</v>
      </c>
      <c r="B111" t="s">
        <v>297</v>
      </c>
      <c r="C111">
        <v>1.0017699115044201</v>
      </c>
      <c r="D111" t="s">
        <v>318</v>
      </c>
      <c r="E111">
        <v>0.89075630252100801</v>
      </c>
      <c r="F111" t="s">
        <v>318</v>
      </c>
      <c r="G111">
        <v>0.490566037735849</v>
      </c>
      <c r="H111" t="s">
        <v>294</v>
      </c>
      <c r="I111">
        <v>0.80113636363636298</v>
      </c>
      <c r="J111" t="s">
        <v>204</v>
      </c>
      <c r="K111">
        <v>1.33214285714285</v>
      </c>
      <c r="L111" t="s">
        <v>224</v>
      </c>
      <c r="M111">
        <v>0.84032476319350402</v>
      </c>
      <c r="N111" t="s">
        <v>229</v>
      </c>
      <c r="O111">
        <v>0.94230769230769196</v>
      </c>
      <c r="P111" t="s">
        <v>208</v>
      </c>
      <c r="Q111">
        <v>1.15047619047619</v>
      </c>
      <c r="R111" t="s">
        <v>208</v>
      </c>
      <c r="S111">
        <v>1.1771523178807899</v>
      </c>
      <c r="T111" t="s">
        <v>220</v>
      </c>
      <c r="U111">
        <v>1.06242774566474</v>
      </c>
      <c r="V111" t="s">
        <v>294</v>
      </c>
      <c r="W111">
        <v>1.14039408866995</v>
      </c>
      <c r="X111" t="s">
        <v>204</v>
      </c>
      <c r="Y111">
        <v>1.0020120724346</v>
      </c>
      <c r="Z111" t="s">
        <v>307</v>
      </c>
      <c r="AA111">
        <v>1.3370473537604399</v>
      </c>
      <c r="AB111" t="s">
        <v>224</v>
      </c>
      <c r="AC111">
        <v>1.2314487632508799</v>
      </c>
      <c r="AD111" t="s">
        <v>224</v>
      </c>
      <c r="AE111">
        <v>0.83787661406025804</v>
      </c>
      <c r="AF111" t="s">
        <v>339</v>
      </c>
      <c r="AG111">
        <v>1.2333333333333301</v>
      </c>
      <c r="AH111" t="s">
        <v>229</v>
      </c>
      <c r="AI111">
        <v>0.74014336917562695</v>
      </c>
      <c r="AJ111" t="s">
        <v>302</v>
      </c>
      <c r="AK111">
        <v>0.88172043010752599</v>
      </c>
      <c r="AL111" t="s">
        <v>327</v>
      </c>
      <c r="AM111">
        <v>1.0663716814159201</v>
      </c>
      <c r="AN111" t="s">
        <v>339</v>
      </c>
      <c r="AO111">
        <v>1.01932367149758</v>
      </c>
      <c r="AP111" t="s">
        <v>258</v>
      </c>
      <c r="AQ111">
        <v>1.16525423728813</v>
      </c>
      <c r="AR111" t="s">
        <v>299</v>
      </c>
      <c r="AS111">
        <v>0.83333333333333304</v>
      </c>
      <c r="AT111" t="s">
        <v>309</v>
      </c>
      <c r="AU111">
        <v>1.0358490566037699</v>
      </c>
      <c r="AV111" t="s">
        <v>286</v>
      </c>
      <c r="AW111">
        <v>1.1599999999999999</v>
      </c>
      <c r="AX111" t="s">
        <v>208</v>
      </c>
      <c r="AY111">
        <v>1.00136798905608</v>
      </c>
      <c r="AZ111" t="s">
        <v>302</v>
      </c>
      <c r="BA111">
        <v>1.1261363636363599</v>
      </c>
      <c r="BB111" t="s">
        <v>219</v>
      </c>
      <c r="BC111">
        <v>1.13876651982378</v>
      </c>
      <c r="BD111" t="s">
        <v>277</v>
      </c>
      <c r="BE111">
        <v>1</v>
      </c>
      <c r="BF111" t="s">
        <v>219</v>
      </c>
      <c r="BG111">
        <v>1.1191489361702101</v>
      </c>
      <c r="BH111" t="s">
        <v>253</v>
      </c>
      <c r="BI111">
        <v>0.98207426376440399</v>
      </c>
      <c r="BJ111" t="s">
        <v>250</v>
      </c>
      <c r="BK111">
        <v>0.89888302732014902</v>
      </c>
      <c r="BL111" t="s">
        <v>332</v>
      </c>
      <c r="BM111">
        <v>0.97381342062193099</v>
      </c>
      <c r="BN111" t="s">
        <v>253</v>
      </c>
      <c r="BO111">
        <v>0.89228295819935599</v>
      </c>
      <c r="BP111" t="s">
        <v>250</v>
      </c>
      <c r="BQ111">
        <v>0.77376425855513298</v>
      </c>
      <c r="BR111" t="s">
        <v>240</v>
      </c>
      <c r="BS111">
        <v>0.84210526315789402</v>
      </c>
      <c r="BT111" t="s">
        <v>322</v>
      </c>
      <c r="BU111">
        <v>0.97238372093023195</v>
      </c>
      <c r="BV111" t="s">
        <v>328</v>
      </c>
      <c r="BW111">
        <v>0.78463792078202699</v>
      </c>
    </row>
    <row r="112" spans="1:75" x14ac:dyDescent="0.4">
      <c r="A112">
        <v>110</v>
      </c>
      <c r="B112" t="s">
        <v>279</v>
      </c>
      <c r="C112">
        <v>1.2270916334661299</v>
      </c>
      <c r="D112" t="s">
        <v>279</v>
      </c>
      <c r="E112">
        <v>1.06493506493506</v>
      </c>
      <c r="F112" t="s">
        <v>272</v>
      </c>
      <c r="G112">
        <v>0.69863013698630105</v>
      </c>
      <c r="H112" t="s">
        <v>304</v>
      </c>
      <c r="I112">
        <v>0.96870554765291605</v>
      </c>
      <c r="J112" t="s">
        <v>269</v>
      </c>
      <c r="K112">
        <v>1.9224555735056501</v>
      </c>
      <c r="L112" t="s">
        <v>302</v>
      </c>
      <c r="M112">
        <v>0.84501347708894803</v>
      </c>
      <c r="N112" t="s">
        <v>315</v>
      </c>
      <c r="O112">
        <v>1.3483146067415701</v>
      </c>
      <c r="P112" t="s">
        <v>281</v>
      </c>
      <c r="Q112">
        <v>1.01790763430725</v>
      </c>
      <c r="R112" t="s">
        <v>281</v>
      </c>
      <c r="S112">
        <v>0.87222222222222201</v>
      </c>
      <c r="T112" t="s">
        <v>288</v>
      </c>
      <c r="U112">
        <v>0.88901734104046204</v>
      </c>
      <c r="V112" t="s">
        <v>336</v>
      </c>
      <c r="W112">
        <v>0.99255121042830496</v>
      </c>
      <c r="X112" t="s">
        <v>284</v>
      </c>
      <c r="Y112">
        <v>1.3221654363051201</v>
      </c>
      <c r="Z112" t="s">
        <v>315</v>
      </c>
      <c r="AA112">
        <v>1.4163934426229501</v>
      </c>
      <c r="AB112" t="s">
        <v>302</v>
      </c>
      <c r="AC112">
        <v>1.0549618320610601</v>
      </c>
      <c r="AD112" t="s">
        <v>302</v>
      </c>
      <c r="AE112">
        <v>0.68089725036179405</v>
      </c>
      <c r="AF112" t="s">
        <v>111</v>
      </c>
      <c r="AG112">
        <v>1.1883536775130501</v>
      </c>
      <c r="AH112" t="s">
        <v>327</v>
      </c>
      <c r="AI112">
        <v>1.24309392265193</v>
      </c>
      <c r="AJ112" t="s">
        <v>307</v>
      </c>
      <c r="AK112">
        <v>1.1368876080691599</v>
      </c>
      <c r="AL112" t="s">
        <v>258</v>
      </c>
      <c r="AM112">
        <v>0.92244897959183603</v>
      </c>
      <c r="AN112" t="s">
        <v>111</v>
      </c>
      <c r="AO112">
        <v>1.2390832114199499</v>
      </c>
      <c r="AP112" t="s">
        <v>339</v>
      </c>
      <c r="AQ112">
        <v>1.3459715639810399</v>
      </c>
      <c r="AR112" t="s">
        <v>281</v>
      </c>
      <c r="AS112">
        <v>0.86953504510756396</v>
      </c>
      <c r="AT112" t="s">
        <v>229</v>
      </c>
      <c r="AU112">
        <v>1.24011299435028</v>
      </c>
      <c r="AV112" t="s">
        <v>299</v>
      </c>
      <c r="AW112">
        <v>1.27519379844961</v>
      </c>
      <c r="AX112" t="s">
        <v>281</v>
      </c>
      <c r="AY112">
        <v>1.2568697729988001</v>
      </c>
      <c r="AZ112" t="s">
        <v>309</v>
      </c>
      <c r="BA112">
        <v>1.03300733496332</v>
      </c>
      <c r="BB112" t="s">
        <v>224</v>
      </c>
      <c r="BC112">
        <v>0.79406631762652702</v>
      </c>
      <c r="BD112" t="s">
        <v>286</v>
      </c>
      <c r="BE112">
        <v>1.1572327044025099</v>
      </c>
      <c r="BF112" t="s">
        <v>224</v>
      </c>
      <c r="BG112">
        <v>1.17592592592592</v>
      </c>
      <c r="BH112" t="s">
        <v>354</v>
      </c>
      <c r="BI112">
        <v>0.98876404494381998</v>
      </c>
      <c r="BJ112" t="s">
        <v>328</v>
      </c>
      <c r="BK112">
        <v>0.92376534261138499</v>
      </c>
      <c r="BL112" t="s">
        <v>250</v>
      </c>
      <c r="BM112">
        <v>0.67213114754098302</v>
      </c>
      <c r="BN112" t="s">
        <v>257</v>
      </c>
      <c r="BO112">
        <v>1.0240963855421601</v>
      </c>
      <c r="BP112" t="s">
        <v>253</v>
      </c>
      <c r="BQ112">
        <v>0.98918918918918897</v>
      </c>
      <c r="BR112" t="s">
        <v>235</v>
      </c>
      <c r="BS112">
        <v>0.98786003332539796</v>
      </c>
      <c r="BT112" t="s">
        <v>332</v>
      </c>
      <c r="BU112">
        <v>1.0445544554455399</v>
      </c>
      <c r="BV112" t="s">
        <v>257</v>
      </c>
      <c r="BW112">
        <v>1.0764705882352901</v>
      </c>
    </row>
    <row r="113" spans="1:75" x14ac:dyDescent="0.4">
      <c r="A113">
        <v>111</v>
      </c>
      <c r="B113" t="s">
        <v>272</v>
      </c>
      <c r="C113">
        <v>1.09965635738831</v>
      </c>
      <c r="D113" t="s">
        <v>272</v>
      </c>
      <c r="E113">
        <v>0.91249999999999998</v>
      </c>
      <c r="F113" t="s">
        <v>204</v>
      </c>
      <c r="G113">
        <v>0.69426751592356595</v>
      </c>
      <c r="H113" t="s">
        <v>336</v>
      </c>
      <c r="I113">
        <v>1.0674373795761001</v>
      </c>
      <c r="J113" t="s">
        <v>208</v>
      </c>
      <c r="K113">
        <v>1.3975044563279799</v>
      </c>
      <c r="L113" t="s">
        <v>227</v>
      </c>
      <c r="M113">
        <v>0.97199999999999998</v>
      </c>
      <c r="N113" t="s">
        <v>360</v>
      </c>
      <c r="O113">
        <v>0.90580771107857405</v>
      </c>
      <c r="P113" t="s">
        <v>220</v>
      </c>
      <c r="Q113">
        <v>0.97348886532343504</v>
      </c>
      <c r="R113" t="s">
        <v>220</v>
      </c>
      <c r="S113">
        <v>0.94226579520697096</v>
      </c>
      <c r="T113" t="s">
        <v>294</v>
      </c>
      <c r="U113">
        <v>1.0188205771643599</v>
      </c>
      <c r="V113" t="s">
        <v>313</v>
      </c>
      <c r="W113">
        <v>1.0155709342560499</v>
      </c>
      <c r="X113" t="s">
        <v>277</v>
      </c>
      <c r="Y113">
        <v>1.0633914421552999</v>
      </c>
      <c r="Z113" t="s">
        <v>327</v>
      </c>
      <c r="AA113">
        <v>0.901913875598086</v>
      </c>
      <c r="AB113" t="s">
        <v>307</v>
      </c>
      <c r="AC113">
        <v>0.87395833333333295</v>
      </c>
      <c r="AD113" t="s">
        <v>307</v>
      </c>
      <c r="AE113">
        <v>0.86769964243146602</v>
      </c>
      <c r="AF113" t="s">
        <v>337</v>
      </c>
      <c r="AG113">
        <v>1.1879997724468701</v>
      </c>
      <c r="AH113" t="s">
        <v>332</v>
      </c>
      <c r="AI113">
        <v>0.79300291545189505</v>
      </c>
      <c r="AJ113" t="s">
        <v>229</v>
      </c>
      <c r="AK113">
        <v>1.01210653753026</v>
      </c>
      <c r="AL113" t="s">
        <v>316</v>
      </c>
      <c r="AM113">
        <v>1.0797872340425501</v>
      </c>
      <c r="AN113" t="s">
        <v>332</v>
      </c>
      <c r="AO113">
        <v>0.93857493857493801</v>
      </c>
      <c r="AP113" t="s">
        <v>332</v>
      </c>
      <c r="AQ113">
        <v>1.7565445026177999</v>
      </c>
      <c r="AR113" t="s">
        <v>294</v>
      </c>
      <c r="AS113">
        <v>0.94377510040160595</v>
      </c>
      <c r="AT113" t="s">
        <v>327</v>
      </c>
      <c r="AU113">
        <v>1.1344537815125999</v>
      </c>
      <c r="AV113" t="s">
        <v>281</v>
      </c>
      <c r="AW113">
        <v>1.0251071647274901</v>
      </c>
      <c r="AX113" t="s">
        <v>294</v>
      </c>
      <c r="AY113">
        <v>0.83136593591905505</v>
      </c>
      <c r="AZ113" t="s">
        <v>229</v>
      </c>
      <c r="BA113">
        <v>0.87234042553191404</v>
      </c>
      <c r="BB113" t="s">
        <v>226</v>
      </c>
      <c r="BC113">
        <v>0.85764177745687398</v>
      </c>
      <c r="BD113" t="s">
        <v>288</v>
      </c>
      <c r="BE113">
        <v>1.19429590017825</v>
      </c>
      <c r="BF113" t="s">
        <v>226</v>
      </c>
      <c r="BG113">
        <v>1.08332862443728</v>
      </c>
      <c r="BH113" t="s">
        <v>328</v>
      </c>
      <c r="BI113">
        <v>0.87451507391160999</v>
      </c>
      <c r="BJ113" t="s">
        <v>257</v>
      </c>
      <c r="BK113">
        <v>1.20823244552058</v>
      </c>
      <c r="BL113" t="s">
        <v>253</v>
      </c>
      <c r="BM113">
        <v>0.88226950354609901</v>
      </c>
      <c r="BN113" t="s">
        <v>334</v>
      </c>
      <c r="BO113">
        <v>0.85423728813559296</v>
      </c>
      <c r="BP113" t="s">
        <v>257</v>
      </c>
      <c r="BQ113">
        <v>1.0215686274509801</v>
      </c>
      <c r="BR113" t="s">
        <v>258</v>
      </c>
      <c r="BS113">
        <v>0.81233595800524905</v>
      </c>
      <c r="BT113" t="s">
        <v>250</v>
      </c>
      <c r="BU113">
        <v>1.0502512562813999</v>
      </c>
      <c r="BV113" t="s">
        <v>334</v>
      </c>
      <c r="BW113">
        <v>1.0249632892804601</v>
      </c>
    </row>
    <row r="114" spans="1:75" x14ac:dyDescent="0.4">
      <c r="A114">
        <v>112</v>
      </c>
      <c r="B114" t="s">
        <v>204</v>
      </c>
      <c r="C114">
        <v>1.0261044176706799</v>
      </c>
      <c r="D114" t="s">
        <v>276</v>
      </c>
      <c r="E114">
        <v>0.77081904239264598</v>
      </c>
      <c r="F114" t="s">
        <v>330</v>
      </c>
      <c r="G114">
        <v>0.253324468085106</v>
      </c>
      <c r="H114" t="s">
        <v>313</v>
      </c>
      <c r="I114">
        <v>1.1779141104294399</v>
      </c>
      <c r="J114" t="s">
        <v>281</v>
      </c>
      <c r="K114">
        <v>1.4385510996119</v>
      </c>
      <c r="L114" t="s">
        <v>229</v>
      </c>
      <c r="M114">
        <v>1.2621359223300901</v>
      </c>
      <c r="N114" t="s">
        <v>232</v>
      </c>
      <c r="O114">
        <v>1.5641025641025601</v>
      </c>
      <c r="P114" t="s">
        <v>294</v>
      </c>
      <c r="Q114">
        <v>0.90655209452201901</v>
      </c>
      <c r="R114" t="s">
        <v>294</v>
      </c>
      <c r="S114">
        <v>0.94431279620853004</v>
      </c>
      <c r="T114" t="s">
        <v>336</v>
      </c>
      <c r="U114">
        <v>0.93554006968641101</v>
      </c>
      <c r="V114" t="s">
        <v>224</v>
      </c>
      <c r="W114">
        <v>1.2431332655137299</v>
      </c>
      <c r="X114" t="s">
        <v>312</v>
      </c>
      <c r="Y114">
        <v>1.3</v>
      </c>
      <c r="Z114" t="s">
        <v>258</v>
      </c>
      <c r="AA114">
        <v>1.02023121387283</v>
      </c>
      <c r="AB114" t="s">
        <v>325</v>
      </c>
      <c r="AC114">
        <v>0.78973105134474297</v>
      </c>
      <c r="AD114" t="s">
        <v>327</v>
      </c>
      <c r="AE114">
        <v>0.81372549019607798</v>
      </c>
      <c r="AF114" t="s">
        <v>340</v>
      </c>
      <c r="AG114">
        <v>1.0978723404255299</v>
      </c>
      <c r="AH114" t="s">
        <v>337</v>
      </c>
      <c r="AI114">
        <v>0.65589137113415896</v>
      </c>
      <c r="AJ114" t="s">
        <v>327</v>
      </c>
      <c r="AK114">
        <v>1.00444444444444</v>
      </c>
      <c r="AL114" t="s">
        <v>111</v>
      </c>
      <c r="AM114">
        <v>0.84781628204164405</v>
      </c>
      <c r="AN114" t="s">
        <v>250</v>
      </c>
      <c r="AO114">
        <v>1.19708746956358</v>
      </c>
      <c r="AP114" t="s">
        <v>340</v>
      </c>
      <c r="AQ114">
        <v>0.94134897360703795</v>
      </c>
      <c r="AR114" t="s">
        <v>224</v>
      </c>
      <c r="AS114">
        <v>0.91154422788605605</v>
      </c>
      <c r="AT114" t="s">
        <v>111</v>
      </c>
      <c r="AU114">
        <v>0.70886075949367</v>
      </c>
      <c r="AV114" t="s">
        <v>294</v>
      </c>
      <c r="AW114">
        <v>1.05704099821746</v>
      </c>
      <c r="AX114" t="s">
        <v>224</v>
      </c>
      <c r="AY114">
        <v>1.0616438356164299</v>
      </c>
      <c r="AZ114" t="s">
        <v>111</v>
      </c>
      <c r="BA114">
        <v>0.86832740213523096</v>
      </c>
      <c r="BB114" t="s">
        <v>302</v>
      </c>
      <c r="BC114">
        <v>0.93642785065590295</v>
      </c>
      <c r="BD114" t="s">
        <v>224</v>
      </c>
      <c r="BE114">
        <v>1.1868131868131799</v>
      </c>
      <c r="BF114" t="s">
        <v>302</v>
      </c>
      <c r="BG114">
        <v>1.13569682151589</v>
      </c>
      <c r="BH114" t="s">
        <v>257</v>
      </c>
      <c r="BI114">
        <v>0.92393736017896999</v>
      </c>
      <c r="BJ114" t="s">
        <v>338</v>
      </c>
      <c r="BK114">
        <v>1.2610229276895899</v>
      </c>
      <c r="BL114" t="s">
        <v>328</v>
      </c>
      <c r="BM114">
        <v>0.75242200414303895</v>
      </c>
      <c r="BN114" t="s">
        <v>338</v>
      </c>
      <c r="BO114">
        <v>1.0504347826086899</v>
      </c>
      <c r="BP114" t="s">
        <v>334</v>
      </c>
      <c r="BQ114">
        <v>0.96031746031746001</v>
      </c>
      <c r="BR114" t="s">
        <v>316</v>
      </c>
      <c r="BS114">
        <v>0.69640787949015004</v>
      </c>
      <c r="BT114" t="s">
        <v>253</v>
      </c>
      <c r="BU114">
        <v>1.0379537953795299</v>
      </c>
      <c r="BV114" t="s">
        <v>338</v>
      </c>
      <c r="BW114">
        <v>1.02225312934631</v>
      </c>
    </row>
    <row r="115" spans="1:75" x14ac:dyDescent="0.4">
      <c r="A115">
        <v>113</v>
      </c>
      <c r="B115" t="s">
        <v>330</v>
      </c>
      <c r="C115">
        <v>0.73092369477911601</v>
      </c>
      <c r="D115" t="s">
        <v>204</v>
      </c>
      <c r="E115">
        <v>0.92172211350293498</v>
      </c>
      <c r="F115" t="s">
        <v>208</v>
      </c>
      <c r="G115">
        <v>0.92086330935251803</v>
      </c>
      <c r="H115" t="s">
        <v>224</v>
      </c>
      <c r="I115">
        <v>1.0579710144927501</v>
      </c>
      <c r="J115" t="s">
        <v>220</v>
      </c>
      <c r="K115">
        <v>1.1922480620155</v>
      </c>
      <c r="L115" t="s">
        <v>315</v>
      </c>
      <c r="M115">
        <v>1.4584425799685301</v>
      </c>
      <c r="N115" t="s">
        <v>327</v>
      </c>
      <c r="O115">
        <v>1.0323768902675401</v>
      </c>
      <c r="P115" t="s">
        <v>219</v>
      </c>
      <c r="Q115">
        <v>1.0548780487804801</v>
      </c>
      <c r="R115" t="s">
        <v>219</v>
      </c>
      <c r="S115">
        <v>0.83526011560693603</v>
      </c>
      <c r="T115" t="s">
        <v>313</v>
      </c>
      <c r="U115">
        <v>1.0664206642066401</v>
      </c>
      <c r="V115" t="s">
        <v>350</v>
      </c>
      <c r="W115">
        <v>0.78348214285714202</v>
      </c>
      <c r="X115" t="s">
        <v>281</v>
      </c>
      <c r="Y115">
        <v>1.1017543859649099</v>
      </c>
      <c r="Z115" t="s">
        <v>111</v>
      </c>
      <c r="AA115">
        <v>0.81331134589940701</v>
      </c>
      <c r="AB115" t="s">
        <v>327</v>
      </c>
      <c r="AC115">
        <v>1.08222811671087</v>
      </c>
      <c r="AD115" t="s">
        <v>258</v>
      </c>
      <c r="AE115">
        <v>0.82481751824817495</v>
      </c>
      <c r="AF115" t="s">
        <v>328</v>
      </c>
      <c r="AG115">
        <v>1.1445490045451601</v>
      </c>
      <c r="AH115" t="s">
        <v>340</v>
      </c>
      <c r="AI115">
        <v>0.71317829457364301</v>
      </c>
      <c r="AJ115" t="s">
        <v>258</v>
      </c>
      <c r="AK115">
        <v>1.03813559322033</v>
      </c>
      <c r="AL115" t="s">
        <v>332</v>
      </c>
      <c r="AM115">
        <v>1.0598958333333299</v>
      </c>
      <c r="AN115" t="s">
        <v>340</v>
      </c>
      <c r="AO115">
        <v>1.11803278688524</v>
      </c>
      <c r="AP115" t="s">
        <v>328</v>
      </c>
      <c r="AQ115">
        <v>1.1736210822491899</v>
      </c>
      <c r="AR115" t="s">
        <v>226</v>
      </c>
      <c r="AS115">
        <v>1.14898972602739</v>
      </c>
      <c r="AT115" t="s">
        <v>332</v>
      </c>
      <c r="AU115">
        <v>1.03805496828752</v>
      </c>
      <c r="AV115" t="s">
        <v>224</v>
      </c>
      <c r="AW115">
        <v>1.0598911070780399</v>
      </c>
      <c r="AX115" t="s">
        <v>302</v>
      </c>
      <c r="AY115">
        <v>0.81180811808118003</v>
      </c>
      <c r="AZ115" t="s">
        <v>245</v>
      </c>
      <c r="BA115">
        <v>1.0155279503105501</v>
      </c>
      <c r="BB115" t="s">
        <v>309</v>
      </c>
      <c r="BC115">
        <v>0.92899408284023599</v>
      </c>
      <c r="BD115" t="s">
        <v>226</v>
      </c>
      <c r="BE115">
        <v>0.971659696739538</v>
      </c>
      <c r="BF115" t="s">
        <v>229</v>
      </c>
      <c r="BG115">
        <v>1.3510638297872299</v>
      </c>
      <c r="BH115" t="s">
        <v>338</v>
      </c>
      <c r="BI115">
        <v>0.83137829912023398</v>
      </c>
      <c r="BJ115" t="s">
        <v>341</v>
      </c>
      <c r="BK115">
        <v>1.15422885572139</v>
      </c>
      <c r="BL115" t="s">
        <v>257</v>
      </c>
      <c r="BM115">
        <v>0.99799599198396705</v>
      </c>
      <c r="BN115" t="s">
        <v>346</v>
      </c>
      <c r="BO115">
        <v>1.02377622377622</v>
      </c>
      <c r="BP115" t="s">
        <v>338</v>
      </c>
      <c r="BQ115">
        <v>1.0645695364238399</v>
      </c>
      <c r="BR115" t="s">
        <v>242</v>
      </c>
      <c r="BS115">
        <v>1.1881188118811801</v>
      </c>
      <c r="BT115" t="s">
        <v>328</v>
      </c>
      <c r="BU115">
        <v>1.0768233640481</v>
      </c>
      <c r="BV115" t="s">
        <v>342</v>
      </c>
      <c r="BW115">
        <v>1.1299093655589101</v>
      </c>
    </row>
    <row r="116" spans="1:75" x14ac:dyDescent="0.4">
      <c r="A116">
        <v>114</v>
      </c>
      <c r="B116" t="s">
        <v>286</v>
      </c>
      <c r="C116">
        <v>1.0922619047619</v>
      </c>
      <c r="D116" t="s">
        <v>330</v>
      </c>
      <c r="E116">
        <v>0.82637362637362599</v>
      </c>
      <c r="F116" t="s">
        <v>281</v>
      </c>
      <c r="G116">
        <v>0.79839518555667</v>
      </c>
      <c r="H116" t="s">
        <v>302</v>
      </c>
      <c r="I116">
        <v>1.1220095693779899</v>
      </c>
      <c r="J116" t="s">
        <v>294</v>
      </c>
      <c r="K116">
        <v>1.3148936170212699</v>
      </c>
      <c r="L116" t="s">
        <v>360</v>
      </c>
      <c r="M116">
        <v>1.75578406169665</v>
      </c>
      <c r="N116" t="s">
        <v>258</v>
      </c>
      <c r="O116">
        <v>0.65506072874493904</v>
      </c>
      <c r="P116" t="s">
        <v>336</v>
      </c>
      <c r="Q116">
        <v>1.1027131782945701</v>
      </c>
      <c r="R116" t="s">
        <v>336</v>
      </c>
      <c r="S116">
        <v>1.0087873462214401</v>
      </c>
      <c r="T116" t="s">
        <v>224</v>
      </c>
      <c r="U116">
        <v>1.1973203410475</v>
      </c>
      <c r="V116" t="s">
        <v>302</v>
      </c>
      <c r="W116">
        <v>1.5838068181818099</v>
      </c>
      <c r="X116" t="s">
        <v>220</v>
      </c>
      <c r="Y116">
        <v>0.89308855291576605</v>
      </c>
      <c r="Z116" t="s">
        <v>340</v>
      </c>
      <c r="AA116">
        <v>0.84126984126984095</v>
      </c>
      <c r="AB116" t="s">
        <v>258</v>
      </c>
      <c r="AC116">
        <v>0.77620396600566499</v>
      </c>
      <c r="AD116" t="s">
        <v>111</v>
      </c>
      <c r="AE116">
        <v>0.74256002054178905</v>
      </c>
      <c r="AF116" t="s">
        <v>263</v>
      </c>
      <c r="AG116">
        <v>1.45588235294117</v>
      </c>
      <c r="AH116" t="s">
        <v>345</v>
      </c>
      <c r="AI116">
        <v>1.4877384196185199</v>
      </c>
      <c r="AJ116" t="s">
        <v>339</v>
      </c>
      <c r="AK116">
        <v>1.22535211267605</v>
      </c>
      <c r="AL116" t="s">
        <v>337</v>
      </c>
      <c r="AM116">
        <v>0.93396295636313997</v>
      </c>
      <c r="AN116" t="s">
        <v>345</v>
      </c>
      <c r="AO116">
        <v>0.78372093023255796</v>
      </c>
      <c r="AP116" t="s">
        <v>347</v>
      </c>
      <c r="AQ116">
        <v>1.57271095152603</v>
      </c>
      <c r="AR116" t="s">
        <v>302</v>
      </c>
      <c r="AS116">
        <v>0.92758620689655102</v>
      </c>
      <c r="AT116" t="s">
        <v>253</v>
      </c>
      <c r="AU116">
        <v>1.1020066889632101</v>
      </c>
      <c r="AV116" t="s">
        <v>302</v>
      </c>
      <c r="AW116">
        <v>0.86581469648562304</v>
      </c>
      <c r="AX116" t="s">
        <v>309</v>
      </c>
      <c r="AY116">
        <v>0.92638731596828905</v>
      </c>
      <c r="AZ116" t="s">
        <v>332</v>
      </c>
      <c r="BA116">
        <v>1.0857142857142801</v>
      </c>
      <c r="BB116" t="s">
        <v>229</v>
      </c>
      <c r="BC116">
        <v>0.76829268292682895</v>
      </c>
      <c r="BD116" t="s">
        <v>302</v>
      </c>
      <c r="BE116">
        <v>0.881465517241379</v>
      </c>
      <c r="BF116" t="s">
        <v>240</v>
      </c>
      <c r="BG116">
        <v>0.96530612244897895</v>
      </c>
      <c r="BH116" t="s">
        <v>348</v>
      </c>
      <c r="BI116">
        <v>0.83735909822866295</v>
      </c>
      <c r="BJ116" t="s">
        <v>346</v>
      </c>
      <c r="BK116">
        <v>1.08346709470304</v>
      </c>
      <c r="BL116" t="s">
        <v>338</v>
      </c>
      <c r="BM116">
        <v>0.80419580419580405</v>
      </c>
      <c r="BN116" t="s">
        <v>351</v>
      </c>
      <c r="BO116">
        <v>1.0618401206636501</v>
      </c>
      <c r="BP116" t="s">
        <v>346</v>
      </c>
      <c r="BQ116">
        <v>0.93442622950819598</v>
      </c>
      <c r="BR116" t="s">
        <v>245</v>
      </c>
      <c r="BS116">
        <v>1.19962686567164</v>
      </c>
      <c r="BT116" t="s">
        <v>334</v>
      </c>
      <c r="BU116">
        <v>1.0256024096385501</v>
      </c>
      <c r="BV116" t="s">
        <v>348</v>
      </c>
      <c r="BW116">
        <v>1.0200729927007299</v>
      </c>
    </row>
    <row r="117" spans="1:75" x14ac:dyDescent="0.4">
      <c r="A117">
        <v>115</v>
      </c>
      <c r="B117" t="s">
        <v>208</v>
      </c>
      <c r="C117">
        <v>1.0042283298097201</v>
      </c>
      <c r="D117" t="s">
        <v>286</v>
      </c>
      <c r="E117">
        <v>0.87057220708446803</v>
      </c>
      <c r="F117" t="s">
        <v>220</v>
      </c>
      <c r="G117">
        <v>1.2810457516339799</v>
      </c>
      <c r="H117" t="s">
        <v>307</v>
      </c>
      <c r="I117">
        <v>0.94481605351170495</v>
      </c>
      <c r="J117" t="s">
        <v>304</v>
      </c>
      <c r="K117">
        <v>1.0778267254038101</v>
      </c>
      <c r="L117" t="s">
        <v>327</v>
      </c>
      <c r="M117">
        <v>1.01977066034005</v>
      </c>
      <c r="N117" t="s">
        <v>339</v>
      </c>
      <c r="O117">
        <v>0.94678792569659398</v>
      </c>
      <c r="P117" t="s">
        <v>313</v>
      </c>
      <c r="Q117">
        <v>1.0167597765363099</v>
      </c>
      <c r="R117" t="s">
        <v>313</v>
      </c>
      <c r="S117">
        <v>0.99267399267399203</v>
      </c>
      <c r="T117" t="s">
        <v>302</v>
      </c>
      <c r="U117">
        <v>1.00571428571428</v>
      </c>
      <c r="V117" t="s">
        <v>307</v>
      </c>
      <c r="W117">
        <v>1.0909090909090899</v>
      </c>
      <c r="X117" t="s">
        <v>288</v>
      </c>
      <c r="Y117">
        <v>1.1162790697674401</v>
      </c>
      <c r="Z117" t="s">
        <v>328</v>
      </c>
      <c r="AA117">
        <v>1.2024828131955001</v>
      </c>
      <c r="AB117" t="s">
        <v>111</v>
      </c>
      <c r="AC117">
        <v>0.91818931981610197</v>
      </c>
      <c r="AD117" t="s">
        <v>332</v>
      </c>
      <c r="AE117">
        <v>0.94276094276094202</v>
      </c>
      <c r="AF117" t="s">
        <v>334</v>
      </c>
      <c r="AG117">
        <v>1.00630914826498</v>
      </c>
      <c r="AH117" t="s">
        <v>354</v>
      </c>
      <c r="AI117">
        <v>0.84818481848184801</v>
      </c>
      <c r="AJ117" t="s">
        <v>337</v>
      </c>
      <c r="AK117">
        <v>0.87063773088997498</v>
      </c>
      <c r="AL117" t="s">
        <v>340</v>
      </c>
      <c r="AM117">
        <v>0.871428571428571</v>
      </c>
      <c r="AN117" t="s">
        <v>328</v>
      </c>
      <c r="AO117">
        <v>0.938132687493196</v>
      </c>
      <c r="AP117" t="s">
        <v>263</v>
      </c>
      <c r="AQ117">
        <v>1.0909090909090899</v>
      </c>
      <c r="AR117" t="s">
        <v>309</v>
      </c>
      <c r="AS117">
        <v>0.94474153297682695</v>
      </c>
      <c r="AT117" t="s">
        <v>345</v>
      </c>
      <c r="AU117">
        <v>0.93933054393305404</v>
      </c>
      <c r="AV117" t="s">
        <v>309</v>
      </c>
      <c r="AW117">
        <v>1.0052367941712199</v>
      </c>
      <c r="AX117" t="s">
        <v>229</v>
      </c>
      <c r="AY117">
        <v>0.89523809523809506</v>
      </c>
      <c r="AZ117" t="s">
        <v>354</v>
      </c>
      <c r="BA117">
        <v>1.3125</v>
      </c>
      <c r="BB117" t="s">
        <v>325</v>
      </c>
      <c r="BC117">
        <v>0.78959810874704495</v>
      </c>
      <c r="BD117" t="s">
        <v>229</v>
      </c>
      <c r="BE117">
        <v>1.11904761904761</v>
      </c>
      <c r="BF117" t="s">
        <v>325</v>
      </c>
      <c r="BG117">
        <v>1.00602409638554</v>
      </c>
      <c r="BH117" t="s">
        <v>341</v>
      </c>
      <c r="BI117">
        <v>0.94366197183098499</v>
      </c>
      <c r="BJ117" t="s">
        <v>351</v>
      </c>
      <c r="BK117">
        <v>0.79357231149567298</v>
      </c>
      <c r="BL117" t="s">
        <v>346</v>
      </c>
      <c r="BM117">
        <v>1.05925925925925</v>
      </c>
      <c r="BN117" t="s">
        <v>352</v>
      </c>
      <c r="BO117">
        <v>1.03209109730848</v>
      </c>
      <c r="BP117" t="s">
        <v>358</v>
      </c>
      <c r="BQ117">
        <v>1.0945945945945901</v>
      </c>
      <c r="BR117" t="s">
        <v>322</v>
      </c>
      <c r="BS117">
        <v>0.75604395604395602</v>
      </c>
      <c r="BT117" t="s">
        <v>338</v>
      </c>
      <c r="BU117">
        <v>1.0055944055943999</v>
      </c>
      <c r="BV117" t="s">
        <v>341</v>
      </c>
      <c r="BW117">
        <v>1.0216718266253799</v>
      </c>
    </row>
    <row r="118" spans="1:75" x14ac:dyDescent="0.4">
      <c r="A118">
        <v>116</v>
      </c>
      <c r="B118" t="s">
        <v>281</v>
      </c>
      <c r="C118">
        <v>0.95709779179810694</v>
      </c>
      <c r="D118" t="s">
        <v>208</v>
      </c>
      <c r="E118">
        <v>0.731578947368421</v>
      </c>
      <c r="F118" t="s">
        <v>288</v>
      </c>
      <c r="G118">
        <v>0.52294685990338097</v>
      </c>
      <c r="H118" t="s">
        <v>227</v>
      </c>
      <c r="I118">
        <v>0.80451127819548796</v>
      </c>
      <c r="J118" t="s">
        <v>336</v>
      </c>
      <c r="K118">
        <v>1.0722021660649801</v>
      </c>
      <c r="L118" t="s">
        <v>239</v>
      </c>
      <c r="M118">
        <v>1.4016016492229599</v>
      </c>
      <c r="N118" t="s">
        <v>111</v>
      </c>
      <c r="O118">
        <v>1.03112128849818</v>
      </c>
      <c r="P118" t="s">
        <v>224</v>
      </c>
      <c r="Q118">
        <v>0.96303501945525205</v>
      </c>
      <c r="R118" t="s">
        <v>224</v>
      </c>
      <c r="S118">
        <v>0.82929292929292897</v>
      </c>
      <c r="T118" t="s">
        <v>307</v>
      </c>
      <c r="U118">
        <v>0.78571428571428503</v>
      </c>
      <c r="V118" t="s">
        <v>227</v>
      </c>
      <c r="W118">
        <v>1.4361001317522999</v>
      </c>
      <c r="X118" t="s">
        <v>218</v>
      </c>
      <c r="Y118">
        <v>0.72189973614775704</v>
      </c>
      <c r="Z118" t="s">
        <v>347</v>
      </c>
      <c r="AA118">
        <v>1.0561299852289501</v>
      </c>
      <c r="AB118" t="s">
        <v>340</v>
      </c>
      <c r="AC118">
        <v>0.87169811320754698</v>
      </c>
      <c r="AD118" t="s">
        <v>337</v>
      </c>
      <c r="AE118">
        <v>0.77399460892705496</v>
      </c>
      <c r="AF118" t="s">
        <v>342</v>
      </c>
      <c r="AG118">
        <v>1.1111111111111101</v>
      </c>
      <c r="AH118" t="s">
        <v>328</v>
      </c>
      <c r="AI118">
        <v>0.99481701064563599</v>
      </c>
      <c r="AJ118" t="s">
        <v>328</v>
      </c>
      <c r="AK118">
        <v>1.0991210479956499</v>
      </c>
      <c r="AL118" t="s">
        <v>345</v>
      </c>
      <c r="AM118">
        <v>0.990783410138248</v>
      </c>
      <c r="AN118" t="s">
        <v>263</v>
      </c>
      <c r="AO118">
        <v>1.1956521739130399</v>
      </c>
      <c r="AP118" t="s">
        <v>356</v>
      </c>
      <c r="AQ118">
        <v>0.95220588235294101</v>
      </c>
      <c r="AR118" t="s">
        <v>229</v>
      </c>
      <c r="AS118">
        <v>0.980609418282548</v>
      </c>
      <c r="AT118" t="s">
        <v>354</v>
      </c>
      <c r="AU118">
        <v>0.91900311526479705</v>
      </c>
      <c r="AV118" t="s">
        <v>229</v>
      </c>
      <c r="AW118">
        <v>0.95671981776765302</v>
      </c>
      <c r="AX118" t="s">
        <v>111</v>
      </c>
      <c r="AY118">
        <v>0.95578231292517002</v>
      </c>
      <c r="AZ118" t="s">
        <v>328</v>
      </c>
      <c r="BA118">
        <v>1.0464147683353699</v>
      </c>
      <c r="BB118" t="s">
        <v>316</v>
      </c>
      <c r="BC118">
        <v>0.75044247787610596</v>
      </c>
      <c r="BD118" t="s">
        <v>240</v>
      </c>
      <c r="BE118">
        <v>1.1529411764705799</v>
      </c>
      <c r="BF118" t="s">
        <v>235</v>
      </c>
      <c r="BG118">
        <v>0.90864428588138901</v>
      </c>
      <c r="BH118" t="s">
        <v>352</v>
      </c>
      <c r="BI118">
        <v>1.1854199683042701</v>
      </c>
      <c r="BJ118" t="s">
        <v>352</v>
      </c>
      <c r="BK118">
        <v>0.82352941176470495</v>
      </c>
      <c r="BL118" t="s">
        <v>351</v>
      </c>
      <c r="BM118">
        <v>1.0327102803738299</v>
      </c>
      <c r="BN118" t="s">
        <v>275</v>
      </c>
      <c r="BO118">
        <v>1.0247678018575801</v>
      </c>
      <c r="BP118" t="s">
        <v>352</v>
      </c>
      <c r="BQ118">
        <v>0.88565697091273798</v>
      </c>
      <c r="BR118" t="s">
        <v>250</v>
      </c>
      <c r="BS118">
        <v>0.97788697788697698</v>
      </c>
      <c r="BT118" t="s">
        <v>342</v>
      </c>
      <c r="BU118">
        <v>1.15734265734265</v>
      </c>
      <c r="BV118" t="s">
        <v>353</v>
      </c>
      <c r="BW118">
        <v>0.95752427184466005</v>
      </c>
    </row>
    <row r="119" spans="1:75" x14ac:dyDescent="0.4">
      <c r="A119">
        <v>117</v>
      </c>
      <c r="B119" t="s">
        <v>220</v>
      </c>
      <c r="C119">
        <v>0.86934023285899098</v>
      </c>
      <c r="D119" t="s">
        <v>281</v>
      </c>
      <c r="E119">
        <v>0.65721819380355895</v>
      </c>
      <c r="F119" t="s">
        <v>294</v>
      </c>
      <c r="G119">
        <v>0.76855895196506496</v>
      </c>
      <c r="H119" t="s">
        <v>229</v>
      </c>
      <c r="I119">
        <v>1.3927855711422801</v>
      </c>
      <c r="J119" t="s">
        <v>313</v>
      </c>
      <c r="K119">
        <v>1.0885416666666601</v>
      </c>
      <c r="L119" t="s">
        <v>258</v>
      </c>
      <c r="M119">
        <v>0.89492753623188404</v>
      </c>
      <c r="N119" t="s">
        <v>245</v>
      </c>
      <c r="O119">
        <v>1.00106609808102</v>
      </c>
      <c r="P119" t="s">
        <v>350</v>
      </c>
      <c r="Q119">
        <v>0.75221882729521305</v>
      </c>
      <c r="R119" t="s">
        <v>302</v>
      </c>
      <c r="S119">
        <v>0.902061855670103</v>
      </c>
      <c r="T119" t="s">
        <v>229</v>
      </c>
      <c r="U119">
        <v>1.7047619047619</v>
      </c>
      <c r="V119" t="s">
        <v>327</v>
      </c>
      <c r="W119">
        <v>0.91407678244972501</v>
      </c>
      <c r="X119" t="s">
        <v>294</v>
      </c>
      <c r="Y119">
        <v>0.82829373650107996</v>
      </c>
      <c r="Z119" t="s">
        <v>263</v>
      </c>
      <c r="AA119">
        <v>0.92647058823529405</v>
      </c>
      <c r="AB119" t="s">
        <v>328</v>
      </c>
      <c r="AC119">
        <v>1.04579854398881</v>
      </c>
      <c r="AD119" t="s">
        <v>340</v>
      </c>
      <c r="AE119">
        <v>0.81385281385281305</v>
      </c>
      <c r="AF119" t="s">
        <v>358</v>
      </c>
      <c r="AG119">
        <v>1.16525423728813</v>
      </c>
      <c r="AH119" t="s">
        <v>347</v>
      </c>
      <c r="AI119">
        <v>0.78157503714710197</v>
      </c>
      <c r="AJ119" t="s">
        <v>263</v>
      </c>
      <c r="AK119">
        <v>0.88535031847133705</v>
      </c>
      <c r="AL119" t="s">
        <v>328</v>
      </c>
      <c r="AM119">
        <v>1.25317146364752</v>
      </c>
      <c r="AN119" t="s">
        <v>356</v>
      </c>
      <c r="AO119">
        <v>0.99270072992700698</v>
      </c>
      <c r="AP119" t="s">
        <v>358</v>
      </c>
      <c r="AQ119">
        <v>0.86</v>
      </c>
      <c r="AR119" t="s">
        <v>327</v>
      </c>
      <c r="AS119">
        <v>0.98144329896907201</v>
      </c>
      <c r="AT119" t="s">
        <v>328</v>
      </c>
      <c r="AU119">
        <v>1.0222227543763001</v>
      </c>
      <c r="AV119" t="s">
        <v>327</v>
      </c>
      <c r="AW119">
        <v>1.18518518518518</v>
      </c>
      <c r="AX119" t="s">
        <v>332</v>
      </c>
      <c r="AY119">
        <v>1.0047846889952099</v>
      </c>
      <c r="AZ119" t="s">
        <v>334</v>
      </c>
      <c r="BA119">
        <v>1.1527777777777699</v>
      </c>
      <c r="BB119" t="s">
        <v>111</v>
      </c>
      <c r="BC119">
        <v>0.83606557377049096</v>
      </c>
      <c r="BD119" t="s">
        <v>325</v>
      </c>
      <c r="BE119">
        <v>0.99401197604790403</v>
      </c>
      <c r="BF119" t="s">
        <v>316</v>
      </c>
      <c r="BG119">
        <v>0.93061224489795902</v>
      </c>
      <c r="BH119" t="s">
        <v>355</v>
      </c>
      <c r="BI119">
        <v>0.92238267148014397</v>
      </c>
      <c r="BJ119" t="s">
        <v>355</v>
      </c>
      <c r="BK119">
        <v>0.86692759295499</v>
      </c>
      <c r="BL119" t="s">
        <v>352</v>
      </c>
      <c r="BM119">
        <v>1.0454545454545401</v>
      </c>
      <c r="BN119" t="s">
        <v>359</v>
      </c>
      <c r="BO119">
        <v>1.0260989010988999</v>
      </c>
      <c r="BP119" t="s">
        <v>275</v>
      </c>
      <c r="BQ119">
        <v>1.08006042296072</v>
      </c>
      <c r="BR119" t="s">
        <v>253</v>
      </c>
      <c r="BS119">
        <v>1.10382513661202</v>
      </c>
      <c r="BT119" t="s">
        <v>346</v>
      </c>
      <c r="BU119">
        <v>1.1426202321724701</v>
      </c>
      <c r="BV119" t="s">
        <v>346</v>
      </c>
      <c r="BW119">
        <v>1.0566037735849001</v>
      </c>
    </row>
    <row r="120" spans="1:75" x14ac:dyDescent="0.4">
      <c r="A120">
        <v>118</v>
      </c>
      <c r="B120" t="s">
        <v>290</v>
      </c>
      <c r="C120">
        <v>1.1985711045588501</v>
      </c>
      <c r="D120" t="s">
        <v>220</v>
      </c>
      <c r="E120">
        <v>0.91071428571428503</v>
      </c>
      <c r="F120" t="s">
        <v>219</v>
      </c>
      <c r="G120">
        <v>0.51288659793814395</v>
      </c>
      <c r="H120" t="s">
        <v>315</v>
      </c>
      <c r="I120">
        <v>1.6119704902427401</v>
      </c>
      <c r="J120" t="s">
        <v>224</v>
      </c>
      <c r="K120">
        <v>1.8405977584059701</v>
      </c>
      <c r="L120" t="s">
        <v>339</v>
      </c>
      <c r="M120">
        <v>1.0050563982886001</v>
      </c>
      <c r="N120" t="s">
        <v>357</v>
      </c>
      <c r="O120">
        <v>0.71612903225806401</v>
      </c>
      <c r="P120" t="s">
        <v>302</v>
      </c>
      <c r="Q120">
        <v>1.5305719921104499</v>
      </c>
      <c r="R120" t="s">
        <v>307</v>
      </c>
      <c r="S120">
        <v>1.2911725955204201</v>
      </c>
      <c r="T120" t="s">
        <v>360</v>
      </c>
      <c r="U120">
        <v>0.95398428731761997</v>
      </c>
      <c r="V120" t="s">
        <v>258</v>
      </c>
      <c r="W120">
        <v>1.08411214953271</v>
      </c>
      <c r="X120" t="s">
        <v>336</v>
      </c>
      <c r="Y120">
        <v>0.80300187617260699</v>
      </c>
      <c r="Z120" t="s">
        <v>356</v>
      </c>
      <c r="AA120">
        <v>1.2160493827160399</v>
      </c>
      <c r="AB120" t="s">
        <v>347</v>
      </c>
      <c r="AC120">
        <v>0.88531468531468505</v>
      </c>
      <c r="AD120" t="s">
        <v>354</v>
      </c>
      <c r="AE120">
        <v>0.78142857142857103</v>
      </c>
      <c r="AF120" t="s">
        <v>352</v>
      </c>
      <c r="AG120">
        <v>0.99814224386814898</v>
      </c>
      <c r="AH120" t="s">
        <v>263</v>
      </c>
      <c r="AI120">
        <v>0.95151515151515098</v>
      </c>
      <c r="AJ120" t="s">
        <v>356</v>
      </c>
      <c r="AK120">
        <v>1.1090909090909</v>
      </c>
      <c r="AL120" t="s">
        <v>263</v>
      </c>
      <c r="AM120">
        <v>0.99280575539568305</v>
      </c>
      <c r="AN120" t="s">
        <v>338</v>
      </c>
      <c r="AO120">
        <v>1.19902574808629</v>
      </c>
      <c r="AP120" t="s">
        <v>352</v>
      </c>
      <c r="AQ120">
        <v>1.14790894653255</v>
      </c>
      <c r="AR120" t="s">
        <v>245</v>
      </c>
      <c r="AS120">
        <v>1.0362537764350399</v>
      </c>
      <c r="AT120" t="s">
        <v>263</v>
      </c>
      <c r="AU120">
        <v>1.0627906976744099</v>
      </c>
      <c r="AV120" t="s">
        <v>111</v>
      </c>
      <c r="AW120">
        <v>0.875</v>
      </c>
      <c r="AX120" t="s">
        <v>253</v>
      </c>
      <c r="AY120">
        <v>1.05245901639344</v>
      </c>
      <c r="AZ120" t="s">
        <v>338</v>
      </c>
      <c r="BA120">
        <v>0.88394639292842803</v>
      </c>
      <c r="BB120" t="s">
        <v>245</v>
      </c>
      <c r="BC120">
        <v>1.07645259938837</v>
      </c>
      <c r="BD120" t="s">
        <v>235</v>
      </c>
      <c r="BE120">
        <v>0.91203925961487098</v>
      </c>
      <c r="BF120" t="s">
        <v>111</v>
      </c>
      <c r="BG120">
        <v>0.74117647058823499</v>
      </c>
      <c r="BH120" t="s">
        <v>275</v>
      </c>
      <c r="BI120">
        <v>0.95634920634920595</v>
      </c>
      <c r="BJ120" t="s">
        <v>275</v>
      </c>
      <c r="BK120">
        <v>0.92254495159059402</v>
      </c>
      <c r="BL120" t="s">
        <v>275</v>
      </c>
      <c r="BM120">
        <v>0.96851574212893499</v>
      </c>
      <c r="BN120" t="s">
        <v>278</v>
      </c>
      <c r="BO120">
        <v>1.0715502555366201</v>
      </c>
      <c r="BP120" t="s">
        <v>359</v>
      </c>
      <c r="BQ120">
        <v>1.0562248995983901</v>
      </c>
      <c r="BR120" t="s">
        <v>257</v>
      </c>
      <c r="BS120">
        <v>0.95585412667946201</v>
      </c>
      <c r="BT120" t="s">
        <v>351</v>
      </c>
      <c r="BU120">
        <v>1.0757575757575699</v>
      </c>
      <c r="BV120" t="s">
        <v>358</v>
      </c>
      <c r="BW120">
        <v>1.1411901983663899</v>
      </c>
    </row>
    <row r="121" spans="1:75" x14ac:dyDescent="0.4">
      <c r="A121">
        <v>119</v>
      </c>
      <c r="B121" t="s">
        <v>294</v>
      </c>
      <c r="C121">
        <v>1.16647791619479</v>
      </c>
      <c r="D121" t="s">
        <v>290</v>
      </c>
      <c r="E121">
        <v>0.76161415460308401</v>
      </c>
      <c r="F121" t="s">
        <v>336</v>
      </c>
      <c r="G121">
        <v>0.81093749999999998</v>
      </c>
      <c r="H121" t="s">
        <v>232</v>
      </c>
      <c r="I121">
        <v>1.29768786127167</v>
      </c>
      <c r="J121" t="s">
        <v>226</v>
      </c>
      <c r="K121">
        <v>1.2112618664085899</v>
      </c>
      <c r="L121" t="s">
        <v>111</v>
      </c>
      <c r="M121">
        <v>0.910921028685024</v>
      </c>
      <c r="N121" t="s">
        <v>253</v>
      </c>
      <c r="O121">
        <v>0.84496124031007702</v>
      </c>
      <c r="P121" t="s">
        <v>229</v>
      </c>
      <c r="Q121">
        <v>1.24489795918367</v>
      </c>
      <c r="R121" t="s">
        <v>229</v>
      </c>
      <c r="S121">
        <v>1.0327868852458999</v>
      </c>
      <c r="T121" t="s">
        <v>327</v>
      </c>
      <c r="U121">
        <v>1.03729456384323</v>
      </c>
      <c r="V121" t="s">
        <v>339</v>
      </c>
      <c r="W121">
        <v>1.0738742706154301</v>
      </c>
      <c r="X121" t="s">
        <v>313</v>
      </c>
      <c r="Y121">
        <v>1.0153321976149901</v>
      </c>
      <c r="Z121" t="s">
        <v>334</v>
      </c>
      <c r="AA121">
        <v>1.0835380835380799</v>
      </c>
      <c r="AB121" t="s">
        <v>263</v>
      </c>
      <c r="AC121">
        <v>0.88007054673721297</v>
      </c>
      <c r="AD121" t="s">
        <v>328</v>
      </c>
      <c r="AE121">
        <v>0.92153855229779902</v>
      </c>
      <c r="AF121" t="s">
        <v>275</v>
      </c>
      <c r="AG121">
        <v>0.98952879581151798</v>
      </c>
      <c r="AH121" t="s">
        <v>356</v>
      </c>
      <c r="AI121">
        <v>0.6875</v>
      </c>
      <c r="AJ121" t="s">
        <v>358</v>
      </c>
      <c r="AK121">
        <v>1.12445414847161</v>
      </c>
      <c r="AL121" t="s">
        <v>356</v>
      </c>
      <c r="AM121">
        <v>1.1229508196721301</v>
      </c>
      <c r="AN121" t="s">
        <v>358</v>
      </c>
      <c r="AO121">
        <v>0.93867334167709604</v>
      </c>
      <c r="AP121" t="s">
        <v>275</v>
      </c>
      <c r="AQ121">
        <v>1.2287581699346399</v>
      </c>
      <c r="AR121" t="s">
        <v>332</v>
      </c>
      <c r="AS121">
        <v>0.70491803278688503</v>
      </c>
      <c r="AT121" t="s">
        <v>356</v>
      </c>
      <c r="AU121">
        <v>0.86071428571428499</v>
      </c>
      <c r="AV121" t="s">
        <v>332</v>
      </c>
      <c r="AW121">
        <v>0.85132382892057001</v>
      </c>
      <c r="AX121" t="s">
        <v>354</v>
      </c>
      <c r="AY121">
        <v>1.26732673267326</v>
      </c>
      <c r="AZ121" t="s">
        <v>342</v>
      </c>
      <c r="BA121">
        <v>1.0880000000000001</v>
      </c>
      <c r="BB121" t="s">
        <v>332</v>
      </c>
      <c r="BC121">
        <v>1.0109649122807001</v>
      </c>
      <c r="BD121" t="s">
        <v>258</v>
      </c>
      <c r="BE121">
        <v>1</v>
      </c>
      <c r="BF121" t="s">
        <v>332</v>
      </c>
      <c r="BG121">
        <v>1.60569105691056</v>
      </c>
      <c r="BH121" t="s">
        <v>359</v>
      </c>
      <c r="BI121">
        <v>1.07692307692307</v>
      </c>
      <c r="BJ121" t="s">
        <v>359</v>
      </c>
      <c r="BK121">
        <v>0.915024630541871</v>
      </c>
      <c r="BL121" t="s">
        <v>359</v>
      </c>
      <c r="BM121">
        <v>0.97981157469717295</v>
      </c>
      <c r="BN121" t="s">
        <v>364</v>
      </c>
      <c r="BO121">
        <v>0.95118733509234799</v>
      </c>
      <c r="BP121" t="s">
        <v>278</v>
      </c>
      <c r="BQ121">
        <v>0.92209856915739197</v>
      </c>
      <c r="BR121" t="s">
        <v>334</v>
      </c>
      <c r="BS121">
        <v>0.91460055096418702</v>
      </c>
      <c r="BT121" t="s">
        <v>352</v>
      </c>
      <c r="BU121">
        <v>0.93644067796610098</v>
      </c>
      <c r="BV121" t="s">
        <v>352</v>
      </c>
      <c r="BW121">
        <v>1.13122171945701</v>
      </c>
    </row>
    <row r="122" spans="1:75" x14ac:dyDescent="0.4">
      <c r="A122">
        <v>120</v>
      </c>
      <c r="B122" t="s">
        <v>304</v>
      </c>
      <c r="C122">
        <v>1.12817089452603</v>
      </c>
      <c r="D122" t="s">
        <v>294</v>
      </c>
      <c r="E122">
        <v>1.11165048543689</v>
      </c>
      <c r="F122" t="s">
        <v>313</v>
      </c>
      <c r="G122">
        <v>0.74316109422492405</v>
      </c>
      <c r="H122" t="s">
        <v>327</v>
      </c>
      <c r="I122">
        <v>1.1886970172684399</v>
      </c>
      <c r="J122" t="s">
        <v>302</v>
      </c>
      <c r="K122">
        <v>1.5820895522388001</v>
      </c>
      <c r="L122" t="s">
        <v>245</v>
      </c>
      <c r="M122">
        <v>1.2213541666666601</v>
      </c>
      <c r="N122" t="s">
        <v>328</v>
      </c>
      <c r="O122">
        <v>0.97900971333807096</v>
      </c>
      <c r="P122" t="s">
        <v>360</v>
      </c>
      <c r="Q122">
        <v>1.1185344827586201</v>
      </c>
      <c r="R122" t="s">
        <v>327</v>
      </c>
      <c r="S122">
        <v>0.96251228529976096</v>
      </c>
      <c r="T122" t="s">
        <v>258</v>
      </c>
      <c r="U122">
        <v>1.3048780487804801</v>
      </c>
      <c r="V122" t="s">
        <v>111</v>
      </c>
      <c r="W122">
        <v>1.2340774506880201</v>
      </c>
      <c r="X122" t="s">
        <v>224</v>
      </c>
      <c r="Y122">
        <v>0.83633387888707</v>
      </c>
      <c r="Z122" t="s">
        <v>342</v>
      </c>
      <c r="AA122">
        <v>0.83280757097791802</v>
      </c>
      <c r="AB122" t="s">
        <v>356</v>
      </c>
      <c r="AC122">
        <v>0.81218274111675104</v>
      </c>
      <c r="AD122" t="s">
        <v>347</v>
      </c>
      <c r="AE122">
        <v>0.80884676145339596</v>
      </c>
      <c r="AF122" t="s">
        <v>359</v>
      </c>
      <c r="AG122">
        <v>1.0811359026369101</v>
      </c>
      <c r="AH122" t="s">
        <v>334</v>
      </c>
      <c r="AI122">
        <v>0.82445141065830696</v>
      </c>
      <c r="AJ122" t="s">
        <v>352</v>
      </c>
      <c r="AK122">
        <v>1.0252256334730501</v>
      </c>
      <c r="AL122" t="s">
        <v>358</v>
      </c>
      <c r="AM122">
        <v>0.77572815533980499</v>
      </c>
      <c r="AN122" t="s">
        <v>352</v>
      </c>
      <c r="AO122">
        <v>1.1040327293980099</v>
      </c>
      <c r="AP122" t="s">
        <v>359</v>
      </c>
      <c r="AQ122">
        <v>1.19040247678018</v>
      </c>
      <c r="AR122" t="s">
        <v>340</v>
      </c>
      <c r="AS122">
        <v>0.83956386292834895</v>
      </c>
      <c r="AT122" t="s">
        <v>348</v>
      </c>
      <c r="AU122">
        <v>1.27296587926509</v>
      </c>
      <c r="AV122" t="s">
        <v>345</v>
      </c>
      <c r="AW122">
        <v>1.0467706013363001</v>
      </c>
      <c r="AX122" t="s">
        <v>328</v>
      </c>
      <c r="AY122">
        <v>1.10746872922835</v>
      </c>
      <c r="AZ122" t="s">
        <v>348</v>
      </c>
      <c r="BA122">
        <v>0.95550061804697095</v>
      </c>
      <c r="BB122" t="s">
        <v>337</v>
      </c>
      <c r="BC122">
        <v>0.46037735849056599</v>
      </c>
      <c r="BD122" t="s">
        <v>316</v>
      </c>
      <c r="BE122">
        <v>0.866745283018867</v>
      </c>
      <c r="BF122" t="s">
        <v>250</v>
      </c>
      <c r="BG122">
        <v>1.5984916035072001</v>
      </c>
      <c r="BH122" t="s">
        <v>278</v>
      </c>
      <c r="BI122">
        <v>1.03896103896103</v>
      </c>
      <c r="BJ122" t="s">
        <v>278</v>
      </c>
      <c r="BK122">
        <v>1.01979166666666</v>
      </c>
      <c r="BL122" t="s">
        <v>278</v>
      </c>
      <c r="BM122">
        <v>1.1991828396322699</v>
      </c>
      <c r="BN122" t="s">
        <v>366</v>
      </c>
      <c r="BO122">
        <v>1.05720572057205</v>
      </c>
      <c r="BP122" t="s">
        <v>362</v>
      </c>
      <c r="BQ122">
        <v>1.0145560407569101</v>
      </c>
      <c r="BR122" t="s">
        <v>338</v>
      </c>
      <c r="BS122">
        <v>1.1119751166407399</v>
      </c>
      <c r="BT122" t="s">
        <v>275</v>
      </c>
      <c r="BU122">
        <v>1.002849002849</v>
      </c>
      <c r="BV122" t="s">
        <v>275</v>
      </c>
      <c r="BW122">
        <v>1.02272727272727</v>
      </c>
    </row>
    <row r="123" spans="1:75" x14ac:dyDescent="0.4">
      <c r="A123">
        <v>121</v>
      </c>
      <c r="B123" t="s">
        <v>219</v>
      </c>
      <c r="C123">
        <v>1.1435768261964701</v>
      </c>
      <c r="D123" t="s">
        <v>304</v>
      </c>
      <c r="E123">
        <v>1.1029585798816499</v>
      </c>
      <c r="F123" t="s">
        <v>224</v>
      </c>
      <c r="G123">
        <v>0.80402542372881303</v>
      </c>
      <c r="H123" t="s">
        <v>239</v>
      </c>
      <c r="I123">
        <v>0.91616676664666996</v>
      </c>
      <c r="J123" t="s">
        <v>307</v>
      </c>
      <c r="K123">
        <v>1.3982300884955701</v>
      </c>
      <c r="L123" t="s">
        <v>357</v>
      </c>
      <c r="M123">
        <v>0.95975232198142402</v>
      </c>
      <c r="N123" t="s">
        <v>378</v>
      </c>
      <c r="O123">
        <v>0.92</v>
      </c>
      <c r="P123" t="s">
        <v>327</v>
      </c>
      <c r="Q123">
        <v>1.0031455399061</v>
      </c>
      <c r="R123" t="s">
        <v>258</v>
      </c>
      <c r="S123">
        <v>0.94615384615384601</v>
      </c>
      <c r="T123" t="s">
        <v>339</v>
      </c>
      <c r="U123">
        <v>1.5587781019392399</v>
      </c>
      <c r="V123" t="s">
        <v>328</v>
      </c>
      <c r="W123">
        <v>1.0287751391887201</v>
      </c>
      <c r="X123" t="s">
        <v>302</v>
      </c>
      <c r="Y123">
        <v>1.0224215246636701</v>
      </c>
      <c r="Z123" t="s">
        <v>379</v>
      </c>
      <c r="AA123">
        <v>1.3265306122448901</v>
      </c>
      <c r="AB123" t="s">
        <v>342</v>
      </c>
      <c r="AC123">
        <v>1.39772727272727</v>
      </c>
      <c r="AD123" t="s">
        <v>263</v>
      </c>
      <c r="AE123">
        <v>0.68136272545090104</v>
      </c>
      <c r="AF123" t="s">
        <v>278</v>
      </c>
      <c r="AG123">
        <v>1.00199600798403</v>
      </c>
      <c r="AH123" t="s">
        <v>342</v>
      </c>
      <c r="AI123">
        <v>0.69333333333333302</v>
      </c>
      <c r="AJ123" t="s">
        <v>275</v>
      </c>
      <c r="AK123">
        <v>1.0856353591160199</v>
      </c>
      <c r="AL123" t="s">
        <v>352</v>
      </c>
      <c r="AM123">
        <v>0.94533868650778996</v>
      </c>
      <c r="AN123" t="s">
        <v>275</v>
      </c>
      <c r="AO123">
        <v>1.04318181818181</v>
      </c>
      <c r="AP123" t="s">
        <v>278</v>
      </c>
      <c r="AQ123">
        <v>0.82082695252679905</v>
      </c>
      <c r="AR123" t="s">
        <v>345</v>
      </c>
      <c r="AS123">
        <v>0.96370967741935398</v>
      </c>
      <c r="AT123" t="s">
        <v>358</v>
      </c>
      <c r="AU123">
        <v>0.96332046332046295</v>
      </c>
      <c r="AV123" t="s">
        <v>328</v>
      </c>
      <c r="AW123">
        <v>1.16304729777215</v>
      </c>
      <c r="AX123" t="s">
        <v>334</v>
      </c>
      <c r="AY123">
        <v>1.9577039274924399</v>
      </c>
      <c r="AZ123" t="s">
        <v>358</v>
      </c>
      <c r="BA123">
        <v>1.1168224299065399</v>
      </c>
      <c r="BB123" t="s">
        <v>328</v>
      </c>
      <c r="BC123">
        <v>0.85887597876056898</v>
      </c>
      <c r="BD123" t="s">
        <v>111</v>
      </c>
      <c r="BE123">
        <v>1.1666666666666601</v>
      </c>
      <c r="BF123" t="s">
        <v>337</v>
      </c>
      <c r="BG123">
        <v>1.04602510460251</v>
      </c>
      <c r="BH123" t="s">
        <v>363</v>
      </c>
      <c r="BI123">
        <v>0.73106060606060597</v>
      </c>
      <c r="BJ123" t="s">
        <v>363</v>
      </c>
      <c r="BK123">
        <v>0.84628670120898097</v>
      </c>
      <c r="BL123" t="s">
        <v>364</v>
      </c>
      <c r="BM123">
        <v>0.917675544794188</v>
      </c>
      <c r="BN123" t="s">
        <v>303</v>
      </c>
      <c r="BO123">
        <v>0.85736196319018398</v>
      </c>
      <c r="BP123" t="s">
        <v>361</v>
      </c>
      <c r="BQ123">
        <v>0.98316897538968695</v>
      </c>
      <c r="BR123" t="s">
        <v>342</v>
      </c>
      <c r="BS123">
        <v>1.0833333333333299</v>
      </c>
      <c r="BT123" t="s">
        <v>359</v>
      </c>
      <c r="BU123">
        <v>1.0040431266846299</v>
      </c>
      <c r="BV123" t="s">
        <v>359</v>
      </c>
      <c r="BW123">
        <v>1.03489932885906</v>
      </c>
    </row>
    <row r="124" spans="1:75" x14ac:dyDescent="0.4">
      <c r="A124">
        <v>122</v>
      </c>
      <c r="B124" t="s">
        <v>336</v>
      </c>
      <c r="C124">
        <v>1.0094637223974701</v>
      </c>
      <c r="D124" t="s">
        <v>219</v>
      </c>
      <c r="E124">
        <v>0.85462555066079204</v>
      </c>
      <c r="F124" t="s">
        <v>302</v>
      </c>
      <c r="G124">
        <v>0.54285714285714204</v>
      </c>
      <c r="H124" t="s">
        <v>258</v>
      </c>
      <c r="I124">
        <v>0.93333333333333302</v>
      </c>
      <c r="J124" t="s">
        <v>227</v>
      </c>
      <c r="K124">
        <v>1.1682242990654199</v>
      </c>
      <c r="L124" t="s">
        <v>370</v>
      </c>
      <c r="M124">
        <v>1.1370786516853899</v>
      </c>
      <c r="N124" t="s">
        <v>347</v>
      </c>
      <c r="O124">
        <v>0.61929595827900896</v>
      </c>
      <c r="P124" t="s">
        <v>239</v>
      </c>
      <c r="Q124">
        <v>1.25528265642151</v>
      </c>
      <c r="R124" t="s">
        <v>316</v>
      </c>
      <c r="S124">
        <v>2.30846774193548</v>
      </c>
      <c r="T124" t="s">
        <v>111</v>
      </c>
      <c r="U124">
        <v>1.15953268950527</v>
      </c>
      <c r="V124" t="s">
        <v>347</v>
      </c>
      <c r="W124">
        <v>1.00852272727272</v>
      </c>
      <c r="X124" t="s">
        <v>307</v>
      </c>
      <c r="Y124">
        <v>0.85476190476190395</v>
      </c>
      <c r="Z124" t="s">
        <v>358</v>
      </c>
      <c r="AA124">
        <v>0.98421052631578898</v>
      </c>
      <c r="AB124" t="s">
        <v>358</v>
      </c>
      <c r="AC124">
        <v>0.97326203208556095</v>
      </c>
      <c r="AD124" t="s">
        <v>356</v>
      </c>
      <c r="AE124">
        <v>0.63437500000000002</v>
      </c>
      <c r="AF124" t="s">
        <v>368</v>
      </c>
      <c r="AG124">
        <v>1.0724637681159399</v>
      </c>
      <c r="AH124" t="s">
        <v>358</v>
      </c>
      <c r="AI124">
        <v>0.66618181818181799</v>
      </c>
      <c r="AJ124" t="s">
        <v>359</v>
      </c>
      <c r="AK124">
        <v>1.06944444444444</v>
      </c>
      <c r="AL124" t="s">
        <v>275</v>
      </c>
      <c r="AM124">
        <v>1.11959287531806</v>
      </c>
      <c r="AN124" t="s">
        <v>359</v>
      </c>
      <c r="AO124">
        <v>1.07846410684474</v>
      </c>
      <c r="AP124" t="s">
        <v>372</v>
      </c>
      <c r="AQ124">
        <v>1.21130551816958</v>
      </c>
      <c r="AR124" t="s">
        <v>328</v>
      </c>
      <c r="AS124">
        <v>1.0321057834898599</v>
      </c>
      <c r="AT124" t="s">
        <v>268</v>
      </c>
      <c r="AU124">
        <v>1.21428571428571</v>
      </c>
      <c r="AV124" t="s">
        <v>263</v>
      </c>
      <c r="AW124">
        <v>1.28008752735229</v>
      </c>
      <c r="AX124" t="s">
        <v>342</v>
      </c>
      <c r="AY124">
        <v>0.93984962406015005</v>
      </c>
      <c r="AZ124" t="s">
        <v>352</v>
      </c>
      <c r="BA124">
        <v>0.99530259305289304</v>
      </c>
      <c r="BB124" t="s">
        <v>338</v>
      </c>
      <c r="BC124">
        <v>0.83440860215053703</v>
      </c>
      <c r="BD124" t="s">
        <v>332</v>
      </c>
      <c r="BE124">
        <v>1.0672451193058501</v>
      </c>
      <c r="BF124" t="s">
        <v>354</v>
      </c>
      <c r="BG124">
        <v>1.15135834411384</v>
      </c>
      <c r="BH124" t="s">
        <v>364</v>
      </c>
      <c r="BI124">
        <v>0.85283018867924498</v>
      </c>
      <c r="BJ124" t="s">
        <v>364</v>
      </c>
      <c r="BK124">
        <v>0.91371681415929196</v>
      </c>
      <c r="BL124" t="s">
        <v>366</v>
      </c>
      <c r="BM124">
        <v>0.9</v>
      </c>
      <c r="BN124" t="s">
        <v>289</v>
      </c>
      <c r="BO124">
        <v>1.13506493506493</v>
      </c>
      <c r="BP124" t="s">
        <v>364</v>
      </c>
      <c r="BQ124">
        <v>1.00416088765603</v>
      </c>
      <c r="BR124" t="s">
        <v>346</v>
      </c>
      <c r="BS124">
        <v>0.88157894736842102</v>
      </c>
      <c r="BT124" t="s">
        <v>278</v>
      </c>
      <c r="BU124">
        <v>0.93763440860214997</v>
      </c>
      <c r="BV124" t="s">
        <v>278</v>
      </c>
      <c r="BW124">
        <v>0.97935779816513702</v>
      </c>
    </row>
    <row r="125" spans="1:75" x14ac:dyDescent="0.4">
      <c r="A125">
        <v>123</v>
      </c>
      <c r="B125" t="s">
        <v>313</v>
      </c>
      <c r="C125">
        <v>1.00493218249075</v>
      </c>
      <c r="D125" t="s">
        <v>336</v>
      </c>
      <c r="E125">
        <v>1</v>
      </c>
      <c r="F125" t="s">
        <v>307</v>
      </c>
      <c r="G125">
        <v>0.76666666666666605</v>
      </c>
      <c r="H125" t="s">
        <v>111</v>
      </c>
      <c r="I125">
        <v>1.1263185481229101</v>
      </c>
      <c r="J125" t="s">
        <v>229</v>
      </c>
      <c r="K125">
        <v>1.4820143884892001</v>
      </c>
      <c r="L125" t="s">
        <v>328</v>
      </c>
      <c r="M125">
        <v>0.97275995575221197</v>
      </c>
      <c r="N125" t="s">
        <v>338</v>
      </c>
      <c r="O125">
        <v>0.85455369279564997</v>
      </c>
      <c r="P125" t="s">
        <v>258</v>
      </c>
      <c r="Q125">
        <v>1.60692212608158</v>
      </c>
      <c r="R125" t="s">
        <v>339</v>
      </c>
      <c r="S125">
        <v>1.2180183946488199</v>
      </c>
      <c r="T125" t="s">
        <v>245</v>
      </c>
      <c r="U125">
        <v>1.48412698412698</v>
      </c>
      <c r="V125" t="s">
        <v>263</v>
      </c>
      <c r="W125">
        <v>1.2309090909090901</v>
      </c>
      <c r="X125" t="s">
        <v>360</v>
      </c>
      <c r="Y125">
        <v>1.1170212765957399</v>
      </c>
      <c r="Z125" t="s">
        <v>352</v>
      </c>
      <c r="AA125">
        <v>1.2752659886793301</v>
      </c>
      <c r="AB125" t="s">
        <v>352</v>
      </c>
      <c r="AC125">
        <v>0.94946313792658898</v>
      </c>
      <c r="AD125" t="s">
        <v>334</v>
      </c>
      <c r="AE125">
        <v>0.875690607734806</v>
      </c>
      <c r="AF125" t="s">
        <v>365</v>
      </c>
      <c r="AG125">
        <v>1.1821274860203199</v>
      </c>
      <c r="AH125" t="s">
        <v>352</v>
      </c>
      <c r="AI125">
        <v>0.66603787821625204</v>
      </c>
      <c r="AJ125" t="s">
        <v>278</v>
      </c>
      <c r="AK125">
        <v>1.0933333333333299</v>
      </c>
      <c r="AL125" t="s">
        <v>359</v>
      </c>
      <c r="AM125">
        <v>1.1113172541743901</v>
      </c>
      <c r="AN125" t="s">
        <v>278</v>
      </c>
      <c r="AO125">
        <v>1.22284644194756</v>
      </c>
      <c r="AP125" t="s">
        <v>365</v>
      </c>
      <c r="AQ125">
        <v>0.808140457821379</v>
      </c>
      <c r="AR125" t="s">
        <v>263</v>
      </c>
      <c r="AS125">
        <v>0.79629629629629595</v>
      </c>
      <c r="AT125" t="s">
        <v>352</v>
      </c>
      <c r="AU125">
        <v>1.0519678190910999</v>
      </c>
      <c r="AV125" t="s">
        <v>334</v>
      </c>
      <c r="AW125">
        <v>0.90190735694822799</v>
      </c>
      <c r="AX125" t="s">
        <v>348</v>
      </c>
      <c r="AY125">
        <v>1.0630749014454599</v>
      </c>
      <c r="AZ125" t="s">
        <v>355</v>
      </c>
      <c r="BA125">
        <v>1.0587084148727901</v>
      </c>
      <c r="BB125" t="s">
        <v>342</v>
      </c>
      <c r="BC125">
        <v>0.77205882352941102</v>
      </c>
      <c r="BD125" t="s">
        <v>253</v>
      </c>
      <c r="BE125">
        <v>1.2490774907749</v>
      </c>
      <c r="BF125" t="s">
        <v>328</v>
      </c>
      <c r="BG125">
        <v>1.2499947176030499</v>
      </c>
      <c r="BH125" t="s">
        <v>366</v>
      </c>
      <c r="BI125">
        <v>0.88530465949820702</v>
      </c>
      <c r="BJ125" t="s">
        <v>366</v>
      </c>
      <c r="BK125">
        <v>0.81781376518218596</v>
      </c>
      <c r="BL125" t="s">
        <v>303</v>
      </c>
      <c r="BM125">
        <v>0.94767441860465096</v>
      </c>
      <c r="BN125" t="s">
        <v>374</v>
      </c>
      <c r="BO125">
        <v>1.1281138790035501</v>
      </c>
      <c r="BP125" t="s">
        <v>366</v>
      </c>
      <c r="BQ125">
        <v>0.946930280957336</v>
      </c>
      <c r="BR125" t="s">
        <v>352</v>
      </c>
      <c r="BS125">
        <v>1.06908267270668</v>
      </c>
      <c r="BT125" t="s">
        <v>361</v>
      </c>
      <c r="BU125">
        <v>1.06632784354091</v>
      </c>
      <c r="BV125" t="s">
        <v>368</v>
      </c>
      <c r="BW125">
        <v>0.98870056497175096</v>
      </c>
    </row>
    <row r="126" spans="1:75" x14ac:dyDescent="0.4">
      <c r="A126">
        <v>124</v>
      </c>
      <c r="B126" t="s">
        <v>229</v>
      </c>
      <c r="C126">
        <v>0.78917342799188595</v>
      </c>
      <c r="D126" t="s">
        <v>313</v>
      </c>
      <c r="E126">
        <v>0.80736196319018405</v>
      </c>
      <c r="F126" t="s">
        <v>227</v>
      </c>
      <c r="G126">
        <v>0.844444444444444</v>
      </c>
      <c r="H126" t="s">
        <v>245</v>
      </c>
      <c r="I126">
        <v>1.0621468926553601</v>
      </c>
      <c r="J126" t="s">
        <v>315</v>
      </c>
      <c r="K126">
        <v>1.1261533918948801</v>
      </c>
      <c r="L126" t="s">
        <v>347</v>
      </c>
      <c r="M126">
        <v>1.2978003384094701</v>
      </c>
      <c r="N126" t="s">
        <v>342</v>
      </c>
      <c r="O126">
        <v>0.89195402298850501</v>
      </c>
      <c r="P126" t="s">
        <v>339</v>
      </c>
      <c r="Q126">
        <v>0.97772327815246196</v>
      </c>
      <c r="R126" t="s">
        <v>111</v>
      </c>
      <c r="S126">
        <v>0.66246154853066297</v>
      </c>
      <c r="T126" t="s">
        <v>328</v>
      </c>
      <c r="U126">
        <v>0.91249351995852701</v>
      </c>
      <c r="V126" t="s">
        <v>356</v>
      </c>
      <c r="W126">
        <v>1.04126984126984</v>
      </c>
      <c r="X126" t="s">
        <v>327</v>
      </c>
      <c r="Y126">
        <v>1.07179487179487</v>
      </c>
      <c r="Z126" t="s">
        <v>275</v>
      </c>
      <c r="AA126">
        <v>0.97974683544303798</v>
      </c>
      <c r="AB126" t="s">
        <v>275</v>
      </c>
      <c r="AC126">
        <v>0.98449612403100695</v>
      </c>
      <c r="AD126" t="s">
        <v>342</v>
      </c>
      <c r="AE126">
        <v>0.73170731707317005</v>
      </c>
      <c r="AF126" t="s">
        <v>371</v>
      </c>
      <c r="AG126">
        <v>1.3802149178255301</v>
      </c>
      <c r="AH126" t="s">
        <v>275</v>
      </c>
      <c r="AI126">
        <v>0.95767195767195701</v>
      </c>
      <c r="AJ126" t="s">
        <v>365</v>
      </c>
      <c r="AK126">
        <v>1.00445192615367</v>
      </c>
      <c r="AL126" t="s">
        <v>278</v>
      </c>
      <c r="AM126">
        <v>1.08536585365853</v>
      </c>
      <c r="AN126" t="s">
        <v>365</v>
      </c>
      <c r="AO126">
        <v>1.19241325786973</v>
      </c>
      <c r="AP126" t="s">
        <v>367</v>
      </c>
      <c r="AQ126">
        <v>0.96074766355140095</v>
      </c>
      <c r="AR126" t="s">
        <v>356</v>
      </c>
      <c r="AS126">
        <v>0.86486486486486402</v>
      </c>
      <c r="AT126" t="s">
        <v>275</v>
      </c>
      <c r="AU126">
        <v>1.3150442477876101</v>
      </c>
      <c r="AV126" t="s">
        <v>358</v>
      </c>
      <c r="AW126">
        <v>1.2004008016032</v>
      </c>
      <c r="AX126" t="s">
        <v>353</v>
      </c>
      <c r="AY126">
        <v>1.97358490566037</v>
      </c>
      <c r="AZ126" t="s">
        <v>359</v>
      </c>
      <c r="BA126">
        <v>1.05026455026455</v>
      </c>
      <c r="BB126" t="s">
        <v>348</v>
      </c>
      <c r="BC126">
        <v>0.80465717981888696</v>
      </c>
      <c r="BD126" t="s">
        <v>337</v>
      </c>
      <c r="BE126">
        <v>1.0883424408014499</v>
      </c>
      <c r="BF126" t="s">
        <v>260</v>
      </c>
      <c r="BG126">
        <v>1.0783132530120401</v>
      </c>
      <c r="BH126" t="s">
        <v>303</v>
      </c>
      <c r="BI126">
        <v>1.2478813559322</v>
      </c>
      <c r="BJ126" t="s">
        <v>303</v>
      </c>
      <c r="BK126">
        <v>1.16808149405772</v>
      </c>
      <c r="BL126" t="s">
        <v>289</v>
      </c>
      <c r="BM126">
        <v>0.66379310344827502</v>
      </c>
      <c r="BN126" t="s">
        <v>381</v>
      </c>
      <c r="BO126">
        <v>1.1911423864175801</v>
      </c>
      <c r="BP126" t="s">
        <v>303</v>
      </c>
      <c r="BQ126">
        <v>1.00178890876565</v>
      </c>
      <c r="BR126" t="s">
        <v>359</v>
      </c>
      <c r="BS126">
        <v>0.94043092522179905</v>
      </c>
      <c r="BT126" t="s">
        <v>364</v>
      </c>
      <c r="BU126">
        <v>1.0996884735202399</v>
      </c>
      <c r="BV126" t="s">
        <v>361</v>
      </c>
      <c r="BW126">
        <v>1.21116138763197</v>
      </c>
    </row>
    <row r="127" spans="1:75" x14ac:dyDescent="0.4">
      <c r="A127">
        <v>125</v>
      </c>
      <c r="B127" t="s">
        <v>315</v>
      </c>
      <c r="C127">
        <v>0.98949118722979701</v>
      </c>
      <c r="D127" t="s">
        <v>224</v>
      </c>
      <c r="E127">
        <v>0.50752688172043003</v>
      </c>
      <c r="F127" t="s">
        <v>229</v>
      </c>
      <c r="G127">
        <v>0.48212560386473402</v>
      </c>
      <c r="H127" t="s">
        <v>250</v>
      </c>
      <c r="I127">
        <v>1.2973959078552</v>
      </c>
      <c r="J127" t="s">
        <v>232</v>
      </c>
      <c r="K127">
        <v>1.5812917594654701</v>
      </c>
      <c r="L127" t="s">
        <v>338</v>
      </c>
      <c r="M127">
        <v>1.18464841653247</v>
      </c>
      <c r="N127" t="s">
        <v>379</v>
      </c>
      <c r="O127">
        <v>1.00456621004566</v>
      </c>
      <c r="P127" t="s">
        <v>111</v>
      </c>
      <c r="Q127">
        <v>0.91091470049036405</v>
      </c>
      <c r="R127" t="s">
        <v>245</v>
      </c>
      <c r="S127">
        <v>1.05439330543933</v>
      </c>
      <c r="T127" t="s">
        <v>347</v>
      </c>
      <c r="U127">
        <v>1.0586466165413499</v>
      </c>
      <c r="V127" t="s">
        <v>334</v>
      </c>
      <c r="W127">
        <v>1.4055555555555499</v>
      </c>
      <c r="X127" t="s">
        <v>258</v>
      </c>
      <c r="Y127">
        <v>0.99425287356321801</v>
      </c>
      <c r="Z127" t="s">
        <v>359</v>
      </c>
      <c r="AA127">
        <v>0.98556701030927796</v>
      </c>
      <c r="AB127" t="s">
        <v>359</v>
      </c>
      <c r="AC127">
        <v>1.0794979079497899</v>
      </c>
      <c r="AD127" t="s">
        <v>358</v>
      </c>
      <c r="AE127">
        <v>0.64835164835164805</v>
      </c>
      <c r="AF127" t="s">
        <v>369</v>
      </c>
      <c r="AG127">
        <v>1.15151515151515</v>
      </c>
      <c r="AH127" t="s">
        <v>359</v>
      </c>
      <c r="AI127">
        <v>0.94559099437148197</v>
      </c>
      <c r="AJ127" t="s">
        <v>369</v>
      </c>
      <c r="AK127">
        <v>1.0944</v>
      </c>
      <c r="AL127" t="s">
        <v>367</v>
      </c>
      <c r="AM127">
        <v>1.0010040160642499</v>
      </c>
      <c r="AN127" t="s">
        <v>367</v>
      </c>
      <c r="AO127">
        <v>1.0732196589769301</v>
      </c>
      <c r="AP127" t="s">
        <v>364</v>
      </c>
      <c r="AQ127">
        <v>1.19406674907292</v>
      </c>
      <c r="AR127" t="s">
        <v>348</v>
      </c>
      <c r="AS127">
        <v>1.25535420098846</v>
      </c>
      <c r="AT127" t="s">
        <v>359</v>
      </c>
      <c r="AU127">
        <v>1.0293333333333301</v>
      </c>
      <c r="AV127" t="s">
        <v>352</v>
      </c>
      <c r="AW127">
        <v>1.06132010472647</v>
      </c>
      <c r="AX127" t="s">
        <v>358</v>
      </c>
      <c r="AY127">
        <v>1.07178631051752</v>
      </c>
      <c r="AZ127" t="s">
        <v>278</v>
      </c>
      <c r="BA127">
        <v>1.0792838874680299</v>
      </c>
      <c r="BB127" t="s">
        <v>352</v>
      </c>
      <c r="BC127">
        <v>0.89796825396825397</v>
      </c>
      <c r="BD127" t="s">
        <v>354</v>
      </c>
      <c r="BE127">
        <v>0.93357487922705296</v>
      </c>
      <c r="BF127" t="s">
        <v>338</v>
      </c>
      <c r="BG127">
        <v>1.0133729569093599</v>
      </c>
      <c r="BH127" t="s">
        <v>289</v>
      </c>
      <c r="BI127">
        <v>0.94444444444444398</v>
      </c>
      <c r="BJ127" t="s">
        <v>289</v>
      </c>
      <c r="BK127">
        <v>0.85294117647058798</v>
      </c>
      <c r="BL127" t="s">
        <v>374</v>
      </c>
      <c r="BM127">
        <v>0.851515151515151</v>
      </c>
      <c r="BN127" t="s">
        <v>383</v>
      </c>
      <c r="BO127">
        <v>1.0053619302949</v>
      </c>
      <c r="BP127" t="s">
        <v>289</v>
      </c>
      <c r="BQ127">
        <v>0.97597254004576595</v>
      </c>
      <c r="BR127" t="s">
        <v>278</v>
      </c>
      <c r="BS127">
        <v>0.80172413793103403</v>
      </c>
      <c r="BT127" t="s">
        <v>366</v>
      </c>
      <c r="BU127">
        <v>0.91365461847389495</v>
      </c>
      <c r="BV127" t="s">
        <v>364</v>
      </c>
      <c r="BW127">
        <v>1.12181303116147</v>
      </c>
    </row>
    <row r="128" spans="1:75" x14ac:dyDescent="0.4">
      <c r="A128">
        <v>126</v>
      </c>
      <c r="B128" t="s">
        <v>232</v>
      </c>
      <c r="C128">
        <v>0.90378006872852201</v>
      </c>
      <c r="D128" t="s">
        <v>229</v>
      </c>
      <c r="E128">
        <v>0.83132530120481896</v>
      </c>
      <c r="F128" t="s">
        <v>315</v>
      </c>
      <c r="G128">
        <v>0.61177840867729405</v>
      </c>
      <c r="H128" t="s">
        <v>357</v>
      </c>
      <c r="I128">
        <v>0.88541666666666596</v>
      </c>
      <c r="J128" t="s">
        <v>235</v>
      </c>
      <c r="K128">
        <v>1.3871190400339799</v>
      </c>
      <c r="L128" t="s">
        <v>342</v>
      </c>
      <c r="M128">
        <v>0.88775510204081598</v>
      </c>
      <c r="N128" t="s">
        <v>358</v>
      </c>
      <c r="O128">
        <v>0.8</v>
      </c>
      <c r="P128" t="s">
        <v>245</v>
      </c>
      <c r="Q128">
        <v>1.27263045793397</v>
      </c>
      <c r="R128" t="s">
        <v>357</v>
      </c>
      <c r="S128">
        <v>1.9861878453038599</v>
      </c>
      <c r="T128" t="s">
        <v>263</v>
      </c>
      <c r="U128">
        <v>1.12244897959183</v>
      </c>
      <c r="V128" t="s">
        <v>342</v>
      </c>
      <c r="W128">
        <v>1.1825095057034201</v>
      </c>
      <c r="X128" t="s">
        <v>339</v>
      </c>
      <c r="Y128">
        <v>1.25907320073815</v>
      </c>
      <c r="Z128" t="s">
        <v>278</v>
      </c>
      <c r="AA128">
        <v>1.0815217391304299</v>
      </c>
      <c r="AB128" t="s">
        <v>278</v>
      </c>
      <c r="AC128">
        <v>0.75544388609715196</v>
      </c>
      <c r="AD128" t="s">
        <v>352</v>
      </c>
      <c r="AE128">
        <v>0.77266114484123105</v>
      </c>
      <c r="AF128" t="s">
        <v>364</v>
      </c>
      <c r="AG128">
        <v>1.2230576441102701</v>
      </c>
      <c r="AH128" t="s">
        <v>278</v>
      </c>
      <c r="AI128">
        <v>0.89641434262948205</v>
      </c>
      <c r="AJ128" t="s">
        <v>364</v>
      </c>
      <c r="AK128">
        <v>0.89389920424403102</v>
      </c>
      <c r="AL128" t="s">
        <v>369</v>
      </c>
      <c r="AM128">
        <v>1.3918128654970701</v>
      </c>
      <c r="AN128" t="s">
        <v>364</v>
      </c>
      <c r="AO128">
        <v>1.25426356589147</v>
      </c>
      <c r="AP128" t="s">
        <v>366</v>
      </c>
      <c r="AQ128">
        <v>1.1479591836734599</v>
      </c>
      <c r="AR128" t="s">
        <v>351</v>
      </c>
      <c r="AS128">
        <v>0.84262295081967198</v>
      </c>
      <c r="AT128" t="s">
        <v>278</v>
      </c>
      <c r="AU128">
        <v>1.04234527687296</v>
      </c>
      <c r="AV128" t="s">
        <v>359</v>
      </c>
      <c r="AW128">
        <v>1.01036269430051</v>
      </c>
      <c r="AX128" t="s">
        <v>352</v>
      </c>
      <c r="AY128">
        <v>1.0272872846879599</v>
      </c>
      <c r="AZ128" t="s">
        <v>372</v>
      </c>
      <c r="BA128">
        <v>1.08465608465608</v>
      </c>
      <c r="BB128" t="s">
        <v>355</v>
      </c>
      <c r="BC128">
        <v>0.84103512014787396</v>
      </c>
      <c r="BD128" t="s">
        <v>328</v>
      </c>
      <c r="BE128">
        <v>0.95774562379844097</v>
      </c>
      <c r="BF128" t="s">
        <v>342</v>
      </c>
      <c r="BG128">
        <v>0.90983606557376995</v>
      </c>
      <c r="BH128" t="s">
        <v>374</v>
      </c>
      <c r="BI128">
        <v>0.91486486486486396</v>
      </c>
      <c r="BJ128" t="s">
        <v>374</v>
      </c>
      <c r="BK128">
        <v>0.97488921713441601</v>
      </c>
      <c r="BL128" t="s">
        <v>375</v>
      </c>
      <c r="BM128">
        <v>1.20361247947454</v>
      </c>
      <c r="BN128" t="s">
        <v>386</v>
      </c>
      <c r="BO128">
        <v>1.0310880829015501</v>
      </c>
      <c r="BP128" t="s">
        <v>374</v>
      </c>
      <c r="BQ128">
        <v>1.00788643533123</v>
      </c>
      <c r="BR128" t="s">
        <v>362</v>
      </c>
      <c r="BS128">
        <v>1.0846484935437499</v>
      </c>
      <c r="BT128" t="s">
        <v>303</v>
      </c>
      <c r="BU128">
        <v>1.02862985685071</v>
      </c>
      <c r="BV128" t="s">
        <v>366</v>
      </c>
      <c r="BW128">
        <v>1.04615384615384</v>
      </c>
    </row>
    <row r="129" spans="1:75" x14ac:dyDescent="0.4">
      <c r="A129">
        <v>127</v>
      </c>
      <c r="B129" t="s">
        <v>327</v>
      </c>
      <c r="C129">
        <v>1.08221544341945</v>
      </c>
      <c r="D129" t="s">
        <v>315</v>
      </c>
      <c r="E129">
        <v>0.92337164750957801</v>
      </c>
      <c r="F129" t="s">
        <v>232</v>
      </c>
      <c r="G129">
        <v>0.54488188976377905</v>
      </c>
      <c r="H129" t="s">
        <v>253</v>
      </c>
      <c r="I129">
        <v>1.1378205128205101</v>
      </c>
      <c r="J129" t="s">
        <v>327</v>
      </c>
      <c r="K129">
        <v>1.0687797147385101</v>
      </c>
      <c r="L129" t="s">
        <v>379</v>
      </c>
      <c r="M129">
        <v>1.2126245847176</v>
      </c>
      <c r="N129" t="s">
        <v>352</v>
      </c>
      <c r="O129">
        <v>0.94197825115447598</v>
      </c>
      <c r="P129" t="s">
        <v>357</v>
      </c>
      <c r="Q129">
        <v>0.81531531531531498</v>
      </c>
      <c r="R129" t="s">
        <v>253</v>
      </c>
      <c r="S129">
        <v>1.4814814814814801</v>
      </c>
      <c r="T129" t="s">
        <v>356</v>
      </c>
      <c r="U129">
        <v>1.0161290322580601</v>
      </c>
      <c r="V129" t="s">
        <v>379</v>
      </c>
      <c r="W129">
        <v>1.24302788844621</v>
      </c>
      <c r="X129" t="s">
        <v>111</v>
      </c>
      <c r="Y129">
        <v>0.90016397687062999</v>
      </c>
      <c r="Z129" t="s">
        <v>368</v>
      </c>
      <c r="AA129">
        <v>0.87894736842105203</v>
      </c>
      <c r="AB129" t="s">
        <v>368</v>
      </c>
      <c r="AC129">
        <v>0.78443113772454998</v>
      </c>
      <c r="AD129" t="s">
        <v>275</v>
      </c>
      <c r="AE129">
        <v>1.0026246719160099</v>
      </c>
      <c r="AF129" t="s">
        <v>366</v>
      </c>
      <c r="AG129">
        <v>1.1139817629179301</v>
      </c>
      <c r="AH129" t="s">
        <v>368</v>
      </c>
      <c r="AI129">
        <v>0.80630630630630595</v>
      </c>
      <c r="AJ129" t="s">
        <v>303</v>
      </c>
      <c r="AK129">
        <v>0.77617460488119505</v>
      </c>
      <c r="AL129" t="s">
        <v>364</v>
      </c>
      <c r="AM129">
        <v>0.95697329376854601</v>
      </c>
      <c r="AN129" t="s">
        <v>366</v>
      </c>
      <c r="AO129">
        <v>1.06666666666666</v>
      </c>
      <c r="AP129" t="s">
        <v>376</v>
      </c>
      <c r="AQ129">
        <v>1.11411992263056</v>
      </c>
      <c r="AR129" t="s">
        <v>358</v>
      </c>
      <c r="AS129">
        <v>0.80310077519379797</v>
      </c>
      <c r="AT129" t="s">
        <v>368</v>
      </c>
      <c r="AU129">
        <v>1.3235294117647001</v>
      </c>
      <c r="AV129" t="s">
        <v>278</v>
      </c>
      <c r="AW129">
        <v>1.15625</v>
      </c>
      <c r="AX129" t="s">
        <v>359</v>
      </c>
      <c r="AY129">
        <v>0.96923076923076901</v>
      </c>
      <c r="AZ129" t="s">
        <v>365</v>
      </c>
      <c r="BA129">
        <v>0.80000423495532103</v>
      </c>
      <c r="BB129" t="s">
        <v>359</v>
      </c>
      <c r="BC129">
        <v>0.93954659949622099</v>
      </c>
      <c r="BD129" t="s">
        <v>260</v>
      </c>
      <c r="BE129">
        <v>0.88454706927175797</v>
      </c>
      <c r="BF129" t="s">
        <v>348</v>
      </c>
      <c r="BG129">
        <v>0.96728971962616805</v>
      </c>
      <c r="BH129" t="s">
        <v>381</v>
      </c>
      <c r="BI129">
        <v>0.78229774831100796</v>
      </c>
      <c r="BJ129" t="s">
        <v>375</v>
      </c>
      <c r="BK129">
        <v>1.00329489291598</v>
      </c>
      <c r="BL129" t="s">
        <v>381</v>
      </c>
      <c r="BM129">
        <v>0.90443237782548302</v>
      </c>
      <c r="BN129" t="s">
        <v>390</v>
      </c>
      <c r="BO129">
        <v>1.1256410256410201</v>
      </c>
      <c r="BP129" t="s">
        <v>380</v>
      </c>
      <c r="BQ129">
        <v>0.96685082872928096</v>
      </c>
      <c r="BR129" t="s">
        <v>361</v>
      </c>
      <c r="BS129">
        <v>0.91443362649645499</v>
      </c>
      <c r="BT129" t="s">
        <v>289</v>
      </c>
      <c r="BU129">
        <v>0.98763906056860296</v>
      </c>
      <c r="BV129" t="s">
        <v>289</v>
      </c>
      <c r="BW129">
        <v>1.0525657071339101</v>
      </c>
    </row>
    <row r="130" spans="1:75" x14ac:dyDescent="0.4">
      <c r="A130">
        <v>128</v>
      </c>
      <c r="B130" t="s">
        <v>239</v>
      </c>
      <c r="C130">
        <v>1.2734868773433301</v>
      </c>
      <c r="D130" t="s">
        <v>232</v>
      </c>
      <c r="E130">
        <v>0.96577946768060796</v>
      </c>
      <c r="F130" t="s">
        <v>327</v>
      </c>
      <c r="G130">
        <v>0.60611250666057703</v>
      </c>
      <c r="H130" t="s">
        <v>337</v>
      </c>
      <c r="I130">
        <v>1.0743253816532199</v>
      </c>
      <c r="J130" t="s">
        <v>239</v>
      </c>
      <c r="K130">
        <v>2.0644950073661801</v>
      </c>
      <c r="L130" t="s">
        <v>358</v>
      </c>
      <c r="M130">
        <v>1.36663105413105</v>
      </c>
      <c r="N130" t="s">
        <v>275</v>
      </c>
      <c r="O130">
        <v>1.0022779043280099</v>
      </c>
      <c r="P130" t="s">
        <v>253</v>
      </c>
      <c r="Q130">
        <v>1.07339449541284</v>
      </c>
      <c r="R130" t="s">
        <v>328</v>
      </c>
      <c r="S130">
        <v>1.00437363323961</v>
      </c>
      <c r="T130" t="s">
        <v>334</v>
      </c>
      <c r="U130">
        <v>1.1612903225806399</v>
      </c>
      <c r="V130" t="s">
        <v>358</v>
      </c>
      <c r="W130">
        <v>1.34230769230769</v>
      </c>
      <c r="X130" t="s">
        <v>328</v>
      </c>
      <c r="Y130">
        <v>1.11654747770384</v>
      </c>
      <c r="Z130" t="s">
        <v>372</v>
      </c>
      <c r="AA130">
        <v>0.83811710677382301</v>
      </c>
      <c r="AB130" t="s">
        <v>372</v>
      </c>
      <c r="AC130">
        <v>0.89863013698630101</v>
      </c>
      <c r="AD130" t="s">
        <v>359</v>
      </c>
      <c r="AE130">
        <v>0.95542635658914699</v>
      </c>
      <c r="AF130" t="s">
        <v>303</v>
      </c>
      <c r="AG130">
        <v>1.0321955806299901</v>
      </c>
      <c r="AH130" t="s">
        <v>372</v>
      </c>
      <c r="AI130">
        <v>0.87752161383285299</v>
      </c>
      <c r="AJ130" t="s">
        <v>289</v>
      </c>
      <c r="AK130">
        <v>1.10585585585585</v>
      </c>
      <c r="AL130" t="s">
        <v>289</v>
      </c>
      <c r="AM130">
        <v>1.3727087576374699</v>
      </c>
      <c r="AN130" t="s">
        <v>289</v>
      </c>
      <c r="AO130">
        <v>1.4540059347181</v>
      </c>
      <c r="AP130" t="s">
        <v>289</v>
      </c>
      <c r="AQ130">
        <v>1.12244897959183</v>
      </c>
      <c r="AR130" t="s">
        <v>352</v>
      </c>
      <c r="AS130">
        <v>1.27255118981737</v>
      </c>
      <c r="AT130" t="s">
        <v>372</v>
      </c>
      <c r="AU130">
        <v>1.0337552742616001</v>
      </c>
      <c r="AV130" t="s">
        <v>368</v>
      </c>
      <c r="AW130">
        <v>2.3037037037036998</v>
      </c>
      <c r="AX130" t="s">
        <v>278</v>
      </c>
      <c r="AY130">
        <v>1.05675675675675</v>
      </c>
      <c r="AZ130" t="s">
        <v>367</v>
      </c>
      <c r="BA130">
        <v>1.4125874125874101</v>
      </c>
      <c r="BB130" t="s">
        <v>278</v>
      </c>
      <c r="BC130">
        <v>1.09004739336492</v>
      </c>
      <c r="BD130" t="s">
        <v>334</v>
      </c>
      <c r="BE130">
        <v>0.91866028708133896</v>
      </c>
      <c r="BF130" t="s">
        <v>351</v>
      </c>
      <c r="BG130">
        <v>1.17070063694267</v>
      </c>
      <c r="BH130" t="s">
        <v>382</v>
      </c>
      <c r="BI130">
        <v>0.79022082018927398</v>
      </c>
      <c r="BJ130" t="s">
        <v>381</v>
      </c>
      <c r="BK130">
        <v>0.91063810213773899</v>
      </c>
      <c r="BL130" t="s">
        <v>382</v>
      </c>
      <c r="BM130">
        <v>1.0114122681883</v>
      </c>
      <c r="BN130" t="s">
        <v>393</v>
      </c>
      <c r="BO130">
        <v>1.0172413793103401</v>
      </c>
      <c r="BP130" t="s">
        <v>381</v>
      </c>
      <c r="BQ130">
        <v>1.1686046511627901</v>
      </c>
      <c r="BR130" t="s">
        <v>364</v>
      </c>
      <c r="BS130">
        <v>0.88674033149171205</v>
      </c>
      <c r="BT130" t="s">
        <v>374</v>
      </c>
      <c r="BU130">
        <v>0.91922455573505601</v>
      </c>
      <c r="BV130" t="s">
        <v>374</v>
      </c>
      <c r="BW130">
        <v>1.11247803163444</v>
      </c>
    </row>
    <row r="131" spans="1:75" x14ac:dyDescent="0.4">
      <c r="A131">
        <v>129</v>
      </c>
      <c r="B131" t="s">
        <v>245</v>
      </c>
      <c r="C131">
        <v>0.94432548179871501</v>
      </c>
      <c r="D131" t="s">
        <v>327</v>
      </c>
      <c r="E131">
        <v>0.89227738911906496</v>
      </c>
      <c r="F131" t="s">
        <v>239</v>
      </c>
      <c r="G131">
        <v>0.60568625669906395</v>
      </c>
      <c r="H131" t="s">
        <v>370</v>
      </c>
      <c r="I131">
        <v>1.0130718954248299</v>
      </c>
      <c r="J131" t="s">
        <v>258</v>
      </c>
      <c r="K131">
        <v>1.1596638655462099</v>
      </c>
      <c r="L131" t="s">
        <v>352</v>
      </c>
      <c r="M131">
        <v>0.96150678554803504</v>
      </c>
      <c r="N131" t="s">
        <v>359</v>
      </c>
      <c r="O131">
        <v>0.934333958724202</v>
      </c>
      <c r="P131" t="s">
        <v>370</v>
      </c>
      <c r="Q131">
        <v>0.461409395973154</v>
      </c>
      <c r="R131" t="s">
        <v>347</v>
      </c>
      <c r="S131">
        <v>1.1083333333333301</v>
      </c>
      <c r="T131" t="s">
        <v>342</v>
      </c>
      <c r="U131">
        <v>1.0193798449612399</v>
      </c>
      <c r="V131" t="s">
        <v>352</v>
      </c>
      <c r="W131">
        <v>1.1090589270008699</v>
      </c>
      <c r="X131" t="s">
        <v>347</v>
      </c>
      <c r="Y131">
        <v>0.953521126760563</v>
      </c>
      <c r="Z131" t="s">
        <v>365</v>
      </c>
      <c r="AA131">
        <v>0.86735843194117102</v>
      </c>
      <c r="AB131" t="s">
        <v>365</v>
      </c>
      <c r="AC131">
        <v>0.81242303702432195</v>
      </c>
      <c r="AD131" t="s">
        <v>278</v>
      </c>
      <c r="AE131">
        <v>1.11086474501108</v>
      </c>
      <c r="AF131" t="s">
        <v>289</v>
      </c>
      <c r="AG131">
        <v>0.98</v>
      </c>
      <c r="AH131" t="s">
        <v>365</v>
      </c>
      <c r="AI131">
        <v>0.65261485382240703</v>
      </c>
      <c r="AJ131" t="s">
        <v>295</v>
      </c>
      <c r="AK131">
        <v>1.20746887966804</v>
      </c>
      <c r="AL131" t="s">
        <v>295</v>
      </c>
      <c r="AM131">
        <v>1.0343642611683801</v>
      </c>
      <c r="AN131" t="s">
        <v>377</v>
      </c>
      <c r="AO131">
        <v>1.08210526315789</v>
      </c>
      <c r="AP131" t="s">
        <v>377</v>
      </c>
      <c r="AQ131">
        <v>1.11867704280155</v>
      </c>
      <c r="AR131" t="s">
        <v>355</v>
      </c>
      <c r="AS131">
        <v>0.92495126705652997</v>
      </c>
      <c r="AT131" t="s">
        <v>365</v>
      </c>
      <c r="AU131">
        <v>0.89589817933739802</v>
      </c>
      <c r="AV131" t="s">
        <v>372</v>
      </c>
      <c r="AW131">
        <v>0.946938775510204</v>
      </c>
      <c r="AX131" t="s">
        <v>372</v>
      </c>
      <c r="AY131">
        <v>1.22198275862068</v>
      </c>
      <c r="AZ131" t="s">
        <v>364</v>
      </c>
      <c r="BA131">
        <v>1.31196581196581</v>
      </c>
      <c r="BB131" t="s">
        <v>372</v>
      </c>
      <c r="BC131">
        <v>1.0097560975609701</v>
      </c>
      <c r="BD131" t="s">
        <v>338</v>
      </c>
      <c r="BE131">
        <v>0.86726804123711299</v>
      </c>
      <c r="BF131" t="s">
        <v>358</v>
      </c>
      <c r="BG131">
        <v>0.85031847133757898</v>
      </c>
      <c r="BH131" t="s">
        <v>383</v>
      </c>
      <c r="BI131">
        <v>0.81756756756756699</v>
      </c>
      <c r="BJ131" t="s">
        <v>383</v>
      </c>
      <c r="BK131">
        <v>0.98898071625344297</v>
      </c>
      <c r="BL131" t="s">
        <v>383</v>
      </c>
      <c r="BM131">
        <v>1.03899721448467</v>
      </c>
      <c r="BN131" t="s">
        <v>395</v>
      </c>
      <c r="BO131">
        <v>0.91400000000000003</v>
      </c>
      <c r="BP131" t="s">
        <v>383</v>
      </c>
      <c r="BQ131">
        <v>0.98133333333333295</v>
      </c>
      <c r="BR131" t="s">
        <v>366</v>
      </c>
      <c r="BS131">
        <v>1.09450549450549</v>
      </c>
      <c r="BT131" t="s">
        <v>380</v>
      </c>
      <c r="BU131">
        <v>0.97402597402597402</v>
      </c>
      <c r="BV131" t="s">
        <v>380</v>
      </c>
      <c r="BW131">
        <v>1.02666666666666</v>
      </c>
    </row>
    <row r="132" spans="1:75" x14ac:dyDescent="0.4">
      <c r="A132">
        <v>130</v>
      </c>
      <c r="B132" t="s">
        <v>357</v>
      </c>
      <c r="C132">
        <v>0.92870722433459996</v>
      </c>
      <c r="D132" t="s">
        <v>239</v>
      </c>
      <c r="E132">
        <v>0.92605989232839803</v>
      </c>
      <c r="F132" t="s">
        <v>258</v>
      </c>
      <c r="G132">
        <v>0.806962025316455</v>
      </c>
      <c r="H132" t="s">
        <v>328</v>
      </c>
      <c r="I132">
        <v>0.783662498006788</v>
      </c>
      <c r="J132" t="s">
        <v>111</v>
      </c>
      <c r="K132">
        <v>1.38504643902817</v>
      </c>
      <c r="L132" t="s">
        <v>275</v>
      </c>
      <c r="M132">
        <v>1.1057934508816101</v>
      </c>
      <c r="N132" t="s">
        <v>278</v>
      </c>
      <c r="O132">
        <v>1.01754385964912</v>
      </c>
      <c r="P132" t="s">
        <v>328</v>
      </c>
      <c r="Q132">
        <v>0.92953247507501602</v>
      </c>
      <c r="R132" t="s">
        <v>338</v>
      </c>
      <c r="S132">
        <v>1.30067753158762</v>
      </c>
      <c r="T132" t="s">
        <v>358</v>
      </c>
      <c r="U132">
        <v>0.98859315589353602</v>
      </c>
      <c r="V132" t="s">
        <v>275</v>
      </c>
      <c r="W132">
        <v>1.0358851674641101</v>
      </c>
      <c r="X132" t="s">
        <v>263</v>
      </c>
      <c r="Y132">
        <v>0.90398818316100404</v>
      </c>
      <c r="Z132" t="s">
        <v>367</v>
      </c>
      <c r="AA132">
        <v>0.82811353070712002</v>
      </c>
      <c r="AB132" t="s">
        <v>367</v>
      </c>
      <c r="AC132">
        <v>0.75771901314817502</v>
      </c>
      <c r="AD132" t="s">
        <v>368</v>
      </c>
      <c r="AE132">
        <v>0.79007633587786197</v>
      </c>
      <c r="AF132" t="s">
        <v>377</v>
      </c>
      <c r="AG132">
        <v>1.23267326732673</v>
      </c>
      <c r="AH132" t="s">
        <v>369</v>
      </c>
      <c r="AI132">
        <v>0.91374269005847897</v>
      </c>
      <c r="AJ132" t="s">
        <v>377</v>
      </c>
      <c r="AK132">
        <v>0.92827586206896495</v>
      </c>
      <c r="AL132" t="s">
        <v>377</v>
      </c>
      <c r="AM132">
        <v>1.4115898959881099</v>
      </c>
      <c r="AN132" t="s">
        <v>374</v>
      </c>
      <c r="AO132">
        <v>0.87123287671232796</v>
      </c>
      <c r="AP132" t="s">
        <v>373</v>
      </c>
      <c r="AQ132">
        <v>1.36363636363636</v>
      </c>
      <c r="AR132" t="s">
        <v>275</v>
      </c>
      <c r="AS132">
        <v>1.00177304964539</v>
      </c>
      <c r="AT132" t="s">
        <v>367</v>
      </c>
      <c r="AU132">
        <v>0.99068322981366397</v>
      </c>
      <c r="AV132" t="s">
        <v>365</v>
      </c>
      <c r="AW132">
        <v>1.2399876258239499</v>
      </c>
      <c r="AX132" t="s">
        <v>365</v>
      </c>
      <c r="AY132">
        <v>0.90630997159745097</v>
      </c>
      <c r="AZ132" t="s">
        <v>366</v>
      </c>
      <c r="BA132">
        <v>1.11363636363636</v>
      </c>
      <c r="BB132" t="s">
        <v>365</v>
      </c>
      <c r="BC132">
        <v>0.66313755591434798</v>
      </c>
      <c r="BD132" t="s">
        <v>348</v>
      </c>
      <c r="BE132">
        <v>1.0321543408360101</v>
      </c>
      <c r="BF132" t="s">
        <v>352</v>
      </c>
      <c r="BG132">
        <v>1.0307089186540299</v>
      </c>
      <c r="BH132" t="s">
        <v>385</v>
      </c>
      <c r="BI132">
        <v>0.75772558714462301</v>
      </c>
      <c r="BJ132" t="s">
        <v>385</v>
      </c>
      <c r="BK132">
        <v>1.5089722675367001</v>
      </c>
      <c r="BL132" t="s">
        <v>386</v>
      </c>
      <c r="BM132">
        <v>0.86353467561521202</v>
      </c>
      <c r="BN132" t="s">
        <v>396</v>
      </c>
      <c r="BO132">
        <v>0.97854077253218796</v>
      </c>
      <c r="BP132" t="s">
        <v>386</v>
      </c>
      <c r="BQ132">
        <v>0.947236180904522</v>
      </c>
      <c r="BR132" t="s">
        <v>303</v>
      </c>
      <c r="BS132">
        <v>0.87321428571428505</v>
      </c>
      <c r="BT132" t="s">
        <v>381</v>
      </c>
      <c r="BU132">
        <v>0.96682551319648002</v>
      </c>
      <c r="BV132" t="s">
        <v>381</v>
      </c>
      <c r="BW132">
        <v>1.1327014218009399</v>
      </c>
    </row>
    <row r="133" spans="1:75" x14ac:dyDescent="0.4">
      <c r="A133">
        <v>131</v>
      </c>
      <c r="B133" t="s">
        <v>253</v>
      </c>
      <c r="C133">
        <v>0.93894736842105198</v>
      </c>
      <c r="D133" t="s">
        <v>339</v>
      </c>
      <c r="E133">
        <v>1.1257035647279501</v>
      </c>
      <c r="F133" t="s">
        <v>111</v>
      </c>
      <c r="G133">
        <v>0.790351255717614</v>
      </c>
      <c r="H133" t="s">
        <v>257</v>
      </c>
      <c r="I133">
        <v>1.2016129032258001</v>
      </c>
      <c r="J133" t="s">
        <v>245</v>
      </c>
      <c r="K133">
        <v>1.63404255319148</v>
      </c>
      <c r="L133" t="s">
        <v>359</v>
      </c>
      <c r="M133">
        <v>0.97262773722627704</v>
      </c>
      <c r="N133" t="s">
        <v>368</v>
      </c>
      <c r="O133">
        <v>0.80645161290322498</v>
      </c>
      <c r="P133" t="s">
        <v>338</v>
      </c>
      <c r="Q133">
        <v>1.44777306468716</v>
      </c>
      <c r="R133" t="s">
        <v>342</v>
      </c>
      <c r="S133">
        <v>0.66323907455012798</v>
      </c>
      <c r="T133" t="s">
        <v>352</v>
      </c>
      <c r="U133">
        <v>1.2942055276918101</v>
      </c>
      <c r="V133" t="s">
        <v>359</v>
      </c>
      <c r="W133">
        <v>1.0210526315789401</v>
      </c>
      <c r="X133" t="s">
        <v>356</v>
      </c>
      <c r="Y133">
        <v>0.98780487804878003</v>
      </c>
      <c r="Z133" t="s">
        <v>369</v>
      </c>
      <c r="AA133">
        <v>1.01162790697674</v>
      </c>
      <c r="AB133" t="s">
        <v>369</v>
      </c>
      <c r="AC133">
        <v>1.23563218390804</v>
      </c>
      <c r="AD133" t="s">
        <v>365</v>
      </c>
      <c r="AE133">
        <v>0.85588697305688999</v>
      </c>
      <c r="AF133" t="s">
        <v>373</v>
      </c>
      <c r="AG133">
        <v>1.2884990253411299</v>
      </c>
      <c r="AH133" t="s">
        <v>364</v>
      </c>
      <c r="AI133">
        <v>0.77254098360655699</v>
      </c>
      <c r="AJ133" t="s">
        <v>374</v>
      </c>
      <c r="AK133">
        <v>1.2364793213149501</v>
      </c>
      <c r="AL133" t="s">
        <v>374</v>
      </c>
      <c r="AM133">
        <v>1.2521440823327601</v>
      </c>
      <c r="AN133" t="s">
        <v>381</v>
      </c>
      <c r="AO133">
        <v>0.874711330143085</v>
      </c>
      <c r="AP133" t="s">
        <v>374</v>
      </c>
      <c r="AQ133">
        <v>1.17767295597484</v>
      </c>
      <c r="AR133" t="s">
        <v>359</v>
      </c>
      <c r="AS133">
        <v>0.97529258777633199</v>
      </c>
      <c r="AT133" t="s">
        <v>364</v>
      </c>
      <c r="AU133">
        <v>0.91598915989159801</v>
      </c>
      <c r="AV133" t="s">
        <v>367</v>
      </c>
      <c r="AW133">
        <v>1.0261233019853699</v>
      </c>
      <c r="AX133" t="s">
        <v>367</v>
      </c>
      <c r="AY133">
        <v>1.16496945010183</v>
      </c>
      <c r="AZ133" t="s">
        <v>303</v>
      </c>
      <c r="BA133">
        <v>0.92884615384615299</v>
      </c>
      <c r="BB133" t="s">
        <v>363</v>
      </c>
      <c r="BC133">
        <v>0.98632218844984798</v>
      </c>
      <c r="BD133" t="s">
        <v>351</v>
      </c>
      <c r="BE133">
        <v>1.13768115942028</v>
      </c>
      <c r="BF133" t="s">
        <v>275</v>
      </c>
      <c r="BG133">
        <v>1.0558659217877</v>
      </c>
      <c r="BH133" t="s">
        <v>392</v>
      </c>
      <c r="BI133">
        <v>0.73478260869565204</v>
      </c>
      <c r="BJ133" t="s">
        <v>386</v>
      </c>
      <c r="BK133">
        <v>1.02054794520547</v>
      </c>
      <c r="BL133" t="s">
        <v>390</v>
      </c>
      <c r="BM133">
        <v>0.79591836734693799</v>
      </c>
      <c r="BN133" t="s">
        <v>397</v>
      </c>
      <c r="BO133">
        <v>1.10010537407797</v>
      </c>
      <c r="BP133" t="s">
        <v>390</v>
      </c>
      <c r="BQ133">
        <v>1.1753986332574</v>
      </c>
      <c r="BR133" t="s">
        <v>289</v>
      </c>
      <c r="BS133">
        <v>0.94841735052754905</v>
      </c>
      <c r="BT133" t="s">
        <v>383</v>
      </c>
      <c r="BU133">
        <v>0.98090692124104994</v>
      </c>
      <c r="BV133" t="s">
        <v>383</v>
      </c>
      <c r="BW133">
        <v>1.0875912408759101</v>
      </c>
    </row>
    <row r="134" spans="1:75" x14ac:dyDescent="0.4">
      <c r="A134">
        <v>132</v>
      </c>
      <c r="B134" t="s">
        <v>344</v>
      </c>
      <c r="C134">
        <v>1.6486332574031799</v>
      </c>
      <c r="D134" t="s">
        <v>245</v>
      </c>
      <c r="E134">
        <v>0.73696145124716494</v>
      </c>
      <c r="F134" t="s">
        <v>245</v>
      </c>
      <c r="G134">
        <v>0.68076923076923002</v>
      </c>
      <c r="H134" t="s">
        <v>263</v>
      </c>
      <c r="I134">
        <v>0.94389438943894299</v>
      </c>
      <c r="J134" t="s">
        <v>248</v>
      </c>
      <c r="K134">
        <v>1.0944178885728999</v>
      </c>
      <c r="L134" t="s">
        <v>278</v>
      </c>
      <c r="M134">
        <v>1.1058201058201</v>
      </c>
      <c r="N134" t="s">
        <v>372</v>
      </c>
      <c r="O134">
        <v>1.0469432314410401</v>
      </c>
      <c r="P134" t="s">
        <v>342</v>
      </c>
      <c r="Q134">
        <v>1.00257731958762</v>
      </c>
      <c r="R134" t="s">
        <v>379</v>
      </c>
      <c r="S134">
        <v>1.17948717948717</v>
      </c>
      <c r="T134" t="s">
        <v>275</v>
      </c>
      <c r="U134">
        <v>1.0398009950248699</v>
      </c>
      <c r="V134" t="s">
        <v>278</v>
      </c>
      <c r="W134">
        <v>0.95025728987993097</v>
      </c>
      <c r="X134" t="s">
        <v>334</v>
      </c>
      <c r="Y134">
        <v>0.80434782608695599</v>
      </c>
      <c r="Z134" t="s">
        <v>364</v>
      </c>
      <c r="AA134">
        <v>0.78592814371257402</v>
      </c>
      <c r="AB134" t="s">
        <v>364</v>
      </c>
      <c r="AC134">
        <v>0.88571428571428501</v>
      </c>
      <c r="AD134" t="s">
        <v>364</v>
      </c>
      <c r="AE134">
        <v>0.85806451612903201</v>
      </c>
      <c r="AF134" t="s">
        <v>374</v>
      </c>
      <c r="AG134">
        <v>1.1931243680485299</v>
      </c>
      <c r="AH134" t="s">
        <v>366</v>
      </c>
      <c r="AI134">
        <v>0.834924965893588</v>
      </c>
      <c r="AJ134" t="s">
        <v>381</v>
      </c>
      <c r="AK134">
        <v>1.4694927154642701</v>
      </c>
      <c r="AL134" t="s">
        <v>375</v>
      </c>
      <c r="AM134">
        <v>1.1661073825503301</v>
      </c>
      <c r="AN134" t="s">
        <v>389</v>
      </c>
      <c r="AO134">
        <v>1.05107084019769</v>
      </c>
      <c r="AP134" t="s">
        <v>381</v>
      </c>
      <c r="AQ134">
        <v>1.07885031504742</v>
      </c>
      <c r="AR134" t="s">
        <v>278</v>
      </c>
      <c r="AS134">
        <v>1.1455223880597001</v>
      </c>
      <c r="AT134" t="s">
        <v>366</v>
      </c>
      <c r="AU134">
        <v>1.08869987849331</v>
      </c>
      <c r="AV134" t="s">
        <v>364</v>
      </c>
      <c r="AW134">
        <v>1.0887573964496999</v>
      </c>
      <c r="AX134" t="s">
        <v>364</v>
      </c>
      <c r="AY134">
        <v>0.95380434782608603</v>
      </c>
      <c r="AZ134" t="s">
        <v>289</v>
      </c>
      <c r="BA134">
        <v>1.16143497757847</v>
      </c>
      <c r="BB134" t="s">
        <v>364</v>
      </c>
      <c r="BC134">
        <v>0.84039087947882696</v>
      </c>
      <c r="BD134" t="s">
        <v>352</v>
      </c>
      <c r="BE134">
        <v>1.08216078625468</v>
      </c>
      <c r="BF134" t="s">
        <v>359</v>
      </c>
      <c r="BG134">
        <v>1.06798866855524</v>
      </c>
      <c r="BH134" t="s">
        <v>386</v>
      </c>
      <c r="BI134">
        <v>0.71103896103896103</v>
      </c>
      <c r="BJ134" t="s">
        <v>393</v>
      </c>
      <c r="BK134">
        <v>1.05037037037037</v>
      </c>
      <c r="BL134" t="s">
        <v>393</v>
      </c>
      <c r="BM134">
        <v>0.98166431593794001</v>
      </c>
      <c r="BN134" t="s">
        <v>402</v>
      </c>
      <c r="BO134">
        <v>1.0976331360946701</v>
      </c>
      <c r="BP134" t="s">
        <v>393</v>
      </c>
      <c r="BQ134">
        <v>1.00847457627118</v>
      </c>
      <c r="BR134" t="s">
        <v>374</v>
      </c>
      <c r="BS134">
        <v>0.96870109546165795</v>
      </c>
      <c r="BT134" t="s">
        <v>386</v>
      </c>
      <c r="BU134">
        <v>1.00277777777777</v>
      </c>
      <c r="BV134" t="s">
        <v>386</v>
      </c>
      <c r="BW134">
        <v>1.0526315789473599</v>
      </c>
    </row>
    <row r="135" spans="1:75" x14ac:dyDescent="0.4">
      <c r="A135">
        <v>133</v>
      </c>
      <c r="B135" t="s">
        <v>328</v>
      </c>
      <c r="C135">
        <v>0.95269565217391305</v>
      </c>
      <c r="D135" t="s">
        <v>357</v>
      </c>
      <c r="E135">
        <v>0.62743091095189296</v>
      </c>
      <c r="F135" t="s">
        <v>357</v>
      </c>
      <c r="G135">
        <v>0.62642740619902104</v>
      </c>
      <c r="H135" t="s">
        <v>342</v>
      </c>
      <c r="I135">
        <v>1.40425531914893</v>
      </c>
      <c r="J135" t="s">
        <v>357</v>
      </c>
      <c r="K135">
        <v>1.9</v>
      </c>
      <c r="L135" t="s">
        <v>368</v>
      </c>
      <c r="M135">
        <v>0.97567954220314701</v>
      </c>
      <c r="N135" t="s">
        <v>282</v>
      </c>
      <c r="O135">
        <v>0.99184782608695599</v>
      </c>
      <c r="P135" t="s">
        <v>379</v>
      </c>
      <c r="Q135">
        <v>1.0636363636363599</v>
      </c>
      <c r="R135" t="s">
        <v>358</v>
      </c>
      <c r="S135">
        <v>0.93660968660968602</v>
      </c>
      <c r="T135" t="s">
        <v>359</v>
      </c>
      <c r="U135">
        <v>0.99164926931106401</v>
      </c>
      <c r="V135" t="s">
        <v>368</v>
      </c>
      <c r="W135">
        <v>0.95833333333333304</v>
      </c>
      <c r="X135" t="s">
        <v>342</v>
      </c>
      <c r="Y135">
        <v>1.0192926045016</v>
      </c>
      <c r="Z135" t="s">
        <v>366</v>
      </c>
      <c r="AA135">
        <v>0.696031746031746</v>
      </c>
      <c r="AB135" t="s">
        <v>366</v>
      </c>
      <c r="AC135">
        <v>0.99771949828962303</v>
      </c>
      <c r="AD135" t="s">
        <v>366</v>
      </c>
      <c r="AE135">
        <v>0.752</v>
      </c>
      <c r="AF135" t="s">
        <v>375</v>
      </c>
      <c r="AG135">
        <v>1.6910935738444099</v>
      </c>
      <c r="AH135" t="s">
        <v>303</v>
      </c>
      <c r="AI135">
        <v>0.84728624264397701</v>
      </c>
      <c r="AJ135" t="s">
        <v>384</v>
      </c>
      <c r="AK135">
        <v>1.0346394094264599</v>
      </c>
      <c r="AL135" t="s">
        <v>381</v>
      </c>
      <c r="AM135">
        <v>1.0034521065016599</v>
      </c>
      <c r="AN135" t="s">
        <v>390</v>
      </c>
      <c r="AO135">
        <v>1.0304878048780399</v>
      </c>
      <c r="AP135" t="s">
        <v>383</v>
      </c>
      <c r="AQ135">
        <v>1.28292682926829</v>
      </c>
      <c r="AR135" t="s">
        <v>372</v>
      </c>
      <c r="AS135">
        <v>1.0533333333333299</v>
      </c>
      <c r="AT135" t="s">
        <v>289</v>
      </c>
      <c r="AU135">
        <v>1.20560747663551</v>
      </c>
      <c r="AV135" t="s">
        <v>366</v>
      </c>
      <c r="AW135">
        <v>1.2555803571428501</v>
      </c>
      <c r="AX135" t="s">
        <v>366</v>
      </c>
      <c r="AY135">
        <v>0.97777777777777697</v>
      </c>
      <c r="AZ135" t="s">
        <v>373</v>
      </c>
      <c r="BA135">
        <v>0.92957746478873204</v>
      </c>
      <c r="BB135" t="s">
        <v>366</v>
      </c>
      <c r="BC135">
        <v>0.91020408163265298</v>
      </c>
      <c r="BD135" t="s">
        <v>359</v>
      </c>
      <c r="BE135">
        <v>0.94638069705093797</v>
      </c>
      <c r="BF135" t="s">
        <v>278</v>
      </c>
      <c r="BG135">
        <v>1.0335570469798601</v>
      </c>
      <c r="BH135" t="s">
        <v>390</v>
      </c>
      <c r="BI135">
        <v>0.98326359832635901</v>
      </c>
      <c r="BJ135" t="s">
        <v>395</v>
      </c>
      <c r="BK135">
        <v>0.87850467289719603</v>
      </c>
      <c r="BL135" t="s">
        <v>395</v>
      </c>
      <c r="BM135">
        <v>1.0638297872340401</v>
      </c>
      <c r="BN135" t="s">
        <v>404</v>
      </c>
      <c r="BO135">
        <v>1.07422969187675</v>
      </c>
      <c r="BP135" t="s">
        <v>395</v>
      </c>
      <c r="BQ135">
        <v>0.88840262582056895</v>
      </c>
      <c r="BR135" t="s">
        <v>375</v>
      </c>
      <c r="BS135">
        <v>0.933544303797468</v>
      </c>
      <c r="BT135" t="s">
        <v>390</v>
      </c>
      <c r="BU135">
        <v>0.95373665480426995</v>
      </c>
      <c r="BV135" t="s">
        <v>390</v>
      </c>
      <c r="BW135">
        <v>1.0429104477611899</v>
      </c>
    </row>
    <row r="136" spans="1:75" x14ac:dyDescent="0.4">
      <c r="A136">
        <v>134</v>
      </c>
      <c r="B136" t="s">
        <v>257</v>
      </c>
      <c r="C136">
        <v>1.25925925925925</v>
      </c>
      <c r="D136" t="s">
        <v>253</v>
      </c>
      <c r="E136">
        <v>0.84304932735425997</v>
      </c>
      <c r="F136" t="s">
        <v>253</v>
      </c>
      <c r="G136">
        <v>0.82978723404255295</v>
      </c>
      <c r="H136" t="s">
        <v>268</v>
      </c>
      <c r="I136">
        <v>1.1036269430051799</v>
      </c>
      <c r="J136" t="s">
        <v>253</v>
      </c>
      <c r="K136">
        <v>1.44225352112676</v>
      </c>
      <c r="L136" t="s">
        <v>372</v>
      </c>
      <c r="M136">
        <v>0.85607476635514002</v>
      </c>
      <c r="N136" t="s">
        <v>365</v>
      </c>
      <c r="O136">
        <v>0.904299406908873</v>
      </c>
      <c r="P136" t="s">
        <v>358</v>
      </c>
      <c r="Q136">
        <v>0.76221498371335505</v>
      </c>
      <c r="R136" t="s">
        <v>352</v>
      </c>
      <c r="S136">
        <v>1.0513069817882601</v>
      </c>
      <c r="T136" t="s">
        <v>278</v>
      </c>
      <c r="U136">
        <v>0.88333333333333297</v>
      </c>
      <c r="V136" t="s">
        <v>372</v>
      </c>
      <c r="W136">
        <v>1.04314159292035</v>
      </c>
      <c r="X136" t="s">
        <v>394</v>
      </c>
      <c r="Y136">
        <v>0.450555426085605</v>
      </c>
      <c r="Z136" t="s">
        <v>376</v>
      </c>
      <c r="AA136">
        <v>1.14838709677419</v>
      </c>
      <c r="AB136" t="s">
        <v>303</v>
      </c>
      <c r="AC136">
        <v>0.72382435070551299</v>
      </c>
      <c r="AD136" t="s">
        <v>303</v>
      </c>
      <c r="AE136">
        <v>0.90770202451264803</v>
      </c>
      <c r="AF136" t="s">
        <v>381</v>
      </c>
      <c r="AG136">
        <v>0.92195783503883599</v>
      </c>
      <c r="AH136" t="s">
        <v>289</v>
      </c>
      <c r="AI136">
        <v>0.90612244897959104</v>
      </c>
      <c r="AJ136" t="s">
        <v>389</v>
      </c>
      <c r="AK136">
        <v>1.02090592334494</v>
      </c>
      <c r="AL136" t="s">
        <v>389</v>
      </c>
      <c r="AM136">
        <v>1.0358361774744</v>
      </c>
      <c r="AN136" t="s">
        <v>395</v>
      </c>
      <c r="AO136">
        <v>1.08507670850767</v>
      </c>
      <c r="AP136" t="s">
        <v>389</v>
      </c>
      <c r="AQ136">
        <v>1.16614420062695</v>
      </c>
      <c r="AR136" t="s">
        <v>365</v>
      </c>
      <c r="AS136">
        <v>0.92138760116288199</v>
      </c>
      <c r="AT136" t="s">
        <v>373</v>
      </c>
      <c r="AU136">
        <v>0.86872586872586799</v>
      </c>
      <c r="AV136" t="s">
        <v>289</v>
      </c>
      <c r="AW136">
        <v>0.95736434108527102</v>
      </c>
      <c r="AX136" t="s">
        <v>303</v>
      </c>
      <c r="AY136">
        <v>0.873949579831932</v>
      </c>
      <c r="AZ136" t="s">
        <v>374</v>
      </c>
      <c r="BA136">
        <v>0.99144079885877301</v>
      </c>
      <c r="BB136" t="s">
        <v>303</v>
      </c>
      <c r="BC136">
        <v>0.84057971014492705</v>
      </c>
      <c r="BD136" t="s">
        <v>278</v>
      </c>
      <c r="BE136">
        <v>0.97173913043478199</v>
      </c>
      <c r="BF136" t="s">
        <v>363</v>
      </c>
      <c r="BG136">
        <v>1.13793103448275</v>
      </c>
      <c r="BH136" t="s">
        <v>393</v>
      </c>
      <c r="BI136">
        <v>0.86984536082474195</v>
      </c>
      <c r="BJ136" t="s">
        <v>396</v>
      </c>
      <c r="BK136">
        <v>1.00757575757575</v>
      </c>
      <c r="BL136" t="s">
        <v>396</v>
      </c>
      <c r="BM136">
        <v>0.87593984962406002</v>
      </c>
      <c r="BN136" t="s">
        <v>333</v>
      </c>
      <c r="BO136">
        <v>1.1107266435986101</v>
      </c>
      <c r="BP136" t="s">
        <v>396</v>
      </c>
      <c r="BQ136">
        <v>1.03070175438596</v>
      </c>
      <c r="BR136" t="s">
        <v>380</v>
      </c>
      <c r="BS136">
        <v>0.88</v>
      </c>
      <c r="BT136" t="s">
        <v>393</v>
      </c>
      <c r="BU136">
        <v>1.01857142857142</v>
      </c>
      <c r="BV136" t="s">
        <v>393</v>
      </c>
      <c r="BW136">
        <v>1.06591865357643</v>
      </c>
    </row>
    <row r="137" spans="1:75" x14ac:dyDescent="0.4">
      <c r="A137">
        <v>135</v>
      </c>
      <c r="B137" t="s">
        <v>388</v>
      </c>
      <c r="C137">
        <v>0.96385542168674698</v>
      </c>
      <c r="D137" t="s">
        <v>328</v>
      </c>
      <c r="E137">
        <v>0.89896961583708501</v>
      </c>
      <c r="F137" t="s">
        <v>328</v>
      </c>
      <c r="G137">
        <v>0.99047855418424602</v>
      </c>
      <c r="H137" t="s">
        <v>352</v>
      </c>
      <c r="I137">
        <v>1.2289241004989899</v>
      </c>
      <c r="J137" t="s">
        <v>337</v>
      </c>
      <c r="K137">
        <v>1.6540879747605199</v>
      </c>
      <c r="L137" t="s">
        <v>282</v>
      </c>
      <c r="M137">
        <v>1.00272479564032</v>
      </c>
      <c r="N137" t="s">
        <v>367</v>
      </c>
      <c r="O137">
        <v>0.78681878182161002</v>
      </c>
      <c r="P137" t="s">
        <v>352</v>
      </c>
      <c r="Q137">
        <v>1.0572072428243799</v>
      </c>
      <c r="R137" t="s">
        <v>275</v>
      </c>
      <c r="S137">
        <v>0.99014778325123098</v>
      </c>
      <c r="T137" t="s">
        <v>368</v>
      </c>
      <c r="U137">
        <v>1.25925925925925</v>
      </c>
      <c r="V137" t="s">
        <v>365</v>
      </c>
      <c r="W137">
        <v>0.99897596723095095</v>
      </c>
      <c r="X137" t="s">
        <v>358</v>
      </c>
      <c r="Y137">
        <v>1.08882521489971</v>
      </c>
      <c r="Z137" t="s">
        <v>303</v>
      </c>
      <c r="AA137">
        <v>0.95228794314558296</v>
      </c>
      <c r="AB137" t="s">
        <v>289</v>
      </c>
      <c r="AC137">
        <v>0.92351816443594603</v>
      </c>
      <c r="AD137" t="s">
        <v>289</v>
      </c>
      <c r="AE137">
        <v>1.0351966873706</v>
      </c>
      <c r="AF137" t="s">
        <v>389</v>
      </c>
      <c r="AG137">
        <v>0.98846787479406895</v>
      </c>
      <c r="AH137" t="s">
        <v>295</v>
      </c>
      <c r="AI137">
        <v>0.82817869415807499</v>
      </c>
      <c r="AJ137" t="s">
        <v>386</v>
      </c>
      <c r="AK137">
        <v>0.94827586206896497</v>
      </c>
      <c r="AL137" t="s">
        <v>386</v>
      </c>
      <c r="AM137">
        <v>1.52272727272727</v>
      </c>
      <c r="AN137" t="s">
        <v>401</v>
      </c>
      <c r="AO137">
        <v>0.94019471488177997</v>
      </c>
      <c r="AP137" t="s">
        <v>387</v>
      </c>
      <c r="AQ137">
        <v>1.1439114391143901</v>
      </c>
      <c r="AR137" t="s">
        <v>367</v>
      </c>
      <c r="AS137">
        <v>0.93968871595330705</v>
      </c>
      <c r="AT137" t="s">
        <v>374</v>
      </c>
      <c r="AU137">
        <v>0.96133333333333304</v>
      </c>
      <c r="AV137" t="s">
        <v>377</v>
      </c>
      <c r="AW137">
        <v>1.6908752327746699</v>
      </c>
      <c r="AX137" t="s">
        <v>289</v>
      </c>
      <c r="AY137">
        <v>0.90283400809716596</v>
      </c>
      <c r="AZ137" t="s">
        <v>381</v>
      </c>
      <c r="BA137">
        <v>1.1460501123782501</v>
      </c>
      <c r="BB137" t="s">
        <v>289</v>
      </c>
      <c r="BC137">
        <v>1.0540540540540499</v>
      </c>
      <c r="BD137" t="s">
        <v>363</v>
      </c>
      <c r="BE137">
        <v>1.07241910631741</v>
      </c>
      <c r="BF137" t="s">
        <v>364</v>
      </c>
      <c r="BG137">
        <v>1.17777777777777</v>
      </c>
      <c r="BH137" t="s">
        <v>395</v>
      </c>
      <c r="BI137">
        <v>1.0573122529644201</v>
      </c>
      <c r="BJ137" t="s">
        <v>397</v>
      </c>
      <c r="BK137">
        <v>0.95169946332736999</v>
      </c>
      <c r="BL137" t="s">
        <v>397</v>
      </c>
      <c r="BM137">
        <v>0.891917293233082</v>
      </c>
      <c r="BN137" t="s">
        <v>407</v>
      </c>
      <c r="BO137">
        <v>0.87346221441124705</v>
      </c>
      <c r="BP137" t="s">
        <v>397</v>
      </c>
      <c r="BQ137">
        <v>1.16858237547892</v>
      </c>
      <c r="BR137" t="s">
        <v>381</v>
      </c>
      <c r="BS137">
        <v>1.09452736318407</v>
      </c>
      <c r="BT137" t="s">
        <v>395</v>
      </c>
      <c r="BU137">
        <v>1.06451612903225</v>
      </c>
      <c r="BV137" t="s">
        <v>395</v>
      </c>
      <c r="BW137">
        <v>1.24025974025974</v>
      </c>
    </row>
    <row r="138" spans="1:75" x14ac:dyDescent="0.4">
      <c r="A138">
        <v>136</v>
      </c>
      <c r="B138" t="s">
        <v>399</v>
      </c>
      <c r="C138">
        <v>0.76176176176176102</v>
      </c>
      <c r="D138" t="s">
        <v>388</v>
      </c>
      <c r="E138">
        <v>0.91</v>
      </c>
      <c r="F138" t="s">
        <v>388</v>
      </c>
      <c r="G138">
        <v>0.40659340659340598</v>
      </c>
      <c r="H138" t="s">
        <v>405</v>
      </c>
      <c r="I138">
        <v>0.87872559095580605</v>
      </c>
      <c r="J138" t="s">
        <v>370</v>
      </c>
      <c r="K138">
        <v>1.43548387096774</v>
      </c>
      <c r="L138" t="s">
        <v>365</v>
      </c>
      <c r="M138">
        <v>1.12770695571159</v>
      </c>
      <c r="N138" t="s">
        <v>364</v>
      </c>
      <c r="O138">
        <v>0.78497409326424805</v>
      </c>
      <c r="P138" t="s">
        <v>275</v>
      </c>
      <c r="Q138">
        <v>0.92272727272727195</v>
      </c>
      <c r="R138" t="s">
        <v>359</v>
      </c>
      <c r="S138">
        <v>0.99791666666666601</v>
      </c>
      <c r="T138" t="s">
        <v>372</v>
      </c>
      <c r="U138">
        <v>0.97413793103448199</v>
      </c>
      <c r="V138" t="s">
        <v>367</v>
      </c>
      <c r="W138">
        <v>1.12220457045093</v>
      </c>
      <c r="X138" t="s">
        <v>352</v>
      </c>
      <c r="Y138">
        <v>1.0551397700237899</v>
      </c>
      <c r="Z138" t="s">
        <v>289</v>
      </c>
      <c r="AA138">
        <v>1.0828157349896399</v>
      </c>
      <c r="AB138" t="s">
        <v>295</v>
      </c>
      <c r="AC138">
        <v>0.96875</v>
      </c>
      <c r="AD138" t="s">
        <v>377</v>
      </c>
      <c r="AE138">
        <v>0.82448979591836702</v>
      </c>
      <c r="AF138" t="s">
        <v>406</v>
      </c>
      <c r="AG138">
        <v>1.2167949146871799</v>
      </c>
      <c r="AH138" t="s">
        <v>377</v>
      </c>
      <c r="AI138">
        <v>0.97054886211512703</v>
      </c>
      <c r="AJ138" t="s">
        <v>390</v>
      </c>
      <c r="AK138">
        <v>0.99348534201954397</v>
      </c>
      <c r="AL138" t="s">
        <v>390</v>
      </c>
      <c r="AM138">
        <v>1.0754098360655699</v>
      </c>
      <c r="AN138" t="s">
        <v>403</v>
      </c>
      <c r="AO138">
        <v>0.93777777777777704</v>
      </c>
      <c r="AP138" t="s">
        <v>386</v>
      </c>
      <c r="AQ138">
        <v>1.3203342618384399</v>
      </c>
      <c r="AR138" t="s">
        <v>364</v>
      </c>
      <c r="AS138">
        <v>0.76397515527950299</v>
      </c>
      <c r="AT138" t="s">
        <v>381</v>
      </c>
      <c r="AU138">
        <v>1</v>
      </c>
      <c r="AV138" t="s">
        <v>373</v>
      </c>
      <c r="AW138">
        <v>0.91111111111111098</v>
      </c>
      <c r="AX138" t="s">
        <v>373</v>
      </c>
      <c r="AY138">
        <v>1.0390243902439</v>
      </c>
      <c r="AZ138" t="s">
        <v>383</v>
      </c>
      <c r="BA138">
        <v>1.05683836589698</v>
      </c>
      <c r="BB138" t="s">
        <v>373</v>
      </c>
      <c r="BC138">
        <v>0.81818181818181801</v>
      </c>
      <c r="BD138" t="s">
        <v>364</v>
      </c>
      <c r="BE138">
        <v>1.16279069767441</v>
      </c>
      <c r="BF138" t="s">
        <v>366</v>
      </c>
      <c r="BG138">
        <v>1.28571428571428</v>
      </c>
      <c r="BH138" t="s">
        <v>396</v>
      </c>
      <c r="BI138">
        <v>0.90721649484536004</v>
      </c>
      <c r="BJ138" t="s">
        <v>404</v>
      </c>
      <c r="BK138">
        <v>0.86758620689655097</v>
      </c>
      <c r="BL138" t="s">
        <v>402</v>
      </c>
      <c r="BM138">
        <v>0.94150417827298005</v>
      </c>
      <c r="BN138" t="s">
        <v>408</v>
      </c>
      <c r="BO138">
        <v>1.0475184794086501</v>
      </c>
      <c r="BP138" t="s">
        <v>402</v>
      </c>
      <c r="BQ138">
        <v>0.99056603773584895</v>
      </c>
      <c r="BR138" t="s">
        <v>383</v>
      </c>
      <c r="BS138">
        <v>1.1385869565217299</v>
      </c>
      <c r="BT138" t="s">
        <v>396</v>
      </c>
      <c r="BU138">
        <v>0.94636015325670497</v>
      </c>
      <c r="BV138" t="s">
        <v>308</v>
      </c>
      <c r="BW138">
        <v>1.16576086956521</v>
      </c>
    </row>
    <row r="139" spans="1:75" x14ac:dyDescent="0.4">
      <c r="A139">
        <v>137</v>
      </c>
      <c r="B139" t="s">
        <v>338</v>
      </c>
      <c r="C139">
        <v>1.1134447975680499</v>
      </c>
      <c r="D139" t="s">
        <v>338</v>
      </c>
      <c r="E139">
        <v>0.61404815090593201</v>
      </c>
      <c r="F139" t="s">
        <v>338</v>
      </c>
      <c r="G139">
        <v>0.41693613581244898</v>
      </c>
      <c r="H139" t="s">
        <v>275</v>
      </c>
      <c r="I139">
        <v>1.1086350974930299</v>
      </c>
      <c r="J139" t="s">
        <v>328</v>
      </c>
      <c r="K139">
        <v>1.2613220161618499</v>
      </c>
      <c r="L139" t="s">
        <v>367</v>
      </c>
      <c r="M139">
        <v>1.6224567844577</v>
      </c>
      <c r="N139" t="s">
        <v>366</v>
      </c>
      <c r="O139">
        <v>0.85215053763440796</v>
      </c>
      <c r="P139" t="s">
        <v>359</v>
      </c>
      <c r="Q139">
        <v>0.96385542168674698</v>
      </c>
      <c r="R139" t="s">
        <v>278</v>
      </c>
      <c r="S139">
        <v>0.88948787061994605</v>
      </c>
      <c r="T139" t="s">
        <v>365</v>
      </c>
      <c r="U139">
        <v>1.0483356928630301</v>
      </c>
      <c r="V139" t="s">
        <v>369</v>
      </c>
      <c r="W139">
        <v>1.08952959028831</v>
      </c>
      <c r="X139" t="s">
        <v>275</v>
      </c>
      <c r="Y139">
        <v>0.91224018475750501</v>
      </c>
      <c r="Z139" t="s">
        <v>295</v>
      </c>
      <c r="AA139">
        <v>0.98159509202453898</v>
      </c>
      <c r="AB139" t="s">
        <v>377</v>
      </c>
      <c r="AC139">
        <v>1.0745614035087701</v>
      </c>
      <c r="AD139" t="s">
        <v>373</v>
      </c>
      <c r="AE139">
        <v>0.812995245641838</v>
      </c>
      <c r="AF139" t="s">
        <v>386</v>
      </c>
      <c r="AG139">
        <v>1.0444444444444401</v>
      </c>
      <c r="AH139" t="s">
        <v>374</v>
      </c>
      <c r="AI139">
        <v>0.79915254237288103</v>
      </c>
      <c r="AJ139" t="s">
        <v>395</v>
      </c>
      <c r="AK139">
        <v>1.0126782884310599</v>
      </c>
      <c r="AL139" t="s">
        <v>395</v>
      </c>
      <c r="AM139">
        <v>1.1220657276995301</v>
      </c>
      <c r="AN139" t="s">
        <v>396</v>
      </c>
      <c r="AO139">
        <v>1.1391304347825999</v>
      </c>
      <c r="AP139" t="s">
        <v>390</v>
      </c>
      <c r="AQ139">
        <v>1.44970414201183</v>
      </c>
      <c r="AR139" t="s">
        <v>366</v>
      </c>
      <c r="AS139">
        <v>0.91444444444444395</v>
      </c>
      <c r="AT139" t="s">
        <v>383</v>
      </c>
      <c r="AU139">
        <v>1.2573839662447199</v>
      </c>
      <c r="AV139" t="s">
        <v>374</v>
      </c>
      <c r="AW139">
        <v>0.90152565880721203</v>
      </c>
      <c r="AX139" t="s">
        <v>374</v>
      </c>
      <c r="AY139">
        <v>1.0784615384615299</v>
      </c>
      <c r="AZ139" t="s">
        <v>387</v>
      </c>
      <c r="BA139">
        <v>1.15887850467289</v>
      </c>
      <c r="BB139" t="s">
        <v>374</v>
      </c>
      <c r="BC139">
        <v>1.0359712230215801</v>
      </c>
      <c r="BD139" t="s">
        <v>366</v>
      </c>
      <c r="BE139">
        <v>0.97309417040358703</v>
      </c>
      <c r="BF139" t="s">
        <v>303</v>
      </c>
      <c r="BG139">
        <v>1.03964757709251</v>
      </c>
      <c r="BH139" t="s">
        <v>397</v>
      </c>
      <c r="BI139">
        <v>0.978984238178634</v>
      </c>
      <c r="BJ139" t="s">
        <v>333</v>
      </c>
      <c r="BK139">
        <v>1.0381282495667199</v>
      </c>
      <c r="BL139" t="s">
        <v>404</v>
      </c>
      <c r="BM139">
        <v>1.13513513513513</v>
      </c>
      <c r="BN139" t="s">
        <v>417</v>
      </c>
      <c r="BO139">
        <v>0.99785177228786204</v>
      </c>
      <c r="BP139" t="s">
        <v>404</v>
      </c>
      <c r="BQ139">
        <v>1.15384615384615</v>
      </c>
      <c r="BR139" t="s">
        <v>386</v>
      </c>
      <c r="BS139">
        <v>0.95490716180371304</v>
      </c>
      <c r="BT139" t="s">
        <v>397</v>
      </c>
      <c r="BU139">
        <v>1.10508474576271</v>
      </c>
      <c r="BV139" t="s">
        <v>403</v>
      </c>
      <c r="BW139">
        <v>1.04838709677419</v>
      </c>
    </row>
    <row r="140" spans="1:75" x14ac:dyDescent="0.4">
      <c r="A140">
        <v>138</v>
      </c>
      <c r="B140" t="s">
        <v>342</v>
      </c>
      <c r="C140">
        <v>0.90796019900497504</v>
      </c>
      <c r="D140" t="s">
        <v>342</v>
      </c>
      <c r="E140">
        <v>0.58767123287671197</v>
      </c>
      <c r="F140" t="s">
        <v>342</v>
      </c>
      <c r="G140">
        <v>0.65734265734265696</v>
      </c>
      <c r="H140" t="s">
        <v>359</v>
      </c>
      <c r="I140">
        <v>0.91481481481481397</v>
      </c>
      <c r="J140" t="s">
        <v>257</v>
      </c>
      <c r="K140">
        <v>1.5838926174496599</v>
      </c>
      <c r="L140" t="s">
        <v>364</v>
      </c>
      <c r="M140">
        <v>1.0873239436619699</v>
      </c>
      <c r="N140" t="s">
        <v>376</v>
      </c>
      <c r="O140">
        <v>1.0977739321953901</v>
      </c>
      <c r="P140" t="s">
        <v>278</v>
      </c>
      <c r="Q140">
        <v>1.16300940438871</v>
      </c>
      <c r="R140" t="s">
        <v>368</v>
      </c>
      <c r="S140">
        <v>1.1739130434782601</v>
      </c>
      <c r="T140" t="s">
        <v>367</v>
      </c>
      <c r="U140">
        <v>0.92306824591088499</v>
      </c>
      <c r="V140" t="s">
        <v>364</v>
      </c>
      <c r="W140">
        <v>1.24090121317157</v>
      </c>
      <c r="X140" t="s">
        <v>359</v>
      </c>
      <c r="Y140">
        <v>1</v>
      </c>
      <c r="Z140" t="s">
        <v>377</v>
      </c>
      <c r="AA140">
        <v>0.96746817538896701</v>
      </c>
      <c r="AB140" t="s">
        <v>373</v>
      </c>
      <c r="AC140">
        <v>0.77139364303178404</v>
      </c>
      <c r="AD140" t="s">
        <v>374</v>
      </c>
      <c r="AE140">
        <v>0.86906854130052702</v>
      </c>
      <c r="AF140" t="s">
        <v>390</v>
      </c>
      <c r="AG140">
        <v>1.15465444287729</v>
      </c>
      <c r="AH140" t="s">
        <v>381</v>
      </c>
      <c r="AI140">
        <v>0.84648301684942495</v>
      </c>
      <c r="AJ140" t="s">
        <v>403</v>
      </c>
      <c r="AK140">
        <v>1.09820485744456</v>
      </c>
      <c r="AL140" t="s">
        <v>401</v>
      </c>
      <c r="AM140">
        <v>0.97162162162162102</v>
      </c>
      <c r="AN140" t="s">
        <v>397</v>
      </c>
      <c r="AO140">
        <v>0.99</v>
      </c>
      <c r="AP140" t="s">
        <v>395</v>
      </c>
      <c r="AQ140">
        <v>0.93958868894601499</v>
      </c>
      <c r="AR140" t="s">
        <v>289</v>
      </c>
      <c r="AS140">
        <v>0.972727272727272</v>
      </c>
      <c r="AT140" t="s">
        <v>387</v>
      </c>
      <c r="AU140">
        <v>1.1928166351606799</v>
      </c>
      <c r="AV140" t="s">
        <v>381</v>
      </c>
      <c r="AW140">
        <v>1.0669140703662101</v>
      </c>
      <c r="AX140" t="s">
        <v>381</v>
      </c>
      <c r="AY140">
        <v>1.29565615984037</v>
      </c>
      <c r="AZ140" t="s">
        <v>386</v>
      </c>
      <c r="BA140">
        <v>1.31066176470588</v>
      </c>
      <c r="BB140" t="s">
        <v>375</v>
      </c>
      <c r="BC140">
        <v>0.93416927899686497</v>
      </c>
      <c r="BD140" t="s">
        <v>303</v>
      </c>
      <c r="BE140">
        <v>1.11822660098522</v>
      </c>
      <c r="BF140" t="s">
        <v>289</v>
      </c>
      <c r="BG140">
        <v>1.0034843205574899</v>
      </c>
      <c r="BH140" t="s">
        <v>402</v>
      </c>
      <c r="BI140">
        <v>1.3232161874334301</v>
      </c>
      <c r="BJ140" t="s">
        <v>408</v>
      </c>
      <c r="BK140">
        <v>0.957843137254902</v>
      </c>
      <c r="BL140" t="s">
        <v>333</v>
      </c>
      <c r="BM140">
        <v>0.96494156928213604</v>
      </c>
      <c r="BN140" t="s">
        <v>418</v>
      </c>
      <c r="BO140">
        <v>1.0302547770700601</v>
      </c>
      <c r="BP140" t="s">
        <v>333</v>
      </c>
      <c r="BQ140">
        <v>0.98442367601246095</v>
      </c>
      <c r="BR140" t="s">
        <v>390</v>
      </c>
      <c r="BS140">
        <v>1.0891472868217</v>
      </c>
      <c r="BT140" t="s">
        <v>329</v>
      </c>
      <c r="BU140">
        <v>0.97597042513863197</v>
      </c>
      <c r="BV140" t="s">
        <v>396</v>
      </c>
      <c r="BW140">
        <v>1.0445344129554599</v>
      </c>
    </row>
    <row r="141" spans="1:75" x14ac:dyDescent="0.4">
      <c r="A141">
        <v>139</v>
      </c>
      <c r="B141" t="s">
        <v>358</v>
      </c>
      <c r="C141">
        <v>0.97000801312626395</v>
      </c>
      <c r="D141" t="s">
        <v>358</v>
      </c>
      <c r="E141">
        <v>0.60383147791196201</v>
      </c>
      <c r="F141" t="s">
        <v>358</v>
      </c>
      <c r="G141">
        <v>0.323908794788273</v>
      </c>
      <c r="H141" t="s">
        <v>278</v>
      </c>
      <c r="I141">
        <v>0.86175942549371598</v>
      </c>
      <c r="J141" t="s">
        <v>263</v>
      </c>
      <c r="K141">
        <v>1.42657342657342</v>
      </c>
      <c r="L141" t="s">
        <v>376</v>
      </c>
      <c r="M141">
        <v>1.07975199592322</v>
      </c>
      <c r="N141" t="s">
        <v>303</v>
      </c>
      <c r="O141">
        <v>0.815794596278128</v>
      </c>
      <c r="P141" t="s">
        <v>368</v>
      </c>
      <c r="Q141">
        <v>1.0036363636363601</v>
      </c>
      <c r="R141" t="s">
        <v>372</v>
      </c>
      <c r="S141">
        <v>0.97890295358649704</v>
      </c>
      <c r="T141" t="s">
        <v>371</v>
      </c>
      <c r="U141">
        <v>0.80154738878143095</v>
      </c>
      <c r="V141" t="s">
        <v>366</v>
      </c>
      <c r="W141">
        <v>1.06865284974093</v>
      </c>
      <c r="X141" t="s">
        <v>278</v>
      </c>
      <c r="Y141">
        <v>0.99638989169674996</v>
      </c>
      <c r="Z141" t="s">
        <v>373</v>
      </c>
      <c r="AA141">
        <v>0.92013498312710895</v>
      </c>
      <c r="AB141" t="s">
        <v>374</v>
      </c>
      <c r="AC141">
        <v>1.07561436672967</v>
      </c>
      <c r="AD141" t="s">
        <v>375</v>
      </c>
      <c r="AE141">
        <v>0.83679245283018799</v>
      </c>
      <c r="AF141" t="s">
        <v>395</v>
      </c>
      <c r="AG141">
        <v>1.0695035460992901</v>
      </c>
      <c r="AH141" t="s">
        <v>389</v>
      </c>
      <c r="AI141">
        <v>0.956666666666666</v>
      </c>
      <c r="AJ141" t="s">
        <v>396</v>
      </c>
      <c r="AK141">
        <v>1.00416666666666</v>
      </c>
      <c r="AL141" t="s">
        <v>403</v>
      </c>
      <c r="AM141">
        <v>1.0817307692307601</v>
      </c>
      <c r="AN141" t="s">
        <v>310</v>
      </c>
      <c r="AO141">
        <v>1.0298769771528899</v>
      </c>
      <c r="AP141" t="s">
        <v>401</v>
      </c>
      <c r="AQ141">
        <v>0.92751479289940797</v>
      </c>
      <c r="AR141" t="s">
        <v>373</v>
      </c>
      <c r="AS141">
        <v>1.0156862745098001</v>
      </c>
      <c r="AT141" t="s">
        <v>395</v>
      </c>
      <c r="AU141">
        <v>1.15124816446402</v>
      </c>
      <c r="AV141" t="s">
        <v>382</v>
      </c>
      <c r="AW141">
        <v>0.84190476190476105</v>
      </c>
      <c r="AX141" t="s">
        <v>383</v>
      </c>
      <c r="AY141">
        <v>1.07854406130268</v>
      </c>
      <c r="AZ141" t="s">
        <v>395</v>
      </c>
      <c r="BA141">
        <v>1.11409395973154</v>
      </c>
      <c r="BB141" t="s">
        <v>381</v>
      </c>
      <c r="BC141">
        <v>0.96017795532957995</v>
      </c>
      <c r="BD141" t="s">
        <v>289</v>
      </c>
      <c r="BE141">
        <v>1.05128205128205</v>
      </c>
      <c r="BF141" t="s">
        <v>373</v>
      </c>
      <c r="BG141">
        <v>1.13466334164588</v>
      </c>
      <c r="BH141" t="s">
        <v>404</v>
      </c>
      <c r="BI141">
        <v>0.86722488038277501</v>
      </c>
      <c r="BJ141" t="s">
        <v>335</v>
      </c>
      <c r="BK141">
        <v>1.0714285714285701</v>
      </c>
      <c r="BL141" t="s">
        <v>407</v>
      </c>
      <c r="BM141">
        <v>1.2029598308667999</v>
      </c>
      <c r="BN141" t="s">
        <v>419</v>
      </c>
      <c r="BO141">
        <v>1.46969696969696</v>
      </c>
      <c r="BP141" t="s">
        <v>407</v>
      </c>
      <c r="BQ141">
        <v>1.0845070422535199</v>
      </c>
      <c r="BR141" t="s">
        <v>393</v>
      </c>
      <c r="BS141">
        <v>0.98039215686274495</v>
      </c>
      <c r="BT141" t="s">
        <v>404</v>
      </c>
      <c r="BU141">
        <v>1.01315789473684</v>
      </c>
      <c r="BV141" t="s">
        <v>397</v>
      </c>
      <c r="BW141">
        <v>0.98926380368098099</v>
      </c>
    </row>
    <row r="142" spans="1:75" x14ac:dyDescent="0.4">
      <c r="A142">
        <v>140</v>
      </c>
      <c r="B142" t="s">
        <v>352</v>
      </c>
      <c r="C142">
        <v>1.01783815306507</v>
      </c>
      <c r="D142" t="s">
        <v>352</v>
      </c>
      <c r="E142">
        <v>0.85999797782346399</v>
      </c>
      <c r="F142" t="s">
        <v>352</v>
      </c>
      <c r="G142">
        <v>0.89532468550378097</v>
      </c>
      <c r="H142" t="s">
        <v>372</v>
      </c>
      <c r="I142">
        <v>1.06321839080459</v>
      </c>
      <c r="J142" t="s">
        <v>342</v>
      </c>
      <c r="K142">
        <v>1.2373737373737299</v>
      </c>
      <c r="L142" t="s">
        <v>303</v>
      </c>
      <c r="M142">
        <v>0.94999630150158998</v>
      </c>
      <c r="N142" t="s">
        <v>289</v>
      </c>
      <c r="O142">
        <v>0.87445255474452499</v>
      </c>
      <c r="P142" t="s">
        <v>365</v>
      </c>
      <c r="Q142">
        <v>1.1878737010985401</v>
      </c>
      <c r="R142" t="s">
        <v>365</v>
      </c>
      <c r="S142">
        <v>0.93193144372119696</v>
      </c>
      <c r="T142" t="s">
        <v>364</v>
      </c>
      <c r="U142">
        <v>1.0490909090909</v>
      </c>
      <c r="V142" t="s">
        <v>303</v>
      </c>
      <c r="W142">
        <v>1.01904198324051</v>
      </c>
      <c r="X142" t="s">
        <v>368</v>
      </c>
      <c r="Y142">
        <v>0.97186700767263401</v>
      </c>
      <c r="Z142" t="s">
        <v>374</v>
      </c>
      <c r="AA142">
        <v>1.1575492341356599</v>
      </c>
      <c r="AB142" t="s">
        <v>381</v>
      </c>
      <c r="AC142">
        <v>1.3066125394677399</v>
      </c>
      <c r="AD142" t="s">
        <v>381</v>
      </c>
      <c r="AE142">
        <v>1.0080089479280201</v>
      </c>
      <c r="AF142" t="s">
        <v>403</v>
      </c>
      <c r="AG142">
        <v>1.1741293532338299</v>
      </c>
      <c r="AH142" t="s">
        <v>386</v>
      </c>
      <c r="AI142">
        <v>0.98723404255319103</v>
      </c>
      <c r="AJ142" t="s">
        <v>397</v>
      </c>
      <c r="AK142">
        <v>1.07073954983922</v>
      </c>
      <c r="AL142" t="s">
        <v>396</v>
      </c>
      <c r="AM142">
        <v>0.95435684647302899</v>
      </c>
      <c r="AN142" t="s">
        <v>410</v>
      </c>
      <c r="AO142">
        <v>1.3852040816326501</v>
      </c>
      <c r="AP142" t="s">
        <v>403</v>
      </c>
      <c r="AQ142">
        <v>1.1800947867298499</v>
      </c>
      <c r="AR142" t="s">
        <v>374</v>
      </c>
      <c r="AS142">
        <v>1.00133511348464</v>
      </c>
      <c r="AT142" t="s">
        <v>396</v>
      </c>
      <c r="AU142">
        <v>1.01327433628318</v>
      </c>
      <c r="AV142" t="s">
        <v>395</v>
      </c>
      <c r="AW142">
        <v>0.86096938775510201</v>
      </c>
      <c r="AX142" t="s">
        <v>387</v>
      </c>
      <c r="AY142">
        <v>0.98345588235294101</v>
      </c>
      <c r="AZ142" t="s">
        <v>308</v>
      </c>
      <c r="BA142">
        <v>1.0081300813008101</v>
      </c>
      <c r="BB142" t="s">
        <v>383</v>
      </c>
      <c r="BC142">
        <v>0.81848739495798295</v>
      </c>
      <c r="BD142" t="s">
        <v>374</v>
      </c>
      <c r="BE142">
        <v>0.91805555555555496</v>
      </c>
      <c r="BF142" t="s">
        <v>374</v>
      </c>
      <c r="BG142">
        <v>1.1195158850226901</v>
      </c>
      <c r="BH142" t="s">
        <v>333</v>
      </c>
      <c r="BI142">
        <v>0.99654576856649302</v>
      </c>
      <c r="BJ142" t="s">
        <v>417</v>
      </c>
      <c r="BK142">
        <v>1.0673076923076901</v>
      </c>
      <c r="BL142" t="s">
        <v>408</v>
      </c>
      <c r="BM142">
        <v>0.969293756397134</v>
      </c>
      <c r="BN142" t="s">
        <v>422</v>
      </c>
      <c r="BO142">
        <v>1.13054499366286</v>
      </c>
      <c r="BP142" t="s">
        <v>408</v>
      </c>
      <c r="BQ142">
        <v>0.97580645161290303</v>
      </c>
      <c r="BR142" t="s">
        <v>395</v>
      </c>
      <c r="BS142">
        <v>1.0689655172413699</v>
      </c>
      <c r="BT142" t="s">
        <v>333</v>
      </c>
      <c r="BU142">
        <v>1.02010050251256</v>
      </c>
      <c r="BV142" t="s">
        <v>412</v>
      </c>
      <c r="BW142">
        <v>1.26605504587155</v>
      </c>
    </row>
    <row r="143" spans="1:75" x14ac:dyDescent="0.4">
      <c r="A143">
        <v>141</v>
      </c>
      <c r="B143" t="s">
        <v>275</v>
      </c>
      <c r="C143">
        <v>0.92338709677419295</v>
      </c>
      <c r="D143" t="s">
        <v>400</v>
      </c>
      <c r="E143">
        <v>0.52222222222222203</v>
      </c>
      <c r="F143" t="s">
        <v>275</v>
      </c>
      <c r="G143">
        <v>0.82339449541284404</v>
      </c>
      <c r="H143" t="s">
        <v>282</v>
      </c>
      <c r="I143">
        <v>0.89743589743589702</v>
      </c>
      <c r="J143" t="s">
        <v>358</v>
      </c>
      <c r="K143">
        <v>1.7647428511574299</v>
      </c>
      <c r="L143" t="s">
        <v>289</v>
      </c>
      <c r="M143">
        <v>1.22321428571428</v>
      </c>
      <c r="N143" t="s">
        <v>374</v>
      </c>
      <c r="O143">
        <v>0.76923076923076905</v>
      </c>
      <c r="P143" t="s">
        <v>367</v>
      </c>
      <c r="Q143">
        <v>1.0469742360695</v>
      </c>
      <c r="R143" t="s">
        <v>367</v>
      </c>
      <c r="S143">
        <v>1.0146503376445</v>
      </c>
      <c r="T143" t="s">
        <v>366</v>
      </c>
      <c r="U143">
        <v>1.0575342465753399</v>
      </c>
      <c r="V143" t="s">
        <v>289</v>
      </c>
      <c r="W143">
        <v>1.22706422018348</v>
      </c>
      <c r="X143" t="s">
        <v>372</v>
      </c>
      <c r="Y143">
        <v>0.92364793213149499</v>
      </c>
      <c r="Z143" t="s">
        <v>375</v>
      </c>
      <c r="AA143">
        <v>1.4038876889848799</v>
      </c>
      <c r="AB143" t="s">
        <v>384</v>
      </c>
      <c r="AC143">
        <v>1.21687136393018</v>
      </c>
      <c r="AD143" t="s">
        <v>389</v>
      </c>
      <c r="AE143">
        <v>0.907324364723467</v>
      </c>
      <c r="AF143" t="s">
        <v>396</v>
      </c>
      <c r="AG143">
        <v>0.89347079037800603</v>
      </c>
      <c r="AH143" t="s">
        <v>390</v>
      </c>
      <c r="AI143">
        <v>0.93751908630061598</v>
      </c>
      <c r="AJ143" t="s">
        <v>310</v>
      </c>
      <c r="AK143">
        <v>1.10093896713615</v>
      </c>
      <c r="AL143" t="s">
        <v>397</v>
      </c>
      <c r="AM143">
        <v>1.001001001001</v>
      </c>
      <c r="AN143" t="s">
        <v>412</v>
      </c>
      <c r="AO143">
        <v>1.2196467991169899</v>
      </c>
      <c r="AP143" t="s">
        <v>396</v>
      </c>
      <c r="AQ143">
        <v>0.95801526717557195</v>
      </c>
      <c r="AR143" t="s">
        <v>381</v>
      </c>
      <c r="AS143">
        <v>0.87697256385998101</v>
      </c>
      <c r="AT143" t="s">
        <v>397</v>
      </c>
      <c r="AU143">
        <v>1.1575456053067901</v>
      </c>
      <c r="AV143" t="s">
        <v>308</v>
      </c>
      <c r="AW143">
        <v>1.1281138790035501</v>
      </c>
      <c r="AX143" t="s">
        <v>386</v>
      </c>
      <c r="AY143">
        <v>0.94773519163762998</v>
      </c>
      <c r="AZ143" t="s">
        <v>396</v>
      </c>
      <c r="BA143">
        <v>1.25714285714285</v>
      </c>
      <c r="BB143" t="s">
        <v>395</v>
      </c>
      <c r="BC143">
        <v>0.90361445783132499</v>
      </c>
      <c r="BD143" t="s">
        <v>375</v>
      </c>
      <c r="BE143">
        <v>1.1392617449664399</v>
      </c>
      <c r="BF143" t="s">
        <v>381</v>
      </c>
      <c r="BG143">
        <v>1.22692906259312</v>
      </c>
      <c r="BH143" t="s">
        <v>407</v>
      </c>
      <c r="BI143">
        <v>0.83742331288343497</v>
      </c>
      <c r="BJ143" t="s">
        <v>418</v>
      </c>
      <c r="BK143">
        <v>0.97647058823529398</v>
      </c>
      <c r="BL143" t="s">
        <v>335</v>
      </c>
      <c r="BM143">
        <v>1.37333333333333</v>
      </c>
      <c r="BN143" t="s">
        <v>343</v>
      </c>
      <c r="BO143">
        <v>1.03515625</v>
      </c>
      <c r="BP143" t="s">
        <v>417</v>
      </c>
      <c r="BQ143">
        <v>1.27556512378902</v>
      </c>
      <c r="BR143" t="s">
        <v>308</v>
      </c>
      <c r="BS143">
        <v>0.893111638954869</v>
      </c>
      <c r="BT143" t="s">
        <v>407</v>
      </c>
      <c r="BU143">
        <v>1.0430292598967199</v>
      </c>
      <c r="BV143" t="s">
        <v>329</v>
      </c>
      <c r="BW143">
        <v>1.03598484848484</v>
      </c>
    </row>
    <row r="144" spans="1:75" x14ac:dyDescent="0.4">
      <c r="A144">
        <v>142</v>
      </c>
      <c r="B144" t="s">
        <v>359</v>
      </c>
      <c r="C144">
        <v>0.91282051282051202</v>
      </c>
      <c r="D144" t="s">
        <v>275</v>
      </c>
      <c r="E144">
        <v>0.95196506550218296</v>
      </c>
      <c r="F144" t="s">
        <v>359</v>
      </c>
      <c r="G144">
        <v>0.88379705400982</v>
      </c>
      <c r="H144" t="s">
        <v>365</v>
      </c>
      <c r="I144">
        <v>0.92041931005851096</v>
      </c>
      <c r="J144" t="s">
        <v>268</v>
      </c>
      <c r="K144">
        <v>1.3239436619718301</v>
      </c>
      <c r="L144" t="s">
        <v>374</v>
      </c>
      <c r="M144">
        <v>0.99236641221374</v>
      </c>
      <c r="N144" t="s">
        <v>375</v>
      </c>
      <c r="O144">
        <v>0.82529335071707899</v>
      </c>
      <c r="P144" t="s">
        <v>369</v>
      </c>
      <c r="Q144">
        <v>1.1060606060606</v>
      </c>
      <c r="R144" t="s">
        <v>371</v>
      </c>
      <c r="S144">
        <v>0.93422479219371102</v>
      </c>
      <c r="T144" t="s">
        <v>303</v>
      </c>
      <c r="U144">
        <v>1.01942260045244</v>
      </c>
      <c r="V144" t="s">
        <v>398</v>
      </c>
      <c r="W144">
        <v>1.7879543151379</v>
      </c>
      <c r="X144" t="s">
        <v>365</v>
      </c>
      <c r="Y144">
        <v>0.98974276836339103</v>
      </c>
      <c r="Z144" t="s">
        <v>381</v>
      </c>
      <c r="AA144">
        <v>1.5327286302923</v>
      </c>
      <c r="AB144" t="s">
        <v>389</v>
      </c>
      <c r="AC144">
        <v>1.2816091954022899</v>
      </c>
      <c r="AD144" t="s">
        <v>406</v>
      </c>
      <c r="AE144">
        <v>0.88171091445427696</v>
      </c>
      <c r="AF144" t="s">
        <v>397</v>
      </c>
      <c r="AG144">
        <v>1.0910746812386101</v>
      </c>
      <c r="AH144" t="s">
        <v>395</v>
      </c>
      <c r="AI144">
        <v>0.83687002652519804</v>
      </c>
      <c r="AJ144" t="s">
        <v>314</v>
      </c>
      <c r="AK144">
        <v>0.82984282829882405</v>
      </c>
      <c r="AL144" t="s">
        <v>310</v>
      </c>
      <c r="AM144">
        <v>1.21321961620469</v>
      </c>
      <c r="AN144" t="s">
        <v>402</v>
      </c>
      <c r="AO144">
        <v>1.66553303529798</v>
      </c>
      <c r="AP144" t="s">
        <v>397</v>
      </c>
      <c r="AQ144">
        <v>1.2888888888888801</v>
      </c>
      <c r="AR144" t="s">
        <v>382</v>
      </c>
      <c r="AS144">
        <v>0.71833648393194705</v>
      </c>
      <c r="AT144" t="s">
        <v>413</v>
      </c>
      <c r="AU144">
        <v>1.27430555555555</v>
      </c>
      <c r="AV144" t="s">
        <v>396</v>
      </c>
      <c r="AW144">
        <v>1.18777292576419</v>
      </c>
      <c r="AX144" t="s">
        <v>395</v>
      </c>
      <c r="AY144">
        <v>0.88296296296296295</v>
      </c>
      <c r="AZ144" t="s">
        <v>397</v>
      </c>
      <c r="BA144">
        <v>0.96</v>
      </c>
      <c r="BB144" t="s">
        <v>308</v>
      </c>
      <c r="BC144">
        <v>0.94758064516129004</v>
      </c>
      <c r="BD144" t="s">
        <v>381</v>
      </c>
      <c r="BE144">
        <v>0.85671463963537997</v>
      </c>
      <c r="BF144" t="s">
        <v>383</v>
      </c>
      <c r="BG144">
        <v>0.90612244897959104</v>
      </c>
      <c r="BH144" t="s">
        <v>408</v>
      </c>
      <c r="BI144">
        <v>1.03343465045592</v>
      </c>
      <c r="BJ144" t="s">
        <v>419</v>
      </c>
      <c r="BK144">
        <v>1.2826086956521701</v>
      </c>
      <c r="BL144" t="s">
        <v>417</v>
      </c>
      <c r="BM144">
        <v>0.93193193193193102</v>
      </c>
      <c r="BN144" t="s">
        <v>424</v>
      </c>
      <c r="BO144">
        <v>1.18734177215189</v>
      </c>
      <c r="BP144" t="s">
        <v>418</v>
      </c>
      <c r="BQ144">
        <v>1.1174652241112799</v>
      </c>
      <c r="BR144" t="s">
        <v>396</v>
      </c>
      <c r="BS144">
        <v>1.1106382978723399</v>
      </c>
      <c r="BT144" t="s">
        <v>408</v>
      </c>
      <c r="BU144">
        <v>0.97359735973597294</v>
      </c>
      <c r="BV144" t="s">
        <v>333</v>
      </c>
      <c r="BW144">
        <v>1.0689655172413699</v>
      </c>
    </row>
    <row r="145" spans="1:75" x14ac:dyDescent="0.4">
      <c r="A145">
        <v>143</v>
      </c>
      <c r="B145" t="s">
        <v>278</v>
      </c>
      <c r="C145">
        <v>1.00300751879699</v>
      </c>
      <c r="D145" t="s">
        <v>359</v>
      </c>
      <c r="E145">
        <v>0.85814606741572996</v>
      </c>
      <c r="F145" t="s">
        <v>278</v>
      </c>
      <c r="G145">
        <v>0.841389728096676</v>
      </c>
      <c r="H145" t="s">
        <v>367</v>
      </c>
      <c r="I145">
        <v>1.5635917030567601</v>
      </c>
      <c r="J145" t="s">
        <v>352</v>
      </c>
      <c r="K145">
        <v>0.99469297620743602</v>
      </c>
      <c r="L145" t="s">
        <v>381</v>
      </c>
      <c r="M145">
        <v>0.96612516152852101</v>
      </c>
      <c r="N145" t="s">
        <v>381</v>
      </c>
      <c r="O145">
        <v>0.91881150281838098</v>
      </c>
      <c r="P145" t="s">
        <v>364</v>
      </c>
      <c r="Q145">
        <v>1.0033003300329999</v>
      </c>
      <c r="R145" t="s">
        <v>364</v>
      </c>
      <c r="S145">
        <v>0.90460526315789402</v>
      </c>
      <c r="T145" t="s">
        <v>289</v>
      </c>
      <c r="U145">
        <v>0.993166287015945</v>
      </c>
      <c r="V145" t="s">
        <v>377</v>
      </c>
      <c r="W145">
        <v>1.0108564535585001</v>
      </c>
      <c r="X145" t="s">
        <v>367</v>
      </c>
      <c r="Y145">
        <v>0.89012305346836496</v>
      </c>
      <c r="Z145" t="s">
        <v>384</v>
      </c>
      <c r="AA145">
        <v>1.0595890410958899</v>
      </c>
      <c r="AB145" t="s">
        <v>386</v>
      </c>
      <c r="AC145">
        <v>0.82542372881355897</v>
      </c>
      <c r="AD145" t="s">
        <v>395</v>
      </c>
      <c r="AE145">
        <v>0.80756013745704402</v>
      </c>
      <c r="AF145" t="s">
        <v>310</v>
      </c>
      <c r="AG145">
        <v>0.99353448275862</v>
      </c>
      <c r="AH145" t="s">
        <v>396</v>
      </c>
      <c r="AI145">
        <v>0.92307692307692302</v>
      </c>
      <c r="AJ145" t="s">
        <v>323</v>
      </c>
      <c r="AK145">
        <v>1.3045045045045001</v>
      </c>
      <c r="AL145" t="s">
        <v>410</v>
      </c>
      <c r="AM145">
        <v>1.0453333333333299</v>
      </c>
      <c r="AN145" t="s">
        <v>409</v>
      </c>
      <c r="AO145">
        <v>1.23309352517985</v>
      </c>
      <c r="AP145" t="s">
        <v>310</v>
      </c>
      <c r="AQ145">
        <v>1.1996587030716701</v>
      </c>
      <c r="AR145" t="s">
        <v>395</v>
      </c>
      <c r="AS145">
        <v>0.93160054719562202</v>
      </c>
      <c r="AT145" t="s">
        <v>410</v>
      </c>
      <c r="AU145">
        <v>0.77697841726618699</v>
      </c>
      <c r="AV145" t="s">
        <v>410</v>
      </c>
      <c r="AW145">
        <v>1.18148148148148</v>
      </c>
      <c r="AX145" t="s">
        <v>396</v>
      </c>
      <c r="AY145">
        <v>1.02941176470588</v>
      </c>
      <c r="AZ145" t="s">
        <v>410</v>
      </c>
      <c r="BA145">
        <v>1.98125</v>
      </c>
      <c r="BB145" t="s">
        <v>396</v>
      </c>
      <c r="BC145">
        <v>0.85511363636363602</v>
      </c>
      <c r="BD145" t="s">
        <v>383</v>
      </c>
      <c r="BE145">
        <v>1.00616016427104</v>
      </c>
      <c r="BF145" t="s">
        <v>386</v>
      </c>
      <c r="BG145">
        <v>1.12820512820512</v>
      </c>
      <c r="BH145" t="s">
        <v>416</v>
      </c>
      <c r="BI145">
        <v>1.18025751072961</v>
      </c>
      <c r="BJ145" t="s">
        <v>420</v>
      </c>
      <c r="BK145">
        <v>1.1019522776572599</v>
      </c>
      <c r="BL145" t="s">
        <v>418</v>
      </c>
      <c r="BM145">
        <v>0.94578313253012003</v>
      </c>
      <c r="BN145" t="s">
        <v>431</v>
      </c>
      <c r="BO145">
        <v>1.0862422997946599</v>
      </c>
      <c r="BP145" t="s">
        <v>419</v>
      </c>
      <c r="BQ145">
        <v>1.14020618556701</v>
      </c>
      <c r="BR145" t="s">
        <v>397</v>
      </c>
      <c r="BS145">
        <v>0.96721311475409799</v>
      </c>
      <c r="BT145" t="s">
        <v>414</v>
      </c>
      <c r="BU145">
        <v>1.01001112347052</v>
      </c>
      <c r="BV145" t="s">
        <v>407</v>
      </c>
      <c r="BW145">
        <v>1.1452145214521401</v>
      </c>
    </row>
    <row r="146" spans="1:75" x14ac:dyDescent="0.4">
      <c r="A146">
        <v>144</v>
      </c>
      <c r="B146" t="s">
        <v>372</v>
      </c>
      <c r="C146">
        <v>1.6110381077529501</v>
      </c>
      <c r="D146" t="s">
        <v>278</v>
      </c>
      <c r="E146">
        <v>0.992503748125937</v>
      </c>
      <c r="F146" t="s">
        <v>368</v>
      </c>
      <c r="G146">
        <v>0.423208191126279</v>
      </c>
      <c r="H146" t="s">
        <v>369</v>
      </c>
      <c r="I146">
        <v>1.2129629629629599</v>
      </c>
      <c r="J146" t="s">
        <v>275</v>
      </c>
      <c r="K146">
        <v>0.99748743718592903</v>
      </c>
      <c r="L146" t="s">
        <v>389</v>
      </c>
      <c r="M146">
        <v>0.98805460750853202</v>
      </c>
      <c r="N146" t="s">
        <v>384</v>
      </c>
      <c r="O146">
        <v>0.97466063348416199</v>
      </c>
      <c r="P146" t="s">
        <v>366</v>
      </c>
      <c r="Q146">
        <v>1.18611987381703</v>
      </c>
      <c r="R146" t="s">
        <v>366</v>
      </c>
      <c r="S146">
        <v>0.97074468085106302</v>
      </c>
      <c r="T146" t="s">
        <v>377</v>
      </c>
      <c r="U146">
        <v>0.96395348837209305</v>
      </c>
      <c r="V146" t="s">
        <v>374</v>
      </c>
      <c r="W146">
        <v>0.98116760828625205</v>
      </c>
      <c r="X146" t="s">
        <v>364</v>
      </c>
      <c r="Y146">
        <v>0.93296089385474801</v>
      </c>
      <c r="Z146" t="s">
        <v>389</v>
      </c>
      <c r="AA146">
        <v>0.884745762711864</v>
      </c>
      <c r="AB146" t="s">
        <v>390</v>
      </c>
      <c r="AC146">
        <v>0.94659602971623402</v>
      </c>
      <c r="AD146" t="s">
        <v>401</v>
      </c>
      <c r="AE146">
        <v>0.84293193717277404</v>
      </c>
      <c r="AF146" t="s">
        <v>323</v>
      </c>
      <c r="AG146">
        <v>1.1276948590381399</v>
      </c>
      <c r="AH146" t="s">
        <v>397</v>
      </c>
      <c r="AI146">
        <v>0.77879799666110106</v>
      </c>
      <c r="AJ146" t="s">
        <v>410</v>
      </c>
      <c r="AK146">
        <v>0.98425196850393704</v>
      </c>
      <c r="AL146" t="s">
        <v>402</v>
      </c>
      <c r="AM146">
        <v>0.78465594232528102</v>
      </c>
      <c r="AN146" t="s">
        <v>329</v>
      </c>
      <c r="AO146">
        <v>1.0416666666666601</v>
      </c>
      <c r="AP146" t="s">
        <v>410</v>
      </c>
      <c r="AQ146">
        <v>1.33885819521178</v>
      </c>
      <c r="AR146" t="s">
        <v>396</v>
      </c>
      <c r="AS146">
        <v>0.90039840637450197</v>
      </c>
      <c r="AT146" t="s">
        <v>412</v>
      </c>
      <c r="AU146">
        <v>0.93237250554323703</v>
      </c>
      <c r="AV146" t="s">
        <v>402</v>
      </c>
      <c r="AW146">
        <v>0.29608645472668099</v>
      </c>
      <c r="AX146" t="s">
        <v>397</v>
      </c>
      <c r="AY146">
        <v>0.97200622083981303</v>
      </c>
      <c r="AZ146" t="s">
        <v>329</v>
      </c>
      <c r="BA146">
        <v>1.0044313146233299</v>
      </c>
      <c r="BB146" t="s">
        <v>397</v>
      </c>
      <c r="BC146">
        <v>0.98166666666666602</v>
      </c>
      <c r="BD146" t="s">
        <v>386</v>
      </c>
      <c r="BE146">
        <v>1.0224719101123501</v>
      </c>
      <c r="BF146" t="s">
        <v>395</v>
      </c>
      <c r="BG146">
        <v>1.012</v>
      </c>
      <c r="BH146" t="s">
        <v>335</v>
      </c>
      <c r="BI146">
        <v>0.875</v>
      </c>
      <c r="BJ146" t="s">
        <v>421</v>
      </c>
      <c r="BK146">
        <v>0.95670391061452498</v>
      </c>
      <c r="BL146" t="s">
        <v>419</v>
      </c>
      <c r="BM146">
        <v>0.69915254237288105</v>
      </c>
      <c r="BN146" t="s">
        <v>434</v>
      </c>
      <c r="BO146">
        <v>0.831184056271981</v>
      </c>
      <c r="BP146" t="s">
        <v>343</v>
      </c>
      <c r="BQ146">
        <v>1.0679245283018799</v>
      </c>
      <c r="BR146" t="s">
        <v>402</v>
      </c>
      <c r="BS146">
        <v>1.0693877551020401</v>
      </c>
      <c r="BT146" t="s">
        <v>417</v>
      </c>
      <c r="BU146">
        <v>1.0617154811715399</v>
      </c>
      <c r="BV146" t="s">
        <v>408</v>
      </c>
      <c r="BW146">
        <v>1.09717514124293</v>
      </c>
    </row>
    <row r="147" spans="1:75" x14ac:dyDescent="0.4">
      <c r="A147">
        <v>145</v>
      </c>
      <c r="B147" t="s">
        <v>282</v>
      </c>
      <c r="C147">
        <v>1.3125</v>
      </c>
      <c r="D147" t="s">
        <v>282</v>
      </c>
      <c r="E147">
        <v>0.97857142857142798</v>
      </c>
      <c r="F147" t="s">
        <v>372</v>
      </c>
      <c r="G147">
        <v>0.75324675324675305</v>
      </c>
      <c r="H147" t="s">
        <v>364</v>
      </c>
      <c r="I147">
        <v>1.17737789203084</v>
      </c>
      <c r="J147" t="s">
        <v>359</v>
      </c>
      <c r="K147">
        <v>1.1093117408906801</v>
      </c>
      <c r="L147" t="s">
        <v>387</v>
      </c>
      <c r="M147">
        <v>1.22977346278317</v>
      </c>
      <c r="N147" t="s">
        <v>389</v>
      </c>
      <c r="O147">
        <v>1</v>
      </c>
      <c r="P147" t="s">
        <v>303</v>
      </c>
      <c r="Q147">
        <v>1.00645446085566</v>
      </c>
      <c r="R147" t="s">
        <v>303</v>
      </c>
      <c r="S147">
        <v>1.1004160789008799</v>
      </c>
      <c r="T147" t="s">
        <v>381</v>
      </c>
      <c r="U147">
        <v>0.97277621122789004</v>
      </c>
      <c r="V147" t="s">
        <v>381</v>
      </c>
      <c r="W147">
        <v>1.0139928322968199</v>
      </c>
      <c r="X147" t="s">
        <v>366</v>
      </c>
      <c r="Y147">
        <v>1.52727272727272</v>
      </c>
      <c r="Z147" t="s">
        <v>387</v>
      </c>
      <c r="AA147">
        <v>1.48467966573816</v>
      </c>
      <c r="AB147" t="s">
        <v>308</v>
      </c>
      <c r="AC147">
        <v>1.3223684210526301</v>
      </c>
      <c r="AD147" t="s">
        <v>396</v>
      </c>
      <c r="AE147">
        <v>0.90937500000000004</v>
      </c>
      <c r="AF147" t="s">
        <v>410</v>
      </c>
      <c r="AG147">
        <v>1.01453488372093</v>
      </c>
      <c r="AH147" t="s">
        <v>310</v>
      </c>
      <c r="AI147">
        <v>0.92407809110629002</v>
      </c>
      <c r="AJ147" t="s">
        <v>402</v>
      </c>
      <c r="AK147">
        <v>0.85108428880178699</v>
      </c>
      <c r="AL147" t="s">
        <v>409</v>
      </c>
      <c r="AM147">
        <v>0.89793281653746704</v>
      </c>
      <c r="AN147" t="s">
        <v>404</v>
      </c>
      <c r="AO147">
        <v>1.07152682255845</v>
      </c>
      <c r="AP147" t="s">
        <v>412</v>
      </c>
      <c r="AQ147">
        <v>0.95022624434389102</v>
      </c>
      <c r="AR147" t="s">
        <v>397</v>
      </c>
      <c r="AS147">
        <v>0.94514106583072099</v>
      </c>
      <c r="AT147" t="s">
        <v>402</v>
      </c>
      <c r="AU147">
        <v>0.340174173745449</v>
      </c>
      <c r="AV147" t="s">
        <v>409</v>
      </c>
      <c r="AW147">
        <v>1.24291497975708</v>
      </c>
      <c r="AX147" t="s">
        <v>410</v>
      </c>
      <c r="AY147">
        <v>1.00313479623824</v>
      </c>
      <c r="AZ147" t="s">
        <v>404</v>
      </c>
      <c r="BA147">
        <v>1.2982689747003899</v>
      </c>
      <c r="BB147" t="s">
        <v>412</v>
      </c>
      <c r="BC147">
        <v>0.84021739130434703</v>
      </c>
      <c r="BD147" t="s">
        <v>395</v>
      </c>
      <c r="BE147">
        <v>0.83333333333333304</v>
      </c>
      <c r="BF147" t="s">
        <v>396</v>
      </c>
      <c r="BG147">
        <v>1.07777777777777</v>
      </c>
      <c r="BH147" t="s">
        <v>417</v>
      </c>
      <c r="BI147">
        <v>0.8</v>
      </c>
      <c r="BJ147" t="s">
        <v>343</v>
      </c>
      <c r="BK147">
        <v>0.95279503105590002</v>
      </c>
      <c r="BL147" t="s">
        <v>420</v>
      </c>
      <c r="BM147">
        <v>0.964566929133858</v>
      </c>
      <c r="BN147" t="s">
        <v>426</v>
      </c>
      <c r="BO147">
        <v>1.5158924205378901</v>
      </c>
      <c r="BP147" t="s">
        <v>423</v>
      </c>
      <c r="BQ147">
        <v>0.69487750556792804</v>
      </c>
      <c r="BR147" t="s">
        <v>333</v>
      </c>
      <c r="BS147">
        <v>0.944620253164557</v>
      </c>
      <c r="BT147" t="s">
        <v>418</v>
      </c>
      <c r="BU147">
        <v>0.96732954545454497</v>
      </c>
      <c r="BV147" t="s">
        <v>414</v>
      </c>
      <c r="BW147">
        <v>1.01982378854625</v>
      </c>
    </row>
    <row r="148" spans="1:75" x14ac:dyDescent="0.4">
      <c r="A148">
        <v>146</v>
      </c>
      <c r="B148" t="s">
        <v>365</v>
      </c>
      <c r="C148">
        <v>1.2564076269828499</v>
      </c>
      <c r="D148" t="s">
        <v>365</v>
      </c>
      <c r="E148">
        <v>0.76190500482066603</v>
      </c>
      <c r="F148" t="s">
        <v>365</v>
      </c>
      <c r="G148">
        <v>0.51607222962432298</v>
      </c>
      <c r="H148" t="s">
        <v>376</v>
      </c>
      <c r="I148">
        <v>0.95387025060630504</v>
      </c>
      <c r="J148" t="s">
        <v>278</v>
      </c>
      <c r="K148">
        <v>1.1812499999999999</v>
      </c>
      <c r="L148" t="s">
        <v>392</v>
      </c>
      <c r="M148">
        <v>0.98172323759791102</v>
      </c>
      <c r="N148" t="s">
        <v>387</v>
      </c>
      <c r="O148">
        <v>1.34649122807017</v>
      </c>
      <c r="P148" t="s">
        <v>289</v>
      </c>
      <c r="Q148">
        <v>0.81803005008347196</v>
      </c>
      <c r="R148" t="s">
        <v>289</v>
      </c>
      <c r="S148">
        <v>0.89591836734693797</v>
      </c>
      <c r="T148" t="s">
        <v>384</v>
      </c>
      <c r="U148">
        <v>1.0087318087318</v>
      </c>
      <c r="V148" t="s">
        <v>384</v>
      </c>
      <c r="W148">
        <v>1.09810387469084</v>
      </c>
      <c r="X148" t="s">
        <v>303</v>
      </c>
      <c r="Y148">
        <v>0.88130865349717402</v>
      </c>
      <c r="Z148" t="s">
        <v>386</v>
      </c>
      <c r="AA148">
        <v>0.929133858267716</v>
      </c>
      <c r="AB148" t="s">
        <v>396</v>
      </c>
      <c r="AC148">
        <v>0.84210526315789402</v>
      </c>
      <c r="AD148" t="s">
        <v>397</v>
      </c>
      <c r="AE148">
        <v>0.96315789473684199</v>
      </c>
      <c r="AF148" t="s">
        <v>412</v>
      </c>
      <c r="AG148">
        <v>1.1566390041493699</v>
      </c>
      <c r="AH148" t="s">
        <v>323</v>
      </c>
      <c r="AI148">
        <v>0.81617647058823495</v>
      </c>
      <c r="AJ148" t="s">
        <v>409</v>
      </c>
      <c r="AK148">
        <v>1.0130890052356001</v>
      </c>
      <c r="AL148" t="s">
        <v>329</v>
      </c>
      <c r="AM148">
        <v>1.01298701298701</v>
      </c>
      <c r="AN148" t="s">
        <v>333</v>
      </c>
      <c r="AO148">
        <v>0.94960212201591498</v>
      </c>
      <c r="AP148" t="s">
        <v>402</v>
      </c>
      <c r="AQ148">
        <v>0.669413934493717</v>
      </c>
      <c r="AR148" t="s">
        <v>310</v>
      </c>
      <c r="AS148">
        <v>1.08961593172119</v>
      </c>
      <c r="AT148" t="s">
        <v>409</v>
      </c>
      <c r="AU148">
        <v>1.0061099796334001</v>
      </c>
      <c r="AV148" t="s">
        <v>329</v>
      </c>
      <c r="AW148">
        <v>0.96153846153846101</v>
      </c>
      <c r="AX148" t="s">
        <v>409</v>
      </c>
      <c r="AY148">
        <v>1.2915309446254</v>
      </c>
      <c r="AZ148" t="s">
        <v>333</v>
      </c>
      <c r="BA148">
        <v>1.1513157894736801</v>
      </c>
      <c r="BB148" t="s">
        <v>409</v>
      </c>
      <c r="BC148">
        <v>1.24416796267496</v>
      </c>
      <c r="BD148" t="s">
        <v>308</v>
      </c>
      <c r="BE148">
        <v>1.28936170212765</v>
      </c>
      <c r="BF148" t="s">
        <v>397</v>
      </c>
      <c r="BG148">
        <v>1.01061946902654</v>
      </c>
      <c r="BH148" t="s">
        <v>418</v>
      </c>
      <c r="BI148">
        <v>1.0014727540500701</v>
      </c>
      <c r="BJ148" t="s">
        <v>423</v>
      </c>
      <c r="BK148">
        <v>0.93747241430042605</v>
      </c>
      <c r="BL148" t="s">
        <v>422</v>
      </c>
      <c r="BM148">
        <v>0.85760869565217301</v>
      </c>
      <c r="BN148" t="s">
        <v>430</v>
      </c>
      <c r="BO148">
        <v>0.99706055261610804</v>
      </c>
      <c r="BP148" t="s">
        <v>431</v>
      </c>
      <c r="BQ148">
        <v>0.99621928166351603</v>
      </c>
      <c r="BR148" t="s">
        <v>407</v>
      </c>
      <c r="BS148">
        <v>1.07792207792207</v>
      </c>
      <c r="BT148" t="s">
        <v>435</v>
      </c>
      <c r="BU148">
        <v>1.1177370030581</v>
      </c>
      <c r="BV148" t="s">
        <v>417</v>
      </c>
      <c r="BW148">
        <v>0.93694581280788103</v>
      </c>
    </row>
    <row r="149" spans="1:75" x14ac:dyDescent="0.4">
      <c r="A149">
        <v>147</v>
      </c>
      <c r="B149" t="s">
        <v>415</v>
      </c>
      <c r="C149">
        <v>0.91497975708502</v>
      </c>
      <c r="D149" t="s">
        <v>415</v>
      </c>
      <c r="E149">
        <v>0.88938053097345104</v>
      </c>
      <c r="F149" t="s">
        <v>367</v>
      </c>
      <c r="G149">
        <v>0.65137777777777695</v>
      </c>
      <c r="H149" t="s">
        <v>303</v>
      </c>
      <c r="I149">
        <v>1.7665325879465501</v>
      </c>
      <c r="J149" t="s">
        <v>372</v>
      </c>
      <c r="K149">
        <v>1.4459459459459401</v>
      </c>
      <c r="L149" t="s">
        <v>395</v>
      </c>
      <c r="M149">
        <v>1.1854166666666599</v>
      </c>
      <c r="N149" t="s">
        <v>392</v>
      </c>
      <c r="O149">
        <v>0.98404255319148903</v>
      </c>
      <c r="P149" t="s">
        <v>377</v>
      </c>
      <c r="Q149">
        <v>0.99393939393939301</v>
      </c>
      <c r="R149" t="s">
        <v>377</v>
      </c>
      <c r="S149">
        <v>0.87398373983739797</v>
      </c>
      <c r="T149" t="s">
        <v>389</v>
      </c>
      <c r="U149">
        <v>1.0245283018867899</v>
      </c>
      <c r="V149" t="s">
        <v>389</v>
      </c>
      <c r="W149">
        <v>1.15469613259668</v>
      </c>
      <c r="X149" t="s">
        <v>289</v>
      </c>
      <c r="Y149">
        <v>0.90280373831775695</v>
      </c>
      <c r="Z149" t="s">
        <v>390</v>
      </c>
      <c r="AA149">
        <v>1.0465872156013001</v>
      </c>
      <c r="AB149" t="s">
        <v>397</v>
      </c>
      <c r="AC149">
        <v>1.0035211267605599</v>
      </c>
      <c r="AD149" t="s">
        <v>310</v>
      </c>
      <c r="AE149">
        <v>1.0086956521739101</v>
      </c>
      <c r="AF149" t="s">
        <v>402</v>
      </c>
      <c r="AG149">
        <v>1.31542010752092</v>
      </c>
      <c r="AH149" t="s">
        <v>410</v>
      </c>
      <c r="AI149">
        <v>1.0916905444125999</v>
      </c>
      <c r="AJ149" t="s">
        <v>329</v>
      </c>
      <c r="AK149">
        <v>1.10394265232974</v>
      </c>
      <c r="AL149" t="s">
        <v>404</v>
      </c>
      <c r="AM149">
        <v>1.01112656467315</v>
      </c>
      <c r="AN149" t="s">
        <v>407</v>
      </c>
      <c r="AO149">
        <v>1.3254716981132</v>
      </c>
      <c r="AP149" t="s">
        <v>409</v>
      </c>
      <c r="AQ149">
        <v>1.3138856476079299</v>
      </c>
      <c r="AR149" t="s">
        <v>410</v>
      </c>
      <c r="AS149">
        <v>0.955983493810178</v>
      </c>
      <c r="AT149" t="s">
        <v>329</v>
      </c>
      <c r="AU149">
        <v>1.04838709677419</v>
      </c>
      <c r="AV149" t="s">
        <v>404</v>
      </c>
      <c r="AW149">
        <v>0.88188976377952699</v>
      </c>
      <c r="AX149" t="s">
        <v>329</v>
      </c>
      <c r="AY149">
        <v>1.0831999999999999</v>
      </c>
      <c r="AZ149" t="s">
        <v>407</v>
      </c>
      <c r="BA149">
        <v>1.1473214285714199</v>
      </c>
      <c r="BB149" t="s">
        <v>329</v>
      </c>
      <c r="BC149">
        <v>1.08970588235294</v>
      </c>
      <c r="BD149" t="s">
        <v>396</v>
      </c>
      <c r="BE149">
        <v>0.89700996677740796</v>
      </c>
      <c r="BF149" t="s">
        <v>412</v>
      </c>
      <c r="BG149">
        <v>0.965753424657534</v>
      </c>
      <c r="BH149" t="s">
        <v>419</v>
      </c>
      <c r="BI149">
        <v>0.67522935779816495</v>
      </c>
      <c r="BJ149" t="s">
        <v>424</v>
      </c>
      <c r="BK149">
        <v>0.76534546576187501</v>
      </c>
      <c r="BL149" t="s">
        <v>343</v>
      </c>
      <c r="BM149">
        <v>1.00130378096479</v>
      </c>
      <c r="BN149" t="s">
        <v>432</v>
      </c>
      <c r="BO149">
        <v>1.08768656716417</v>
      </c>
      <c r="BP149" t="s">
        <v>434</v>
      </c>
      <c r="BQ149">
        <v>0.96897038081805298</v>
      </c>
      <c r="BR149" t="s">
        <v>408</v>
      </c>
      <c r="BS149">
        <v>0.93904958677685901</v>
      </c>
      <c r="BT149" t="s">
        <v>343</v>
      </c>
      <c r="BU149">
        <v>1.14235705950991</v>
      </c>
      <c r="BV149" t="s">
        <v>418</v>
      </c>
      <c r="BW149">
        <v>1.12187958883994</v>
      </c>
    </row>
    <row r="150" spans="1:75" x14ac:dyDescent="0.4">
      <c r="A150">
        <v>148</v>
      </c>
      <c r="B150" t="s">
        <v>364</v>
      </c>
      <c r="C150">
        <v>0.82</v>
      </c>
      <c r="D150" t="s">
        <v>369</v>
      </c>
      <c r="E150">
        <v>1.00358422939068</v>
      </c>
      <c r="F150" t="s">
        <v>371</v>
      </c>
      <c r="G150">
        <v>0.59869100930072305</v>
      </c>
      <c r="H150" t="s">
        <v>289</v>
      </c>
      <c r="I150">
        <v>0.72190201729106596</v>
      </c>
      <c r="J150" t="s">
        <v>282</v>
      </c>
      <c r="K150">
        <v>1.04857142857142</v>
      </c>
      <c r="L150" t="s">
        <v>308</v>
      </c>
      <c r="M150">
        <v>1.0341880341880301</v>
      </c>
      <c r="N150" t="s">
        <v>390</v>
      </c>
      <c r="O150">
        <v>0.90546197039305698</v>
      </c>
      <c r="P150" t="s">
        <v>374</v>
      </c>
      <c r="Q150">
        <v>1.05833333333333</v>
      </c>
      <c r="R150" t="s">
        <v>375</v>
      </c>
      <c r="S150">
        <v>0.88975155279503104</v>
      </c>
      <c r="T150" t="s">
        <v>387</v>
      </c>
      <c r="U150">
        <v>1.3321678321678301</v>
      </c>
      <c r="V150" t="s">
        <v>387</v>
      </c>
      <c r="W150">
        <v>0.88188976377952699</v>
      </c>
      <c r="X150" t="s">
        <v>398</v>
      </c>
      <c r="Y150">
        <v>1.26628370098039</v>
      </c>
      <c r="Z150" t="s">
        <v>395</v>
      </c>
      <c r="AA150">
        <v>1.27551020408163</v>
      </c>
      <c r="AB150" t="s">
        <v>310</v>
      </c>
      <c r="AC150">
        <v>1.12745098039215</v>
      </c>
      <c r="AD150" t="s">
        <v>314</v>
      </c>
      <c r="AE150">
        <v>0.47460716759633897</v>
      </c>
      <c r="AF150" t="s">
        <v>409</v>
      </c>
      <c r="AG150">
        <v>1.07420357420357</v>
      </c>
      <c r="AH150" t="s">
        <v>402</v>
      </c>
      <c r="AI150">
        <v>0.57510019855377004</v>
      </c>
      <c r="AJ150" t="s">
        <v>404</v>
      </c>
      <c r="AK150">
        <v>1.0828313253012001</v>
      </c>
      <c r="AL150" t="s">
        <v>333</v>
      </c>
      <c r="AM150">
        <v>1.0959302325581299</v>
      </c>
      <c r="AN150" t="s">
        <v>416</v>
      </c>
      <c r="AO150">
        <v>1.13788487282463</v>
      </c>
      <c r="AP150" t="s">
        <v>329</v>
      </c>
      <c r="AQ150">
        <v>1.1107692307692301</v>
      </c>
      <c r="AR150" t="s">
        <v>412</v>
      </c>
      <c r="AS150">
        <v>0.85904761904761895</v>
      </c>
      <c r="AT150" t="s">
        <v>404</v>
      </c>
      <c r="AU150">
        <v>1.0524861878453</v>
      </c>
      <c r="AV150" t="s">
        <v>333</v>
      </c>
      <c r="AW150">
        <v>0.89925925925925898</v>
      </c>
      <c r="AX150" t="s">
        <v>404</v>
      </c>
      <c r="AY150">
        <v>1.11755952380952</v>
      </c>
      <c r="AZ150" t="s">
        <v>408</v>
      </c>
      <c r="BA150">
        <v>1.9311377245508901</v>
      </c>
      <c r="BB150" t="s">
        <v>404</v>
      </c>
      <c r="BC150">
        <v>0.98358974358974305</v>
      </c>
      <c r="BD150" t="s">
        <v>397</v>
      </c>
      <c r="BE150">
        <v>0.95925297113752095</v>
      </c>
      <c r="BF150" t="s">
        <v>402</v>
      </c>
      <c r="BG150">
        <v>0.82767739092111003</v>
      </c>
      <c r="BH150" t="s">
        <v>420</v>
      </c>
      <c r="BI150">
        <v>0.78803418803418801</v>
      </c>
      <c r="BJ150" t="s">
        <v>434</v>
      </c>
      <c r="BK150">
        <v>1.0296296296296199</v>
      </c>
      <c r="BL150" t="s">
        <v>423</v>
      </c>
      <c r="BM150">
        <v>1.15544569993722</v>
      </c>
      <c r="BN150" t="s">
        <v>433</v>
      </c>
      <c r="BO150">
        <v>1.0421607378129101</v>
      </c>
      <c r="BP150" t="s">
        <v>426</v>
      </c>
      <c r="BQ150">
        <v>1.31774193548387</v>
      </c>
      <c r="BR150" t="s">
        <v>414</v>
      </c>
      <c r="BS150">
        <v>1.24515235457063</v>
      </c>
      <c r="BT150" t="s">
        <v>423</v>
      </c>
      <c r="BU150">
        <v>1.09554140127388</v>
      </c>
      <c r="BV150" t="s">
        <v>420</v>
      </c>
      <c r="BW150">
        <v>1.18978102189781</v>
      </c>
    </row>
    <row r="151" spans="1:75" x14ac:dyDescent="0.4">
      <c r="A151">
        <v>149</v>
      </c>
      <c r="B151" t="s">
        <v>366</v>
      </c>
      <c r="C151">
        <v>1.0770270270270199</v>
      </c>
      <c r="D151" t="s">
        <v>364</v>
      </c>
      <c r="E151">
        <v>0.84634146341463401</v>
      </c>
      <c r="F151" t="s">
        <v>364</v>
      </c>
      <c r="G151">
        <v>0.56051873198847202</v>
      </c>
      <c r="H151" t="s">
        <v>377</v>
      </c>
      <c r="I151">
        <v>1.7698504027617901</v>
      </c>
      <c r="J151" t="s">
        <v>365</v>
      </c>
      <c r="K151">
        <v>1.86089224046796</v>
      </c>
      <c r="L151" t="s">
        <v>396</v>
      </c>
      <c r="M151">
        <v>1.39462809917355</v>
      </c>
      <c r="N151" t="s">
        <v>395</v>
      </c>
      <c r="O151">
        <v>1.2653778558875199</v>
      </c>
      <c r="P151" t="s">
        <v>375</v>
      </c>
      <c r="Q151">
        <v>1.0173775671406</v>
      </c>
      <c r="R151" t="s">
        <v>384</v>
      </c>
      <c r="S151">
        <v>0.99134377576257204</v>
      </c>
      <c r="T151" t="s">
        <v>392</v>
      </c>
      <c r="U151">
        <v>1.1631799163179899</v>
      </c>
      <c r="V151" t="s">
        <v>390</v>
      </c>
      <c r="W151">
        <v>1.57531130268199</v>
      </c>
      <c r="X151" t="s">
        <v>377</v>
      </c>
      <c r="Y151">
        <v>0.84367541766109699</v>
      </c>
      <c r="Z151" t="s">
        <v>308</v>
      </c>
      <c r="AA151">
        <v>0.86956521739130399</v>
      </c>
      <c r="AB151" t="s">
        <v>314</v>
      </c>
      <c r="AC151">
        <v>0.84065833026848102</v>
      </c>
      <c r="AD151" t="s">
        <v>323</v>
      </c>
      <c r="AE151">
        <v>1.10237659963436</v>
      </c>
      <c r="AF151" t="s">
        <v>329</v>
      </c>
      <c r="AG151">
        <v>1.0621242484969899</v>
      </c>
      <c r="AH151" t="s">
        <v>409</v>
      </c>
      <c r="AI151">
        <v>0.69077757685352603</v>
      </c>
      <c r="AJ151" t="s">
        <v>333</v>
      </c>
      <c r="AK151">
        <v>1.2307692307692299</v>
      </c>
      <c r="AL151" t="s">
        <v>407</v>
      </c>
      <c r="AM151">
        <v>1.0707070707070701</v>
      </c>
      <c r="AN151" t="s">
        <v>429</v>
      </c>
      <c r="AO151">
        <v>1.50411821705426</v>
      </c>
      <c r="AP151" t="s">
        <v>404</v>
      </c>
      <c r="AQ151">
        <v>0.96405648267008903</v>
      </c>
      <c r="AR151" t="s">
        <v>402</v>
      </c>
      <c r="AS151">
        <v>0.68922425986740898</v>
      </c>
      <c r="AT151" t="s">
        <v>333</v>
      </c>
      <c r="AU151">
        <v>0.93490304709141203</v>
      </c>
      <c r="AV151" t="s">
        <v>407</v>
      </c>
      <c r="AW151">
        <v>1.0701754385964899</v>
      </c>
      <c r="AX151" t="s">
        <v>333</v>
      </c>
      <c r="AY151">
        <v>1.0016474464579901</v>
      </c>
      <c r="AZ151" t="s">
        <v>417</v>
      </c>
      <c r="BA151">
        <v>1.1471471471471399</v>
      </c>
      <c r="BB151" t="s">
        <v>333</v>
      </c>
      <c r="BC151">
        <v>0.93</v>
      </c>
      <c r="BD151" t="s">
        <v>413</v>
      </c>
      <c r="BE151">
        <v>1.29965156794425</v>
      </c>
      <c r="BF151" t="s">
        <v>404</v>
      </c>
      <c r="BG151">
        <v>1.11466666666666</v>
      </c>
      <c r="BH151" t="s">
        <v>421</v>
      </c>
      <c r="BI151">
        <v>1.0376811594202899</v>
      </c>
      <c r="BJ151" t="s">
        <v>426</v>
      </c>
      <c r="BK151">
        <v>1.02694610778443</v>
      </c>
      <c r="BL151" t="s">
        <v>427</v>
      </c>
      <c r="BM151">
        <v>1.0825688073394399</v>
      </c>
      <c r="BN151" t="s">
        <v>436</v>
      </c>
      <c r="BO151">
        <v>1.1468354430379699</v>
      </c>
      <c r="BP151" t="s">
        <v>430</v>
      </c>
      <c r="BQ151">
        <v>0.92323113207547103</v>
      </c>
      <c r="BR151" t="s">
        <v>418</v>
      </c>
      <c r="BS151">
        <v>0.97372060857538001</v>
      </c>
      <c r="BT151" t="s">
        <v>427</v>
      </c>
      <c r="BU151">
        <v>0.96809680968096801</v>
      </c>
      <c r="BV151" t="s">
        <v>422</v>
      </c>
      <c r="BW151">
        <v>0.91963109354413697</v>
      </c>
    </row>
    <row r="152" spans="1:75" x14ac:dyDescent="0.4">
      <c r="A152">
        <v>150</v>
      </c>
      <c r="B152" t="s">
        <v>376</v>
      </c>
      <c r="C152">
        <v>1.1118313023939099</v>
      </c>
      <c r="D152" t="s">
        <v>366</v>
      </c>
      <c r="E152">
        <v>0.84567126725219499</v>
      </c>
      <c r="F152" t="s">
        <v>366</v>
      </c>
      <c r="G152">
        <v>0.666172106824925</v>
      </c>
      <c r="H152" t="s">
        <v>374</v>
      </c>
      <c r="I152">
        <v>1.08053691275167</v>
      </c>
      <c r="J152" t="s">
        <v>369</v>
      </c>
      <c r="K152">
        <v>1.0801526717557199</v>
      </c>
      <c r="L152" t="s">
        <v>310</v>
      </c>
      <c r="M152">
        <v>1.09253731343283</v>
      </c>
      <c r="N152" t="s">
        <v>308</v>
      </c>
      <c r="O152">
        <v>0.81227863046044801</v>
      </c>
      <c r="P152" t="s">
        <v>381</v>
      </c>
      <c r="Q152">
        <v>0.87150106059975796</v>
      </c>
      <c r="R152" t="s">
        <v>389</v>
      </c>
      <c r="S152">
        <v>0.95667870036100999</v>
      </c>
      <c r="T152" t="s">
        <v>390</v>
      </c>
      <c r="U152">
        <v>0.92542936288088595</v>
      </c>
      <c r="V152" t="s">
        <v>395</v>
      </c>
      <c r="W152">
        <v>1.21879021879021</v>
      </c>
      <c r="X152" t="s">
        <v>374</v>
      </c>
      <c r="Y152">
        <v>0.87715930902111305</v>
      </c>
      <c r="Z152" t="s">
        <v>403</v>
      </c>
      <c r="AA152">
        <v>1.252</v>
      </c>
      <c r="AB152" t="s">
        <v>323</v>
      </c>
      <c r="AC152">
        <v>0.95462478184991195</v>
      </c>
      <c r="AD152" t="s">
        <v>410</v>
      </c>
      <c r="AE152">
        <v>0.77652370203160204</v>
      </c>
      <c r="AF152" t="s">
        <v>404</v>
      </c>
      <c r="AG152">
        <v>1.0431034482758601</v>
      </c>
      <c r="AH152" t="s">
        <v>329</v>
      </c>
      <c r="AI152">
        <v>1.0528301886792399</v>
      </c>
      <c r="AJ152" t="s">
        <v>407</v>
      </c>
      <c r="AK152">
        <v>0.99248120300751796</v>
      </c>
      <c r="AL152" t="s">
        <v>417</v>
      </c>
      <c r="AM152">
        <v>0.90118577075098805</v>
      </c>
      <c r="AN152" t="s">
        <v>417</v>
      </c>
      <c r="AO152">
        <v>1.01315789473684</v>
      </c>
      <c r="AP152" t="s">
        <v>333</v>
      </c>
      <c r="AQ152">
        <v>1.0810055865921699</v>
      </c>
      <c r="AR152" t="s">
        <v>329</v>
      </c>
      <c r="AS152">
        <v>0.85872576177285298</v>
      </c>
      <c r="AT152" t="s">
        <v>407</v>
      </c>
      <c r="AU152">
        <v>0.95198329853862196</v>
      </c>
      <c r="AV152" t="s">
        <v>408</v>
      </c>
      <c r="AW152">
        <v>1.1251360174102201</v>
      </c>
      <c r="AX152" t="s">
        <v>407</v>
      </c>
      <c r="AY152">
        <v>0.91803278688524503</v>
      </c>
      <c r="AZ152" t="s">
        <v>418</v>
      </c>
      <c r="BA152">
        <v>1.29235880398671</v>
      </c>
      <c r="BB152" t="s">
        <v>407</v>
      </c>
      <c r="BC152">
        <v>0.79377431906614704</v>
      </c>
      <c r="BD152" t="s">
        <v>404</v>
      </c>
      <c r="BE152">
        <v>0.78206465067778896</v>
      </c>
      <c r="BF152" t="s">
        <v>333</v>
      </c>
      <c r="BG152">
        <v>0.94607843137254899</v>
      </c>
      <c r="BH152" t="s">
        <v>343</v>
      </c>
      <c r="BI152">
        <v>0.77403846153846101</v>
      </c>
      <c r="BJ152" t="s">
        <v>430</v>
      </c>
      <c r="BK152">
        <v>1.0977995110024401</v>
      </c>
      <c r="BL152" t="s">
        <v>424</v>
      </c>
      <c r="BM152">
        <v>0.99496221662468498</v>
      </c>
      <c r="BN152" t="s">
        <v>440</v>
      </c>
      <c r="BO152">
        <v>0.95019157088122597</v>
      </c>
      <c r="BP152" t="s">
        <v>433</v>
      </c>
      <c r="BQ152">
        <v>1.0366624525916499</v>
      </c>
      <c r="BR152" t="s">
        <v>422</v>
      </c>
      <c r="BS152">
        <v>0.97179788484136298</v>
      </c>
      <c r="BT152" t="s">
        <v>431</v>
      </c>
      <c r="BU152">
        <v>1.0270270270270201</v>
      </c>
      <c r="BV152" t="s">
        <v>343</v>
      </c>
      <c r="BW152">
        <v>1.0377936670071499</v>
      </c>
    </row>
    <row r="153" spans="1:75" x14ac:dyDescent="0.4">
      <c r="A153">
        <v>151</v>
      </c>
      <c r="B153" t="s">
        <v>289</v>
      </c>
      <c r="C153">
        <v>1.1037394451145901</v>
      </c>
      <c r="D153" t="s">
        <v>376</v>
      </c>
      <c r="E153">
        <v>0.96451612903225803</v>
      </c>
      <c r="F153" t="s">
        <v>376</v>
      </c>
      <c r="G153">
        <v>0.79751783051940195</v>
      </c>
      <c r="H153" t="s">
        <v>375</v>
      </c>
      <c r="I153">
        <v>1.49071618037135</v>
      </c>
      <c r="J153" t="s">
        <v>364</v>
      </c>
      <c r="K153">
        <v>1.5502183406113501</v>
      </c>
      <c r="L153" t="s">
        <v>450</v>
      </c>
      <c r="M153">
        <v>0.93276901528530498</v>
      </c>
      <c r="N153" t="s">
        <v>396</v>
      </c>
      <c r="O153">
        <v>0.99629629629629601</v>
      </c>
      <c r="P153" t="s">
        <v>389</v>
      </c>
      <c r="Q153">
        <v>0.95682210708117399</v>
      </c>
      <c r="R153" t="s">
        <v>387</v>
      </c>
      <c r="S153">
        <v>1.0437956204379499</v>
      </c>
      <c r="T153" t="s">
        <v>395</v>
      </c>
      <c r="U153">
        <v>1.2009273570324499</v>
      </c>
      <c r="V153" t="s">
        <v>308</v>
      </c>
      <c r="W153">
        <v>1.0596627756160799</v>
      </c>
      <c r="X153" t="s">
        <v>375</v>
      </c>
      <c r="Y153">
        <v>0.83725135623869795</v>
      </c>
      <c r="Z153" t="s">
        <v>396</v>
      </c>
      <c r="AA153">
        <v>1.12426035502958</v>
      </c>
      <c r="AB153" t="s">
        <v>410</v>
      </c>
      <c r="AC153">
        <v>0.98663697104676995</v>
      </c>
      <c r="AD153" t="s">
        <v>402</v>
      </c>
      <c r="AE153">
        <v>0.69434543136830396</v>
      </c>
      <c r="AF153" t="s">
        <v>333</v>
      </c>
      <c r="AG153">
        <v>0.905555555555555</v>
      </c>
      <c r="AH153" t="s">
        <v>404</v>
      </c>
      <c r="AI153">
        <v>0.78394332939787403</v>
      </c>
      <c r="AJ153" t="s">
        <v>408</v>
      </c>
      <c r="AK153">
        <v>0.98281417830289997</v>
      </c>
      <c r="AL153" t="s">
        <v>418</v>
      </c>
      <c r="AM153">
        <v>0.86430062630480098</v>
      </c>
      <c r="AN153" t="s">
        <v>418</v>
      </c>
      <c r="AO153">
        <v>1.0350241545893699</v>
      </c>
      <c r="AP153" t="s">
        <v>407</v>
      </c>
      <c r="AQ153">
        <v>1.35409252669039</v>
      </c>
      <c r="AR153" t="s">
        <v>404</v>
      </c>
      <c r="AS153">
        <v>0.96404793608521899</v>
      </c>
      <c r="AT153" t="s">
        <v>408</v>
      </c>
      <c r="AU153">
        <v>1.0466970387243699</v>
      </c>
      <c r="AV153" t="s">
        <v>418</v>
      </c>
      <c r="AW153">
        <v>0.985611510791366</v>
      </c>
      <c r="AX153" t="s">
        <v>408</v>
      </c>
      <c r="AY153">
        <v>1.2920696324951599</v>
      </c>
      <c r="AZ153" t="s">
        <v>419</v>
      </c>
      <c r="BA153">
        <v>0.85991058122205599</v>
      </c>
      <c r="BB153" t="s">
        <v>408</v>
      </c>
      <c r="BC153">
        <v>0.74806201550387597</v>
      </c>
      <c r="BD153" t="s">
        <v>333</v>
      </c>
      <c r="BE153">
        <v>0.94009216589861699</v>
      </c>
      <c r="BF153" t="s">
        <v>407</v>
      </c>
      <c r="BG153">
        <v>1.4954128440366901</v>
      </c>
      <c r="BH153" t="s">
        <v>423</v>
      </c>
      <c r="BI153">
        <v>1.0071867822478999</v>
      </c>
      <c r="BJ153" t="s">
        <v>432</v>
      </c>
      <c r="BK153">
        <v>0.97488226059654604</v>
      </c>
      <c r="BL153" t="s">
        <v>434</v>
      </c>
      <c r="BM153">
        <v>1.2273381294964001</v>
      </c>
      <c r="BN153" t="s">
        <v>447</v>
      </c>
      <c r="BO153">
        <v>0.87623762376237602</v>
      </c>
      <c r="BP153" t="s">
        <v>436</v>
      </c>
      <c r="BQ153">
        <v>1.06181015452538</v>
      </c>
      <c r="BR153" t="s">
        <v>343</v>
      </c>
      <c r="BS153">
        <v>1.00942285041224</v>
      </c>
      <c r="BT153" t="s">
        <v>426</v>
      </c>
      <c r="BU153">
        <v>1.1843790012804001</v>
      </c>
      <c r="BV153" t="s">
        <v>423</v>
      </c>
      <c r="BW153">
        <v>1.0058139534883701</v>
      </c>
    </row>
    <row r="154" spans="1:75" x14ac:dyDescent="0.4">
      <c r="A154">
        <v>152</v>
      </c>
      <c r="B154" t="s">
        <v>295</v>
      </c>
      <c r="C154">
        <v>1.0571428571428501</v>
      </c>
      <c r="D154" t="s">
        <v>289</v>
      </c>
      <c r="E154">
        <v>0.92896174863387904</v>
      </c>
      <c r="F154" t="s">
        <v>289</v>
      </c>
      <c r="G154">
        <v>0.81647058823529395</v>
      </c>
      <c r="H154" t="s">
        <v>381</v>
      </c>
      <c r="I154">
        <v>1.18938053097345</v>
      </c>
      <c r="J154" t="s">
        <v>376</v>
      </c>
      <c r="K154">
        <v>1.2473118279569799</v>
      </c>
      <c r="L154" t="s">
        <v>314</v>
      </c>
      <c r="M154">
        <v>1.1053270865868401</v>
      </c>
      <c r="N154" t="s">
        <v>397</v>
      </c>
      <c r="O154">
        <v>1.02767975803125</v>
      </c>
      <c r="P154" t="s">
        <v>387</v>
      </c>
      <c r="Q154">
        <v>0.89250814332247497</v>
      </c>
      <c r="R154" t="s">
        <v>392</v>
      </c>
      <c r="S154">
        <v>1.8968253968253901</v>
      </c>
      <c r="T154" t="s">
        <v>308</v>
      </c>
      <c r="U154">
        <v>0.98846153846153795</v>
      </c>
      <c r="V154" t="s">
        <v>396</v>
      </c>
      <c r="W154">
        <v>1.11724137931034</v>
      </c>
      <c r="X154" t="s">
        <v>381</v>
      </c>
      <c r="Y154">
        <v>0.93975934925543803</v>
      </c>
      <c r="Z154" t="s">
        <v>397</v>
      </c>
      <c r="AA154">
        <v>1.0327272727272701</v>
      </c>
      <c r="AB154" t="s">
        <v>402</v>
      </c>
      <c r="AC154">
        <v>1.0667497960251799</v>
      </c>
      <c r="AD154" t="s">
        <v>329</v>
      </c>
      <c r="AE154">
        <v>1.07775377969762</v>
      </c>
      <c r="AF154" t="s">
        <v>407</v>
      </c>
      <c r="AG154">
        <v>1.25</v>
      </c>
      <c r="AH154" t="s">
        <v>333</v>
      </c>
      <c r="AI154">
        <v>0.85736196319018398</v>
      </c>
      <c r="AJ154" t="s">
        <v>416</v>
      </c>
      <c r="AK154">
        <v>1.39963167587476</v>
      </c>
      <c r="AL154" t="s">
        <v>428</v>
      </c>
      <c r="AM154">
        <v>1.25</v>
      </c>
      <c r="AN154" t="s">
        <v>419</v>
      </c>
      <c r="AO154">
        <v>1.0787207872078699</v>
      </c>
      <c r="AP154" t="s">
        <v>416</v>
      </c>
      <c r="AQ154">
        <v>1.3764705882352899</v>
      </c>
      <c r="AR154" t="s">
        <v>333</v>
      </c>
      <c r="AS154">
        <v>0.93281653746769999</v>
      </c>
      <c r="AT154" t="s">
        <v>418</v>
      </c>
      <c r="AU154">
        <v>0.97788944723617999</v>
      </c>
      <c r="AV154" t="s">
        <v>420</v>
      </c>
      <c r="AW154">
        <v>0.99795081967213095</v>
      </c>
      <c r="AX154" t="s">
        <v>417</v>
      </c>
      <c r="AY154">
        <v>1.05047318611987</v>
      </c>
      <c r="AZ154" t="s">
        <v>420</v>
      </c>
      <c r="BA154">
        <v>1.29097605893186</v>
      </c>
      <c r="BB154" t="s">
        <v>335</v>
      </c>
      <c r="BC154">
        <v>0.87636363636363601</v>
      </c>
      <c r="BD154" t="s">
        <v>407</v>
      </c>
      <c r="BE154">
        <v>1.0686274509803899</v>
      </c>
      <c r="BF154" t="s">
        <v>408</v>
      </c>
      <c r="BG154">
        <v>0.86200873362445396</v>
      </c>
      <c r="BH154" t="s">
        <v>425</v>
      </c>
      <c r="BI154">
        <v>0.42062500000000003</v>
      </c>
      <c r="BJ154" t="s">
        <v>442</v>
      </c>
      <c r="BK154">
        <v>0.87844036697247696</v>
      </c>
      <c r="BL154" t="s">
        <v>426</v>
      </c>
      <c r="BM154">
        <v>0.59620991253644295</v>
      </c>
      <c r="BN154" t="s">
        <v>441</v>
      </c>
      <c r="BO154">
        <v>1.12561983471074</v>
      </c>
      <c r="BP154" t="s">
        <v>440</v>
      </c>
      <c r="BQ154">
        <v>1.01209677419354</v>
      </c>
      <c r="BR154" t="s">
        <v>423</v>
      </c>
      <c r="BS154">
        <v>1.0064102564102499</v>
      </c>
      <c r="BT154" t="s">
        <v>432</v>
      </c>
      <c r="BU154">
        <v>1.1856866537717601</v>
      </c>
      <c r="BV154" t="s">
        <v>427</v>
      </c>
      <c r="BW154">
        <v>1.08295454545454</v>
      </c>
    </row>
    <row r="155" spans="1:75" x14ac:dyDescent="0.4">
      <c r="A155">
        <v>153</v>
      </c>
      <c r="B155" t="s">
        <v>398</v>
      </c>
      <c r="C155">
        <v>0.96020239624570602</v>
      </c>
      <c r="D155" t="s">
        <v>398</v>
      </c>
      <c r="E155">
        <v>0.86943344709897596</v>
      </c>
      <c r="F155" t="s">
        <v>375</v>
      </c>
      <c r="G155">
        <v>0.749502982107355</v>
      </c>
      <c r="H155" t="s">
        <v>300</v>
      </c>
      <c r="I155">
        <v>0.85749385749385698</v>
      </c>
      <c r="J155" t="s">
        <v>289</v>
      </c>
      <c r="K155">
        <v>1.11776447105788</v>
      </c>
      <c r="L155" t="s">
        <v>323</v>
      </c>
      <c r="M155">
        <v>1.0646950092421399</v>
      </c>
      <c r="N155" t="s">
        <v>310</v>
      </c>
      <c r="O155">
        <v>0.93169398907103795</v>
      </c>
      <c r="P155" t="s">
        <v>392</v>
      </c>
      <c r="Q155">
        <v>1.0216216216216201</v>
      </c>
      <c r="R155" t="s">
        <v>390</v>
      </c>
      <c r="S155">
        <v>1.0907662557408699</v>
      </c>
      <c r="T155" t="s">
        <v>396</v>
      </c>
      <c r="U155">
        <v>1.09022556390977</v>
      </c>
      <c r="V155" t="s">
        <v>397</v>
      </c>
      <c r="W155">
        <v>1.15409836065573</v>
      </c>
      <c r="X155" t="s">
        <v>384</v>
      </c>
      <c r="Y155">
        <v>1.0960960960960899</v>
      </c>
      <c r="Z155" t="s">
        <v>310</v>
      </c>
      <c r="AA155">
        <v>1.07368421052631</v>
      </c>
      <c r="AB155" t="s">
        <v>329</v>
      </c>
      <c r="AC155">
        <v>0.93346774193548299</v>
      </c>
      <c r="AD155" t="s">
        <v>333</v>
      </c>
      <c r="AE155">
        <v>0.97959183673469297</v>
      </c>
      <c r="AF155" t="s">
        <v>408</v>
      </c>
      <c r="AG155">
        <v>1.22509960159362</v>
      </c>
      <c r="AH155" t="s">
        <v>407</v>
      </c>
      <c r="AI155">
        <v>0.76730769230769202</v>
      </c>
      <c r="AJ155" t="s">
        <v>418</v>
      </c>
      <c r="AK155">
        <v>0.98458376156217797</v>
      </c>
      <c r="AL155" t="s">
        <v>343</v>
      </c>
      <c r="AM155">
        <v>1.3754446460980001</v>
      </c>
      <c r="AN155" t="s">
        <v>428</v>
      </c>
      <c r="AO155">
        <v>1.21333333333333</v>
      </c>
      <c r="AP155" t="s">
        <v>417</v>
      </c>
      <c r="AQ155">
        <v>1.2597402597402501</v>
      </c>
      <c r="AR155" t="s">
        <v>407</v>
      </c>
      <c r="AS155">
        <v>0.62943495400788396</v>
      </c>
      <c r="AT155" t="s">
        <v>421</v>
      </c>
      <c r="AU155">
        <v>1.0143709753415999</v>
      </c>
      <c r="AV155" t="s">
        <v>421</v>
      </c>
      <c r="AW155">
        <v>0.96458155918556898</v>
      </c>
      <c r="AX155" t="s">
        <v>418</v>
      </c>
      <c r="AY155">
        <v>1.2554744525547401</v>
      </c>
      <c r="AZ155" t="s">
        <v>435</v>
      </c>
      <c r="BA155">
        <v>1.3826998689384</v>
      </c>
      <c r="BB155" t="s">
        <v>417</v>
      </c>
      <c r="BC155">
        <v>0.793193717277486</v>
      </c>
      <c r="BD155" t="s">
        <v>408</v>
      </c>
      <c r="BE155">
        <v>1.18652849740932</v>
      </c>
      <c r="BF155" t="s">
        <v>417</v>
      </c>
      <c r="BG155">
        <v>0.92125984251968496</v>
      </c>
      <c r="BH155" t="s">
        <v>426</v>
      </c>
      <c r="BI155">
        <v>0.63923444976076504</v>
      </c>
      <c r="BJ155" t="s">
        <v>433</v>
      </c>
      <c r="BK155">
        <v>1.0480404551200999</v>
      </c>
      <c r="BL155" t="s">
        <v>430</v>
      </c>
      <c r="BM155">
        <v>0.94710467706013302</v>
      </c>
      <c r="BN155" t="s">
        <v>446</v>
      </c>
      <c r="BO155">
        <v>1.05223880597014</v>
      </c>
      <c r="BP155" t="s">
        <v>441</v>
      </c>
      <c r="BQ155">
        <v>1.1160058737151199</v>
      </c>
      <c r="BR155" t="s">
        <v>427</v>
      </c>
      <c r="BS155">
        <v>1.00664451827242</v>
      </c>
      <c r="BT155" t="s">
        <v>433</v>
      </c>
      <c r="BU155">
        <v>1.0589569160997701</v>
      </c>
      <c r="BV155" t="s">
        <v>431</v>
      </c>
      <c r="BW155">
        <v>1.0445344129554599</v>
      </c>
    </row>
    <row r="156" spans="1:75" x14ac:dyDescent="0.4">
      <c r="A156">
        <v>154</v>
      </c>
      <c r="B156" t="s">
        <v>377</v>
      </c>
      <c r="C156">
        <v>1.0572370146904499</v>
      </c>
      <c r="D156" t="s">
        <v>377</v>
      </c>
      <c r="E156">
        <v>0.57999782888513196</v>
      </c>
      <c r="F156" t="s">
        <v>389</v>
      </c>
      <c r="G156">
        <v>0.67961165048543604</v>
      </c>
      <c r="H156" t="s">
        <v>389</v>
      </c>
      <c r="I156">
        <v>0.90595238095238095</v>
      </c>
      <c r="J156" t="s">
        <v>398</v>
      </c>
      <c r="K156">
        <v>1.1441581843861099</v>
      </c>
      <c r="L156" t="s">
        <v>402</v>
      </c>
      <c r="M156">
        <v>0.84090668201020502</v>
      </c>
      <c r="N156" t="s">
        <v>450</v>
      </c>
      <c r="O156">
        <v>0.85578115819024603</v>
      </c>
      <c r="P156" t="s">
        <v>390</v>
      </c>
      <c r="Q156">
        <v>0.93291239147592697</v>
      </c>
      <c r="R156" t="s">
        <v>395</v>
      </c>
      <c r="S156">
        <v>1.0141065830721001</v>
      </c>
      <c r="T156" t="s">
        <v>397</v>
      </c>
      <c r="U156">
        <v>1.0054945054944999</v>
      </c>
      <c r="V156" t="s">
        <v>310</v>
      </c>
      <c r="W156">
        <v>1.02122015915119</v>
      </c>
      <c r="X156" t="s">
        <v>389</v>
      </c>
      <c r="Y156">
        <v>0.94098883572567704</v>
      </c>
      <c r="Z156" t="s">
        <v>314</v>
      </c>
      <c r="AA156">
        <v>1.0152783396085501</v>
      </c>
      <c r="AB156" t="s">
        <v>333</v>
      </c>
      <c r="AC156">
        <v>0.97609561752988006</v>
      </c>
      <c r="AD156" t="s">
        <v>407</v>
      </c>
      <c r="AE156">
        <v>0.69449081803004997</v>
      </c>
      <c r="AF156" t="s">
        <v>416</v>
      </c>
      <c r="AG156">
        <v>0.953383458646616</v>
      </c>
      <c r="AH156" t="s">
        <v>408</v>
      </c>
      <c r="AI156">
        <v>0.75691056910569099</v>
      </c>
      <c r="AJ156" t="s">
        <v>420</v>
      </c>
      <c r="AK156">
        <v>1.2416267942583701</v>
      </c>
      <c r="AL156" t="s">
        <v>423</v>
      </c>
      <c r="AM156">
        <v>0.99566803465572196</v>
      </c>
      <c r="AN156" t="s">
        <v>343</v>
      </c>
      <c r="AO156">
        <v>0.91199018301291701</v>
      </c>
      <c r="AP156" t="s">
        <v>418</v>
      </c>
      <c r="AQ156">
        <v>1.31621936989498</v>
      </c>
      <c r="AR156" t="s">
        <v>417</v>
      </c>
      <c r="AS156">
        <v>1.14089347079037</v>
      </c>
      <c r="AT156" t="s">
        <v>435</v>
      </c>
      <c r="AU156">
        <v>0.98278145695364205</v>
      </c>
      <c r="AV156" t="s">
        <v>435</v>
      </c>
      <c r="AW156">
        <v>1.0592991913746601</v>
      </c>
      <c r="AX156" t="s">
        <v>419</v>
      </c>
      <c r="AY156">
        <v>0.92679558011049701</v>
      </c>
      <c r="AZ156" t="s">
        <v>343</v>
      </c>
      <c r="BA156">
        <v>0.967409948542024</v>
      </c>
      <c r="BB156" t="s">
        <v>418</v>
      </c>
      <c r="BC156">
        <v>0.82005141388174796</v>
      </c>
      <c r="BD156" t="s">
        <v>335</v>
      </c>
      <c r="BE156">
        <v>1.21161825726141</v>
      </c>
      <c r="BF156" t="s">
        <v>418</v>
      </c>
      <c r="BG156">
        <v>1.22342342342342</v>
      </c>
      <c r="BH156" t="s">
        <v>430</v>
      </c>
      <c r="BI156">
        <v>0.97905445840813798</v>
      </c>
      <c r="BJ156" t="s">
        <v>436</v>
      </c>
      <c r="BK156">
        <v>0.93567251461988299</v>
      </c>
      <c r="BL156" t="s">
        <v>432</v>
      </c>
      <c r="BM156">
        <v>0.863123993558776</v>
      </c>
      <c r="BN156" t="s">
        <v>457</v>
      </c>
      <c r="BO156">
        <v>1.0746089049338099</v>
      </c>
      <c r="BP156" t="s">
        <v>446</v>
      </c>
      <c r="BQ156">
        <v>0.94680851063829696</v>
      </c>
      <c r="BR156" t="s">
        <v>424</v>
      </c>
      <c r="BS156">
        <v>0.86624203821655998</v>
      </c>
      <c r="BT156" t="s">
        <v>440</v>
      </c>
      <c r="BU156">
        <v>1.1176470588235199</v>
      </c>
      <c r="BV156" t="s">
        <v>434</v>
      </c>
      <c r="BW156">
        <v>1.12616822429906</v>
      </c>
    </row>
    <row r="157" spans="1:75" x14ac:dyDescent="0.4">
      <c r="A157">
        <v>155</v>
      </c>
      <c r="B157" t="s">
        <v>375</v>
      </c>
      <c r="C157">
        <v>1.07098765432098</v>
      </c>
      <c r="D157" t="s">
        <v>381</v>
      </c>
      <c r="E157">
        <v>0.91406070903623304</v>
      </c>
      <c r="F157" t="s">
        <v>387</v>
      </c>
      <c r="G157">
        <v>0.65765765765765705</v>
      </c>
      <c r="H157" t="s">
        <v>387</v>
      </c>
      <c r="I157">
        <v>1.0753424657534201</v>
      </c>
      <c r="J157" t="s">
        <v>374</v>
      </c>
      <c r="K157">
        <v>1.2204968944099299</v>
      </c>
      <c r="L157" t="s">
        <v>409</v>
      </c>
      <c r="M157">
        <v>1.23406720741599</v>
      </c>
      <c r="N157" t="s">
        <v>314</v>
      </c>
      <c r="O157">
        <v>1.3367660910518</v>
      </c>
      <c r="P157" t="s">
        <v>308</v>
      </c>
      <c r="Q157">
        <v>1.0901162790697601</v>
      </c>
      <c r="R157" t="s">
        <v>308</v>
      </c>
      <c r="S157">
        <v>1.04</v>
      </c>
      <c r="T157" t="s">
        <v>310</v>
      </c>
      <c r="U157">
        <v>0.91727493917274905</v>
      </c>
      <c r="V157" t="s">
        <v>323</v>
      </c>
      <c r="W157">
        <v>1.02150537634408</v>
      </c>
      <c r="X157" t="s">
        <v>387</v>
      </c>
      <c r="Y157">
        <v>1.06845238095238</v>
      </c>
      <c r="Z157" t="s">
        <v>323</v>
      </c>
      <c r="AA157">
        <v>1.01957295373665</v>
      </c>
      <c r="AB157" t="s">
        <v>407</v>
      </c>
      <c r="AC157">
        <v>0.84011220196353398</v>
      </c>
      <c r="AD157" t="s">
        <v>408</v>
      </c>
      <c r="AE157">
        <v>0.93135435992578797</v>
      </c>
      <c r="AF157" t="s">
        <v>418</v>
      </c>
      <c r="AG157">
        <v>0.99605522682445702</v>
      </c>
      <c r="AH157" t="s">
        <v>416</v>
      </c>
      <c r="AI157">
        <v>0.85646687697160795</v>
      </c>
      <c r="AJ157" t="s">
        <v>428</v>
      </c>
      <c r="AK157">
        <v>0.98059244126659795</v>
      </c>
      <c r="AL157" t="s">
        <v>438</v>
      </c>
      <c r="AM157">
        <v>1.1253298153034299</v>
      </c>
      <c r="AN157" t="s">
        <v>423</v>
      </c>
      <c r="AO157">
        <v>1.10270208381039</v>
      </c>
      <c r="AP157" t="s">
        <v>428</v>
      </c>
      <c r="AQ157">
        <v>1.3598901098901099</v>
      </c>
      <c r="AR157" t="s">
        <v>418</v>
      </c>
      <c r="AS157">
        <v>0.88209219858155996</v>
      </c>
      <c r="AT157" t="s">
        <v>343</v>
      </c>
      <c r="AU157">
        <v>1.2227399813606701</v>
      </c>
      <c r="AV157" t="s">
        <v>343</v>
      </c>
      <c r="AW157">
        <v>1.05792682926829</v>
      </c>
      <c r="AX157" t="s">
        <v>420</v>
      </c>
      <c r="AY157">
        <v>1.11498973305954</v>
      </c>
      <c r="AZ157" t="s">
        <v>423</v>
      </c>
      <c r="BA157">
        <v>1.0831021181565901</v>
      </c>
      <c r="BB157" t="s">
        <v>419</v>
      </c>
      <c r="BC157">
        <v>0.90467937608318805</v>
      </c>
      <c r="BD157" t="s">
        <v>417</v>
      </c>
      <c r="BE157">
        <v>0.83828382838283799</v>
      </c>
      <c r="BF157" t="s">
        <v>419</v>
      </c>
      <c r="BG157">
        <v>0.93803786574870895</v>
      </c>
      <c r="BH157" t="s">
        <v>433</v>
      </c>
      <c r="BI157">
        <v>0.94391408114558395</v>
      </c>
      <c r="BJ157" t="s">
        <v>440</v>
      </c>
      <c r="BK157">
        <v>0.75376884422110502</v>
      </c>
      <c r="BL157" t="s">
        <v>442</v>
      </c>
      <c r="BM157">
        <v>0.99477806788511702</v>
      </c>
      <c r="BN157" t="s">
        <v>452</v>
      </c>
      <c r="BO157">
        <v>1.0401785714285701</v>
      </c>
      <c r="BP157" t="s">
        <v>457</v>
      </c>
      <c r="BQ157">
        <v>0.89809630459126499</v>
      </c>
      <c r="BR157" t="s">
        <v>431</v>
      </c>
      <c r="BS157">
        <v>0.91271347248576795</v>
      </c>
      <c r="BT157" t="s">
        <v>447</v>
      </c>
      <c r="BU157">
        <v>1.0724637681159399</v>
      </c>
      <c r="BV157" t="s">
        <v>430</v>
      </c>
      <c r="BW157">
        <v>1</v>
      </c>
    </row>
    <row r="158" spans="1:75" x14ac:dyDescent="0.4">
      <c r="A158">
        <v>156</v>
      </c>
      <c r="B158" t="s">
        <v>381</v>
      </c>
      <c r="C158">
        <v>1.0105198610070101</v>
      </c>
      <c r="D158" t="s">
        <v>389</v>
      </c>
      <c r="E158">
        <v>0.876595744680851</v>
      </c>
      <c r="F158" t="s">
        <v>390</v>
      </c>
      <c r="G158">
        <v>0.391677255400254</v>
      </c>
      <c r="H158" t="s">
        <v>395</v>
      </c>
      <c r="I158">
        <v>0.92178770949720601</v>
      </c>
      <c r="J158" t="s">
        <v>375</v>
      </c>
      <c r="K158">
        <v>1.6512455516014199</v>
      </c>
      <c r="L158" t="s">
        <v>329</v>
      </c>
      <c r="M158">
        <v>1.0622710622710601</v>
      </c>
      <c r="N158" t="s">
        <v>323</v>
      </c>
      <c r="O158">
        <v>0.9375</v>
      </c>
      <c r="P158" t="s">
        <v>396</v>
      </c>
      <c r="Q158">
        <v>0.98141263940520396</v>
      </c>
      <c r="R158" t="s">
        <v>396</v>
      </c>
      <c r="S158">
        <v>1.00757575757575</v>
      </c>
      <c r="T158" t="s">
        <v>314</v>
      </c>
      <c r="U158">
        <v>0.83158242727005505</v>
      </c>
      <c r="V158" t="s">
        <v>402</v>
      </c>
      <c r="W158">
        <v>1.0524026309542001</v>
      </c>
      <c r="X158" t="s">
        <v>386</v>
      </c>
      <c r="Y158">
        <v>1.19248826291079</v>
      </c>
      <c r="Z158" t="s">
        <v>410</v>
      </c>
      <c r="AA158">
        <v>1.2201086956521701</v>
      </c>
      <c r="AB158" t="s">
        <v>408</v>
      </c>
      <c r="AC158">
        <v>0.82668711656441696</v>
      </c>
      <c r="AD158" t="s">
        <v>416</v>
      </c>
      <c r="AE158">
        <v>1.33400200601805</v>
      </c>
      <c r="AF158" t="s">
        <v>428</v>
      </c>
      <c r="AG158">
        <v>1.0056818181818099</v>
      </c>
      <c r="AH158" t="s">
        <v>429</v>
      </c>
      <c r="AI158">
        <v>0.80212340360055301</v>
      </c>
      <c r="AJ158" t="s">
        <v>343</v>
      </c>
      <c r="AK158">
        <v>1.3784649254478101</v>
      </c>
      <c r="AL158" t="s">
        <v>424</v>
      </c>
      <c r="AM158">
        <v>0.98058550043427095</v>
      </c>
      <c r="AN158" t="s">
        <v>438</v>
      </c>
      <c r="AO158">
        <v>1.08792497069167</v>
      </c>
      <c r="AP158" t="s">
        <v>435</v>
      </c>
      <c r="AQ158">
        <v>1.32450331125827</v>
      </c>
      <c r="AR158" t="s">
        <v>428</v>
      </c>
      <c r="AS158">
        <v>1.05555555555555</v>
      </c>
      <c r="AT158" t="s">
        <v>423</v>
      </c>
      <c r="AU158">
        <v>1.03514998855049</v>
      </c>
      <c r="AV158" t="s">
        <v>423</v>
      </c>
      <c r="AW158">
        <v>0.80416989271098305</v>
      </c>
      <c r="AX158" t="s">
        <v>421</v>
      </c>
      <c r="AY158">
        <v>1.24407078935751</v>
      </c>
      <c r="AZ158" t="s">
        <v>424</v>
      </c>
      <c r="BA158">
        <v>1.13865390323538</v>
      </c>
      <c r="BB158" t="s">
        <v>439</v>
      </c>
      <c r="BC158">
        <v>0.97499999999999998</v>
      </c>
      <c r="BD158" t="s">
        <v>418</v>
      </c>
      <c r="BE158">
        <v>0.86990595611285204</v>
      </c>
      <c r="BF158" t="s">
        <v>421</v>
      </c>
      <c r="BG158">
        <v>1.0470409711684301</v>
      </c>
      <c r="BH158" t="s">
        <v>436</v>
      </c>
      <c r="BI158">
        <v>0.97714285714285698</v>
      </c>
      <c r="BJ158" t="s">
        <v>441</v>
      </c>
      <c r="BK158">
        <v>1.1111111111111101</v>
      </c>
      <c r="BL158" t="s">
        <v>433</v>
      </c>
      <c r="BM158">
        <v>0.91556091676718898</v>
      </c>
      <c r="BN158" t="s">
        <v>454</v>
      </c>
      <c r="BO158">
        <v>0.971857410881801</v>
      </c>
      <c r="BP158" t="s">
        <v>452</v>
      </c>
      <c r="BQ158">
        <v>0.92417739628039997</v>
      </c>
      <c r="BR158" t="s">
        <v>434</v>
      </c>
      <c r="BS158">
        <v>0.90393013100436603</v>
      </c>
      <c r="BT158" t="s">
        <v>441</v>
      </c>
      <c r="BU158">
        <v>0.99059561128526596</v>
      </c>
      <c r="BV158" t="s">
        <v>433</v>
      </c>
      <c r="BW158">
        <v>1.0588865096359701</v>
      </c>
    </row>
    <row r="159" spans="1:75" x14ac:dyDescent="0.4">
      <c r="A159">
        <v>157</v>
      </c>
      <c r="B159" t="s">
        <v>300</v>
      </c>
      <c r="C159">
        <v>1.39240506329113</v>
      </c>
      <c r="D159" t="s">
        <v>387</v>
      </c>
      <c r="E159">
        <v>0.877470355731225</v>
      </c>
      <c r="F159" t="s">
        <v>395</v>
      </c>
      <c r="G159">
        <v>0.60067114093959695</v>
      </c>
      <c r="H159" t="s">
        <v>308</v>
      </c>
      <c r="I159">
        <v>1.3949801849405501</v>
      </c>
      <c r="J159" t="s">
        <v>381</v>
      </c>
      <c r="K159">
        <v>1.08932593307593</v>
      </c>
      <c r="L159" t="s">
        <v>333</v>
      </c>
      <c r="M159">
        <v>1.1470588235294099</v>
      </c>
      <c r="N159" t="s">
        <v>402</v>
      </c>
      <c r="O159">
        <v>0.98648804379141397</v>
      </c>
      <c r="P159" t="s">
        <v>397</v>
      </c>
      <c r="Q159">
        <v>1.00111482720178</v>
      </c>
      <c r="R159" t="s">
        <v>397</v>
      </c>
      <c r="S159">
        <v>1.0133630289532201</v>
      </c>
      <c r="T159" t="s">
        <v>323</v>
      </c>
      <c r="U159">
        <v>1.0333333333333301</v>
      </c>
      <c r="V159" t="s">
        <v>409</v>
      </c>
      <c r="W159">
        <v>1.2866793329111199</v>
      </c>
      <c r="X159" t="s">
        <v>390</v>
      </c>
      <c r="Y159">
        <v>1.1925970966025601</v>
      </c>
      <c r="Z159" t="s">
        <v>402</v>
      </c>
      <c r="AA159">
        <v>0.81913789117504798</v>
      </c>
      <c r="AB159" t="s">
        <v>416</v>
      </c>
      <c r="AC159">
        <v>0.86695652173912996</v>
      </c>
      <c r="AD159" t="s">
        <v>335</v>
      </c>
      <c r="AE159">
        <v>1.4480712166172101</v>
      </c>
      <c r="AF159" t="s">
        <v>343</v>
      </c>
      <c r="AG159">
        <v>1.0223207003425501</v>
      </c>
      <c r="AH159" t="s">
        <v>417</v>
      </c>
      <c r="AI159">
        <v>1.0614754098360599</v>
      </c>
      <c r="AJ159" t="s">
        <v>423</v>
      </c>
      <c r="AK159">
        <v>0.88902401945880205</v>
      </c>
      <c r="AL159" t="s">
        <v>431</v>
      </c>
      <c r="AM159">
        <v>0.96551724137931005</v>
      </c>
      <c r="AN159" t="s">
        <v>424</v>
      </c>
      <c r="AO159">
        <v>1.4339602980253201</v>
      </c>
      <c r="AP159" t="s">
        <v>343</v>
      </c>
      <c r="AQ159">
        <v>0.77762345009187295</v>
      </c>
      <c r="AR159" t="s">
        <v>421</v>
      </c>
      <c r="AS159">
        <v>1.0182719603374499</v>
      </c>
      <c r="AT159" t="s">
        <v>424</v>
      </c>
      <c r="AU159">
        <v>1.10796521395394</v>
      </c>
      <c r="AV159" t="s">
        <v>424</v>
      </c>
      <c r="AW159">
        <v>1.0720242608036299</v>
      </c>
      <c r="AX159" t="s">
        <v>435</v>
      </c>
      <c r="AY159">
        <v>0.97073791348600502</v>
      </c>
      <c r="AZ159" t="s">
        <v>431</v>
      </c>
      <c r="BA159">
        <v>1.15573770491803</v>
      </c>
      <c r="BB159" t="s">
        <v>421</v>
      </c>
      <c r="BC159">
        <v>1.0908799384299599</v>
      </c>
      <c r="BD159" t="s">
        <v>419</v>
      </c>
      <c r="BE159">
        <v>1.1130268199233699</v>
      </c>
      <c r="BF159" t="s">
        <v>343</v>
      </c>
      <c r="BG159">
        <v>1.2264150943396199</v>
      </c>
      <c r="BH159" t="s">
        <v>440</v>
      </c>
      <c r="BI159">
        <v>1.05570291777188</v>
      </c>
      <c r="BJ159" t="s">
        <v>444</v>
      </c>
      <c r="BK159">
        <v>1.2179775280898799</v>
      </c>
      <c r="BL159" t="s">
        <v>440</v>
      </c>
      <c r="BM159">
        <v>0.87</v>
      </c>
      <c r="BN159" t="s">
        <v>460</v>
      </c>
      <c r="BO159">
        <v>1.0274656679151</v>
      </c>
      <c r="BP159" t="s">
        <v>454</v>
      </c>
      <c r="BQ159">
        <v>0.84942084942084894</v>
      </c>
      <c r="BR159" t="s">
        <v>426</v>
      </c>
      <c r="BS159">
        <v>0.95593635250917997</v>
      </c>
      <c r="BT159" t="s">
        <v>444</v>
      </c>
      <c r="BU159">
        <v>1.3318485523385299</v>
      </c>
      <c r="BV159" t="s">
        <v>436</v>
      </c>
      <c r="BW159">
        <v>1.1463414634146301</v>
      </c>
    </row>
    <row r="160" spans="1:75" x14ac:dyDescent="0.4">
      <c r="A160">
        <v>158</v>
      </c>
      <c r="B160" t="s">
        <v>389</v>
      </c>
      <c r="C160">
        <v>0.91085271317829397</v>
      </c>
      <c r="D160" t="s">
        <v>395</v>
      </c>
      <c r="E160">
        <v>0.85878962536022996</v>
      </c>
      <c r="F160" t="s">
        <v>308</v>
      </c>
      <c r="G160">
        <v>0.76156941649899401</v>
      </c>
      <c r="H160" t="s">
        <v>396</v>
      </c>
      <c r="I160">
        <v>0.85467625899280497</v>
      </c>
      <c r="J160" t="s">
        <v>300</v>
      </c>
      <c r="K160">
        <v>1.55444126074498</v>
      </c>
      <c r="L160" t="s">
        <v>407</v>
      </c>
      <c r="M160">
        <v>1.07838983050847</v>
      </c>
      <c r="N160" t="s">
        <v>409</v>
      </c>
      <c r="O160">
        <v>1.0669014084507</v>
      </c>
      <c r="P160" t="s">
        <v>310</v>
      </c>
      <c r="Q160">
        <v>1.15542521994134</v>
      </c>
      <c r="R160" t="s">
        <v>310</v>
      </c>
      <c r="S160">
        <v>1.04314720812182</v>
      </c>
      <c r="T160" t="s">
        <v>329</v>
      </c>
      <c r="U160">
        <v>1.05696202531645</v>
      </c>
      <c r="V160" t="s">
        <v>329</v>
      </c>
      <c r="W160">
        <v>1.0658682634730501</v>
      </c>
      <c r="X160" t="s">
        <v>308</v>
      </c>
      <c r="Y160">
        <v>1.0697674418604599</v>
      </c>
      <c r="Z160" t="s">
        <v>329</v>
      </c>
      <c r="AA160">
        <v>0.98412698412698396</v>
      </c>
      <c r="AB160" t="s">
        <v>335</v>
      </c>
      <c r="AC160">
        <v>1.19928825622775</v>
      </c>
      <c r="AD160" t="s">
        <v>429</v>
      </c>
      <c r="AE160">
        <v>0.66484746711446896</v>
      </c>
      <c r="AF160" t="s">
        <v>423</v>
      </c>
      <c r="AG160">
        <v>1.0348932676518801</v>
      </c>
      <c r="AH160" t="s">
        <v>418</v>
      </c>
      <c r="AI160">
        <v>0.963366336633663</v>
      </c>
      <c r="AJ160" t="s">
        <v>438</v>
      </c>
      <c r="AK160">
        <v>1.1415662650602401</v>
      </c>
      <c r="AL160" t="s">
        <v>425</v>
      </c>
      <c r="AM160">
        <v>0.99794661190965095</v>
      </c>
      <c r="AN160" t="s">
        <v>431</v>
      </c>
      <c r="AO160">
        <v>1.1452380952380901</v>
      </c>
      <c r="AP160" t="s">
        <v>423</v>
      </c>
      <c r="AQ160">
        <v>1.62257294154293</v>
      </c>
      <c r="AR160" t="s">
        <v>435</v>
      </c>
      <c r="AS160">
        <v>0.94374999999999998</v>
      </c>
      <c r="AT160" t="s">
        <v>430</v>
      </c>
      <c r="AU160">
        <v>0.95656279508970699</v>
      </c>
      <c r="AV160" t="s">
        <v>426</v>
      </c>
      <c r="AW160">
        <v>1.0267175572519001</v>
      </c>
      <c r="AX160" t="s">
        <v>343</v>
      </c>
      <c r="AY160">
        <v>0.84005763688760804</v>
      </c>
      <c r="AZ160" t="s">
        <v>426</v>
      </c>
      <c r="BA160">
        <v>0.96734693877551003</v>
      </c>
      <c r="BB160" t="s">
        <v>343</v>
      </c>
      <c r="BC160">
        <v>1.0195035460992901</v>
      </c>
      <c r="BD160" t="s">
        <v>343</v>
      </c>
      <c r="BE160">
        <v>0.73739130434782596</v>
      </c>
      <c r="BF160" t="s">
        <v>423</v>
      </c>
      <c r="BG160">
        <v>1.2900358422939</v>
      </c>
      <c r="BH160" t="s">
        <v>441</v>
      </c>
      <c r="BI160">
        <v>0.73684210526315697</v>
      </c>
      <c r="BJ160" t="s">
        <v>446</v>
      </c>
      <c r="BK160">
        <v>0.96214511041009398</v>
      </c>
      <c r="BL160" t="s">
        <v>462</v>
      </c>
      <c r="BM160">
        <v>0.95656894679695903</v>
      </c>
      <c r="BN160" t="s">
        <v>468</v>
      </c>
      <c r="BO160">
        <v>0.76453900709219802</v>
      </c>
      <c r="BP160" t="s">
        <v>460</v>
      </c>
      <c r="BQ160">
        <v>0.97569866342648803</v>
      </c>
      <c r="BR160" t="s">
        <v>433</v>
      </c>
      <c r="BS160">
        <v>1.0756097560975599</v>
      </c>
      <c r="BT160" t="s">
        <v>446</v>
      </c>
      <c r="BU160">
        <v>1.01953125</v>
      </c>
      <c r="BV160" t="s">
        <v>440</v>
      </c>
      <c r="BW160">
        <v>1.12406015037593</v>
      </c>
    </row>
    <row r="161" spans="1:75" x14ac:dyDescent="0.4">
      <c r="A161">
        <v>159</v>
      </c>
      <c r="B161" t="s">
        <v>387</v>
      </c>
      <c r="C161">
        <v>1.1605504587155899</v>
      </c>
      <c r="D161" t="s">
        <v>308</v>
      </c>
      <c r="E161">
        <v>0.66890982503364704</v>
      </c>
      <c r="F161" t="s">
        <v>396</v>
      </c>
      <c r="G161">
        <v>0.44551282051281998</v>
      </c>
      <c r="H161" t="s">
        <v>397</v>
      </c>
      <c r="I161">
        <v>0.85423391435334595</v>
      </c>
      <c r="J161" t="s">
        <v>389</v>
      </c>
      <c r="K161">
        <v>1.5400788436268</v>
      </c>
      <c r="L161" t="s">
        <v>408</v>
      </c>
      <c r="M161">
        <v>1.1435185185185099</v>
      </c>
      <c r="N161" t="s">
        <v>329</v>
      </c>
      <c r="O161">
        <v>0.93103448275862</v>
      </c>
      <c r="P161" t="s">
        <v>314</v>
      </c>
      <c r="Q161">
        <v>1.3461574596016499</v>
      </c>
      <c r="R161" t="s">
        <v>314</v>
      </c>
      <c r="S161">
        <v>0.94999476567679797</v>
      </c>
      <c r="T161" t="s">
        <v>407</v>
      </c>
      <c r="U161">
        <v>1.0526315789473599</v>
      </c>
      <c r="V161" t="s">
        <v>333</v>
      </c>
      <c r="W161">
        <v>1.06043329532497</v>
      </c>
      <c r="X161" t="s">
        <v>396</v>
      </c>
      <c r="Y161">
        <v>1.0432098765432001</v>
      </c>
      <c r="Z161" t="s">
        <v>333</v>
      </c>
      <c r="AA161">
        <v>0.96291560102301699</v>
      </c>
      <c r="AB161" t="s">
        <v>429</v>
      </c>
      <c r="AC161">
        <v>0.92385261797026497</v>
      </c>
      <c r="AD161" t="s">
        <v>418</v>
      </c>
      <c r="AE161">
        <v>0.99803149606299202</v>
      </c>
      <c r="AF161" t="s">
        <v>438</v>
      </c>
      <c r="AG161">
        <v>1.1401734104046199</v>
      </c>
      <c r="AH161" t="s">
        <v>428</v>
      </c>
      <c r="AI161">
        <v>0.92184557438794701</v>
      </c>
      <c r="AJ161" t="s">
        <v>424</v>
      </c>
      <c r="AK161">
        <v>0.98564810152079696</v>
      </c>
      <c r="AL161" t="s">
        <v>451</v>
      </c>
      <c r="AM161">
        <v>1.1322033898305</v>
      </c>
      <c r="AN161" t="s">
        <v>453</v>
      </c>
      <c r="AO161">
        <v>1.4295676429567601</v>
      </c>
      <c r="AP161" t="s">
        <v>438</v>
      </c>
      <c r="AQ161">
        <v>1.47629310344827</v>
      </c>
      <c r="AR161" t="s">
        <v>343</v>
      </c>
      <c r="AS161">
        <v>0.99819524810687099</v>
      </c>
      <c r="AT161" t="s">
        <v>432</v>
      </c>
      <c r="AU161">
        <v>1.15582655826558</v>
      </c>
      <c r="AV161" t="s">
        <v>430</v>
      </c>
      <c r="AW161">
        <v>1.0454096742349399</v>
      </c>
      <c r="AX161" t="s">
        <v>423</v>
      </c>
      <c r="AY161">
        <v>1.0162299704284401</v>
      </c>
      <c r="AZ161" t="s">
        <v>455</v>
      </c>
      <c r="BA161">
        <v>1.1458333333333299</v>
      </c>
      <c r="BB161" t="s">
        <v>423</v>
      </c>
      <c r="BC161">
        <v>1.1769447047797501</v>
      </c>
      <c r="BD161" t="s">
        <v>423</v>
      </c>
      <c r="BE161">
        <v>1.1108456760630601</v>
      </c>
      <c r="BF161" t="s">
        <v>424</v>
      </c>
      <c r="BG161">
        <v>1.18057799875699</v>
      </c>
      <c r="BH161" t="s">
        <v>444</v>
      </c>
      <c r="BI161">
        <v>0.80470162748643703</v>
      </c>
      <c r="BJ161" t="s">
        <v>452</v>
      </c>
      <c r="BK161">
        <v>0.96038034865293098</v>
      </c>
      <c r="BL161" t="s">
        <v>441</v>
      </c>
      <c r="BM161">
        <v>1.0803571428571399</v>
      </c>
      <c r="BN161" t="s">
        <v>463</v>
      </c>
      <c r="BO161">
        <v>0.98867924528301798</v>
      </c>
      <c r="BP161" t="s">
        <v>473</v>
      </c>
      <c r="BQ161">
        <v>1.05580693815987</v>
      </c>
      <c r="BR161" t="s">
        <v>436</v>
      </c>
      <c r="BS161">
        <v>1.29521829521829</v>
      </c>
      <c r="BT161" t="s">
        <v>458</v>
      </c>
      <c r="BU161">
        <v>0.92037037037036995</v>
      </c>
      <c r="BV161" t="s">
        <v>441</v>
      </c>
      <c r="BW161">
        <v>1.03164556962025</v>
      </c>
    </row>
    <row r="162" spans="1:75" x14ac:dyDescent="0.4">
      <c r="A162">
        <v>160</v>
      </c>
      <c r="B162" t="s">
        <v>395</v>
      </c>
      <c r="C162">
        <v>1.07931570762052</v>
      </c>
      <c r="D162" t="s">
        <v>403</v>
      </c>
      <c r="E162">
        <v>0.66952380952380897</v>
      </c>
      <c r="F162" t="s">
        <v>310</v>
      </c>
      <c r="G162">
        <v>0.679640718562874</v>
      </c>
      <c r="H162" t="s">
        <v>310</v>
      </c>
      <c r="I162">
        <v>1.3215859030837001</v>
      </c>
      <c r="J162" t="s">
        <v>387</v>
      </c>
      <c r="K162">
        <v>1.18089171974522</v>
      </c>
      <c r="L162" t="s">
        <v>416</v>
      </c>
      <c r="M162">
        <v>0.92198581560283599</v>
      </c>
      <c r="N162" t="s">
        <v>333</v>
      </c>
      <c r="O162">
        <v>0.987179487179487</v>
      </c>
      <c r="P162" t="s">
        <v>323</v>
      </c>
      <c r="Q162">
        <v>0.97037037037036999</v>
      </c>
      <c r="R162" t="s">
        <v>323</v>
      </c>
      <c r="S162">
        <v>1.03053435114503</v>
      </c>
      <c r="T162" t="s">
        <v>408</v>
      </c>
      <c r="U162">
        <v>0.97435897435897401</v>
      </c>
      <c r="V162" t="s">
        <v>407</v>
      </c>
      <c r="W162">
        <v>1.3742857142857099</v>
      </c>
      <c r="X162" t="s">
        <v>397</v>
      </c>
      <c r="Y162">
        <v>1.0416666666666601</v>
      </c>
      <c r="Z162" t="s">
        <v>407</v>
      </c>
      <c r="AA162">
        <v>0.83003492433061699</v>
      </c>
      <c r="AB162" t="s">
        <v>418</v>
      </c>
      <c r="AC162">
        <v>1.27</v>
      </c>
      <c r="AD162" t="s">
        <v>420</v>
      </c>
      <c r="AE162">
        <v>1.23684210526315</v>
      </c>
      <c r="AF162" t="s">
        <v>424</v>
      </c>
      <c r="AG162">
        <v>1.2018165390651001</v>
      </c>
      <c r="AH162" t="s">
        <v>343</v>
      </c>
      <c r="AI162">
        <v>1.0630002925298501</v>
      </c>
      <c r="AJ162" t="s">
        <v>431</v>
      </c>
      <c r="AK162">
        <v>0.99770642201834803</v>
      </c>
      <c r="AL162" t="s">
        <v>453</v>
      </c>
      <c r="AM162">
        <v>1.15088282504012</v>
      </c>
      <c r="AN162" t="s">
        <v>455</v>
      </c>
      <c r="AO162">
        <v>1.2956659410251301</v>
      </c>
      <c r="AP162" t="s">
        <v>424</v>
      </c>
      <c r="AQ162">
        <v>1.0931981687377299</v>
      </c>
      <c r="AR162" t="s">
        <v>423</v>
      </c>
      <c r="AS162">
        <v>1.11780892045818</v>
      </c>
      <c r="AT162" t="s">
        <v>455</v>
      </c>
      <c r="AU162">
        <v>1.13970322113644</v>
      </c>
      <c r="AV162" t="s">
        <v>455</v>
      </c>
      <c r="AW162">
        <v>0.95252461098761498</v>
      </c>
      <c r="AX162" t="s">
        <v>424</v>
      </c>
      <c r="AY162">
        <v>1.12122472751476</v>
      </c>
      <c r="AZ162" t="s">
        <v>433</v>
      </c>
      <c r="BA162">
        <v>1.18376550169109</v>
      </c>
      <c r="BB162" t="s">
        <v>424</v>
      </c>
      <c r="BC162">
        <v>1.0268500114047301</v>
      </c>
      <c r="BD162" t="s">
        <v>427</v>
      </c>
      <c r="BE162">
        <v>0.98604651162790702</v>
      </c>
      <c r="BF162" t="s">
        <v>430</v>
      </c>
      <c r="BG162">
        <v>1.1928897772701299</v>
      </c>
      <c r="BH162" t="s">
        <v>446</v>
      </c>
      <c r="BI162">
        <v>0.96206373292867897</v>
      </c>
      <c r="BJ162" t="s">
        <v>454</v>
      </c>
      <c r="BK162">
        <v>0.893682588597842</v>
      </c>
      <c r="BL162" t="s">
        <v>446</v>
      </c>
      <c r="BM162">
        <v>0.878688524590163</v>
      </c>
      <c r="BN162" t="s">
        <v>466</v>
      </c>
      <c r="BO162">
        <v>1.0124223602484399</v>
      </c>
      <c r="BP162" t="s">
        <v>464</v>
      </c>
      <c r="BQ162">
        <v>1.3410553410553401</v>
      </c>
      <c r="BR162" t="s">
        <v>440</v>
      </c>
      <c r="BS162">
        <v>0.94820717131474097</v>
      </c>
      <c r="BT162" t="s">
        <v>457</v>
      </c>
      <c r="BU162">
        <v>1.1835205992509299</v>
      </c>
      <c r="BV162" t="s">
        <v>446</v>
      </c>
      <c r="BW162">
        <v>1</v>
      </c>
    </row>
    <row r="163" spans="1:75" x14ac:dyDescent="0.4">
      <c r="A163">
        <v>161</v>
      </c>
      <c r="B163" t="s">
        <v>308</v>
      </c>
      <c r="C163">
        <v>0.78458289334741205</v>
      </c>
      <c r="D163" t="s">
        <v>396</v>
      </c>
      <c r="E163">
        <v>0.84097035040431201</v>
      </c>
      <c r="F163" t="s">
        <v>450</v>
      </c>
      <c r="G163">
        <v>0.73347591404419998</v>
      </c>
      <c r="H163" t="s">
        <v>450</v>
      </c>
      <c r="I163">
        <v>0.95334629269647297</v>
      </c>
      <c r="J163" t="s">
        <v>395</v>
      </c>
      <c r="K163">
        <v>1.4545454545454499</v>
      </c>
      <c r="L163" t="s">
        <v>335</v>
      </c>
      <c r="M163">
        <v>1.1428571428571399</v>
      </c>
      <c r="N163" t="s">
        <v>407</v>
      </c>
      <c r="O163">
        <v>0.73379174852652196</v>
      </c>
      <c r="P163" t="s">
        <v>402</v>
      </c>
      <c r="Q163">
        <v>1.07762623755147</v>
      </c>
      <c r="R163" t="s">
        <v>409</v>
      </c>
      <c r="S163">
        <v>1.47565457050987</v>
      </c>
      <c r="T163" t="s">
        <v>416</v>
      </c>
      <c r="U163">
        <v>0.963963963963964</v>
      </c>
      <c r="V163" t="s">
        <v>408</v>
      </c>
      <c r="W163">
        <v>0.97846889952153104</v>
      </c>
      <c r="X163" t="s">
        <v>310</v>
      </c>
      <c r="Y163">
        <v>0.98701298701298701</v>
      </c>
      <c r="Z163" t="s">
        <v>408</v>
      </c>
      <c r="AA163">
        <v>0.83482714468629904</v>
      </c>
      <c r="AB163" t="s">
        <v>428</v>
      </c>
      <c r="AC163">
        <v>0.94915254237288105</v>
      </c>
      <c r="AD163" t="s">
        <v>428</v>
      </c>
      <c r="AE163">
        <v>0.94285714285714195</v>
      </c>
      <c r="AF163" t="s">
        <v>431</v>
      </c>
      <c r="AG163">
        <v>1.06395348837209</v>
      </c>
      <c r="AH163" t="s">
        <v>423</v>
      </c>
      <c r="AI163">
        <v>0.78278460928203097</v>
      </c>
      <c r="AJ163" t="s">
        <v>451</v>
      </c>
      <c r="AK163">
        <v>1.1967545638945201</v>
      </c>
      <c r="AL163" t="s">
        <v>455</v>
      </c>
      <c r="AM163">
        <v>0.93974335131113995</v>
      </c>
      <c r="AN163" t="s">
        <v>433</v>
      </c>
      <c r="AO163">
        <v>1.23088023088023</v>
      </c>
      <c r="AP163" t="s">
        <v>431</v>
      </c>
      <c r="AQ163">
        <v>1.05821205821205</v>
      </c>
      <c r="AR163" t="s">
        <v>430</v>
      </c>
      <c r="AS163">
        <v>1.15991237677984</v>
      </c>
      <c r="AT163" t="s">
        <v>433</v>
      </c>
      <c r="AU163">
        <v>1.0880195599022</v>
      </c>
      <c r="AV163" t="s">
        <v>433</v>
      </c>
      <c r="AW163">
        <v>0.99887640449438198</v>
      </c>
      <c r="AX163" t="s">
        <v>430</v>
      </c>
      <c r="AY163">
        <v>1.1416430594900799</v>
      </c>
      <c r="AZ163" t="s">
        <v>436</v>
      </c>
      <c r="BA163">
        <v>0.854599406528189</v>
      </c>
      <c r="BB163" t="s">
        <v>425</v>
      </c>
      <c r="BC163">
        <v>0.77665995975855096</v>
      </c>
      <c r="BD163" t="s">
        <v>425</v>
      </c>
      <c r="BE163">
        <v>1.04922279792746</v>
      </c>
      <c r="BF163" t="s">
        <v>433</v>
      </c>
      <c r="BG163">
        <v>0.95881006864988505</v>
      </c>
      <c r="BH163" t="s">
        <v>452</v>
      </c>
      <c r="BI163">
        <v>0.79171894604767801</v>
      </c>
      <c r="BJ163" t="s">
        <v>459</v>
      </c>
      <c r="BK163">
        <v>1.03459119496855</v>
      </c>
      <c r="BL163" t="s">
        <v>458</v>
      </c>
      <c r="BM163">
        <v>1.0711462450592799</v>
      </c>
      <c r="BN163" t="s">
        <v>465</v>
      </c>
      <c r="BO163">
        <v>0.97455470737913397</v>
      </c>
      <c r="BP163" t="s">
        <v>463</v>
      </c>
      <c r="BQ163">
        <v>0.94274809160305295</v>
      </c>
      <c r="BR163" t="s">
        <v>444</v>
      </c>
      <c r="BS163">
        <v>0.87184466019417395</v>
      </c>
      <c r="BT163" t="s">
        <v>452</v>
      </c>
      <c r="BU163">
        <v>0.95545977011494199</v>
      </c>
      <c r="BV163" t="s">
        <v>458</v>
      </c>
      <c r="BW163">
        <v>1.16700201207243</v>
      </c>
    </row>
    <row r="164" spans="1:75" x14ac:dyDescent="0.4">
      <c r="A164">
        <v>162</v>
      </c>
      <c r="B164" t="s">
        <v>396</v>
      </c>
      <c r="C164">
        <v>1.20846905537459</v>
      </c>
      <c r="D164" t="s">
        <v>461</v>
      </c>
      <c r="E164">
        <v>0.79021756391932596</v>
      </c>
      <c r="F164" t="s">
        <v>314</v>
      </c>
      <c r="G164">
        <v>0.52567190968777999</v>
      </c>
      <c r="H164" t="s">
        <v>317</v>
      </c>
      <c r="I164">
        <v>1.3958333333333299</v>
      </c>
      <c r="J164" t="s">
        <v>308</v>
      </c>
      <c r="K164">
        <v>1.55113636363636</v>
      </c>
      <c r="L164" t="s">
        <v>417</v>
      </c>
      <c r="M164">
        <v>1.0889292196007201</v>
      </c>
      <c r="N164" t="s">
        <v>408</v>
      </c>
      <c r="O164">
        <v>0.78542510121457398</v>
      </c>
      <c r="P164" t="s">
        <v>409</v>
      </c>
      <c r="Q164">
        <v>0.95797579757975704</v>
      </c>
      <c r="R164" t="s">
        <v>329</v>
      </c>
      <c r="S164">
        <v>0.87615526802218102</v>
      </c>
      <c r="T164" t="s">
        <v>417</v>
      </c>
      <c r="U164">
        <v>1.02145922746781</v>
      </c>
      <c r="V164" t="s">
        <v>416</v>
      </c>
      <c r="W164">
        <v>0.94926568758344398</v>
      </c>
      <c r="X164" t="s">
        <v>323</v>
      </c>
      <c r="Y164">
        <v>0.98596491228070104</v>
      </c>
      <c r="Z164" t="s">
        <v>416</v>
      </c>
      <c r="AA164">
        <v>1.0141093474426801</v>
      </c>
      <c r="AB164" t="s">
        <v>343</v>
      </c>
      <c r="AC164">
        <v>0.91924704834038695</v>
      </c>
      <c r="AD164" t="s">
        <v>343</v>
      </c>
      <c r="AE164">
        <v>1.1142008966436401</v>
      </c>
      <c r="AF164" t="s">
        <v>451</v>
      </c>
      <c r="AG164">
        <v>0.99095022624434304</v>
      </c>
      <c r="AH164" t="s">
        <v>438</v>
      </c>
      <c r="AI164">
        <v>0.84157160963244604</v>
      </c>
      <c r="AJ164" t="s">
        <v>453</v>
      </c>
      <c r="AK164">
        <v>0.93403298350824504</v>
      </c>
      <c r="AL164" t="s">
        <v>433</v>
      </c>
      <c r="AM164">
        <v>0.98158640226628802</v>
      </c>
      <c r="AN164" t="s">
        <v>440</v>
      </c>
      <c r="AO164">
        <v>1.06532663316582</v>
      </c>
      <c r="AP164" t="s">
        <v>455</v>
      </c>
      <c r="AQ164">
        <v>0.90873682602718797</v>
      </c>
      <c r="AR164" t="s">
        <v>455</v>
      </c>
      <c r="AS164">
        <v>0.928817547693083</v>
      </c>
      <c r="AT164" t="s">
        <v>440</v>
      </c>
      <c r="AU164">
        <v>0.98784194528875302</v>
      </c>
      <c r="AV164" t="s">
        <v>440</v>
      </c>
      <c r="AW164">
        <v>1.0225641025640999</v>
      </c>
      <c r="AX164" t="s">
        <v>455</v>
      </c>
      <c r="AY164">
        <v>1.0001666944490699</v>
      </c>
      <c r="AZ164" t="s">
        <v>440</v>
      </c>
      <c r="BA164">
        <v>1.5137614678899001</v>
      </c>
      <c r="BB164" t="s">
        <v>426</v>
      </c>
      <c r="BC164">
        <v>0.88185654008438796</v>
      </c>
      <c r="BD164" t="s">
        <v>426</v>
      </c>
      <c r="BE164">
        <v>1.23444976076555</v>
      </c>
      <c r="BF164" t="s">
        <v>440</v>
      </c>
      <c r="BG164">
        <v>1.25249169435215</v>
      </c>
      <c r="BH164" t="s">
        <v>459</v>
      </c>
      <c r="BI164">
        <v>0.77845777233782099</v>
      </c>
      <c r="BJ164" t="s">
        <v>460</v>
      </c>
      <c r="BK164">
        <v>0.91323692992213501</v>
      </c>
      <c r="BL164" t="s">
        <v>452</v>
      </c>
      <c r="BM164">
        <v>1.1089108910890999</v>
      </c>
      <c r="BN164" t="s">
        <v>467</v>
      </c>
      <c r="BO164">
        <v>1.03381642512077</v>
      </c>
      <c r="BP164" t="s">
        <v>466</v>
      </c>
      <c r="BQ164">
        <v>0.82515337423312796</v>
      </c>
      <c r="BR164" t="s">
        <v>446</v>
      </c>
      <c r="BS164">
        <v>0.95880149812733995</v>
      </c>
      <c r="BT164" t="s">
        <v>454</v>
      </c>
      <c r="BU164">
        <v>1.0557377049180301</v>
      </c>
      <c r="BV164" t="s">
        <v>457</v>
      </c>
      <c r="BW164">
        <v>1.29113924050632</v>
      </c>
    </row>
    <row r="165" spans="1:75" x14ac:dyDescent="0.4">
      <c r="A165">
        <v>163</v>
      </c>
      <c r="B165" t="s">
        <v>397</v>
      </c>
      <c r="C165">
        <v>1.0091330346670699</v>
      </c>
      <c r="D165" t="s">
        <v>310</v>
      </c>
      <c r="E165">
        <v>0.70020964360587001</v>
      </c>
      <c r="F165" t="s">
        <v>323</v>
      </c>
      <c r="G165">
        <v>0.77272727272727204</v>
      </c>
      <c r="H165" t="s">
        <v>323</v>
      </c>
      <c r="I165">
        <v>0.95686274509803904</v>
      </c>
      <c r="J165" t="s">
        <v>396</v>
      </c>
      <c r="K165">
        <v>1.62962962962962</v>
      </c>
      <c r="L165" t="s">
        <v>428</v>
      </c>
      <c r="M165">
        <v>0.98986608758595696</v>
      </c>
      <c r="N165" t="s">
        <v>416</v>
      </c>
      <c r="O165">
        <v>1.05128205128205</v>
      </c>
      <c r="P165" t="s">
        <v>329</v>
      </c>
      <c r="Q165">
        <v>1.00185185185185</v>
      </c>
      <c r="R165" t="s">
        <v>333</v>
      </c>
      <c r="S165">
        <v>1.0156950672645699</v>
      </c>
      <c r="T165" t="s">
        <v>418</v>
      </c>
      <c r="U165">
        <v>0.94113697403759999</v>
      </c>
      <c r="V165" t="s">
        <v>335</v>
      </c>
      <c r="W165">
        <v>0.93048973143759794</v>
      </c>
      <c r="X165" t="s">
        <v>410</v>
      </c>
      <c r="Y165">
        <v>0.99459459459459398</v>
      </c>
      <c r="Z165" t="s">
        <v>417</v>
      </c>
      <c r="AA165">
        <v>1.6497890295358599</v>
      </c>
      <c r="AB165" t="s">
        <v>423</v>
      </c>
      <c r="AC165">
        <v>0.95965552021103195</v>
      </c>
      <c r="AD165" t="s">
        <v>423</v>
      </c>
      <c r="AE165">
        <v>0.98471986417656998</v>
      </c>
      <c r="AF165" t="s">
        <v>453</v>
      </c>
      <c r="AG165">
        <v>0.90142857142857102</v>
      </c>
      <c r="AH165" t="s">
        <v>424</v>
      </c>
      <c r="AI165">
        <v>0.78573972223321298</v>
      </c>
      <c r="AJ165" t="s">
        <v>455</v>
      </c>
      <c r="AK165">
        <v>0.98183146169999003</v>
      </c>
      <c r="AL165" t="s">
        <v>440</v>
      </c>
      <c r="AM165">
        <v>0.85961123110151105</v>
      </c>
      <c r="AN165" t="s">
        <v>447</v>
      </c>
      <c r="AO165">
        <v>0.97830802603036804</v>
      </c>
      <c r="AP165" t="s">
        <v>433</v>
      </c>
      <c r="AQ165">
        <v>0.950762016412661</v>
      </c>
      <c r="AR165" t="s">
        <v>433</v>
      </c>
      <c r="AS165">
        <v>1.0086313193588099</v>
      </c>
      <c r="AT165" t="s">
        <v>448</v>
      </c>
      <c r="AU165">
        <v>0.96822742474916301</v>
      </c>
      <c r="AV165" t="s">
        <v>448</v>
      </c>
      <c r="AW165">
        <v>0.99654576856649302</v>
      </c>
      <c r="AX165" t="s">
        <v>433</v>
      </c>
      <c r="AY165">
        <v>0.99775028121484799</v>
      </c>
      <c r="AZ165" t="s">
        <v>448</v>
      </c>
      <c r="BA165">
        <v>1.2</v>
      </c>
      <c r="BB165" t="s">
        <v>433</v>
      </c>
      <c r="BC165">
        <v>0.94476190476190403</v>
      </c>
      <c r="BD165" t="s">
        <v>430</v>
      </c>
      <c r="BE165">
        <v>1.0408678852727</v>
      </c>
      <c r="BF165" t="s">
        <v>462</v>
      </c>
      <c r="BG165">
        <v>1.9020771513353101</v>
      </c>
      <c r="BH165" t="s">
        <v>460</v>
      </c>
      <c r="BI165">
        <v>0.84413145539906098</v>
      </c>
      <c r="BJ165" t="s">
        <v>463</v>
      </c>
      <c r="BK165">
        <v>1.08719052744886</v>
      </c>
      <c r="BL165" t="s">
        <v>454</v>
      </c>
      <c r="BM165">
        <v>0.91896551724137898</v>
      </c>
      <c r="BN165" t="s">
        <v>471</v>
      </c>
      <c r="BO165">
        <v>1.0811232449297901</v>
      </c>
      <c r="BP165" t="s">
        <v>465</v>
      </c>
      <c r="BQ165">
        <v>1.0221932114882499</v>
      </c>
      <c r="BR165" t="s">
        <v>458</v>
      </c>
      <c r="BS165">
        <v>0.86055776892430202</v>
      </c>
      <c r="BT165" t="s">
        <v>456</v>
      </c>
      <c r="BU165">
        <v>0.94713656387665202</v>
      </c>
      <c r="BV165" t="s">
        <v>452</v>
      </c>
      <c r="BW165">
        <v>1.1082706766917201</v>
      </c>
    </row>
    <row r="166" spans="1:75" x14ac:dyDescent="0.4">
      <c r="A166">
        <v>164</v>
      </c>
      <c r="B166" t="s">
        <v>310</v>
      </c>
      <c r="C166">
        <v>1.125</v>
      </c>
      <c r="D166" t="s">
        <v>450</v>
      </c>
      <c r="E166">
        <v>0.73036298720618797</v>
      </c>
      <c r="F166" t="s">
        <v>402</v>
      </c>
      <c r="G166">
        <v>0.44000025580790503</v>
      </c>
      <c r="H166" t="s">
        <v>402</v>
      </c>
      <c r="I166">
        <v>0.99383735859111899</v>
      </c>
      <c r="J166" t="s">
        <v>397</v>
      </c>
      <c r="K166">
        <v>1.5359133419403499</v>
      </c>
      <c r="L166" t="s">
        <v>421</v>
      </c>
      <c r="M166">
        <v>0.99598393574297095</v>
      </c>
      <c r="N166" t="s">
        <v>335</v>
      </c>
      <c r="O166">
        <v>0.76022727272727197</v>
      </c>
      <c r="P166" t="s">
        <v>333</v>
      </c>
      <c r="Q166">
        <v>1.1584415584415499</v>
      </c>
      <c r="R166" t="s">
        <v>407</v>
      </c>
      <c r="S166">
        <v>1.0623003194888101</v>
      </c>
      <c r="T166" t="s">
        <v>435</v>
      </c>
      <c r="U166">
        <v>0.99834437086092698</v>
      </c>
      <c r="V166" t="s">
        <v>418</v>
      </c>
      <c r="W166">
        <v>1.09678953626634</v>
      </c>
      <c r="X166" t="s">
        <v>402</v>
      </c>
      <c r="Y166">
        <v>0.78921266163757298</v>
      </c>
      <c r="Z166" t="s">
        <v>418</v>
      </c>
      <c r="AA166">
        <v>0.986436498150431</v>
      </c>
      <c r="AB166" t="s">
        <v>438</v>
      </c>
      <c r="AC166">
        <v>0.86282722513089005</v>
      </c>
      <c r="AD166" t="s">
        <v>438</v>
      </c>
      <c r="AE166">
        <v>0.83980582524271796</v>
      </c>
      <c r="AF166" t="s">
        <v>455</v>
      </c>
      <c r="AG166">
        <v>1.2550936406668001</v>
      </c>
      <c r="AH166" t="s">
        <v>431</v>
      </c>
      <c r="AI166">
        <v>1.19125683060109</v>
      </c>
      <c r="AJ166" t="s">
        <v>433</v>
      </c>
      <c r="AK166">
        <v>0.93017127799736499</v>
      </c>
      <c r="AL166" t="s">
        <v>445</v>
      </c>
      <c r="AM166">
        <v>0.92083333333333295</v>
      </c>
      <c r="AN166" t="s">
        <v>462</v>
      </c>
      <c r="AO166">
        <v>1.3035143769968001</v>
      </c>
      <c r="AP166" t="s">
        <v>440</v>
      </c>
      <c r="AQ166">
        <v>1.3266509433962199</v>
      </c>
      <c r="AR166" t="s">
        <v>440</v>
      </c>
      <c r="AS166">
        <v>0.87733333333333297</v>
      </c>
      <c r="AT166" t="s">
        <v>446</v>
      </c>
      <c r="AU166">
        <v>1.21139240506329</v>
      </c>
      <c r="AV166" t="s">
        <v>446</v>
      </c>
      <c r="AW166">
        <v>1.0188087774294601</v>
      </c>
      <c r="AX166" t="s">
        <v>440</v>
      </c>
      <c r="AY166">
        <v>1.0932798395185499</v>
      </c>
      <c r="AZ166" t="s">
        <v>446</v>
      </c>
      <c r="BA166">
        <v>1.1196969696969601</v>
      </c>
      <c r="BB166" t="s">
        <v>440</v>
      </c>
      <c r="BC166">
        <v>1.02424242424242</v>
      </c>
      <c r="BD166" t="s">
        <v>433</v>
      </c>
      <c r="BE166">
        <v>0.88104838709677402</v>
      </c>
      <c r="BF166" t="s">
        <v>441</v>
      </c>
      <c r="BG166">
        <v>1.0523076923076899</v>
      </c>
      <c r="BH166" t="s">
        <v>464</v>
      </c>
      <c r="BI166">
        <v>0.72636262513904304</v>
      </c>
      <c r="BJ166" t="s">
        <v>465</v>
      </c>
      <c r="BK166">
        <v>0.95</v>
      </c>
      <c r="BL166" t="s">
        <v>459</v>
      </c>
      <c r="BM166">
        <v>1.1869300911854099</v>
      </c>
      <c r="BN166" t="s">
        <v>472</v>
      </c>
      <c r="BO166">
        <v>1.16157760814249</v>
      </c>
      <c r="BP166" t="s">
        <v>467</v>
      </c>
      <c r="BQ166">
        <v>1.12616822429906</v>
      </c>
      <c r="BR166" t="s">
        <v>457</v>
      </c>
      <c r="BS166">
        <v>0.99875311720698201</v>
      </c>
      <c r="BT166" t="s">
        <v>460</v>
      </c>
      <c r="BU166">
        <v>1.0114795918367301</v>
      </c>
      <c r="BV166" t="s">
        <v>454</v>
      </c>
      <c r="BW166">
        <v>1.34575569358178</v>
      </c>
    </row>
    <row r="167" spans="1:75" x14ac:dyDescent="0.4">
      <c r="A167">
        <v>165</v>
      </c>
      <c r="B167" t="s">
        <v>450</v>
      </c>
      <c r="C167">
        <v>1.09590381088241</v>
      </c>
      <c r="D167" t="s">
        <v>314</v>
      </c>
      <c r="E167">
        <v>0.72436445752215395</v>
      </c>
      <c r="F167" t="s">
        <v>409</v>
      </c>
      <c r="G167">
        <v>0.49734684032802701</v>
      </c>
      <c r="H167" t="s">
        <v>329</v>
      </c>
      <c r="I167">
        <v>0.85862068965517202</v>
      </c>
      <c r="J167" t="s">
        <v>310</v>
      </c>
      <c r="K167">
        <v>1.11666666666666</v>
      </c>
      <c r="L167" t="s">
        <v>343</v>
      </c>
      <c r="M167">
        <v>1.1059602649006599</v>
      </c>
      <c r="N167" t="s">
        <v>417</v>
      </c>
      <c r="O167">
        <v>1.02</v>
      </c>
      <c r="P167" t="s">
        <v>407</v>
      </c>
      <c r="Q167">
        <v>0.838018741633199</v>
      </c>
      <c r="R167" t="s">
        <v>408</v>
      </c>
      <c r="S167">
        <v>0.85373134328358202</v>
      </c>
      <c r="T167" t="s">
        <v>343</v>
      </c>
      <c r="U167">
        <v>1.0176678445229601</v>
      </c>
      <c r="V167" t="s">
        <v>420</v>
      </c>
      <c r="W167">
        <v>1.1876876876876801</v>
      </c>
      <c r="X167" t="s">
        <v>329</v>
      </c>
      <c r="Y167">
        <v>0.94382022471910099</v>
      </c>
      <c r="Z167" t="s">
        <v>428</v>
      </c>
      <c r="AA167">
        <v>0.95469255663430397</v>
      </c>
      <c r="AB167" t="s">
        <v>424</v>
      </c>
      <c r="AC167">
        <v>0.99879602299207704</v>
      </c>
      <c r="AD167" t="s">
        <v>424</v>
      </c>
      <c r="AE167">
        <v>0.81770813080841398</v>
      </c>
      <c r="AF167" t="s">
        <v>433</v>
      </c>
      <c r="AG167">
        <v>1.0573870573870501</v>
      </c>
      <c r="AH167" t="s">
        <v>451</v>
      </c>
      <c r="AI167">
        <v>0.75038051750380497</v>
      </c>
      <c r="AJ167" t="s">
        <v>440</v>
      </c>
      <c r="AK167">
        <v>0.91683168316831598</v>
      </c>
      <c r="AL167" t="s">
        <v>448</v>
      </c>
      <c r="AM167">
        <v>1.1725888324872999</v>
      </c>
      <c r="AN167" t="s">
        <v>448</v>
      </c>
      <c r="AO167">
        <v>1.02813852813852</v>
      </c>
      <c r="AP167" t="s">
        <v>447</v>
      </c>
      <c r="AQ167">
        <v>1.31263858093126</v>
      </c>
      <c r="AR167" t="s">
        <v>448</v>
      </c>
      <c r="AS167">
        <v>1.1198501872659099</v>
      </c>
      <c r="AT167" t="s">
        <v>457</v>
      </c>
      <c r="AU167">
        <v>1.0343511450381599</v>
      </c>
      <c r="AV167" t="s">
        <v>457</v>
      </c>
      <c r="AW167">
        <v>0.94587945879458701</v>
      </c>
      <c r="AX167" t="s">
        <v>448</v>
      </c>
      <c r="AY167">
        <v>0.99653379549393395</v>
      </c>
      <c r="AZ167" t="s">
        <v>457</v>
      </c>
      <c r="BA167">
        <v>1.31524547803617</v>
      </c>
      <c r="BB167" t="s">
        <v>448</v>
      </c>
      <c r="BC167">
        <v>1.2173913043478199</v>
      </c>
      <c r="BD167" t="s">
        <v>440</v>
      </c>
      <c r="BE167">
        <v>0.890532544378698</v>
      </c>
      <c r="BF167" t="s">
        <v>444</v>
      </c>
      <c r="BG167">
        <v>0.89482200647249099</v>
      </c>
      <c r="BH167" t="s">
        <v>463</v>
      </c>
      <c r="BI167">
        <v>0.936491935483871</v>
      </c>
      <c r="BJ167" t="s">
        <v>467</v>
      </c>
      <c r="BK167">
        <v>0.86</v>
      </c>
      <c r="BL167" t="s">
        <v>460</v>
      </c>
      <c r="BM167">
        <v>0.97563946406820901</v>
      </c>
      <c r="BN167" t="s">
        <v>481</v>
      </c>
      <c r="BO167">
        <v>1.2398081534772101</v>
      </c>
      <c r="BP167" t="s">
        <v>471</v>
      </c>
      <c r="BQ167">
        <v>1.2886002886002801</v>
      </c>
      <c r="BR167" t="s">
        <v>452</v>
      </c>
      <c r="BS167">
        <v>1.07739938080495</v>
      </c>
      <c r="BT167" t="s">
        <v>473</v>
      </c>
      <c r="BU167">
        <v>1.09314586994727</v>
      </c>
      <c r="BV167" t="s">
        <v>456</v>
      </c>
      <c r="BW167">
        <v>1.1116279069767401</v>
      </c>
    </row>
    <row r="168" spans="1:75" x14ac:dyDescent="0.4">
      <c r="A168">
        <v>166</v>
      </c>
      <c r="B168" t="s">
        <v>314</v>
      </c>
      <c r="C168">
        <v>1.0498015481043801</v>
      </c>
      <c r="D168" t="s">
        <v>323</v>
      </c>
      <c r="E168">
        <v>0.88235294117647001</v>
      </c>
      <c r="F168" t="s">
        <v>329</v>
      </c>
      <c r="G168">
        <v>0.94926350245499103</v>
      </c>
      <c r="H168" t="s">
        <v>404</v>
      </c>
      <c r="I168">
        <v>0.75</v>
      </c>
      <c r="J168" t="s">
        <v>450</v>
      </c>
      <c r="K168">
        <v>1.1958199825225699</v>
      </c>
      <c r="L168" t="s">
        <v>423</v>
      </c>
      <c r="M168">
        <v>1.11476690684955</v>
      </c>
      <c r="N168" t="s">
        <v>428</v>
      </c>
      <c r="O168">
        <v>1</v>
      </c>
      <c r="P168" t="s">
        <v>408</v>
      </c>
      <c r="Q168">
        <v>1.0360824742268</v>
      </c>
      <c r="R168" t="s">
        <v>335</v>
      </c>
      <c r="S168">
        <v>0.80668604651162701</v>
      </c>
      <c r="T168" t="s">
        <v>423</v>
      </c>
      <c r="U168">
        <v>1.13636761487965</v>
      </c>
      <c r="V168" t="s">
        <v>428</v>
      </c>
      <c r="W168">
        <v>0.77787381158167601</v>
      </c>
      <c r="X168" t="s">
        <v>407</v>
      </c>
      <c r="Y168">
        <v>0.89293139293139201</v>
      </c>
      <c r="Z168" t="s">
        <v>435</v>
      </c>
      <c r="AA168">
        <v>0.86991869918699105</v>
      </c>
      <c r="AB168" t="s">
        <v>431</v>
      </c>
      <c r="AC168">
        <v>0.97105263157894695</v>
      </c>
      <c r="AD168" t="s">
        <v>431</v>
      </c>
      <c r="AE168">
        <v>0.93224932249322401</v>
      </c>
      <c r="AF168" t="s">
        <v>436</v>
      </c>
      <c r="AG168">
        <v>1.2067988668555201</v>
      </c>
      <c r="AH168" t="s">
        <v>453</v>
      </c>
      <c r="AI168">
        <v>1.0570522979397701</v>
      </c>
      <c r="AJ168" t="s">
        <v>448</v>
      </c>
      <c r="AK168">
        <v>0.95631067961164995</v>
      </c>
      <c r="AL168" t="s">
        <v>469</v>
      </c>
      <c r="AM168">
        <v>0.72478991596638598</v>
      </c>
      <c r="AN168" t="s">
        <v>469</v>
      </c>
      <c r="AO168">
        <v>0.96376811594202805</v>
      </c>
      <c r="AP168" t="s">
        <v>462</v>
      </c>
      <c r="AQ168">
        <v>1.1875</v>
      </c>
      <c r="AR168" t="s">
        <v>446</v>
      </c>
      <c r="AS168">
        <v>1.1285714285714199</v>
      </c>
      <c r="AT168" t="s">
        <v>452</v>
      </c>
      <c r="AU168">
        <v>0.97477064220183396</v>
      </c>
      <c r="AV168" t="s">
        <v>452</v>
      </c>
      <c r="AW168">
        <v>0.81764705882352895</v>
      </c>
      <c r="AX168" t="s">
        <v>444</v>
      </c>
      <c r="AY168">
        <v>1.1970443349753599</v>
      </c>
      <c r="AZ168" t="s">
        <v>452</v>
      </c>
      <c r="BA168">
        <v>0.97894736842105201</v>
      </c>
      <c r="BB168" t="s">
        <v>452</v>
      </c>
      <c r="BC168">
        <v>0.86635944700460799</v>
      </c>
      <c r="BD168" t="s">
        <v>441</v>
      </c>
      <c r="BE168">
        <v>0.84745762711864403</v>
      </c>
      <c r="BF168" t="s">
        <v>446</v>
      </c>
      <c r="BG168">
        <v>1.04107424960505</v>
      </c>
      <c r="BH168" t="s">
        <v>465</v>
      </c>
      <c r="BI168">
        <v>0.78139534883720896</v>
      </c>
      <c r="BJ168" t="s">
        <v>471</v>
      </c>
      <c r="BK168">
        <v>0.79102844638949599</v>
      </c>
      <c r="BL168" t="s">
        <v>464</v>
      </c>
      <c r="BM168">
        <v>0.89167767503302497</v>
      </c>
      <c r="BN168" t="s">
        <v>483</v>
      </c>
      <c r="BO168">
        <v>1.04411764705882</v>
      </c>
      <c r="BP168" t="s">
        <v>472</v>
      </c>
      <c r="BQ168">
        <v>1.1336254107338399</v>
      </c>
      <c r="BR168" t="s">
        <v>454</v>
      </c>
      <c r="BS168">
        <v>1.03977272727272</v>
      </c>
      <c r="BT168" t="s">
        <v>463</v>
      </c>
      <c r="BU168">
        <v>1.0202205882352899</v>
      </c>
      <c r="BV168" t="s">
        <v>460</v>
      </c>
      <c r="BW168">
        <v>0.96090794451450101</v>
      </c>
    </row>
    <row r="169" spans="1:75" x14ac:dyDescent="0.4">
      <c r="A169">
        <v>167</v>
      </c>
      <c r="B169" t="s">
        <v>323</v>
      </c>
      <c r="C169">
        <v>1.08720930232558</v>
      </c>
      <c r="D169" t="s">
        <v>409</v>
      </c>
      <c r="E169">
        <v>0.67316122747199203</v>
      </c>
      <c r="F169" t="s">
        <v>407</v>
      </c>
      <c r="G169">
        <v>0.45873015873015799</v>
      </c>
      <c r="H169" t="s">
        <v>333</v>
      </c>
      <c r="I169">
        <v>1.12293853073463</v>
      </c>
      <c r="J169" t="s">
        <v>323</v>
      </c>
      <c r="K169">
        <v>1.1086065573770401</v>
      </c>
      <c r="L169" t="s">
        <v>431</v>
      </c>
      <c r="M169">
        <v>0.91439688715953304</v>
      </c>
      <c r="N169" t="s">
        <v>343</v>
      </c>
      <c r="O169">
        <v>0.984038818913896</v>
      </c>
      <c r="P169" t="s">
        <v>416</v>
      </c>
      <c r="Q169">
        <v>0.94390243902438997</v>
      </c>
      <c r="R169" t="s">
        <v>417</v>
      </c>
      <c r="S169">
        <v>1.3902147971360299</v>
      </c>
      <c r="T169" t="s">
        <v>431</v>
      </c>
      <c r="U169">
        <v>1.06849315068493</v>
      </c>
      <c r="V169" t="s">
        <v>435</v>
      </c>
      <c r="W169">
        <v>1.14925373134328</v>
      </c>
      <c r="X169" t="s">
        <v>408</v>
      </c>
      <c r="Y169">
        <v>0.95476772616136896</v>
      </c>
      <c r="Z169" t="s">
        <v>343</v>
      </c>
      <c r="AA169">
        <v>1.00814103643815</v>
      </c>
      <c r="AB169" t="s">
        <v>451</v>
      </c>
      <c r="AC169">
        <v>0.78933680104031201</v>
      </c>
      <c r="AD169" t="s">
        <v>451</v>
      </c>
      <c r="AE169">
        <v>1.09225700164744</v>
      </c>
      <c r="AF169" t="s">
        <v>440</v>
      </c>
      <c r="AG169">
        <v>1.1866666666666601</v>
      </c>
      <c r="AH169" t="s">
        <v>455</v>
      </c>
      <c r="AI169">
        <v>0.89800770681315001</v>
      </c>
      <c r="AJ169" t="s">
        <v>444</v>
      </c>
      <c r="AK169">
        <v>1.06505295007564</v>
      </c>
      <c r="AL169" t="s">
        <v>446</v>
      </c>
      <c r="AM169">
        <v>0.95229007633587703</v>
      </c>
      <c r="AN169" t="s">
        <v>446</v>
      </c>
      <c r="AO169">
        <v>1.2224448897795499</v>
      </c>
      <c r="AP169" t="s">
        <v>448</v>
      </c>
      <c r="AQ169">
        <v>1.12421052631578</v>
      </c>
      <c r="AR169" t="s">
        <v>452</v>
      </c>
      <c r="AS169">
        <v>0.979775280898876</v>
      </c>
      <c r="AT169" t="s">
        <v>456</v>
      </c>
      <c r="AU169">
        <v>1.0547195622434999</v>
      </c>
      <c r="AV169" t="s">
        <v>456</v>
      </c>
      <c r="AW169">
        <v>1.14656290531776</v>
      </c>
      <c r="AX169" t="s">
        <v>446</v>
      </c>
      <c r="AY169">
        <v>1.3538461538461499</v>
      </c>
      <c r="AZ169" t="s">
        <v>456</v>
      </c>
      <c r="BA169">
        <v>1.0130434782608599</v>
      </c>
      <c r="BB169" t="s">
        <v>456</v>
      </c>
      <c r="BC169">
        <v>1.03004291845493</v>
      </c>
      <c r="BD169" t="s">
        <v>444</v>
      </c>
      <c r="BE169">
        <v>0.97169811320754695</v>
      </c>
      <c r="BF169" t="s">
        <v>452</v>
      </c>
      <c r="BG169">
        <v>1.4334532374100699</v>
      </c>
      <c r="BH169" t="s">
        <v>467</v>
      </c>
      <c r="BI169">
        <v>1.0380622837370199</v>
      </c>
      <c r="BJ169" t="s">
        <v>472</v>
      </c>
      <c r="BK169">
        <v>0.913744075829383</v>
      </c>
      <c r="BL169" t="s">
        <v>463</v>
      </c>
      <c r="BM169">
        <v>1.04950495049504</v>
      </c>
      <c r="BN169" t="s">
        <v>492</v>
      </c>
      <c r="BO169">
        <v>1.13413304252998</v>
      </c>
      <c r="BP169" t="s">
        <v>479</v>
      </c>
      <c r="BQ169">
        <v>0.93229166666666596</v>
      </c>
      <c r="BR169" t="s">
        <v>456</v>
      </c>
      <c r="BS169">
        <v>1.0044247787610601</v>
      </c>
      <c r="BT169" t="s">
        <v>465</v>
      </c>
      <c r="BU169">
        <v>1.03562005277044</v>
      </c>
      <c r="BV169" t="s">
        <v>473</v>
      </c>
      <c r="BW169">
        <v>1.1768488745980701</v>
      </c>
    </row>
    <row r="170" spans="1:75" x14ac:dyDescent="0.4">
      <c r="A170">
        <v>168</v>
      </c>
      <c r="B170" t="s">
        <v>409</v>
      </c>
      <c r="C170">
        <v>1.32167381974248</v>
      </c>
      <c r="D170" t="s">
        <v>329</v>
      </c>
      <c r="E170">
        <v>0.89197080291970798</v>
      </c>
      <c r="F170" t="s">
        <v>408</v>
      </c>
      <c r="G170">
        <v>0.67</v>
      </c>
      <c r="H170" t="s">
        <v>407</v>
      </c>
      <c r="I170">
        <v>1.0311418685121101</v>
      </c>
      <c r="J170" t="s">
        <v>402</v>
      </c>
      <c r="K170">
        <v>1.6097604968483801</v>
      </c>
      <c r="L170" t="s">
        <v>425</v>
      </c>
      <c r="M170">
        <v>0.97560975609756095</v>
      </c>
      <c r="N170" t="s">
        <v>423</v>
      </c>
      <c r="O170">
        <v>0.97796121797367797</v>
      </c>
      <c r="P170" t="s">
        <v>335</v>
      </c>
      <c r="Q170">
        <v>1.0284005979073201</v>
      </c>
      <c r="R170" t="s">
        <v>420</v>
      </c>
      <c r="S170">
        <v>1.28901734104046</v>
      </c>
      <c r="T170" t="s">
        <v>425</v>
      </c>
      <c r="U170">
        <v>1.28374655647382</v>
      </c>
      <c r="V170" t="s">
        <v>343</v>
      </c>
      <c r="W170">
        <v>1.0266283524904201</v>
      </c>
      <c r="X170" t="s">
        <v>416</v>
      </c>
      <c r="Y170">
        <v>0.797468354430379</v>
      </c>
      <c r="Z170" t="s">
        <v>423</v>
      </c>
      <c r="AA170">
        <v>0.95459931861946301</v>
      </c>
      <c r="AB170" t="s">
        <v>453</v>
      </c>
      <c r="AC170">
        <v>1.5388127853881199</v>
      </c>
      <c r="AD170" t="s">
        <v>453</v>
      </c>
      <c r="AE170">
        <v>1.03857566765578</v>
      </c>
      <c r="AF170" t="s">
        <v>448</v>
      </c>
      <c r="AG170">
        <v>0.95069337442218704</v>
      </c>
      <c r="AH170" t="s">
        <v>433</v>
      </c>
      <c r="AI170">
        <v>0.87644341801385595</v>
      </c>
      <c r="AJ170" t="s">
        <v>469</v>
      </c>
      <c r="AK170">
        <v>0.88558139534883695</v>
      </c>
      <c r="AL170" t="s">
        <v>470</v>
      </c>
      <c r="AM170">
        <v>1.7022408329560801</v>
      </c>
      <c r="AN170" t="s">
        <v>457</v>
      </c>
      <c r="AO170">
        <v>1.1702668360863999</v>
      </c>
      <c r="AP170" t="s">
        <v>446</v>
      </c>
      <c r="AQ170">
        <v>1.14754098360655</v>
      </c>
      <c r="AR170" t="s">
        <v>474</v>
      </c>
      <c r="AS170">
        <v>1.6096797175944</v>
      </c>
      <c r="AT170" t="s">
        <v>463</v>
      </c>
      <c r="AU170">
        <v>0.99823633156966396</v>
      </c>
      <c r="AV170" t="s">
        <v>463</v>
      </c>
      <c r="AW170">
        <v>0.87544169611307399</v>
      </c>
      <c r="AX170" t="s">
        <v>475</v>
      </c>
      <c r="AY170">
        <v>1.1256038647342901</v>
      </c>
      <c r="AZ170" t="s">
        <v>464</v>
      </c>
      <c r="BA170">
        <v>0.84878457669740104</v>
      </c>
      <c r="BB170" t="s">
        <v>464</v>
      </c>
      <c r="BC170">
        <v>0.86529725459213902</v>
      </c>
      <c r="BD170" t="s">
        <v>446</v>
      </c>
      <c r="BE170">
        <v>0.98139534883720903</v>
      </c>
      <c r="BF170" t="s">
        <v>454</v>
      </c>
      <c r="BG170">
        <v>1.48672566371681</v>
      </c>
      <c r="BH170" t="s">
        <v>471</v>
      </c>
      <c r="BI170">
        <v>0.78793103448275803</v>
      </c>
      <c r="BJ170" t="s">
        <v>477</v>
      </c>
      <c r="BK170">
        <v>0.88310394052845598</v>
      </c>
      <c r="BL170" t="s">
        <v>466</v>
      </c>
      <c r="BM170">
        <v>0.93063583815028905</v>
      </c>
      <c r="BN170" t="s">
        <v>486</v>
      </c>
      <c r="BO170">
        <v>0.990783410138248</v>
      </c>
      <c r="BP170" t="s">
        <v>484</v>
      </c>
      <c r="BQ170">
        <v>0.91639871382636595</v>
      </c>
      <c r="BR170" t="s">
        <v>460</v>
      </c>
      <c r="BS170">
        <v>0.97633872976338698</v>
      </c>
      <c r="BT170" t="s">
        <v>467</v>
      </c>
      <c r="BU170">
        <v>0.81782945736434098</v>
      </c>
      <c r="BV170" t="s">
        <v>463</v>
      </c>
      <c r="BW170">
        <v>1.3135135135135101</v>
      </c>
    </row>
    <row r="171" spans="1:75" x14ac:dyDescent="0.4">
      <c r="A171">
        <v>169</v>
      </c>
      <c r="B171" t="s">
        <v>329</v>
      </c>
      <c r="C171">
        <v>1.19964973730297</v>
      </c>
      <c r="D171" t="s">
        <v>335</v>
      </c>
      <c r="E171">
        <v>0.63003901170351095</v>
      </c>
      <c r="F171" t="s">
        <v>417</v>
      </c>
      <c r="G171">
        <v>0.58846153846153804</v>
      </c>
      <c r="H171" t="s">
        <v>408</v>
      </c>
      <c r="I171">
        <v>0.96472184531885996</v>
      </c>
      <c r="J171" t="s">
        <v>329</v>
      </c>
      <c r="K171">
        <v>1.0963855421686699</v>
      </c>
      <c r="L171" t="s">
        <v>482</v>
      </c>
      <c r="M171">
        <v>1.2350877192982399</v>
      </c>
      <c r="N171" t="s">
        <v>431</v>
      </c>
      <c r="O171">
        <v>1.0680851063829699</v>
      </c>
      <c r="P171" t="s">
        <v>417</v>
      </c>
      <c r="Q171">
        <v>1.36928104575163</v>
      </c>
      <c r="R171" t="s">
        <v>428</v>
      </c>
      <c r="S171">
        <v>1.1990798088833801</v>
      </c>
      <c r="T171" t="s">
        <v>453</v>
      </c>
      <c r="U171">
        <v>0.92971887550200805</v>
      </c>
      <c r="V171" t="s">
        <v>423</v>
      </c>
      <c r="W171">
        <v>1.10182546406839</v>
      </c>
      <c r="X171" t="s">
        <v>335</v>
      </c>
      <c r="Y171">
        <v>0.86417657045840401</v>
      </c>
      <c r="Z171" t="s">
        <v>431</v>
      </c>
      <c r="AA171">
        <v>1.03825136612021</v>
      </c>
      <c r="AB171" t="s">
        <v>455</v>
      </c>
      <c r="AC171">
        <v>0.85555797259082</v>
      </c>
      <c r="AD171" t="s">
        <v>455</v>
      </c>
      <c r="AE171">
        <v>0.82362912111195796</v>
      </c>
      <c r="AF171" t="s">
        <v>444</v>
      </c>
      <c r="AG171">
        <v>1.16507503410641</v>
      </c>
      <c r="AH171" t="s">
        <v>436</v>
      </c>
      <c r="AI171">
        <v>0.77699530516431903</v>
      </c>
      <c r="AJ171" t="s">
        <v>446</v>
      </c>
      <c r="AK171">
        <v>1.0234375</v>
      </c>
      <c r="AL171" t="s">
        <v>457</v>
      </c>
      <c r="AM171">
        <v>1.0314547837483601</v>
      </c>
      <c r="AN171" t="s">
        <v>452</v>
      </c>
      <c r="AO171">
        <v>1.04551045510455</v>
      </c>
      <c r="AP171" t="s">
        <v>452</v>
      </c>
      <c r="AQ171">
        <v>1.04705882352941</v>
      </c>
      <c r="AR171" t="s">
        <v>456</v>
      </c>
      <c r="AS171">
        <v>0.98517520215633403</v>
      </c>
      <c r="AT171" t="s">
        <v>478</v>
      </c>
      <c r="AU171">
        <v>1.2858851674641101</v>
      </c>
      <c r="AV171" t="s">
        <v>478</v>
      </c>
      <c r="AW171">
        <v>1.33023255813953</v>
      </c>
      <c r="AX171" t="s">
        <v>457</v>
      </c>
      <c r="AY171">
        <v>1.00650195058517</v>
      </c>
      <c r="AZ171" t="s">
        <v>463</v>
      </c>
      <c r="BA171">
        <v>0.99307958477508596</v>
      </c>
      <c r="BB171" t="s">
        <v>463</v>
      </c>
      <c r="BC171">
        <v>0.96631823461091704</v>
      </c>
      <c r="BD171" t="s">
        <v>452</v>
      </c>
      <c r="BE171">
        <v>0.98581560283687897</v>
      </c>
      <c r="BF171" t="s">
        <v>456</v>
      </c>
      <c r="BG171">
        <v>1.11304347826086</v>
      </c>
      <c r="BH171" t="s">
        <v>476</v>
      </c>
      <c r="BI171">
        <v>0.79406631762652702</v>
      </c>
      <c r="BJ171" t="s">
        <v>479</v>
      </c>
      <c r="BK171">
        <v>1.15816326530612</v>
      </c>
      <c r="BL171" t="s">
        <v>467</v>
      </c>
      <c r="BM171">
        <v>0.80232558139534804</v>
      </c>
      <c r="BN171" t="s">
        <v>495</v>
      </c>
      <c r="BO171">
        <v>1.1827284105131399</v>
      </c>
      <c r="BP171" t="s">
        <v>481</v>
      </c>
      <c r="BQ171">
        <v>1.1334622823984499</v>
      </c>
      <c r="BR171" t="s">
        <v>473</v>
      </c>
      <c r="BS171">
        <v>0.81285714285714195</v>
      </c>
      <c r="BT171" t="s">
        <v>471</v>
      </c>
      <c r="BU171">
        <v>1.0559210526315701</v>
      </c>
      <c r="BV171" t="s">
        <v>467</v>
      </c>
      <c r="BW171">
        <v>1.02369668246445</v>
      </c>
    </row>
    <row r="172" spans="1:75" x14ac:dyDescent="0.4">
      <c r="A172">
        <v>170</v>
      </c>
      <c r="B172" t="s">
        <v>449</v>
      </c>
      <c r="C172">
        <v>1.17408906882591</v>
      </c>
      <c r="D172" t="s">
        <v>417</v>
      </c>
      <c r="E172">
        <v>0.95412844036697197</v>
      </c>
      <c r="F172" t="s">
        <v>420</v>
      </c>
      <c r="G172">
        <v>0.76524953789279104</v>
      </c>
      <c r="H172" t="s">
        <v>420</v>
      </c>
      <c r="I172">
        <v>1.23188405797101</v>
      </c>
      <c r="J172" t="s">
        <v>404</v>
      </c>
      <c r="K172">
        <v>1.77715355805243</v>
      </c>
      <c r="L172" t="s">
        <v>487</v>
      </c>
      <c r="M172">
        <v>0.91739130434782601</v>
      </c>
      <c r="N172" t="s">
        <v>425</v>
      </c>
      <c r="O172">
        <v>0.71750000000000003</v>
      </c>
      <c r="P172" t="s">
        <v>428</v>
      </c>
      <c r="Q172">
        <v>1.0330895795246799</v>
      </c>
      <c r="R172" t="s">
        <v>435</v>
      </c>
      <c r="S172">
        <v>1.0237288135593201</v>
      </c>
      <c r="T172" t="s">
        <v>455</v>
      </c>
      <c r="U172">
        <v>0.89963724304715798</v>
      </c>
      <c r="V172" t="s">
        <v>431</v>
      </c>
      <c r="W172">
        <v>1.1666666666666601</v>
      </c>
      <c r="X172" t="s">
        <v>418</v>
      </c>
      <c r="Y172">
        <v>0.87922810060711099</v>
      </c>
      <c r="Z172" t="s">
        <v>451</v>
      </c>
      <c r="AA172">
        <v>0.94471744471744401</v>
      </c>
      <c r="AB172" t="s">
        <v>433</v>
      </c>
      <c r="AC172">
        <v>0.92481977342945398</v>
      </c>
      <c r="AD172" t="s">
        <v>433</v>
      </c>
      <c r="AE172">
        <v>0.91202672605790602</v>
      </c>
      <c r="AF172" t="s">
        <v>469</v>
      </c>
      <c r="AG172">
        <v>1.2426470588235199</v>
      </c>
      <c r="AH172" t="s">
        <v>440</v>
      </c>
      <c r="AI172">
        <v>0.75655430711610405</v>
      </c>
      <c r="AJ172" t="s">
        <v>470</v>
      </c>
      <c r="AK172">
        <v>1.2952213427147401</v>
      </c>
      <c r="AL172" t="s">
        <v>452</v>
      </c>
      <c r="AM172">
        <v>1.2703125</v>
      </c>
      <c r="AN172" t="s">
        <v>474</v>
      </c>
      <c r="AO172">
        <v>0.94280053652953899</v>
      </c>
      <c r="AP172" t="s">
        <v>456</v>
      </c>
      <c r="AQ172">
        <v>1.1415384615384601</v>
      </c>
      <c r="AR172" t="s">
        <v>468</v>
      </c>
      <c r="AS172">
        <v>1.34729796727813</v>
      </c>
      <c r="AT172" t="s">
        <v>467</v>
      </c>
      <c r="AU172">
        <v>1.0465116279069699</v>
      </c>
      <c r="AV172" t="s">
        <v>465</v>
      </c>
      <c r="AW172">
        <v>1.02926829268292</v>
      </c>
      <c r="AX172" t="s">
        <v>452</v>
      </c>
      <c r="AY172">
        <v>0.95683453237409999</v>
      </c>
      <c r="AZ172" t="s">
        <v>467</v>
      </c>
      <c r="BA172">
        <v>1.1343283582089501</v>
      </c>
      <c r="BB172" t="s">
        <v>467</v>
      </c>
      <c r="BC172">
        <v>1.0087719298245601</v>
      </c>
      <c r="BD172" t="s">
        <v>456</v>
      </c>
      <c r="BE172">
        <v>0.95833333333333304</v>
      </c>
      <c r="BF172" t="s">
        <v>463</v>
      </c>
      <c r="BG172">
        <v>1.1209039548022599</v>
      </c>
      <c r="BH172" t="s">
        <v>472</v>
      </c>
      <c r="BI172">
        <v>1.6853035143769901</v>
      </c>
      <c r="BJ172" t="s">
        <v>481</v>
      </c>
      <c r="BK172">
        <v>0.9375</v>
      </c>
      <c r="BL172" t="s">
        <v>471</v>
      </c>
      <c r="BM172">
        <v>0.88658367911479896</v>
      </c>
      <c r="BN172" t="s">
        <v>488</v>
      </c>
      <c r="BO172">
        <v>1.0354729729729699</v>
      </c>
      <c r="BP172" t="s">
        <v>483</v>
      </c>
      <c r="BQ172">
        <v>0.88732394366197098</v>
      </c>
      <c r="BR172" t="s">
        <v>463</v>
      </c>
      <c r="BS172">
        <v>1.1012145748987801</v>
      </c>
      <c r="BT172" t="s">
        <v>472</v>
      </c>
      <c r="BU172">
        <v>1.0684326710816701</v>
      </c>
      <c r="BV172" t="s">
        <v>471</v>
      </c>
      <c r="BW172">
        <v>1.2429906542056</v>
      </c>
    </row>
    <row r="173" spans="1:75" x14ac:dyDescent="0.4">
      <c r="A173">
        <v>171</v>
      </c>
      <c r="B173" t="s">
        <v>335</v>
      </c>
      <c r="C173">
        <v>1.26480263157894</v>
      </c>
      <c r="D173" t="s">
        <v>420</v>
      </c>
      <c r="E173">
        <v>0.59450549450549395</v>
      </c>
      <c r="F173" t="s">
        <v>428</v>
      </c>
      <c r="G173">
        <v>0.83026649746192804</v>
      </c>
      <c r="H173" t="s">
        <v>428</v>
      </c>
      <c r="I173">
        <v>1.1671761559036999</v>
      </c>
      <c r="J173" t="s">
        <v>407</v>
      </c>
      <c r="K173">
        <v>1.5838926174496599</v>
      </c>
      <c r="L173" t="s">
        <v>432</v>
      </c>
      <c r="M173">
        <v>1.3592233009708701</v>
      </c>
      <c r="N173" t="s">
        <v>482</v>
      </c>
      <c r="O173">
        <v>1.00852272727272</v>
      </c>
      <c r="P173" t="s">
        <v>343</v>
      </c>
      <c r="Q173">
        <v>1.02230522273747</v>
      </c>
      <c r="R173" t="s">
        <v>343</v>
      </c>
      <c r="S173">
        <v>0.84226190476190399</v>
      </c>
      <c r="T173" t="s">
        <v>433</v>
      </c>
      <c r="U173">
        <v>1.05760368663594</v>
      </c>
      <c r="V173" t="s">
        <v>482</v>
      </c>
      <c r="W173">
        <v>1.4338919925512099</v>
      </c>
      <c r="X173" t="s">
        <v>428</v>
      </c>
      <c r="Y173">
        <v>1.1444444444444399</v>
      </c>
      <c r="Z173" t="s">
        <v>453</v>
      </c>
      <c r="AA173">
        <v>0.97986577181208001</v>
      </c>
      <c r="AB173" t="s">
        <v>436</v>
      </c>
      <c r="AC173">
        <v>0.81636363636363596</v>
      </c>
      <c r="AD173" t="s">
        <v>436</v>
      </c>
      <c r="AE173">
        <v>0.78619153674832898</v>
      </c>
      <c r="AF173" t="s">
        <v>470</v>
      </c>
      <c r="AG173">
        <v>0.99823659625558103</v>
      </c>
      <c r="AH173" t="s">
        <v>447</v>
      </c>
      <c r="AI173">
        <v>0.85281385281385202</v>
      </c>
      <c r="AJ173" t="s">
        <v>457</v>
      </c>
      <c r="AK173">
        <v>0.95137157107231896</v>
      </c>
      <c r="AL173" t="s">
        <v>456</v>
      </c>
      <c r="AM173">
        <v>1.14716981132075</v>
      </c>
      <c r="AN173" t="s">
        <v>456</v>
      </c>
      <c r="AO173">
        <v>1.0690789473684199</v>
      </c>
      <c r="AP173" t="s">
        <v>460</v>
      </c>
      <c r="AQ173">
        <v>1.4238410596026401</v>
      </c>
      <c r="AR173" t="s">
        <v>463</v>
      </c>
      <c r="AS173">
        <v>1.0216216216216201</v>
      </c>
      <c r="AT173" t="s">
        <v>471</v>
      </c>
      <c r="AU173">
        <v>1.19</v>
      </c>
      <c r="AV173" t="s">
        <v>467</v>
      </c>
      <c r="AW173">
        <v>0.89777777777777701</v>
      </c>
      <c r="AX173" t="s">
        <v>456</v>
      </c>
      <c r="AY173">
        <v>1.3009049773755601</v>
      </c>
      <c r="AZ173" t="s">
        <v>471</v>
      </c>
      <c r="BA173">
        <v>0.83853606027987004</v>
      </c>
      <c r="BB173" t="s">
        <v>471</v>
      </c>
      <c r="BC173">
        <v>0.86136071887034604</v>
      </c>
      <c r="BD173" t="s">
        <v>464</v>
      </c>
      <c r="BE173">
        <v>1.3056379821958399</v>
      </c>
      <c r="BF173" t="s">
        <v>467</v>
      </c>
      <c r="BG173">
        <v>1.21428571428571</v>
      </c>
      <c r="BH173" t="s">
        <v>481</v>
      </c>
      <c r="BI173">
        <v>0.91582491582491499</v>
      </c>
      <c r="BJ173" t="s">
        <v>483</v>
      </c>
      <c r="BK173">
        <v>0.961006289308176</v>
      </c>
      <c r="BL173" t="s">
        <v>472</v>
      </c>
      <c r="BM173">
        <v>0.81535269709543501</v>
      </c>
      <c r="BN173" t="s">
        <v>490</v>
      </c>
      <c r="BO173">
        <v>1.0281690140844999</v>
      </c>
      <c r="BP173" t="s">
        <v>486</v>
      </c>
      <c r="BQ173">
        <v>0.89395348837209299</v>
      </c>
      <c r="BR173" t="s">
        <v>467</v>
      </c>
      <c r="BS173">
        <v>1.07053941908713</v>
      </c>
      <c r="BT173" t="s">
        <v>484</v>
      </c>
      <c r="BU173">
        <v>1.18461538461538</v>
      </c>
      <c r="BV173" t="s">
        <v>472</v>
      </c>
      <c r="BW173">
        <v>1.10537190082644</v>
      </c>
    </row>
    <row r="174" spans="1:75" x14ac:dyDescent="0.4">
      <c r="A174">
        <v>172</v>
      </c>
      <c r="B174" t="s">
        <v>417</v>
      </c>
      <c r="C174">
        <v>0.95614035087719296</v>
      </c>
      <c r="D174" t="s">
        <v>422</v>
      </c>
      <c r="E174">
        <v>0.6</v>
      </c>
      <c r="F174" t="s">
        <v>421</v>
      </c>
      <c r="G174">
        <v>0.82220242193511806</v>
      </c>
      <c r="H174" t="s">
        <v>343</v>
      </c>
      <c r="I174">
        <v>0.72784299339691805</v>
      </c>
      <c r="J174" t="s">
        <v>408</v>
      </c>
      <c r="K174">
        <v>1.51898734177215</v>
      </c>
      <c r="L174" t="s">
        <v>453</v>
      </c>
      <c r="M174">
        <v>1.0833333333333299</v>
      </c>
      <c r="N174" t="s">
        <v>487</v>
      </c>
      <c r="O174">
        <v>0.94786729857819896</v>
      </c>
      <c r="P174" t="s">
        <v>423</v>
      </c>
      <c r="Q174">
        <v>1.06768593725115</v>
      </c>
      <c r="R174" t="s">
        <v>423</v>
      </c>
      <c r="S174">
        <v>0.85210322195704002</v>
      </c>
      <c r="T174" t="s">
        <v>436</v>
      </c>
      <c r="U174">
        <v>1.1951219512195099</v>
      </c>
      <c r="V174" t="s">
        <v>432</v>
      </c>
      <c r="W174">
        <v>1.17914979757085</v>
      </c>
      <c r="X174" t="s">
        <v>435</v>
      </c>
      <c r="Y174">
        <v>0.88744588744588704</v>
      </c>
      <c r="Z174" t="s">
        <v>455</v>
      </c>
      <c r="AA174">
        <v>1.0147156206312999</v>
      </c>
      <c r="AB174" t="s">
        <v>440</v>
      </c>
      <c r="AC174">
        <v>1.0922509225092201</v>
      </c>
      <c r="AD174" t="s">
        <v>440</v>
      </c>
      <c r="AE174">
        <v>0.76013513513513498</v>
      </c>
      <c r="AF174" t="s">
        <v>457</v>
      </c>
      <c r="AG174">
        <v>1.22132253711201</v>
      </c>
      <c r="AH174" t="s">
        <v>448</v>
      </c>
      <c r="AI174">
        <v>0.66774716369529896</v>
      </c>
      <c r="AJ174" t="s">
        <v>452</v>
      </c>
      <c r="AK174">
        <v>1.25</v>
      </c>
      <c r="AL174" t="s">
        <v>468</v>
      </c>
      <c r="AM174">
        <v>0.91676255701432097</v>
      </c>
      <c r="AN174" t="s">
        <v>460</v>
      </c>
      <c r="AO174">
        <v>1.0413793103448199</v>
      </c>
      <c r="AP174" t="s">
        <v>468</v>
      </c>
      <c r="AQ174">
        <v>0.56546117185309697</v>
      </c>
      <c r="AR174" t="s">
        <v>478</v>
      </c>
      <c r="AS174">
        <v>1.10728476821192</v>
      </c>
      <c r="AT174" t="s">
        <v>472</v>
      </c>
      <c r="AU174">
        <v>0.88439306358381498</v>
      </c>
      <c r="AV174" t="s">
        <v>472</v>
      </c>
      <c r="AW174">
        <v>1.1552287581699301</v>
      </c>
      <c r="AX174" t="s">
        <v>463</v>
      </c>
      <c r="AY174">
        <v>0.87487386478304696</v>
      </c>
      <c r="AZ174" t="s">
        <v>472</v>
      </c>
      <c r="BA174">
        <v>0.96</v>
      </c>
      <c r="BB174" t="s">
        <v>472</v>
      </c>
      <c r="BC174">
        <v>0.95192307692307598</v>
      </c>
      <c r="BD174" t="s">
        <v>463</v>
      </c>
      <c r="BE174">
        <v>1.06370192307692</v>
      </c>
      <c r="BF174" t="s">
        <v>471</v>
      </c>
      <c r="BG174">
        <v>0.76821192052980103</v>
      </c>
      <c r="BH174" t="s">
        <v>483</v>
      </c>
      <c r="BI174">
        <v>0.96363636363636296</v>
      </c>
      <c r="BJ174" t="s">
        <v>486</v>
      </c>
      <c r="BK174">
        <v>0.90666666666666595</v>
      </c>
      <c r="BL174" t="s">
        <v>481</v>
      </c>
      <c r="BM174">
        <v>0.81764705882352895</v>
      </c>
      <c r="BN174" t="s">
        <v>493</v>
      </c>
      <c r="BO174">
        <v>0.95808383233532901</v>
      </c>
      <c r="BP174" t="s">
        <v>488</v>
      </c>
      <c r="BQ174">
        <v>1.04567699836867</v>
      </c>
      <c r="BR174" t="s">
        <v>471</v>
      </c>
      <c r="BS174">
        <v>0.680851063829787</v>
      </c>
      <c r="BT174" t="s">
        <v>481</v>
      </c>
      <c r="BU174">
        <v>1.0964230171072999</v>
      </c>
      <c r="BV174" t="s">
        <v>484</v>
      </c>
      <c r="BW174">
        <v>0.90259740259740195</v>
      </c>
    </row>
    <row r="175" spans="1:75" x14ac:dyDescent="0.4">
      <c r="A175">
        <v>173</v>
      </c>
      <c r="B175" t="s">
        <v>420</v>
      </c>
      <c r="C175">
        <v>0.998902305159165</v>
      </c>
      <c r="D175" t="s">
        <v>428</v>
      </c>
      <c r="E175">
        <v>0.96391437308868499</v>
      </c>
      <c r="F175" t="s">
        <v>423</v>
      </c>
      <c r="G175">
        <v>0.44537346711259701</v>
      </c>
      <c r="H175" t="s">
        <v>423</v>
      </c>
      <c r="I175">
        <v>0.93351063829787195</v>
      </c>
      <c r="J175" t="s">
        <v>343</v>
      </c>
      <c r="K175">
        <v>1.1035230079128999</v>
      </c>
      <c r="L175" t="s">
        <v>455</v>
      </c>
      <c r="M175">
        <v>1.2714714168862999</v>
      </c>
      <c r="N175" t="s">
        <v>453</v>
      </c>
      <c r="O175">
        <v>1.1205128205128201</v>
      </c>
      <c r="P175" t="s">
        <v>431</v>
      </c>
      <c r="Q175">
        <v>1.02390438247011</v>
      </c>
      <c r="R175" t="s">
        <v>431</v>
      </c>
      <c r="S175">
        <v>1.13618677042801</v>
      </c>
      <c r="T175" t="s">
        <v>440</v>
      </c>
      <c r="U175">
        <v>1.3810316139767</v>
      </c>
      <c r="V175" t="s">
        <v>453</v>
      </c>
      <c r="W175">
        <v>1.0539956803455699</v>
      </c>
      <c r="X175" t="s">
        <v>343</v>
      </c>
      <c r="Y175">
        <v>0.83089195745474898</v>
      </c>
      <c r="Z175" t="s">
        <v>433</v>
      </c>
      <c r="AA175">
        <v>1.0307855626326901</v>
      </c>
      <c r="AB175" t="s">
        <v>448</v>
      </c>
      <c r="AC175">
        <v>1.2456140350877101</v>
      </c>
      <c r="AD175" t="s">
        <v>447</v>
      </c>
      <c r="AE175">
        <v>0.95871559633027503</v>
      </c>
      <c r="AF175" t="s">
        <v>452</v>
      </c>
      <c r="AG175">
        <v>0.88032786885245895</v>
      </c>
      <c r="AH175" t="s">
        <v>446</v>
      </c>
      <c r="AI175">
        <v>0.91921005385996402</v>
      </c>
      <c r="AJ175" t="s">
        <v>456</v>
      </c>
      <c r="AK175">
        <v>1.0311284046692599</v>
      </c>
      <c r="AL175" t="s">
        <v>463</v>
      </c>
      <c r="AM175">
        <v>1.09692307692307</v>
      </c>
      <c r="AN175" t="s">
        <v>468</v>
      </c>
      <c r="AO175">
        <v>0.97094983894626996</v>
      </c>
      <c r="AP175" t="s">
        <v>463</v>
      </c>
      <c r="AQ175">
        <v>0.79512893982807997</v>
      </c>
      <c r="AR175" t="s">
        <v>467</v>
      </c>
      <c r="AS175">
        <v>1</v>
      </c>
      <c r="AT175" t="s">
        <v>485</v>
      </c>
      <c r="AU175">
        <v>1.07046070460704</v>
      </c>
      <c r="AV175" t="s">
        <v>485</v>
      </c>
      <c r="AW175">
        <v>1.12025316455696</v>
      </c>
      <c r="AX175" t="s">
        <v>467</v>
      </c>
      <c r="AY175">
        <v>0.99504950495049505</v>
      </c>
      <c r="AZ175" t="s">
        <v>481</v>
      </c>
      <c r="BA175">
        <v>1.14844804318488</v>
      </c>
      <c r="BB175" t="s">
        <v>481</v>
      </c>
      <c r="BC175">
        <v>0.79435957696827197</v>
      </c>
      <c r="BD175" t="s">
        <v>467</v>
      </c>
      <c r="BE175">
        <v>1.03478260869565</v>
      </c>
      <c r="BF175" t="s">
        <v>476</v>
      </c>
      <c r="BG175">
        <v>1.05524861878453</v>
      </c>
      <c r="BH175" t="s">
        <v>486</v>
      </c>
      <c r="BI175">
        <v>1.0321100917431101</v>
      </c>
      <c r="BJ175" t="s">
        <v>488</v>
      </c>
      <c r="BK175">
        <v>0.93758865248226897</v>
      </c>
      <c r="BL175" t="s">
        <v>483</v>
      </c>
      <c r="BM175">
        <v>0.80104712041884796</v>
      </c>
      <c r="BN175" t="s">
        <v>491</v>
      </c>
      <c r="BO175">
        <v>1.1275862068965501</v>
      </c>
      <c r="BP175" t="s">
        <v>490</v>
      </c>
      <c r="BQ175">
        <v>0.931506849315068</v>
      </c>
      <c r="BR175" t="s">
        <v>472</v>
      </c>
      <c r="BS175">
        <v>0.87536231884057902</v>
      </c>
      <c r="BT175" t="s">
        <v>483</v>
      </c>
      <c r="BU175">
        <v>0.97747747747747704</v>
      </c>
      <c r="BV175" t="s">
        <v>481</v>
      </c>
      <c r="BW175">
        <v>1.1645390070921899</v>
      </c>
    </row>
    <row r="176" spans="1:75" x14ac:dyDescent="0.4">
      <c r="A176">
        <v>174</v>
      </c>
      <c r="B176" t="s">
        <v>422</v>
      </c>
      <c r="C176">
        <v>1.1284722222222201</v>
      </c>
      <c r="D176" t="s">
        <v>421</v>
      </c>
      <c r="E176">
        <v>0.98003492895133704</v>
      </c>
      <c r="F176" t="s">
        <v>431</v>
      </c>
      <c r="G176">
        <v>0.80314960629921195</v>
      </c>
      <c r="H176" t="s">
        <v>431</v>
      </c>
      <c r="I176">
        <v>0.97941176470588198</v>
      </c>
      <c r="J176" t="s">
        <v>431</v>
      </c>
      <c r="K176">
        <v>1.2862862862862801</v>
      </c>
      <c r="L176" t="s">
        <v>433</v>
      </c>
      <c r="M176">
        <v>1.30365659777424</v>
      </c>
      <c r="N176" t="s">
        <v>455</v>
      </c>
      <c r="O176">
        <v>1.0355968548963499</v>
      </c>
      <c r="P176" t="s">
        <v>425</v>
      </c>
      <c r="Q176">
        <v>1.40418118466898</v>
      </c>
      <c r="R176" t="s">
        <v>425</v>
      </c>
      <c r="S176">
        <v>0.90074441687344897</v>
      </c>
      <c r="T176" t="s">
        <v>445</v>
      </c>
      <c r="U176">
        <v>1.30901287553648</v>
      </c>
      <c r="V176" t="s">
        <v>455</v>
      </c>
      <c r="W176">
        <v>1.06324671445639</v>
      </c>
      <c r="X176" t="s">
        <v>423</v>
      </c>
      <c r="Y176">
        <v>0.943865781195386</v>
      </c>
      <c r="Z176" t="s">
        <v>436</v>
      </c>
      <c r="AA176">
        <v>1.07632093933463</v>
      </c>
      <c r="AB176" t="s">
        <v>457</v>
      </c>
      <c r="AC176">
        <v>1.1449704142011801</v>
      </c>
      <c r="AD176" t="s">
        <v>448</v>
      </c>
      <c r="AE176">
        <v>0.91408450704225297</v>
      </c>
      <c r="AF176" t="s">
        <v>474</v>
      </c>
      <c r="AG176">
        <v>1.2192245334691201</v>
      </c>
      <c r="AH176" t="s">
        <v>470</v>
      </c>
      <c r="AI176">
        <v>0.76922498684507201</v>
      </c>
      <c r="AJ176" t="s">
        <v>468</v>
      </c>
      <c r="AK176">
        <v>0.82283087312632597</v>
      </c>
      <c r="AL176" t="s">
        <v>478</v>
      </c>
      <c r="AM176">
        <v>0.99356913183279705</v>
      </c>
      <c r="AN176" t="s">
        <v>478</v>
      </c>
      <c r="AO176">
        <v>1.00485436893203</v>
      </c>
      <c r="AP176" t="s">
        <v>478</v>
      </c>
      <c r="AQ176">
        <v>1.2157809983896899</v>
      </c>
      <c r="AR176" t="s">
        <v>471</v>
      </c>
      <c r="AS176">
        <v>0.93786635404454799</v>
      </c>
      <c r="AT176" t="s">
        <v>481</v>
      </c>
      <c r="AU176">
        <v>1.1342857142857099</v>
      </c>
      <c r="AV176" t="s">
        <v>481</v>
      </c>
      <c r="AW176">
        <v>1.05037783375314</v>
      </c>
      <c r="AX176" t="s">
        <v>471</v>
      </c>
      <c r="AY176">
        <v>1.1072705601907</v>
      </c>
      <c r="AZ176" t="s">
        <v>483</v>
      </c>
      <c r="BA176">
        <v>1.07407407407407</v>
      </c>
      <c r="BB176" t="s">
        <v>483</v>
      </c>
      <c r="BC176">
        <v>1.20977011494252</v>
      </c>
      <c r="BD176" t="s">
        <v>471</v>
      </c>
      <c r="BE176">
        <v>1.1251862891207101</v>
      </c>
      <c r="BF176" t="s">
        <v>472</v>
      </c>
      <c r="BG176">
        <v>0.964560862865947</v>
      </c>
      <c r="BH176" t="s">
        <v>495</v>
      </c>
      <c r="BI176">
        <v>1.7164461247637</v>
      </c>
      <c r="BJ176" t="s">
        <v>491</v>
      </c>
      <c r="BK176">
        <v>1.27627627627627</v>
      </c>
      <c r="BL176" t="s">
        <v>492</v>
      </c>
      <c r="BM176">
        <v>0.92253521126760496</v>
      </c>
      <c r="BN176" t="s">
        <v>494</v>
      </c>
      <c r="BO176">
        <v>1.20684292379471</v>
      </c>
      <c r="BP176" t="s">
        <v>493</v>
      </c>
      <c r="BQ176">
        <v>0.90833333333333299</v>
      </c>
      <c r="BR176" t="s">
        <v>479</v>
      </c>
      <c r="BS176">
        <v>0.89720670391061397</v>
      </c>
      <c r="BT176" t="s">
        <v>486</v>
      </c>
      <c r="BU176">
        <v>0.98972602739726001</v>
      </c>
      <c r="BV176" t="s">
        <v>483</v>
      </c>
      <c r="BW176">
        <v>1.0814132104454599</v>
      </c>
    </row>
    <row r="177" spans="1:75" x14ac:dyDescent="0.4">
      <c r="A177">
        <v>175</v>
      </c>
      <c r="B177" t="s">
        <v>421</v>
      </c>
      <c r="C177">
        <v>1.00731678061652</v>
      </c>
      <c r="D177" t="s">
        <v>435</v>
      </c>
      <c r="E177">
        <v>0.87804878048780399</v>
      </c>
      <c r="F177" t="s">
        <v>482</v>
      </c>
      <c r="G177">
        <v>0.64521739130434697</v>
      </c>
      <c r="H177" t="s">
        <v>425</v>
      </c>
      <c r="I177">
        <v>1.29605263157894</v>
      </c>
      <c r="J177" t="s">
        <v>425</v>
      </c>
      <c r="K177">
        <v>1.0406091370558299</v>
      </c>
      <c r="L177" t="s">
        <v>436</v>
      </c>
      <c r="M177">
        <v>1.1457489878542499</v>
      </c>
      <c r="N177" t="s">
        <v>433</v>
      </c>
      <c r="O177">
        <v>1.1109756097560901</v>
      </c>
      <c r="P177" t="s">
        <v>482</v>
      </c>
      <c r="Q177">
        <v>0.94084507042253496</v>
      </c>
      <c r="R177" t="s">
        <v>482</v>
      </c>
      <c r="S177">
        <v>1.05688622754491</v>
      </c>
      <c r="T177" t="s">
        <v>448</v>
      </c>
      <c r="U177">
        <v>0.92375886524822604</v>
      </c>
      <c r="V177" t="s">
        <v>433</v>
      </c>
      <c r="W177">
        <v>0.973856209150326</v>
      </c>
      <c r="X177" t="s">
        <v>482</v>
      </c>
      <c r="Y177">
        <v>1.45714285714285</v>
      </c>
      <c r="Z177" t="s">
        <v>440</v>
      </c>
      <c r="AA177">
        <v>1.15811965811965</v>
      </c>
      <c r="AB177" t="s">
        <v>452</v>
      </c>
      <c r="AC177">
        <v>0.87316421895861096</v>
      </c>
      <c r="AD177" t="s">
        <v>444</v>
      </c>
      <c r="AE177">
        <v>1.1262022554773601</v>
      </c>
      <c r="AF177" t="s">
        <v>456</v>
      </c>
      <c r="AG177">
        <v>1.07971745711402</v>
      </c>
      <c r="AH177" t="s">
        <v>452</v>
      </c>
      <c r="AI177">
        <v>0.95344506517690797</v>
      </c>
      <c r="AJ177" t="s">
        <v>463</v>
      </c>
      <c r="AK177">
        <v>1.17328519855595</v>
      </c>
      <c r="AL177" t="s">
        <v>467</v>
      </c>
      <c r="AM177">
        <v>1.0295566502463001</v>
      </c>
      <c r="AN177" t="s">
        <v>467</v>
      </c>
      <c r="AO177">
        <v>1.0526315789473599</v>
      </c>
      <c r="AP177" t="s">
        <v>467</v>
      </c>
      <c r="AQ177">
        <v>0.97727272727272696</v>
      </c>
      <c r="AR177" t="s">
        <v>472</v>
      </c>
      <c r="AS177">
        <v>0.97602256699576795</v>
      </c>
      <c r="AT177" t="s">
        <v>483</v>
      </c>
      <c r="AU177">
        <v>1.1153846153846101</v>
      </c>
      <c r="AV177" t="s">
        <v>483</v>
      </c>
      <c r="AW177">
        <v>0.94344827586206803</v>
      </c>
      <c r="AX177" t="s">
        <v>472</v>
      </c>
      <c r="AY177">
        <v>0.91937765205091904</v>
      </c>
      <c r="AZ177" t="s">
        <v>486</v>
      </c>
      <c r="BA177">
        <v>0.904938271604938</v>
      </c>
      <c r="BB177" t="s">
        <v>486</v>
      </c>
      <c r="BC177">
        <v>0.99454297407912595</v>
      </c>
      <c r="BD177" t="s">
        <v>472</v>
      </c>
      <c r="BE177">
        <v>1.0925925925925899</v>
      </c>
      <c r="BF177" t="s">
        <v>477</v>
      </c>
      <c r="BG177">
        <v>0.96410433672790996</v>
      </c>
      <c r="BH177" t="s">
        <v>488</v>
      </c>
      <c r="BI177">
        <v>0.83928571428571397</v>
      </c>
      <c r="BJ177" t="s">
        <v>494</v>
      </c>
      <c r="BK177">
        <v>1.00501253132832</v>
      </c>
      <c r="BL177" t="s">
        <v>486</v>
      </c>
      <c r="BM177">
        <v>1.06372549019607</v>
      </c>
      <c r="BN177" t="s">
        <v>496</v>
      </c>
      <c r="BO177">
        <v>1.1613958560523401</v>
      </c>
      <c r="BP177" t="s">
        <v>491</v>
      </c>
      <c r="BQ177">
        <v>0.88990825688073305</v>
      </c>
      <c r="BR177" t="s">
        <v>484</v>
      </c>
      <c r="BS177">
        <v>1.2163742690058399</v>
      </c>
      <c r="BT177" t="s">
        <v>488</v>
      </c>
      <c r="BU177">
        <v>0.95096582466567603</v>
      </c>
      <c r="BV177" t="s">
        <v>492</v>
      </c>
      <c r="BW177">
        <v>0.98345153664302598</v>
      </c>
    </row>
    <row r="178" spans="1:75" x14ac:dyDescent="0.4">
      <c r="A178">
        <v>176</v>
      </c>
      <c r="B178" t="s">
        <v>349</v>
      </c>
      <c r="C178">
        <v>1.0595794392523299</v>
      </c>
      <c r="D178" t="s">
        <v>423</v>
      </c>
      <c r="E178">
        <v>0.66666666666666596</v>
      </c>
      <c r="F178" t="s">
        <v>453</v>
      </c>
      <c r="G178">
        <v>0.625</v>
      </c>
      <c r="H178" t="s">
        <v>482</v>
      </c>
      <c r="I178">
        <v>1.0215633423180499</v>
      </c>
      <c r="J178" t="s">
        <v>482</v>
      </c>
      <c r="K178">
        <v>1.50395778364116</v>
      </c>
      <c r="L178" t="s">
        <v>440</v>
      </c>
      <c r="M178">
        <v>0.96240601503759304</v>
      </c>
      <c r="N178" t="s">
        <v>436</v>
      </c>
      <c r="O178">
        <v>0.81625441696112999</v>
      </c>
      <c r="P178" t="s">
        <v>453</v>
      </c>
      <c r="Q178">
        <v>1.06407322654462</v>
      </c>
      <c r="R178" t="s">
        <v>453</v>
      </c>
      <c r="S178">
        <v>1.0709677419354799</v>
      </c>
      <c r="T178" t="s">
        <v>469</v>
      </c>
      <c r="U178">
        <v>1.28019323671497</v>
      </c>
      <c r="V178" t="s">
        <v>436</v>
      </c>
      <c r="W178">
        <v>1.00340136054421</v>
      </c>
      <c r="X178" t="s">
        <v>453</v>
      </c>
      <c r="Y178">
        <v>0.91598360655737698</v>
      </c>
      <c r="Z178" t="s">
        <v>448</v>
      </c>
      <c r="AA178">
        <v>0.99650349650349601</v>
      </c>
      <c r="AB178" t="s">
        <v>474</v>
      </c>
      <c r="AC178">
        <v>0.84807676848633395</v>
      </c>
      <c r="AD178" t="s">
        <v>446</v>
      </c>
      <c r="AE178">
        <v>0.75085324232081896</v>
      </c>
      <c r="AF178" t="s">
        <v>468</v>
      </c>
      <c r="AG178">
        <v>1.13863976359094</v>
      </c>
      <c r="AH178" t="s">
        <v>474</v>
      </c>
      <c r="AI178">
        <v>0.57814624969797301</v>
      </c>
      <c r="AJ178" t="s">
        <v>467</v>
      </c>
      <c r="AK178">
        <v>1.11293859649122</v>
      </c>
      <c r="AL178" t="s">
        <v>471</v>
      </c>
      <c r="AM178">
        <v>0.79219512195121899</v>
      </c>
      <c r="AN178" t="s">
        <v>471</v>
      </c>
      <c r="AO178">
        <v>0.98522167487684698</v>
      </c>
      <c r="AP178" t="s">
        <v>471</v>
      </c>
      <c r="AQ178">
        <v>1.0662499999999999</v>
      </c>
      <c r="AR178" t="s">
        <v>485</v>
      </c>
      <c r="AS178">
        <v>0.814569536423841</v>
      </c>
      <c r="AT178" t="s">
        <v>486</v>
      </c>
      <c r="AU178">
        <v>1.04339622641509</v>
      </c>
      <c r="AV178" t="s">
        <v>486</v>
      </c>
      <c r="AW178">
        <v>1.03074141048824</v>
      </c>
      <c r="AX178" t="s">
        <v>485</v>
      </c>
      <c r="AY178">
        <v>2.0847457627118602</v>
      </c>
      <c r="AZ178" t="s">
        <v>495</v>
      </c>
      <c r="BA178">
        <v>1.3007968127489999</v>
      </c>
      <c r="BB178" t="s">
        <v>488</v>
      </c>
      <c r="BC178">
        <v>1.0082191780821901</v>
      </c>
      <c r="BD178" t="s">
        <v>481</v>
      </c>
      <c r="BE178">
        <v>0.890532544378698</v>
      </c>
      <c r="BF178" t="s">
        <v>481</v>
      </c>
      <c r="BG178">
        <v>0.98671096345514897</v>
      </c>
      <c r="BH178" t="s">
        <v>490</v>
      </c>
      <c r="BI178">
        <v>0.99363057324840698</v>
      </c>
      <c r="BJ178" t="s">
        <v>496</v>
      </c>
      <c r="BK178">
        <v>0.96261682242990598</v>
      </c>
      <c r="BL178" t="s">
        <v>488</v>
      </c>
      <c r="BM178">
        <v>0.89561270801815396</v>
      </c>
      <c r="BN178" t="s">
        <v>497</v>
      </c>
      <c r="BO178">
        <v>1.0213740458015199</v>
      </c>
      <c r="BP178" t="s">
        <v>494</v>
      </c>
      <c r="BQ178">
        <v>1.1005154639175201</v>
      </c>
      <c r="BR178" t="s">
        <v>481</v>
      </c>
      <c r="BS178">
        <v>1.09726962457337</v>
      </c>
      <c r="BT178" t="s">
        <v>490</v>
      </c>
      <c r="BU178">
        <v>0.97520661157024702</v>
      </c>
      <c r="BV178" t="s">
        <v>488</v>
      </c>
      <c r="BW178">
        <v>1.0328124999999999</v>
      </c>
    </row>
    <row r="179" spans="1:75" x14ac:dyDescent="0.4">
      <c r="A179">
        <v>177</v>
      </c>
      <c r="B179" t="s">
        <v>423</v>
      </c>
      <c r="C179">
        <v>1.1752374713396601</v>
      </c>
      <c r="D179" t="s">
        <v>431</v>
      </c>
      <c r="E179">
        <v>0.969465648854961</v>
      </c>
      <c r="F179" t="s">
        <v>455</v>
      </c>
      <c r="G179">
        <v>0.49270225187656302</v>
      </c>
      <c r="H179" t="s">
        <v>432</v>
      </c>
      <c r="I179">
        <v>1.0439024390243901</v>
      </c>
      <c r="J179" t="s">
        <v>432</v>
      </c>
      <c r="K179">
        <v>1.20327102803738</v>
      </c>
      <c r="L179" t="s">
        <v>445</v>
      </c>
      <c r="M179">
        <v>0.97047970479704704</v>
      </c>
      <c r="N179" t="s">
        <v>440</v>
      </c>
      <c r="O179">
        <v>0.9296875</v>
      </c>
      <c r="P179" t="s">
        <v>455</v>
      </c>
      <c r="Q179">
        <v>0.89688017669795606</v>
      </c>
      <c r="R179" t="s">
        <v>455</v>
      </c>
      <c r="S179">
        <v>1.1456056641526799</v>
      </c>
      <c r="T179" t="s">
        <v>446</v>
      </c>
      <c r="U179">
        <v>0.87290969899665505</v>
      </c>
      <c r="V179" t="s">
        <v>440</v>
      </c>
      <c r="W179">
        <v>1.25903614457831</v>
      </c>
      <c r="X179" t="s">
        <v>455</v>
      </c>
      <c r="Y179">
        <v>0.95449118617880402</v>
      </c>
      <c r="Z179" t="s">
        <v>457</v>
      </c>
      <c r="AA179">
        <v>0.80861244019138701</v>
      </c>
      <c r="AB179" t="s">
        <v>456</v>
      </c>
      <c r="AC179">
        <v>0.86593059936908501</v>
      </c>
      <c r="AD179" t="s">
        <v>457</v>
      </c>
      <c r="AE179">
        <v>0.95736434108527102</v>
      </c>
      <c r="AF179" t="s">
        <v>463</v>
      </c>
      <c r="AG179">
        <v>1.11379310344827</v>
      </c>
      <c r="AH179" t="s">
        <v>456</v>
      </c>
      <c r="AI179">
        <v>0.96074766355140095</v>
      </c>
      <c r="AJ179" t="s">
        <v>472</v>
      </c>
      <c r="AK179">
        <v>1.3</v>
      </c>
      <c r="AL179" t="s">
        <v>472</v>
      </c>
      <c r="AM179">
        <v>0.87669683257918496</v>
      </c>
      <c r="AN179" t="s">
        <v>472</v>
      </c>
      <c r="AO179">
        <v>1.0258064516129</v>
      </c>
      <c r="AP179" t="s">
        <v>472</v>
      </c>
      <c r="AQ179">
        <v>0.89182389937106898</v>
      </c>
      <c r="AR179" t="s">
        <v>481</v>
      </c>
      <c r="AS179">
        <v>0.91623036649214595</v>
      </c>
      <c r="AT179" t="s">
        <v>495</v>
      </c>
      <c r="AU179">
        <v>0.98646034816247496</v>
      </c>
      <c r="AV179" t="s">
        <v>495</v>
      </c>
      <c r="AW179">
        <v>0.82352941176470495</v>
      </c>
      <c r="AX179" t="s">
        <v>481</v>
      </c>
      <c r="AY179">
        <v>0.888489208633093</v>
      </c>
      <c r="AZ179" t="s">
        <v>488</v>
      </c>
      <c r="BA179">
        <v>1.2146422628951701</v>
      </c>
      <c r="BB179" t="s">
        <v>493</v>
      </c>
      <c r="BC179">
        <v>1.0491803278688501</v>
      </c>
      <c r="BD179" t="s">
        <v>486</v>
      </c>
      <c r="BE179">
        <v>1.1796982167352501</v>
      </c>
      <c r="BF179" t="s">
        <v>483</v>
      </c>
      <c r="BG179">
        <v>1.05633802816901</v>
      </c>
      <c r="BH179" t="s">
        <v>493</v>
      </c>
      <c r="BI179">
        <v>1.04975922953451</v>
      </c>
      <c r="BJ179" t="s">
        <v>497</v>
      </c>
      <c r="BK179">
        <v>0.94763729246487804</v>
      </c>
      <c r="BL179" t="s">
        <v>490</v>
      </c>
      <c r="BM179">
        <v>0.86060606060606004</v>
      </c>
      <c r="BN179" t="s">
        <v>498</v>
      </c>
      <c r="BO179">
        <v>1.0278372591006399</v>
      </c>
      <c r="BP179" t="s">
        <v>496</v>
      </c>
      <c r="BQ179">
        <v>1.5633802816901401</v>
      </c>
      <c r="BR179" t="s">
        <v>483</v>
      </c>
      <c r="BS179">
        <v>1.17460317460317</v>
      </c>
      <c r="BT179" t="s">
        <v>493</v>
      </c>
      <c r="BU179">
        <v>0.95475113122171895</v>
      </c>
      <c r="BV179" t="s">
        <v>493</v>
      </c>
      <c r="BW179">
        <v>1.4170616113743999</v>
      </c>
    </row>
    <row r="180" spans="1:75" x14ac:dyDescent="0.4">
      <c r="A180">
        <v>178</v>
      </c>
      <c r="B180" t="s">
        <v>431</v>
      </c>
      <c r="C180">
        <v>0.94244604316546698</v>
      </c>
      <c r="D180" t="s">
        <v>451</v>
      </c>
      <c r="E180">
        <v>0.50885558583106205</v>
      </c>
      <c r="F180" t="s">
        <v>433</v>
      </c>
      <c r="G180">
        <v>0.61182986727975697</v>
      </c>
      <c r="H180" t="s">
        <v>437</v>
      </c>
      <c r="I180">
        <v>1.21582282177061</v>
      </c>
      <c r="J180" t="s">
        <v>437</v>
      </c>
      <c r="K180">
        <v>1.83719785300015</v>
      </c>
      <c r="L180" t="s">
        <v>448</v>
      </c>
      <c r="M180">
        <v>1.36723163841807</v>
      </c>
      <c r="N180" t="s">
        <v>445</v>
      </c>
      <c r="O180">
        <v>0.930291508238276</v>
      </c>
      <c r="P180" t="s">
        <v>433</v>
      </c>
      <c r="Q180">
        <v>0.90998902305159102</v>
      </c>
      <c r="R180" t="s">
        <v>433</v>
      </c>
      <c r="S180">
        <v>1.0470446320868501</v>
      </c>
      <c r="T180" t="s">
        <v>457</v>
      </c>
      <c r="U180">
        <v>0.99841269841269797</v>
      </c>
      <c r="V180" t="s">
        <v>448</v>
      </c>
      <c r="W180">
        <v>1.24184261036468</v>
      </c>
      <c r="X180" t="s">
        <v>433</v>
      </c>
      <c r="Y180">
        <v>1.0536912751677801</v>
      </c>
      <c r="Z180" t="s">
        <v>474</v>
      </c>
      <c r="AA180">
        <v>0.97196297648187902</v>
      </c>
      <c r="AB180" t="s">
        <v>478</v>
      </c>
      <c r="AC180">
        <v>0.88888888888888795</v>
      </c>
      <c r="AD180" t="s">
        <v>452</v>
      </c>
      <c r="AE180">
        <v>0.932721712538226</v>
      </c>
      <c r="AF180" t="s">
        <v>478</v>
      </c>
      <c r="AG180">
        <v>0.95724465558194705</v>
      </c>
      <c r="AH180" t="s">
        <v>468</v>
      </c>
      <c r="AI180">
        <v>0.56735486376286304</v>
      </c>
      <c r="AJ180" t="s">
        <v>485</v>
      </c>
      <c r="AK180">
        <v>0.98850574712643602</v>
      </c>
      <c r="AL180" t="s">
        <v>485</v>
      </c>
      <c r="AM180">
        <v>1.53488372093023</v>
      </c>
      <c r="AN180" t="s">
        <v>485</v>
      </c>
      <c r="AO180">
        <v>1.1060606060606</v>
      </c>
      <c r="AP180" t="s">
        <v>485</v>
      </c>
      <c r="AQ180">
        <v>1.2410958904109499</v>
      </c>
      <c r="AR180" t="s">
        <v>483</v>
      </c>
      <c r="AS180">
        <v>0.92989985693848298</v>
      </c>
      <c r="AT180" t="s">
        <v>488</v>
      </c>
      <c r="AU180">
        <v>0.92647058823529405</v>
      </c>
      <c r="AV180" t="s">
        <v>488</v>
      </c>
      <c r="AW180">
        <v>1.0116402116402099</v>
      </c>
      <c r="AX180" t="s">
        <v>483</v>
      </c>
      <c r="AY180">
        <v>0.94736842105263097</v>
      </c>
      <c r="AZ180" t="s">
        <v>493</v>
      </c>
      <c r="BA180">
        <v>1.1172161172161099</v>
      </c>
      <c r="BB180" t="s">
        <v>545</v>
      </c>
      <c r="BC180">
        <v>1.2282527881040799</v>
      </c>
      <c r="BD180" t="s">
        <v>495</v>
      </c>
      <c r="BE180">
        <v>0.75929203539822998</v>
      </c>
      <c r="BF180" t="s">
        <v>486</v>
      </c>
      <c r="BG180">
        <v>1.2674418604651101</v>
      </c>
      <c r="BH180" t="s">
        <v>491</v>
      </c>
      <c r="BI180">
        <v>0.88800000000000001</v>
      </c>
      <c r="BJ180" t="s">
        <v>498</v>
      </c>
      <c r="BK180">
        <v>1.4259681093394001</v>
      </c>
      <c r="BL180" t="s">
        <v>493</v>
      </c>
      <c r="BM180">
        <v>0.86379310344827498</v>
      </c>
      <c r="BN180" t="s">
        <v>505</v>
      </c>
      <c r="BO180">
        <v>1.02177293934681</v>
      </c>
      <c r="BP180" t="s">
        <v>498</v>
      </c>
      <c r="BQ180">
        <v>0.74791666666666601</v>
      </c>
      <c r="BR180" t="s">
        <v>492</v>
      </c>
      <c r="BS180">
        <v>0.88228941684665196</v>
      </c>
      <c r="BT180" t="s">
        <v>494</v>
      </c>
      <c r="BU180">
        <v>0.95763993948562698</v>
      </c>
      <c r="BV180" t="s">
        <v>491</v>
      </c>
      <c r="BW180">
        <v>1.09385113268608</v>
      </c>
    </row>
    <row r="181" spans="1:75" x14ac:dyDescent="0.4">
      <c r="A181">
        <v>179</v>
      </c>
      <c r="B181" t="s">
        <v>451</v>
      </c>
      <c r="C181">
        <v>0.97997329773030695</v>
      </c>
      <c r="D181" t="s">
        <v>482</v>
      </c>
      <c r="E181">
        <v>0.78337874659400497</v>
      </c>
      <c r="F181" t="s">
        <v>436</v>
      </c>
      <c r="G181">
        <v>0.64573991031390099</v>
      </c>
      <c r="H181" t="s">
        <v>455</v>
      </c>
      <c r="I181">
        <v>0.88066017774016003</v>
      </c>
      <c r="J181" t="s">
        <v>455</v>
      </c>
      <c r="K181">
        <v>1.7624539484222299</v>
      </c>
      <c r="L181" t="s">
        <v>469</v>
      </c>
      <c r="M181">
        <v>0.84857142857142798</v>
      </c>
      <c r="N181" t="s">
        <v>448</v>
      </c>
      <c r="O181">
        <v>1.0041322314049499</v>
      </c>
      <c r="P181" t="s">
        <v>436</v>
      </c>
      <c r="Q181">
        <v>1.0324675324675301</v>
      </c>
      <c r="R181" t="s">
        <v>436</v>
      </c>
      <c r="S181">
        <v>1.0314465408805</v>
      </c>
      <c r="T181" t="s">
        <v>474</v>
      </c>
      <c r="U181">
        <v>0.98058217730143304</v>
      </c>
      <c r="V181" t="s">
        <v>469</v>
      </c>
      <c r="W181">
        <v>1.71698113207547</v>
      </c>
      <c r="X181" t="s">
        <v>436</v>
      </c>
      <c r="Y181">
        <v>0.86610169491525402</v>
      </c>
      <c r="Z181" t="s">
        <v>456</v>
      </c>
      <c r="AA181">
        <v>1.19172932330827</v>
      </c>
      <c r="AB181" t="s">
        <v>466</v>
      </c>
      <c r="AC181">
        <v>0.88235294117647001</v>
      </c>
      <c r="AD181" t="s">
        <v>474</v>
      </c>
      <c r="AE181">
        <v>0.672335762912325</v>
      </c>
      <c r="AF181" t="s">
        <v>466</v>
      </c>
      <c r="AG181">
        <v>0.88541666666666596</v>
      </c>
      <c r="AH181" t="s">
        <v>463</v>
      </c>
      <c r="AI181">
        <v>0.85758513931888503</v>
      </c>
      <c r="AJ181" t="s">
        <v>481</v>
      </c>
      <c r="AK181">
        <v>0.91129032258064502</v>
      </c>
      <c r="AL181" t="s">
        <v>481</v>
      </c>
      <c r="AM181">
        <v>0.99115044247787598</v>
      </c>
      <c r="AN181" t="s">
        <v>481</v>
      </c>
      <c r="AO181">
        <v>1.2023809523809501</v>
      </c>
      <c r="AP181" t="s">
        <v>481</v>
      </c>
      <c r="AQ181">
        <v>0.94554455445544505</v>
      </c>
      <c r="AR181" t="s">
        <v>486</v>
      </c>
      <c r="AS181">
        <v>1.00378787878787</v>
      </c>
      <c r="AT181" t="s">
        <v>493</v>
      </c>
      <c r="AU181">
        <v>1.32882011605415</v>
      </c>
      <c r="AV181" t="s">
        <v>545</v>
      </c>
      <c r="AW181">
        <v>1.0492332526230801</v>
      </c>
      <c r="AX181" t="s">
        <v>486</v>
      </c>
      <c r="AY181">
        <v>1.42105263157894</v>
      </c>
      <c r="AZ181" t="s">
        <v>491</v>
      </c>
      <c r="BA181">
        <v>0.88356807511737001</v>
      </c>
      <c r="BB181" t="s">
        <v>491</v>
      </c>
      <c r="BC181">
        <v>0.91073326248671604</v>
      </c>
      <c r="BD181" t="s">
        <v>488</v>
      </c>
      <c r="BE181">
        <v>0.95244565217391297</v>
      </c>
      <c r="BF181" t="s">
        <v>488</v>
      </c>
      <c r="BG181">
        <v>1.1982881597717501</v>
      </c>
      <c r="BH181" t="s">
        <v>494</v>
      </c>
      <c r="BI181">
        <v>0.72282608695652095</v>
      </c>
      <c r="BJ181" t="s">
        <v>499</v>
      </c>
      <c r="BK181">
        <v>1.0651731160896101</v>
      </c>
      <c r="BL181" t="s">
        <v>491</v>
      </c>
      <c r="BM181">
        <v>1.1372549019607801</v>
      </c>
      <c r="BN181" t="s">
        <v>499</v>
      </c>
      <c r="BO181">
        <v>1.0679785330948099</v>
      </c>
      <c r="BP181" t="s">
        <v>499</v>
      </c>
      <c r="BQ181">
        <v>1.0502512562813999</v>
      </c>
      <c r="BR181" t="s">
        <v>486</v>
      </c>
      <c r="BS181">
        <v>0.91155046826222597</v>
      </c>
      <c r="BT181" t="s">
        <v>497</v>
      </c>
      <c r="BU181">
        <v>0.993930197268588</v>
      </c>
      <c r="BV181" t="s">
        <v>494</v>
      </c>
      <c r="BW181">
        <v>1.3412322274881501</v>
      </c>
    </row>
    <row r="182" spans="1:75" x14ac:dyDescent="0.4">
      <c r="A182">
        <v>180</v>
      </c>
      <c r="B182" t="s">
        <v>482</v>
      </c>
      <c r="C182">
        <v>0.88115246098439304</v>
      </c>
      <c r="D182" t="s">
        <v>453</v>
      </c>
      <c r="E182">
        <v>0.86792452830188604</v>
      </c>
      <c r="F182" t="s">
        <v>440</v>
      </c>
      <c r="G182">
        <v>0.53043385977945201</v>
      </c>
      <c r="H182" t="s">
        <v>433</v>
      </c>
      <c r="I182">
        <v>0.79595531718648505</v>
      </c>
      <c r="J182" t="s">
        <v>433</v>
      </c>
      <c r="K182">
        <v>1.34978540772532</v>
      </c>
      <c r="L182" t="s">
        <v>458</v>
      </c>
      <c r="M182">
        <v>1.15598548972188</v>
      </c>
      <c r="N182" t="s">
        <v>469</v>
      </c>
      <c r="O182">
        <v>0.77441077441077399</v>
      </c>
      <c r="P182" t="s">
        <v>440</v>
      </c>
      <c r="Q182">
        <v>0.98151260504201598</v>
      </c>
      <c r="R182" t="s">
        <v>440</v>
      </c>
      <c r="S182">
        <v>1.02910958904109</v>
      </c>
      <c r="T182" t="s">
        <v>456</v>
      </c>
      <c r="U182">
        <v>0.92966360856269104</v>
      </c>
      <c r="V182" t="s">
        <v>446</v>
      </c>
      <c r="W182">
        <v>0.99233716475095701</v>
      </c>
      <c r="X182" t="s">
        <v>440</v>
      </c>
      <c r="Y182">
        <v>1.11961722488038</v>
      </c>
      <c r="Z182" t="s">
        <v>468</v>
      </c>
      <c r="AA182">
        <v>1.0812381914209901</v>
      </c>
      <c r="AB182" t="s">
        <v>467</v>
      </c>
      <c r="AC182">
        <v>1.07883817427385</v>
      </c>
      <c r="AD182" t="s">
        <v>456</v>
      </c>
      <c r="AE182">
        <v>0.90255009107468098</v>
      </c>
      <c r="AF182" t="s">
        <v>472</v>
      </c>
      <c r="AG182">
        <v>2.0744680851063801</v>
      </c>
      <c r="AH182" t="s">
        <v>478</v>
      </c>
      <c r="AI182">
        <v>0.705955334987593</v>
      </c>
      <c r="AJ182" t="s">
        <v>483</v>
      </c>
      <c r="AK182">
        <v>1.1658456486042601</v>
      </c>
      <c r="AL182" t="s">
        <v>495</v>
      </c>
      <c r="AM182">
        <v>0.89017857142857104</v>
      </c>
      <c r="AN182" t="s">
        <v>495</v>
      </c>
      <c r="AO182">
        <v>0.82848545636910698</v>
      </c>
      <c r="AP182" t="s">
        <v>483</v>
      </c>
      <c r="AQ182">
        <v>0.96546961325966796</v>
      </c>
      <c r="AR182" t="s">
        <v>495</v>
      </c>
      <c r="AS182">
        <v>1.0444444444444401</v>
      </c>
      <c r="AT182" t="s">
        <v>545</v>
      </c>
      <c r="AU182">
        <v>1.00307642487046</v>
      </c>
      <c r="AV182" t="s">
        <v>491</v>
      </c>
      <c r="AW182">
        <v>0.92708333333333304</v>
      </c>
      <c r="AX182" t="s">
        <v>488</v>
      </c>
      <c r="AY182">
        <v>1.2573221757322099</v>
      </c>
      <c r="AZ182" t="s">
        <v>494</v>
      </c>
      <c r="BA182">
        <v>0.60763209393346296</v>
      </c>
      <c r="BB182" t="s">
        <v>494</v>
      </c>
      <c r="BC182">
        <v>0.75845410628019305</v>
      </c>
      <c r="BD182" t="s">
        <v>491</v>
      </c>
      <c r="BE182">
        <v>1.20770128354725</v>
      </c>
      <c r="BF182" t="s">
        <v>491</v>
      </c>
      <c r="BG182">
        <v>1.0869565217391299</v>
      </c>
      <c r="BH182" t="s">
        <v>496</v>
      </c>
      <c r="BI182">
        <v>0.77818181818181797</v>
      </c>
      <c r="BJ182" t="s">
        <v>501</v>
      </c>
      <c r="BK182">
        <v>0.93272727272727196</v>
      </c>
      <c r="BL182" t="s">
        <v>494</v>
      </c>
      <c r="BM182">
        <v>0.80174563591022396</v>
      </c>
      <c r="BN182" t="s">
        <v>501</v>
      </c>
      <c r="BO182">
        <v>1.00513874614594</v>
      </c>
      <c r="BP182" t="s">
        <v>501</v>
      </c>
      <c r="BQ182">
        <v>1.0879345603271899</v>
      </c>
      <c r="BR182" t="s">
        <v>488</v>
      </c>
      <c r="BS182">
        <v>1.0499219968798701</v>
      </c>
      <c r="BT182" t="s">
        <v>498</v>
      </c>
      <c r="BU182">
        <v>1.0916666666666599</v>
      </c>
      <c r="BV182" t="s">
        <v>496</v>
      </c>
      <c r="BW182">
        <v>1.0128205128205101</v>
      </c>
    </row>
    <row r="183" spans="1:75" x14ac:dyDescent="0.4">
      <c r="A183">
        <v>181</v>
      </c>
      <c r="B183" t="s">
        <v>453</v>
      </c>
      <c r="C183">
        <v>0.81070745697896696</v>
      </c>
      <c r="D183" t="s">
        <v>455</v>
      </c>
      <c r="E183">
        <v>0.74676908704001599</v>
      </c>
      <c r="F183" t="s">
        <v>445</v>
      </c>
      <c r="G183">
        <v>0.58560000000000001</v>
      </c>
      <c r="H183" t="s">
        <v>440</v>
      </c>
      <c r="I183">
        <v>1.0245907602764599</v>
      </c>
      <c r="J183" t="s">
        <v>440</v>
      </c>
      <c r="K183">
        <v>1.18050131364055</v>
      </c>
      <c r="L183" t="s">
        <v>457</v>
      </c>
      <c r="M183">
        <v>1.1187499999999999</v>
      </c>
      <c r="N183" t="s">
        <v>457</v>
      </c>
      <c r="O183">
        <v>0.85474860335195502</v>
      </c>
      <c r="P183" t="s">
        <v>445</v>
      </c>
      <c r="Q183">
        <v>1.0871934604904601</v>
      </c>
      <c r="R183" t="s">
        <v>445</v>
      </c>
      <c r="S183">
        <v>1.16791979949874</v>
      </c>
      <c r="T183" t="s">
        <v>468</v>
      </c>
      <c r="U183">
        <v>1.4790561706635901</v>
      </c>
      <c r="V183" t="s">
        <v>457</v>
      </c>
      <c r="W183">
        <v>1.0985691573926799</v>
      </c>
      <c r="X183" t="s">
        <v>448</v>
      </c>
      <c r="Y183">
        <v>0.884080370942813</v>
      </c>
      <c r="Z183" t="s">
        <v>478</v>
      </c>
      <c r="AA183">
        <v>1.15657311669128</v>
      </c>
      <c r="AB183" t="s">
        <v>472</v>
      </c>
      <c r="AC183">
        <v>0.86746987951807197</v>
      </c>
      <c r="AD183" t="s">
        <v>468</v>
      </c>
      <c r="AE183">
        <v>0.85822797619423996</v>
      </c>
      <c r="AF183" t="s">
        <v>485</v>
      </c>
      <c r="AG183">
        <v>1.1335978835978799</v>
      </c>
      <c r="AH183" t="s">
        <v>485</v>
      </c>
      <c r="AI183">
        <v>1.0151691948658099</v>
      </c>
      <c r="AJ183" t="s">
        <v>488</v>
      </c>
      <c r="AK183">
        <v>0.97297297297297303</v>
      </c>
      <c r="AL183" t="s">
        <v>488</v>
      </c>
      <c r="AM183">
        <v>0.92592592592592504</v>
      </c>
      <c r="AN183" t="s">
        <v>488</v>
      </c>
      <c r="AO183">
        <v>1.0024999999999999</v>
      </c>
      <c r="AP183" t="s">
        <v>486</v>
      </c>
      <c r="AQ183">
        <v>0.92469352014010497</v>
      </c>
      <c r="AR183" t="s">
        <v>488</v>
      </c>
      <c r="AS183">
        <v>1.0625</v>
      </c>
      <c r="AT183" t="s">
        <v>491</v>
      </c>
      <c r="AU183">
        <v>1.02857142857142</v>
      </c>
      <c r="AV183" t="s">
        <v>494</v>
      </c>
      <c r="AW183">
        <v>1.0962601326455399</v>
      </c>
      <c r="AX183" t="s">
        <v>493</v>
      </c>
      <c r="AY183">
        <v>0.98378378378378295</v>
      </c>
      <c r="AZ183" t="s">
        <v>496</v>
      </c>
      <c r="BA183">
        <v>1.0055432372505499</v>
      </c>
      <c r="BB183" t="s">
        <v>496</v>
      </c>
      <c r="BC183">
        <v>0.84895259095920605</v>
      </c>
      <c r="BD183" t="s">
        <v>494</v>
      </c>
      <c r="BE183">
        <v>1.0074309978768501</v>
      </c>
      <c r="BF183" t="s">
        <v>494</v>
      </c>
      <c r="BG183">
        <v>1.1633298208640599</v>
      </c>
      <c r="BH183" t="s">
        <v>498</v>
      </c>
      <c r="BI183">
        <v>0.89591836734693797</v>
      </c>
      <c r="BJ183" t="s">
        <v>502</v>
      </c>
      <c r="BK183">
        <v>0.90984455958549204</v>
      </c>
      <c r="BL183" t="s">
        <v>496</v>
      </c>
      <c r="BM183">
        <v>1.1128640776698999</v>
      </c>
      <c r="BN183" t="s">
        <v>502</v>
      </c>
      <c r="BO183">
        <v>1.11866666666666</v>
      </c>
      <c r="BP183" t="s">
        <v>502</v>
      </c>
      <c r="BQ183">
        <v>1.06674612634088</v>
      </c>
      <c r="BR183" t="s">
        <v>493</v>
      </c>
      <c r="BS183">
        <v>1.0137614678899001</v>
      </c>
      <c r="BT183" t="s">
        <v>500</v>
      </c>
      <c r="BU183">
        <v>1.0209523809523799</v>
      </c>
      <c r="BV183" t="s">
        <v>497</v>
      </c>
      <c r="BW183">
        <v>1.0366412213740399</v>
      </c>
    </row>
    <row r="184" spans="1:75" x14ac:dyDescent="0.4">
      <c r="A184">
        <v>182</v>
      </c>
      <c r="B184" t="s">
        <v>437</v>
      </c>
      <c r="C184">
        <v>1.2237583075440099</v>
      </c>
      <c r="D184" t="s">
        <v>433</v>
      </c>
      <c r="E184">
        <v>0.96795403508061995</v>
      </c>
      <c r="F184" t="s">
        <v>448</v>
      </c>
      <c r="G184">
        <v>0.305084745762711</v>
      </c>
      <c r="H184" t="s">
        <v>445</v>
      </c>
      <c r="I184">
        <v>1.29508196721311</v>
      </c>
      <c r="J184" t="s">
        <v>445</v>
      </c>
      <c r="K184">
        <v>1.71518987341772</v>
      </c>
      <c r="L184" t="s">
        <v>456</v>
      </c>
      <c r="M184">
        <v>1.0077519379844899</v>
      </c>
      <c r="N184" t="s">
        <v>456</v>
      </c>
      <c r="O184">
        <v>1.10615384615384</v>
      </c>
      <c r="P184" t="s">
        <v>448</v>
      </c>
      <c r="Q184">
        <v>1.0843621399176899</v>
      </c>
      <c r="R184" t="s">
        <v>448</v>
      </c>
      <c r="S184">
        <v>1.07020872865275</v>
      </c>
      <c r="T184" t="s">
        <v>463</v>
      </c>
      <c r="U184">
        <v>1.3743016759776501</v>
      </c>
      <c r="V184" t="s">
        <v>474</v>
      </c>
      <c r="W184">
        <v>1.1831684116307299</v>
      </c>
      <c r="X184" t="s">
        <v>446</v>
      </c>
      <c r="Y184">
        <v>0.909266409266409</v>
      </c>
      <c r="Z184" t="s">
        <v>466</v>
      </c>
      <c r="AA184">
        <v>0.88650306748466201</v>
      </c>
      <c r="AB184" t="s">
        <v>485</v>
      </c>
      <c r="AC184">
        <v>1.16973125884016</v>
      </c>
      <c r="AD184" t="s">
        <v>478</v>
      </c>
      <c r="AE184">
        <v>1.20977011494252</v>
      </c>
      <c r="AF184" t="s">
        <v>489</v>
      </c>
      <c r="AG184">
        <v>1.3249221183800599</v>
      </c>
      <c r="AH184" t="s">
        <v>481</v>
      </c>
      <c r="AI184">
        <v>0.94296577946768001</v>
      </c>
      <c r="AJ184" t="s">
        <v>490</v>
      </c>
      <c r="AK184">
        <v>1.0270551508844901</v>
      </c>
      <c r="AL184" t="s">
        <v>490</v>
      </c>
      <c r="AM184">
        <v>1.2644376899695999</v>
      </c>
      <c r="AN184" t="s">
        <v>490</v>
      </c>
      <c r="AO184">
        <v>1.1346153846153799</v>
      </c>
      <c r="AP184" t="s">
        <v>488</v>
      </c>
      <c r="AQ184">
        <v>1.1970074812967499</v>
      </c>
      <c r="AR184" t="s">
        <v>491</v>
      </c>
      <c r="AS184">
        <v>0.93645484949832702</v>
      </c>
      <c r="AT184" t="s">
        <v>494</v>
      </c>
      <c r="AU184">
        <v>0.97951818099792398</v>
      </c>
      <c r="AV184" t="s">
        <v>497</v>
      </c>
      <c r="AW184">
        <v>1.26168224299065</v>
      </c>
      <c r="AX184" t="s">
        <v>491</v>
      </c>
      <c r="AY184">
        <v>0.797752808988764</v>
      </c>
      <c r="AZ184" t="s">
        <v>497</v>
      </c>
      <c r="BA184">
        <v>1.0753846153846101</v>
      </c>
      <c r="BB184" t="s">
        <v>497</v>
      </c>
      <c r="BC184">
        <v>1.2904148783977101</v>
      </c>
      <c r="BD184" t="s">
        <v>496</v>
      </c>
      <c r="BE184">
        <v>1.0883116883116799</v>
      </c>
      <c r="BF184" t="s">
        <v>496</v>
      </c>
      <c r="BG184">
        <v>1.3126491646778</v>
      </c>
      <c r="BH184" t="s">
        <v>499</v>
      </c>
      <c r="BI184">
        <v>0.78559999999999997</v>
      </c>
      <c r="BJ184" t="s">
        <v>503</v>
      </c>
      <c r="BK184">
        <v>0.98463687150837897</v>
      </c>
      <c r="BL184" t="s">
        <v>497</v>
      </c>
      <c r="BM184">
        <v>0.88274932614555202</v>
      </c>
      <c r="BN184" t="s">
        <v>503</v>
      </c>
      <c r="BO184">
        <v>1.1481481481481399</v>
      </c>
      <c r="BP184" t="s">
        <v>503</v>
      </c>
      <c r="BQ184">
        <v>1.1407624633430999</v>
      </c>
      <c r="BR184" t="s">
        <v>491</v>
      </c>
      <c r="BS184">
        <v>1.04810996563573</v>
      </c>
      <c r="BT184" t="s">
        <v>501</v>
      </c>
      <c r="BU184">
        <v>0.97239915074309902</v>
      </c>
      <c r="BV184" t="s">
        <v>500</v>
      </c>
      <c r="BW184">
        <v>1.1455223880597001</v>
      </c>
    </row>
    <row r="185" spans="1:75" x14ac:dyDescent="0.4">
      <c r="A185">
        <v>183</v>
      </c>
      <c r="B185" t="s">
        <v>455</v>
      </c>
      <c r="C185">
        <v>1.13488837839429</v>
      </c>
      <c r="D185" t="s">
        <v>436</v>
      </c>
      <c r="E185">
        <v>0.70015698587127095</v>
      </c>
      <c r="F185" t="s">
        <v>457</v>
      </c>
      <c r="G185">
        <v>0.69444444444444398</v>
      </c>
      <c r="H185" t="s">
        <v>448</v>
      </c>
      <c r="I185">
        <v>0.99666666666666603</v>
      </c>
      <c r="J185" t="s">
        <v>448</v>
      </c>
      <c r="K185">
        <v>1.97324414715719</v>
      </c>
      <c r="L185" t="s">
        <v>459</v>
      </c>
      <c r="M185">
        <v>1.1071428571428501</v>
      </c>
      <c r="N185" t="s">
        <v>468</v>
      </c>
      <c r="O185">
        <v>0.64864935051444605</v>
      </c>
      <c r="P185" t="s">
        <v>469</v>
      </c>
      <c r="Q185">
        <v>1.0391304347826</v>
      </c>
      <c r="R185" t="s">
        <v>469</v>
      </c>
      <c r="S185">
        <v>0.86610878661087798</v>
      </c>
      <c r="T185" t="s">
        <v>478</v>
      </c>
      <c r="U185">
        <v>0.97566909975669103</v>
      </c>
      <c r="V185" t="s">
        <v>456</v>
      </c>
      <c r="W185">
        <v>0.94901315789473595</v>
      </c>
      <c r="X185" t="s">
        <v>457</v>
      </c>
      <c r="Y185">
        <v>1.2098408104196801</v>
      </c>
      <c r="Z185" t="s">
        <v>472</v>
      </c>
      <c r="AA185">
        <v>0.86729362591431503</v>
      </c>
      <c r="AB185" t="s">
        <v>481</v>
      </c>
      <c r="AC185">
        <v>0.92894056847545203</v>
      </c>
      <c r="AD185" t="s">
        <v>472</v>
      </c>
      <c r="AE185">
        <v>0.91388888888888797</v>
      </c>
      <c r="AF185" t="s">
        <v>481</v>
      </c>
      <c r="AG185">
        <v>0.99873417721518898</v>
      </c>
      <c r="AH185" t="s">
        <v>495</v>
      </c>
      <c r="AI185">
        <v>0.90243902439024304</v>
      </c>
      <c r="AJ185" t="s">
        <v>491</v>
      </c>
      <c r="AK185">
        <v>1.16785714285714</v>
      </c>
      <c r="AL185" t="s">
        <v>491</v>
      </c>
      <c r="AM185">
        <v>1.0122324159021401</v>
      </c>
      <c r="AN185" t="s">
        <v>493</v>
      </c>
      <c r="AO185">
        <v>0.98671096345514897</v>
      </c>
      <c r="AP185" t="s">
        <v>493</v>
      </c>
      <c r="AQ185">
        <v>1.0521885521885499</v>
      </c>
      <c r="AR185" t="s">
        <v>494</v>
      </c>
      <c r="AS185">
        <v>1.2800877800877799</v>
      </c>
      <c r="AT185" t="s">
        <v>497</v>
      </c>
      <c r="AU185">
        <v>1.1322751322751301</v>
      </c>
      <c r="AV185" t="s">
        <v>498</v>
      </c>
      <c r="AW185">
        <v>0.97109826589595305</v>
      </c>
      <c r="AX185" t="s">
        <v>494</v>
      </c>
      <c r="AY185">
        <v>0.85875136543147601</v>
      </c>
      <c r="AZ185" t="s">
        <v>498</v>
      </c>
      <c r="BA185">
        <v>1.0303030303030301</v>
      </c>
      <c r="BB185" t="s">
        <v>498</v>
      </c>
      <c r="BC185">
        <v>0.92352941176470504</v>
      </c>
      <c r="BD185" t="s">
        <v>497</v>
      </c>
      <c r="BE185">
        <v>0.89800443458979995</v>
      </c>
      <c r="BF185" t="s">
        <v>497</v>
      </c>
      <c r="BG185">
        <v>1.12839506172839</v>
      </c>
      <c r="BH185" t="s">
        <v>501</v>
      </c>
      <c r="BI185">
        <v>0.77138849929873698</v>
      </c>
      <c r="BJ185" t="s">
        <v>546</v>
      </c>
      <c r="BK185">
        <v>1.0062370062370001</v>
      </c>
      <c r="BL185" t="s">
        <v>498</v>
      </c>
      <c r="BM185">
        <v>0.74600638977635703</v>
      </c>
      <c r="BN185" t="s">
        <v>504</v>
      </c>
      <c r="BO185">
        <v>1.2971525310834799</v>
      </c>
      <c r="BP185" t="s">
        <v>506</v>
      </c>
      <c r="BQ185">
        <v>1.0128617363343999</v>
      </c>
      <c r="BR185" t="s">
        <v>494</v>
      </c>
      <c r="BS185">
        <v>0.77400468384074905</v>
      </c>
      <c r="BT185" t="s">
        <v>502</v>
      </c>
      <c r="BU185">
        <v>1.0329218106995799</v>
      </c>
      <c r="BV185" t="s">
        <v>505</v>
      </c>
      <c r="BW185">
        <v>0.94462540716612298</v>
      </c>
    </row>
    <row r="186" spans="1:75" x14ac:dyDescent="0.4">
      <c r="A186">
        <v>184</v>
      </c>
      <c r="B186" t="s">
        <v>433</v>
      </c>
      <c r="C186">
        <v>1</v>
      </c>
      <c r="D186" t="s">
        <v>440</v>
      </c>
      <c r="E186">
        <v>0.97046046102278805</v>
      </c>
      <c r="F186" t="s">
        <v>456</v>
      </c>
      <c r="G186">
        <v>0.77841726618704998</v>
      </c>
      <c r="H186" t="s">
        <v>444</v>
      </c>
      <c r="I186">
        <v>0.91210438500443103</v>
      </c>
      <c r="J186" t="s">
        <v>469</v>
      </c>
      <c r="K186">
        <v>1.4583333333333299</v>
      </c>
      <c r="L186" t="s">
        <v>468</v>
      </c>
      <c r="M186">
        <v>0.85892665952890701</v>
      </c>
      <c r="N186" t="s">
        <v>463</v>
      </c>
      <c r="O186">
        <v>0.96060606060606002</v>
      </c>
      <c r="P186" t="s">
        <v>457</v>
      </c>
      <c r="Q186">
        <v>0.99019607843137203</v>
      </c>
      <c r="R186" t="s">
        <v>457</v>
      </c>
      <c r="S186">
        <v>1.0396039603960301</v>
      </c>
      <c r="T186" t="s">
        <v>472</v>
      </c>
      <c r="U186">
        <v>0.939325842696629</v>
      </c>
      <c r="V186" t="s">
        <v>463</v>
      </c>
      <c r="W186">
        <v>1.2784552845528401</v>
      </c>
      <c r="X186" t="s">
        <v>474</v>
      </c>
      <c r="Y186">
        <v>0.89539728856707101</v>
      </c>
      <c r="Z186" t="s">
        <v>485</v>
      </c>
      <c r="AA186">
        <v>1.2535460992907801</v>
      </c>
      <c r="AB186" t="s">
        <v>488</v>
      </c>
      <c r="AC186">
        <v>0.97378277153558002</v>
      </c>
      <c r="AD186" t="s">
        <v>485</v>
      </c>
      <c r="AE186">
        <v>0.91414752116082199</v>
      </c>
      <c r="AF186" t="s">
        <v>488</v>
      </c>
      <c r="AG186">
        <v>1.0281690140844999</v>
      </c>
      <c r="AH186" t="s">
        <v>488</v>
      </c>
      <c r="AI186">
        <v>1.0136986301369799</v>
      </c>
      <c r="AJ186" t="s">
        <v>494</v>
      </c>
      <c r="AK186">
        <v>0.79021253235040301</v>
      </c>
      <c r="AL186" t="s">
        <v>494</v>
      </c>
      <c r="AM186">
        <v>1.0414847161572001</v>
      </c>
      <c r="AN186" t="s">
        <v>545</v>
      </c>
      <c r="AO186">
        <v>1.4734346902076101</v>
      </c>
      <c r="AP186" t="s">
        <v>494</v>
      </c>
      <c r="AQ186">
        <v>1.0554675118858901</v>
      </c>
      <c r="AR186" t="s">
        <v>497</v>
      </c>
      <c r="AS186">
        <v>1.00265251989389</v>
      </c>
      <c r="AT186" t="s">
        <v>498</v>
      </c>
      <c r="AU186">
        <v>0.91292875989445899</v>
      </c>
      <c r="AV186" t="s">
        <v>505</v>
      </c>
      <c r="AW186">
        <v>0.97277676950998104</v>
      </c>
      <c r="AX186" t="s">
        <v>497</v>
      </c>
      <c r="AY186">
        <v>1.2037037037036999</v>
      </c>
      <c r="AZ186" t="s">
        <v>500</v>
      </c>
      <c r="BA186">
        <v>0.98117942283563298</v>
      </c>
      <c r="BB186" t="s">
        <v>500</v>
      </c>
      <c r="BC186">
        <v>1.14961636828644</v>
      </c>
      <c r="BD186" t="s">
        <v>498</v>
      </c>
      <c r="BE186">
        <v>1.0987261146496801</v>
      </c>
      <c r="BF186" t="s">
        <v>498</v>
      </c>
      <c r="BG186">
        <v>1.4202898550724601</v>
      </c>
      <c r="BH186" t="s">
        <v>502</v>
      </c>
      <c r="BI186">
        <v>1.36492220650636</v>
      </c>
      <c r="BJ186" t="s">
        <v>506</v>
      </c>
      <c r="BK186">
        <v>0.89761570827489401</v>
      </c>
      <c r="BL186" t="s">
        <v>499</v>
      </c>
      <c r="BM186">
        <v>1.06883365200764</v>
      </c>
      <c r="BN186" t="s">
        <v>509</v>
      </c>
      <c r="BO186">
        <v>0.77142857142857102</v>
      </c>
      <c r="BP186" t="s">
        <v>515</v>
      </c>
      <c r="BQ186">
        <v>1.1849710982658901</v>
      </c>
      <c r="BR186" t="s">
        <v>498</v>
      </c>
      <c r="BS186">
        <v>1.00278551532033</v>
      </c>
      <c r="BT186" t="s">
        <v>503</v>
      </c>
      <c r="BU186">
        <v>1.11401425178147</v>
      </c>
      <c r="BV186" t="s">
        <v>499</v>
      </c>
      <c r="BW186">
        <v>1.0109890109890101</v>
      </c>
    </row>
    <row r="187" spans="1:75" x14ac:dyDescent="0.4">
      <c r="A187">
        <v>185</v>
      </c>
      <c r="B187" t="s">
        <v>436</v>
      </c>
      <c r="C187">
        <v>1.4030837004405201</v>
      </c>
      <c r="D187" t="s">
        <v>443</v>
      </c>
      <c r="E187">
        <v>0.937402190923317</v>
      </c>
      <c r="F187" t="s">
        <v>459</v>
      </c>
      <c r="G187">
        <v>0.53584447144592895</v>
      </c>
      <c r="H187" t="s">
        <v>469</v>
      </c>
      <c r="I187">
        <v>1</v>
      </c>
      <c r="J187" t="s">
        <v>458</v>
      </c>
      <c r="K187">
        <v>1.4715302491103199</v>
      </c>
      <c r="L187" t="s">
        <v>463</v>
      </c>
      <c r="M187">
        <v>1.0610932475884201</v>
      </c>
      <c r="N187" t="s">
        <v>478</v>
      </c>
      <c r="O187">
        <v>1.0351351351351299</v>
      </c>
      <c r="P187" t="s">
        <v>456</v>
      </c>
      <c r="Q187">
        <v>0.89012517385257295</v>
      </c>
      <c r="R187" t="s">
        <v>456</v>
      </c>
      <c r="S187">
        <v>1.0218750000000001</v>
      </c>
      <c r="T187" t="s">
        <v>485</v>
      </c>
      <c r="U187">
        <v>0.9296875</v>
      </c>
      <c r="V187" t="s">
        <v>478</v>
      </c>
      <c r="W187">
        <v>0.93516209476309198</v>
      </c>
      <c r="X187" t="s">
        <v>456</v>
      </c>
      <c r="Y187">
        <v>0.92201039861351797</v>
      </c>
      <c r="Z187" t="s">
        <v>489</v>
      </c>
      <c r="AA187">
        <v>0.76554001554001505</v>
      </c>
      <c r="AB187" t="s">
        <v>490</v>
      </c>
      <c r="AC187">
        <v>0.93620689655172395</v>
      </c>
      <c r="AD187" t="s">
        <v>481</v>
      </c>
      <c r="AE187">
        <v>1.0987482614742601</v>
      </c>
      <c r="AF187" t="s">
        <v>490</v>
      </c>
      <c r="AG187">
        <v>1.0958083832335299</v>
      </c>
      <c r="AH187" t="s">
        <v>490</v>
      </c>
      <c r="AI187">
        <v>0.87522768670309603</v>
      </c>
      <c r="AJ187" t="s">
        <v>498</v>
      </c>
      <c r="AK187">
        <v>1.0050761421319701</v>
      </c>
      <c r="AL187" t="s">
        <v>496</v>
      </c>
      <c r="AM187">
        <v>1.1739130434782601</v>
      </c>
      <c r="AN187" t="s">
        <v>494</v>
      </c>
      <c r="AO187">
        <v>0.78168477225081001</v>
      </c>
      <c r="AP187" t="s">
        <v>498</v>
      </c>
      <c r="AQ187">
        <v>1.23028391167192</v>
      </c>
      <c r="AR187" t="s">
        <v>498</v>
      </c>
      <c r="AS187">
        <v>0.97179487179487101</v>
      </c>
      <c r="AT187" t="s">
        <v>505</v>
      </c>
      <c r="AU187">
        <v>1.0782778864970599</v>
      </c>
      <c r="AV187" t="s">
        <v>499</v>
      </c>
      <c r="AW187">
        <v>0.92170818505338004</v>
      </c>
      <c r="AX187" t="s">
        <v>498</v>
      </c>
      <c r="AY187">
        <v>0.98214285714285698</v>
      </c>
      <c r="AZ187" t="s">
        <v>499</v>
      </c>
      <c r="BA187">
        <v>1.15808823529411</v>
      </c>
      <c r="BB187" t="s">
        <v>499</v>
      </c>
      <c r="BC187">
        <v>0.84603174603174602</v>
      </c>
      <c r="BD187" t="s">
        <v>499</v>
      </c>
      <c r="BE187">
        <v>0.962476547842401</v>
      </c>
      <c r="BF187" t="s">
        <v>499</v>
      </c>
      <c r="BG187">
        <v>1.21832358674463</v>
      </c>
      <c r="BH187" t="s">
        <v>503</v>
      </c>
      <c r="BI187">
        <v>0.88944099378881902</v>
      </c>
      <c r="BJ187" t="s">
        <v>515</v>
      </c>
      <c r="BK187">
        <v>1.13537906137184</v>
      </c>
      <c r="BL187" t="s">
        <v>502</v>
      </c>
      <c r="BM187">
        <v>0.85421412300683297</v>
      </c>
      <c r="BN187" t="s">
        <v>506</v>
      </c>
      <c r="BO187">
        <v>1.02980132450331</v>
      </c>
      <c r="BP187" t="s">
        <v>508</v>
      </c>
      <c r="BQ187">
        <v>0.91607396870554703</v>
      </c>
      <c r="BR187" t="s">
        <v>499</v>
      </c>
      <c r="BS187">
        <v>1.2376395534290201</v>
      </c>
      <c r="BT187" t="s">
        <v>506</v>
      </c>
      <c r="BU187">
        <v>0.97496087636932705</v>
      </c>
      <c r="BV187" t="s">
        <v>502</v>
      </c>
      <c r="BW187">
        <v>1.0146082337317299</v>
      </c>
    </row>
    <row r="188" spans="1:75" x14ac:dyDescent="0.4">
      <c r="A188">
        <v>186</v>
      </c>
      <c r="B188" t="s">
        <v>440</v>
      </c>
      <c r="C188">
        <v>1.2343804174467701</v>
      </c>
      <c r="D188" t="s">
        <v>445</v>
      </c>
      <c r="E188">
        <v>0.72505800464037096</v>
      </c>
      <c r="F188" t="s">
        <v>460</v>
      </c>
      <c r="G188">
        <v>0.58164983164983097</v>
      </c>
      <c r="H188" t="s">
        <v>458</v>
      </c>
      <c r="I188">
        <v>1.01996370235934</v>
      </c>
      <c r="J188" t="s">
        <v>457</v>
      </c>
      <c r="K188">
        <v>1.4065934065934</v>
      </c>
      <c r="L188" t="s">
        <v>478</v>
      </c>
      <c r="M188">
        <v>0.89156626506024095</v>
      </c>
      <c r="N188" t="s">
        <v>472</v>
      </c>
      <c r="O188">
        <v>0.791519434628975</v>
      </c>
      <c r="P188" t="s">
        <v>468</v>
      </c>
      <c r="Q188">
        <v>1.1538486175724001</v>
      </c>
      <c r="R188" t="s">
        <v>468</v>
      </c>
      <c r="S188">
        <v>1.0611090678195401</v>
      </c>
      <c r="T188" t="s">
        <v>481</v>
      </c>
      <c r="U188">
        <v>0.98719999999999997</v>
      </c>
      <c r="V188" t="s">
        <v>472</v>
      </c>
      <c r="W188">
        <v>1.0203349282296601</v>
      </c>
      <c r="X188" t="s">
        <v>459</v>
      </c>
      <c r="Y188">
        <v>1.0222222222222199</v>
      </c>
      <c r="Z188" t="s">
        <v>481</v>
      </c>
      <c r="AA188">
        <v>0.86</v>
      </c>
      <c r="AB188" t="s">
        <v>496</v>
      </c>
      <c r="AC188">
        <v>0.73755752970138</v>
      </c>
      <c r="AD188" t="s">
        <v>483</v>
      </c>
      <c r="AE188">
        <v>1.1576433121019101</v>
      </c>
      <c r="AF188" t="s">
        <v>507</v>
      </c>
      <c r="AG188">
        <v>1.14042759961127</v>
      </c>
      <c r="AH188" t="s">
        <v>494</v>
      </c>
      <c r="AI188">
        <v>0.72618030639557996</v>
      </c>
      <c r="AJ188" t="s">
        <v>505</v>
      </c>
      <c r="AK188">
        <v>1.19</v>
      </c>
      <c r="AL188" t="s">
        <v>498</v>
      </c>
      <c r="AM188">
        <v>0.86868686868686795</v>
      </c>
      <c r="AN188" t="s">
        <v>498</v>
      </c>
      <c r="AO188">
        <v>0.92151162790697605</v>
      </c>
      <c r="AP188" t="s">
        <v>505</v>
      </c>
      <c r="AQ188">
        <v>1.12280701754385</v>
      </c>
      <c r="AR188" t="s">
        <v>499</v>
      </c>
      <c r="AS188">
        <v>0.939560439560439</v>
      </c>
      <c r="AT188" t="s">
        <v>499</v>
      </c>
      <c r="AU188">
        <v>1.09551656920077</v>
      </c>
      <c r="AV188" t="s">
        <v>501</v>
      </c>
      <c r="AW188">
        <v>1.2123769338959201</v>
      </c>
      <c r="AX188" t="s">
        <v>499</v>
      </c>
      <c r="AY188">
        <v>1.0501930501930501</v>
      </c>
      <c r="AZ188" t="s">
        <v>502</v>
      </c>
      <c r="BA188">
        <v>1.1441774491682</v>
      </c>
      <c r="BB188" t="s">
        <v>501</v>
      </c>
      <c r="BC188">
        <v>0.96516129032258002</v>
      </c>
      <c r="BD188" t="s">
        <v>501</v>
      </c>
      <c r="BE188">
        <v>1.0534759358288699</v>
      </c>
      <c r="BF188" t="s">
        <v>501</v>
      </c>
      <c r="BG188">
        <v>0.90482233502538001</v>
      </c>
      <c r="BH188" t="s">
        <v>506</v>
      </c>
      <c r="BI188">
        <v>1.0531757754800499</v>
      </c>
      <c r="BJ188" t="s">
        <v>508</v>
      </c>
      <c r="BK188">
        <v>0.99845440494590398</v>
      </c>
      <c r="BL188" t="s">
        <v>503</v>
      </c>
      <c r="BM188">
        <v>0.84255319148936103</v>
      </c>
      <c r="BN188" t="s">
        <v>515</v>
      </c>
      <c r="BO188">
        <v>1.0297619047619</v>
      </c>
      <c r="BP188" t="s">
        <v>510</v>
      </c>
      <c r="BQ188">
        <v>1.0373831775700899</v>
      </c>
      <c r="BR188" t="s">
        <v>502</v>
      </c>
      <c r="BS188">
        <v>0.814525139664804</v>
      </c>
      <c r="BT188" t="s">
        <v>510</v>
      </c>
      <c r="BU188">
        <v>1.0341997264021801</v>
      </c>
      <c r="BV188" t="s">
        <v>503</v>
      </c>
      <c r="BW188">
        <v>1.1428571428571399</v>
      </c>
    </row>
    <row r="189" spans="1:75" x14ac:dyDescent="0.4">
      <c r="A189">
        <v>187</v>
      </c>
      <c r="B189" t="s">
        <v>443</v>
      </c>
      <c r="C189">
        <v>1.08488964346349</v>
      </c>
      <c r="D189" t="s">
        <v>446</v>
      </c>
      <c r="E189">
        <v>0.72874493927125505</v>
      </c>
      <c r="F189" t="s">
        <v>468</v>
      </c>
      <c r="G189">
        <v>0.66745423371297596</v>
      </c>
      <c r="H189" t="s">
        <v>457</v>
      </c>
      <c r="I189">
        <v>0.91</v>
      </c>
      <c r="J189" t="s">
        <v>456</v>
      </c>
      <c r="K189">
        <v>1.0767946577629299</v>
      </c>
      <c r="L189" t="s">
        <v>472</v>
      </c>
      <c r="M189">
        <v>1.0599250936329501</v>
      </c>
      <c r="N189" t="s">
        <v>485</v>
      </c>
      <c r="O189">
        <v>0.99127906976744096</v>
      </c>
      <c r="P189" t="s">
        <v>463</v>
      </c>
      <c r="Q189">
        <v>1.2050473186119799</v>
      </c>
      <c r="R189" t="s">
        <v>463</v>
      </c>
      <c r="S189">
        <v>0.93717277486910999</v>
      </c>
      <c r="T189" t="s">
        <v>488</v>
      </c>
      <c r="U189">
        <v>0.95880149812733995</v>
      </c>
      <c r="V189" t="s">
        <v>485</v>
      </c>
      <c r="W189">
        <v>1.0722689075630201</v>
      </c>
      <c r="X189" t="s">
        <v>460</v>
      </c>
      <c r="Y189">
        <v>0.90295748613678295</v>
      </c>
      <c r="Z189" t="s">
        <v>512</v>
      </c>
      <c r="AA189">
        <v>0.90292578957566305</v>
      </c>
      <c r="AB189" t="s">
        <v>498</v>
      </c>
      <c r="AC189">
        <v>1.0584415584415501</v>
      </c>
      <c r="AD189" t="s">
        <v>488</v>
      </c>
      <c r="AE189">
        <v>0.81923076923076898</v>
      </c>
      <c r="AF189" t="s">
        <v>491</v>
      </c>
      <c r="AG189">
        <v>1.1450617283950599</v>
      </c>
      <c r="AH189" t="s">
        <v>497</v>
      </c>
      <c r="AI189">
        <v>0.758536585365853</v>
      </c>
      <c r="AJ189" t="s">
        <v>499</v>
      </c>
      <c r="AK189">
        <v>1.1722113502935401</v>
      </c>
      <c r="AL189" t="s">
        <v>525</v>
      </c>
      <c r="AM189">
        <v>0.51215290299314797</v>
      </c>
      <c r="AN189" t="s">
        <v>501</v>
      </c>
      <c r="AO189">
        <v>0.90333333333333299</v>
      </c>
      <c r="AP189" t="s">
        <v>499</v>
      </c>
      <c r="AQ189">
        <v>0.93653516295025696</v>
      </c>
      <c r="AR189" t="s">
        <v>501</v>
      </c>
      <c r="AS189">
        <v>1.1698113207547101</v>
      </c>
      <c r="AT189" t="s">
        <v>501</v>
      </c>
      <c r="AU189">
        <v>1.5290322580645099</v>
      </c>
      <c r="AV189" t="s">
        <v>502</v>
      </c>
      <c r="AW189">
        <v>1.0335820895522301</v>
      </c>
      <c r="AX189" t="s">
        <v>502</v>
      </c>
      <c r="AY189">
        <v>0.97653429602887998</v>
      </c>
      <c r="AZ189" t="s">
        <v>503</v>
      </c>
      <c r="BA189">
        <v>1.1956834532374101</v>
      </c>
      <c r="BB189" t="s">
        <v>502</v>
      </c>
      <c r="BC189">
        <v>1.06623586429725</v>
      </c>
      <c r="BD189" t="s">
        <v>502</v>
      </c>
      <c r="BE189">
        <v>0.94090909090909003</v>
      </c>
      <c r="BF189" t="s">
        <v>502</v>
      </c>
      <c r="BG189">
        <v>1.1384863123993501</v>
      </c>
      <c r="BH189" t="s">
        <v>508</v>
      </c>
      <c r="BI189">
        <v>0.90616246498599395</v>
      </c>
      <c r="BJ189" t="s">
        <v>510</v>
      </c>
      <c r="BK189">
        <v>0.94392523364485903</v>
      </c>
      <c r="BL189" t="s">
        <v>506</v>
      </c>
      <c r="BM189">
        <v>0.94374999999999998</v>
      </c>
      <c r="BN189" t="s">
        <v>508</v>
      </c>
      <c r="BO189">
        <v>1.0158959537572201</v>
      </c>
      <c r="BP189" t="s">
        <v>511</v>
      </c>
      <c r="BQ189">
        <v>0.85057471264367801</v>
      </c>
      <c r="BR189" t="s">
        <v>503</v>
      </c>
      <c r="BS189">
        <v>1.08226221079691</v>
      </c>
      <c r="BT189" t="s">
        <v>511</v>
      </c>
      <c r="BU189">
        <v>0.75764705882352901</v>
      </c>
      <c r="BV189" t="s">
        <v>506</v>
      </c>
      <c r="BW189">
        <v>1.02086677367576</v>
      </c>
    </row>
    <row r="190" spans="1:75" x14ac:dyDescent="0.4">
      <c r="A190">
        <v>188</v>
      </c>
      <c r="B190" t="s">
        <v>448</v>
      </c>
      <c r="C190">
        <v>1.32795698924731</v>
      </c>
      <c r="D190" t="s">
        <v>457</v>
      </c>
      <c r="E190">
        <v>0.76190476190476097</v>
      </c>
      <c r="F190" t="s">
        <v>463</v>
      </c>
      <c r="G190">
        <v>0.784810126582278</v>
      </c>
      <c r="H190" t="s">
        <v>456</v>
      </c>
      <c r="I190">
        <v>1.1072088724584099</v>
      </c>
      <c r="J190" t="s">
        <v>459</v>
      </c>
      <c r="K190">
        <v>1.45554035567715</v>
      </c>
      <c r="L190" t="s">
        <v>485</v>
      </c>
      <c r="M190">
        <v>0.84004884004883995</v>
      </c>
      <c r="N190" t="s">
        <v>479</v>
      </c>
      <c r="O190">
        <v>0.72119487908961499</v>
      </c>
      <c r="P190" t="s">
        <v>478</v>
      </c>
      <c r="Q190">
        <v>1.0430809399477801</v>
      </c>
      <c r="R190" t="s">
        <v>478</v>
      </c>
      <c r="S190">
        <v>1.0287859824780901</v>
      </c>
      <c r="T190" t="s">
        <v>490</v>
      </c>
      <c r="U190">
        <v>1.1068783068782999</v>
      </c>
      <c r="V190" t="s">
        <v>481</v>
      </c>
      <c r="W190">
        <v>1.2317666126418101</v>
      </c>
      <c r="X190" t="s">
        <v>478</v>
      </c>
      <c r="Y190">
        <v>0.90266666666666595</v>
      </c>
      <c r="Z190" t="s">
        <v>488</v>
      </c>
      <c r="AA190">
        <v>1.02495201535508</v>
      </c>
      <c r="AB190" t="s">
        <v>500</v>
      </c>
      <c r="AC190">
        <v>1.25650557620817</v>
      </c>
      <c r="AD190" t="s">
        <v>490</v>
      </c>
      <c r="AE190">
        <v>0.92265193370165699</v>
      </c>
      <c r="AF190" t="s">
        <v>494</v>
      </c>
      <c r="AG190">
        <v>1.1764824120602999</v>
      </c>
      <c r="AH190" t="s">
        <v>505</v>
      </c>
      <c r="AI190">
        <v>0.94562647754137097</v>
      </c>
      <c r="AJ190" t="s">
        <v>501</v>
      </c>
      <c r="AK190">
        <v>1.1877990430622001</v>
      </c>
      <c r="AL190" t="s">
        <v>499</v>
      </c>
      <c r="AM190">
        <v>1.12854757929883</v>
      </c>
      <c r="AN190" t="s">
        <v>502</v>
      </c>
      <c r="AO190">
        <v>1.11583011583011</v>
      </c>
      <c r="AP190" t="s">
        <v>501</v>
      </c>
      <c r="AQ190">
        <v>0.97785977859778594</v>
      </c>
      <c r="AR190" t="s">
        <v>502</v>
      </c>
      <c r="AS190">
        <v>0.97769516728624495</v>
      </c>
      <c r="AT190" t="s">
        <v>502</v>
      </c>
      <c r="AU190">
        <v>1.0190114068441001</v>
      </c>
      <c r="AV190" t="s">
        <v>503</v>
      </c>
      <c r="AW190">
        <v>1.0050377833753099</v>
      </c>
      <c r="AX190" t="s">
        <v>503</v>
      </c>
      <c r="AY190">
        <v>0.87092731829573899</v>
      </c>
      <c r="AZ190" t="s">
        <v>506</v>
      </c>
      <c r="BA190">
        <v>1.18370883882149</v>
      </c>
      <c r="BB190" t="s">
        <v>503</v>
      </c>
      <c r="BC190">
        <v>0.936221419975932</v>
      </c>
      <c r="BD190" t="s">
        <v>503</v>
      </c>
      <c r="BE190">
        <v>1.0025706940874</v>
      </c>
      <c r="BF190" t="s">
        <v>503</v>
      </c>
      <c r="BG190">
        <v>1.0320512820512799</v>
      </c>
      <c r="BH190" t="s">
        <v>510</v>
      </c>
      <c r="BI190">
        <v>0.82307692307692304</v>
      </c>
      <c r="BJ190" t="s">
        <v>511</v>
      </c>
      <c r="BK190">
        <v>0.81398252184769004</v>
      </c>
      <c r="BL190" t="s">
        <v>515</v>
      </c>
      <c r="BM190">
        <v>1.06836248012718</v>
      </c>
      <c r="BN190" t="s">
        <v>510</v>
      </c>
      <c r="BO190">
        <v>1.1452599388379201</v>
      </c>
      <c r="BP190" t="s">
        <v>513</v>
      </c>
      <c r="BQ190">
        <v>0.975103734439834</v>
      </c>
      <c r="BR190" t="s">
        <v>506</v>
      </c>
      <c r="BS190">
        <v>1.01428571428571</v>
      </c>
      <c r="BT190" t="s">
        <v>513</v>
      </c>
      <c r="BU190">
        <v>1.03070175438596</v>
      </c>
      <c r="BV190" t="s">
        <v>510</v>
      </c>
      <c r="BW190">
        <v>1.05555555555555</v>
      </c>
    </row>
    <row r="191" spans="1:75" x14ac:dyDescent="0.4">
      <c r="A191">
        <v>189</v>
      </c>
      <c r="B191" t="s">
        <v>457</v>
      </c>
      <c r="C191">
        <v>0.91040462427745605</v>
      </c>
      <c r="D191" t="s">
        <v>456</v>
      </c>
      <c r="E191">
        <v>1</v>
      </c>
      <c r="F191" t="s">
        <v>478</v>
      </c>
      <c r="G191">
        <v>0.77316392934614198</v>
      </c>
      <c r="H191" t="s">
        <v>459</v>
      </c>
      <c r="I191">
        <v>0.82879818594104304</v>
      </c>
      <c r="J191" t="s">
        <v>468</v>
      </c>
      <c r="K191">
        <v>1.8300717627176699</v>
      </c>
      <c r="L191" t="s">
        <v>479</v>
      </c>
      <c r="M191">
        <v>1.3091247672253199</v>
      </c>
      <c r="N191" t="s">
        <v>481</v>
      </c>
      <c r="O191">
        <v>1.02748091603053</v>
      </c>
      <c r="P191" t="s">
        <v>472</v>
      </c>
      <c r="Q191">
        <v>1.1473214285714199</v>
      </c>
      <c r="R191" t="s">
        <v>472</v>
      </c>
      <c r="S191">
        <v>0.69260700389105001</v>
      </c>
      <c r="T191" t="s">
        <v>491</v>
      </c>
      <c r="U191">
        <v>1.17511520737327</v>
      </c>
      <c r="V191" t="s">
        <v>512</v>
      </c>
      <c r="W191">
        <v>0.92801816239316204</v>
      </c>
      <c r="X191" t="s">
        <v>472</v>
      </c>
      <c r="Y191">
        <v>1.12192262602579</v>
      </c>
      <c r="Z191" t="s">
        <v>490</v>
      </c>
      <c r="AA191">
        <v>1.17886178861788</v>
      </c>
      <c r="AB191" t="s">
        <v>499</v>
      </c>
      <c r="AC191">
        <v>1.09350649350649</v>
      </c>
      <c r="AD191" t="s">
        <v>494</v>
      </c>
      <c r="AE191">
        <v>0.79333439642800196</v>
      </c>
      <c r="AF191" t="s">
        <v>498</v>
      </c>
      <c r="AG191">
        <v>1.3176795580110401</v>
      </c>
      <c r="AH191" t="s">
        <v>499</v>
      </c>
      <c r="AI191">
        <v>0.75368731563421798</v>
      </c>
      <c r="AJ191" t="s">
        <v>502</v>
      </c>
      <c r="AK191">
        <v>1.50115473441108</v>
      </c>
      <c r="AL191" t="s">
        <v>502</v>
      </c>
      <c r="AM191">
        <v>0.79692307692307696</v>
      </c>
      <c r="AN191" t="s">
        <v>503</v>
      </c>
      <c r="AO191">
        <v>1.1079943899018201</v>
      </c>
      <c r="AP191" t="s">
        <v>502</v>
      </c>
      <c r="AQ191">
        <v>0.93079584775086499</v>
      </c>
      <c r="AR191" t="s">
        <v>503</v>
      </c>
      <c r="AS191">
        <v>0.96617050067658905</v>
      </c>
      <c r="AT191" t="s">
        <v>503</v>
      </c>
      <c r="AU191">
        <v>1.11204481792717</v>
      </c>
      <c r="AV191" t="s">
        <v>506</v>
      </c>
      <c r="AW191">
        <v>0.94718309859154903</v>
      </c>
      <c r="AX191" t="s">
        <v>506</v>
      </c>
      <c r="AY191">
        <v>1.0724907063197</v>
      </c>
      <c r="AZ191" t="s">
        <v>510</v>
      </c>
      <c r="BA191">
        <v>1.03399122807017</v>
      </c>
      <c r="BB191" t="s">
        <v>506</v>
      </c>
      <c r="BC191">
        <v>0.98389458272327901</v>
      </c>
      <c r="BD191" t="s">
        <v>506</v>
      </c>
      <c r="BE191">
        <v>0.85267857142857095</v>
      </c>
      <c r="BF191" t="s">
        <v>506</v>
      </c>
      <c r="BG191">
        <v>1.18150087260034</v>
      </c>
      <c r="BH191" t="s">
        <v>516</v>
      </c>
      <c r="BI191">
        <v>0.63741935483870904</v>
      </c>
      <c r="BJ191" t="s">
        <v>517</v>
      </c>
      <c r="BK191">
        <v>0.69997754322928296</v>
      </c>
      <c r="BL191" t="s">
        <v>508</v>
      </c>
      <c r="BM191">
        <v>1.0712074303405501</v>
      </c>
      <c r="BN191" t="s">
        <v>517</v>
      </c>
      <c r="BO191">
        <v>1.0162601626016201</v>
      </c>
      <c r="BP191" t="s">
        <v>517</v>
      </c>
      <c r="BQ191">
        <v>1.01142857142857</v>
      </c>
      <c r="BR191" t="s">
        <v>508</v>
      </c>
      <c r="BS191">
        <v>0.92546583850931596</v>
      </c>
      <c r="BT191" t="s">
        <v>517</v>
      </c>
      <c r="BU191">
        <v>0.96875</v>
      </c>
      <c r="BV191" t="s">
        <v>513</v>
      </c>
      <c r="BW191">
        <v>1.2127659574467999</v>
      </c>
    </row>
    <row r="192" spans="1:75" x14ac:dyDescent="0.4">
      <c r="A192">
        <v>190</v>
      </c>
      <c r="B192" t="s">
        <v>456</v>
      </c>
      <c r="C192">
        <v>0.879746835443038</v>
      </c>
      <c r="D192" t="s">
        <v>459</v>
      </c>
      <c r="E192">
        <v>0.80686274509803901</v>
      </c>
      <c r="F192" t="s">
        <v>472</v>
      </c>
      <c r="G192">
        <v>0.83963691376701899</v>
      </c>
      <c r="H192" t="s">
        <v>468</v>
      </c>
      <c r="I192">
        <v>1.0812669379684099</v>
      </c>
      <c r="J192" t="s">
        <v>463</v>
      </c>
      <c r="K192">
        <v>1.2196078431372499</v>
      </c>
      <c r="L192" t="s">
        <v>481</v>
      </c>
      <c r="M192">
        <v>1.0953177257525</v>
      </c>
      <c r="N192" t="s">
        <v>488</v>
      </c>
      <c r="O192">
        <v>1.1883495145631</v>
      </c>
      <c r="P192" t="s">
        <v>485</v>
      </c>
      <c r="Q192">
        <v>0.85923753665689095</v>
      </c>
      <c r="R192" t="s">
        <v>485</v>
      </c>
      <c r="S192">
        <v>1.09215017064846</v>
      </c>
      <c r="T192" t="s">
        <v>494</v>
      </c>
      <c r="U192">
        <v>1.13636146762727</v>
      </c>
      <c r="V192" t="s">
        <v>488</v>
      </c>
      <c r="W192">
        <v>1.109375</v>
      </c>
      <c r="X192" t="s">
        <v>485</v>
      </c>
      <c r="Y192">
        <v>0.88401253918495204</v>
      </c>
      <c r="Z192" t="s">
        <v>494</v>
      </c>
      <c r="AA192">
        <v>1.1245735795788701</v>
      </c>
      <c r="AB192" t="s">
        <v>501</v>
      </c>
      <c r="AC192">
        <v>0.73262032085561501</v>
      </c>
      <c r="AD192" t="s">
        <v>498</v>
      </c>
      <c r="AE192">
        <v>1.1104294478527601</v>
      </c>
      <c r="AF192" t="s">
        <v>525</v>
      </c>
      <c r="AG192">
        <v>1.5842687332800101</v>
      </c>
      <c r="AH192" t="s">
        <v>501</v>
      </c>
      <c r="AI192">
        <v>0.61380323054331798</v>
      </c>
      <c r="AJ192" t="s">
        <v>503</v>
      </c>
      <c r="AK192">
        <v>0.99593495934959297</v>
      </c>
      <c r="AL192" t="s">
        <v>503</v>
      </c>
      <c r="AM192">
        <v>0.97006802721088403</v>
      </c>
      <c r="AN192" t="s">
        <v>504</v>
      </c>
      <c r="AO192">
        <v>1.2133425990271001</v>
      </c>
      <c r="AP192" t="s">
        <v>503</v>
      </c>
      <c r="AQ192">
        <v>0.93544303797468298</v>
      </c>
      <c r="AR192" t="s">
        <v>506</v>
      </c>
      <c r="AS192">
        <v>0.96625222024866697</v>
      </c>
      <c r="AT192" t="s">
        <v>506</v>
      </c>
      <c r="AU192">
        <v>1.04411764705882</v>
      </c>
      <c r="AV192" t="s">
        <v>515</v>
      </c>
      <c r="AW192">
        <v>0.98342541436464004</v>
      </c>
      <c r="AX192" t="s">
        <v>515</v>
      </c>
      <c r="AY192">
        <v>1.3014981273408199</v>
      </c>
      <c r="AZ192" t="s">
        <v>521</v>
      </c>
      <c r="BA192">
        <v>1.0122217670353599</v>
      </c>
      <c r="BB192" t="s">
        <v>515</v>
      </c>
      <c r="BC192">
        <v>0.77703826955074795</v>
      </c>
      <c r="BD192" t="s">
        <v>515</v>
      </c>
      <c r="BE192">
        <v>1.0835117773019201</v>
      </c>
      <c r="BF192" t="s">
        <v>515</v>
      </c>
      <c r="BG192">
        <v>1.3181818181818099</v>
      </c>
      <c r="BH192" t="s">
        <v>517</v>
      </c>
      <c r="BI192">
        <v>0.88534694148054804</v>
      </c>
      <c r="BJ192" t="s">
        <v>518</v>
      </c>
      <c r="BK192">
        <v>1</v>
      </c>
      <c r="BL192" t="s">
        <v>510</v>
      </c>
      <c r="BM192">
        <v>0.925035360678925</v>
      </c>
      <c r="BN192" t="s">
        <v>518</v>
      </c>
      <c r="BO192">
        <v>1.11686746987951</v>
      </c>
      <c r="BP192" t="s">
        <v>518</v>
      </c>
      <c r="BQ192">
        <v>0.98597626752966505</v>
      </c>
      <c r="BR192" t="s">
        <v>510</v>
      </c>
      <c r="BS192">
        <v>0.94079794079793999</v>
      </c>
      <c r="BT192" t="s">
        <v>518</v>
      </c>
      <c r="BU192">
        <v>1.08672936259143</v>
      </c>
      <c r="BV192" t="s">
        <v>517</v>
      </c>
      <c r="BW192">
        <v>1.1520737327188899</v>
      </c>
    </row>
    <row r="193" spans="1:75" x14ac:dyDescent="0.4">
      <c r="A193">
        <v>191</v>
      </c>
      <c r="B193" t="s">
        <v>459</v>
      </c>
      <c r="C193">
        <v>0.91479820627802599</v>
      </c>
      <c r="D193" t="s">
        <v>460</v>
      </c>
      <c r="E193">
        <v>0.993311036789297</v>
      </c>
      <c r="F193" t="s">
        <v>485</v>
      </c>
      <c r="G193">
        <v>0.50741163055872296</v>
      </c>
      <c r="H193" t="s">
        <v>463</v>
      </c>
      <c r="I193">
        <v>1.17511520737327</v>
      </c>
      <c r="J193" t="s">
        <v>472</v>
      </c>
      <c r="K193">
        <v>1.50168728908886</v>
      </c>
      <c r="L193" t="s">
        <v>488</v>
      </c>
      <c r="M193">
        <v>1.11231101511879</v>
      </c>
      <c r="N193" t="s">
        <v>490</v>
      </c>
      <c r="O193">
        <v>1.0114810562571701</v>
      </c>
      <c r="P193" t="s">
        <v>479</v>
      </c>
      <c r="Q193">
        <v>1.4516765285996001</v>
      </c>
      <c r="R193" t="s">
        <v>479</v>
      </c>
      <c r="S193">
        <v>1.35869565217391</v>
      </c>
      <c r="T193" t="s">
        <v>498</v>
      </c>
      <c r="U193">
        <v>0.72505543237250503</v>
      </c>
      <c r="V193" t="s">
        <v>490</v>
      </c>
      <c r="W193">
        <v>1.18164435946462</v>
      </c>
      <c r="X193" t="s">
        <v>481</v>
      </c>
      <c r="Y193">
        <v>1.1842105263157801</v>
      </c>
      <c r="Z193" t="s">
        <v>514</v>
      </c>
      <c r="AA193">
        <v>1.20802005012531</v>
      </c>
      <c r="AB193" t="s">
        <v>502</v>
      </c>
      <c r="AC193">
        <v>0.89403973509933699</v>
      </c>
      <c r="AD193" t="s">
        <v>500</v>
      </c>
      <c r="AE193">
        <v>1.2559171597633101</v>
      </c>
      <c r="AF193" t="s">
        <v>499</v>
      </c>
      <c r="AG193">
        <v>1.26492537313432</v>
      </c>
      <c r="AH193" t="s">
        <v>502</v>
      </c>
      <c r="AI193">
        <v>0.75964912280701702</v>
      </c>
      <c r="AJ193" t="s">
        <v>504</v>
      </c>
      <c r="AK193">
        <v>1.2113915933072901</v>
      </c>
      <c r="AL193" t="s">
        <v>504</v>
      </c>
      <c r="AM193">
        <v>1.24654699456181</v>
      </c>
      <c r="AN193" t="s">
        <v>506</v>
      </c>
      <c r="AO193">
        <v>0.850162866449511</v>
      </c>
      <c r="AP193" t="s">
        <v>506</v>
      </c>
      <c r="AQ193">
        <v>1.07854406130268</v>
      </c>
      <c r="AR193" t="s">
        <v>538</v>
      </c>
      <c r="AS193">
        <v>1.10695876288659</v>
      </c>
      <c r="AT193" t="s">
        <v>515</v>
      </c>
      <c r="AU193">
        <v>1.01305970149253</v>
      </c>
      <c r="AV193" t="s">
        <v>510</v>
      </c>
      <c r="AW193">
        <v>1.16363636363636</v>
      </c>
      <c r="AX193" t="s">
        <v>510</v>
      </c>
      <c r="AY193">
        <v>0.83823529411764697</v>
      </c>
      <c r="AZ193" t="s">
        <v>511</v>
      </c>
      <c r="BA193">
        <v>0.91003102378490097</v>
      </c>
      <c r="BB193" t="s">
        <v>510</v>
      </c>
      <c r="BC193">
        <v>0.974549310710498</v>
      </c>
      <c r="BD193" t="s">
        <v>508</v>
      </c>
      <c r="BE193">
        <v>1.01697312588401</v>
      </c>
      <c r="BF193" t="s">
        <v>508</v>
      </c>
      <c r="BG193">
        <v>0.99304589707927604</v>
      </c>
      <c r="BH193" t="s">
        <v>518</v>
      </c>
      <c r="BI193">
        <v>0.790874524714828</v>
      </c>
      <c r="BJ193" t="s">
        <v>522</v>
      </c>
      <c r="BK193">
        <v>1.0033112582781401</v>
      </c>
      <c r="BL193" t="s">
        <v>517</v>
      </c>
      <c r="BM193">
        <v>0.92075713827398098</v>
      </c>
      <c r="BN193" t="s">
        <v>519</v>
      </c>
      <c r="BO193">
        <v>1.0340909090909001</v>
      </c>
      <c r="BP193" t="s">
        <v>519</v>
      </c>
      <c r="BQ193">
        <v>0.86538461538461497</v>
      </c>
      <c r="BR193" t="s">
        <v>513</v>
      </c>
      <c r="BS193">
        <v>0.97021276595744599</v>
      </c>
      <c r="BT193" t="s">
        <v>519</v>
      </c>
      <c r="BU193">
        <v>1.1063829787234001</v>
      </c>
      <c r="BV193" t="s">
        <v>518</v>
      </c>
      <c r="BW193">
        <v>1.1057692307692299</v>
      </c>
    </row>
    <row r="194" spans="1:75" x14ac:dyDescent="0.4">
      <c r="A194">
        <v>192</v>
      </c>
      <c r="B194" t="s">
        <v>460</v>
      </c>
      <c r="C194">
        <v>0.96607431340872296</v>
      </c>
      <c r="D194" t="s">
        <v>478</v>
      </c>
      <c r="E194">
        <v>0.95473372781065002</v>
      </c>
      <c r="F194" t="s">
        <v>479</v>
      </c>
      <c r="G194">
        <v>0.29674796747967402</v>
      </c>
      <c r="H194" t="s">
        <v>472</v>
      </c>
      <c r="I194">
        <v>0.80090090090090005</v>
      </c>
      <c r="J194" t="s">
        <v>481</v>
      </c>
      <c r="K194">
        <v>1.6162162162162099</v>
      </c>
      <c r="L194" t="s">
        <v>490</v>
      </c>
      <c r="M194">
        <v>0.94571118349619898</v>
      </c>
      <c r="N194" t="s">
        <v>493</v>
      </c>
      <c r="O194">
        <v>1.3409610983981599</v>
      </c>
      <c r="P194" t="s">
        <v>481</v>
      </c>
      <c r="Q194">
        <v>0.99554234769687899</v>
      </c>
      <c r="R194" t="s">
        <v>481</v>
      </c>
      <c r="S194">
        <v>0.93283582089552197</v>
      </c>
      <c r="T194" t="s">
        <v>500</v>
      </c>
      <c r="U194">
        <v>1.1573705179282801</v>
      </c>
      <c r="V194" t="s">
        <v>494</v>
      </c>
      <c r="W194">
        <v>1.2695553596170801</v>
      </c>
      <c r="X194" t="s">
        <v>512</v>
      </c>
      <c r="Y194">
        <v>0.74269679090516605</v>
      </c>
      <c r="Z194" t="s">
        <v>498</v>
      </c>
      <c r="AA194">
        <v>0.89534883720930203</v>
      </c>
      <c r="AB194" t="s">
        <v>503</v>
      </c>
      <c r="AC194">
        <v>0.85631067961164997</v>
      </c>
      <c r="AD194" t="s">
        <v>501</v>
      </c>
      <c r="AE194">
        <v>0.90054744525547403</v>
      </c>
      <c r="AF194" t="s">
        <v>501</v>
      </c>
      <c r="AG194">
        <v>1.37993920972644</v>
      </c>
      <c r="AH194" t="s">
        <v>503</v>
      </c>
      <c r="AI194">
        <v>0.89563106796116498</v>
      </c>
      <c r="AJ194" t="s">
        <v>520</v>
      </c>
      <c r="AK194">
        <v>1.19256756756756</v>
      </c>
      <c r="AL194" t="s">
        <v>520</v>
      </c>
      <c r="AM194">
        <v>1.2011331444759199</v>
      </c>
      <c r="AN194" t="s">
        <v>515</v>
      </c>
      <c r="AO194">
        <v>0.94915254237288105</v>
      </c>
      <c r="AP194" t="s">
        <v>515</v>
      </c>
      <c r="AQ194">
        <v>0.90892857142857097</v>
      </c>
      <c r="AR194" t="s">
        <v>515</v>
      </c>
      <c r="AS194">
        <v>1.05304518664047</v>
      </c>
      <c r="AT194" t="s">
        <v>510</v>
      </c>
      <c r="AU194">
        <v>0.92209072978303697</v>
      </c>
      <c r="AV194" t="s">
        <v>511</v>
      </c>
      <c r="AW194">
        <v>0.97499999999999998</v>
      </c>
      <c r="AX194" t="s">
        <v>521</v>
      </c>
      <c r="AY194">
        <v>0.904520750988142</v>
      </c>
      <c r="AZ194" t="s">
        <v>513</v>
      </c>
      <c r="BA194">
        <v>1.1509517485613101</v>
      </c>
      <c r="BB194" t="s">
        <v>511</v>
      </c>
      <c r="BC194">
        <v>0.97840909090909001</v>
      </c>
      <c r="BD194" t="s">
        <v>511</v>
      </c>
      <c r="BE194">
        <v>1.03019744483159</v>
      </c>
      <c r="BF194" t="s">
        <v>511</v>
      </c>
      <c r="BG194">
        <v>0.92108229988725998</v>
      </c>
      <c r="BH194" t="s">
        <v>522</v>
      </c>
      <c r="BI194">
        <v>0.84122562674094703</v>
      </c>
      <c r="BJ194" t="s">
        <v>526</v>
      </c>
      <c r="BK194">
        <v>1.24898511502029</v>
      </c>
      <c r="BL194" t="s">
        <v>518</v>
      </c>
      <c r="BM194">
        <v>0.79807692307692302</v>
      </c>
      <c r="BN194" t="s">
        <v>522</v>
      </c>
      <c r="BO194">
        <v>1.4365671641791</v>
      </c>
      <c r="BP194" t="s">
        <v>522</v>
      </c>
      <c r="BQ194">
        <v>1.52597402597402</v>
      </c>
      <c r="BR194" t="s">
        <v>517</v>
      </c>
      <c r="BS194">
        <v>1.0124293785310701</v>
      </c>
      <c r="BT194" t="s">
        <v>527</v>
      </c>
      <c r="BU194">
        <v>0.99300699300699302</v>
      </c>
      <c r="BV194" t="s">
        <v>522</v>
      </c>
      <c r="BW194">
        <v>1.0978723404255299</v>
      </c>
    </row>
    <row r="195" spans="1:75" x14ac:dyDescent="0.4">
      <c r="A195">
        <v>193</v>
      </c>
      <c r="B195" t="s">
        <v>463</v>
      </c>
      <c r="C195">
        <v>1.03559870550161</v>
      </c>
      <c r="D195" t="s">
        <v>472</v>
      </c>
      <c r="E195">
        <v>0.65771144278606897</v>
      </c>
      <c r="F195" t="s">
        <v>481</v>
      </c>
      <c r="G195">
        <v>0.451030927835051</v>
      </c>
      <c r="H195" t="s">
        <v>481</v>
      </c>
      <c r="I195">
        <v>1.0571428571428501</v>
      </c>
      <c r="J195" t="s">
        <v>488</v>
      </c>
      <c r="K195">
        <v>1.79805825242718</v>
      </c>
      <c r="L195" t="s">
        <v>524</v>
      </c>
      <c r="M195">
        <v>0.79461279461279399</v>
      </c>
      <c r="N195" t="s">
        <v>524</v>
      </c>
      <c r="O195">
        <v>1.0169491525423699</v>
      </c>
      <c r="P195" t="s">
        <v>488</v>
      </c>
      <c r="Q195">
        <v>0.95751633986928097</v>
      </c>
      <c r="R195" t="s">
        <v>488</v>
      </c>
      <c r="S195">
        <v>0.91126279863481197</v>
      </c>
      <c r="T195" t="s">
        <v>499</v>
      </c>
      <c r="U195">
        <v>1.4423076923076901</v>
      </c>
      <c r="V195" t="s">
        <v>514</v>
      </c>
      <c r="W195">
        <v>0.96179775280898805</v>
      </c>
      <c r="X195" t="s">
        <v>488</v>
      </c>
      <c r="Y195">
        <v>0.91725352112675995</v>
      </c>
      <c r="Z195" t="s">
        <v>500</v>
      </c>
      <c r="AA195">
        <v>1.20627802690582</v>
      </c>
      <c r="AB195" t="s">
        <v>535</v>
      </c>
      <c r="AC195">
        <v>0.94974692697035401</v>
      </c>
      <c r="AD195" t="s">
        <v>502</v>
      </c>
      <c r="AE195">
        <v>0.86111111111111105</v>
      </c>
      <c r="AF195" t="s">
        <v>502</v>
      </c>
      <c r="AG195">
        <v>1.2258064516128999</v>
      </c>
      <c r="AH195" t="s">
        <v>504</v>
      </c>
      <c r="AI195">
        <v>1.0493056829999301</v>
      </c>
      <c r="AJ195" t="s">
        <v>506</v>
      </c>
      <c r="AK195">
        <v>1.04505494505494</v>
      </c>
      <c r="AL195" t="s">
        <v>506</v>
      </c>
      <c r="AM195">
        <v>1.2912723449001</v>
      </c>
      <c r="AN195" t="s">
        <v>508</v>
      </c>
      <c r="AO195">
        <v>0.99377334993773303</v>
      </c>
      <c r="AP195" t="s">
        <v>508</v>
      </c>
      <c r="AQ195">
        <v>1.5037593984962401</v>
      </c>
      <c r="AR195" t="s">
        <v>511</v>
      </c>
      <c r="AS195">
        <v>0.86923076923076903</v>
      </c>
      <c r="AT195" t="s">
        <v>511</v>
      </c>
      <c r="AU195">
        <v>1.06194690265486</v>
      </c>
      <c r="AV195" t="s">
        <v>513</v>
      </c>
      <c r="AW195">
        <v>1.17984758679085</v>
      </c>
      <c r="AX195" t="s">
        <v>511</v>
      </c>
      <c r="AY195">
        <v>1.3774928774928701</v>
      </c>
      <c r="AZ195" t="s">
        <v>517</v>
      </c>
      <c r="BA195">
        <v>1.0803613248578099</v>
      </c>
      <c r="BB195" t="s">
        <v>513</v>
      </c>
      <c r="BC195">
        <v>1.19358974358974</v>
      </c>
      <c r="BD195" t="s">
        <v>517</v>
      </c>
      <c r="BE195">
        <v>0.94903572138643999</v>
      </c>
      <c r="BF195" t="s">
        <v>517</v>
      </c>
      <c r="BG195">
        <v>1.0537011173184301</v>
      </c>
      <c r="BH195" t="s">
        <v>526</v>
      </c>
      <c r="BI195">
        <v>0.84264538198403605</v>
      </c>
      <c r="BJ195" t="s">
        <v>523</v>
      </c>
      <c r="BK195">
        <v>0.84585266821345695</v>
      </c>
      <c r="BL195" t="s">
        <v>522</v>
      </c>
      <c r="BM195">
        <v>0.88448844884488398</v>
      </c>
      <c r="BN195" t="s">
        <v>523</v>
      </c>
      <c r="BO195">
        <v>1.1890730509515</v>
      </c>
      <c r="BP195" t="s">
        <v>523</v>
      </c>
      <c r="BQ195">
        <v>1.07528824642918</v>
      </c>
      <c r="BR195" t="s">
        <v>518</v>
      </c>
      <c r="BS195">
        <v>1.04704595185995</v>
      </c>
      <c r="BT195" t="s">
        <v>531</v>
      </c>
      <c r="BU195">
        <v>0.949438202247191</v>
      </c>
      <c r="BV195" t="s">
        <v>523</v>
      </c>
      <c r="BW195">
        <v>0.95734597156398105</v>
      </c>
    </row>
    <row r="196" spans="1:75" x14ac:dyDescent="0.4">
      <c r="A196">
        <v>194</v>
      </c>
      <c r="B196" t="s">
        <v>478</v>
      </c>
      <c r="C196">
        <v>1.1227370868626401</v>
      </c>
      <c r="D196" t="s">
        <v>485</v>
      </c>
      <c r="E196">
        <v>0.882293762575452</v>
      </c>
      <c r="F196" t="s">
        <v>495</v>
      </c>
      <c r="G196">
        <v>0.40591966173361499</v>
      </c>
      <c r="H196" t="s">
        <v>488</v>
      </c>
      <c r="I196">
        <v>0.62804878048780399</v>
      </c>
      <c r="J196" t="s">
        <v>490</v>
      </c>
      <c r="K196">
        <v>1.2329317269076301</v>
      </c>
      <c r="L196" t="s">
        <v>491</v>
      </c>
      <c r="M196">
        <v>0.94811320754716899</v>
      </c>
      <c r="N196" t="s">
        <v>491</v>
      </c>
      <c r="O196">
        <v>1.08457711442786</v>
      </c>
      <c r="P196" t="s">
        <v>490</v>
      </c>
      <c r="Q196">
        <v>1.02837684449489</v>
      </c>
      <c r="R196" t="s">
        <v>490</v>
      </c>
      <c r="S196">
        <v>1.0430463576158899</v>
      </c>
      <c r="T196" t="s">
        <v>501</v>
      </c>
      <c r="U196">
        <v>1.2300319488817799</v>
      </c>
      <c r="V196" t="s">
        <v>498</v>
      </c>
      <c r="W196">
        <v>1.17125382262996</v>
      </c>
      <c r="X196" t="s">
        <v>494</v>
      </c>
      <c r="Y196">
        <v>0.84343684889373904</v>
      </c>
      <c r="Z196" t="s">
        <v>499</v>
      </c>
      <c r="AA196">
        <v>0.93220338983050799</v>
      </c>
      <c r="AB196" t="s">
        <v>504</v>
      </c>
      <c r="AC196">
        <v>0.91554173025002905</v>
      </c>
      <c r="AD196" t="s">
        <v>503</v>
      </c>
      <c r="AE196">
        <v>0.85600907029478401</v>
      </c>
      <c r="AF196" t="s">
        <v>503</v>
      </c>
      <c r="AG196">
        <v>1.0913907284768201</v>
      </c>
      <c r="AH196" t="s">
        <v>520</v>
      </c>
      <c r="AI196">
        <v>0.74653215636822101</v>
      </c>
      <c r="AJ196" t="s">
        <v>515</v>
      </c>
      <c r="AK196">
        <v>0.98769230769230698</v>
      </c>
      <c r="AL196" t="s">
        <v>515</v>
      </c>
      <c r="AM196">
        <v>0.91900311526479705</v>
      </c>
      <c r="AN196" t="s">
        <v>510</v>
      </c>
      <c r="AO196">
        <v>1.20627802690582</v>
      </c>
      <c r="AP196" t="s">
        <v>510</v>
      </c>
      <c r="AQ196">
        <v>1.0687732342007401</v>
      </c>
      <c r="AR196" t="s">
        <v>513</v>
      </c>
      <c r="AS196">
        <v>1.0312087912087899</v>
      </c>
      <c r="AT196" t="s">
        <v>513</v>
      </c>
      <c r="AU196">
        <v>1.2585251491901099</v>
      </c>
      <c r="AV196" t="s">
        <v>517</v>
      </c>
      <c r="AW196">
        <v>0.97551342812006303</v>
      </c>
      <c r="AX196" t="s">
        <v>513</v>
      </c>
      <c r="AY196">
        <v>0.97272857758001996</v>
      </c>
      <c r="AZ196" t="s">
        <v>518</v>
      </c>
      <c r="BA196">
        <v>1.13456552090951</v>
      </c>
      <c r="BB196" t="s">
        <v>518</v>
      </c>
      <c r="BC196">
        <v>0.68561382947553395</v>
      </c>
      <c r="BD196" t="s">
        <v>518</v>
      </c>
      <c r="BE196">
        <v>0.99145299145299104</v>
      </c>
      <c r="BF196" t="s">
        <v>518</v>
      </c>
      <c r="BG196">
        <v>1.1336206896551699</v>
      </c>
      <c r="BH196" t="s">
        <v>523</v>
      </c>
      <c r="BI196">
        <v>1.0104029304029301</v>
      </c>
      <c r="BJ196" t="s">
        <v>527</v>
      </c>
      <c r="BK196">
        <v>0.87617554858934099</v>
      </c>
      <c r="BL196" t="s">
        <v>523</v>
      </c>
      <c r="BM196">
        <v>0.83781930396022597</v>
      </c>
      <c r="BN196" t="s">
        <v>527</v>
      </c>
      <c r="BO196">
        <v>1.03745318352059</v>
      </c>
      <c r="BP196" t="s">
        <v>527</v>
      </c>
      <c r="BQ196">
        <v>1.0667870036100999</v>
      </c>
      <c r="BR196" t="s">
        <v>519</v>
      </c>
      <c r="BS196">
        <v>1.1936507936507901</v>
      </c>
      <c r="BT196" t="s">
        <v>528</v>
      </c>
      <c r="BU196">
        <v>1.25133689839572</v>
      </c>
      <c r="BV196" t="s">
        <v>527</v>
      </c>
      <c r="BW196">
        <v>1.08978873239436</v>
      </c>
    </row>
    <row r="197" spans="1:75" x14ac:dyDescent="0.4">
      <c r="A197">
        <v>195</v>
      </c>
      <c r="B197" t="s">
        <v>472</v>
      </c>
      <c r="C197">
        <v>1.5678627145085799</v>
      </c>
      <c r="D197" t="s">
        <v>479</v>
      </c>
      <c r="E197">
        <v>0.83248730964466999</v>
      </c>
      <c r="F197" t="s">
        <v>488</v>
      </c>
      <c r="G197">
        <v>0.68333333333333302</v>
      </c>
      <c r="H197" t="s">
        <v>493</v>
      </c>
      <c r="I197">
        <v>0.77261613691931497</v>
      </c>
      <c r="J197" t="s">
        <v>493</v>
      </c>
      <c r="K197">
        <v>1.43670886075949</v>
      </c>
      <c r="L197" t="s">
        <v>494</v>
      </c>
      <c r="M197">
        <v>0.78519179916892701</v>
      </c>
      <c r="N197" t="s">
        <v>494</v>
      </c>
      <c r="O197">
        <v>0.78625787263820801</v>
      </c>
      <c r="P197" t="s">
        <v>524</v>
      </c>
      <c r="Q197">
        <v>0.84583333333333299</v>
      </c>
      <c r="R197" t="s">
        <v>494</v>
      </c>
      <c r="S197">
        <v>1.1605204872646699</v>
      </c>
      <c r="T197" t="s">
        <v>502</v>
      </c>
      <c r="U197">
        <v>0.78792341678939604</v>
      </c>
      <c r="V197" t="s">
        <v>500</v>
      </c>
      <c r="W197">
        <v>0.91566265060240903</v>
      </c>
      <c r="X197" t="s">
        <v>514</v>
      </c>
      <c r="Y197">
        <v>0.93224299065420502</v>
      </c>
      <c r="Z197" t="s">
        <v>501</v>
      </c>
      <c r="AA197">
        <v>0.97142857142857097</v>
      </c>
      <c r="AB197" t="s">
        <v>520</v>
      </c>
      <c r="AC197">
        <v>1.00273972602739</v>
      </c>
      <c r="AD197" t="s">
        <v>520</v>
      </c>
      <c r="AE197">
        <v>1.16256830601092</v>
      </c>
      <c r="AF197" t="s">
        <v>538</v>
      </c>
      <c r="AG197">
        <v>2.0462633451957202</v>
      </c>
      <c r="AH197" t="s">
        <v>515</v>
      </c>
      <c r="AI197">
        <v>0.895316804407713</v>
      </c>
      <c r="AJ197" t="s">
        <v>510</v>
      </c>
      <c r="AK197">
        <v>1.1182108626198</v>
      </c>
      <c r="AL197" t="s">
        <v>508</v>
      </c>
      <c r="AM197">
        <v>1.0749665327978499</v>
      </c>
      <c r="AN197" t="s">
        <v>529</v>
      </c>
      <c r="AO197">
        <v>1.1976284584980199</v>
      </c>
      <c r="AP197" t="s">
        <v>529</v>
      </c>
      <c r="AQ197">
        <v>1.3135313531353101</v>
      </c>
      <c r="AR197" t="s">
        <v>517</v>
      </c>
      <c r="AS197">
        <v>0.90767443449736895</v>
      </c>
      <c r="AT197" t="s">
        <v>517</v>
      </c>
      <c r="AU197">
        <v>1.1438036440295101</v>
      </c>
      <c r="AV197" t="s">
        <v>518</v>
      </c>
      <c r="AW197">
        <v>0.96473459426479502</v>
      </c>
      <c r="AX197" t="s">
        <v>517</v>
      </c>
      <c r="AY197">
        <v>1.00843454790823</v>
      </c>
      <c r="AZ197" t="s">
        <v>530</v>
      </c>
      <c r="BA197">
        <v>0.85430463576158899</v>
      </c>
      <c r="BB197" t="s">
        <v>530</v>
      </c>
      <c r="BC197">
        <v>0.82558139534883701</v>
      </c>
      <c r="BD197" t="s">
        <v>519</v>
      </c>
      <c r="BE197">
        <v>0.97499999999999998</v>
      </c>
      <c r="BF197" t="s">
        <v>519</v>
      </c>
      <c r="BG197">
        <v>1.1491841491841399</v>
      </c>
      <c r="BH197" t="s">
        <v>527</v>
      </c>
      <c r="BI197">
        <v>0.91012838801711804</v>
      </c>
      <c r="BJ197" t="s">
        <v>532</v>
      </c>
      <c r="BK197">
        <v>0.92897196261682202</v>
      </c>
      <c r="BL197" t="s">
        <v>527</v>
      </c>
      <c r="BM197">
        <v>0.95527728085867603</v>
      </c>
      <c r="BN197" t="s">
        <v>531</v>
      </c>
      <c r="BO197">
        <v>1.24139369914458</v>
      </c>
      <c r="BP197" t="s">
        <v>531</v>
      </c>
      <c r="BQ197">
        <v>1.0644257703081199</v>
      </c>
      <c r="BR197" t="s">
        <v>527</v>
      </c>
      <c r="BS197">
        <v>0.96785109983079498</v>
      </c>
      <c r="BT197" t="s">
        <v>532</v>
      </c>
      <c r="BU197">
        <v>1.0590659340659301</v>
      </c>
      <c r="BV197" t="s">
        <v>531</v>
      </c>
      <c r="BW197">
        <v>1.3816568047337201</v>
      </c>
    </row>
    <row r="198" spans="1:75" x14ac:dyDescent="0.4">
      <c r="A198">
        <v>196</v>
      </c>
      <c r="B198" t="s">
        <v>485</v>
      </c>
      <c r="C198">
        <v>1.01428571428571</v>
      </c>
      <c r="D198" t="s">
        <v>481</v>
      </c>
      <c r="E198">
        <v>0.90232558139534802</v>
      </c>
      <c r="F198" t="s">
        <v>490</v>
      </c>
      <c r="G198">
        <v>0.82012578616352205</v>
      </c>
      <c r="H198" t="s">
        <v>545</v>
      </c>
      <c r="I198">
        <v>1.41004005795619</v>
      </c>
      <c r="J198" t="s">
        <v>491</v>
      </c>
      <c r="K198">
        <v>1.4620689655172401</v>
      </c>
      <c r="L198" t="s">
        <v>496</v>
      </c>
      <c r="M198">
        <v>0.83511190858438</v>
      </c>
      <c r="N198" t="s">
        <v>498</v>
      </c>
      <c r="O198">
        <v>0.92526690391458999</v>
      </c>
      <c r="P198" t="s">
        <v>494</v>
      </c>
      <c r="Q198">
        <v>1.0046170106246799</v>
      </c>
      <c r="R198" t="s">
        <v>499</v>
      </c>
      <c r="S198">
        <v>1.3541666666666601</v>
      </c>
      <c r="T198" t="s">
        <v>503</v>
      </c>
      <c r="U198">
        <v>0.98580121703853896</v>
      </c>
      <c r="V198" t="s">
        <v>502</v>
      </c>
      <c r="W198">
        <v>1.0224299065420499</v>
      </c>
      <c r="X198" t="s">
        <v>498</v>
      </c>
      <c r="Y198">
        <v>0.89817232375979095</v>
      </c>
      <c r="Z198" t="s">
        <v>502</v>
      </c>
      <c r="AA198">
        <v>0.97419354838709604</v>
      </c>
      <c r="AB198" t="s">
        <v>536</v>
      </c>
      <c r="AC198">
        <v>1.29390681003584</v>
      </c>
      <c r="AD198" t="s">
        <v>538</v>
      </c>
      <c r="AE198">
        <v>0.51765428308259098</v>
      </c>
      <c r="AF198" t="s">
        <v>515</v>
      </c>
      <c r="AG198">
        <v>1.22016806722689</v>
      </c>
      <c r="AH198" t="s">
        <v>508</v>
      </c>
      <c r="AI198">
        <v>1.0472560975609699</v>
      </c>
      <c r="AJ198" t="s">
        <v>521</v>
      </c>
      <c r="AK198">
        <v>0.89267129228100595</v>
      </c>
      <c r="AL198" t="s">
        <v>510</v>
      </c>
      <c r="AM198">
        <v>1.27428571428571</v>
      </c>
      <c r="AN198" t="s">
        <v>513</v>
      </c>
      <c r="AO198">
        <v>1</v>
      </c>
      <c r="AP198" t="s">
        <v>513</v>
      </c>
      <c r="AQ198">
        <v>1.2214765100671101</v>
      </c>
      <c r="AR198" t="s">
        <v>518</v>
      </c>
      <c r="AS198">
        <v>0.91739077224329901</v>
      </c>
      <c r="AT198" t="s">
        <v>518</v>
      </c>
      <c r="AU198">
        <v>1.09324973319103</v>
      </c>
      <c r="AV198" t="s">
        <v>530</v>
      </c>
      <c r="AW198">
        <v>1.0100671140939499</v>
      </c>
      <c r="AX198" t="s">
        <v>518</v>
      </c>
      <c r="AY198">
        <v>0.951239564887427</v>
      </c>
      <c r="AZ198" t="s">
        <v>533</v>
      </c>
      <c r="BA198">
        <v>1.5866388308977</v>
      </c>
      <c r="BB198" t="s">
        <v>533</v>
      </c>
      <c r="BC198">
        <v>0.826315789473684</v>
      </c>
      <c r="BD198" t="s">
        <v>533</v>
      </c>
      <c r="BE198">
        <v>1.0525477707006301</v>
      </c>
      <c r="BF198" t="s">
        <v>533</v>
      </c>
      <c r="BG198">
        <v>1.9969742813918301</v>
      </c>
      <c r="BH198" t="s">
        <v>532</v>
      </c>
      <c r="BI198">
        <v>0.93449781659388598</v>
      </c>
      <c r="BJ198" t="s">
        <v>534</v>
      </c>
      <c r="BK198">
        <v>1.03452685421994</v>
      </c>
      <c r="BL198" t="s">
        <v>532</v>
      </c>
      <c r="BM198">
        <v>0.96076458752515004</v>
      </c>
      <c r="BN198" t="s">
        <v>532</v>
      </c>
      <c r="BO198">
        <v>0.91413612565445002</v>
      </c>
      <c r="BP198" t="s">
        <v>532</v>
      </c>
      <c r="BQ198">
        <v>0.87285223367697595</v>
      </c>
      <c r="BR198" t="s">
        <v>532</v>
      </c>
      <c r="BS198">
        <v>0.95538057742782101</v>
      </c>
      <c r="BT198" t="s">
        <v>534</v>
      </c>
      <c r="BU198">
        <v>1.0097087378640699</v>
      </c>
      <c r="BV198" t="s">
        <v>532</v>
      </c>
      <c r="BW198">
        <v>1.09987029831387</v>
      </c>
    </row>
    <row r="199" spans="1:75" x14ac:dyDescent="0.4">
      <c r="A199">
        <v>197</v>
      </c>
      <c r="B199" t="s">
        <v>479</v>
      </c>
      <c r="C199">
        <v>0.86403508771929804</v>
      </c>
      <c r="D199" t="s">
        <v>488</v>
      </c>
      <c r="E199">
        <v>1.0869565217391299</v>
      </c>
      <c r="F199" t="s">
        <v>524</v>
      </c>
      <c r="G199">
        <v>0.84792626728110598</v>
      </c>
      <c r="H199" t="s">
        <v>491</v>
      </c>
      <c r="I199">
        <v>1.06617647058823</v>
      </c>
      <c r="J199" t="s">
        <v>494</v>
      </c>
      <c r="K199">
        <v>1.4173278169871</v>
      </c>
      <c r="L199" t="s">
        <v>499</v>
      </c>
      <c r="M199">
        <v>1.0563002680965099</v>
      </c>
      <c r="N199" t="s">
        <v>499</v>
      </c>
      <c r="O199">
        <v>1.1878172588832401</v>
      </c>
      <c r="P199" t="s">
        <v>498</v>
      </c>
      <c r="Q199">
        <v>1.40384615384615</v>
      </c>
      <c r="R199" t="s">
        <v>501</v>
      </c>
      <c r="S199">
        <v>0.97004132231404905</v>
      </c>
      <c r="T199" t="s">
        <v>535</v>
      </c>
      <c r="U199">
        <v>0.74451718494271601</v>
      </c>
      <c r="V199" t="s">
        <v>503</v>
      </c>
      <c r="W199">
        <v>1.11316872427983</v>
      </c>
      <c r="X199" t="s">
        <v>500</v>
      </c>
      <c r="Y199">
        <v>0.83834586466165395</v>
      </c>
      <c r="Z199" t="s">
        <v>535</v>
      </c>
      <c r="AA199">
        <v>1.29282542650151</v>
      </c>
      <c r="AB199" t="s">
        <v>538</v>
      </c>
      <c r="AC199">
        <v>0.68556874631640896</v>
      </c>
      <c r="AD199" t="s">
        <v>521</v>
      </c>
      <c r="AE199">
        <v>0.78821069401573196</v>
      </c>
      <c r="AF199" t="s">
        <v>521</v>
      </c>
      <c r="AG199">
        <v>1.09609230250968</v>
      </c>
      <c r="AH199" t="s">
        <v>521</v>
      </c>
      <c r="AI199">
        <v>0.62013061851709494</v>
      </c>
      <c r="AJ199" t="s">
        <v>513</v>
      </c>
      <c r="AK199">
        <v>1.1584889274858801</v>
      </c>
      <c r="AL199" t="s">
        <v>513</v>
      </c>
      <c r="AM199">
        <v>1.39617691154422</v>
      </c>
      <c r="AN199" t="s">
        <v>517</v>
      </c>
      <c r="AO199">
        <v>1.2934030856534799</v>
      </c>
      <c r="AP199" t="s">
        <v>517</v>
      </c>
      <c r="AQ199">
        <v>1.0031534928360799</v>
      </c>
      <c r="AR199" t="s">
        <v>519</v>
      </c>
      <c r="AS199">
        <v>1.03778337531486</v>
      </c>
      <c r="AT199" t="s">
        <v>519</v>
      </c>
      <c r="AU199">
        <v>1.30825242718446</v>
      </c>
      <c r="AV199" t="s">
        <v>533</v>
      </c>
      <c r="AW199">
        <v>1.0480446927374301</v>
      </c>
      <c r="AX199" t="s">
        <v>530</v>
      </c>
      <c r="AY199">
        <v>1.0033222591362101</v>
      </c>
      <c r="AZ199" t="s">
        <v>523</v>
      </c>
      <c r="BA199">
        <v>0.92993760867341702</v>
      </c>
      <c r="BB199" t="s">
        <v>523</v>
      </c>
      <c r="BC199">
        <v>0.91652001759788804</v>
      </c>
      <c r="BD199" t="s">
        <v>523</v>
      </c>
      <c r="BE199">
        <v>1.29797191887675</v>
      </c>
      <c r="BF199" t="s">
        <v>523</v>
      </c>
      <c r="BG199">
        <v>1.2620192307692299</v>
      </c>
      <c r="BH199" t="s">
        <v>534</v>
      </c>
      <c r="BI199">
        <v>0.94673123486682798</v>
      </c>
      <c r="BJ199" t="s">
        <v>537</v>
      </c>
      <c r="BK199">
        <v>1.2270742358078599</v>
      </c>
      <c r="BL199" t="s">
        <v>534</v>
      </c>
      <c r="BM199">
        <v>0.97898640296662498</v>
      </c>
      <c r="BN199" t="s">
        <v>534</v>
      </c>
      <c r="BO199">
        <v>1.1489898989898899</v>
      </c>
      <c r="BP199" t="s">
        <v>534</v>
      </c>
      <c r="BQ199">
        <v>1.02967032967032</v>
      </c>
      <c r="BR199" t="s">
        <v>534</v>
      </c>
      <c r="BS199">
        <v>1.09925293489861</v>
      </c>
      <c r="BT199" t="s">
        <v>537</v>
      </c>
      <c r="BU199">
        <v>1.13043478260869</v>
      </c>
      <c r="BV199" t="s">
        <v>534</v>
      </c>
      <c r="BW199">
        <v>1.21634615384615</v>
      </c>
    </row>
    <row r="200" spans="1:75" x14ac:dyDescent="0.4">
      <c r="A200">
        <v>198</v>
      </c>
      <c r="B200" t="s">
        <v>481</v>
      </c>
      <c r="C200">
        <v>1.02380952380952</v>
      </c>
      <c r="D200" t="s">
        <v>490</v>
      </c>
      <c r="E200">
        <v>1.04330708661417</v>
      </c>
      <c r="F200" t="s">
        <v>491</v>
      </c>
      <c r="G200">
        <v>0.79069767441860395</v>
      </c>
      <c r="H200" t="s">
        <v>494</v>
      </c>
      <c r="I200">
        <v>1.2575748301401699</v>
      </c>
      <c r="J200" t="s">
        <v>514</v>
      </c>
      <c r="K200">
        <v>1.2777777777777699</v>
      </c>
      <c r="L200" t="s">
        <v>502</v>
      </c>
      <c r="M200">
        <v>0.82807017543859596</v>
      </c>
      <c r="N200" t="s">
        <v>502</v>
      </c>
      <c r="O200">
        <v>0.93220338983050799</v>
      </c>
      <c r="P200" t="s">
        <v>499</v>
      </c>
      <c r="Q200">
        <v>0.82051282051282004</v>
      </c>
      <c r="R200" t="s">
        <v>502</v>
      </c>
      <c r="S200">
        <v>0.84663341645885204</v>
      </c>
      <c r="T200" t="s">
        <v>536</v>
      </c>
      <c r="U200">
        <v>1.0400866738894901</v>
      </c>
      <c r="V200" t="s">
        <v>536</v>
      </c>
      <c r="W200">
        <v>1.0833333333333299</v>
      </c>
      <c r="X200" t="s">
        <v>502</v>
      </c>
      <c r="Y200">
        <v>1.13345521023766</v>
      </c>
      <c r="Z200" t="s">
        <v>520</v>
      </c>
      <c r="AA200">
        <v>0.99050203527815395</v>
      </c>
      <c r="AB200" t="s">
        <v>521</v>
      </c>
      <c r="AC200">
        <v>1.36068646268488</v>
      </c>
      <c r="AD200" t="s">
        <v>517</v>
      </c>
      <c r="AE200">
        <v>0.86032388663967596</v>
      </c>
      <c r="AF200" t="s">
        <v>517</v>
      </c>
      <c r="AG200">
        <v>1.22371764705882</v>
      </c>
      <c r="AH200" t="s">
        <v>517</v>
      </c>
      <c r="AI200">
        <v>0.83156437471158196</v>
      </c>
      <c r="AJ200" t="s">
        <v>517</v>
      </c>
      <c r="AK200">
        <v>1.01720310765815</v>
      </c>
      <c r="AL200" t="s">
        <v>517</v>
      </c>
      <c r="AM200">
        <v>1.0254591743953401</v>
      </c>
      <c r="AN200" t="s">
        <v>518</v>
      </c>
      <c r="AO200">
        <v>1.2036724031960599</v>
      </c>
      <c r="AP200" t="s">
        <v>518</v>
      </c>
      <c r="AQ200">
        <v>1.04308418969809</v>
      </c>
      <c r="AR200" t="s">
        <v>530</v>
      </c>
      <c r="AS200">
        <v>1.09191176470588</v>
      </c>
      <c r="AT200" t="s">
        <v>530</v>
      </c>
      <c r="AU200">
        <v>1.0033670033669999</v>
      </c>
      <c r="AV200" t="s">
        <v>523</v>
      </c>
      <c r="AW200">
        <v>0.93273824490822199</v>
      </c>
      <c r="AX200" t="s">
        <v>533</v>
      </c>
      <c r="AY200">
        <v>1.0213219616204601</v>
      </c>
      <c r="AZ200" t="s">
        <v>527</v>
      </c>
      <c r="BA200">
        <v>1.03443468562665</v>
      </c>
      <c r="BB200" t="s">
        <v>527</v>
      </c>
      <c r="BC200">
        <v>0.81536388140161697</v>
      </c>
      <c r="BD200" t="s">
        <v>527</v>
      </c>
      <c r="BE200">
        <v>1.1272727272727201</v>
      </c>
      <c r="BF200" t="s">
        <v>527</v>
      </c>
      <c r="BG200">
        <v>1.02785923753665</v>
      </c>
      <c r="BH200" t="s">
        <v>540</v>
      </c>
      <c r="BI200">
        <v>0.82978723404255295</v>
      </c>
      <c r="BJ200" t="s">
        <v>540</v>
      </c>
      <c r="BK200">
        <v>1.3504273504273501</v>
      </c>
      <c r="BL200" t="s">
        <v>537</v>
      </c>
      <c r="BM200">
        <v>1.0427046263345101</v>
      </c>
      <c r="BN200" t="s">
        <v>537</v>
      </c>
      <c r="BO200">
        <v>0.89761092150170596</v>
      </c>
      <c r="BP200" t="s">
        <v>537</v>
      </c>
      <c r="BQ200">
        <v>1.2357414448669199</v>
      </c>
      <c r="BR200" t="s">
        <v>537</v>
      </c>
      <c r="BS200">
        <v>0.84923076923076901</v>
      </c>
      <c r="BT200" t="s">
        <v>539</v>
      </c>
      <c r="BU200">
        <v>1.05626598465473</v>
      </c>
      <c r="BV200" t="s">
        <v>537</v>
      </c>
      <c r="BW200">
        <v>1.0192307692307601</v>
      </c>
    </row>
    <row r="201" spans="1:75" x14ac:dyDescent="0.4">
      <c r="A201">
        <v>199</v>
      </c>
      <c r="B201" t="s">
        <v>488</v>
      </c>
      <c r="C201">
        <v>1.0474383301707699</v>
      </c>
      <c r="D201" t="s">
        <v>524</v>
      </c>
      <c r="E201">
        <v>0.78057553956834502</v>
      </c>
      <c r="F201" t="s">
        <v>494</v>
      </c>
      <c r="G201">
        <v>0.65676381909547699</v>
      </c>
      <c r="H201" t="s">
        <v>503</v>
      </c>
      <c r="I201">
        <v>0.97350858768928406</v>
      </c>
      <c r="J201" t="s">
        <v>503</v>
      </c>
      <c r="K201">
        <v>1.36054563802763</v>
      </c>
      <c r="L201" t="s">
        <v>503</v>
      </c>
      <c r="M201">
        <v>1.31720292598086</v>
      </c>
      <c r="N201" t="s">
        <v>503</v>
      </c>
      <c r="O201">
        <v>1.1262135922330001</v>
      </c>
      <c r="P201" t="s">
        <v>502</v>
      </c>
      <c r="Q201">
        <v>0.91136363636363604</v>
      </c>
      <c r="R201" t="s">
        <v>503</v>
      </c>
      <c r="S201">
        <v>1.01128205128205</v>
      </c>
      <c r="T201" t="s">
        <v>515</v>
      </c>
      <c r="U201">
        <v>1.3290004571383101</v>
      </c>
      <c r="V201" t="s">
        <v>538</v>
      </c>
      <c r="W201">
        <v>1.22185347750062</v>
      </c>
      <c r="X201" t="s">
        <v>536</v>
      </c>
      <c r="Y201">
        <v>1.15384615384615</v>
      </c>
      <c r="Z201" t="s">
        <v>536</v>
      </c>
      <c r="AA201">
        <v>1.1625000000000001</v>
      </c>
      <c r="AB201" t="s">
        <v>517</v>
      </c>
      <c r="AC201">
        <v>0.84938101788170495</v>
      </c>
      <c r="AD201" t="s">
        <v>518</v>
      </c>
      <c r="AE201">
        <v>0.83224036402569501</v>
      </c>
      <c r="AF201" t="s">
        <v>518</v>
      </c>
      <c r="AG201">
        <v>1.1666800675404001</v>
      </c>
      <c r="AH201" t="s">
        <v>518</v>
      </c>
      <c r="AI201">
        <v>0.97346657477601595</v>
      </c>
      <c r="AJ201" t="s">
        <v>518</v>
      </c>
      <c r="AK201">
        <v>0.89415929203539801</v>
      </c>
      <c r="AL201" t="s">
        <v>518</v>
      </c>
      <c r="AM201">
        <v>1.03056215360253</v>
      </c>
      <c r="AN201" t="s">
        <v>533</v>
      </c>
      <c r="AO201">
        <v>0.97533206831119501</v>
      </c>
      <c r="AP201" t="s">
        <v>533</v>
      </c>
      <c r="AQ201">
        <v>0.96206225680933799</v>
      </c>
      <c r="AR201" t="s">
        <v>533</v>
      </c>
      <c r="AS201">
        <v>0.88978766430738099</v>
      </c>
      <c r="AT201" t="s">
        <v>533</v>
      </c>
      <c r="AU201">
        <v>1.0170454545454499</v>
      </c>
      <c r="AV201" t="s">
        <v>527</v>
      </c>
      <c r="AW201">
        <v>1.0957040968651499</v>
      </c>
      <c r="AX201" t="s">
        <v>527</v>
      </c>
      <c r="AY201">
        <v>1.0858310626702901</v>
      </c>
      <c r="AZ201" t="s">
        <v>532</v>
      </c>
      <c r="BA201">
        <v>1.08411214953271</v>
      </c>
      <c r="BB201" t="s">
        <v>532</v>
      </c>
      <c r="BC201">
        <v>0.86637931034482696</v>
      </c>
      <c r="BD201" t="s">
        <v>532</v>
      </c>
      <c r="BE201">
        <v>1.16417910447761</v>
      </c>
      <c r="BF201" t="s">
        <v>532</v>
      </c>
      <c r="BG201">
        <v>0.97863247863247804</v>
      </c>
      <c r="BH201" t="s">
        <v>539</v>
      </c>
      <c r="BI201">
        <v>0.85499506327977703</v>
      </c>
      <c r="BJ201" t="s">
        <v>539</v>
      </c>
      <c r="BK201">
        <v>1.0733819746994899</v>
      </c>
      <c r="BL201" t="s">
        <v>539</v>
      </c>
      <c r="BM201">
        <v>1.0141816225732301</v>
      </c>
      <c r="BN201" t="s">
        <v>540</v>
      </c>
      <c r="BO201">
        <v>1.48</v>
      </c>
      <c r="BP201" t="s">
        <v>539</v>
      </c>
      <c r="BQ201">
        <v>0.92011533242876498</v>
      </c>
      <c r="BR201" t="s">
        <v>539</v>
      </c>
      <c r="BS201">
        <v>0.90092165898617504</v>
      </c>
      <c r="BT201" t="s">
        <v>541</v>
      </c>
      <c r="BU201">
        <v>1.0909090909090899</v>
      </c>
      <c r="BV201" t="s">
        <v>539</v>
      </c>
      <c r="BW201">
        <v>0.94430992736077402</v>
      </c>
    </row>
    <row r="202" spans="1:75" x14ac:dyDescent="0.4">
      <c r="A202">
        <v>200</v>
      </c>
    </row>
    <row r="203" spans="1:75" x14ac:dyDescent="0.4">
      <c r="A203">
        <v>201</v>
      </c>
    </row>
    <row r="204" spans="1:75" x14ac:dyDescent="0.4">
      <c r="A204">
        <v>202</v>
      </c>
    </row>
    <row r="205" spans="1:75" x14ac:dyDescent="0.4">
      <c r="A205">
        <v>203</v>
      </c>
    </row>
    <row r="206" spans="1:75" x14ac:dyDescent="0.4">
      <c r="A206">
        <v>204</v>
      </c>
    </row>
    <row r="207" spans="1:75" x14ac:dyDescent="0.4">
      <c r="A207">
        <v>205</v>
      </c>
    </row>
    <row r="208" spans="1:75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9" x14ac:dyDescent="0.4">
      <c r="A993">
        <v>991</v>
      </c>
    </row>
    <row r="994" spans="1:69" x14ac:dyDescent="0.4">
      <c r="A994">
        <v>992</v>
      </c>
    </row>
    <row r="995" spans="1:69" x14ac:dyDescent="0.4">
      <c r="A995">
        <v>993</v>
      </c>
    </row>
    <row r="996" spans="1:69" x14ac:dyDescent="0.4">
      <c r="A996">
        <v>994</v>
      </c>
    </row>
    <row r="997" spans="1:69" x14ac:dyDescent="0.4">
      <c r="A997">
        <v>995</v>
      </c>
      <c r="BQ997" t="s">
        <v>664</v>
      </c>
    </row>
    <row r="998" spans="1:69" x14ac:dyDescent="0.4">
      <c r="A998">
        <v>996</v>
      </c>
      <c r="B998">
        <v>0.101449275362318</v>
      </c>
      <c r="C998">
        <v>3.7878787878787797E-2</v>
      </c>
      <c r="D998">
        <v>0.15032679738561999</v>
      </c>
      <c r="E998">
        <v>0.18817204301075199</v>
      </c>
      <c r="F998">
        <v>1.1560693641618399E-2</v>
      </c>
      <c r="G998">
        <v>4.1176470588235203E-2</v>
      </c>
      <c r="H998">
        <v>4.2424242424242399E-2</v>
      </c>
      <c r="I998">
        <v>0.122699386503067</v>
      </c>
      <c r="J998">
        <v>8.8235294117646995E-2</v>
      </c>
      <c r="K998">
        <v>8.7431693989070997E-2</v>
      </c>
      <c r="L998">
        <v>4.7872340425531901E-2</v>
      </c>
      <c r="M998">
        <v>5.1813471502590601E-2</v>
      </c>
      <c r="N998">
        <v>2.7932960893854698E-2</v>
      </c>
      <c r="O998">
        <v>8.9005235602094196E-2</v>
      </c>
      <c r="P998">
        <v>0.12</v>
      </c>
      <c r="Q998">
        <v>0.16500000000000001</v>
      </c>
      <c r="R998">
        <v>0.06</v>
      </c>
      <c r="S998">
        <v>0.11</v>
      </c>
      <c r="T998">
        <v>0.215</v>
      </c>
      <c r="U998">
        <v>0.14000000000000001</v>
      </c>
      <c r="V998">
        <v>0.11</v>
      </c>
      <c r="W998">
        <v>0.12</v>
      </c>
      <c r="X998">
        <v>0.12</v>
      </c>
      <c r="Y998">
        <v>0.105</v>
      </c>
      <c r="Z998">
        <v>0.24</v>
      </c>
      <c r="AA998">
        <v>0.16500000000000001</v>
      </c>
      <c r="AB998">
        <v>0.2</v>
      </c>
      <c r="AC998">
        <v>0.125</v>
      </c>
      <c r="AD998">
        <v>0.12</v>
      </c>
      <c r="AE998">
        <v>0.18</v>
      </c>
      <c r="AF998">
        <v>0.315</v>
      </c>
      <c r="AG998">
        <v>0.115</v>
      </c>
      <c r="AH998">
        <v>0.22500000000000001</v>
      </c>
      <c r="AI998">
        <v>0.125</v>
      </c>
      <c r="AJ998">
        <v>0.115</v>
      </c>
      <c r="AK998">
        <v>0.115</v>
      </c>
      <c r="AL998">
        <v>0.12</v>
      </c>
      <c r="AM998">
        <v>9.5000000000000001E-2</v>
      </c>
      <c r="AN998">
        <v>0.12</v>
      </c>
      <c r="AO998">
        <v>0.14000000000000001</v>
      </c>
      <c r="AP998">
        <v>0.14499999999999999</v>
      </c>
      <c r="AQ998">
        <v>0.125</v>
      </c>
      <c r="AR998">
        <v>0.14499999999999999</v>
      </c>
      <c r="AS998">
        <v>0.17</v>
      </c>
      <c r="AT998">
        <v>0.17499999999999999</v>
      </c>
      <c r="AU998">
        <v>0.115</v>
      </c>
      <c r="AV998">
        <v>0.16</v>
      </c>
      <c r="AW998">
        <v>0.14499999999999999</v>
      </c>
      <c r="AX998">
        <v>0.17499999999999999</v>
      </c>
      <c r="AY998">
        <v>0.14000000000000001</v>
      </c>
      <c r="AZ998">
        <v>0.1</v>
      </c>
      <c r="BA998">
        <v>0.115</v>
      </c>
      <c r="BB998">
        <v>0.13</v>
      </c>
      <c r="BC998">
        <v>0.14499999999999999</v>
      </c>
      <c r="BD998">
        <v>0.185</v>
      </c>
      <c r="BE998">
        <v>0.13</v>
      </c>
      <c r="BF998">
        <v>0.185</v>
      </c>
      <c r="BG998">
        <v>0.12</v>
      </c>
      <c r="BH998">
        <v>0.13</v>
      </c>
      <c r="BI998">
        <v>0.11</v>
      </c>
      <c r="BJ998">
        <v>0.105</v>
      </c>
      <c r="BK998">
        <v>0.11</v>
      </c>
      <c r="BL998">
        <v>0.105</v>
      </c>
      <c r="BM998">
        <v>9.5000000000000001E-2</v>
      </c>
      <c r="BQ998">
        <f>AVERAGE(AD998:BM998)</f>
        <v>0.14013888888888892</v>
      </c>
    </row>
    <row r="999" spans="1:69" x14ac:dyDescent="0.4">
      <c r="A999">
        <v>997</v>
      </c>
      <c r="B999" s="27">
        <v>20010531</v>
      </c>
      <c r="C999" s="27">
        <v>20010831</v>
      </c>
      <c r="D999" s="27">
        <v>20011130</v>
      </c>
      <c r="E999" s="27">
        <v>20020228</v>
      </c>
      <c r="F999" s="27">
        <v>20020531</v>
      </c>
      <c r="G999" s="27">
        <v>20020830</v>
      </c>
      <c r="H999" s="27">
        <v>20021129</v>
      </c>
      <c r="I999" s="27">
        <v>20030228</v>
      </c>
      <c r="J999" s="27">
        <v>20030530</v>
      </c>
      <c r="K999" s="27">
        <v>20030829</v>
      </c>
      <c r="L999" s="27">
        <v>20031128</v>
      </c>
      <c r="M999" s="27">
        <v>20040227</v>
      </c>
      <c r="N999" s="27">
        <v>20040531</v>
      </c>
      <c r="O999" s="27">
        <v>20040831</v>
      </c>
      <c r="P999" s="27">
        <v>20041130</v>
      </c>
      <c r="Q999" s="27">
        <v>20050228</v>
      </c>
      <c r="R999" s="27">
        <v>20050531</v>
      </c>
      <c r="S999" s="27">
        <v>20050831</v>
      </c>
      <c r="T999" s="27">
        <v>20051130</v>
      </c>
      <c r="U999" s="27">
        <v>20060228</v>
      </c>
      <c r="V999" s="27">
        <v>20060530</v>
      </c>
      <c r="W999" s="27">
        <v>20060831</v>
      </c>
      <c r="X999" s="27">
        <v>20061130</v>
      </c>
      <c r="Y999" s="27">
        <v>20070228</v>
      </c>
      <c r="Z999" s="27">
        <v>20070531</v>
      </c>
      <c r="AA999" s="27">
        <v>20070831</v>
      </c>
      <c r="AB999" s="27">
        <v>20071130</v>
      </c>
      <c r="AC999" s="27">
        <v>20080229</v>
      </c>
      <c r="AD999" s="27">
        <v>20080530</v>
      </c>
      <c r="AE999" s="27">
        <v>20080829</v>
      </c>
      <c r="AF999" s="27">
        <v>20081128</v>
      </c>
      <c r="AG999" s="27">
        <v>20090227</v>
      </c>
      <c r="AH999" s="27">
        <v>20090529</v>
      </c>
      <c r="AI999" s="27">
        <v>20090831</v>
      </c>
      <c r="AJ999" s="27">
        <v>20091130</v>
      </c>
      <c r="AK999" s="27">
        <v>20100226</v>
      </c>
      <c r="AL999" s="27">
        <v>20100531</v>
      </c>
      <c r="AM999" s="27">
        <v>20100831</v>
      </c>
      <c r="AN999" s="27">
        <v>20101130</v>
      </c>
      <c r="AO999" s="27">
        <v>20110228</v>
      </c>
      <c r="AP999" s="27">
        <v>20110531</v>
      </c>
      <c r="AQ999" s="27">
        <v>20110831</v>
      </c>
      <c r="AR999" s="27">
        <v>20111130</v>
      </c>
      <c r="AS999" s="27">
        <v>20120229</v>
      </c>
      <c r="AT999" s="27">
        <v>20120531</v>
      </c>
      <c r="AU999" s="27">
        <v>20120831</v>
      </c>
      <c r="AV999" s="27">
        <v>20121130</v>
      </c>
      <c r="AW999" s="27">
        <v>20130228</v>
      </c>
      <c r="AX999" s="27">
        <v>20130531</v>
      </c>
      <c r="AY999" s="27">
        <v>20130830</v>
      </c>
      <c r="AZ999" s="27">
        <v>20131129</v>
      </c>
      <c r="BA999" s="27">
        <v>20140228</v>
      </c>
      <c r="BB999" s="27">
        <v>20140530</v>
      </c>
      <c r="BC999" s="27">
        <v>20140829</v>
      </c>
      <c r="BD999" s="27">
        <v>20141128</v>
      </c>
      <c r="BE999" s="27">
        <v>20150227</v>
      </c>
      <c r="BF999" s="27">
        <v>20150529</v>
      </c>
      <c r="BG999" s="27">
        <v>20150831</v>
      </c>
      <c r="BH999" s="27">
        <v>20151130</v>
      </c>
      <c r="BI999" s="27">
        <v>20160229</v>
      </c>
      <c r="BJ999" s="27">
        <v>20160531</v>
      </c>
      <c r="BK999" s="27">
        <v>20160831</v>
      </c>
      <c r="BL999" s="27">
        <v>20161130</v>
      </c>
      <c r="BM999" s="27">
        <v>20170228</v>
      </c>
      <c r="BN999" s="27">
        <v>20170531</v>
      </c>
      <c r="BP999" s="27"/>
      <c r="BQ999" s="27"/>
    </row>
    <row r="1000" spans="1:69" x14ac:dyDescent="0.4">
      <c r="A1000">
        <v>998</v>
      </c>
      <c r="B1000" t="b">
        <v>1</v>
      </c>
      <c r="C1000" t="b">
        <v>1</v>
      </c>
      <c r="D1000" t="b">
        <v>1</v>
      </c>
      <c r="E1000" t="b">
        <v>1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1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</row>
    <row r="1001" spans="1:69" x14ac:dyDescent="0.4">
      <c r="A1001">
        <v>999</v>
      </c>
      <c r="B1001">
        <f>IF(B1000=TRUE,1,0)</f>
        <v>1</v>
      </c>
      <c r="C1001">
        <f t="shared" ref="C1001:BN1001" si="0">IF(C1000=TRUE,1,0)</f>
        <v>1</v>
      </c>
      <c r="D1001">
        <f t="shared" si="0"/>
        <v>1</v>
      </c>
      <c r="E1001">
        <f t="shared" si="0"/>
        <v>1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1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20</v>
      </c>
      <c r="BP1001">
        <v>37</v>
      </c>
      <c r="BQ1001">
        <f>BO1001/BP1001</f>
        <v>0.54054054054054057</v>
      </c>
    </row>
    <row r="1002" spans="1:69" x14ac:dyDescent="0.4">
      <c r="B1002" s="28">
        <v>20010228</v>
      </c>
      <c r="C1002" s="28">
        <v>20010531</v>
      </c>
      <c r="D1002" s="28">
        <v>20010831</v>
      </c>
      <c r="E1002" s="28">
        <v>20011130</v>
      </c>
      <c r="F1002" s="28">
        <v>20020228</v>
      </c>
      <c r="G1002" s="28">
        <v>20020531</v>
      </c>
      <c r="H1002" s="28">
        <v>20020830</v>
      </c>
      <c r="I1002" s="28">
        <v>20021129</v>
      </c>
      <c r="J1002" s="28">
        <v>20030228</v>
      </c>
      <c r="K1002" s="28">
        <v>20030530</v>
      </c>
      <c r="L1002" s="28">
        <v>20030829</v>
      </c>
      <c r="M1002" s="28">
        <v>20031128</v>
      </c>
      <c r="N1002" s="28">
        <v>20040227</v>
      </c>
      <c r="O1002" s="28">
        <v>20040531</v>
      </c>
      <c r="P1002" s="28">
        <v>20040831</v>
      </c>
      <c r="Q1002" s="28">
        <v>20041130</v>
      </c>
      <c r="R1002" s="28">
        <v>20050228</v>
      </c>
      <c r="S1002" s="28">
        <v>20050531</v>
      </c>
      <c r="T1002" s="28">
        <v>20050831</v>
      </c>
      <c r="U1002" s="28">
        <v>20051130</v>
      </c>
      <c r="V1002" s="28">
        <v>20060228</v>
      </c>
      <c r="W1002" s="28">
        <v>20060530</v>
      </c>
      <c r="X1002" s="28">
        <v>20060831</v>
      </c>
      <c r="Y1002" s="28">
        <v>20061130</v>
      </c>
      <c r="Z1002" s="28">
        <v>20070228</v>
      </c>
      <c r="AA1002" s="28">
        <v>20070531</v>
      </c>
      <c r="AB1002" s="28">
        <v>20070831</v>
      </c>
      <c r="AC1002" s="28">
        <v>20071130</v>
      </c>
      <c r="AD1002" s="28">
        <v>20080229</v>
      </c>
      <c r="AE1002" s="28">
        <v>20080530</v>
      </c>
      <c r="AF1002" s="28">
        <v>20080829</v>
      </c>
      <c r="AG1002" s="28">
        <v>20081128</v>
      </c>
      <c r="AH1002" s="28">
        <v>20090227</v>
      </c>
      <c r="AI1002" s="28">
        <v>20090529</v>
      </c>
      <c r="AJ1002" s="28">
        <v>20090831</v>
      </c>
      <c r="AK1002" s="28">
        <v>20091130</v>
      </c>
      <c r="AL1002" s="28">
        <v>20100226</v>
      </c>
      <c r="AM1002" s="28">
        <v>20100531</v>
      </c>
      <c r="AN1002" s="28">
        <v>20100831</v>
      </c>
      <c r="AO1002" s="28">
        <v>20101130</v>
      </c>
      <c r="AP1002" s="28">
        <v>20110228</v>
      </c>
      <c r="AQ1002" s="28">
        <v>20110531</v>
      </c>
      <c r="AR1002" s="28">
        <v>20110831</v>
      </c>
      <c r="AS1002" s="28">
        <v>20111130</v>
      </c>
      <c r="AT1002" s="28">
        <v>20120229</v>
      </c>
      <c r="AU1002" s="28">
        <v>20120531</v>
      </c>
      <c r="AV1002" s="28">
        <v>20120831</v>
      </c>
      <c r="AW1002" s="28">
        <v>20121130</v>
      </c>
      <c r="AX1002" s="28">
        <v>20130228</v>
      </c>
      <c r="AY1002" s="28">
        <v>20130531</v>
      </c>
      <c r="AZ1002" s="28">
        <v>20130830</v>
      </c>
      <c r="BA1002" s="28">
        <v>20131129</v>
      </c>
      <c r="BB1002" s="28">
        <v>20140228</v>
      </c>
      <c r="BC1002" s="28">
        <v>20140530</v>
      </c>
      <c r="BD1002" s="28">
        <v>20140829</v>
      </c>
      <c r="BE1002" s="28">
        <v>20141128</v>
      </c>
      <c r="BF1002" s="28">
        <v>20150227</v>
      </c>
      <c r="BG1002" s="28">
        <v>20150529</v>
      </c>
      <c r="BH1002" s="28">
        <v>20150831</v>
      </c>
      <c r="BI1002" s="28">
        <v>20151130</v>
      </c>
      <c r="BJ1002" s="28">
        <v>20160229</v>
      </c>
      <c r="BK1002" s="28">
        <v>20160531</v>
      </c>
      <c r="BL1002" s="28">
        <v>20160831</v>
      </c>
      <c r="BM1002" s="28">
        <v>20161130</v>
      </c>
      <c r="BN1002" s="28">
        <v>20170228</v>
      </c>
    </row>
    <row r="1003" spans="1:69" x14ac:dyDescent="0.4">
      <c r="A1003" t="s">
        <v>665</v>
      </c>
      <c r="B1003" s="15">
        <v>0.158730158730158</v>
      </c>
      <c r="C1003" s="15">
        <v>0.137681159420289</v>
      </c>
      <c r="D1003" s="15">
        <v>0.13636363636363599</v>
      </c>
      <c r="E1003" s="15">
        <v>0.11764705882352899</v>
      </c>
      <c r="F1003" s="15">
        <v>0.123655913978494</v>
      </c>
      <c r="G1003" s="15">
        <v>0.12138728323699401</v>
      </c>
      <c r="H1003" s="15">
        <v>0.129411764705882</v>
      </c>
      <c r="I1003" s="15">
        <v>0.12121212121212099</v>
      </c>
      <c r="J1003" s="15">
        <v>0.11656441717791401</v>
      </c>
      <c r="K1003" s="15">
        <v>0.123529411764705</v>
      </c>
      <c r="L1003" s="15">
        <v>0.13114754098360601</v>
      </c>
      <c r="M1003" s="15">
        <v>0.12765957446808501</v>
      </c>
      <c r="N1003" s="15">
        <v>0.124352331606217</v>
      </c>
      <c r="O1003" s="15">
        <v>0.117318435754189</v>
      </c>
      <c r="P1003" s="15">
        <v>0.115183246073298</v>
      </c>
      <c r="Q1003" s="15">
        <v>0.105</v>
      </c>
      <c r="R1003" s="15">
        <v>0.08</v>
      </c>
      <c r="S1003" s="15">
        <v>0.09</v>
      </c>
      <c r="T1003" s="15">
        <v>8.5000000000000006E-2</v>
      </c>
      <c r="U1003" s="15">
        <v>0.08</v>
      </c>
      <c r="V1003" s="15">
        <v>8.5000000000000006E-2</v>
      </c>
      <c r="W1003" s="15">
        <v>0.1</v>
      </c>
      <c r="X1003" s="15">
        <v>0.08</v>
      </c>
      <c r="Y1003" s="15">
        <v>8.5000000000000006E-2</v>
      </c>
      <c r="Z1003" s="15">
        <v>7.0000000000000007E-2</v>
      </c>
      <c r="AA1003" s="15">
        <v>6.5000000000000002E-2</v>
      </c>
      <c r="AB1003" s="15">
        <v>0.05</v>
      </c>
      <c r="AC1003" s="15">
        <v>5.5E-2</v>
      </c>
      <c r="AD1003" s="15">
        <v>0.06</v>
      </c>
      <c r="AE1003" s="15">
        <v>0.05</v>
      </c>
      <c r="AF1003" s="15">
        <v>7.0000000000000007E-2</v>
      </c>
      <c r="AG1003" s="15">
        <v>0.05</v>
      </c>
      <c r="AH1003" s="15">
        <v>5.5E-2</v>
      </c>
      <c r="AI1003" s="15">
        <v>5.5E-2</v>
      </c>
      <c r="AJ1003" s="15">
        <v>0.04</v>
      </c>
      <c r="AK1003" s="15">
        <v>4.4999999999999998E-2</v>
      </c>
      <c r="AL1003" s="15">
        <v>0.05</v>
      </c>
      <c r="AM1003" s="15">
        <v>0.04</v>
      </c>
      <c r="AN1003" s="15">
        <v>6.5000000000000002E-2</v>
      </c>
      <c r="AO1003" s="15">
        <v>5.5E-2</v>
      </c>
      <c r="AP1003" s="15">
        <v>4.4999999999999998E-2</v>
      </c>
      <c r="AQ1003" s="15">
        <v>0.05</v>
      </c>
      <c r="AR1003" s="15">
        <v>7.4999999999999997E-2</v>
      </c>
      <c r="AS1003" s="15">
        <v>6.5000000000000002E-2</v>
      </c>
      <c r="AT1003" s="15">
        <v>3.5000000000000003E-2</v>
      </c>
      <c r="AU1003" s="15">
        <v>5.5E-2</v>
      </c>
      <c r="AV1003" s="15">
        <v>0.05</v>
      </c>
      <c r="AW1003" s="15">
        <v>3.5000000000000003E-2</v>
      </c>
      <c r="AX1003" s="15">
        <v>3.5000000000000003E-2</v>
      </c>
      <c r="AY1003" s="15">
        <v>2.5000000000000001E-2</v>
      </c>
      <c r="AZ1003" s="15">
        <v>0.03</v>
      </c>
      <c r="BA1003" s="15">
        <v>0.04</v>
      </c>
      <c r="BB1003" s="15">
        <v>0.05</v>
      </c>
      <c r="BC1003" s="15">
        <v>0.06</v>
      </c>
      <c r="BD1003" s="15">
        <v>4.4999999999999998E-2</v>
      </c>
      <c r="BE1003" s="15">
        <v>0.04</v>
      </c>
      <c r="BF1003" s="15">
        <v>4.4999999999999998E-2</v>
      </c>
      <c r="BG1003" s="15">
        <v>5.5E-2</v>
      </c>
      <c r="BH1003" s="15">
        <v>6.5000000000000002E-2</v>
      </c>
      <c r="BI1003" s="15">
        <v>6.5000000000000002E-2</v>
      </c>
      <c r="BJ1003" s="15">
        <v>0.04</v>
      </c>
      <c r="BK1003" s="15">
        <v>0.05</v>
      </c>
      <c r="BL1003" s="15">
        <v>0.04</v>
      </c>
      <c r="BM1003" s="15">
        <v>4.4999999999999998E-2</v>
      </c>
      <c r="BN1003" s="15">
        <v>3.5000000000000003E-2</v>
      </c>
    </row>
    <row r="1004" spans="1:69" x14ac:dyDescent="0.4">
      <c r="A1004" t="s">
        <v>666</v>
      </c>
      <c r="B1004" s="15">
        <v>3.1746031746031703E-2</v>
      </c>
      <c r="C1004" s="15">
        <v>4.3478260869565202E-2</v>
      </c>
      <c r="D1004" s="15">
        <v>4.54545454545454E-2</v>
      </c>
      <c r="E1004" s="15">
        <v>3.9215686274509803E-2</v>
      </c>
      <c r="F1004" s="15">
        <v>3.7634408602150497E-2</v>
      </c>
      <c r="G1004" s="15">
        <v>4.0462427745664699E-2</v>
      </c>
      <c r="H1004" s="15">
        <v>3.5294117647058802E-2</v>
      </c>
      <c r="I1004" s="15">
        <v>3.03030303030303E-2</v>
      </c>
      <c r="J1004" s="15">
        <v>3.0674846625766802E-2</v>
      </c>
      <c r="K1004" s="15">
        <v>3.5294117647058802E-2</v>
      </c>
      <c r="L1004" s="15">
        <v>3.8251366120218497E-2</v>
      </c>
      <c r="M1004" s="15">
        <v>4.2553191489361701E-2</v>
      </c>
      <c r="N1004" s="15">
        <v>4.6632124352331598E-2</v>
      </c>
      <c r="O1004" s="15">
        <v>5.0279329608938501E-2</v>
      </c>
      <c r="P1004" s="15">
        <v>4.1884816753926697E-2</v>
      </c>
      <c r="Q1004" s="15">
        <v>0.04</v>
      </c>
      <c r="R1004" s="15">
        <v>3.5000000000000003E-2</v>
      </c>
      <c r="S1004" s="15">
        <v>0.04</v>
      </c>
      <c r="T1004" s="15">
        <v>2.5000000000000001E-2</v>
      </c>
      <c r="U1004" s="15">
        <v>0.05</v>
      </c>
      <c r="V1004" s="15">
        <v>4.4999999999999998E-2</v>
      </c>
      <c r="W1004" s="15">
        <v>0.04</v>
      </c>
      <c r="X1004" s="15">
        <v>3.5000000000000003E-2</v>
      </c>
      <c r="Y1004" s="15">
        <v>3.5000000000000003E-2</v>
      </c>
      <c r="Z1004" s="15">
        <v>4.4999999999999998E-2</v>
      </c>
      <c r="AA1004" s="15">
        <v>4.4999999999999998E-2</v>
      </c>
      <c r="AB1004" s="15">
        <v>3.5000000000000003E-2</v>
      </c>
      <c r="AC1004" s="15">
        <v>0.05</v>
      </c>
      <c r="AD1004" s="15">
        <v>3.5000000000000003E-2</v>
      </c>
      <c r="AE1004" s="15">
        <v>0.05</v>
      </c>
      <c r="AF1004" s="15">
        <v>3.5000000000000003E-2</v>
      </c>
      <c r="AG1004" s="15">
        <v>4.4999999999999998E-2</v>
      </c>
      <c r="AH1004" s="15">
        <v>0.04</v>
      </c>
      <c r="AI1004" s="15">
        <v>0.04</v>
      </c>
      <c r="AJ1004" s="15">
        <v>4.4999999999999998E-2</v>
      </c>
      <c r="AK1004" s="15">
        <v>4.4999999999999998E-2</v>
      </c>
      <c r="AL1004" s="15">
        <v>0.05</v>
      </c>
      <c r="AM1004" s="15">
        <v>0.05</v>
      </c>
      <c r="AN1004" s="15">
        <v>4.4999999999999998E-2</v>
      </c>
      <c r="AO1004" s="15">
        <v>0.05</v>
      </c>
      <c r="AP1004" s="15">
        <v>6.5000000000000002E-2</v>
      </c>
      <c r="AQ1004" s="15">
        <v>7.0000000000000007E-2</v>
      </c>
      <c r="AR1004" s="15">
        <v>5.5E-2</v>
      </c>
      <c r="AS1004" s="15">
        <v>7.0000000000000007E-2</v>
      </c>
      <c r="AT1004" s="15">
        <v>0.08</v>
      </c>
      <c r="AU1004" s="15">
        <v>7.0000000000000007E-2</v>
      </c>
      <c r="AV1004" s="15">
        <v>7.0000000000000007E-2</v>
      </c>
      <c r="AW1004" s="15">
        <v>0.03</v>
      </c>
      <c r="AX1004" s="15">
        <v>3.5000000000000003E-2</v>
      </c>
      <c r="AY1004" s="15">
        <v>0.03</v>
      </c>
      <c r="AZ1004" s="15">
        <v>2.5000000000000001E-2</v>
      </c>
      <c r="BA1004" s="15">
        <v>2.5000000000000001E-2</v>
      </c>
      <c r="BB1004" s="15">
        <v>1.4999999999999999E-2</v>
      </c>
      <c r="BC1004" s="15">
        <v>0.01</v>
      </c>
      <c r="BD1004" s="15">
        <v>1.4999999999999999E-2</v>
      </c>
      <c r="BE1004" s="15">
        <v>1.4999999999999999E-2</v>
      </c>
      <c r="BF1004" s="15">
        <v>0.01</v>
      </c>
      <c r="BG1004" s="15">
        <v>0</v>
      </c>
      <c r="BH1004" s="15">
        <v>0.01</v>
      </c>
      <c r="BI1004" s="15">
        <v>0</v>
      </c>
      <c r="BJ1004" s="15">
        <v>0</v>
      </c>
      <c r="BK1004" s="15">
        <v>0</v>
      </c>
      <c r="BL1004" s="15">
        <v>0</v>
      </c>
      <c r="BM1004" s="15">
        <v>0</v>
      </c>
      <c r="BN1004" s="15">
        <v>0</v>
      </c>
    </row>
    <row r="1005" spans="1:69" x14ac:dyDescent="0.4">
      <c r="A1005" t="s">
        <v>667</v>
      </c>
      <c r="B1005" s="15">
        <v>0.11111111111111099</v>
      </c>
      <c r="C1005" s="15">
        <v>0.123188405797101</v>
      </c>
      <c r="D1005" s="15">
        <v>0.12121212121212099</v>
      </c>
      <c r="E1005" s="15">
        <v>0.11764705882352899</v>
      </c>
      <c r="F1005" s="15">
        <v>0.12903225806451599</v>
      </c>
      <c r="G1005" s="15">
        <v>0.13294797687861201</v>
      </c>
      <c r="H1005" s="15">
        <v>0.14117647058823499</v>
      </c>
      <c r="I1005" s="15">
        <v>0.145454545454545</v>
      </c>
      <c r="J1005" s="15">
        <v>0.14723926380368099</v>
      </c>
      <c r="K1005" s="15">
        <v>0.14117647058823499</v>
      </c>
      <c r="L1005" s="15">
        <v>0.14207650273224001</v>
      </c>
      <c r="M1005" s="15">
        <v>0.14361702127659501</v>
      </c>
      <c r="N1005" s="15">
        <v>0.15025906735751199</v>
      </c>
      <c r="O1005" s="15">
        <v>0.15642458100558601</v>
      </c>
      <c r="P1005" s="15">
        <v>0.13612565445026101</v>
      </c>
      <c r="Q1005" s="15">
        <v>0.14000000000000001</v>
      </c>
      <c r="R1005" s="15">
        <v>0.115</v>
      </c>
      <c r="S1005" s="15">
        <v>0.125</v>
      </c>
      <c r="T1005" s="15">
        <v>0.14499999999999999</v>
      </c>
      <c r="U1005" s="15">
        <v>0.15</v>
      </c>
      <c r="V1005" s="15">
        <v>0.155</v>
      </c>
      <c r="W1005" s="15">
        <v>0.13500000000000001</v>
      </c>
      <c r="X1005" s="15">
        <v>0.16</v>
      </c>
      <c r="Y1005" s="15">
        <v>0.15</v>
      </c>
      <c r="Z1005" s="15">
        <v>0.15</v>
      </c>
      <c r="AA1005" s="15">
        <v>0.20499999999999999</v>
      </c>
      <c r="AB1005" s="15">
        <v>0.19500000000000001</v>
      </c>
      <c r="AC1005" s="15">
        <v>0.20499999999999999</v>
      </c>
      <c r="AD1005" s="15">
        <v>0.2</v>
      </c>
      <c r="AE1005" s="15">
        <v>0.18</v>
      </c>
      <c r="AF1005" s="15">
        <v>0.17</v>
      </c>
      <c r="AG1005" s="15">
        <v>0.19</v>
      </c>
      <c r="AH1005" s="15">
        <v>0.17</v>
      </c>
      <c r="AI1005" s="15">
        <v>0.13500000000000001</v>
      </c>
      <c r="AJ1005" s="15">
        <v>0.16</v>
      </c>
      <c r="AK1005" s="15">
        <v>0.14499999999999999</v>
      </c>
      <c r="AL1005" s="15">
        <v>0.17499999999999999</v>
      </c>
      <c r="AM1005" s="15">
        <v>0.155</v>
      </c>
      <c r="AN1005" s="15">
        <v>0.15</v>
      </c>
      <c r="AO1005" s="15">
        <v>0.155</v>
      </c>
      <c r="AP1005" s="15">
        <v>0.13500000000000001</v>
      </c>
      <c r="AQ1005" s="15">
        <v>0.13</v>
      </c>
      <c r="AR1005" s="15">
        <v>0.12</v>
      </c>
      <c r="AS1005" s="15">
        <v>0.12</v>
      </c>
      <c r="AT1005" s="15">
        <v>0.13</v>
      </c>
      <c r="AU1005" s="15">
        <v>0.115</v>
      </c>
      <c r="AV1005" s="15">
        <v>0.12</v>
      </c>
      <c r="AW1005" s="15">
        <v>0.13</v>
      </c>
      <c r="AX1005" s="15">
        <v>0.115</v>
      </c>
      <c r="AY1005" s="15">
        <v>0.13500000000000001</v>
      </c>
      <c r="AZ1005" s="15">
        <v>0.125</v>
      </c>
      <c r="BA1005" s="15">
        <v>0.13</v>
      </c>
      <c r="BB1005" s="15">
        <v>0.16</v>
      </c>
      <c r="BC1005" s="15">
        <v>0.155</v>
      </c>
      <c r="BD1005" s="15">
        <v>0.14499999999999999</v>
      </c>
      <c r="BE1005" s="15">
        <v>0.17499999999999999</v>
      </c>
      <c r="BF1005" s="15">
        <v>0.16500000000000001</v>
      </c>
      <c r="BG1005" s="15">
        <v>0.185</v>
      </c>
      <c r="BH1005" s="15">
        <v>0.19</v>
      </c>
      <c r="BI1005" s="15">
        <v>0.19500000000000001</v>
      </c>
      <c r="BJ1005" s="15">
        <v>0.185</v>
      </c>
      <c r="BK1005" s="15">
        <v>0.19500000000000001</v>
      </c>
      <c r="BL1005" s="15">
        <v>0.185</v>
      </c>
      <c r="BM1005" s="15">
        <v>0.2</v>
      </c>
      <c r="BN1005" s="15">
        <v>0.215</v>
      </c>
    </row>
    <row r="1006" spans="1:69" x14ac:dyDescent="0.4">
      <c r="A1006" t="s">
        <v>668</v>
      </c>
      <c r="B1006" s="15">
        <v>0.119047619047619</v>
      </c>
      <c r="C1006" s="15">
        <v>0.15217391304347799</v>
      </c>
      <c r="D1006" s="15">
        <v>0.15909090909090901</v>
      </c>
      <c r="E1006" s="15">
        <v>0.19607843137254899</v>
      </c>
      <c r="F1006" s="15">
        <v>0.18279569892473099</v>
      </c>
      <c r="G1006" s="15">
        <v>0.190751445086705</v>
      </c>
      <c r="H1006" s="15">
        <v>0.19411764705882301</v>
      </c>
      <c r="I1006" s="15">
        <v>0.18787878787878701</v>
      </c>
      <c r="J1006" s="15">
        <v>0.214723926380368</v>
      </c>
      <c r="K1006" s="15">
        <v>0.19411764705882301</v>
      </c>
      <c r="L1006" s="15">
        <v>0.185792349726775</v>
      </c>
      <c r="M1006" s="15">
        <v>0.175531914893617</v>
      </c>
      <c r="N1006" s="15">
        <v>0.170984455958549</v>
      </c>
      <c r="O1006" s="15">
        <v>0.15083798882681501</v>
      </c>
      <c r="P1006" s="15">
        <v>0.146596858638743</v>
      </c>
      <c r="Q1006" s="15">
        <v>0.14000000000000001</v>
      </c>
      <c r="R1006" s="15">
        <v>0.16</v>
      </c>
      <c r="S1006" s="15">
        <v>0.155</v>
      </c>
      <c r="T1006" s="15">
        <v>0.13</v>
      </c>
      <c r="U1006" s="15">
        <v>0.115</v>
      </c>
      <c r="V1006" s="15">
        <v>0.14499999999999999</v>
      </c>
      <c r="W1006" s="15">
        <v>0.155</v>
      </c>
      <c r="X1006" s="15">
        <v>0.14000000000000001</v>
      </c>
      <c r="Y1006" s="15">
        <v>0.13500000000000001</v>
      </c>
      <c r="Z1006" s="15">
        <v>0.13500000000000001</v>
      </c>
      <c r="AA1006" s="15">
        <v>0.105</v>
      </c>
      <c r="AB1006" s="15">
        <v>9.5000000000000001E-2</v>
      </c>
      <c r="AC1006" s="15">
        <v>0.14000000000000001</v>
      </c>
      <c r="AD1006" s="15">
        <v>0.14000000000000001</v>
      </c>
      <c r="AE1006" s="15">
        <v>0.13500000000000001</v>
      </c>
      <c r="AF1006" s="15">
        <v>0.155</v>
      </c>
      <c r="AG1006" s="15">
        <v>0.16500000000000001</v>
      </c>
      <c r="AH1006" s="15">
        <v>0.15</v>
      </c>
      <c r="AI1006" s="15">
        <v>0.15</v>
      </c>
      <c r="AJ1006" s="15">
        <v>0.15</v>
      </c>
      <c r="AK1006" s="15">
        <v>0.13500000000000001</v>
      </c>
      <c r="AL1006" s="15">
        <v>0.155</v>
      </c>
      <c r="AM1006" s="15">
        <v>0.155</v>
      </c>
      <c r="AN1006" s="15">
        <v>0.16500000000000001</v>
      </c>
      <c r="AO1006" s="15">
        <v>0.16500000000000001</v>
      </c>
      <c r="AP1006" s="15">
        <v>0.155</v>
      </c>
      <c r="AQ1006" s="15">
        <v>0.15</v>
      </c>
      <c r="AR1006" s="15">
        <v>0.15</v>
      </c>
      <c r="AS1006" s="15">
        <v>0.16</v>
      </c>
      <c r="AT1006" s="15">
        <v>0.15</v>
      </c>
      <c r="AU1006" s="15">
        <v>0.17</v>
      </c>
      <c r="AV1006" s="15">
        <v>0.16</v>
      </c>
      <c r="AW1006" s="15">
        <v>0.17</v>
      </c>
      <c r="AX1006" s="15">
        <v>0.18</v>
      </c>
      <c r="AY1006" s="15">
        <v>0.16</v>
      </c>
      <c r="AZ1006" s="15">
        <v>0.17499999999999999</v>
      </c>
      <c r="BA1006" s="15">
        <v>0.18</v>
      </c>
      <c r="BB1006" s="15">
        <v>0.19</v>
      </c>
      <c r="BC1006" s="15">
        <v>0.18</v>
      </c>
      <c r="BD1006" s="15">
        <v>0.15</v>
      </c>
      <c r="BE1006" s="15">
        <v>0.14000000000000001</v>
      </c>
      <c r="BF1006" s="15">
        <v>0.16500000000000001</v>
      </c>
      <c r="BG1006" s="15">
        <v>0.16500000000000001</v>
      </c>
      <c r="BH1006" s="15">
        <v>0.17</v>
      </c>
      <c r="BI1006" s="15">
        <v>0.17499999999999999</v>
      </c>
      <c r="BJ1006" s="15">
        <v>0.17499999999999999</v>
      </c>
      <c r="BK1006" s="15">
        <v>0.185</v>
      </c>
      <c r="BL1006" s="15">
        <v>0.19</v>
      </c>
      <c r="BM1006" s="15">
        <v>0.17</v>
      </c>
      <c r="BN1006" s="15">
        <v>0.16500000000000001</v>
      </c>
    </row>
    <row r="1007" spans="1:69" x14ac:dyDescent="0.4">
      <c r="A1007" t="s">
        <v>669</v>
      </c>
      <c r="B1007" s="15">
        <v>0.22222222222222199</v>
      </c>
      <c r="C1007" s="15">
        <v>0.21014492753623101</v>
      </c>
      <c r="D1007" s="15">
        <v>0.204545454545454</v>
      </c>
      <c r="E1007" s="15">
        <v>0.20261437908496699</v>
      </c>
      <c r="F1007" s="15">
        <v>0.19354838709677399</v>
      </c>
      <c r="G1007" s="15">
        <v>0.17919075144508601</v>
      </c>
      <c r="H1007" s="15">
        <v>0.17647058823529399</v>
      </c>
      <c r="I1007" s="15">
        <v>0.175757575757575</v>
      </c>
      <c r="J1007" s="15">
        <v>0.184049079754601</v>
      </c>
      <c r="K1007" s="15">
        <v>0.19411764705882301</v>
      </c>
      <c r="L1007" s="15">
        <v>0.191256830601092</v>
      </c>
      <c r="M1007" s="15">
        <v>0.20212765957446799</v>
      </c>
      <c r="N1007" s="15">
        <v>0.19689119170984401</v>
      </c>
      <c r="O1007" s="15">
        <v>0.217877094972067</v>
      </c>
      <c r="P1007" s="15">
        <v>0.23036649214659599</v>
      </c>
      <c r="Q1007" s="15">
        <v>0.23499999999999999</v>
      </c>
      <c r="R1007" s="15">
        <v>0.24</v>
      </c>
      <c r="S1007" s="15">
        <v>0.23</v>
      </c>
      <c r="T1007" s="15">
        <v>0.245</v>
      </c>
      <c r="U1007" s="15">
        <v>0.215</v>
      </c>
      <c r="V1007" s="15">
        <v>0.22</v>
      </c>
      <c r="W1007" s="15">
        <v>0.22500000000000001</v>
      </c>
      <c r="X1007" s="15">
        <v>0.21</v>
      </c>
      <c r="Y1007" s="15">
        <v>0.215</v>
      </c>
      <c r="Z1007" s="15">
        <v>0.23</v>
      </c>
      <c r="AA1007" s="15">
        <v>0.22</v>
      </c>
      <c r="AB1007" s="15">
        <v>0.23499999999999999</v>
      </c>
      <c r="AC1007" s="15">
        <v>0.215</v>
      </c>
      <c r="AD1007" s="15">
        <v>0.215</v>
      </c>
      <c r="AE1007" s="15">
        <v>0.25</v>
      </c>
      <c r="AF1007" s="15">
        <v>0.23</v>
      </c>
      <c r="AG1007" s="15">
        <v>0.19</v>
      </c>
      <c r="AH1007" s="15">
        <v>0.23</v>
      </c>
      <c r="AI1007" s="15">
        <v>0.23</v>
      </c>
      <c r="AJ1007" s="15">
        <v>0.23499999999999999</v>
      </c>
      <c r="AK1007" s="15">
        <v>0.25</v>
      </c>
      <c r="AL1007" s="15">
        <v>0.21</v>
      </c>
      <c r="AM1007" s="15">
        <v>0.23</v>
      </c>
      <c r="AN1007" s="15">
        <v>0.22500000000000001</v>
      </c>
      <c r="AO1007" s="15">
        <v>0.215</v>
      </c>
      <c r="AP1007" s="15">
        <v>0.22</v>
      </c>
      <c r="AQ1007" s="15">
        <v>0.21</v>
      </c>
      <c r="AR1007" s="15">
        <v>0.215</v>
      </c>
      <c r="AS1007" s="15">
        <v>0.20499999999999999</v>
      </c>
      <c r="AT1007" s="15">
        <v>0.2</v>
      </c>
      <c r="AU1007" s="15">
        <v>0.19</v>
      </c>
      <c r="AV1007" s="15">
        <v>0.22</v>
      </c>
      <c r="AW1007" s="15">
        <v>0.24</v>
      </c>
      <c r="AX1007" s="15">
        <v>0.22500000000000001</v>
      </c>
      <c r="AY1007" s="15">
        <v>0.23</v>
      </c>
      <c r="AZ1007" s="15">
        <v>0.23499999999999999</v>
      </c>
      <c r="BA1007" s="15">
        <v>0.20499999999999999</v>
      </c>
      <c r="BB1007" s="15">
        <v>0.19500000000000001</v>
      </c>
      <c r="BC1007" s="15">
        <v>0.21</v>
      </c>
      <c r="BD1007" s="15">
        <v>0.245</v>
      </c>
      <c r="BE1007" s="15">
        <v>0.25</v>
      </c>
      <c r="BF1007" s="15">
        <v>0.23499999999999999</v>
      </c>
      <c r="BG1007" s="15">
        <v>0.22500000000000001</v>
      </c>
      <c r="BH1007" s="15">
        <v>0.2</v>
      </c>
      <c r="BI1007" s="15">
        <v>0.21</v>
      </c>
      <c r="BJ1007" s="15">
        <v>0.255</v>
      </c>
      <c r="BK1007" s="15">
        <v>0.22500000000000001</v>
      </c>
      <c r="BL1007" s="15">
        <v>0.22500000000000001</v>
      </c>
      <c r="BM1007" s="15">
        <v>0.23499999999999999</v>
      </c>
      <c r="BN1007" s="15">
        <v>0.23</v>
      </c>
    </row>
    <row r="1008" spans="1:69" x14ac:dyDescent="0.4">
      <c r="A1008" t="s">
        <v>670</v>
      </c>
      <c r="B1008" s="15">
        <v>0.17460317460317401</v>
      </c>
      <c r="C1008" s="15">
        <v>0.16666666666666599</v>
      </c>
      <c r="D1008" s="15">
        <v>0.15909090909090901</v>
      </c>
      <c r="E1008" s="15">
        <v>0.15686274509803899</v>
      </c>
      <c r="F1008" s="15">
        <v>0.17204301075268799</v>
      </c>
      <c r="G1008" s="15">
        <v>0.16184971098265799</v>
      </c>
      <c r="H1008" s="15">
        <v>0.158823529411764</v>
      </c>
      <c r="I1008" s="15">
        <v>0.15757575757575701</v>
      </c>
      <c r="J1008" s="15">
        <v>0.14110429447852699</v>
      </c>
      <c r="K1008" s="15">
        <v>0.14705882352941099</v>
      </c>
      <c r="L1008" s="15">
        <v>0.15846994535519099</v>
      </c>
      <c r="M1008" s="15">
        <v>0.159574468085106</v>
      </c>
      <c r="N1008" s="15">
        <v>0.16062176165803099</v>
      </c>
      <c r="O1008" s="15">
        <v>0.14525139664804401</v>
      </c>
      <c r="P1008" s="15">
        <v>0.162303664921465</v>
      </c>
      <c r="Q1008" s="15">
        <v>0.17499999999999999</v>
      </c>
      <c r="R1008" s="15">
        <v>0.215</v>
      </c>
      <c r="S1008" s="15">
        <v>0.215</v>
      </c>
      <c r="T1008" s="15">
        <v>0.22</v>
      </c>
      <c r="U1008" s="15">
        <v>0.23499999999999999</v>
      </c>
      <c r="V1008" s="15">
        <v>0.215</v>
      </c>
      <c r="W1008" s="15">
        <v>0.20499999999999999</v>
      </c>
      <c r="X1008" s="15">
        <v>0.21</v>
      </c>
      <c r="Y1008" s="15">
        <v>0.22</v>
      </c>
      <c r="Z1008" s="15">
        <v>0.215</v>
      </c>
      <c r="AA1008" s="15">
        <v>0.215</v>
      </c>
      <c r="AB1008" s="15">
        <v>0.22</v>
      </c>
      <c r="AC1008" s="15">
        <v>0.20499999999999999</v>
      </c>
      <c r="AD1008" s="15">
        <v>0.19</v>
      </c>
      <c r="AE1008" s="15">
        <v>0.19</v>
      </c>
      <c r="AF1008" s="15">
        <v>0.19500000000000001</v>
      </c>
      <c r="AG1008" s="15">
        <v>0.19500000000000001</v>
      </c>
      <c r="AH1008" s="15">
        <v>0.2</v>
      </c>
      <c r="AI1008" s="15">
        <v>0.215</v>
      </c>
      <c r="AJ1008" s="15">
        <v>0.21</v>
      </c>
      <c r="AK1008" s="15">
        <v>0.20499999999999999</v>
      </c>
      <c r="AL1008" s="15">
        <v>0.2</v>
      </c>
      <c r="AM1008" s="15">
        <v>0.20499999999999999</v>
      </c>
      <c r="AN1008" s="15">
        <v>0.18</v>
      </c>
      <c r="AO1008" s="15">
        <v>0.17</v>
      </c>
      <c r="AP1008" s="15">
        <v>0.185</v>
      </c>
      <c r="AQ1008" s="15">
        <v>0.18</v>
      </c>
      <c r="AR1008" s="15">
        <v>0.19</v>
      </c>
      <c r="AS1008" s="15">
        <v>0.185</v>
      </c>
      <c r="AT1008" s="15">
        <v>0.23</v>
      </c>
      <c r="AU1008" s="15">
        <v>0.215</v>
      </c>
      <c r="AV1008" s="15">
        <v>0.22500000000000001</v>
      </c>
      <c r="AW1008" s="15">
        <v>0.24</v>
      </c>
      <c r="AX1008" s="15">
        <v>0.25</v>
      </c>
      <c r="AY1008" s="15">
        <v>0.25</v>
      </c>
      <c r="AZ1008" s="15">
        <v>0.245</v>
      </c>
      <c r="BA1008" s="15">
        <v>0.25</v>
      </c>
      <c r="BB1008" s="15">
        <v>0.23</v>
      </c>
      <c r="BC1008" s="15">
        <v>0.24</v>
      </c>
      <c r="BD1008" s="15">
        <v>0.25</v>
      </c>
      <c r="BE1008" s="15">
        <v>0.23499999999999999</v>
      </c>
      <c r="BF1008" s="15">
        <v>0.24</v>
      </c>
      <c r="BG1008" s="15">
        <v>0.23</v>
      </c>
      <c r="BH1008" s="15">
        <v>0.24</v>
      </c>
      <c r="BI1008" s="15">
        <v>0.23</v>
      </c>
      <c r="BJ1008" s="15">
        <v>0.22500000000000001</v>
      </c>
      <c r="BK1008" s="15">
        <v>0.22</v>
      </c>
      <c r="BL1008" s="15">
        <v>0.22500000000000001</v>
      </c>
      <c r="BM1008" s="15">
        <v>0.22500000000000001</v>
      </c>
      <c r="BN1008" s="15">
        <v>0.21</v>
      </c>
    </row>
    <row r="1009" spans="1:66" x14ac:dyDescent="0.4">
      <c r="A1009" t="s">
        <v>671</v>
      </c>
      <c r="B1009" s="15">
        <v>3.1746031746031703E-2</v>
      </c>
      <c r="C1009" s="15">
        <v>2.8985507246376802E-2</v>
      </c>
      <c r="D1009" s="15">
        <v>2.27272727272727E-2</v>
      </c>
      <c r="E1009" s="15">
        <v>2.61437908496732E-2</v>
      </c>
      <c r="F1009" s="15">
        <v>2.1505376344085999E-2</v>
      </c>
      <c r="G1009" s="15">
        <v>2.3121387283236899E-2</v>
      </c>
      <c r="H1009" s="15">
        <v>1.1764705882352899E-2</v>
      </c>
      <c r="I1009" s="15">
        <v>1.8181818181818101E-2</v>
      </c>
      <c r="J1009" s="15">
        <v>1.22699386503067E-2</v>
      </c>
      <c r="K1009" s="15">
        <v>1.7647058823529401E-2</v>
      </c>
      <c r="L1009" s="15">
        <v>1.09289617486338E-2</v>
      </c>
      <c r="M1009" s="15">
        <v>1.0638297872340399E-2</v>
      </c>
      <c r="N1009" s="15">
        <v>1.03626943005181E-2</v>
      </c>
      <c r="O1009" s="15">
        <v>1.11731843575419E-2</v>
      </c>
      <c r="P1009" s="15">
        <v>1.5706806282722498E-2</v>
      </c>
      <c r="Q1009" s="15">
        <v>0.01</v>
      </c>
      <c r="R1009" s="15">
        <v>1.4999999999999999E-2</v>
      </c>
      <c r="S1009" s="15">
        <v>1.4999999999999999E-2</v>
      </c>
      <c r="T1009" s="15">
        <v>1.4999999999999999E-2</v>
      </c>
      <c r="U1009" s="15">
        <v>1.4999999999999999E-2</v>
      </c>
      <c r="V1009" s="15">
        <v>1.4999999999999999E-2</v>
      </c>
      <c r="W1009" s="15">
        <v>1.4999999999999999E-2</v>
      </c>
      <c r="X1009" s="15">
        <v>1.4999999999999999E-2</v>
      </c>
      <c r="Y1009" s="15">
        <v>1.4999999999999999E-2</v>
      </c>
      <c r="Z1009" s="15">
        <v>1.4999999999999999E-2</v>
      </c>
      <c r="AA1009" s="15">
        <v>0</v>
      </c>
      <c r="AB1009" s="15">
        <v>5.0000000000000001E-3</v>
      </c>
      <c r="AC1009" s="15">
        <v>0</v>
      </c>
      <c r="AD1009" s="15">
        <v>5.0000000000000001E-3</v>
      </c>
      <c r="AE1009" s="15">
        <v>5.0000000000000001E-3</v>
      </c>
      <c r="AF1009" s="15">
        <v>0.02</v>
      </c>
      <c r="AG1009" s="15">
        <v>0.02</v>
      </c>
      <c r="AH1009" s="15">
        <v>0.02</v>
      </c>
      <c r="AI1009" s="15">
        <v>1.4999999999999999E-2</v>
      </c>
      <c r="AJ1009" s="15">
        <v>1.4999999999999999E-2</v>
      </c>
      <c r="AK1009" s="15">
        <v>0.02</v>
      </c>
      <c r="AL1009" s="15">
        <v>1.4999999999999999E-2</v>
      </c>
      <c r="AM1009" s="15">
        <v>0.02</v>
      </c>
      <c r="AN1009" s="15">
        <v>1.4999999999999999E-2</v>
      </c>
      <c r="AO1009" s="15">
        <v>1.4999999999999999E-2</v>
      </c>
      <c r="AP1009" s="15">
        <v>1.4999999999999999E-2</v>
      </c>
      <c r="AQ1009" s="15">
        <v>0.02</v>
      </c>
      <c r="AR1009" s="15">
        <v>1.4999999999999999E-2</v>
      </c>
      <c r="AS1009" s="15">
        <v>2.5000000000000001E-2</v>
      </c>
      <c r="AT1009" s="15">
        <v>1.4999999999999999E-2</v>
      </c>
      <c r="AU1009" s="15">
        <v>2.5000000000000001E-2</v>
      </c>
      <c r="AV1009" s="15">
        <v>5.0000000000000001E-3</v>
      </c>
      <c r="AW1009" s="15">
        <v>5.0000000000000001E-3</v>
      </c>
      <c r="AX1009" s="15">
        <v>0.01</v>
      </c>
      <c r="AY1009" s="15">
        <v>0.02</v>
      </c>
      <c r="AZ1009" s="15">
        <v>2.5000000000000001E-2</v>
      </c>
      <c r="BA1009" s="15">
        <v>0.03</v>
      </c>
      <c r="BB1009" s="15">
        <v>2.5000000000000001E-2</v>
      </c>
      <c r="BC1009" s="15">
        <v>2.5000000000000001E-2</v>
      </c>
      <c r="BD1009" s="15">
        <v>2.5000000000000001E-2</v>
      </c>
      <c r="BE1009" s="15">
        <v>0.02</v>
      </c>
      <c r="BF1009" s="15">
        <v>0.02</v>
      </c>
      <c r="BG1009" s="15">
        <v>0.02</v>
      </c>
      <c r="BH1009" s="15">
        <v>1.4999999999999999E-2</v>
      </c>
      <c r="BI1009" s="15">
        <v>1.4999999999999999E-2</v>
      </c>
      <c r="BJ1009" s="15">
        <v>0.01</v>
      </c>
      <c r="BK1009" s="15">
        <v>0.01</v>
      </c>
      <c r="BL1009" s="15">
        <v>0.01</v>
      </c>
      <c r="BM1009" s="15">
        <v>5.0000000000000001E-3</v>
      </c>
      <c r="BN1009" s="15">
        <v>1.4999999999999999E-2</v>
      </c>
    </row>
    <row r="1010" spans="1:66" x14ac:dyDescent="0.4">
      <c r="A1010" t="s">
        <v>672</v>
      </c>
      <c r="B1010" s="15">
        <v>4.7619047619047603E-2</v>
      </c>
      <c r="C1010" s="15">
        <v>4.3478260869565202E-2</v>
      </c>
      <c r="D1010" s="15">
        <v>4.54545454545454E-2</v>
      </c>
      <c r="E1010" s="15">
        <v>5.22875816993464E-2</v>
      </c>
      <c r="F1010" s="15">
        <v>4.3010752688171998E-2</v>
      </c>
      <c r="G1010" s="15">
        <v>4.6242774566473903E-2</v>
      </c>
      <c r="H1010" s="15">
        <v>4.7058823529411702E-2</v>
      </c>
      <c r="I1010" s="15">
        <v>4.8484848484848402E-2</v>
      </c>
      <c r="J1010" s="15">
        <v>4.2944785276073601E-2</v>
      </c>
      <c r="K1010" s="15">
        <v>4.1176470588235203E-2</v>
      </c>
      <c r="L1010" s="15">
        <v>3.8251366120218497E-2</v>
      </c>
      <c r="M1010" s="15">
        <v>3.7234042553191397E-2</v>
      </c>
      <c r="N1010" s="15">
        <v>3.6269430051813399E-2</v>
      </c>
      <c r="O1010" s="15">
        <v>3.91061452513966E-2</v>
      </c>
      <c r="P1010" s="15">
        <v>4.1884816753926697E-2</v>
      </c>
      <c r="Q1010" s="15">
        <v>0.04</v>
      </c>
      <c r="R1010" s="15">
        <v>4.4999999999999998E-2</v>
      </c>
      <c r="S1010" s="15">
        <v>4.4999999999999998E-2</v>
      </c>
      <c r="T1010" s="15">
        <v>4.4999999999999998E-2</v>
      </c>
      <c r="U1010" s="15">
        <v>0.05</v>
      </c>
      <c r="V1010" s="15">
        <v>4.4999999999999998E-2</v>
      </c>
      <c r="W1010" s="15">
        <v>4.4999999999999998E-2</v>
      </c>
      <c r="X1010" s="15">
        <v>0.05</v>
      </c>
      <c r="Y1010" s="15">
        <v>0.05</v>
      </c>
      <c r="Z1010" s="15">
        <v>0.05</v>
      </c>
      <c r="AA1010" s="15">
        <v>0.05</v>
      </c>
      <c r="AB1010" s="15">
        <v>0.06</v>
      </c>
      <c r="AC1010" s="15">
        <v>0.05</v>
      </c>
      <c r="AD1010" s="15">
        <v>5.5E-2</v>
      </c>
      <c r="AE1010" s="15">
        <v>5.5E-2</v>
      </c>
      <c r="AF1010" s="15">
        <v>0.05</v>
      </c>
      <c r="AG1010" s="15">
        <v>0.05</v>
      </c>
      <c r="AH1010" s="15">
        <v>0.05</v>
      </c>
      <c r="AI1010" s="15">
        <v>5.5E-2</v>
      </c>
      <c r="AJ1010" s="15">
        <v>5.5E-2</v>
      </c>
      <c r="AK1010" s="15">
        <v>5.5E-2</v>
      </c>
      <c r="AL1010" s="15">
        <v>0.06</v>
      </c>
      <c r="AM1010" s="15">
        <v>5.5E-2</v>
      </c>
      <c r="AN1010" s="15">
        <v>5.5E-2</v>
      </c>
      <c r="AO1010" s="15">
        <v>5.5E-2</v>
      </c>
      <c r="AP1010" s="15">
        <v>5.5E-2</v>
      </c>
      <c r="AQ1010" s="15">
        <v>0.06</v>
      </c>
      <c r="AR1010" s="15">
        <v>6.5000000000000002E-2</v>
      </c>
      <c r="AS1010" s="15">
        <v>0.06</v>
      </c>
      <c r="AT1010" s="15">
        <v>6.5000000000000002E-2</v>
      </c>
      <c r="AU1010" s="15">
        <v>0.06</v>
      </c>
      <c r="AV1010" s="15">
        <v>0.06</v>
      </c>
      <c r="AW1010" s="15">
        <v>6.5000000000000002E-2</v>
      </c>
      <c r="AX1010" s="15">
        <v>6.5000000000000002E-2</v>
      </c>
      <c r="AY1010" s="15">
        <v>7.0000000000000007E-2</v>
      </c>
      <c r="AZ1010" s="15">
        <v>7.0000000000000007E-2</v>
      </c>
      <c r="BA1010" s="15">
        <v>6.5000000000000002E-2</v>
      </c>
      <c r="BB1010" s="15">
        <v>6.5000000000000002E-2</v>
      </c>
      <c r="BC1010" s="15">
        <v>5.5E-2</v>
      </c>
      <c r="BD1010" s="15">
        <v>6.5000000000000002E-2</v>
      </c>
      <c r="BE1010" s="15">
        <v>0.06</v>
      </c>
      <c r="BF1010" s="15">
        <v>0.06</v>
      </c>
      <c r="BG1010" s="15">
        <v>0.06</v>
      </c>
      <c r="BH1010" s="15">
        <v>0.06</v>
      </c>
      <c r="BI1010" s="15">
        <v>0.06</v>
      </c>
      <c r="BJ1010" s="15">
        <v>6.5000000000000002E-2</v>
      </c>
      <c r="BK1010" s="15">
        <v>6.5000000000000002E-2</v>
      </c>
      <c r="BL1010" s="15">
        <v>0.06</v>
      </c>
      <c r="BM1010" s="15">
        <v>0.06</v>
      </c>
      <c r="BN1010" s="15">
        <v>0.06</v>
      </c>
    </row>
    <row r="1011" spans="1:66" x14ac:dyDescent="0.4">
      <c r="A1011" t="s">
        <v>673</v>
      </c>
      <c r="B1011" s="15">
        <v>2.3809523809523801E-2</v>
      </c>
      <c r="C1011" s="15">
        <v>2.1739130434782601E-2</v>
      </c>
      <c r="D1011" s="15">
        <v>2.27272727272727E-2</v>
      </c>
      <c r="E1011" s="15">
        <v>1.9607843137254902E-2</v>
      </c>
      <c r="F1011" s="15">
        <v>1.6129032258064498E-2</v>
      </c>
      <c r="G1011" s="15">
        <v>1.7341040462427699E-2</v>
      </c>
      <c r="H1011" s="15">
        <v>1.7647058823529401E-2</v>
      </c>
      <c r="I1011" s="15">
        <v>1.8181818181818101E-2</v>
      </c>
      <c r="J1011" s="15">
        <v>1.84049079754601E-2</v>
      </c>
      <c r="K1011" s="15">
        <v>1.7647058823529401E-2</v>
      </c>
      <c r="L1011" s="15">
        <v>1.63934426229508E-2</v>
      </c>
      <c r="M1011" s="15">
        <v>1.5957446808510599E-2</v>
      </c>
      <c r="N1011" s="15">
        <v>1.55440414507772E-2</v>
      </c>
      <c r="O1011" s="15">
        <v>1.67597765363128E-2</v>
      </c>
      <c r="P1011" s="15">
        <v>2.09424083769633E-2</v>
      </c>
      <c r="Q1011" s="15">
        <v>1.4999999999999999E-2</v>
      </c>
      <c r="R1011" s="15">
        <v>1.4999999999999999E-2</v>
      </c>
      <c r="S1011" s="15">
        <v>1.4999999999999999E-2</v>
      </c>
      <c r="T1011" s="15">
        <v>1.4999999999999999E-2</v>
      </c>
      <c r="U1011" s="15">
        <v>1.4999999999999999E-2</v>
      </c>
      <c r="V1011" s="15">
        <v>1.4999999999999999E-2</v>
      </c>
      <c r="W1011" s="15">
        <v>1.4999999999999999E-2</v>
      </c>
      <c r="X1011" s="15">
        <v>1.4999999999999999E-2</v>
      </c>
      <c r="Y1011" s="15">
        <v>0.01</v>
      </c>
      <c r="Z1011" s="15">
        <v>1.4999999999999999E-2</v>
      </c>
      <c r="AA1011" s="15">
        <v>1.4999999999999999E-2</v>
      </c>
      <c r="AB1011" s="15">
        <v>1.4999999999999999E-2</v>
      </c>
      <c r="AC1011" s="15">
        <v>5.0000000000000001E-3</v>
      </c>
      <c r="AD1011" s="15">
        <v>0.01</v>
      </c>
      <c r="AE1011" s="15">
        <v>0.01</v>
      </c>
      <c r="AF1011" s="15">
        <v>5.0000000000000001E-3</v>
      </c>
      <c r="AG1011" s="15">
        <v>1.4999999999999999E-2</v>
      </c>
      <c r="AH1011" s="15">
        <v>5.0000000000000001E-3</v>
      </c>
      <c r="AI1011" s="15">
        <v>0.02</v>
      </c>
      <c r="AJ1011" s="15">
        <v>0.02</v>
      </c>
      <c r="AK1011" s="15">
        <v>0.01</v>
      </c>
      <c r="AL1011" s="15">
        <v>0</v>
      </c>
      <c r="AM1011" s="15">
        <v>5.0000000000000001E-3</v>
      </c>
      <c r="AN1011" s="15">
        <v>5.0000000000000001E-3</v>
      </c>
      <c r="AO1011" s="15">
        <v>5.0000000000000001E-3</v>
      </c>
      <c r="AP1011" s="15">
        <v>0.01</v>
      </c>
      <c r="AQ1011" s="15">
        <v>0.01</v>
      </c>
      <c r="AR1011" s="15">
        <v>0.01</v>
      </c>
      <c r="AS1011" s="15">
        <v>0.01</v>
      </c>
      <c r="AT1011" s="15">
        <v>0.01</v>
      </c>
      <c r="AU1011" s="15">
        <v>1.4999999999999999E-2</v>
      </c>
      <c r="AV1011" s="15">
        <v>5.0000000000000001E-3</v>
      </c>
      <c r="AW1011" s="15">
        <v>0.01</v>
      </c>
      <c r="AX1011" s="15">
        <v>5.0000000000000001E-3</v>
      </c>
      <c r="AY1011" s="15">
        <v>5.0000000000000001E-3</v>
      </c>
      <c r="AZ1011" s="15">
        <v>5.0000000000000001E-3</v>
      </c>
      <c r="BA1011" s="15">
        <v>5.0000000000000001E-3</v>
      </c>
      <c r="BB1011" s="15">
        <v>5.0000000000000001E-3</v>
      </c>
      <c r="BC1011" s="15">
        <v>5.0000000000000001E-3</v>
      </c>
      <c r="BD1011" s="15">
        <v>5.0000000000000001E-3</v>
      </c>
      <c r="BE1011" s="15">
        <v>5.0000000000000001E-3</v>
      </c>
      <c r="BF1011" s="15">
        <v>5.0000000000000001E-3</v>
      </c>
      <c r="BG1011" s="15">
        <v>5.0000000000000001E-3</v>
      </c>
      <c r="BH1011" s="15">
        <v>5.0000000000000001E-3</v>
      </c>
      <c r="BI1011" s="15">
        <v>5.0000000000000001E-3</v>
      </c>
      <c r="BJ1011" s="15">
        <v>5.0000000000000001E-3</v>
      </c>
      <c r="BK1011" s="15">
        <v>5.0000000000000001E-3</v>
      </c>
      <c r="BL1011" s="15">
        <v>5.0000000000000001E-3</v>
      </c>
      <c r="BM1011" s="15">
        <v>5.0000000000000001E-3</v>
      </c>
      <c r="BN1011" s="15">
        <v>5.0000000000000001E-3</v>
      </c>
    </row>
    <row r="1012" spans="1:66" x14ac:dyDescent="0.4">
      <c r="A1012" t="s">
        <v>674</v>
      </c>
      <c r="B1012" s="15">
        <v>7.9365079365079305E-2</v>
      </c>
      <c r="C1012" s="15">
        <v>7.2463768115942004E-2</v>
      </c>
      <c r="D1012" s="15">
        <v>8.3333333333333301E-2</v>
      </c>
      <c r="E1012" s="15">
        <v>7.1895424836601302E-2</v>
      </c>
      <c r="F1012" s="15">
        <v>8.0645161290322495E-2</v>
      </c>
      <c r="G1012" s="15">
        <v>8.6705202312138699E-2</v>
      </c>
      <c r="H1012" s="15">
        <v>8.8235294117646995E-2</v>
      </c>
      <c r="I1012" s="15">
        <v>9.69696969696969E-2</v>
      </c>
      <c r="J1012" s="15">
        <v>9.2024539877300596E-2</v>
      </c>
      <c r="K1012" s="15">
        <v>8.8235294117646995E-2</v>
      </c>
      <c r="L1012" s="15">
        <v>8.7431693989070997E-2</v>
      </c>
      <c r="M1012" s="15">
        <v>8.5106382978723402E-2</v>
      </c>
      <c r="N1012" s="15">
        <v>8.8082901554404097E-2</v>
      </c>
      <c r="O1012" s="15">
        <v>9.4972067039106101E-2</v>
      </c>
      <c r="P1012" s="15">
        <v>8.9005235602094196E-2</v>
      </c>
      <c r="Q1012" s="15">
        <v>0.1</v>
      </c>
      <c r="R1012" s="15">
        <v>0.08</v>
      </c>
      <c r="S1012" s="15">
        <v>7.0000000000000007E-2</v>
      </c>
      <c r="T1012" s="15">
        <v>7.4999999999999997E-2</v>
      </c>
      <c r="U1012" s="15">
        <v>7.4999999999999997E-2</v>
      </c>
      <c r="V1012" s="15">
        <v>0.06</v>
      </c>
      <c r="W1012" s="15">
        <v>6.5000000000000002E-2</v>
      </c>
      <c r="X1012" s="15">
        <v>8.5000000000000006E-2</v>
      </c>
      <c r="Y1012" s="15">
        <v>8.5000000000000006E-2</v>
      </c>
      <c r="Z1012" s="15">
        <v>7.4999999999999997E-2</v>
      </c>
      <c r="AA1012" s="15">
        <v>0.08</v>
      </c>
      <c r="AB1012" s="15">
        <v>0.09</v>
      </c>
      <c r="AC1012" s="15">
        <v>7.4999999999999997E-2</v>
      </c>
      <c r="AD1012" s="15">
        <v>0.09</v>
      </c>
      <c r="AE1012" s="15">
        <v>7.4999999999999997E-2</v>
      </c>
      <c r="AF1012" s="15">
        <v>7.0000000000000007E-2</v>
      </c>
      <c r="AG1012" s="15">
        <v>0.08</v>
      </c>
      <c r="AH1012" s="15">
        <v>0.08</v>
      </c>
      <c r="AI1012" s="15">
        <v>8.5000000000000006E-2</v>
      </c>
      <c r="AJ1012" s="15">
        <v>7.0000000000000007E-2</v>
      </c>
      <c r="AK1012" s="15">
        <v>0.09</v>
      </c>
      <c r="AL1012" s="15">
        <v>8.5000000000000006E-2</v>
      </c>
      <c r="AM1012" s="15">
        <v>8.5000000000000006E-2</v>
      </c>
      <c r="AN1012" s="15">
        <v>9.5000000000000001E-2</v>
      </c>
      <c r="AO1012" s="15">
        <v>0.115</v>
      </c>
      <c r="AP1012" s="15">
        <v>0.115</v>
      </c>
      <c r="AQ1012" s="15">
        <v>0.12</v>
      </c>
      <c r="AR1012" s="15">
        <v>0.105</v>
      </c>
      <c r="AS1012" s="15">
        <v>0.1</v>
      </c>
      <c r="AT1012" s="15">
        <v>8.5000000000000006E-2</v>
      </c>
      <c r="AU1012" s="15">
        <v>8.5000000000000006E-2</v>
      </c>
      <c r="AV1012" s="15">
        <v>8.5000000000000006E-2</v>
      </c>
      <c r="AW1012" s="15">
        <v>7.4999999999999997E-2</v>
      </c>
      <c r="AX1012" s="15">
        <v>0.08</v>
      </c>
      <c r="AY1012" s="15">
        <v>7.4999999999999997E-2</v>
      </c>
      <c r="AZ1012" s="15">
        <v>6.5000000000000002E-2</v>
      </c>
      <c r="BA1012" s="15">
        <v>7.0000000000000007E-2</v>
      </c>
      <c r="BB1012" s="15">
        <v>6.5000000000000002E-2</v>
      </c>
      <c r="BC1012" s="15">
        <v>0.06</v>
      </c>
      <c r="BD1012" s="15">
        <v>5.5E-2</v>
      </c>
      <c r="BE1012" s="15">
        <v>0.06</v>
      </c>
      <c r="BF1012" s="15">
        <v>5.5E-2</v>
      </c>
      <c r="BG1012" s="15">
        <v>5.5E-2</v>
      </c>
      <c r="BH1012" s="15">
        <v>4.4999999999999998E-2</v>
      </c>
      <c r="BI1012" s="15">
        <v>4.4999999999999998E-2</v>
      </c>
      <c r="BJ1012" s="15">
        <v>0.04</v>
      </c>
      <c r="BK1012" s="15">
        <v>4.4999999999999998E-2</v>
      </c>
      <c r="BL1012" s="15">
        <v>0.06</v>
      </c>
      <c r="BM1012" s="15">
        <v>5.5E-2</v>
      </c>
      <c r="BN1012" s="15">
        <v>6.5000000000000002E-2</v>
      </c>
    </row>
    <row r="1013" spans="1:66" x14ac:dyDescent="0.4">
      <c r="B1013" s="15">
        <v>1</v>
      </c>
      <c r="C1013" s="15">
        <v>3</v>
      </c>
      <c r="D1013" s="15">
        <v>5</v>
      </c>
      <c r="E1013" s="15">
        <v>7</v>
      </c>
      <c r="F1013" s="15">
        <v>9</v>
      </c>
      <c r="G1013" s="15">
        <v>11</v>
      </c>
      <c r="H1013" s="15">
        <v>13</v>
      </c>
      <c r="I1013" s="15">
        <v>15</v>
      </c>
      <c r="J1013" s="15">
        <v>17</v>
      </c>
      <c r="K1013" s="15">
        <v>19</v>
      </c>
      <c r="L1013" s="15">
        <v>21</v>
      </c>
      <c r="M1013" s="15">
        <v>23</v>
      </c>
      <c r="N1013" s="15">
        <v>25</v>
      </c>
      <c r="O1013" s="15">
        <v>27</v>
      </c>
      <c r="P1013" s="15">
        <v>29</v>
      </c>
      <c r="Q1013" s="15">
        <v>31</v>
      </c>
      <c r="R1013" s="15">
        <v>33</v>
      </c>
      <c r="S1013" s="15">
        <v>35</v>
      </c>
      <c r="T1013" s="15">
        <v>37</v>
      </c>
      <c r="U1013" s="15">
        <v>39</v>
      </c>
      <c r="V1013" s="15">
        <v>41</v>
      </c>
      <c r="W1013" s="15">
        <v>43</v>
      </c>
      <c r="X1013" s="15">
        <v>45</v>
      </c>
      <c r="Y1013" s="15">
        <v>47</v>
      </c>
      <c r="Z1013" s="15">
        <v>49</v>
      </c>
      <c r="AA1013" s="15">
        <v>51</v>
      </c>
      <c r="AB1013" s="15">
        <v>53</v>
      </c>
      <c r="AC1013" s="15">
        <v>55</v>
      </c>
      <c r="AD1013" s="15">
        <v>57</v>
      </c>
      <c r="AE1013" s="15">
        <v>59</v>
      </c>
      <c r="AF1013" s="15">
        <v>61</v>
      </c>
      <c r="AG1013" s="15">
        <v>63</v>
      </c>
      <c r="AH1013" s="15">
        <v>65</v>
      </c>
      <c r="AI1013" s="15">
        <v>67</v>
      </c>
      <c r="AJ1013" s="15">
        <v>69</v>
      </c>
      <c r="AK1013" s="15">
        <v>71</v>
      </c>
      <c r="AL1013" s="15">
        <v>73</v>
      </c>
      <c r="AM1013" s="15">
        <v>75</v>
      </c>
      <c r="AN1013" s="15">
        <v>77</v>
      </c>
      <c r="AO1013" s="15">
        <v>79</v>
      </c>
      <c r="AP1013" s="15">
        <v>81</v>
      </c>
      <c r="AQ1013" s="15">
        <v>83</v>
      </c>
      <c r="AR1013" s="15">
        <v>85</v>
      </c>
      <c r="AS1013" s="15">
        <v>87</v>
      </c>
      <c r="AT1013" s="15">
        <v>89</v>
      </c>
      <c r="AU1013" s="15">
        <v>91</v>
      </c>
      <c r="AV1013" s="15">
        <v>93</v>
      </c>
      <c r="AW1013" s="15">
        <v>95</v>
      </c>
      <c r="AX1013" s="15">
        <v>97</v>
      </c>
      <c r="AY1013" s="15">
        <v>99</v>
      </c>
      <c r="AZ1013" s="15">
        <v>101</v>
      </c>
      <c r="BA1013" s="15">
        <v>103</v>
      </c>
      <c r="BB1013" s="15">
        <v>105</v>
      </c>
      <c r="BC1013" s="15">
        <v>107</v>
      </c>
      <c r="BD1013" s="15">
        <v>109</v>
      </c>
      <c r="BE1013" s="15">
        <v>111</v>
      </c>
      <c r="BF1013" s="15">
        <v>113</v>
      </c>
      <c r="BG1013" s="15">
        <v>115</v>
      </c>
      <c r="BH1013" s="15">
        <v>117</v>
      </c>
      <c r="BI1013" s="15">
        <v>119</v>
      </c>
      <c r="BJ1013" s="15">
        <v>121</v>
      </c>
      <c r="BK1013" s="15">
        <v>123</v>
      </c>
      <c r="BL1013" s="15">
        <v>125</v>
      </c>
      <c r="BM1013" s="15">
        <v>127</v>
      </c>
      <c r="BN1013" s="15">
        <v>129</v>
      </c>
    </row>
    <row r="1014" spans="1:66" x14ac:dyDescent="0.4">
      <c r="A1014" t="s">
        <v>679</v>
      </c>
      <c r="B1014" s="15">
        <v>0.60317460317460303</v>
      </c>
      <c r="C1014" s="15">
        <v>0.57971014492753603</v>
      </c>
      <c r="D1014" s="15">
        <v>0.60606060606060597</v>
      </c>
      <c r="E1014" s="15">
        <v>0.53594771241829997</v>
      </c>
      <c r="F1014" s="15">
        <v>0.44623655913978399</v>
      </c>
      <c r="G1014" s="15">
        <v>0.479768786127167</v>
      </c>
      <c r="H1014" s="15">
        <v>0.494117647058823</v>
      </c>
      <c r="I1014" s="15">
        <v>0.50909090909090904</v>
      </c>
      <c r="J1014" s="15">
        <v>0.60122699386502998</v>
      </c>
      <c r="K1014" s="15">
        <v>0.55882352941176405</v>
      </c>
      <c r="L1014" s="15">
        <v>0.54098360655737698</v>
      </c>
      <c r="M1014" s="15">
        <v>0.52659574468085102</v>
      </c>
      <c r="N1014" s="15">
        <v>0.51295336787564705</v>
      </c>
      <c r="O1014" s="15">
        <v>0.53631284916201105</v>
      </c>
      <c r="P1014" s="15">
        <v>0.51832460732984298</v>
      </c>
      <c r="Q1014" s="15">
        <v>0.45</v>
      </c>
      <c r="R1014" s="15">
        <v>0.35499999999999998</v>
      </c>
      <c r="S1014" s="15">
        <v>0.35</v>
      </c>
      <c r="T1014" s="15">
        <v>0.28499999999999998</v>
      </c>
      <c r="U1014" s="15">
        <v>0.19500000000000001</v>
      </c>
      <c r="V1014" s="15">
        <v>0.215</v>
      </c>
      <c r="W1014" s="15">
        <v>0.24</v>
      </c>
      <c r="X1014" s="15">
        <v>0.22</v>
      </c>
      <c r="Y1014" s="15">
        <v>0.18</v>
      </c>
      <c r="Z1014" s="15">
        <v>0.18</v>
      </c>
      <c r="AA1014" s="15">
        <v>0.13</v>
      </c>
      <c r="AB1014" s="15">
        <v>0.125</v>
      </c>
      <c r="AC1014" s="15">
        <v>0.14499999999999999</v>
      </c>
      <c r="AD1014" s="15">
        <v>0.17</v>
      </c>
      <c r="AE1014" s="15">
        <v>0.125</v>
      </c>
      <c r="AF1014" s="15">
        <v>0.17</v>
      </c>
      <c r="AG1014" s="15">
        <v>0.315</v>
      </c>
      <c r="AH1014" s="15">
        <v>0.29499999999999998</v>
      </c>
      <c r="AI1014" s="15">
        <v>0.19</v>
      </c>
      <c r="AJ1014" s="15">
        <v>0.16</v>
      </c>
      <c r="AK1014" s="15">
        <v>0.155</v>
      </c>
      <c r="AL1014" s="15">
        <v>0.14499999999999999</v>
      </c>
      <c r="AM1014" s="15">
        <v>0.16</v>
      </c>
      <c r="AN1014" s="15">
        <v>0.14499999999999999</v>
      </c>
      <c r="AO1014" s="15">
        <v>0.13500000000000001</v>
      </c>
      <c r="AP1014" s="15">
        <v>0.14499999999999999</v>
      </c>
      <c r="AQ1014" s="15">
        <v>0.15</v>
      </c>
      <c r="AR1014" s="15">
        <v>0.18</v>
      </c>
      <c r="AS1014" s="15">
        <v>0.19500000000000001</v>
      </c>
      <c r="AT1014" s="15">
        <v>0.16</v>
      </c>
      <c r="AU1014" s="15">
        <v>0.17499999999999999</v>
      </c>
      <c r="AV1014" s="15">
        <v>0.14499999999999999</v>
      </c>
      <c r="AW1014" s="15">
        <v>0.16500000000000001</v>
      </c>
      <c r="AX1014" s="15">
        <v>0.14499999999999999</v>
      </c>
      <c r="AY1014" s="15">
        <v>0.16500000000000001</v>
      </c>
      <c r="AZ1014" s="15">
        <v>0.16</v>
      </c>
      <c r="BA1014" s="15">
        <v>0.15</v>
      </c>
      <c r="BB1014" s="15">
        <v>0.17</v>
      </c>
      <c r="BC1014" s="15">
        <v>0.17</v>
      </c>
      <c r="BD1014" s="15">
        <v>0.14000000000000001</v>
      </c>
      <c r="BE1014" s="15">
        <v>0.17499999999999999</v>
      </c>
      <c r="BF1014" s="15">
        <v>0.19</v>
      </c>
      <c r="BG1014" s="15">
        <v>0.19500000000000001</v>
      </c>
      <c r="BH1014" s="15">
        <v>0.19500000000000001</v>
      </c>
      <c r="BI1014" s="15">
        <v>0.19500000000000001</v>
      </c>
      <c r="BJ1014" s="15">
        <v>0.19500000000000001</v>
      </c>
      <c r="BK1014" s="15">
        <v>0.17</v>
      </c>
      <c r="BL1014" s="15">
        <v>0.17</v>
      </c>
      <c r="BM1014" s="15">
        <v>0.17</v>
      </c>
      <c r="BN1014" s="15">
        <v>0.14000000000000001</v>
      </c>
    </row>
    <row r="1015" spans="1:66" x14ac:dyDescent="0.4">
      <c r="A1015" t="s">
        <v>680</v>
      </c>
      <c r="B1015" s="15">
        <v>0.38888888888888801</v>
      </c>
      <c r="C1015" s="15">
        <v>0.42028985507246303</v>
      </c>
      <c r="D1015" s="15">
        <v>0.37878787878787801</v>
      </c>
      <c r="E1015" s="15">
        <v>0.45098039215686198</v>
      </c>
      <c r="F1015" s="15">
        <v>0.54838709677419295</v>
      </c>
      <c r="G1015" s="15">
        <v>0.520231213872832</v>
      </c>
      <c r="H1015" s="15">
        <v>0.50588235294117601</v>
      </c>
      <c r="I1015" s="15">
        <v>0.48484848484848397</v>
      </c>
      <c r="J1015" s="15">
        <v>0.39263803680981502</v>
      </c>
      <c r="K1015" s="15">
        <v>0.435294117647058</v>
      </c>
      <c r="L1015" s="15">
        <v>0.45355191256830601</v>
      </c>
      <c r="M1015" s="15">
        <v>0.45744680851063801</v>
      </c>
      <c r="N1015" s="15">
        <v>0.48704663212435201</v>
      </c>
      <c r="O1015" s="15">
        <v>0.45251396648044601</v>
      </c>
      <c r="P1015" s="15">
        <v>0.47643979057591601</v>
      </c>
      <c r="Q1015" s="15">
        <v>0.53</v>
      </c>
      <c r="R1015" s="15">
        <v>0.64</v>
      </c>
      <c r="S1015" s="15">
        <v>0.64</v>
      </c>
      <c r="T1015" s="15">
        <v>0.70499999999999996</v>
      </c>
      <c r="U1015" s="15">
        <v>0.66</v>
      </c>
      <c r="V1015" s="15">
        <v>0.70499999999999996</v>
      </c>
      <c r="W1015" s="15">
        <v>0.68</v>
      </c>
      <c r="X1015" s="15">
        <v>0.67500000000000004</v>
      </c>
      <c r="Y1015" s="15">
        <v>0.63500000000000001</v>
      </c>
      <c r="Z1015" s="15">
        <v>0.71</v>
      </c>
      <c r="AA1015" s="15">
        <v>0.56000000000000005</v>
      </c>
      <c r="AB1015" s="15">
        <v>0.495</v>
      </c>
      <c r="AC1015" s="15">
        <v>0.57499999999999996</v>
      </c>
      <c r="AD1015" s="15">
        <v>0.59499999999999997</v>
      </c>
      <c r="AE1015" s="15">
        <v>0.58499999999999996</v>
      </c>
      <c r="AF1015" s="15">
        <v>0.63500000000000001</v>
      </c>
      <c r="AG1015" s="15">
        <v>0.61499999999999999</v>
      </c>
      <c r="AH1015" s="15">
        <v>0.63</v>
      </c>
      <c r="AI1015" s="15">
        <v>0.62</v>
      </c>
      <c r="AJ1015" s="15">
        <v>0.6</v>
      </c>
      <c r="AK1015" s="15">
        <v>0.63500000000000001</v>
      </c>
      <c r="AL1015" s="15">
        <v>0.63</v>
      </c>
      <c r="AM1015" s="15">
        <v>0.58499999999999996</v>
      </c>
      <c r="AN1015" s="15">
        <v>0.59</v>
      </c>
      <c r="AO1015" s="15">
        <v>0.55500000000000005</v>
      </c>
      <c r="AP1015" s="15">
        <v>0.56499999999999995</v>
      </c>
      <c r="AQ1015" s="15">
        <v>0.48</v>
      </c>
      <c r="AR1015" s="15">
        <v>0.48499999999999999</v>
      </c>
      <c r="AS1015" s="15">
        <v>0.51500000000000001</v>
      </c>
      <c r="AT1015" s="15">
        <v>0.46500000000000002</v>
      </c>
      <c r="AU1015" s="15">
        <v>0.46500000000000002</v>
      </c>
      <c r="AV1015" s="15">
        <v>0.45500000000000002</v>
      </c>
      <c r="AW1015" s="15">
        <v>0.46500000000000002</v>
      </c>
      <c r="AX1015" s="15">
        <v>0.45</v>
      </c>
      <c r="AY1015" s="15">
        <v>0.42</v>
      </c>
      <c r="AZ1015" s="15">
        <v>0.42499999999999999</v>
      </c>
      <c r="BA1015" s="15">
        <v>0.42499999999999999</v>
      </c>
      <c r="BB1015" s="15">
        <v>0.42499999999999999</v>
      </c>
      <c r="BC1015" s="15">
        <v>0.39</v>
      </c>
      <c r="BD1015" s="15">
        <v>0.375</v>
      </c>
      <c r="BE1015" s="15">
        <v>0.38500000000000001</v>
      </c>
      <c r="BF1015" s="15">
        <v>0.37</v>
      </c>
      <c r="BG1015" s="15">
        <v>0.32500000000000001</v>
      </c>
      <c r="BH1015" s="15">
        <v>0.36499999999999999</v>
      </c>
      <c r="BI1015" s="15">
        <v>0.375</v>
      </c>
      <c r="BJ1015" s="15">
        <v>0.38</v>
      </c>
      <c r="BK1015" s="15">
        <v>0.32</v>
      </c>
      <c r="BL1015" s="15">
        <v>0.32</v>
      </c>
      <c r="BM1015" s="15">
        <v>0.29499999999999998</v>
      </c>
      <c r="BN1015" s="15">
        <v>0.32</v>
      </c>
    </row>
    <row r="1016" spans="1:66" x14ac:dyDescent="0.4">
      <c r="A1016" t="s">
        <v>681</v>
      </c>
      <c r="B1016" s="15">
        <v>7.9365079365079309E-3</v>
      </c>
      <c r="C1016" s="15">
        <v>0</v>
      </c>
      <c r="D1016" s="15">
        <v>1.51515151515151E-2</v>
      </c>
      <c r="E1016" s="15">
        <v>1.30718954248366E-2</v>
      </c>
      <c r="F1016" s="15">
        <v>5.3763440860214997E-3</v>
      </c>
      <c r="G1016" s="15">
        <v>0</v>
      </c>
      <c r="H1016" s="15">
        <v>0</v>
      </c>
      <c r="I1016" s="15">
        <v>6.0606060606060597E-3</v>
      </c>
      <c r="J1016" s="15">
        <v>6.13496932515337E-3</v>
      </c>
      <c r="K1016" s="15">
        <v>5.8823529411764696E-3</v>
      </c>
      <c r="L1016" s="15">
        <v>5.4644808743169399E-3</v>
      </c>
      <c r="M1016" s="15">
        <v>1.5957446808510599E-2</v>
      </c>
      <c r="N1016" s="15">
        <v>0</v>
      </c>
      <c r="O1016" s="15">
        <v>1.11731843575419E-2</v>
      </c>
      <c r="P1016" s="15">
        <v>5.2356020942408302E-3</v>
      </c>
      <c r="Q1016" s="15">
        <v>0.02</v>
      </c>
      <c r="R1016" s="15">
        <v>5.0000000000000001E-3</v>
      </c>
      <c r="S1016" s="15">
        <v>0.01</v>
      </c>
      <c r="T1016" s="15">
        <v>0.01</v>
      </c>
      <c r="U1016" s="15">
        <v>0.14499999999999999</v>
      </c>
      <c r="V1016" s="15">
        <v>0.08</v>
      </c>
      <c r="W1016" s="15">
        <v>0.08</v>
      </c>
      <c r="X1016" s="15">
        <v>0.105</v>
      </c>
      <c r="Y1016" s="15">
        <v>0.185</v>
      </c>
      <c r="Z1016" s="15">
        <v>0.11</v>
      </c>
      <c r="AA1016" s="15">
        <v>0.31</v>
      </c>
      <c r="AB1016" s="15">
        <v>0.38</v>
      </c>
      <c r="AC1016" s="15">
        <v>0.28000000000000003</v>
      </c>
      <c r="AD1016" s="15">
        <v>0.23499999999999999</v>
      </c>
      <c r="AE1016" s="15">
        <v>0.28999999999999998</v>
      </c>
      <c r="AF1016" s="15">
        <v>0.19500000000000001</v>
      </c>
      <c r="AG1016" s="15">
        <v>7.0000000000000007E-2</v>
      </c>
      <c r="AH1016" s="15">
        <v>7.4999999999999997E-2</v>
      </c>
      <c r="AI1016" s="15">
        <v>0.19</v>
      </c>
      <c r="AJ1016" s="15">
        <v>0.24</v>
      </c>
      <c r="AK1016" s="15">
        <v>0.21</v>
      </c>
      <c r="AL1016" s="15">
        <v>0.22500000000000001</v>
      </c>
      <c r="AM1016" s="15">
        <v>0.255</v>
      </c>
      <c r="AN1016" s="15">
        <v>0.26500000000000001</v>
      </c>
      <c r="AO1016" s="15">
        <v>0.31</v>
      </c>
      <c r="AP1016" s="15">
        <v>0.28999999999999998</v>
      </c>
      <c r="AQ1016" s="15">
        <v>0.37</v>
      </c>
      <c r="AR1016" s="15">
        <v>0.33500000000000002</v>
      </c>
      <c r="AS1016" s="15">
        <v>0.28999999999999998</v>
      </c>
      <c r="AT1016" s="15">
        <v>0.375</v>
      </c>
      <c r="AU1016" s="15">
        <v>0.36</v>
      </c>
      <c r="AV1016" s="15">
        <v>0.4</v>
      </c>
      <c r="AW1016" s="15">
        <v>0.37</v>
      </c>
      <c r="AX1016" s="15">
        <v>0.40500000000000003</v>
      </c>
      <c r="AY1016" s="15">
        <v>0.41499999999999998</v>
      </c>
      <c r="AZ1016" s="15">
        <v>0.41499999999999998</v>
      </c>
      <c r="BA1016" s="15">
        <v>0.42499999999999999</v>
      </c>
      <c r="BB1016" s="15">
        <v>0.40500000000000003</v>
      </c>
      <c r="BC1016" s="15">
        <v>0.44</v>
      </c>
      <c r="BD1016" s="15">
        <v>0.48499999999999999</v>
      </c>
      <c r="BE1016" s="15">
        <v>0.44</v>
      </c>
      <c r="BF1016" s="15">
        <v>0.44</v>
      </c>
      <c r="BG1016" s="15">
        <v>0.48</v>
      </c>
      <c r="BH1016" s="15">
        <v>0.44</v>
      </c>
      <c r="BI1016" s="15">
        <v>0.43</v>
      </c>
      <c r="BJ1016" s="15">
        <v>0.42499999999999999</v>
      </c>
      <c r="BK1016" s="15">
        <v>0.51</v>
      </c>
      <c r="BL1016" s="15">
        <v>0.51</v>
      </c>
      <c r="BM1016" s="15">
        <v>0.53500000000000003</v>
      </c>
      <c r="BN1016" s="15">
        <v>0.54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H1024"/>
  <sheetViews>
    <sheetView topLeftCell="A985" workbookViewId="0">
      <selection activeCell="A1008" sqref="A1008"/>
    </sheetView>
  </sheetViews>
  <sheetFormatPr defaultRowHeight="17.399999999999999" x14ac:dyDescent="0.4"/>
  <sheetData>
    <row r="1" spans="1:112" x14ac:dyDescent="0.4">
      <c r="B1">
        <v>20080229</v>
      </c>
      <c r="E1">
        <v>20080530</v>
      </c>
      <c r="H1">
        <v>20080829</v>
      </c>
      <c r="K1">
        <v>20081128</v>
      </c>
      <c r="N1">
        <v>20090227</v>
      </c>
      <c r="Q1">
        <v>20090529</v>
      </c>
      <c r="T1">
        <v>20090831</v>
      </c>
      <c r="W1">
        <v>20091130</v>
      </c>
      <c r="Z1">
        <v>20100226</v>
      </c>
      <c r="AC1">
        <v>20100531</v>
      </c>
      <c r="AF1">
        <v>20100831</v>
      </c>
      <c r="AI1">
        <v>20101130</v>
      </c>
      <c r="AL1">
        <v>20110228</v>
      </c>
      <c r="AO1">
        <v>20110531</v>
      </c>
      <c r="AR1">
        <v>20110831</v>
      </c>
      <c r="AU1">
        <v>20111130</v>
      </c>
      <c r="AX1">
        <v>20120229</v>
      </c>
      <c r="BA1">
        <v>20120531</v>
      </c>
      <c r="BD1">
        <v>20120831</v>
      </c>
      <c r="BG1">
        <v>20121130</v>
      </c>
      <c r="BJ1">
        <v>20130228</v>
      </c>
      <c r="BM1">
        <v>20130531</v>
      </c>
      <c r="BP1">
        <v>20130830</v>
      </c>
      <c r="BS1">
        <v>20131129</v>
      </c>
      <c r="BV1">
        <v>20140228</v>
      </c>
      <c r="BY1">
        <v>20140530</v>
      </c>
      <c r="CB1">
        <v>20140829</v>
      </c>
      <c r="CE1">
        <v>20141128</v>
      </c>
      <c r="CH1">
        <v>20150227</v>
      </c>
      <c r="CK1">
        <v>20150529</v>
      </c>
      <c r="CN1">
        <v>20150831</v>
      </c>
      <c r="CQ1">
        <v>20151130</v>
      </c>
      <c r="CT1">
        <v>20160229</v>
      </c>
      <c r="CW1">
        <v>20160531</v>
      </c>
      <c r="CZ1">
        <v>20160831</v>
      </c>
      <c r="DC1">
        <v>20161130</v>
      </c>
      <c r="DF1">
        <v>20170228</v>
      </c>
    </row>
    <row r="2" spans="1:112" x14ac:dyDescent="0.4">
      <c r="A2">
        <v>0</v>
      </c>
      <c r="B2" t="s">
        <v>29</v>
      </c>
      <c r="C2">
        <v>2</v>
      </c>
      <c r="D2">
        <v>1.0033435987681401</v>
      </c>
      <c r="E2" t="s">
        <v>32</v>
      </c>
      <c r="F2">
        <v>2</v>
      </c>
      <c r="G2">
        <v>0.82812745251922704</v>
      </c>
      <c r="H2" t="s">
        <v>32</v>
      </c>
      <c r="I2">
        <v>2</v>
      </c>
      <c r="J2">
        <v>0.70754359363153896</v>
      </c>
      <c r="K2" t="s">
        <v>31</v>
      </c>
      <c r="L2">
        <v>2</v>
      </c>
      <c r="M2">
        <v>1.175</v>
      </c>
      <c r="N2" t="s">
        <v>31</v>
      </c>
      <c r="O2">
        <v>2</v>
      </c>
      <c r="P2">
        <v>1.20345744680851</v>
      </c>
      <c r="Q2" t="s">
        <v>31</v>
      </c>
      <c r="R2">
        <v>2</v>
      </c>
      <c r="S2">
        <v>0.94475138121546898</v>
      </c>
      <c r="T2" t="s">
        <v>31</v>
      </c>
      <c r="U2">
        <v>2</v>
      </c>
      <c r="V2">
        <v>0.783625730994152</v>
      </c>
      <c r="W2" t="s">
        <v>31</v>
      </c>
      <c r="X2">
        <v>2</v>
      </c>
      <c r="Y2">
        <v>0.89253731343283504</v>
      </c>
      <c r="Z2" t="s">
        <v>31</v>
      </c>
      <c r="AA2">
        <v>2</v>
      </c>
      <c r="AB2">
        <v>0.90301003344481601</v>
      </c>
      <c r="AC2" t="s">
        <v>31</v>
      </c>
      <c r="AD2">
        <v>2</v>
      </c>
      <c r="AE2">
        <v>0.89722222222222203</v>
      </c>
      <c r="AF2" t="s">
        <v>31</v>
      </c>
      <c r="AG2">
        <v>2</v>
      </c>
      <c r="AH2">
        <v>0.98968008255933904</v>
      </c>
      <c r="AI2" t="s">
        <v>31</v>
      </c>
      <c r="AJ2">
        <v>2</v>
      </c>
      <c r="AK2">
        <v>0.934306569343065</v>
      </c>
      <c r="AL2" t="s">
        <v>31</v>
      </c>
      <c r="AM2">
        <v>2</v>
      </c>
      <c r="AN2">
        <v>1.05133928571428</v>
      </c>
      <c r="AO2" t="s">
        <v>31</v>
      </c>
      <c r="AP2">
        <v>3</v>
      </c>
      <c r="AQ2">
        <v>1.0976645435244099</v>
      </c>
      <c r="AR2" t="s">
        <v>31</v>
      </c>
      <c r="AS2">
        <v>3</v>
      </c>
      <c r="AT2">
        <v>0.83365570599613104</v>
      </c>
      <c r="AU2" t="s">
        <v>31</v>
      </c>
      <c r="AV2">
        <v>3</v>
      </c>
      <c r="AW2">
        <v>1.08584686774942</v>
      </c>
      <c r="AX2" t="s">
        <v>31</v>
      </c>
      <c r="AY2">
        <v>3</v>
      </c>
      <c r="AZ2">
        <v>1.06623931623931</v>
      </c>
      <c r="BA2" t="s">
        <v>31</v>
      </c>
      <c r="BB2">
        <v>3</v>
      </c>
      <c r="BC2">
        <v>1.1022044088176299</v>
      </c>
      <c r="BD2" t="s">
        <v>31</v>
      </c>
      <c r="BE2">
        <v>3</v>
      </c>
      <c r="BF2">
        <v>1.13636363636363</v>
      </c>
      <c r="BG2" t="s">
        <v>31</v>
      </c>
      <c r="BH2">
        <v>3</v>
      </c>
      <c r="BI2">
        <v>0.96479999999999999</v>
      </c>
      <c r="BJ2" t="s">
        <v>31</v>
      </c>
      <c r="BK2">
        <v>3</v>
      </c>
      <c r="BL2">
        <v>1.14925373134328</v>
      </c>
      <c r="BM2" t="s">
        <v>31</v>
      </c>
      <c r="BN2">
        <v>3</v>
      </c>
      <c r="BO2">
        <v>0.89610389610389596</v>
      </c>
      <c r="BP2" t="s">
        <v>31</v>
      </c>
      <c r="BQ2">
        <v>3</v>
      </c>
      <c r="BR2">
        <v>0.80515297906602201</v>
      </c>
      <c r="BS2" t="s">
        <v>31</v>
      </c>
      <c r="BT2">
        <v>3</v>
      </c>
      <c r="BU2">
        <v>1.038</v>
      </c>
      <c r="BV2" t="s">
        <v>31</v>
      </c>
      <c r="BW2">
        <v>3</v>
      </c>
      <c r="BX2">
        <v>1.11368015414258</v>
      </c>
      <c r="BY2" t="s">
        <v>31</v>
      </c>
      <c r="BZ2">
        <v>3</v>
      </c>
      <c r="CA2">
        <v>0.89446366782006903</v>
      </c>
      <c r="CB2" t="s">
        <v>31</v>
      </c>
      <c r="CC2">
        <v>3</v>
      </c>
      <c r="CD2">
        <v>1.11992263056092</v>
      </c>
      <c r="CE2" t="s">
        <v>31</v>
      </c>
      <c r="CF2">
        <v>3</v>
      </c>
      <c r="CG2">
        <v>1.0794473229706301</v>
      </c>
      <c r="CH2" t="s">
        <v>31</v>
      </c>
      <c r="CI2">
        <v>3</v>
      </c>
      <c r="CJ2">
        <v>1.4992000000000001</v>
      </c>
      <c r="CK2" t="s">
        <v>33</v>
      </c>
      <c r="CL2">
        <v>1</v>
      </c>
      <c r="CM2">
        <v>0.86857142857142799</v>
      </c>
      <c r="CN2" t="s">
        <v>33</v>
      </c>
      <c r="CO2">
        <v>1</v>
      </c>
      <c r="CP2">
        <v>1.0405701754385901</v>
      </c>
      <c r="CQ2" t="s">
        <v>33</v>
      </c>
      <c r="CR2">
        <v>1</v>
      </c>
      <c r="CS2">
        <v>0.91780821917808197</v>
      </c>
      <c r="CT2" t="s">
        <v>33</v>
      </c>
      <c r="CU2">
        <v>1</v>
      </c>
      <c r="CV2">
        <v>1.1423650975889701</v>
      </c>
      <c r="CW2" t="s">
        <v>33</v>
      </c>
      <c r="CX2">
        <v>1</v>
      </c>
      <c r="CY2">
        <v>1.06532663316582</v>
      </c>
      <c r="CZ2" t="s">
        <v>33</v>
      </c>
      <c r="DA2">
        <v>1</v>
      </c>
      <c r="DB2">
        <v>1.1320754716981101</v>
      </c>
      <c r="DC2" t="s">
        <v>33</v>
      </c>
      <c r="DD2">
        <v>1</v>
      </c>
      <c r="DE2">
        <v>1.1083333333333301</v>
      </c>
      <c r="DF2" t="s">
        <v>33</v>
      </c>
      <c r="DG2">
        <v>1</v>
      </c>
      <c r="DH2">
        <v>1.1503759398496201</v>
      </c>
    </row>
    <row r="3" spans="1:112" x14ac:dyDescent="0.4">
      <c r="A3">
        <v>1</v>
      </c>
      <c r="B3" t="s">
        <v>32</v>
      </c>
      <c r="C3">
        <v>2</v>
      </c>
      <c r="D3">
        <v>1.06667286764021</v>
      </c>
      <c r="E3" t="s">
        <v>34</v>
      </c>
      <c r="F3">
        <v>1</v>
      </c>
      <c r="G3">
        <v>0.55141700404858296</v>
      </c>
      <c r="H3" t="s">
        <v>41</v>
      </c>
      <c r="I3">
        <v>1</v>
      </c>
      <c r="J3">
        <v>0.893043442823376</v>
      </c>
      <c r="K3" t="s">
        <v>29</v>
      </c>
      <c r="L3">
        <v>2</v>
      </c>
      <c r="M3">
        <v>1.1399301513387601</v>
      </c>
      <c r="N3" t="s">
        <v>29</v>
      </c>
      <c r="O3">
        <v>2</v>
      </c>
      <c r="P3">
        <v>2.1970996732026098</v>
      </c>
      <c r="Q3" t="s">
        <v>29</v>
      </c>
      <c r="R3">
        <v>2</v>
      </c>
      <c r="S3">
        <v>0.99646741656595705</v>
      </c>
      <c r="T3" t="s">
        <v>29</v>
      </c>
      <c r="U3">
        <v>2</v>
      </c>
      <c r="V3">
        <v>0.82274465901669902</v>
      </c>
      <c r="W3" t="s">
        <v>29</v>
      </c>
      <c r="X3">
        <v>2</v>
      </c>
      <c r="Y3">
        <v>0.96552897153872297</v>
      </c>
      <c r="Z3" t="s">
        <v>29</v>
      </c>
      <c r="AA3">
        <v>2</v>
      </c>
      <c r="AB3">
        <v>0.93294186729301198</v>
      </c>
      <c r="AC3" t="s">
        <v>29</v>
      </c>
      <c r="AD3">
        <v>2</v>
      </c>
      <c r="AE3">
        <v>1.10057905337361</v>
      </c>
      <c r="AF3" t="s">
        <v>29</v>
      </c>
      <c r="AG3">
        <v>2</v>
      </c>
      <c r="AH3">
        <v>0.99130733157954898</v>
      </c>
      <c r="AI3" t="s">
        <v>29</v>
      </c>
      <c r="AJ3">
        <v>2</v>
      </c>
      <c r="AK3">
        <v>0.97807776623975995</v>
      </c>
      <c r="AL3" t="s">
        <v>29</v>
      </c>
      <c r="AM3">
        <v>2</v>
      </c>
      <c r="AN3">
        <v>1.23758405096142</v>
      </c>
      <c r="AO3" t="s">
        <v>29</v>
      </c>
      <c r="AP3">
        <v>2</v>
      </c>
      <c r="AQ3">
        <v>0.82975884091125696</v>
      </c>
      <c r="AR3" t="s">
        <v>29</v>
      </c>
      <c r="AS3">
        <v>2</v>
      </c>
      <c r="AT3">
        <v>0.84009190120620303</v>
      </c>
      <c r="AU3" t="s">
        <v>29</v>
      </c>
      <c r="AV3">
        <v>2</v>
      </c>
      <c r="AW3">
        <v>1.2371119923424001</v>
      </c>
      <c r="AX3" t="s">
        <v>29</v>
      </c>
      <c r="AY3">
        <v>2</v>
      </c>
      <c r="AZ3">
        <v>0.73527136067204601</v>
      </c>
      <c r="BA3" t="s">
        <v>29</v>
      </c>
      <c r="BB3">
        <v>2</v>
      </c>
      <c r="BC3">
        <v>1.126879134095</v>
      </c>
      <c r="BD3" t="s">
        <v>29</v>
      </c>
      <c r="BE3">
        <v>2</v>
      </c>
      <c r="BF3">
        <v>1.0546958377801401</v>
      </c>
      <c r="BG3" t="s">
        <v>29</v>
      </c>
      <c r="BH3">
        <v>2</v>
      </c>
      <c r="BI3">
        <v>1.03971667088287</v>
      </c>
      <c r="BJ3" t="s">
        <v>29</v>
      </c>
      <c r="BK3">
        <v>2</v>
      </c>
      <c r="BL3">
        <v>1.5115571776155701</v>
      </c>
      <c r="BM3" t="s">
        <v>29</v>
      </c>
      <c r="BN3">
        <v>3</v>
      </c>
      <c r="BO3">
        <v>0.94873239436619705</v>
      </c>
      <c r="BP3" t="s">
        <v>29</v>
      </c>
      <c r="BQ3">
        <v>3</v>
      </c>
      <c r="BR3">
        <v>0.82626399728537403</v>
      </c>
      <c r="BS3" t="s">
        <v>29</v>
      </c>
      <c r="BT3">
        <v>3</v>
      </c>
      <c r="BU3">
        <v>1.2217659137576999</v>
      </c>
      <c r="BV3" t="s">
        <v>29</v>
      </c>
      <c r="BW3">
        <v>3</v>
      </c>
      <c r="BX3">
        <v>1.01680672268907</v>
      </c>
      <c r="BY3" t="s">
        <v>29</v>
      </c>
      <c r="BZ3">
        <v>2</v>
      </c>
      <c r="CA3">
        <v>1.4793388429751999</v>
      </c>
      <c r="CB3" t="s">
        <v>29</v>
      </c>
      <c r="CC3">
        <v>2</v>
      </c>
      <c r="CD3">
        <v>1.0558659217877</v>
      </c>
      <c r="CE3" t="s">
        <v>29</v>
      </c>
      <c r="CF3">
        <v>2</v>
      </c>
      <c r="CG3">
        <v>0.90476190476190399</v>
      </c>
      <c r="CH3" t="s">
        <v>29</v>
      </c>
      <c r="CI3">
        <v>2</v>
      </c>
      <c r="CJ3">
        <v>1.42105263157894</v>
      </c>
      <c r="CK3" t="s">
        <v>32</v>
      </c>
      <c r="CL3">
        <v>2</v>
      </c>
      <c r="CM3">
        <v>1.6574074074073999</v>
      </c>
      <c r="CN3" t="s">
        <v>38</v>
      </c>
      <c r="CO3">
        <v>1</v>
      </c>
      <c r="CP3">
        <v>1.06395348837209</v>
      </c>
      <c r="CQ3" t="s">
        <v>35</v>
      </c>
      <c r="CR3">
        <v>3</v>
      </c>
      <c r="CS3">
        <v>1.3893653516294999</v>
      </c>
      <c r="CT3" t="s">
        <v>34</v>
      </c>
      <c r="CU3">
        <v>1</v>
      </c>
      <c r="CV3">
        <v>1.01119402985074</v>
      </c>
      <c r="CW3" t="s">
        <v>29</v>
      </c>
      <c r="CX3">
        <v>2</v>
      </c>
      <c r="CY3">
        <v>1.05555555555555</v>
      </c>
      <c r="CZ3" t="s">
        <v>30</v>
      </c>
      <c r="DA3">
        <v>2</v>
      </c>
      <c r="DB3">
        <v>1.0610932475884201</v>
      </c>
      <c r="DC3" t="s">
        <v>36</v>
      </c>
      <c r="DD3">
        <v>2</v>
      </c>
      <c r="DE3">
        <v>0.95901639344262202</v>
      </c>
      <c r="DF3" t="s">
        <v>29</v>
      </c>
      <c r="DG3">
        <v>2</v>
      </c>
      <c r="DH3">
        <v>1.1514084507042199</v>
      </c>
    </row>
    <row r="4" spans="1:112" x14ac:dyDescent="0.4">
      <c r="A4">
        <v>2</v>
      </c>
      <c r="B4" t="s">
        <v>37</v>
      </c>
      <c r="C4">
        <v>2</v>
      </c>
      <c r="D4">
        <v>0.92742228135962201</v>
      </c>
      <c r="E4" t="s">
        <v>37</v>
      </c>
      <c r="F4">
        <v>2</v>
      </c>
      <c r="G4">
        <v>0.77018390504760603</v>
      </c>
      <c r="H4" t="s">
        <v>36</v>
      </c>
      <c r="I4">
        <v>1</v>
      </c>
      <c r="J4">
        <v>0.51808972503617901</v>
      </c>
      <c r="K4" t="s">
        <v>30</v>
      </c>
      <c r="L4">
        <v>2</v>
      </c>
      <c r="M4">
        <v>0.97084548104956203</v>
      </c>
      <c r="N4" t="s">
        <v>30</v>
      </c>
      <c r="O4">
        <v>2</v>
      </c>
      <c r="P4">
        <v>1.81514848181514</v>
      </c>
      <c r="Q4" t="s">
        <v>32</v>
      </c>
      <c r="R4">
        <v>2</v>
      </c>
      <c r="S4">
        <v>1.04124090950934</v>
      </c>
      <c r="T4" t="s">
        <v>32</v>
      </c>
      <c r="U4">
        <v>2</v>
      </c>
      <c r="V4">
        <v>0.95172840597648301</v>
      </c>
      <c r="W4" t="s">
        <v>32</v>
      </c>
      <c r="X4">
        <v>2</v>
      </c>
      <c r="Y4">
        <v>1.00910357640501</v>
      </c>
      <c r="Z4" t="s">
        <v>32</v>
      </c>
      <c r="AA4">
        <v>2</v>
      </c>
      <c r="AB4">
        <v>1.2216468747123199</v>
      </c>
      <c r="AC4" t="s">
        <v>32</v>
      </c>
      <c r="AD4">
        <v>2</v>
      </c>
      <c r="AE4">
        <v>1.1498031384812399</v>
      </c>
      <c r="AF4" t="s">
        <v>32</v>
      </c>
      <c r="AG4">
        <v>2</v>
      </c>
      <c r="AH4">
        <v>1.25319898418939</v>
      </c>
      <c r="AI4" t="s">
        <v>32</v>
      </c>
      <c r="AJ4">
        <v>2</v>
      </c>
      <c r="AK4">
        <v>0.834551373400096</v>
      </c>
      <c r="AL4" t="s">
        <v>32</v>
      </c>
      <c r="AM4">
        <v>2</v>
      </c>
      <c r="AN4">
        <v>1.67370053576463</v>
      </c>
      <c r="AO4" t="s">
        <v>32</v>
      </c>
      <c r="AP4">
        <v>2</v>
      </c>
      <c r="AQ4">
        <v>1.1582755360870001</v>
      </c>
      <c r="AR4" t="s">
        <v>32</v>
      </c>
      <c r="AS4">
        <v>2</v>
      </c>
      <c r="AT4">
        <v>0.73212712830002602</v>
      </c>
      <c r="AU4" t="s">
        <v>32</v>
      </c>
      <c r="AV4">
        <v>2</v>
      </c>
      <c r="AW4">
        <v>0.81015452538631305</v>
      </c>
      <c r="AX4" t="s">
        <v>32</v>
      </c>
      <c r="AY4">
        <v>2</v>
      </c>
      <c r="AZ4">
        <v>0.71525885558583102</v>
      </c>
      <c r="BA4" t="s">
        <v>32</v>
      </c>
      <c r="BB4">
        <v>2</v>
      </c>
      <c r="BC4">
        <v>1.0761904761904699</v>
      </c>
      <c r="BD4" t="s">
        <v>32</v>
      </c>
      <c r="BE4">
        <v>2</v>
      </c>
      <c r="BF4">
        <v>1.30265486725663</v>
      </c>
      <c r="BG4" t="s">
        <v>32</v>
      </c>
      <c r="BH4">
        <v>2</v>
      </c>
      <c r="BI4">
        <v>0.94293478260869501</v>
      </c>
      <c r="BJ4" t="s">
        <v>32</v>
      </c>
      <c r="BK4">
        <v>2</v>
      </c>
      <c r="BL4">
        <v>1.2680115273775201</v>
      </c>
      <c r="BM4" t="s">
        <v>32</v>
      </c>
      <c r="BN4">
        <v>2</v>
      </c>
      <c r="BO4">
        <v>0.96704545454545399</v>
      </c>
      <c r="BP4" t="s">
        <v>32</v>
      </c>
      <c r="BQ4">
        <v>2</v>
      </c>
      <c r="BR4">
        <v>1.01645123384253</v>
      </c>
      <c r="BS4" t="s">
        <v>32</v>
      </c>
      <c r="BT4">
        <v>2</v>
      </c>
      <c r="BU4">
        <v>0.84739884393063503</v>
      </c>
      <c r="BV4" t="s">
        <v>32</v>
      </c>
      <c r="BW4">
        <v>2</v>
      </c>
      <c r="BX4">
        <v>0.98772169167803503</v>
      </c>
      <c r="BY4" t="s">
        <v>32</v>
      </c>
      <c r="BZ4">
        <v>2</v>
      </c>
      <c r="CA4">
        <v>1.15469613259668</v>
      </c>
      <c r="CB4" t="s">
        <v>32</v>
      </c>
      <c r="CC4">
        <v>2</v>
      </c>
      <c r="CD4">
        <v>1.0622009569377899</v>
      </c>
      <c r="CE4" t="s">
        <v>32</v>
      </c>
      <c r="CF4">
        <v>2</v>
      </c>
      <c r="CG4">
        <v>1.0180180180180101</v>
      </c>
      <c r="CH4" t="s">
        <v>32</v>
      </c>
      <c r="CI4">
        <v>2</v>
      </c>
      <c r="CJ4">
        <v>1.19469026548672</v>
      </c>
      <c r="CK4" t="s">
        <v>38</v>
      </c>
      <c r="CL4">
        <v>1</v>
      </c>
      <c r="CM4">
        <v>0.87531806615775998</v>
      </c>
      <c r="CN4" t="s">
        <v>42</v>
      </c>
      <c r="CO4">
        <v>1</v>
      </c>
      <c r="CP4">
        <v>1.0780287474332599</v>
      </c>
      <c r="CQ4" t="s">
        <v>34</v>
      </c>
      <c r="CR4">
        <v>1</v>
      </c>
      <c r="CS4">
        <v>1.1135734072022101</v>
      </c>
      <c r="CT4" t="s">
        <v>42</v>
      </c>
      <c r="CU4">
        <v>1</v>
      </c>
      <c r="CV4">
        <v>1.0119305856832901</v>
      </c>
      <c r="CW4" t="s">
        <v>36</v>
      </c>
      <c r="CX4">
        <v>2</v>
      </c>
      <c r="CY4">
        <v>0.89084507042253502</v>
      </c>
      <c r="CZ4" t="s">
        <v>36</v>
      </c>
      <c r="DA4">
        <v>2</v>
      </c>
      <c r="DB4">
        <v>0.96442687747035505</v>
      </c>
      <c r="DC4" t="s">
        <v>35</v>
      </c>
      <c r="DD4">
        <v>3</v>
      </c>
      <c r="DE4">
        <v>1.0064724919093799</v>
      </c>
      <c r="DF4" t="s">
        <v>36</v>
      </c>
      <c r="DG4">
        <v>2</v>
      </c>
      <c r="DH4">
        <v>1.0085470085470001</v>
      </c>
    </row>
    <row r="5" spans="1:112" x14ac:dyDescent="0.4">
      <c r="A5">
        <v>3</v>
      </c>
      <c r="B5" t="s">
        <v>42</v>
      </c>
      <c r="C5">
        <v>1</v>
      </c>
      <c r="D5">
        <v>1.2525667351129299</v>
      </c>
      <c r="E5" t="s">
        <v>43</v>
      </c>
      <c r="F5">
        <v>2</v>
      </c>
      <c r="G5">
        <v>0.71307590216772998</v>
      </c>
      <c r="H5" t="s">
        <v>34</v>
      </c>
      <c r="I5">
        <v>1</v>
      </c>
      <c r="J5">
        <v>0.48458149779735599</v>
      </c>
      <c r="K5" t="s">
        <v>32</v>
      </c>
      <c r="L5">
        <v>2</v>
      </c>
      <c r="M5">
        <v>1.0666726195791201</v>
      </c>
      <c r="N5" t="s">
        <v>32</v>
      </c>
      <c r="O5">
        <v>2</v>
      </c>
      <c r="P5">
        <v>1.21248988475597</v>
      </c>
      <c r="Q5" t="s">
        <v>41</v>
      </c>
      <c r="R5">
        <v>1</v>
      </c>
      <c r="S5">
        <v>0.73578947368420999</v>
      </c>
      <c r="T5" t="s">
        <v>41</v>
      </c>
      <c r="U5">
        <v>1</v>
      </c>
      <c r="V5">
        <v>0.74678111587982798</v>
      </c>
      <c r="W5" t="s">
        <v>41</v>
      </c>
      <c r="X5">
        <v>1</v>
      </c>
      <c r="Y5">
        <v>1.07471264367816</v>
      </c>
      <c r="Z5" t="s">
        <v>41</v>
      </c>
      <c r="AA5">
        <v>1</v>
      </c>
      <c r="AB5">
        <v>0.989304812834224</v>
      </c>
      <c r="AC5" t="s">
        <v>41</v>
      </c>
      <c r="AD5">
        <v>2</v>
      </c>
      <c r="AE5">
        <v>1.05765765765765</v>
      </c>
      <c r="AF5" t="s">
        <v>41</v>
      </c>
      <c r="AG5">
        <v>2</v>
      </c>
      <c r="AH5">
        <v>1.28960817717206</v>
      </c>
      <c r="AI5" t="s">
        <v>41</v>
      </c>
      <c r="AJ5">
        <v>2</v>
      </c>
      <c r="AK5">
        <v>1.4200792602377801</v>
      </c>
      <c r="AL5" t="s">
        <v>36</v>
      </c>
      <c r="AM5">
        <v>2</v>
      </c>
      <c r="AN5">
        <v>0.85994397759103602</v>
      </c>
      <c r="AO5" t="s">
        <v>36</v>
      </c>
      <c r="AP5">
        <v>2</v>
      </c>
      <c r="AQ5">
        <v>0.95765472312703503</v>
      </c>
      <c r="AR5" t="s">
        <v>41</v>
      </c>
      <c r="AS5">
        <v>1</v>
      </c>
      <c r="AT5">
        <v>0.80703745743473299</v>
      </c>
      <c r="AU5" t="s">
        <v>41</v>
      </c>
      <c r="AV5">
        <v>1</v>
      </c>
      <c r="AW5">
        <v>1.15330520393811</v>
      </c>
      <c r="AX5" t="s">
        <v>41</v>
      </c>
      <c r="AY5">
        <v>1</v>
      </c>
      <c r="AZ5">
        <v>0.76219512195121897</v>
      </c>
      <c r="BA5" t="s">
        <v>41</v>
      </c>
      <c r="BB5">
        <v>1</v>
      </c>
      <c r="BC5">
        <v>1.496</v>
      </c>
      <c r="BD5" t="s">
        <v>36</v>
      </c>
      <c r="BE5">
        <v>2</v>
      </c>
      <c r="BF5">
        <v>1.4979959919839601</v>
      </c>
      <c r="BG5" t="s">
        <v>36</v>
      </c>
      <c r="BH5">
        <v>2</v>
      </c>
      <c r="BI5">
        <v>1.0836120401337701</v>
      </c>
      <c r="BJ5" t="s">
        <v>36</v>
      </c>
      <c r="BK5">
        <v>2</v>
      </c>
      <c r="BL5">
        <v>0.88580246913580196</v>
      </c>
      <c r="BM5" t="s">
        <v>36</v>
      </c>
      <c r="BN5">
        <v>2</v>
      </c>
      <c r="BO5">
        <v>0.81533101045296097</v>
      </c>
      <c r="BP5" t="s">
        <v>36</v>
      </c>
      <c r="BQ5">
        <v>2</v>
      </c>
      <c r="BR5">
        <v>1.0085470085470001</v>
      </c>
      <c r="BS5" t="s">
        <v>36</v>
      </c>
      <c r="BT5">
        <v>2</v>
      </c>
      <c r="BU5">
        <v>1.0932203389830499</v>
      </c>
      <c r="BV5" t="s">
        <v>36</v>
      </c>
      <c r="BW5">
        <v>2</v>
      </c>
      <c r="BX5">
        <v>0.99612403100775104</v>
      </c>
      <c r="BY5" t="s">
        <v>36</v>
      </c>
      <c r="BZ5">
        <v>2</v>
      </c>
      <c r="CA5">
        <v>1.0544747081712</v>
      </c>
      <c r="CB5" t="s">
        <v>36</v>
      </c>
      <c r="CC5">
        <v>2</v>
      </c>
      <c r="CD5">
        <v>0.93357933579335795</v>
      </c>
      <c r="CE5" t="s">
        <v>36</v>
      </c>
      <c r="CF5">
        <v>2</v>
      </c>
      <c r="CG5">
        <v>0.94861660079051302</v>
      </c>
      <c r="CH5" t="s">
        <v>35</v>
      </c>
      <c r="CI5">
        <v>3</v>
      </c>
      <c r="CJ5">
        <v>2.0004442470013299</v>
      </c>
      <c r="CK5" t="s">
        <v>42</v>
      </c>
      <c r="CL5">
        <v>1</v>
      </c>
      <c r="CM5">
        <v>1.02203567681007</v>
      </c>
      <c r="CN5" t="s">
        <v>40</v>
      </c>
      <c r="CO5">
        <v>2</v>
      </c>
      <c r="CP5">
        <v>0.88644688644688596</v>
      </c>
      <c r="CQ5" t="s">
        <v>38</v>
      </c>
      <c r="CR5">
        <v>1</v>
      </c>
      <c r="CS5">
        <v>1.0983606557376999</v>
      </c>
      <c r="CT5" t="s">
        <v>40</v>
      </c>
      <c r="CU5">
        <v>2</v>
      </c>
      <c r="CV5">
        <v>1.00477326968973</v>
      </c>
      <c r="CW5" t="s">
        <v>35</v>
      </c>
      <c r="CX5">
        <v>3</v>
      </c>
      <c r="CY5">
        <v>0.78100263852242702</v>
      </c>
      <c r="CZ5" t="s">
        <v>35</v>
      </c>
      <c r="DA5">
        <v>3</v>
      </c>
      <c r="DB5">
        <v>1.04391891891891</v>
      </c>
      <c r="DC5" t="s">
        <v>34</v>
      </c>
      <c r="DD5">
        <v>1</v>
      </c>
      <c r="DE5">
        <v>1.09424083769633</v>
      </c>
      <c r="DF5" t="s">
        <v>35</v>
      </c>
      <c r="DG5">
        <v>3</v>
      </c>
      <c r="DH5">
        <v>0.99839228295819904</v>
      </c>
    </row>
    <row r="6" spans="1:112" x14ac:dyDescent="0.4">
      <c r="A6">
        <v>4</v>
      </c>
      <c r="B6" t="s">
        <v>40</v>
      </c>
      <c r="C6">
        <v>3</v>
      </c>
      <c r="D6">
        <v>0.96694214876033002</v>
      </c>
      <c r="E6" t="s">
        <v>45</v>
      </c>
      <c r="F6">
        <v>3</v>
      </c>
      <c r="G6">
        <v>0.87578845220766599</v>
      </c>
      <c r="H6" t="s">
        <v>37</v>
      </c>
      <c r="I6">
        <v>2</v>
      </c>
      <c r="J6">
        <v>0.80999153259949197</v>
      </c>
      <c r="K6" t="s">
        <v>41</v>
      </c>
      <c r="L6">
        <v>1</v>
      </c>
      <c r="M6">
        <v>1.1046386930431</v>
      </c>
      <c r="N6" t="s">
        <v>41</v>
      </c>
      <c r="O6">
        <v>1</v>
      </c>
      <c r="P6">
        <v>1.96228285791006</v>
      </c>
      <c r="Q6" t="s">
        <v>36</v>
      </c>
      <c r="R6">
        <v>2</v>
      </c>
      <c r="S6">
        <v>1.3864818024263399</v>
      </c>
      <c r="T6" t="s">
        <v>39</v>
      </c>
      <c r="U6">
        <v>1</v>
      </c>
      <c r="V6">
        <v>0.84153337546793705</v>
      </c>
      <c r="W6" t="s">
        <v>36</v>
      </c>
      <c r="X6">
        <v>2</v>
      </c>
      <c r="Y6">
        <v>0.76261682242990603</v>
      </c>
      <c r="Z6" t="s">
        <v>36</v>
      </c>
      <c r="AA6">
        <v>2</v>
      </c>
      <c r="AB6">
        <v>1.0269607843137201</v>
      </c>
      <c r="AC6" t="s">
        <v>36</v>
      </c>
      <c r="AD6">
        <v>2</v>
      </c>
      <c r="AE6">
        <v>0.98090692124104994</v>
      </c>
      <c r="AF6" t="s">
        <v>36</v>
      </c>
      <c r="AG6">
        <v>2</v>
      </c>
      <c r="AH6">
        <v>0.97080291970802901</v>
      </c>
      <c r="AI6" t="s">
        <v>36</v>
      </c>
      <c r="AJ6">
        <v>2</v>
      </c>
      <c r="AK6">
        <v>0.89473684210526305</v>
      </c>
      <c r="AL6" t="s">
        <v>34</v>
      </c>
      <c r="AM6">
        <v>1</v>
      </c>
      <c r="AN6">
        <v>1.08053007135575</v>
      </c>
      <c r="AO6" t="s">
        <v>34</v>
      </c>
      <c r="AP6">
        <v>1</v>
      </c>
      <c r="AQ6">
        <v>1.0896226415094299</v>
      </c>
      <c r="AR6" t="s">
        <v>36</v>
      </c>
      <c r="AS6">
        <v>2</v>
      </c>
      <c r="AT6">
        <v>0.73129251700680198</v>
      </c>
      <c r="AU6" t="s">
        <v>36</v>
      </c>
      <c r="AV6">
        <v>2</v>
      </c>
      <c r="AW6">
        <v>1.1162790697674401</v>
      </c>
      <c r="AX6" t="s">
        <v>36</v>
      </c>
      <c r="AY6">
        <v>2</v>
      </c>
      <c r="AZ6">
        <v>0.75249999999999995</v>
      </c>
      <c r="BA6" t="s">
        <v>36</v>
      </c>
      <c r="BB6">
        <v>2</v>
      </c>
      <c r="BC6">
        <v>1.1052048726467301</v>
      </c>
      <c r="BD6" t="s">
        <v>34</v>
      </c>
      <c r="BE6">
        <v>1</v>
      </c>
      <c r="BF6">
        <v>0.88851351351351304</v>
      </c>
      <c r="BG6" t="s">
        <v>34</v>
      </c>
      <c r="BH6">
        <v>1</v>
      </c>
      <c r="BI6">
        <v>1.2256020278833899</v>
      </c>
      <c r="BJ6" t="s">
        <v>34</v>
      </c>
      <c r="BK6">
        <v>1</v>
      </c>
      <c r="BL6">
        <v>0.98241985522233699</v>
      </c>
      <c r="BM6" t="s">
        <v>35</v>
      </c>
      <c r="BN6">
        <v>3</v>
      </c>
      <c r="BO6">
        <v>0.791860958033064</v>
      </c>
      <c r="BP6" t="s">
        <v>35</v>
      </c>
      <c r="BQ6">
        <v>3</v>
      </c>
      <c r="BR6">
        <v>0.93683083511777299</v>
      </c>
      <c r="BS6" t="s">
        <v>35</v>
      </c>
      <c r="BT6">
        <v>3</v>
      </c>
      <c r="BU6">
        <v>1.1457142857142799</v>
      </c>
      <c r="BV6" t="s">
        <v>35</v>
      </c>
      <c r="BW6">
        <v>3</v>
      </c>
      <c r="BX6">
        <v>1.09576059850374</v>
      </c>
      <c r="BY6" t="s">
        <v>35</v>
      </c>
      <c r="BZ6">
        <v>3</v>
      </c>
      <c r="CA6">
        <v>1.0673645880746401</v>
      </c>
      <c r="CB6" t="s">
        <v>35</v>
      </c>
      <c r="CC6">
        <v>3</v>
      </c>
      <c r="CD6">
        <v>0.82601279317697196</v>
      </c>
      <c r="CE6" t="s">
        <v>35</v>
      </c>
      <c r="CF6">
        <v>3</v>
      </c>
      <c r="CG6">
        <v>1.16210635002581</v>
      </c>
      <c r="CH6" t="s">
        <v>34</v>
      </c>
      <c r="CI6">
        <v>1</v>
      </c>
      <c r="CJ6">
        <v>1.2083333333333299</v>
      </c>
      <c r="CK6" t="s">
        <v>44</v>
      </c>
      <c r="CL6">
        <v>2</v>
      </c>
      <c r="CM6">
        <v>1.2105263157894699</v>
      </c>
      <c r="CN6" t="s">
        <v>44</v>
      </c>
      <c r="CO6">
        <v>2</v>
      </c>
      <c r="CP6">
        <v>1.12201963534361</v>
      </c>
      <c r="CQ6" t="s">
        <v>40</v>
      </c>
      <c r="CR6">
        <v>2</v>
      </c>
      <c r="CS6">
        <v>0.86570247933884203</v>
      </c>
      <c r="CT6" t="s">
        <v>44</v>
      </c>
      <c r="CU6">
        <v>2</v>
      </c>
      <c r="CV6">
        <v>1.05696202531645</v>
      </c>
      <c r="CW6" t="s">
        <v>34</v>
      </c>
      <c r="CX6">
        <v>1</v>
      </c>
      <c r="CY6">
        <v>0.99753997539975403</v>
      </c>
      <c r="CZ6" t="s">
        <v>34</v>
      </c>
      <c r="DA6">
        <v>1</v>
      </c>
      <c r="DB6">
        <v>0.94204685573366198</v>
      </c>
      <c r="DC6" t="s">
        <v>37</v>
      </c>
      <c r="DD6">
        <v>2</v>
      </c>
      <c r="DE6">
        <v>0.76503759398496196</v>
      </c>
      <c r="DF6" t="s">
        <v>34</v>
      </c>
      <c r="DG6">
        <v>1</v>
      </c>
      <c r="DH6">
        <v>1.1052631578947301</v>
      </c>
    </row>
    <row r="7" spans="1:112" x14ac:dyDescent="0.4">
      <c r="A7">
        <v>5</v>
      </c>
      <c r="B7" t="s">
        <v>43</v>
      </c>
      <c r="C7">
        <v>2</v>
      </c>
      <c r="D7">
        <v>1.0972193329172699</v>
      </c>
      <c r="E7" t="s">
        <v>47</v>
      </c>
      <c r="F7">
        <v>2</v>
      </c>
      <c r="G7">
        <v>0.92738589211618205</v>
      </c>
      <c r="H7" t="s">
        <v>43</v>
      </c>
      <c r="I7">
        <v>2</v>
      </c>
      <c r="J7">
        <v>0.36922804218736099</v>
      </c>
      <c r="K7" t="s">
        <v>36</v>
      </c>
      <c r="L7">
        <v>1</v>
      </c>
      <c r="M7">
        <v>0.91340782122904995</v>
      </c>
      <c r="N7" t="s">
        <v>36</v>
      </c>
      <c r="O7">
        <v>1</v>
      </c>
      <c r="P7">
        <v>1.7645259938837901</v>
      </c>
      <c r="Q7" t="s">
        <v>34</v>
      </c>
      <c r="R7">
        <v>1</v>
      </c>
      <c r="S7">
        <v>1.18976897689768</v>
      </c>
      <c r="T7" t="s">
        <v>34</v>
      </c>
      <c r="U7">
        <v>1</v>
      </c>
      <c r="V7">
        <v>1.1428571428571399</v>
      </c>
      <c r="W7" t="s">
        <v>39</v>
      </c>
      <c r="X7">
        <v>1</v>
      </c>
      <c r="Y7">
        <v>1.5406568647274601</v>
      </c>
      <c r="Z7" t="s">
        <v>34</v>
      </c>
      <c r="AA7">
        <v>1</v>
      </c>
      <c r="AB7">
        <v>0.80364656381486599</v>
      </c>
      <c r="AC7" t="s">
        <v>34</v>
      </c>
      <c r="AD7">
        <v>1</v>
      </c>
      <c r="AE7">
        <v>1.31588132635253</v>
      </c>
      <c r="AF7" t="s">
        <v>34</v>
      </c>
      <c r="AG7">
        <v>1</v>
      </c>
      <c r="AH7">
        <v>1.43899204244031</v>
      </c>
      <c r="AI7" t="s">
        <v>34</v>
      </c>
      <c r="AJ7">
        <v>1</v>
      </c>
      <c r="AK7">
        <v>0.90414746543778801</v>
      </c>
      <c r="AL7" t="s">
        <v>43</v>
      </c>
      <c r="AM7">
        <v>3</v>
      </c>
      <c r="AN7">
        <v>0.76891070982774401</v>
      </c>
      <c r="AO7" t="s">
        <v>47</v>
      </c>
      <c r="AP7">
        <v>2</v>
      </c>
      <c r="AQ7">
        <v>1.0528</v>
      </c>
      <c r="AR7" t="s">
        <v>34</v>
      </c>
      <c r="AS7">
        <v>1</v>
      </c>
      <c r="AT7">
        <v>0.83030303030302999</v>
      </c>
      <c r="AU7" t="s">
        <v>34</v>
      </c>
      <c r="AV7">
        <v>1</v>
      </c>
      <c r="AW7">
        <v>1.3138686131386801</v>
      </c>
      <c r="AX7" t="s">
        <v>37</v>
      </c>
      <c r="AY7">
        <v>2</v>
      </c>
      <c r="AZ7">
        <v>0.95125980999586901</v>
      </c>
      <c r="BA7" t="s">
        <v>39</v>
      </c>
      <c r="BB7">
        <v>1</v>
      </c>
      <c r="BC7">
        <v>1.0840008747559899</v>
      </c>
      <c r="BD7" t="s">
        <v>37</v>
      </c>
      <c r="BE7">
        <v>3</v>
      </c>
      <c r="BF7">
        <v>1.1711229946524</v>
      </c>
      <c r="BG7" t="s">
        <v>37</v>
      </c>
      <c r="BH7">
        <v>3</v>
      </c>
      <c r="BI7">
        <v>1.2921106037544301</v>
      </c>
      <c r="BJ7" t="s">
        <v>37</v>
      </c>
      <c r="BK7">
        <v>3</v>
      </c>
      <c r="BL7">
        <v>1.1351722783940299</v>
      </c>
      <c r="BM7" t="s">
        <v>34</v>
      </c>
      <c r="BN7">
        <v>1</v>
      </c>
      <c r="BO7">
        <v>0.92105263157894701</v>
      </c>
      <c r="BP7" t="s">
        <v>34</v>
      </c>
      <c r="BQ7">
        <v>1</v>
      </c>
      <c r="BR7">
        <v>1.1485714285714199</v>
      </c>
      <c r="BS7" t="s">
        <v>34</v>
      </c>
      <c r="BT7">
        <v>1</v>
      </c>
      <c r="BU7">
        <v>0.876616915422885</v>
      </c>
      <c r="BV7" t="s">
        <v>34</v>
      </c>
      <c r="BW7">
        <v>1</v>
      </c>
      <c r="BX7">
        <v>0.91486946651532297</v>
      </c>
      <c r="BY7" t="s">
        <v>34</v>
      </c>
      <c r="BZ7">
        <v>1</v>
      </c>
      <c r="CA7">
        <v>1.0843672456575599</v>
      </c>
      <c r="CB7" t="s">
        <v>34</v>
      </c>
      <c r="CC7">
        <v>1</v>
      </c>
      <c r="CD7">
        <v>0.77231121281464499</v>
      </c>
      <c r="CE7" t="s">
        <v>34</v>
      </c>
      <c r="CF7">
        <v>1</v>
      </c>
      <c r="CG7">
        <v>0.96</v>
      </c>
      <c r="CH7" t="s">
        <v>42</v>
      </c>
      <c r="CI7">
        <v>1</v>
      </c>
      <c r="CJ7">
        <v>1.04725274725274</v>
      </c>
      <c r="CK7" t="s">
        <v>46</v>
      </c>
      <c r="CL7">
        <v>3</v>
      </c>
      <c r="CM7">
        <v>1.02835538752362</v>
      </c>
      <c r="CN7" t="s">
        <v>45</v>
      </c>
      <c r="CO7">
        <v>2</v>
      </c>
      <c r="CP7">
        <v>1.0414893617021199</v>
      </c>
      <c r="CQ7" t="s">
        <v>44</v>
      </c>
      <c r="CR7">
        <v>2</v>
      </c>
      <c r="CS7">
        <v>0.98750000000000004</v>
      </c>
      <c r="CT7" t="s">
        <v>45</v>
      </c>
      <c r="CU7">
        <v>2</v>
      </c>
      <c r="CV7">
        <v>1.08111111111111</v>
      </c>
      <c r="CW7" t="s">
        <v>42</v>
      </c>
      <c r="CX7">
        <v>1</v>
      </c>
      <c r="CY7">
        <v>0.89924973204715897</v>
      </c>
      <c r="CZ7" t="s">
        <v>38</v>
      </c>
      <c r="DA7">
        <v>2</v>
      </c>
      <c r="DB7">
        <v>0.96495327102803696</v>
      </c>
      <c r="DC7" t="s">
        <v>38</v>
      </c>
      <c r="DD7">
        <v>2</v>
      </c>
      <c r="DE7">
        <v>0.99273607748184001</v>
      </c>
      <c r="DF7" t="s">
        <v>37</v>
      </c>
      <c r="DG7">
        <v>2</v>
      </c>
      <c r="DH7">
        <v>0.91400491400491402</v>
      </c>
    </row>
    <row r="8" spans="1:112" x14ac:dyDescent="0.4">
      <c r="A8">
        <v>6</v>
      </c>
      <c r="B8" t="s">
        <v>45</v>
      </c>
      <c r="C8">
        <v>3</v>
      </c>
      <c r="D8">
        <v>1.1572150477259899</v>
      </c>
      <c r="E8" t="s">
        <v>50</v>
      </c>
      <c r="F8">
        <v>3</v>
      </c>
      <c r="G8">
        <v>0.85638551513281502</v>
      </c>
      <c r="H8" t="s">
        <v>44</v>
      </c>
      <c r="I8">
        <v>2</v>
      </c>
      <c r="J8">
        <v>0.49274267975501301</v>
      </c>
      <c r="K8" t="s">
        <v>34</v>
      </c>
      <c r="L8">
        <v>1</v>
      </c>
      <c r="M8">
        <v>1.2242424242424199</v>
      </c>
      <c r="N8" t="s">
        <v>34</v>
      </c>
      <c r="O8">
        <v>1</v>
      </c>
      <c r="P8">
        <v>1.5</v>
      </c>
      <c r="Q8" t="s">
        <v>37</v>
      </c>
      <c r="R8">
        <v>2</v>
      </c>
      <c r="S8">
        <v>0.87249964023600501</v>
      </c>
      <c r="T8" t="s">
        <v>37</v>
      </c>
      <c r="U8">
        <v>2</v>
      </c>
      <c r="V8">
        <v>0.92858320963219498</v>
      </c>
      <c r="W8" t="s">
        <v>34</v>
      </c>
      <c r="X8">
        <v>1</v>
      </c>
      <c r="Y8">
        <v>0.865291262135922</v>
      </c>
      <c r="Z8" t="s">
        <v>37</v>
      </c>
      <c r="AA8">
        <v>2</v>
      </c>
      <c r="AB8">
        <v>0.97066136250621504</v>
      </c>
      <c r="AC8" t="s">
        <v>37</v>
      </c>
      <c r="AD8">
        <v>3</v>
      </c>
      <c r="AE8">
        <v>1.1764002732240399</v>
      </c>
      <c r="AF8" t="s">
        <v>37</v>
      </c>
      <c r="AG8">
        <v>3</v>
      </c>
      <c r="AH8">
        <v>1.1114820728697901</v>
      </c>
      <c r="AI8" t="s">
        <v>37</v>
      </c>
      <c r="AJ8">
        <v>3</v>
      </c>
      <c r="AK8">
        <v>1.0231161029123601</v>
      </c>
      <c r="AL8" t="s">
        <v>45</v>
      </c>
      <c r="AM8">
        <v>3</v>
      </c>
      <c r="AN8">
        <v>1.4018691588784999</v>
      </c>
      <c r="AO8" t="s">
        <v>51</v>
      </c>
      <c r="AP8">
        <v>3</v>
      </c>
      <c r="AQ8">
        <v>0.91608391608391604</v>
      </c>
      <c r="AR8" t="s">
        <v>40</v>
      </c>
      <c r="AS8">
        <v>3</v>
      </c>
      <c r="AT8">
        <v>0.86346396965865901</v>
      </c>
      <c r="AU8" t="s">
        <v>45</v>
      </c>
      <c r="AV8">
        <v>2</v>
      </c>
      <c r="AW8">
        <v>1.1598360655737701</v>
      </c>
      <c r="AX8" t="s">
        <v>40</v>
      </c>
      <c r="AY8">
        <v>3</v>
      </c>
      <c r="AZ8">
        <v>0.922885572139303</v>
      </c>
      <c r="BA8" t="s">
        <v>34</v>
      </c>
      <c r="BB8">
        <v>1</v>
      </c>
      <c r="BC8">
        <v>0.89067201604814406</v>
      </c>
      <c r="BD8" t="s">
        <v>40</v>
      </c>
      <c r="BE8">
        <v>3</v>
      </c>
      <c r="BF8">
        <v>1.09759036144578</v>
      </c>
      <c r="BG8" t="s">
        <v>38</v>
      </c>
      <c r="BH8">
        <v>1</v>
      </c>
      <c r="BI8">
        <v>1.2617449664429501</v>
      </c>
      <c r="BJ8" t="s">
        <v>38</v>
      </c>
      <c r="BK8">
        <v>1</v>
      </c>
      <c r="BL8">
        <v>1.02659574468085</v>
      </c>
      <c r="BM8" t="s">
        <v>38</v>
      </c>
      <c r="BN8">
        <v>2</v>
      </c>
      <c r="BO8">
        <v>1.2487046632124299</v>
      </c>
      <c r="BP8" t="s">
        <v>37</v>
      </c>
      <c r="BQ8">
        <v>2</v>
      </c>
      <c r="BR8">
        <v>1.16153530377668</v>
      </c>
      <c r="BS8" t="s">
        <v>46</v>
      </c>
      <c r="BT8">
        <v>3</v>
      </c>
      <c r="BU8">
        <v>1.2311075569772001</v>
      </c>
      <c r="BV8" t="s">
        <v>47</v>
      </c>
      <c r="BW8">
        <v>2</v>
      </c>
      <c r="BX8">
        <v>1.23602484472049</v>
      </c>
      <c r="BY8" t="s">
        <v>47</v>
      </c>
      <c r="BZ8">
        <v>2</v>
      </c>
      <c r="CA8">
        <v>1.23115577889447</v>
      </c>
      <c r="CB8" t="s">
        <v>38</v>
      </c>
      <c r="CC8">
        <v>1</v>
      </c>
      <c r="CD8">
        <v>0.97482837528604105</v>
      </c>
      <c r="CE8" t="s">
        <v>38</v>
      </c>
      <c r="CF8">
        <v>1</v>
      </c>
      <c r="CG8">
        <v>1.11267605633802</v>
      </c>
      <c r="CH8" t="s">
        <v>44</v>
      </c>
      <c r="CI8">
        <v>2</v>
      </c>
      <c r="CJ8">
        <v>1.31914893617021</v>
      </c>
      <c r="CK8" t="s">
        <v>47</v>
      </c>
      <c r="CL8">
        <v>2</v>
      </c>
      <c r="CM8">
        <v>0.79148936170212703</v>
      </c>
      <c r="CN8" t="s">
        <v>47</v>
      </c>
      <c r="CO8">
        <v>2</v>
      </c>
      <c r="CP8">
        <v>1.00430107526881</v>
      </c>
      <c r="CQ8" t="s">
        <v>45</v>
      </c>
      <c r="CR8">
        <v>2</v>
      </c>
      <c r="CS8">
        <v>0.91930541368743601</v>
      </c>
      <c r="CT8" t="s">
        <v>47</v>
      </c>
      <c r="CU8">
        <v>2</v>
      </c>
      <c r="CV8">
        <v>0.98441247002398002</v>
      </c>
      <c r="CW8" t="s">
        <v>40</v>
      </c>
      <c r="CX8">
        <v>3</v>
      </c>
      <c r="CY8">
        <v>0.821852731591448</v>
      </c>
      <c r="CZ8" t="s">
        <v>42</v>
      </c>
      <c r="DA8">
        <v>1</v>
      </c>
      <c r="DB8">
        <v>0.89153754469606605</v>
      </c>
      <c r="DC8" t="s">
        <v>42</v>
      </c>
      <c r="DD8">
        <v>1</v>
      </c>
      <c r="DE8">
        <v>1.02272727272727</v>
      </c>
      <c r="DF8" t="s">
        <v>38</v>
      </c>
      <c r="DG8">
        <v>2</v>
      </c>
      <c r="DH8">
        <v>1.0170731707317</v>
      </c>
    </row>
    <row r="9" spans="1:112" x14ac:dyDescent="0.4">
      <c r="A9">
        <v>7</v>
      </c>
      <c r="B9" t="s">
        <v>49</v>
      </c>
      <c r="C9">
        <v>3</v>
      </c>
      <c r="D9">
        <v>1.1314741035856499</v>
      </c>
      <c r="E9" t="s">
        <v>53</v>
      </c>
      <c r="F9">
        <v>2</v>
      </c>
      <c r="G9">
        <v>1.0169851380042401</v>
      </c>
      <c r="H9" t="s">
        <v>45</v>
      </c>
      <c r="I9">
        <v>3</v>
      </c>
      <c r="J9">
        <v>0.79889196675900198</v>
      </c>
      <c r="K9" t="s">
        <v>37</v>
      </c>
      <c r="L9">
        <v>2</v>
      </c>
      <c r="M9">
        <v>1.0351243989128101</v>
      </c>
      <c r="N9" t="s">
        <v>37</v>
      </c>
      <c r="O9">
        <v>2</v>
      </c>
      <c r="P9">
        <v>1.40355483740658</v>
      </c>
      <c r="Q9" t="s">
        <v>42</v>
      </c>
      <c r="R9">
        <v>1</v>
      </c>
      <c r="S9">
        <v>1.4142259414225899</v>
      </c>
      <c r="T9" t="s">
        <v>42</v>
      </c>
      <c r="U9">
        <v>1</v>
      </c>
      <c r="V9">
        <v>1.01479289940828</v>
      </c>
      <c r="W9" t="s">
        <v>37</v>
      </c>
      <c r="X9">
        <v>2</v>
      </c>
      <c r="Y9">
        <v>1.0715808170515</v>
      </c>
      <c r="Z9" t="s">
        <v>43</v>
      </c>
      <c r="AA9">
        <v>2</v>
      </c>
      <c r="AB9">
        <v>0.92176815369586396</v>
      </c>
      <c r="AC9" t="s">
        <v>43</v>
      </c>
      <c r="AD9">
        <v>3</v>
      </c>
      <c r="AE9">
        <v>0.99531926167976603</v>
      </c>
      <c r="AF9" t="s">
        <v>43</v>
      </c>
      <c r="AG9">
        <v>3</v>
      </c>
      <c r="AH9">
        <v>1.1492457852706299</v>
      </c>
      <c r="AI9" t="s">
        <v>43</v>
      </c>
      <c r="AJ9">
        <v>3</v>
      </c>
      <c r="AK9">
        <v>0.92781037677578704</v>
      </c>
      <c r="AL9" t="s">
        <v>47</v>
      </c>
      <c r="AM9">
        <v>2</v>
      </c>
      <c r="AN9">
        <v>1.04340567612687</v>
      </c>
      <c r="AO9" t="s">
        <v>53</v>
      </c>
      <c r="AP9">
        <v>2</v>
      </c>
      <c r="AQ9">
        <v>1.36459554513481</v>
      </c>
      <c r="AR9" t="s">
        <v>47</v>
      </c>
      <c r="AS9">
        <v>2</v>
      </c>
      <c r="AT9">
        <v>0.96656534954407203</v>
      </c>
      <c r="AU9" t="s">
        <v>47</v>
      </c>
      <c r="AV9">
        <v>2</v>
      </c>
      <c r="AW9">
        <v>1.02830188679245</v>
      </c>
      <c r="AX9" t="s">
        <v>44</v>
      </c>
      <c r="AY9">
        <v>2</v>
      </c>
      <c r="AZ9">
        <v>0.82548677709967999</v>
      </c>
      <c r="BA9" t="s">
        <v>37</v>
      </c>
      <c r="BB9">
        <v>3</v>
      </c>
      <c r="BC9">
        <v>0.97438124185844499</v>
      </c>
      <c r="BD9" t="s">
        <v>44</v>
      </c>
      <c r="BE9">
        <v>2</v>
      </c>
      <c r="BF9">
        <v>0.76644694325966101</v>
      </c>
      <c r="BG9" t="s">
        <v>40</v>
      </c>
      <c r="BH9">
        <v>3</v>
      </c>
      <c r="BI9">
        <v>1.0098792535675001</v>
      </c>
      <c r="BJ9" t="s">
        <v>40</v>
      </c>
      <c r="BK9">
        <v>3</v>
      </c>
      <c r="BL9">
        <v>1.5760869565217299</v>
      </c>
      <c r="BM9" t="s">
        <v>40</v>
      </c>
      <c r="BN9">
        <v>3</v>
      </c>
      <c r="BO9">
        <v>1.2620689655172399</v>
      </c>
      <c r="BP9" t="s">
        <v>38</v>
      </c>
      <c r="BQ9">
        <v>2</v>
      </c>
      <c r="BR9">
        <v>0.99170124481327804</v>
      </c>
      <c r="BS9" t="s">
        <v>47</v>
      </c>
      <c r="BT9">
        <v>2</v>
      </c>
      <c r="BU9">
        <v>1.00750938673341</v>
      </c>
      <c r="BV9" t="s">
        <v>51</v>
      </c>
      <c r="BW9">
        <v>3</v>
      </c>
      <c r="BX9">
        <v>1.35620437956204</v>
      </c>
      <c r="BY9" t="s">
        <v>50</v>
      </c>
      <c r="BZ9">
        <v>3</v>
      </c>
      <c r="CA9">
        <v>0.84326018808777403</v>
      </c>
      <c r="CB9" t="s">
        <v>46</v>
      </c>
      <c r="CC9">
        <v>3</v>
      </c>
      <c r="CD9">
        <v>0.93724917913170303</v>
      </c>
      <c r="CE9" t="s">
        <v>44</v>
      </c>
      <c r="CF9">
        <v>2</v>
      </c>
      <c r="CG9">
        <v>0.91872427983539096</v>
      </c>
      <c r="CH9" t="s">
        <v>46</v>
      </c>
      <c r="CI9">
        <v>3</v>
      </c>
      <c r="CJ9">
        <v>0.87728026533996595</v>
      </c>
      <c r="CK9" t="s">
        <v>50</v>
      </c>
      <c r="CL9">
        <v>3</v>
      </c>
      <c r="CM9">
        <v>0.83132530120481896</v>
      </c>
      <c r="CN9" t="s">
        <v>58</v>
      </c>
      <c r="CO9">
        <v>3</v>
      </c>
      <c r="CP9">
        <v>0.99754299754299702</v>
      </c>
      <c r="CQ9" t="s">
        <v>47</v>
      </c>
      <c r="CR9">
        <v>2</v>
      </c>
      <c r="CS9">
        <v>0.89293361884368305</v>
      </c>
      <c r="CT9" t="s">
        <v>58</v>
      </c>
      <c r="CU9">
        <v>3</v>
      </c>
      <c r="CV9">
        <v>0.96875</v>
      </c>
      <c r="CW9" t="s">
        <v>44</v>
      </c>
      <c r="CX9">
        <v>2</v>
      </c>
      <c r="CY9">
        <v>0.76886227544910102</v>
      </c>
      <c r="CZ9" t="s">
        <v>40</v>
      </c>
      <c r="DA9">
        <v>3</v>
      </c>
      <c r="DB9">
        <v>0.84104046242774499</v>
      </c>
      <c r="DC9" t="s">
        <v>40</v>
      </c>
      <c r="DD9">
        <v>3</v>
      </c>
      <c r="DE9">
        <v>1.04810996563573</v>
      </c>
      <c r="DF9" t="s">
        <v>42</v>
      </c>
      <c r="DG9">
        <v>1</v>
      </c>
      <c r="DH9">
        <v>1.0209150326797301</v>
      </c>
    </row>
    <row r="10" spans="1:112" x14ac:dyDescent="0.4">
      <c r="A10">
        <v>8</v>
      </c>
      <c r="B10" t="s">
        <v>47</v>
      </c>
      <c r="C10">
        <v>2</v>
      </c>
      <c r="D10">
        <v>0.99896373056994803</v>
      </c>
      <c r="E10" t="s">
        <v>57</v>
      </c>
      <c r="F10">
        <v>2</v>
      </c>
      <c r="G10">
        <v>0.60509554140127297</v>
      </c>
      <c r="H10" t="s">
        <v>47</v>
      </c>
      <c r="I10">
        <v>2</v>
      </c>
      <c r="J10">
        <v>0.59843400447427297</v>
      </c>
      <c r="K10" t="s">
        <v>42</v>
      </c>
      <c r="L10">
        <v>1</v>
      </c>
      <c r="M10">
        <v>0.95857142857142796</v>
      </c>
      <c r="N10" t="s">
        <v>42</v>
      </c>
      <c r="O10">
        <v>1</v>
      </c>
      <c r="P10">
        <v>1.78092399403874</v>
      </c>
      <c r="Q10" t="s">
        <v>43</v>
      </c>
      <c r="R10">
        <v>2</v>
      </c>
      <c r="S10">
        <v>0.81785599657644104</v>
      </c>
      <c r="T10" t="s">
        <v>43</v>
      </c>
      <c r="U10">
        <v>2</v>
      </c>
      <c r="V10">
        <v>0.92576362090391695</v>
      </c>
      <c r="W10" t="s">
        <v>42</v>
      </c>
      <c r="X10">
        <v>1</v>
      </c>
      <c r="Y10">
        <v>1.2682215743440199</v>
      </c>
      <c r="Z10" t="s">
        <v>45</v>
      </c>
      <c r="AA10">
        <v>3</v>
      </c>
      <c r="AB10">
        <v>1.39839572192513</v>
      </c>
      <c r="AC10" t="s">
        <v>54</v>
      </c>
      <c r="AD10">
        <v>3</v>
      </c>
      <c r="AE10">
        <v>1.0277777777777699</v>
      </c>
      <c r="AF10" t="s">
        <v>54</v>
      </c>
      <c r="AG10">
        <v>3</v>
      </c>
      <c r="AH10">
        <v>1.0270270270270201</v>
      </c>
      <c r="AI10" t="s">
        <v>54</v>
      </c>
      <c r="AJ10">
        <v>3</v>
      </c>
      <c r="AK10">
        <v>0.83789473684210503</v>
      </c>
      <c r="AL10" t="s">
        <v>51</v>
      </c>
      <c r="AM10">
        <v>3</v>
      </c>
      <c r="AN10">
        <v>0.88453608247422599</v>
      </c>
      <c r="AO10" t="s">
        <v>55</v>
      </c>
      <c r="AP10">
        <v>2</v>
      </c>
      <c r="AQ10">
        <v>0.90095238095238095</v>
      </c>
      <c r="AR10" t="s">
        <v>55</v>
      </c>
      <c r="AS10">
        <v>2</v>
      </c>
      <c r="AT10">
        <v>0.91966173361522197</v>
      </c>
      <c r="AU10" t="s">
        <v>55</v>
      </c>
      <c r="AV10">
        <v>2</v>
      </c>
      <c r="AW10">
        <v>1.18160919540229</v>
      </c>
      <c r="AX10" t="s">
        <v>47</v>
      </c>
      <c r="AY10">
        <v>2</v>
      </c>
      <c r="AZ10">
        <v>0.91131498470948002</v>
      </c>
      <c r="BA10" t="s">
        <v>40</v>
      </c>
      <c r="BB10">
        <v>3</v>
      </c>
      <c r="BC10">
        <v>1.11859838274932</v>
      </c>
      <c r="BD10" t="s">
        <v>47</v>
      </c>
      <c r="BE10">
        <v>2</v>
      </c>
      <c r="BF10">
        <v>0.98719999999999997</v>
      </c>
      <c r="BG10" t="s">
        <v>44</v>
      </c>
      <c r="BH10">
        <v>2</v>
      </c>
      <c r="BI10">
        <v>0.933558178752107</v>
      </c>
      <c r="BJ10" t="s">
        <v>44</v>
      </c>
      <c r="BK10">
        <v>2</v>
      </c>
      <c r="BL10">
        <v>0.908056358381502</v>
      </c>
      <c r="BM10" t="s">
        <v>44</v>
      </c>
      <c r="BN10">
        <v>2</v>
      </c>
      <c r="BO10">
        <v>0.82414959220210804</v>
      </c>
      <c r="BP10" t="s">
        <v>44</v>
      </c>
      <c r="BQ10">
        <v>2</v>
      </c>
      <c r="BR10">
        <v>1.13927105961863</v>
      </c>
      <c r="BS10" t="s">
        <v>51</v>
      </c>
      <c r="BT10">
        <v>3</v>
      </c>
      <c r="BU10">
        <v>1.1247947454844001</v>
      </c>
      <c r="BV10" t="s">
        <v>55</v>
      </c>
      <c r="BW10">
        <v>2</v>
      </c>
      <c r="BX10">
        <v>0.99774520856820703</v>
      </c>
      <c r="BY10" t="s">
        <v>58</v>
      </c>
      <c r="BZ10">
        <v>2</v>
      </c>
      <c r="CA10">
        <v>1.0322580645161199</v>
      </c>
      <c r="CB10" t="s">
        <v>47</v>
      </c>
      <c r="CC10">
        <v>2</v>
      </c>
      <c r="CD10">
        <v>1.0408163265306101</v>
      </c>
      <c r="CE10" t="s">
        <v>46</v>
      </c>
      <c r="CF10">
        <v>3</v>
      </c>
      <c r="CG10">
        <v>1.17360840794083</v>
      </c>
      <c r="CH10" t="s">
        <v>47</v>
      </c>
      <c r="CI10">
        <v>2</v>
      </c>
      <c r="CJ10">
        <v>1.0930232558139501</v>
      </c>
      <c r="CK10" t="s">
        <v>58</v>
      </c>
      <c r="CL10">
        <v>3</v>
      </c>
      <c r="CM10">
        <v>0.98666666666666603</v>
      </c>
      <c r="CN10" t="s">
        <v>55</v>
      </c>
      <c r="CO10">
        <v>2</v>
      </c>
      <c r="CP10">
        <v>0.92725030826140498</v>
      </c>
      <c r="CQ10" t="s">
        <v>58</v>
      </c>
      <c r="CR10">
        <v>3</v>
      </c>
      <c r="CS10">
        <v>0.94581280788177302</v>
      </c>
      <c r="CT10" t="s">
        <v>52</v>
      </c>
      <c r="CU10">
        <v>1</v>
      </c>
      <c r="CV10">
        <v>0.956666666666666</v>
      </c>
      <c r="CW10" t="s">
        <v>45</v>
      </c>
      <c r="CX10">
        <v>3</v>
      </c>
      <c r="CY10">
        <v>1.0955806783144899</v>
      </c>
      <c r="CZ10" t="s">
        <v>44</v>
      </c>
      <c r="DA10">
        <v>2</v>
      </c>
      <c r="DB10">
        <v>1.21028037383177</v>
      </c>
      <c r="DC10" t="s">
        <v>44</v>
      </c>
      <c r="DD10">
        <v>2</v>
      </c>
      <c r="DE10">
        <v>0.86872586872586799</v>
      </c>
      <c r="DF10" t="s">
        <v>40</v>
      </c>
      <c r="DG10">
        <v>3</v>
      </c>
      <c r="DH10">
        <v>1.0163934426229499</v>
      </c>
    </row>
    <row r="11" spans="1:112" x14ac:dyDescent="0.4">
      <c r="A11">
        <v>9</v>
      </c>
      <c r="B11" t="s">
        <v>50</v>
      </c>
      <c r="C11">
        <v>3</v>
      </c>
      <c r="D11">
        <v>0.94995869860641102</v>
      </c>
      <c r="E11" t="s">
        <v>60</v>
      </c>
      <c r="F11">
        <v>2</v>
      </c>
      <c r="G11">
        <v>0.45087719298245599</v>
      </c>
      <c r="H11" t="s">
        <v>50</v>
      </c>
      <c r="I11">
        <v>3</v>
      </c>
      <c r="J11">
        <v>0.56152762765713504</v>
      </c>
      <c r="K11" t="s">
        <v>44</v>
      </c>
      <c r="L11">
        <v>2</v>
      </c>
      <c r="M11">
        <v>0.99012429763323595</v>
      </c>
      <c r="N11" t="s">
        <v>43</v>
      </c>
      <c r="O11">
        <v>2</v>
      </c>
      <c r="P11">
        <v>1.5890853451207001</v>
      </c>
      <c r="Q11" t="s">
        <v>44</v>
      </c>
      <c r="R11">
        <v>2</v>
      </c>
      <c r="S11">
        <v>1.13992925509779</v>
      </c>
      <c r="T11" t="s">
        <v>45</v>
      </c>
      <c r="U11">
        <v>3</v>
      </c>
      <c r="V11">
        <v>0.99222222222222201</v>
      </c>
      <c r="W11" t="s">
        <v>43</v>
      </c>
      <c r="X11">
        <v>2</v>
      </c>
      <c r="Y11">
        <v>0.86788187084922896</v>
      </c>
      <c r="Z11" t="s">
        <v>47</v>
      </c>
      <c r="AA11">
        <v>2</v>
      </c>
      <c r="AB11">
        <v>0.94862385321100895</v>
      </c>
      <c r="AC11" t="s">
        <v>45</v>
      </c>
      <c r="AD11">
        <v>3</v>
      </c>
      <c r="AE11">
        <v>0.94837476099426299</v>
      </c>
      <c r="AF11" t="s">
        <v>45</v>
      </c>
      <c r="AG11">
        <v>3</v>
      </c>
      <c r="AH11">
        <v>1.69354838709677</v>
      </c>
      <c r="AI11" t="s">
        <v>45</v>
      </c>
      <c r="AJ11">
        <v>3</v>
      </c>
      <c r="AK11">
        <v>1.0190476190476101</v>
      </c>
      <c r="AL11" t="s">
        <v>53</v>
      </c>
      <c r="AM11">
        <v>2</v>
      </c>
      <c r="AN11">
        <v>1.1717032967032901</v>
      </c>
      <c r="AO11" t="s">
        <v>56</v>
      </c>
      <c r="AP11">
        <v>2</v>
      </c>
      <c r="AQ11">
        <v>0.82439299830604096</v>
      </c>
      <c r="AR11" t="s">
        <v>56</v>
      </c>
      <c r="AS11">
        <v>2</v>
      </c>
      <c r="AT11">
        <v>0.693493150684931</v>
      </c>
      <c r="AU11" t="s">
        <v>56</v>
      </c>
      <c r="AV11">
        <v>2</v>
      </c>
      <c r="AW11">
        <v>1.2083950617283901</v>
      </c>
      <c r="AX11" t="s">
        <v>51</v>
      </c>
      <c r="AY11">
        <v>3</v>
      </c>
      <c r="AZ11">
        <v>1.02433628318584</v>
      </c>
      <c r="BA11" t="s">
        <v>44</v>
      </c>
      <c r="BB11">
        <v>2</v>
      </c>
      <c r="BC11">
        <v>1.3619081147685199</v>
      </c>
      <c r="BD11" t="s">
        <v>51</v>
      </c>
      <c r="BE11">
        <v>3</v>
      </c>
      <c r="BF11">
        <v>0.96380952380952301</v>
      </c>
      <c r="BG11" t="s">
        <v>46</v>
      </c>
      <c r="BH11">
        <v>2</v>
      </c>
      <c r="BI11">
        <v>1.0610496251338799</v>
      </c>
      <c r="BJ11" t="s">
        <v>54</v>
      </c>
      <c r="BK11">
        <v>3</v>
      </c>
      <c r="BL11">
        <v>1.26595744680851</v>
      </c>
      <c r="BM11" t="s">
        <v>54</v>
      </c>
      <c r="BN11">
        <v>3</v>
      </c>
      <c r="BO11">
        <v>1.5596638655462101</v>
      </c>
      <c r="BP11" t="s">
        <v>46</v>
      </c>
      <c r="BQ11">
        <v>3</v>
      </c>
      <c r="BR11">
        <v>0.966756861229223</v>
      </c>
      <c r="BS11" t="s">
        <v>55</v>
      </c>
      <c r="BT11">
        <v>2</v>
      </c>
      <c r="BU11">
        <v>1.0022598870056401</v>
      </c>
      <c r="BV11" t="s">
        <v>62</v>
      </c>
      <c r="BW11">
        <v>3</v>
      </c>
      <c r="BX11">
        <v>1.11389961389961</v>
      </c>
      <c r="BY11" t="s">
        <v>55</v>
      </c>
      <c r="BZ11">
        <v>2</v>
      </c>
      <c r="CA11">
        <v>1.08474576271186</v>
      </c>
      <c r="CB11" t="s">
        <v>50</v>
      </c>
      <c r="CC11">
        <v>3</v>
      </c>
      <c r="CD11">
        <v>1.0427509293680199</v>
      </c>
      <c r="CE11" t="s">
        <v>50</v>
      </c>
      <c r="CF11">
        <v>3</v>
      </c>
      <c r="CG11">
        <v>0.88770053475935795</v>
      </c>
      <c r="CH11" t="s">
        <v>50</v>
      </c>
      <c r="CI11">
        <v>3</v>
      </c>
      <c r="CJ11">
        <v>1</v>
      </c>
      <c r="CK11" t="s">
        <v>55</v>
      </c>
      <c r="CL11">
        <v>2</v>
      </c>
      <c r="CM11">
        <v>0.98902439024390199</v>
      </c>
      <c r="CN11" t="s">
        <v>59</v>
      </c>
      <c r="CO11">
        <v>1</v>
      </c>
      <c r="CP11">
        <v>0.96234939759036098</v>
      </c>
      <c r="CQ11" t="s">
        <v>53</v>
      </c>
      <c r="CR11">
        <v>1</v>
      </c>
      <c r="CS11">
        <v>0.93605683836589604</v>
      </c>
      <c r="CT11" t="s">
        <v>53</v>
      </c>
      <c r="CU11">
        <v>1</v>
      </c>
      <c r="CV11">
        <v>0.896584440227704</v>
      </c>
      <c r="CW11" t="s">
        <v>58</v>
      </c>
      <c r="CX11">
        <v>3</v>
      </c>
      <c r="CY11">
        <v>0.896505376344086</v>
      </c>
      <c r="CZ11" t="s">
        <v>46</v>
      </c>
      <c r="DA11">
        <v>2</v>
      </c>
      <c r="DB11">
        <v>0.97660818713450204</v>
      </c>
      <c r="DC11" t="s">
        <v>45</v>
      </c>
      <c r="DD11">
        <v>3</v>
      </c>
      <c r="DE11">
        <v>1.0021459227467799</v>
      </c>
      <c r="DF11" t="s">
        <v>44</v>
      </c>
      <c r="DG11">
        <v>2</v>
      </c>
      <c r="DH11">
        <v>1.1437037037036999</v>
      </c>
    </row>
    <row r="12" spans="1:112" x14ac:dyDescent="0.4">
      <c r="A12">
        <v>10</v>
      </c>
      <c r="B12" t="s">
        <v>53</v>
      </c>
      <c r="C12">
        <v>2</v>
      </c>
      <c r="D12">
        <v>1.06681766704416</v>
      </c>
      <c r="E12" t="s">
        <v>62</v>
      </c>
      <c r="F12">
        <v>3</v>
      </c>
      <c r="G12">
        <v>0.78112449799196704</v>
      </c>
      <c r="H12" t="s">
        <v>53</v>
      </c>
      <c r="I12">
        <v>2</v>
      </c>
      <c r="J12">
        <v>1.0187891440501</v>
      </c>
      <c r="K12" t="s">
        <v>47</v>
      </c>
      <c r="L12">
        <v>2</v>
      </c>
      <c r="M12">
        <v>1.3271028037383099</v>
      </c>
      <c r="N12" t="s">
        <v>44</v>
      </c>
      <c r="O12">
        <v>2</v>
      </c>
      <c r="P12">
        <v>1.6529664660361101</v>
      </c>
      <c r="Q12" t="s">
        <v>47</v>
      </c>
      <c r="R12">
        <v>2</v>
      </c>
      <c r="S12">
        <v>1.0909090909090899</v>
      </c>
      <c r="T12" t="s">
        <v>47</v>
      </c>
      <c r="U12">
        <v>2</v>
      </c>
      <c r="V12">
        <v>0.94934640522875802</v>
      </c>
      <c r="W12" t="s">
        <v>45</v>
      </c>
      <c r="X12">
        <v>3</v>
      </c>
      <c r="Y12">
        <v>1.0470324748040301</v>
      </c>
      <c r="Z12" t="s">
        <v>51</v>
      </c>
      <c r="AA12">
        <v>3</v>
      </c>
      <c r="AB12">
        <v>0.95192307692307598</v>
      </c>
      <c r="AC12" t="s">
        <v>47</v>
      </c>
      <c r="AD12">
        <v>2</v>
      </c>
      <c r="AE12">
        <v>1.0580270793036699</v>
      </c>
      <c r="AF12" t="s">
        <v>47</v>
      </c>
      <c r="AG12">
        <v>2</v>
      </c>
      <c r="AH12">
        <v>1.17915904936014</v>
      </c>
      <c r="AI12" t="s">
        <v>47</v>
      </c>
      <c r="AJ12">
        <v>2</v>
      </c>
      <c r="AK12">
        <v>0.92868217054263502</v>
      </c>
      <c r="AL12" t="s">
        <v>55</v>
      </c>
      <c r="AM12">
        <v>2</v>
      </c>
      <c r="AN12">
        <v>0.94086021505376305</v>
      </c>
      <c r="AO12" t="s">
        <v>60</v>
      </c>
      <c r="AP12">
        <v>3</v>
      </c>
      <c r="AQ12">
        <v>0.91416309012875496</v>
      </c>
      <c r="AR12" t="s">
        <v>60</v>
      </c>
      <c r="AS12">
        <v>3</v>
      </c>
      <c r="AT12">
        <v>0.73802816901408397</v>
      </c>
      <c r="AU12" t="s">
        <v>60</v>
      </c>
      <c r="AV12">
        <v>3</v>
      </c>
      <c r="AW12">
        <v>1.3422391857506299</v>
      </c>
      <c r="AX12" t="s">
        <v>55</v>
      </c>
      <c r="AY12">
        <v>2</v>
      </c>
      <c r="AZ12">
        <v>0.83171206225680905</v>
      </c>
      <c r="BA12" t="s">
        <v>47</v>
      </c>
      <c r="BB12">
        <v>2</v>
      </c>
      <c r="BC12">
        <v>1.0486577181208001</v>
      </c>
      <c r="BD12" t="s">
        <v>55</v>
      </c>
      <c r="BE12">
        <v>2</v>
      </c>
      <c r="BF12">
        <v>0.96275395033860001</v>
      </c>
      <c r="BG12" t="s">
        <v>47</v>
      </c>
      <c r="BH12">
        <v>2</v>
      </c>
      <c r="BI12">
        <v>1.0372771474878399</v>
      </c>
      <c r="BJ12" t="s">
        <v>47</v>
      </c>
      <c r="BK12">
        <v>2</v>
      </c>
      <c r="BL12">
        <v>1.16875</v>
      </c>
      <c r="BM12" t="s">
        <v>47</v>
      </c>
      <c r="BN12">
        <v>2</v>
      </c>
      <c r="BO12">
        <v>1.01336898395721</v>
      </c>
      <c r="BP12" t="s">
        <v>47</v>
      </c>
      <c r="BQ12">
        <v>2</v>
      </c>
      <c r="BR12">
        <v>1.0540897097625299</v>
      </c>
      <c r="BS12" t="s">
        <v>62</v>
      </c>
      <c r="BT12">
        <v>3</v>
      </c>
      <c r="BU12">
        <v>1.05284552845528</v>
      </c>
      <c r="BV12" t="s">
        <v>64</v>
      </c>
      <c r="BW12">
        <v>3</v>
      </c>
      <c r="BX12">
        <v>1.3112391930835701</v>
      </c>
      <c r="BY12" t="s">
        <v>62</v>
      </c>
      <c r="BZ12">
        <v>3</v>
      </c>
      <c r="CA12">
        <v>1.21317157712305</v>
      </c>
      <c r="CB12" t="s">
        <v>58</v>
      </c>
      <c r="CC12">
        <v>2</v>
      </c>
      <c r="CD12">
        <v>0.90264423076922995</v>
      </c>
      <c r="CE12" t="s">
        <v>58</v>
      </c>
      <c r="CF12">
        <v>2</v>
      </c>
      <c r="CG12">
        <v>1.09853528628495</v>
      </c>
      <c r="CH12" t="s">
        <v>58</v>
      </c>
      <c r="CI12">
        <v>2</v>
      </c>
      <c r="CJ12">
        <v>1</v>
      </c>
      <c r="CK12" t="s">
        <v>56</v>
      </c>
      <c r="CL12">
        <v>3</v>
      </c>
      <c r="CM12">
        <v>0.77907949790794895</v>
      </c>
      <c r="CN12" t="s">
        <v>62</v>
      </c>
      <c r="CO12">
        <v>3</v>
      </c>
      <c r="CP12">
        <v>0.80030487804878003</v>
      </c>
      <c r="CQ12" t="s">
        <v>55</v>
      </c>
      <c r="CR12">
        <v>2</v>
      </c>
      <c r="CS12">
        <v>0.83643617021276595</v>
      </c>
      <c r="CT12" t="s">
        <v>55</v>
      </c>
      <c r="CU12">
        <v>2</v>
      </c>
      <c r="CV12">
        <v>1.10651828298887</v>
      </c>
      <c r="CW12" t="s">
        <v>52</v>
      </c>
      <c r="CX12">
        <v>1</v>
      </c>
      <c r="CY12">
        <v>1.2700348432055699</v>
      </c>
      <c r="CZ12" t="s">
        <v>45</v>
      </c>
      <c r="DA12">
        <v>3</v>
      </c>
      <c r="DB12">
        <v>0.87429643527204504</v>
      </c>
      <c r="DC12" t="s">
        <v>47</v>
      </c>
      <c r="DD12">
        <v>2</v>
      </c>
      <c r="DE12">
        <v>0.99535423925667799</v>
      </c>
      <c r="DF12" t="s">
        <v>46</v>
      </c>
      <c r="DG12">
        <v>2</v>
      </c>
      <c r="DH12">
        <v>1.1288343558282199</v>
      </c>
    </row>
    <row r="13" spans="1:112" x14ac:dyDescent="0.4">
      <c r="A13">
        <v>11</v>
      </c>
      <c r="B13" t="s">
        <v>57</v>
      </c>
      <c r="C13">
        <v>3</v>
      </c>
      <c r="D13">
        <v>0.80102040816326503</v>
      </c>
      <c r="E13" t="s">
        <v>64</v>
      </c>
      <c r="F13">
        <v>3</v>
      </c>
      <c r="G13">
        <v>0.93529411764705805</v>
      </c>
      <c r="H13" t="s">
        <v>56</v>
      </c>
      <c r="I13">
        <v>1</v>
      </c>
      <c r="J13">
        <v>0.564299692479731</v>
      </c>
      <c r="K13" t="s">
        <v>61</v>
      </c>
      <c r="L13">
        <v>2</v>
      </c>
      <c r="M13">
        <v>1.2235294117647</v>
      </c>
      <c r="N13" t="s">
        <v>47</v>
      </c>
      <c r="O13">
        <v>2</v>
      </c>
      <c r="P13">
        <v>0.79014084507042204</v>
      </c>
      <c r="Q13" t="s">
        <v>50</v>
      </c>
      <c r="R13">
        <v>3</v>
      </c>
      <c r="S13">
        <v>0.98097394478050703</v>
      </c>
      <c r="T13" t="s">
        <v>51</v>
      </c>
      <c r="U13">
        <v>3</v>
      </c>
      <c r="V13">
        <v>0.85341365461847296</v>
      </c>
      <c r="W13" t="s">
        <v>47</v>
      </c>
      <c r="X13">
        <v>2</v>
      </c>
      <c r="Y13">
        <v>0.93803786574870895</v>
      </c>
      <c r="Z13" t="s">
        <v>50</v>
      </c>
      <c r="AA13">
        <v>3</v>
      </c>
      <c r="AB13">
        <v>1.01039273215737</v>
      </c>
      <c r="AC13" t="s">
        <v>51</v>
      </c>
      <c r="AD13">
        <v>3</v>
      </c>
      <c r="AE13">
        <v>1.01459034792368</v>
      </c>
      <c r="AF13" t="s">
        <v>51</v>
      </c>
      <c r="AG13">
        <v>3</v>
      </c>
      <c r="AH13">
        <v>1.05641592920353</v>
      </c>
      <c r="AI13" t="s">
        <v>51</v>
      </c>
      <c r="AJ13">
        <v>3</v>
      </c>
      <c r="AK13">
        <v>1.0157068062827199</v>
      </c>
      <c r="AL13" t="s">
        <v>56</v>
      </c>
      <c r="AM13">
        <v>2</v>
      </c>
      <c r="AN13">
        <v>0.85062439961575398</v>
      </c>
      <c r="AO13" t="s">
        <v>62</v>
      </c>
      <c r="AP13">
        <v>3</v>
      </c>
      <c r="AQ13">
        <v>0.92500000000000004</v>
      </c>
      <c r="AR13" t="s">
        <v>62</v>
      </c>
      <c r="AS13">
        <v>3</v>
      </c>
      <c r="AT13">
        <v>0.82263513513513498</v>
      </c>
      <c r="AU13" t="s">
        <v>62</v>
      </c>
      <c r="AV13">
        <v>3</v>
      </c>
      <c r="AW13">
        <v>1.1416837782340801</v>
      </c>
      <c r="AX13" t="s">
        <v>60</v>
      </c>
      <c r="AY13">
        <v>3</v>
      </c>
      <c r="AZ13">
        <v>0.63696682464454901</v>
      </c>
      <c r="BA13" t="s">
        <v>51</v>
      </c>
      <c r="BB13">
        <v>3</v>
      </c>
      <c r="BC13">
        <v>1.13390928725701</v>
      </c>
      <c r="BD13" t="s">
        <v>60</v>
      </c>
      <c r="BE13">
        <v>3</v>
      </c>
      <c r="BF13">
        <v>0.890625</v>
      </c>
      <c r="BG13" t="s">
        <v>51</v>
      </c>
      <c r="BH13">
        <v>3</v>
      </c>
      <c r="BI13">
        <v>1.2055335968379399</v>
      </c>
      <c r="BJ13" t="s">
        <v>51</v>
      </c>
      <c r="BK13">
        <v>3</v>
      </c>
      <c r="BL13">
        <v>1.0491803278688501</v>
      </c>
      <c r="BM13" t="s">
        <v>51</v>
      </c>
      <c r="BN13">
        <v>3</v>
      </c>
      <c r="BO13">
        <v>1.0062500000000001</v>
      </c>
      <c r="BP13" t="s">
        <v>51</v>
      </c>
      <c r="BQ13">
        <v>3</v>
      </c>
      <c r="BR13">
        <v>0.94565217391304301</v>
      </c>
      <c r="BS13" t="s">
        <v>64</v>
      </c>
      <c r="BT13">
        <v>3</v>
      </c>
      <c r="BU13">
        <v>1.2175438596491199</v>
      </c>
      <c r="BV13" t="s">
        <v>65</v>
      </c>
      <c r="BW13">
        <v>1</v>
      </c>
      <c r="BX13">
        <v>0.75276984580239803</v>
      </c>
      <c r="BY13" t="s">
        <v>64</v>
      </c>
      <c r="BZ13">
        <v>3</v>
      </c>
      <c r="CA13">
        <v>0.98131868131868105</v>
      </c>
      <c r="CB13" t="s">
        <v>55</v>
      </c>
      <c r="CC13">
        <v>2</v>
      </c>
      <c r="CD13">
        <v>0.92291666666666605</v>
      </c>
      <c r="CE13" t="s">
        <v>55</v>
      </c>
      <c r="CF13">
        <v>2</v>
      </c>
      <c r="CG13">
        <v>0.914221218961625</v>
      </c>
      <c r="CH13" t="s">
        <v>67</v>
      </c>
      <c r="CI13">
        <v>3</v>
      </c>
      <c r="CJ13">
        <v>0.95563139931740604</v>
      </c>
      <c r="CK13" t="s">
        <v>59</v>
      </c>
      <c r="CL13">
        <v>1</v>
      </c>
      <c r="CM13">
        <v>0.75028248587570601</v>
      </c>
      <c r="CN13" t="s">
        <v>64</v>
      </c>
      <c r="CO13">
        <v>2</v>
      </c>
      <c r="CP13">
        <v>0.74646464646464605</v>
      </c>
      <c r="CQ13" t="s">
        <v>59</v>
      </c>
      <c r="CR13">
        <v>1</v>
      </c>
      <c r="CS13">
        <v>1.1893583724569601</v>
      </c>
      <c r="CT13" t="s">
        <v>59</v>
      </c>
      <c r="CU13">
        <v>1</v>
      </c>
      <c r="CV13">
        <v>0.9</v>
      </c>
      <c r="CW13" t="s">
        <v>53</v>
      </c>
      <c r="CX13">
        <v>2</v>
      </c>
      <c r="CY13">
        <v>1.1523809523809501</v>
      </c>
      <c r="CZ13" t="s">
        <v>58</v>
      </c>
      <c r="DA13">
        <v>3</v>
      </c>
      <c r="DB13">
        <v>1.07496251874062</v>
      </c>
      <c r="DC13" t="s">
        <v>58</v>
      </c>
      <c r="DD13">
        <v>3</v>
      </c>
      <c r="DE13">
        <v>1.0320781032078099</v>
      </c>
      <c r="DF13" t="s">
        <v>45</v>
      </c>
      <c r="DG13">
        <v>3</v>
      </c>
      <c r="DH13">
        <v>1.00428265524625</v>
      </c>
    </row>
    <row r="14" spans="1:112" x14ac:dyDescent="0.4">
      <c r="A14">
        <v>12</v>
      </c>
      <c r="B14" t="s">
        <v>62</v>
      </c>
      <c r="C14">
        <v>3</v>
      </c>
      <c r="D14">
        <v>1.0375000000000001</v>
      </c>
      <c r="E14" t="s">
        <v>66</v>
      </c>
      <c r="F14">
        <v>3</v>
      </c>
      <c r="G14">
        <v>0.69642504444005504</v>
      </c>
      <c r="H14" t="s">
        <v>60</v>
      </c>
      <c r="I14">
        <v>2</v>
      </c>
      <c r="J14">
        <v>0.41712062256809301</v>
      </c>
      <c r="K14" t="s">
        <v>53</v>
      </c>
      <c r="L14">
        <v>2</v>
      </c>
      <c r="M14">
        <v>0.85040983606557297</v>
      </c>
      <c r="N14" t="s">
        <v>61</v>
      </c>
      <c r="O14">
        <v>2</v>
      </c>
      <c r="P14">
        <v>1.6519230769230699</v>
      </c>
      <c r="Q14" t="s">
        <v>53</v>
      </c>
      <c r="R14">
        <v>1</v>
      </c>
      <c r="S14">
        <v>1.08883553421368</v>
      </c>
      <c r="T14" t="s">
        <v>50</v>
      </c>
      <c r="U14">
        <v>3</v>
      </c>
      <c r="V14">
        <v>0.98704698911395805</v>
      </c>
      <c r="W14" t="s">
        <v>51</v>
      </c>
      <c r="X14">
        <v>3</v>
      </c>
      <c r="Y14">
        <v>1.1011764705882301</v>
      </c>
      <c r="Z14" t="s">
        <v>53</v>
      </c>
      <c r="AA14">
        <v>1</v>
      </c>
      <c r="AB14">
        <v>0.95038167938931295</v>
      </c>
      <c r="AC14" t="s">
        <v>50</v>
      </c>
      <c r="AD14">
        <v>3</v>
      </c>
      <c r="AE14">
        <v>0.88146800545778903</v>
      </c>
      <c r="AF14" t="s">
        <v>50</v>
      </c>
      <c r="AG14">
        <v>3</v>
      </c>
      <c r="AH14">
        <v>0.95514983131573705</v>
      </c>
      <c r="AI14" t="s">
        <v>50</v>
      </c>
      <c r="AJ14">
        <v>3</v>
      </c>
      <c r="AK14">
        <v>0.81653854145023896</v>
      </c>
      <c r="AL14" t="s">
        <v>60</v>
      </c>
      <c r="AM14">
        <v>2</v>
      </c>
      <c r="AN14">
        <v>1.17085427135678</v>
      </c>
      <c r="AO14" t="s">
        <v>65</v>
      </c>
      <c r="AP14">
        <v>1</v>
      </c>
      <c r="AQ14">
        <v>0.85424640755888903</v>
      </c>
      <c r="AR14" t="s">
        <v>65</v>
      </c>
      <c r="AS14">
        <v>1</v>
      </c>
      <c r="AT14">
        <v>0.88168574135238198</v>
      </c>
      <c r="AU14" t="s">
        <v>65</v>
      </c>
      <c r="AV14">
        <v>1</v>
      </c>
      <c r="AW14">
        <v>0.99860610988500398</v>
      </c>
      <c r="AX14" t="s">
        <v>62</v>
      </c>
      <c r="AY14">
        <v>3</v>
      </c>
      <c r="AZ14">
        <v>0.83812949640287704</v>
      </c>
      <c r="BA14" t="s">
        <v>55</v>
      </c>
      <c r="BB14">
        <v>2</v>
      </c>
      <c r="BC14">
        <v>1.03625730994152</v>
      </c>
      <c r="BD14" t="s">
        <v>64</v>
      </c>
      <c r="BE14">
        <v>3</v>
      </c>
      <c r="BF14">
        <v>1.23780487804878</v>
      </c>
      <c r="BG14" t="s">
        <v>58</v>
      </c>
      <c r="BH14">
        <v>2</v>
      </c>
      <c r="BI14">
        <v>1.0070070070070001</v>
      </c>
      <c r="BJ14" t="s">
        <v>58</v>
      </c>
      <c r="BK14">
        <v>2</v>
      </c>
      <c r="BL14">
        <v>1</v>
      </c>
      <c r="BM14" t="s">
        <v>58</v>
      </c>
      <c r="BN14">
        <v>2</v>
      </c>
      <c r="BO14">
        <v>0.91451292246520799</v>
      </c>
      <c r="BP14" t="s">
        <v>55</v>
      </c>
      <c r="BQ14">
        <v>2</v>
      </c>
      <c r="BR14">
        <v>0.84770114942528696</v>
      </c>
      <c r="BS14" t="s">
        <v>65</v>
      </c>
      <c r="BT14">
        <v>1</v>
      </c>
      <c r="BU14">
        <v>0.90793601410386005</v>
      </c>
      <c r="BV14" t="s">
        <v>71</v>
      </c>
      <c r="BW14">
        <v>2</v>
      </c>
      <c r="BX14">
        <v>0.96119929453262698</v>
      </c>
      <c r="BY14" t="s">
        <v>65</v>
      </c>
      <c r="BZ14">
        <v>1</v>
      </c>
      <c r="CA14">
        <v>1.1162658371898899</v>
      </c>
      <c r="CB14" t="s">
        <v>62</v>
      </c>
      <c r="CC14">
        <v>3</v>
      </c>
      <c r="CD14">
        <v>0.96857142857142797</v>
      </c>
      <c r="CE14" t="s">
        <v>56</v>
      </c>
      <c r="CF14">
        <v>3</v>
      </c>
      <c r="CG14">
        <v>2.0627417275461899</v>
      </c>
      <c r="CH14" t="s">
        <v>55</v>
      </c>
      <c r="CI14">
        <v>2</v>
      </c>
      <c r="CJ14">
        <v>1.01234567901234</v>
      </c>
      <c r="CK14" t="s">
        <v>63</v>
      </c>
      <c r="CL14">
        <v>1</v>
      </c>
      <c r="CM14">
        <v>0.763492063492063</v>
      </c>
      <c r="CN14" t="s">
        <v>65</v>
      </c>
      <c r="CO14">
        <v>1</v>
      </c>
      <c r="CP14">
        <v>0.86357095822256902</v>
      </c>
      <c r="CQ14" t="s">
        <v>62</v>
      </c>
      <c r="CR14">
        <v>3</v>
      </c>
      <c r="CS14">
        <v>1.02857142857142</v>
      </c>
      <c r="CT14" t="s">
        <v>62</v>
      </c>
      <c r="CU14">
        <v>3</v>
      </c>
      <c r="CV14">
        <v>0.95740740740740704</v>
      </c>
      <c r="CW14" t="s">
        <v>59</v>
      </c>
      <c r="CX14">
        <v>1</v>
      </c>
      <c r="CY14">
        <v>1.12719298245614</v>
      </c>
      <c r="CZ14" t="s">
        <v>67</v>
      </c>
      <c r="DA14">
        <v>3</v>
      </c>
      <c r="DB14">
        <v>0.90888382687927105</v>
      </c>
      <c r="DC14" t="s">
        <v>55</v>
      </c>
      <c r="DD14">
        <v>3</v>
      </c>
      <c r="DE14">
        <v>0.96789727126805702</v>
      </c>
      <c r="DF14" t="s">
        <v>58</v>
      </c>
      <c r="DG14">
        <v>3</v>
      </c>
      <c r="DH14">
        <v>1.2986486486486399</v>
      </c>
    </row>
    <row r="15" spans="1:112" x14ac:dyDescent="0.4">
      <c r="A15">
        <v>13</v>
      </c>
      <c r="B15" t="s">
        <v>64</v>
      </c>
      <c r="C15">
        <v>3</v>
      </c>
      <c r="D15">
        <v>0.94972067039106101</v>
      </c>
      <c r="E15" t="s">
        <v>70</v>
      </c>
      <c r="F15">
        <v>3</v>
      </c>
      <c r="G15">
        <v>0.92644483362521801</v>
      </c>
      <c r="H15" t="s">
        <v>64</v>
      </c>
      <c r="I15">
        <v>3</v>
      </c>
      <c r="J15">
        <v>0.62893081761006198</v>
      </c>
      <c r="K15" t="s">
        <v>55</v>
      </c>
      <c r="L15">
        <v>2</v>
      </c>
      <c r="M15">
        <v>1</v>
      </c>
      <c r="N15" t="s">
        <v>53</v>
      </c>
      <c r="O15">
        <v>2</v>
      </c>
      <c r="P15">
        <v>1.00361445783132</v>
      </c>
      <c r="Q15" t="s">
        <v>56</v>
      </c>
      <c r="R15">
        <v>1</v>
      </c>
      <c r="S15">
        <v>1.10152990264255</v>
      </c>
      <c r="T15" t="s">
        <v>53</v>
      </c>
      <c r="U15">
        <v>1</v>
      </c>
      <c r="V15">
        <v>1.19073869900771</v>
      </c>
      <c r="W15" t="s">
        <v>50</v>
      </c>
      <c r="X15">
        <v>3</v>
      </c>
      <c r="Y15">
        <v>0.98733072734887595</v>
      </c>
      <c r="Z15" t="s">
        <v>55</v>
      </c>
      <c r="AA15">
        <v>2</v>
      </c>
      <c r="AB15">
        <v>0.77887092996017804</v>
      </c>
      <c r="AC15" t="s">
        <v>53</v>
      </c>
      <c r="AD15">
        <v>2</v>
      </c>
      <c r="AE15">
        <v>1.20281124497991</v>
      </c>
      <c r="AF15" t="s">
        <v>53</v>
      </c>
      <c r="AG15">
        <v>2</v>
      </c>
      <c r="AH15">
        <v>1.35225375626043</v>
      </c>
      <c r="AI15" t="s">
        <v>55</v>
      </c>
      <c r="AJ15">
        <v>2</v>
      </c>
      <c r="AK15">
        <v>0.87874015748031498</v>
      </c>
      <c r="AL15" t="s">
        <v>66</v>
      </c>
      <c r="AM15">
        <v>3</v>
      </c>
      <c r="AN15">
        <v>1.12805443860191</v>
      </c>
      <c r="AO15" t="s">
        <v>66</v>
      </c>
      <c r="AP15">
        <v>3</v>
      </c>
      <c r="AQ15">
        <v>0.65149437894159501</v>
      </c>
      <c r="AR15" t="s">
        <v>66</v>
      </c>
      <c r="AS15">
        <v>3</v>
      </c>
      <c r="AT15">
        <v>0.73737373737373701</v>
      </c>
      <c r="AU15" t="s">
        <v>68</v>
      </c>
      <c r="AV15">
        <v>1</v>
      </c>
      <c r="AW15">
        <v>1.0427135678391899</v>
      </c>
      <c r="AX15" t="s">
        <v>64</v>
      </c>
      <c r="AY15">
        <v>3</v>
      </c>
      <c r="AZ15">
        <v>0.85755813953488302</v>
      </c>
      <c r="BA15" t="s">
        <v>60</v>
      </c>
      <c r="BB15">
        <v>3</v>
      </c>
      <c r="BC15">
        <v>0.952380952380952</v>
      </c>
      <c r="BD15" t="s">
        <v>65</v>
      </c>
      <c r="BE15">
        <v>1</v>
      </c>
      <c r="BF15">
        <v>0.966617789286494</v>
      </c>
      <c r="BG15" t="s">
        <v>55</v>
      </c>
      <c r="BH15">
        <v>2</v>
      </c>
      <c r="BI15">
        <v>0.99179366940211</v>
      </c>
      <c r="BJ15" t="s">
        <v>55</v>
      </c>
      <c r="BK15">
        <v>2</v>
      </c>
      <c r="BL15">
        <v>1.0862884160756501</v>
      </c>
      <c r="BM15" t="s">
        <v>55</v>
      </c>
      <c r="BN15">
        <v>2</v>
      </c>
      <c r="BO15">
        <v>1.1360174102284999</v>
      </c>
      <c r="BP15" t="s">
        <v>56</v>
      </c>
      <c r="BQ15">
        <v>2</v>
      </c>
      <c r="BR15">
        <v>0.97011308562197096</v>
      </c>
      <c r="BS15" t="s">
        <v>71</v>
      </c>
      <c r="BT15">
        <v>2</v>
      </c>
      <c r="BU15">
        <v>0.96923076923076901</v>
      </c>
      <c r="BV15" t="s">
        <v>72</v>
      </c>
      <c r="BW15">
        <v>2</v>
      </c>
      <c r="BX15">
        <v>1.07638888888888</v>
      </c>
      <c r="BY15" t="s">
        <v>71</v>
      </c>
      <c r="BZ15">
        <v>2</v>
      </c>
      <c r="CA15">
        <v>1.02385321100917</v>
      </c>
      <c r="CB15" t="s">
        <v>64</v>
      </c>
      <c r="CC15">
        <v>3</v>
      </c>
      <c r="CD15">
        <v>0.90705487122060402</v>
      </c>
      <c r="CE15" t="s">
        <v>62</v>
      </c>
      <c r="CF15">
        <v>3</v>
      </c>
      <c r="CG15">
        <v>1.01327433628318</v>
      </c>
      <c r="CH15" t="s">
        <v>56</v>
      </c>
      <c r="CI15">
        <v>3</v>
      </c>
      <c r="CJ15">
        <v>1.2447916666666601</v>
      </c>
      <c r="CK15" t="s">
        <v>62</v>
      </c>
      <c r="CL15">
        <v>3</v>
      </c>
      <c r="CM15">
        <v>0.92655367231638397</v>
      </c>
      <c r="CN15" t="s">
        <v>71</v>
      </c>
      <c r="CO15">
        <v>2</v>
      </c>
      <c r="CP15">
        <v>1.38403041825095</v>
      </c>
      <c r="CQ15" t="s">
        <v>64</v>
      </c>
      <c r="CR15">
        <v>2</v>
      </c>
      <c r="CS15">
        <v>0.99323410013531799</v>
      </c>
      <c r="CT15" t="s">
        <v>64</v>
      </c>
      <c r="CU15">
        <v>2</v>
      </c>
      <c r="CV15">
        <v>1.0272479564032599</v>
      </c>
      <c r="CW15" t="s">
        <v>62</v>
      </c>
      <c r="CX15">
        <v>3</v>
      </c>
      <c r="CY15">
        <v>0.99613152804642102</v>
      </c>
      <c r="CZ15" t="s">
        <v>59</v>
      </c>
      <c r="DA15">
        <v>1</v>
      </c>
      <c r="DB15">
        <v>1.0207522697795</v>
      </c>
      <c r="DC15" t="s">
        <v>59</v>
      </c>
      <c r="DD15">
        <v>1</v>
      </c>
      <c r="DE15">
        <v>1.2147395171537401</v>
      </c>
      <c r="DF15" t="s">
        <v>48</v>
      </c>
      <c r="DG15">
        <v>2</v>
      </c>
      <c r="DH15">
        <v>1.234375</v>
      </c>
    </row>
    <row r="16" spans="1:112" x14ac:dyDescent="0.4">
      <c r="A16">
        <v>14</v>
      </c>
      <c r="B16" t="s">
        <v>66</v>
      </c>
      <c r="C16">
        <v>3</v>
      </c>
      <c r="D16">
        <v>1.0724422791781401</v>
      </c>
      <c r="E16" t="s">
        <v>69</v>
      </c>
      <c r="F16">
        <v>2</v>
      </c>
      <c r="G16">
        <v>0.99056603773584895</v>
      </c>
      <c r="H16" t="s">
        <v>66</v>
      </c>
      <c r="I16">
        <v>3</v>
      </c>
      <c r="J16">
        <v>0.50453771979580198</v>
      </c>
      <c r="K16" t="s">
        <v>56</v>
      </c>
      <c r="L16">
        <v>1</v>
      </c>
      <c r="M16">
        <v>0.97473371315333102</v>
      </c>
      <c r="N16" t="s">
        <v>55</v>
      </c>
      <c r="O16">
        <v>2</v>
      </c>
      <c r="P16">
        <v>1.63855122798313</v>
      </c>
      <c r="Q16" t="s">
        <v>60</v>
      </c>
      <c r="R16">
        <v>3</v>
      </c>
      <c r="S16">
        <v>1.5504587155963301</v>
      </c>
      <c r="T16" t="s">
        <v>60</v>
      </c>
      <c r="U16">
        <v>3</v>
      </c>
      <c r="V16">
        <v>0.58757396449704102</v>
      </c>
      <c r="W16" t="s">
        <v>53</v>
      </c>
      <c r="X16">
        <v>1</v>
      </c>
      <c r="Y16">
        <v>0.97037037037036999</v>
      </c>
      <c r="Z16" t="s">
        <v>60</v>
      </c>
      <c r="AA16">
        <v>3</v>
      </c>
      <c r="AB16">
        <v>0.87553648068669498</v>
      </c>
      <c r="AC16" t="s">
        <v>55</v>
      </c>
      <c r="AD16">
        <v>2</v>
      </c>
      <c r="AE16">
        <v>1.0210526315789401</v>
      </c>
      <c r="AF16" t="s">
        <v>55</v>
      </c>
      <c r="AG16">
        <v>2</v>
      </c>
      <c r="AH16">
        <v>0.93519882179675995</v>
      </c>
      <c r="AI16" t="s">
        <v>56</v>
      </c>
      <c r="AJ16">
        <v>2</v>
      </c>
      <c r="AK16">
        <v>0.88501594048884102</v>
      </c>
      <c r="AL16" t="s">
        <v>68</v>
      </c>
      <c r="AM16">
        <v>1</v>
      </c>
      <c r="AN16">
        <v>1.0661040787623</v>
      </c>
      <c r="AO16" t="s">
        <v>68</v>
      </c>
      <c r="AP16">
        <v>1</v>
      </c>
      <c r="AQ16">
        <v>1.17414248021108</v>
      </c>
      <c r="AR16" t="s">
        <v>68</v>
      </c>
      <c r="AS16">
        <v>1</v>
      </c>
      <c r="AT16">
        <v>0.89438202247191001</v>
      </c>
      <c r="AU16" t="s">
        <v>72</v>
      </c>
      <c r="AV16">
        <v>2</v>
      </c>
      <c r="AW16">
        <v>1.19424460431654</v>
      </c>
      <c r="AX16" t="s">
        <v>65</v>
      </c>
      <c r="AY16">
        <v>1</v>
      </c>
      <c r="AZ16">
        <v>0.79632429917412995</v>
      </c>
      <c r="BA16" t="s">
        <v>62</v>
      </c>
      <c r="BB16">
        <v>3</v>
      </c>
      <c r="BC16">
        <v>0.88948497854077202</v>
      </c>
      <c r="BD16" t="s">
        <v>68</v>
      </c>
      <c r="BE16">
        <v>1</v>
      </c>
      <c r="BF16">
        <v>1.3174019607843099</v>
      </c>
      <c r="BG16" t="s">
        <v>64</v>
      </c>
      <c r="BH16">
        <v>3</v>
      </c>
      <c r="BI16">
        <v>1.10837438423645</v>
      </c>
      <c r="BJ16" t="s">
        <v>56</v>
      </c>
      <c r="BK16">
        <v>2</v>
      </c>
      <c r="BL16">
        <v>0.82291666666666596</v>
      </c>
      <c r="BM16" t="s">
        <v>56</v>
      </c>
      <c r="BN16">
        <v>2</v>
      </c>
      <c r="BO16">
        <v>0.979430379746835</v>
      </c>
      <c r="BP16" t="s">
        <v>63</v>
      </c>
      <c r="BQ16">
        <v>1</v>
      </c>
      <c r="BR16">
        <v>1.1029668411867299</v>
      </c>
      <c r="BS16" t="s">
        <v>72</v>
      </c>
      <c r="BT16">
        <v>2</v>
      </c>
      <c r="BU16">
        <v>0.96969696969696895</v>
      </c>
      <c r="BV16" t="s">
        <v>74</v>
      </c>
      <c r="BW16">
        <v>3</v>
      </c>
      <c r="BX16">
        <v>1.1076233183856501</v>
      </c>
      <c r="BY16" t="s">
        <v>72</v>
      </c>
      <c r="BZ16">
        <v>2</v>
      </c>
      <c r="CA16">
        <v>1.3838709677419301</v>
      </c>
      <c r="CB16" t="s">
        <v>65</v>
      </c>
      <c r="CC16">
        <v>1</v>
      </c>
      <c r="CD16">
        <v>0.98181941754171298</v>
      </c>
      <c r="CE16" t="s">
        <v>64</v>
      </c>
      <c r="CF16">
        <v>3</v>
      </c>
      <c r="CG16">
        <v>1.3753086419753</v>
      </c>
      <c r="CH16" t="s">
        <v>63</v>
      </c>
      <c r="CI16">
        <v>1</v>
      </c>
      <c r="CJ16">
        <v>1.0396039603960301</v>
      </c>
      <c r="CK16" t="s">
        <v>64</v>
      </c>
      <c r="CL16">
        <v>2</v>
      </c>
      <c r="CM16">
        <v>0.92178770949720601</v>
      </c>
      <c r="CN16" t="s">
        <v>72</v>
      </c>
      <c r="CO16">
        <v>3</v>
      </c>
      <c r="CP16">
        <v>0.89598108747044902</v>
      </c>
      <c r="CQ16" t="s">
        <v>65</v>
      </c>
      <c r="CR16">
        <v>1</v>
      </c>
      <c r="CS16">
        <v>0.93131689683413799</v>
      </c>
      <c r="CT16" t="s">
        <v>72</v>
      </c>
      <c r="CU16">
        <v>3</v>
      </c>
      <c r="CV16">
        <v>1.0916905444125999</v>
      </c>
      <c r="CW16" t="s">
        <v>64</v>
      </c>
      <c r="CX16">
        <v>3</v>
      </c>
      <c r="CY16">
        <v>1.0079575596816901</v>
      </c>
      <c r="CZ16" t="s">
        <v>62</v>
      </c>
      <c r="DA16">
        <v>3</v>
      </c>
      <c r="DB16">
        <v>0.95048543689320297</v>
      </c>
      <c r="DC16" t="s">
        <v>62</v>
      </c>
      <c r="DD16">
        <v>3</v>
      </c>
      <c r="DE16">
        <v>1.0561797752808899</v>
      </c>
      <c r="DF16" t="s">
        <v>53</v>
      </c>
      <c r="DG16">
        <v>2</v>
      </c>
      <c r="DH16">
        <v>1.0606060606060601</v>
      </c>
    </row>
    <row r="17" spans="1:112" x14ac:dyDescent="0.4">
      <c r="A17">
        <v>15</v>
      </c>
      <c r="B17" t="s">
        <v>70</v>
      </c>
      <c r="C17">
        <v>3</v>
      </c>
      <c r="D17">
        <v>1.11960784313725</v>
      </c>
      <c r="E17" t="s">
        <v>72</v>
      </c>
      <c r="F17">
        <v>2</v>
      </c>
      <c r="G17">
        <v>1.0231958762886499</v>
      </c>
      <c r="H17" t="s">
        <v>70</v>
      </c>
      <c r="I17">
        <v>3</v>
      </c>
      <c r="J17">
        <v>0.41871455576559502</v>
      </c>
      <c r="K17" t="s">
        <v>65</v>
      </c>
      <c r="L17">
        <v>1</v>
      </c>
      <c r="M17">
        <v>1.3054567681707001</v>
      </c>
      <c r="N17" t="s">
        <v>56</v>
      </c>
      <c r="O17">
        <v>1</v>
      </c>
      <c r="P17">
        <v>1.27903430749682</v>
      </c>
      <c r="Q17" t="s">
        <v>65</v>
      </c>
      <c r="R17">
        <v>1</v>
      </c>
      <c r="S17">
        <v>1.2514465297970401</v>
      </c>
      <c r="T17" t="s">
        <v>65</v>
      </c>
      <c r="U17">
        <v>1</v>
      </c>
      <c r="V17">
        <v>0.97031073976717896</v>
      </c>
      <c r="W17" t="s">
        <v>60</v>
      </c>
      <c r="X17">
        <v>3</v>
      </c>
      <c r="Y17">
        <v>0.93856998992950602</v>
      </c>
      <c r="Z17" t="s">
        <v>70</v>
      </c>
      <c r="AA17">
        <v>3</v>
      </c>
      <c r="AB17">
        <v>0.88546255506607896</v>
      </c>
      <c r="AC17" t="s">
        <v>60</v>
      </c>
      <c r="AD17">
        <v>2</v>
      </c>
      <c r="AE17">
        <v>0.94852941176470495</v>
      </c>
      <c r="AF17" t="s">
        <v>60</v>
      </c>
      <c r="AG17">
        <v>2</v>
      </c>
      <c r="AH17">
        <v>1.26356589147286</v>
      </c>
      <c r="AI17" t="s">
        <v>60</v>
      </c>
      <c r="AJ17">
        <v>2</v>
      </c>
      <c r="AK17">
        <v>1.0173824130879301</v>
      </c>
      <c r="AL17" t="s">
        <v>75</v>
      </c>
      <c r="AM17">
        <v>2</v>
      </c>
      <c r="AN17">
        <v>1.00758681062153</v>
      </c>
      <c r="AO17" t="s">
        <v>75</v>
      </c>
      <c r="AP17">
        <v>3</v>
      </c>
      <c r="AQ17">
        <v>1.3655758277826</v>
      </c>
      <c r="AR17" t="s">
        <v>72</v>
      </c>
      <c r="AS17">
        <v>2</v>
      </c>
      <c r="AT17">
        <v>0.97887323943661897</v>
      </c>
      <c r="AU17" t="s">
        <v>74</v>
      </c>
      <c r="AV17">
        <v>2</v>
      </c>
      <c r="AW17">
        <v>1.1816005471956199</v>
      </c>
      <c r="AX17" t="s">
        <v>66</v>
      </c>
      <c r="AY17">
        <v>3</v>
      </c>
      <c r="AZ17">
        <v>0.71212121212121204</v>
      </c>
      <c r="BA17" t="s">
        <v>65</v>
      </c>
      <c r="BB17">
        <v>1</v>
      </c>
      <c r="BC17">
        <v>1.17050102249488</v>
      </c>
      <c r="BD17" t="s">
        <v>71</v>
      </c>
      <c r="BE17">
        <v>1</v>
      </c>
      <c r="BF17">
        <v>1.11179361179361</v>
      </c>
      <c r="BG17" t="s">
        <v>65</v>
      </c>
      <c r="BH17">
        <v>1</v>
      </c>
      <c r="BI17">
        <v>1.0957621921698899</v>
      </c>
      <c r="BJ17" t="s">
        <v>60</v>
      </c>
      <c r="BK17">
        <v>3</v>
      </c>
      <c r="BL17">
        <v>1.0060514372163301</v>
      </c>
      <c r="BM17" t="s">
        <v>60</v>
      </c>
      <c r="BN17">
        <v>3</v>
      </c>
      <c r="BO17">
        <v>0.81503759398496201</v>
      </c>
      <c r="BP17" t="s">
        <v>62</v>
      </c>
      <c r="BQ17">
        <v>3</v>
      </c>
      <c r="BR17">
        <v>0.95719844357976602</v>
      </c>
      <c r="BS17" t="s">
        <v>74</v>
      </c>
      <c r="BT17">
        <v>3</v>
      </c>
      <c r="BU17">
        <v>1.0045045045045</v>
      </c>
      <c r="BV17" t="s">
        <v>73</v>
      </c>
      <c r="BW17">
        <v>2</v>
      </c>
      <c r="BX17">
        <v>0.76809996324880503</v>
      </c>
      <c r="BY17" t="s">
        <v>74</v>
      </c>
      <c r="BZ17">
        <v>3</v>
      </c>
      <c r="CA17">
        <v>0.97840755735492502</v>
      </c>
      <c r="CB17" t="s">
        <v>70</v>
      </c>
      <c r="CC17">
        <v>3</v>
      </c>
      <c r="CD17">
        <v>0.93062605752961003</v>
      </c>
      <c r="CE17" t="s">
        <v>65</v>
      </c>
      <c r="CF17">
        <v>1</v>
      </c>
      <c r="CG17">
        <v>1.0302852000553699</v>
      </c>
      <c r="CH17" t="s">
        <v>62</v>
      </c>
      <c r="CI17">
        <v>3</v>
      </c>
      <c r="CJ17">
        <v>1.0305676855895101</v>
      </c>
      <c r="CK17" t="s">
        <v>76</v>
      </c>
      <c r="CL17">
        <v>3</v>
      </c>
      <c r="CM17">
        <v>0.80923694779116395</v>
      </c>
      <c r="CN17" t="s">
        <v>74</v>
      </c>
      <c r="CO17">
        <v>3</v>
      </c>
      <c r="CP17">
        <v>0.94247038917089598</v>
      </c>
      <c r="CQ17" t="s">
        <v>72</v>
      </c>
      <c r="CR17">
        <v>3</v>
      </c>
      <c r="CS17">
        <v>0.920844327176781</v>
      </c>
      <c r="CT17" t="s">
        <v>74</v>
      </c>
      <c r="CU17">
        <v>3</v>
      </c>
      <c r="CV17">
        <v>0.86896551724137905</v>
      </c>
      <c r="CW17" t="s">
        <v>72</v>
      </c>
      <c r="CX17">
        <v>3</v>
      </c>
      <c r="CY17">
        <v>0.91338582677165303</v>
      </c>
      <c r="CZ17" t="s">
        <v>64</v>
      </c>
      <c r="DA17">
        <v>3</v>
      </c>
      <c r="DB17">
        <v>0.95526315789473604</v>
      </c>
      <c r="DC17" t="s">
        <v>64</v>
      </c>
      <c r="DD17">
        <v>3</v>
      </c>
      <c r="DE17">
        <v>1.0027548209366299</v>
      </c>
      <c r="DF17" t="s">
        <v>62</v>
      </c>
      <c r="DG17">
        <v>3</v>
      </c>
      <c r="DH17">
        <v>1.0290135396518301</v>
      </c>
    </row>
    <row r="18" spans="1:112" x14ac:dyDescent="0.4">
      <c r="A18">
        <v>16</v>
      </c>
      <c r="B18" t="s">
        <v>69</v>
      </c>
      <c r="C18">
        <v>2</v>
      </c>
      <c r="D18">
        <v>0.95280898876404496</v>
      </c>
      <c r="E18" t="s">
        <v>73</v>
      </c>
      <c r="F18">
        <v>1</v>
      </c>
      <c r="G18">
        <v>0.83671251004300695</v>
      </c>
      <c r="H18" t="s">
        <v>69</v>
      </c>
      <c r="I18">
        <v>2</v>
      </c>
      <c r="J18">
        <v>0.40238095238095201</v>
      </c>
      <c r="K18" t="s">
        <v>69</v>
      </c>
      <c r="L18">
        <v>2</v>
      </c>
      <c r="M18">
        <v>1.09319526627218</v>
      </c>
      <c r="N18" t="s">
        <v>63</v>
      </c>
      <c r="O18">
        <v>1</v>
      </c>
      <c r="P18">
        <v>1.4075757575757499</v>
      </c>
      <c r="Q18" t="s">
        <v>70</v>
      </c>
      <c r="R18">
        <v>3</v>
      </c>
      <c r="S18">
        <v>0.75464684014869798</v>
      </c>
      <c r="T18" t="s">
        <v>68</v>
      </c>
      <c r="U18">
        <v>2</v>
      </c>
      <c r="V18">
        <v>1.0439121756487</v>
      </c>
      <c r="W18" t="s">
        <v>64</v>
      </c>
      <c r="X18">
        <v>3</v>
      </c>
      <c r="Y18">
        <v>0.92556634304207097</v>
      </c>
      <c r="Z18" t="s">
        <v>69</v>
      </c>
      <c r="AA18">
        <v>2</v>
      </c>
      <c r="AB18">
        <v>1.696</v>
      </c>
      <c r="AC18" t="s">
        <v>65</v>
      </c>
      <c r="AD18">
        <v>1</v>
      </c>
      <c r="AE18">
        <v>1.2931785629028401</v>
      </c>
      <c r="AF18" t="s">
        <v>69</v>
      </c>
      <c r="AG18">
        <v>2</v>
      </c>
      <c r="AH18">
        <v>1.24439461883408</v>
      </c>
      <c r="AI18" t="s">
        <v>64</v>
      </c>
      <c r="AJ18">
        <v>3</v>
      </c>
      <c r="AK18">
        <v>0.88509316770186297</v>
      </c>
      <c r="AL18" t="s">
        <v>72</v>
      </c>
      <c r="AM18">
        <v>2</v>
      </c>
      <c r="AN18">
        <v>1.0032154340835999</v>
      </c>
      <c r="AO18" t="s">
        <v>72</v>
      </c>
      <c r="AP18">
        <v>2</v>
      </c>
      <c r="AQ18">
        <v>0.91025641025641002</v>
      </c>
      <c r="AR18" t="s">
        <v>74</v>
      </c>
      <c r="AS18">
        <v>2</v>
      </c>
      <c r="AT18">
        <v>0.83854316030972098</v>
      </c>
      <c r="AU18" t="s">
        <v>78</v>
      </c>
      <c r="AV18">
        <v>2</v>
      </c>
      <c r="AW18">
        <v>1.3301435406698501</v>
      </c>
      <c r="AX18" t="s">
        <v>70</v>
      </c>
      <c r="AY18">
        <v>3</v>
      </c>
      <c r="AZ18">
        <v>0.73737373737373701</v>
      </c>
      <c r="BA18" t="s">
        <v>68</v>
      </c>
      <c r="BB18">
        <v>1</v>
      </c>
      <c r="BC18">
        <v>1.0074074074074</v>
      </c>
      <c r="BD18" t="s">
        <v>72</v>
      </c>
      <c r="BE18">
        <v>2</v>
      </c>
      <c r="BF18">
        <v>1.1271186440677901</v>
      </c>
      <c r="BG18" t="s">
        <v>68</v>
      </c>
      <c r="BH18">
        <v>1</v>
      </c>
      <c r="BI18">
        <v>1.3906976744185999</v>
      </c>
      <c r="BJ18" t="s">
        <v>63</v>
      </c>
      <c r="BK18">
        <v>1</v>
      </c>
      <c r="BL18">
        <v>0.92749244712990897</v>
      </c>
      <c r="BM18" t="s">
        <v>63</v>
      </c>
      <c r="BN18">
        <v>1</v>
      </c>
      <c r="BO18">
        <v>0.93322475570032504</v>
      </c>
      <c r="BP18" t="s">
        <v>64</v>
      </c>
      <c r="BQ18">
        <v>3</v>
      </c>
      <c r="BR18">
        <v>1.0401459854014501</v>
      </c>
      <c r="BS18" t="s">
        <v>73</v>
      </c>
      <c r="BT18">
        <v>2</v>
      </c>
      <c r="BU18">
        <v>0.88928834055069805</v>
      </c>
      <c r="BV18" t="s">
        <v>83</v>
      </c>
      <c r="BW18">
        <v>2</v>
      </c>
      <c r="BX18">
        <v>1.0671999999999999</v>
      </c>
      <c r="BY18" t="s">
        <v>73</v>
      </c>
      <c r="BZ18">
        <v>2</v>
      </c>
      <c r="CA18">
        <v>0.87799043062200899</v>
      </c>
      <c r="CB18" t="s">
        <v>71</v>
      </c>
      <c r="CC18">
        <v>2</v>
      </c>
      <c r="CD18">
        <v>1.02150537634408</v>
      </c>
      <c r="CE18" t="s">
        <v>70</v>
      </c>
      <c r="CF18">
        <v>3</v>
      </c>
      <c r="CG18">
        <v>1.5909090909090899</v>
      </c>
      <c r="CH18" t="s">
        <v>64</v>
      </c>
      <c r="CI18">
        <v>3</v>
      </c>
      <c r="CJ18">
        <v>0.96409335727109502</v>
      </c>
      <c r="CK18" t="s">
        <v>72</v>
      </c>
      <c r="CL18">
        <v>3</v>
      </c>
      <c r="CM18">
        <v>0.97465437788018405</v>
      </c>
      <c r="CN18" t="s">
        <v>73</v>
      </c>
      <c r="CO18">
        <v>2</v>
      </c>
      <c r="CP18">
        <v>1.1008403361344501</v>
      </c>
      <c r="CQ18" t="s">
        <v>74</v>
      </c>
      <c r="CR18">
        <v>3</v>
      </c>
      <c r="CS18">
        <v>1.04129263913824</v>
      </c>
      <c r="CT18" t="s">
        <v>73</v>
      </c>
      <c r="CU18">
        <v>2</v>
      </c>
      <c r="CV18">
        <v>1.4234693877550999</v>
      </c>
      <c r="CW18" t="s">
        <v>74</v>
      </c>
      <c r="CX18">
        <v>3</v>
      </c>
      <c r="CY18">
        <v>1.00595238095238</v>
      </c>
      <c r="CZ18" t="s">
        <v>65</v>
      </c>
      <c r="DA18">
        <v>1</v>
      </c>
      <c r="DB18">
        <v>0.96316507503410598</v>
      </c>
      <c r="DC18" t="s">
        <v>65</v>
      </c>
      <c r="DD18">
        <v>1</v>
      </c>
      <c r="DE18">
        <v>1.03116147308781</v>
      </c>
      <c r="DF18" t="s">
        <v>64</v>
      </c>
      <c r="DG18">
        <v>3</v>
      </c>
      <c r="DH18">
        <v>1.0631868131868101</v>
      </c>
    </row>
    <row r="19" spans="1:112" x14ac:dyDescent="0.4">
      <c r="A19">
        <v>17</v>
      </c>
      <c r="B19" t="s">
        <v>72</v>
      </c>
      <c r="C19">
        <v>2</v>
      </c>
      <c r="D19">
        <v>1.0402144772117901</v>
      </c>
      <c r="E19" t="s">
        <v>80</v>
      </c>
      <c r="F19">
        <v>2</v>
      </c>
      <c r="G19">
        <v>0.94163424124513595</v>
      </c>
      <c r="H19" t="s">
        <v>72</v>
      </c>
      <c r="I19">
        <v>2</v>
      </c>
      <c r="J19">
        <v>0.579345088161209</v>
      </c>
      <c r="K19" t="s">
        <v>68</v>
      </c>
      <c r="L19">
        <v>1</v>
      </c>
      <c r="M19">
        <v>1.0943708609271501</v>
      </c>
      <c r="N19" t="s">
        <v>65</v>
      </c>
      <c r="O19">
        <v>1</v>
      </c>
      <c r="P19">
        <v>1.44924019920827</v>
      </c>
      <c r="Q19" t="s">
        <v>68</v>
      </c>
      <c r="R19">
        <v>2</v>
      </c>
      <c r="S19">
        <v>1.0481171548117101</v>
      </c>
      <c r="T19" t="s">
        <v>75</v>
      </c>
      <c r="U19">
        <v>3</v>
      </c>
      <c r="V19">
        <v>0.91005291005291</v>
      </c>
      <c r="W19" t="s">
        <v>68</v>
      </c>
      <c r="X19">
        <v>2</v>
      </c>
      <c r="Y19">
        <v>1.31548757170172</v>
      </c>
      <c r="Z19" t="s">
        <v>68</v>
      </c>
      <c r="AA19">
        <v>2</v>
      </c>
      <c r="AB19">
        <v>0.88081395348837199</v>
      </c>
      <c r="AC19" t="s">
        <v>68</v>
      </c>
      <c r="AD19">
        <v>1</v>
      </c>
      <c r="AE19">
        <v>1.45874587458745</v>
      </c>
      <c r="AF19" t="s">
        <v>68</v>
      </c>
      <c r="AG19">
        <v>1</v>
      </c>
      <c r="AH19">
        <v>0.89819004524886803</v>
      </c>
      <c r="AI19" t="s">
        <v>66</v>
      </c>
      <c r="AJ19">
        <v>3</v>
      </c>
      <c r="AK19">
        <v>1.0579188481675299</v>
      </c>
      <c r="AL19" t="s">
        <v>78</v>
      </c>
      <c r="AM19">
        <v>2</v>
      </c>
      <c r="AN19">
        <v>0.76815642458100497</v>
      </c>
      <c r="AO19" t="s">
        <v>78</v>
      </c>
      <c r="AP19">
        <v>2</v>
      </c>
      <c r="AQ19">
        <v>0.81272727272727197</v>
      </c>
      <c r="AR19" t="s">
        <v>78</v>
      </c>
      <c r="AS19">
        <v>2</v>
      </c>
      <c r="AT19">
        <v>0.93512304250559197</v>
      </c>
      <c r="AU19" t="s">
        <v>73</v>
      </c>
      <c r="AV19">
        <v>1</v>
      </c>
      <c r="AW19">
        <v>1.15070016682675</v>
      </c>
      <c r="AX19" t="s">
        <v>68</v>
      </c>
      <c r="AY19">
        <v>1</v>
      </c>
      <c r="AZ19">
        <v>0.97590361445783103</v>
      </c>
      <c r="BA19" t="s">
        <v>72</v>
      </c>
      <c r="BB19">
        <v>2</v>
      </c>
      <c r="BC19">
        <v>1.11848341232227</v>
      </c>
      <c r="BD19" t="s">
        <v>78</v>
      </c>
      <c r="BE19">
        <v>3</v>
      </c>
      <c r="BF19">
        <v>1.2313829787234001</v>
      </c>
      <c r="BG19" t="s">
        <v>72</v>
      </c>
      <c r="BH19">
        <v>2</v>
      </c>
      <c r="BI19">
        <v>1.0150375939849601</v>
      </c>
      <c r="BJ19" t="s">
        <v>64</v>
      </c>
      <c r="BK19">
        <v>3</v>
      </c>
      <c r="BL19">
        <v>1.16888888888888</v>
      </c>
      <c r="BM19" t="s">
        <v>62</v>
      </c>
      <c r="BN19">
        <v>3</v>
      </c>
      <c r="BO19">
        <v>1.0118110236220399</v>
      </c>
      <c r="BP19" t="s">
        <v>65</v>
      </c>
      <c r="BQ19">
        <v>1</v>
      </c>
      <c r="BR19">
        <v>1.2162520102166301</v>
      </c>
      <c r="BS19" t="s">
        <v>83</v>
      </c>
      <c r="BT19">
        <v>2</v>
      </c>
      <c r="BU19">
        <v>0.96272335181762103</v>
      </c>
      <c r="BV19" t="s">
        <v>80</v>
      </c>
      <c r="BW19">
        <v>3</v>
      </c>
      <c r="BX19">
        <v>1.016</v>
      </c>
      <c r="BY19" t="s">
        <v>83</v>
      </c>
      <c r="BZ19">
        <v>3</v>
      </c>
      <c r="CA19">
        <v>1.0298350824587701</v>
      </c>
      <c r="CB19" t="s">
        <v>72</v>
      </c>
      <c r="CC19">
        <v>2</v>
      </c>
      <c r="CD19">
        <v>0.80652680652680597</v>
      </c>
      <c r="CE19" t="s">
        <v>71</v>
      </c>
      <c r="CF19">
        <v>2</v>
      </c>
      <c r="CG19">
        <v>1.3017543859649101</v>
      </c>
      <c r="CH19" t="s">
        <v>65</v>
      </c>
      <c r="CI19">
        <v>1</v>
      </c>
      <c r="CJ19">
        <v>1.4117647058823499</v>
      </c>
      <c r="CK19" t="s">
        <v>74</v>
      </c>
      <c r="CL19">
        <v>3</v>
      </c>
      <c r="CM19">
        <v>0.87426035502958499</v>
      </c>
      <c r="CN19" t="s">
        <v>83</v>
      </c>
      <c r="CO19">
        <v>3</v>
      </c>
      <c r="CP19">
        <v>0.95401785714285703</v>
      </c>
      <c r="CQ19" t="s">
        <v>73</v>
      </c>
      <c r="CR19">
        <v>2</v>
      </c>
      <c r="CS19">
        <v>0.89770992366412194</v>
      </c>
      <c r="CT19" t="s">
        <v>80</v>
      </c>
      <c r="CU19">
        <v>3</v>
      </c>
      <c r="CV19">
        <v>1.190625</v>
      </c>
      <c r="CW19" t="s">
        <v>73</v>
      </c>
      <c r="CX19">
        <v>2</v>
      </c>
      <c r="CY19">
        <v>1.01314217443249</v>
      </c>
      <c r="CZ19" t="s">
        <v>72</v>
      </c>
      <c r="DA19">
        <v>3</v>
      </c>
      <c r="DB19">
        <v>1.01436781609195</v>
      </c>
      <c r="DC19" t="s">
        <v>72</v>
      </c>
      <c r="DD19">
        <v>3</v>
      </c>
      <c r="DE19">
        <v>1.0424929178470199</v>
      </c>
      <c r="DF19" t="s">
        <v>65</v>
      </c>
      <c r="DG19">
        <v>1</v>
      </c>
      <c r="DH19">
        <v>1.31456043956043</v>
      </c>
    </row>
    <row r="20" spans="1:112" x14ac:dyDescent="0.4">
      <c r="A20">
        <v>18</v>
      </c>
      <c r="B20" t="s">
        <v>78</v>
      </c>
      <c r="C20">
        <v>2</v>
      </c>
      <c r="D20">
        <v>1.31305903398926</v>
      </c>
      <c r="E20" t="s">
        <v>82</v>
      </c>
      <c r="F20">
        <v>2</v>
      </c>
      <c r="G20">
        <v>0.616865869853917</v>
      </c>
      <c r="H20" t="s">
        <v>74</v>
      </c>
      <c r="I20">
        <v>2</v>
      </c>
      <c r="J20">
        <v>1.10650339576044</v>
      </c>
      <c r="K20" t="s">
        <v>71</v>
      </c>
      <c r="L20">
        <v>2</v>
      </c>
      <c r="M20">
        <v>1.1592592592592501</v>
      </c>
      <c r="N20" t="s">
        <v>69</v>
      </c>
      <c r="O20">
        <v>2</v>
      </c>
      <c r="P20">
        <v>2.5683355886332802</v>
      </c>
      <c r="Q20" t="s">
        <v>75</v>
      </c>
      <c r="R20">
        <v>3</v>
      </c>
      <c r="S20">
        <v>1.33098591549295</v>
      </c>
      <c r="T20" t="s">
        <v>72</v>
      </c>
      <c r="U20">
        <v>2</v>
      </c>
      <c r="V20">
        <v>1.04</v>
      </c>
      <c r="W20" t="s">
        <v>75</v>
      </c>
      <c r="X20">
        <v>3</v>
      </c>
      <c r="Y20">
        <v>1.0838642879897999</v>
      </c>
      <c r="Z20" t="s">
        <v>75</v>
      </c>
      <c r="AA20">
        <v>3</v>
      </c>
      <c r="AB20">
        <v>0.90881034609449596</v>
      </c>
      <c r="AC20" t="s">
        <v>75</v>
      </c>
      <c r="AD20">
        <v>2</v>
      </c>
      <c r="AE20">
        <v>0.98180789133247004</v>
      </c>
      <c r="AF20" t="s">
        <v>75</v>
      </c>
      <c r="AG20">
        <v>2</v>
      </c>
      <c r="AH20">
        <v>0.94424771473276703</v>
      </c>
      <c r="AI20" t="s">
        <v>69</v>
      </c>
      <c r="AJ20">
        <v>2</v>
      </c>
      <c r="AK20">
        <v>1.42342342342342</v>
      </c>
      <c r="AL20" t="s">
        <v>73</v>
      </c>
      <c r="AM20">
        <v>1</v>
      </c>
      <c r="AN20">
        <v>1.1092538609439899</v>
      </c>
      <c r="AO20" t="s">
        <v>73</v>
      </c>
      <c r="AP20">
        <v>1</v>
      </c>
      <c r="AQ20">
        <v>0.770192065755262</v>
      </c>
      <c r="AR20" t="s">
        <v>73</v>
      </c>
      <c r="AS20">
        <v>1</v>
      </c>
      <c r="AT20">
        <v>0.71802969254782301</v>
      </c>
      <c r="AU20" t="s">
        <v>80</v>
      </c>
      <c r="AV20">
        <v>3</v>
      </c>
      <c r="AW20">
        <v>0.98290598290598197</v>
      </c>
      <c r="AX20" t="s">
        <v>72</v>
      </c>
      <c r="AY20">
        <v>2</v>
      </c>
      <c r="AZ20">
        <v>0.63554216867469804</v>
      </c>
      <c r="BA20" t="s">
        <v>74</v>
      </c>
      <c r="BB20">
        <v>2</v>
      </c>
      <c r="BC20">
        <v>0.88687426093811506</v>
      </c>
      <c r="BD20" t="s">
        <v>73</v>
      </c>
      <c r="BE20">
        <v>2</v>
      </c>
      <c r="BF20">
        <v>0.79685083649655497</v>
      </c>
      <c r="BG20" t="s">
        <v>74</v>
      </c>
      <c r="BH20">
        <v>2</v>
      </c>
      <c r="BI20">
        <v>1.0377107364685001</v>
      </c>
      <c r="BJ20" t="s">
        <v>65</v>
      </c>
      <c r="BK20">
        <v>1</v>
      </c>
      <c r="BL20">
        <v>0.90830633284241502</v>
      </c>
      <c r="BM20" t="s">
        <v>64</v>
      </c>
      <c r="BN20">
        <v>3</v>
      </c>
      <c r="BO20">
        <v>1.04182509505703</v>
      </c>
      <c r="BP20" t="s">
        <v>71</v>
      </c>
      <c r="BQ20">
        <v>2</v>
      </c>
      <c r="BR20">
        <v>0.925632911392405</v>
      </c>
      <c r="BS20" t="s">
        <v>80</v>
      </c>
      <c r="BT20">
        <v>3</v>
      </c>
      <c r="BU20">
        <v>0.98814229249011798</v>
      </c>
      <c r="BV20" t="s">
        <v>85</v>
      </c>
      <c r="BW20">
        <v>2</v>
      </c>
      <c r="BX20">
        <v>1.17463617463617</v>
      </c>
      <c r="BY20" t="s">
        <v>80</v>
      </c>
      <c r="BZ20">
        <v>3</v>
      </c>
      <c r="CA20">
        <v>1.09055118110236</v>
      </c>
      <c r="CB20" t="s">
        <v>74</v>
      </c>
      <c r="CC20">
        <v>3</v>
      </c>
      <c r="CD20">
        <v>0.92873563218390798</v>
      </c>
      <c r="CE20" t="s">
        <v>72</v>
      </c>
      <c r="CF20">
        <v>2</v>
      </c>
      <c r="CG20">
        <v>1.03468208092485</v>
      </c>
      <c r="CH20" t="s">
        <v>72</v>
      </c>
      <c r="CI20">
        <v>2</v>
      </c>
      <c r="CJ20">
        <v>1.21229050279329</v>
      </c>
      <c r="CK20" t="s">
        <v>83</v>
      </c>
      <c r="CL20">
        <v>3</v>
      </c>
      <c r="CM20">
        <v>0.75726842461122301</v>
      </c>
      <c r="CN20" t="s">
        <v>80</v>
      </c>
      <c r="CO20">
        <v>3</v>
      </c>
      <c r="CP20">
        <v>1.0029498525073699</v>
      </c>
      <c r="CQ20" t="s">
        <v>83</v>
      </c>
      <c r="CR20">
        <v>3</v>
      </c>
      <c r="CS20">
        <v>0.78778661675245598</v>
      </c>
      <c r="CT20" t="s">
        <v>87</v>
      </c>
      <c r="CU20">
        <v>3</v>
      </c>
      <c r="CV20">
        <v>0.97288135593220304</v>
      </c>
      <c r="CW20" t="s">
        <v>80</v>
      </c>
      <c r="CX20">
        <v>3</v>
      </c>
      <c r="CY20">
        <v>1.0498687664041899</v>
      </c>
      <c r="CZ20" t="s">
        <v>74</v>
      </c>
      <c r="DA20">
        <v>3</v>
      </c>
      <c r="DB20">
        <v>0.90927021696252397</v>
      </c>
      <c r="DC20" t="s">
        <v>74</v>
      </c>
      <c r="DD20">
        <v>3</v>
      </c>
      <c r="DE20">
        <v>1.16919739696312</v>
      </c>
      <c r="DF20" t="s">
        <v>72</v>
      </c>
      <c r="DG20">
        <v>3</v>
      </c>
      <c r="DH20">
        <v>1.01086956521739</v>
      </c>
    </row>
    <row r="21" spans="1:112" x14ac:dyDescent="0.4">
      <c r="A21">
        <v>19</v>
      </c>
      <c r="B21" t="s">
        <v>73</v>
      </c>
      <c r="C21">
        <v>1</v>
      </c>
      <c r="D21">
        <v>1.0895468589083399</v>
      </c>
      <c r="E21" t="s">
        <v>85</v>
      </c>
      <c r="F21">
        <v>2</v>
      </c>
      <c r="G21">
        <v>1.1863207547169801</v>
      </c>
      <c r="H21" t="s">
        <v>78</v>
      </c>
      <c r="I21">
        <v>2</v>
      </c>
      <c r="J21">
        <v>0.772631578947368</v>
      </c>
      <c r="K21" t="s">
        <v>72</v>
      </c>
      <c r="L21">
        <v>2</v>
      </c>
      <c r="M21">
        <v>0.860869565217391</v>
      </c>
      <c r="N21" t="s">
        <v>68</v>
      </c>
      <c r="O21">
        <v>1</v>
      </c>
      <c r="P21">
        <v>1.4462934947049899</v>
      </c>
      <c r="Q21" t="s">
        <v>72</v>
      </c>
      <c r="R21">
        <v>2</v>
      </c>
      <c r="S21">
        <v>1.07758620689655</v>
      </c>
      <c r="T21" t="s">
        <v>73</v>
      </c>
      <c r="U21">
        <v>1</v>
      </c>
      <c r="V21">
        <v>0.84587677725118404</v>
      </c>
      <c r="W21" t="s">
        <v>72</v>
      </c>
      <c r="X21">
        <v>2</v>
      </c>
      <c r="Y21">
        <v>0.98846153846153795</v>
      </c>
      <c r="Z21" t="s">
        <v>72</v>
      </c>
      <c r="AA21">
        <v>2</v>
      </c>
      <c r="AB21">
        <v>1.1089494163424101</v>
      </c>
      <c r="AC21" t="s">
        <v>72</v>
      </c>
      <c r="AD21">
        <v>2</v>
      </c>
      <c r="AE21">
        <v>1</v>
      </c>
      <c r="AF21" t="s">
        <v>72</v>
      </c>
      <c r="AG21">
        <v>2</v>
      </c>
      <c r="AH21">
        <v>1.0385964912280701</v>
      </c>
      <c r="AI21" t="s">
        <v>68</v>
      </c>
      <c r="AJ21">
        <v>1</v>
      </c>
      <c r="AK21">
        <v>0.89546599496221602</v>
      </c>
      <c r="AL21" t="s">
        <v>80</v>
      </c>
      <c r="AM21">
        <v>2</v>
      </c>
      <c r="AN21">
        <v>1.00882352941176</v>
      </c>
      <c r="AO21" t="s">
        <v>80</v>
      </c>
      <c r="AP21">
        <v>3</v>
      </c>
      <c r="AQ21">
        <v>1.01166180758017</v>
      </c>
      <c r="AR21" t="s">
        <v>80</v>
      </c>
      <c r="AS21">
        <v>3</v>
      </c>
      <c r="AT21">
        <v>1.01152737752161</v>
      </c>
      <c r="AU21" t="s">
        <v>86</v>
      </c>
      <c r="AV21">
        <v>3</v>
      </c>
      <c r="AW21">
        <v>1.3103922918100399</v>
      </c>
      <c r="AX21" t="s">
        <v>74</v>
      </c>
      <c r="AY21">
        <v>2</v>
      </c>
      <c r="AZ21">
        <v>0.73429811866859596</v>
      </c>
      <c r="BA21" t="s">
        <v>78</v>
      </c>
      <c r="BB21">
        <v>3</v>
      </c>
      <c r="BC21">
        <v>1.0773638968481301</v>
      </c>
      <c r="BD21" t="s">
        <v>80</v>
      </c>
      <c r="BE21">
        <v>3</v>
      </c>
      <c r="BF21">
        <v>0.95810055865921695</v>
      </c>
      <c r="BG21" t="s">
        <v>78</v>
      </c>
      <c r="BH21">
        <v>3</v>
      </c>
      <c r="BI21">
        <v>1.4470842332613301</v>
      </c>
      <c r="BJ21" t="s">
        <v>72</v>
      </c>
      <c r="BK21">
        <v>2</v>
      </c>
      <c r="BL21">
        <v>1.06666666666666</v>
      </c>
      <c r="BM21" t="s">
        <v>65</v>
      </c>
      <c r="BN21">
        <v>1</v>
      </c>
      <c r="BO21">
        <v>1.02840743262963</v>
      </c>
      <c r="BP21" t="s">
        <v>72</v>
      </c>
      <c r="BQ21">
        <v>2</v>
      </c>
      <c r="BR21">
        <v>0.99664429530201304</v>
      </c>
      <c r="BS21" t="s">
        <v>87</v>
      </c>
      <c r="BT21">
        <v>3</v>
      </c>
      <c r="BU21">
        <v>1.17133956386292</v>
      </c>
      <c r="BV21" t="s">
        <v>89</v>
      </c>
      <c r="BW21">
        <v>3</v>
      </c>
      <c r="BX21">
        <v>1.10895883777239</v>
      </c>
      <c r="BY21" t="s">
        <v>85</v>
      </c>
      <c r="BZ21">
        <v>2</v>
      </c>
      <c r="CA21">
        <v>1.26725663716814</v>
      </c>
      <c r="CB21" t="s">
        <v>73</v>
      </c>
      <c r="CC21">
        <v>2</v>
      </c>
      <c r="CD21">
        <v>0.85286103542234304</v>
      </c>
      <c r="CE21" t="s">
        <v>74</v>
      </c>
      <c r="CF21">
        <v>3</v>
      </c>
      <c r="CG21">
        <v>1.08168316831683</v>
      </c>
      <c r="CH21" t="s">
        <v>74</v>
      </c>
      <c r="CI21">
        <v>3</v>
      </c>
      <c r="CJ21">
        <v>1.54691075514874</v>
      </c>
      <c r="CK21" t="s">
        <v>80</v>
      </c>
      <c r="CL21">
        <v>3</v>
      </c>
      <c r="CM21">
        <v>0.97694524495677204</v>
      </c>
      <c r="CN21" t="s">
        <v>85</v>
      </c>
      <c r="CO21">
        <v>2</v>
      </c>
      <c r="CP21">
        <v>0.90125391849529701</v>
      </c>
      <c r="CQ21" t="s">
        <v>80</v>
      </c>
      <c r="CR21">
        <v>3</v>
      </c>
      <c r="CS21">
        <v>0.94117647058823495</v>
      </c>
      <c r="CT21" t="s">
        <v>85</v>
      </c>
      <c r="CU21">
        <v>2</v>
      </c>
      <c r="CV21">
        <v>0.9375</v>
      </c>
      <c r="CW21" t="s">
        <v>87</v>
      </c>
      <c r="CX21">
        <v>3</v>
      </c>
      <c r="CY21">
        <v>0.98606271777003396</v>
      </c>
      <c r="CZ21" t="s">
        <v>73</v>
      </c>
      <c r="DA21">
        <v>2</v>
      </c>
      <c r="DB21">
        <v>1.14504716981132</v>
      </c>
      <c r="DC21" t="s">
        <v>73</v>
      </c>
      <c r="DD21">
        <v>2</v>
      </c>
      <c r="DE21">
        <v>1.29763130792996</v>
      </c>
      <c r="DF21" t="s">
        <v>74</v>
      </c>
      <c r="DG21">
        <v>3</v>
      </c>
      <c r="DH21">
        <v>1.3358070500927599</v>
      </c>
    </row>
    <row r="22" spans="1:112" x14ac:dyDescent="0.4">
      <c r="A22">
        <v>20</v>
      </c>
      <c r="B22" t="s">
        <v>80</v>
      </c>
      <c r="C22">
        <v>2</v>
      </c>
      <c r="D22">
        <v>0.85809682804674403</v>
      </c>
      <c r="E22" t="s">
        <v>89</v>
      </c>
      <c r="F22">
        <v>3</v>
      </c>
      <c r="G22">
        <v>1.0679611650485401</v>
      </c>
      <c r="H22" t="s">
        <v>73</v>
      </c>
      <c r="I22">
        <v>1</v>
      </c>
      <c r="J22">
        <v>0.58800271125169401</v>
      </c>
      <c r="K22" t="s">
        <v>78</v>
      </c>
      <c r="L22">
        <v>2</v>
      </c>
      <c r="M22">
        <v>1.5476839237057201</v>
      </c>
      <c r="N22" t="s">
        <v>75</v>
      </c>
      <c r="O22">
        <v>2</v>
      </c>
      <c r="P22">
        <v>1.15911886391591</v>
      </c>
      <c r="Q22" t="s">
        <v>73</v>
      </c>
      <c r="R22">
        <v>1</v>
      </c>
      <c r="S22">
        <v>0.989829617953914</v>
      </c>
      <c r="T22" t="s">
        <v>80</v>
      </c>
      <c r="U22">
        <v>2</v>
      </c>
      <c r="V22">
        <v>0.903345724907063</v>
      </c>
      <c r="W22" t="s">
        <v>73</v>
      </c>
      <c r="X22">
        <v>1</v>
      </c>
      <c r="Y22">
        <v>0.92308381891528402</v>
      </c>
      <c r="Z22" t="s">
        <v>73</v>
      </c>
      <c r="AA22">
        <v>1</v>
      </c>
      <c r="AB22">
        <v>0.91011945226765001</v>
      </c>
      <c r="AC22" t="s">
        <v>73</v>
      </c>
      <c r="AD22">
        <v>1</v>
      </c>
      <c r="AE22">
        <v>1.15659179426986</v>
      </c>
      <c r="AF22" t="s">
        <v>74</v>
      </c>
      <c r="AG22">
        <v>2</v>
      </c>
      <c r="AH22">
        <v>1.0317290006131199</v>
      </c>
      <c r="AI22" t="s">
        <v>75</v>
      </c>
      <c r="AJ22">
        <v>2</v>
      </c>
      <c r="AK22">
        <v>0.89665096807953903</v>
      </c>
      <c r="AL22" t="s">
        <v>86</v>
      </c>
      <c r="AM22">
        <v>3</v>
      </c>
      <c r="AN22">
        <v>1.16574943347361</v>
      </c>
      <c r="AO22" t="s">
        <v>86</v>
      </c>
      <c r="AP22">
        <v>3</v>
      </c>
      <c r="AQ22">
        <v>0.902804776450985</v>
      </c>
      <c r="AR22" t="s">
        <v>86</v>
      </c>
      <c r="AS22">
        <v>3</v>
      </c>
      <c r="AT22">
        <v>0.89387880652106999</v>
      </c>
      <c r="AU22" t="s">
        <v>89</v>
      </c>
      <c r="AV22">
        <v>3</v>
      </c>
      <c r="AW22">
        <v>1.06984126984126</v>
      </c>
      <c r="AX22" t="s">
        <v>78</v>
      </c>
      <c r="AY22">
        <v>2</v>
      </c>
      <c r="AZ22">
        <v>0.62769784172661802</v>
      </c>
      <c r="BA22" t="s">
        <v>73</v>
      </c>
      <c r="BB22">
        <v>2</v>
      </c>
      <c r="BC22">
        <v>0.96329902491874297</v>
      </c>
      <c r="BD22" t="s">
        <v>86</v>
      </c>
      <c r="BE22">
        <v>3</v>
      </c>
      <c r="BF22">
        <v>1.2579885637403201</v>
      </c>
      <c r="BG22" t="s">
        <v>73</v>
      </c>
      <c r="BH22">
        <v>2</v>
      </c>
      <c r="BI22">
        <v>1.0079393083980199</v>
      </c>
      <c r="BJ22" t="s">
        <v>74</v>
      </c>
      <c r="BK22">
        <v>2</v>
      </c>
      <c r="BL22">
        <v>0.98845660538691704</v>
      </c>
      <c r="BM22" t="s">
        <v>71</v>
      </c>
      <c r="BN22">
        <v>2</v>
      </c>
      <c r="BO22">
        <v>0.87172413793103398</v>
      </c>
      <c r="BP22" t="s">
        <v>74</v>
      </c>
      <c r="BQ22">
        <v>3</v>
      </c>
      <c r="BR22">
        <v>1.0422535211267601</v>
      </c>
      <c r="BS22" t="s">
        <v>85</v>
      </c>
      <c r="BT22">
        <v>2</v>
      </c>
      <c r="BU22">
        <v>0.88745387453874502</v>
      </c>
      <c r="BV22" t="s">
        <v>92</v>
      </c>
      <c r="BW22">
        <v>2</v>
      </c>
      <c r="BX22">
        <v>1.0751565762004101</v>
      </c>
      <c r="BY22" t="s">
        <v>89</v>
      </c>
      <c r="BZ22">
        <v>3</v>
      </c>
      <c r="CA22">
        <v>1.10917030567685</v>
      </c>
      <c r="CB22" t="s">
        <v>83</v>
      </c>
      <c r="CC22">
        <v>3</v>
      </c>
      <c r="CD22">
        <v>0.93477944387829304</v>
      </c>
      <c r="CE22" t="s">
        <v>78</v>
      </c>
      <c r="CF22">
        <v>3</v>
      </c>
      <c r="CG22">
        <v>1.1977401129943499</v>
      </c>
      <c r="CH22" t="s">
        <v>73</v>
      </c>
      <c r="CI22">
        <v>2</v>
      </c>
      <c r="CJ22">
        <v>0.863924050632911</v>
      </c>
      <c r="CK22" t="s">
        <v>85</v>
      </c>
      <c r="CL22">
        <v>2</v>
      </c>
      <c r="CM22">
        <v>0.75502958579881596</v>
      </c>
      <c r="CN22" t="s">
        <v>89</v>
      </c>
      <c r="CO22">
        <v>3</v>
      </c>
      <c r="CP22">
        <v>1.41856925418569</v>
      </c>
      <c r="CQ22" t="s">
        <v>85</v>
      </c>
      <c r="CR22">
        <v>2</v>
      </c>
      <c r="CS22">
        <v>0.94608695652173902</v>
      </c>
      <c r="CT22" t="s">
        <v>92</v>
      </c>
      <c r="CU22">
        <v>2</v>
      </c>
      <c r="CV22">
        <v>1.0350154479917599</v>
      </c>
      <c r="CW22" t="s">
        <v>85</v>
      </c>
      <c r="CX22">
        <v>2</v>
      </c>
      <c r="CY22">
        <v>0.94509803921568603</v>
      </c>
      <c r="CZ22" t="s">
        <v>80</v>
      </c>
      <c r="DA22">
        <v>3</v>
      </c>
      <c r="DB22">
        <v>0.97750000000000004</v>
      </c>
      <c r="DC22" t="s">
        <v>80</v>
      </c>
      <c r="DD22">
        <v>3</v>
      </c>
      <c r="DE22">
        <v>0.930946291560102</v>
      </c>
      <c r="DF22" t="s">
        <v>73</v>
      </c>
      <c r="DG22">
        <v>2</v>
      </c>
      <c r="DH22">
        <v>0.99206349206349198</v>
      </c>
    </row>
    <row r="23" spans="1:112" x14ac:dyDescent="0.4">
      <c r="A23">
        <v>21</v>
      </c>
      <c r="B23" t="s">
        <v>79</v>
      </c>
      <c r="C23">
        <v>1</v>
      </c>
      <c r="D23">
        <v>1.2372093023255799</v>
      </c>
      <c r="E23" t="s">
        <v>91</v>
      </c>
      <c r="F23">
        <v>3</v>
      </c>
      <c r="G23">
        <v>0.85697258641239504</v>
      </c>
      <c r="H23" t="s">
        <v>80</v>
      </c>
      <c r="I23">
        <v>2</v>
      </c>
      <c r="J23">
        <v>0.52892561983470998</v>
      </c>
      <c r="K23" t="s">
        <v>73</v>
      </c>
      <c r="L23">
        <v>1</v>
      </c>
      <c r="M23">
        <v>0.92843419788664705</v>
      </c>
      <c r="N23" t="s">
        <v>71</v>
      </c>
      <c r="O23">
        <v>2</v>
      </c>
      <c r="P23">
        <v>1.7571884984025501</v>
      </c>
      <c r="Q23" t="s">
        <v>80</v>
      </c>
      <c r="R23">
        <v>2</v>
      </c>
      <c r="S23">
        <v>0.97287522603978305</v>
      </c>
      <c r="T23" t="s">
        <v>90</v>
      </c>
      <c r="U23">
        <v>3</v>
      </c>
      <c r="V23">
        <v>0.74258970358814302</v>
      </c>
      <c r="W23" t="s">
        <v>80</v>
      </c>
      <c r="X23">
        <v>2</v>
      </c>
      <c r="Y23">
        <v>0.90123456790123402</v>
      </c>
      <c r="Z23" t="s">
        <v>77</v>
      </c>
      <c r="AA23">
        <v>2</v>
      </c>
      <c r="AB23">
        <v>0.52208201866522697</v>
      </c>
      <c r="AC23" t="s">
        <v>77</v>
      </c>
      <c r="AD23">
        <v>2</v>
      </c>
      <c r="AE23">
        <v>0.99093655532534297</v>
      </c>
      <c r="AF23" t="s">
        <v>73</v>
      </c>
      <c r="AG23">
        <v>1</v>
      </c>
      <c r="AH23">
        <v>1.1875172986437801</v>
      </c>
      <c r="AI23" t="s">
        <v>72</v>
      </c>
      <c r="AJ23">
        <v>2</v>
      </c>
      <c r="AK23">
        <v>1.0506756756756701</v>
      </c>
      <c r="AL23" t="s">
        <v>89</v>
      </c>
      <c r="AM23">
        <v>3</v>
      </c>
      <c r="AN23">
        <v>1.0469798657718099</v>
      </c>
      <c r="AO23" t="s">
        <v>89</v>
      </c>
      <c r="AP23">
        <v>3</v>
      </c>
      <c r="AQ23">
        <v>1.0897435897435801</v>
      </c>
      <c r="AR23" t="s">
        <v>89</v>
      </c>
      <c r="AS23">
        <v>3</v>
      </c>
      <c r="AT23">
        <v>0.92647058823529405</v>
      </c>
      <c r="AU23" t="s">
        <v>92</v>
      </c>
      <c r="AV23">
        <v>2</v>
      </c>
      <c r="AW23">
        <v>1.1939163498098799</v>
      </c>
      <c r="AX23" t="s">
        <v>73</v>
      </c>
      <c r="AY23">
        <v>1</v>
      </c>
      <c r="AZ23">
        <v>0.64880063263333598</v>
      </c>
      <c r="BA23" t="s">
        <v>80</v>
      </c>
      <c r="BB23">
        <v>3</v>
      </c>
      <c r="BC23">
        <v>1.0718562874251401</v>
      </c>
      <c r="BD23" t="s">
        <v>85</v>
      </c>
      <c r="BE23">
        <v>2</v>
      </c>
      <c r="BF23">
        <v>0.73691654879773605</v>
      </c>
      <c r="BG23" t="s">
        <v>80</v>
      </c>
      <c r="BH23">
        <v>3</v>
      </c>
      <c r="BI23">
        <v>0.99708454810495595</v>
      </c>
      <c r="BJ23" t="s">
        <v>73</v>
      </c>
      <c r="BK23">
        <v>2</v>
      </c>
      <c r="BL23">
        <v>0.99212322772623796</v>
      </c>
      <c r="BM23" t="s">
        <v>72</v>
      </c>
      <c r="BN23">
        <v>2</v>
      </c>
      <c r="BO23">
        <v>1.0347222222222201</v>
      </c>
      <c r="BP23" t="s">
        <v>73</v>
      </c>
      <c r="BQ23">
        <v>2</v>
      </c>
      <c r="BR23">
        <v>1.0343108256570599</v>
      </c>
      <c r="BS23" t="s">
        <v>89</v>
      </c>
      <c r="BT23">
        <v>3</v>
      </c>
      <c r="BU23">
        <v>1.0897097625329799</v>
      </c>
      <c r="BV23" t="s">
        <v>96</v>
      </c>
      <c r="BW23">
        <v>2</v>
      </c>
      <c r="BX23">
        <v>0.97696476964769596</v>
      </c>
      <c r="BY23" t="s">
        <v>92</v>
      </c>
      <c r="BZ23">
        <v>2</v>
      </c>
      <c r="CA23">
        <v>1.24757281553398</v>
      </c>
      <c r="CB23" t="s">
        <v>80</v>
      </c>
      <c r="CC23">
        <v>3</v>
      </c>
      <c r="CD23">
        <v>1.01805054151624</v>
      </c>
      <c r="CE23" t="s">
        <v>73</v>
      </c>
      <c r="CF23">
        <v>2</v>
      </c>
      <c r="CG23">
        <v>1.0095846645367399</v>
      </c>
      <c r="CH23" t="s">
        <v>83</v>
      </c>
      <c r="CI23">
        <v>3</v>
      </c>
      <c r="CJ23">
        <v>1.0322805793055301</v>
      </c>
      <c r="CK23" t="s">
        <v>93</v>
      </c>
      <c r="CL23">
        <v>1</v>
      </c>
      <c r="CM23">
        <v>1.0071942446043101</v>
      </c>
      <c r="CN23" t="s">
        <v>92</v>
      </c>
      <c r="CO23">
        <v>2</v>
      </c>
      <c r="CP23">
        <v>0.96634615384615297</v>
      </c>
      <c r="CQ23" t="s">
        <v>92</v>
      </c>
      <c r="CR23">
        <v>2</v>
      </c>
      <c r="CS23">
        <v>0.96616915422885497</v>
      </c>
      <c r="CT23" t="s">
        <v>101</v>
      </c>
      <c r="CU23">
        <v>3</v>
      </c>
      <c r="CV23">
        <v>1.1423895253682399</v>
      </c>
      <c r="CW23" t="s">
        <v>95</v>
      </c>
      <c r="CX23">
        <v>3</v>
      </c>
      <c r="CY23">
        <v>0.91351351351351295</v>
      </c>
      <c r="CZ23" t="s">
        <v>87</v>
      </c>
      <c r="DA23">
        <v>3</v>
      </c>
      <c r="DB23">
        <v>1.00706713780918</v>
      </c>
      <c r="DC23" t="s">
        <v>87</v>
      </c>
      <c r="DD23">
        <v>3</v>
      </c>
      <c r="DE23">
        <v>0.98947368421052595</v>
      </c>
      <c r="DF23" t="s">
        <v>80</v>
      </c>
      <c r="DG23">
        <v>3</v>
      </c>
      <c r="DH23">
        <v>1.16483516483516</v>
      </c>
    </row>
    <row r="24" spans="1:112" x14ac:dyDescent="0.4">
      <c r="A24">
        <v>22</v>
      </c>
      <c r="B24" t="s">
        <v>82</v>
      </c>
      <c r="C24">
        <v>2</v>
      </c>
      <c r="D24">
        <v>0.86551724137930997</v>
      </c>
      <c r="E24" t="s">
        <v>84</v>
      </c>
      <c r="F24">
        <v>2</v>
      </c>
      <c r="G24">
        <v>0.81769911504424697</v>
      </c>
      <c r="H24" t="s">
        <v>90</v>
      </c>
      <c r="I24">
        <v>2</v>
      </c>
      <c r="J24">
        <v>0.68515205724507999</v>
      </c>
      <c r="K24" t="s">
        <v>80</v>
      </c>
      <c r="L24">
        <v>2</v>
      </c>
      <c r="M24">
        <v>1.234375</v>
      </c>
      <c r="N24" t="s">
        <v>72</v>
      </c>
      <c r="O24">
        <v>2</v>
      </c>
      <c r="P24">
        <v>1.1717171717171699</v>
      </c>
      <c r="Q24" t="s">
        <v>90</v>
      </c>
      <c r="R24">
        <v>3</v>
      </c>
      <c r="S24">
        <v>1.0031298904538299</v>
      </c>
      <c r="T24" t="s">
        <v>86</v>
      </c>
      <c r="U24">
        <v>2</v>
      </c>
      <c r="V24">
        <v>0.86772645470905796</v>
      </c>
      <c r="W24" t="s">
        <v>86</v>
      </c>
      <c r="X24">
        <v>2</v>
      </c>
      <c r="Y24">
        <v>1.0138264777048001</v>
      </c>
      <c r="Z24" t="s">
        <v>80</v>
      </c>
      <c r="AA24">
        <v>2</v>
      </c>
      <c r="AB24">
        <v>0.73972602739726001</v>
      </c>
      <c r="AC24" t="s">
        <v>80</v>
      </c>
      <c r="AD24">
        <v>2</v>
      </c>
      <c r="AE24">
        <v>0.95061728395061695</v>
      </c>
      <c r="AF24" t="s">
        <v>80</v>
      </c>
      <c r="AG24">
        <v>2</v>
      </c>
      <c r="AH24">
        <v>1.1590909090909001</v>
      </c>
      <c r="AI24" t="s">
        <v>74</v>
      </c>
      <c r="AJ24">
        <v>2</v>
      </c>
      <c r="AK24">
        <v>0.90774030604664901</v>
      </c>
      <c r="AL24" t="s">
        <v>95</v>
      </c>
      <c r="AM24">
        <v>2</v>
      </c>
      <c r="AN24">
        <v>0.819935691318328</v>
      </c>
      <c r="AO24" t="s">
        <v>91</v>
      </c>
      <c r="AP24">
        <v>3</v>
      </c>
      <c r="AQ24">
        <v>0.83649688652943999</v>
      </c>
      <c r="AR24" t="s">
        <v>92</v>
      </c>
      <c r="AS24">
        <v>2</v>
      </c>
      <c r="AT24">
        <v>0.80923076923076898</v>
      </c>
      <c r="AU24" t="s">
        <v>96</v>
      </c>
      <c r="AV24">
        <v>2</v>
      </c>
      <c r="AW24">
        <v>1.2307692307692299</v>
      </c>
      <c r="AX24" t="s">
        <v>80</v>
      </c>
      <c r="AY24">
        <v>3</v>
      </c>
      <c r="AZ24">
        <v>0.96811594202898499</v>
      </c>
      <c r="BA24" t="s">
        <v>86</v>
      </c>
      <c r="BB24">
        <v>3</v>
      </c>
      <c r="BC24">
        <v>0.94711691621535499</v>
      </c>
      <c r="BD24" t="s">
        <v>89</v>
      </c>
      <c r="BE24">
        <v>3</v>
      </c>
      <c r="BF24">
        <v>1.1124260355029501</v>
      </c>
      <c r="BG24" t="s">
        <v>86</v>
      </c>
      <c r="BH24">
        <v>3</v>
      </c>
      <c r="BI24">
        <v>1.0743315508021301</v>
      </c>
      <c r="BJ24" t="s">
        <v>80</v>
      </c>
      <c r="BK24">
        <v>3</v>
      </c>
      <c r="BL24">
        <v>0.95614035087719296</v>
      </c>
      <c r="BM24" t="s">
        <v>74</v>
      </c>
      <c r="BN24">
        <v>3</v>
      </c>
      <c r="BO24">
        <v>0.82915224913494801</v>
      </c>
      <c r="BP24" t="s">
        <v>83</v>
      </c>
      <c r="BQ24">
        <v>2</v>
      </c>
      <c r="BR24">
        <v>1.0398846708313301</v>
      </c>
      <c r="BS24" t="s">
        <v>92</v>
      </c>
      <c r="BT24">
        <v>2</v>
      </c>
      <c r="BU24">
        <v>0.93921568627450902</v>
      </c>
      <c r="BV24" t="s">
        <v>91</v>
      </c>
      <c r="BW24">
        <v>3</v>
      </c>
      <c r="BX24">
        <v>1.11127981274119</v>
      </c>
      <c r="BY24" t="s">
        <v>96</v>
      </c>
      <c r="BZ24">
        <v>3</v>
      </c>
      <c r="CA24">
        <v>1.4355062413314801</v>
      </c>
      <c r="CB24" t="s">
        <v>87</v>
      </c>
      <c r="CC24">
        <v>3</v>
      </c>
      <c r="CD24">
        <v>1.2464285714285701</v>
      </c>
      <c r="CE24" t="s">
        <v>83</v>
      </c>
      <c r="CF24">
        <v>3</v>
      </c>
      <c r="CG24">
        <v>0.892540102787727</v>
      </c>
      <c r="CH24" t="s">
        <v>80</v>
      </c>
      <c r="CI24">
        <v>3</v>
      </c>
      <c r="CJ24">
        <v>0.97198879551820705</v>
      </c>
      <c r="CK24" t="s">
        <v>89</v>
      </c>
      <c r="CL24">
        <v>3</v>
      </c>
      <c r="CM24">
        <v>0.893877551020408</v>
      </c>
      <c r="CN24" t="s">
        <v>101</v>
      </c>
      <c r="CO24">
        <v>3</v>
      </c>
      <c r="CP24">
        <v>1.0280898876404401</v>
      </c>
      <c r="CQ24" t="s">
        <v>101</v>
      </c>
      <c r="CR24">
        <v>3</v>
      </c>
      <c r="CS24">
        <v>1.1129326047358801</v>
      </c>
      <c r="CT24" t="s">
        <v>91</v>
      </c>
      <c r="CU24">
        <v>3</v>
      </c>
      <c r="CV24">
        <v>1.0113391017717299</v>
      </c>
      <c r="CW24" t="s">
        <v>92</v>
      </c>
      <c r="CX24">
        <v>3</v>
      </c>
      <c r="CY24">
        <v>1.0298507462686499</v>
      </c>
      <c r="CZ24" t="s">
        <v>85</v>
      </c>
      <c r="DA24">
        <v>2</v>
      </c>
      <c r="DB24">
        <v>1.0228215767634801</v>
      </c>
      <c r="DC24" t="s">
        <v>85</v>
      </c>
      <c r="DD24">
        <v>2</v>
      </c>
      <c r="DE24">
        <v>1.05679513184584</v>
      </c>
      <c r="DF24" t="s">
        <v>85</v>
      </c>
      <c r="DG24">
        <v>2</v>
      </c>
      <c r="DH24">
        <v>1.0921305182341601</v>
      </c>
    </row>
    <row r="25" spans="1:112" x14ac:dyDescent="0.4">
      <c r="A25">
        <v>23</v>
      </c>
      <c r="B25" t="s">
        <v>85</v>
      </c>
      <c r="C25">
        <v>2</v>
      </c>
      <c r="D25">
        <v>1.3167701863354</v>
      </c>
      <c r="E25" t="s">
        <v>98</v>
      </c>
      <c r="F25">
        <v>2</v>
      </c>
      <c r="G25">
        <v>0.824824824824824</v>
      </c>
      <c r="H25" t="s">
        <v>85</v>
      </c>
      <c r="I25">
        <v>2</v>
      </c>
      <c r="J25">
        <v>0.71570576540755404</v>
      </c>
      <c r="K25" t="s">
        <v>79</v>
      </c>
      <c r="L25">
        <v>1</v>
      </c>
      <c r="M25">
        <v>0.92230576441102696</v>
      </c>
      <c r="N25" t="s">
        <v>78</v>
      </c>
      <c r="O25">
        <v>2</v>
      </c>
      <c r="P25">
        <v>1.19542253521126</v>
      </c>
      <c r="Q25" t="s">
        <v>85</v>
      </c>
      <c r="R25">
        <v>2</v>
      </c>
      <c r="S25">
        <v>1.0675241157556199</v>
      </c>
      <c r="T25" t="s">
        <v>99</v>
      </c>
      <c r="U25">
        <v>3</v>
      </c>
      <c r="V25">
        <v>0.96556291390728399</v>
      </c>
      <c r="W25" t="s">
        <v>87</v>
      </c>
      <c r="X25">
        <v>3</v>
      </c>
      <c r="Y25">
        <v>1.28440366972477</v>
      </c>
      <c r="Z25" t="s">
        <v>90</v>
      </c>
      <c r="AA25">
        <v>3</v>
      </c>
      <c r="AB25">
        <v>0.92635658914728602</v>
      </c>
      <c r="AC25" t="s">
        <v>86</v>
      </c>
      <c r="AD25">
        <v>3</v>
      </c>
      <c r="AE25">
        <v>0.938322938322938</v>
      </c>
      <c r="AF25" t="s">
        <v>87</v>
      </c>
      <c r="AG25">
        <v>3</v>
      </c>
      <c r="AH25">
        <v>0.91682242990654195</v>
      </c>
      <c r="AI25" t="s">
        <v>73</v>
      </c>
      <c r="AJ25">
        <v>1</v>
      </c>
      <c r="AK25">
        <v>1.2526123606417201</v>
      </c>
      <c r="AL25" t="s">
        <v>91</v>
      </c>
      <c r="AM25">
        <v>3</v>
      </c>
      <c r="AN25">
        <v>1.0430444548921201</v>
      </c>
      <c r="AO25" t="s">
        <v>100</v>
      </c>
      <c r="AP25">
        <v>2</v>
      </c>
      <c r="AQ25">
        <v>0.93361165684348302</v>
      </c>
      <c r="AR25" t="s">
        <v>91</v>
      </c>
      <c r="AS25">
        <v>3</v>
      </c>
      <c r="AT25">
        <v>0.93833196958508702</v>
      </c>
      <c r="AU25" t="s">
        <v>91</v>
      </c>
      <c r="AV25">
        <v>3</v>
      </c>
      <c r="AW25">
        <v>1.0859476359614599</v>
      </c>
      <c r="AX25" t="s">
        <v>86</v>
      </c>
      <c r="AY25">
        <v>3</v>
      </c>
      <c r="AZ25">
        <v>0.82431722689075604</v>
      </c>
      <c r="BA25" t="s">
        <v>89</v>
      </c>
      <c r="BB25">
        <v>3</v>
      </c>
      <c r="BC25">
        <v>0.98542274052478096</v>
      </c>
      <c r="BD25" t="s">
        <v>92</v>
      </c>
      <c r="BE25">
        <v>2</v>
      </c>
      <c r="BF25">
        <v>1.0504201680672201</v>
      </c>
      <c r="BG25" t="s">
        <v>85</v>
      </c>
      <c r="BH25">
        <v>2</v>
      </c>
      <c r="BI25">
        <v>1.28406909788867</v>
      </c>
      <c r="BJ25" t="s">
        <v>86</v>
      </c>
      <c r="BK25">
        <v>3</v>
      </c>
      <c r="BL25">
        <v>1.21976107516177</v>
      </c>
      <c r="BM25" t="s">
        <v>73</v>
      </c>
      <c r="BN25">
        <v>2</v>
      </c>
      <c r="BO25">
        <v>1.04384262526464</v>
      </c>
      <c r="BP25" t="s">
        <v>80</v>
      </c>
      <c r="BQ25">
        <v>3</v>
      </c>
      <c r="BR25">
        <v>0.84333333333333305</v>
      </c>
      <c r="BS25" t="s">
        <v>96</v>
      </c>
      <c r="BT25">
        <v>2</v>
      </c>
      <c r="BU25">
        <v>0.94252873563218298</v>
      </c>
      <c r="BV25" t="s">
        <v>100</v>
      </c>
      <c r="BW25">
        <v>2</v>
      </c>
      <c r="BX25">
        <v>0.966770508826583</v>
      </c>
      <c r="BY25" t="s">
        <v>91</v>
      </c>
      <c r="BZ25">
        <v>3</v>
      </c>
      <c r="CA25">
        <v>1.12314983490834</v>
      </c>
      <c r="CB25" t="s">
        <v>85</v>
      </c>
      <c r="CC25">
        <v>2</v>
      </c>
      <c r="CD25">
        <v>0.92737430167597701</v>
      </c>
      <c r="CE25" t="s">
        <v>80</v>
      </c>
      <c r="CF25">
        <v>3</v>
      </c>
      <c r="CG25">
        <v>1.26595744680851</v>
      </c>
      <c r="CH25" t="s">
        <v>85</v>
      </c>
      <c r="CI25">
        <v>2</v>
      </c>
      <c r="CJ25">
        <v>1.2175792507204599</v>
      </c>
      <c r="CK25" t="s">
        <v>92</v>
      </c>
      <c r="CL25">
        <v>2</v>
      </c>
      <c r="CM25">
        <v>0.86307053941908696</v>
      </c>
      <c r="CN25" t="s">
        <v>91</v>
      </c>
      <c r="CO25">
        <v>3</v>
      </c>
      <c r="CP25">
        <v>0.88694961722272903</v>
      </c>
      <c r="CQ25" t="s">
        <v>91</v>
      </c>
      <c r="CR25">
        <v>3</v>
      </c>
      <c r="CS25">
        <v>1.02486360488488</v>
      </c>
      <c r="CT25" t="s">
        <v>98</v>
      </c>
      <c r="CU25">
        <v>2</v>
      </c>
      <c r="CV25">
        <v>1.0077519379844899</v>
      </c>
      <c r="CW25" t="s">
        <v>101</v>
      </c>
      <c r="CX25">
        <v>2</v>
      </c>
      <c r="CY25">
        <v>0.86819484240687606</v>
      </c>
      <c r="CZ25" t="s">
        <v>95</v>
      </c>
      <c r="DA25">
        <v>3</v>
      </c>
      <c r="DB25">
        <v>0.40769230769230702</v>
      </c>
      <c r="DC25" t="s">
        <v>92</v>
      </c>
      <c r="DD25">
        <v>3</v>
      </c>
      <c r="DE25">
        <v>1.03205791106515</v>
      </c>
      <c r="DF25" t="s">
        <v>92</v>
      </c>
      <c r="DG25">
        <v>3</v>
      </c>
      <c r="DH25">
        <v>1.1973947895791499</v>
      </c>
    </row>
    <row r="26" spans="1:112" x14ac:dyDescent="0.4">
      <c r="A26">
        <v>24</v>
      </c>
      <c r="B26" t="s">
        <v>89</v>
      </c>
      <c r="C26">
        <v>3</v>
      </c>
      <c r="D26">
        <v>0.94712643678160902</v>
      </c>
      <c r="E26" t="s">
        <v>103</v>
      </c>
      <c r="F26">
        <v>2</v>
      </c>
      <c r="G26">
        <v>0.53317535545023698</v>
      </c>
      <c r="H26" t="s">
        <v>89</v>
      </c>
      <c r="I26">
        <v>3</v>
      </c>
      <c r="J26">
        <v>0.64090909090908998</v>
      </c>
      <c r="K26" t="s">
        <v>86</v>
      </c>
      <c r="L26">
        <v>3</v>
      </c>
      <c r="M26">
        <v>1.1191675058744499</v>
      </c>
      <c r="N26" t="s">
        <v>73</v>
      </c>
      <c r="O26">
        <v>1</v>
      </c>
      <c r="P26">
        <v>1.3784790481117399</v>
      </c>
      <c r="Q26" t="s">
        <v>95</v>
      </c>
      <c r="R26">
        <v>2</v>
      </c>
      <c r="S26">
        <v>1.0042923028018</v>
      </c>
      <c r="T26" t="s">
        <v>87</v>
      </c>
      <c r="U26">
        <v>3</v>
      </c>
      <c r="V26">
        <v>0.99492900608519197</v>
      </c>
      <c r="W26" t="s">
        <v>85</v>
      </c>
      <c r="X26">
        <v>2</v>
      </c>
      <c r="Y26">
        <v>1.1048951048950999</v>
      </c>
      <c r="Z26" t="s">
        <v>87</v>
      </c>
      <c r="AA26">
        <v>3</v>
      </c>
      <c r="AB26">
        <v>0.82142857142857095</v>
      </c>
      <c r="AC26" t="s">
        <v>87</v>
      </c>
      <c r="AD26">
        <v>3</v>
      </c>
      <c r="AE26">
        <v>1.03381642512077</v>
      </c>
      <c r="AF26" t="s">
        <v>85</v>
      </c>
      <c r="AG26">
        <v>2</v>
      </c>
      <c r="AH26">
        <v>1.52272727272727</v>
      </c>
      <c r="AI26" t="s">
        <v>80</v>
      </c>
      <c r="AJ26">
        <v>2</v>
      </c>
      <c r="AK26">
        <v>0.952380952380952</v>
      </c>
      <c r="AL26" t="s">
        <v>100</v>
      </c>
      <c r="AM26">
        <v>2</v>
      </c>
      <c r="AN26">
        <v>1.1456438150614201</v>
      </c>
      <c r="AO26" t="s">
        <v>84</v>
      </c>
      <c r="AP26">
        <v>2</v>
      </c>
      <c r="AQ26">
        <v>1.48</v>
      </c>
      <c r="AR26" t="s">
        <v>100</v>
      </c>
      <c r="AS26">
        <v>2</v>
      </c>
      <c r="AT26">
        <v>0.72358614642700503</v>
      </c>
      <c r="AU26" t="s">
        <v>100</v>
      </c>
      <c r="AV26">
        <v>2</v>
      </c>
      <c r="AW26">
        <v>1.07864283550439</v>
      </c>
      <c r="AX26" t="s">
        <v>89</v>
      </c>
      <c r="AY26">
        <v>3</v>
      </c>
      <c r="AZ26">
        <v>1.0178041543026699</v>
      </c>
      <c r="BA26" t="s">
        <v>92</v>
      </c>
      <c r="BB26">
        <v>2</v>
      </c>
      <c r="BC26">
        <v>0.94071146245059201</v>
      </c>
      <c r="BD26" t="s">
        <v>100</v>
      </c>
      <c r="BE26">
        <v>2</v>
      </c>
      <c r="BF26">
        <v>1.3945317436912801</v>
      </c>
      <c r="BG26" t="s">
        <v>89</v>
      </c>
      <c r="BH26">
        <v>3</v>
      </c>
      <c r="BI26">
        <v>1.0505319148936101</v>
      </c>
      <c r="BJ26" t="s">
        <v>85</v>
      </c>
      <c r="BK26">
        <v>2</v>
      </c>
      <c r="BL26">
        <v>1</v>
      </c>
      <c r="BM26" t="s">
        <v>83</v>
      </c>
      <c r="BN26">
        <v>2</v>
      </c>
      <c r="BO26">
        <v>0.85240305843801201</v>
      </c>
      <c r="BP26" t="s">
        <v>86</v>
      </c>
      <c r="BQ26">
        <v>3</v>
      </c>
      <c r="BR26">
        <v>0.78828571428571403</v>
      </c>
      <c r="BS26" t="s">
        <v>91</v>
      </c>
      <c r="BT26">
        <v>3</v>
      </c>
      <c r="BU26">
        <v>1.3299957930163999</v>
      </c>
      <c r="BV26" t="s">
        <v>98</v>
      </c>
      <c r="BW26">
        <v>2</v>
      </c>
      <c r="BX26">
        <v>1.0762499999999999</v>
      </c>
      <c r="BY26" t="s">
        <v>100</v>
      </c>
      <c r="BZ26">
        <v>3</v>
      </c>
      <c r="CA26">
        <v>1.04189044038668</v>
      </c>
      <c r="CB26" t="s">
        <v>89</v>
      </c>
      <c r="CC26">
        <v>3</v>
      </c>
      <c r="CD26">
        <v>1.08070866141732</v>
      </c>
      <c r="CE26" t="s">
        <v>85</v>
      </c>
      <c r="CF26">
        <v>2</v>
      </c>
      <c r="CG26">
        <v>1.0451807228915599</v>
      </c>
      <c r="CH26" t="s">
        <v>89</v>
      </c>
      <c r="CI26">
        <v>3</v>
      </c>
      <c r="CJ26">
        <v>1.2068965517241299</v>
      </c>
      <c r="CK26" t="s">
        <v>101</v>
      </c>
      <c r="CL26">
        <v>3</v>
      </c>
      <c r="CM26">
        <v>1.8040540540540499</v>
      </c>
      <c r="CN26" t="s">
        <v>98</v>
      </c>
      <c r="CO26">
        <v>2</v>
      </c>
      <c r="CP26">
        <v>0.96275605214152704</v>
      </c>
      <c r="CQ26" t="s">
        <v>98</v>
      </c>
      <c r="CR26">
        <v>2</v>
      </c>
      <c r="CS26">
        <v>0.99806576402321001</v>
      </c>
      <c r="CT26" t="s">
        <v>88</v>
      </c>
      <c r="CU26">
        <v>1</v>
      </c>
      <c r="CV26">
        <v>1.03523489932885</v>
      </c>
      <c r="CW26" t="s">
        <v>91</v>
      </c>
      <c r="CX26">
        <v>3</v>
      </c>
      <c r="CY26">
        <v>0.97115525642488099</v>
      </c>
      <c r="CZ26" t="s">
        <v>92</v>
      </c>
      <c r="DA26">
        <v>3</v>
      </c>
      <c r="DB26">
        <v>0.934299516908212</v>
      </c>
      <c r="DC26" t="s">
        <v>91</v>
      </c>
      <c r="DD26">
        <v>3</v>
      </c>
      <c r="DE26">
        <v>1.0220125786163501</v>
      </c>
      <c r="DF26" t="s">
        <v>91</v>
      </c>
      <c r="DG26">
        <v>3</v>
      </c>
      <c r="DH26">
        <v>0.98327759197324405</v>
      </c>
    </row>
    <row r="27" spans="1:112" x14ac:dyDescent="0.4">
      <c r="A27">
        <v>25</v>
      </c>
      <c r="B27" t="s">
        <v>91</v>
      </c>
      <c r="C27">
        <v>2</v>
      </c>
      <c r="D27">
        <v>1.03947330509695</v>
      </c>
      <c r="E27" t="s">
        <v>105</v>
      </c>
      <c r="F27">
        <v>3</v>
      </c>
      <c r="G27">
        <v>1.05862068965517</v>
      </c>
      <c r="H27" t="s">
        <v>95</v>
      </c>
      <c r="I27">
        <v>2</v>
      </c>
      <c r="J27">
        <v>0.30661073454641702</v>
      </c>
      <c r="K27" t="s">
        <v>94</v>
      </c>
      <c r="L27">
        <v>2</v>
      </c>
      <c r="M27">
        <v>0.75675675675675602</v>
      </c>
      <c r="N27" t="s">
        <v>80</v>
      </c>
      <c r="O27">
        <v>2</v>
      </c>
      <c r="P27">
        <v>1.75</v>
      </c>
      <c r="Q27" t="s">
        <v>91</v>
      </c>
      <c r="R27">
        <v>2</v>
      </c>
      <c r="S27">
        <v>0.99207479018378797</v>
      </c>
      <c r="T27" t="s">
        <v>85</v>
      </c>
      <c r="U27">
        <v>2</v>
      </c>
      <c r="V27">
        <v>0.86144578313252995</v>
      </c>
      <c r="W27" t="s">
        <v>95</v>
      </c>
      <c r="X27">
        <v>2</v>
      </c>
      <c r="Y27">
        <v>0.95239221170018296</v>
      </c>
      <c r="Z27" t="s">
        <v>85</v>
      </c>
      <c r="AA27">
        <v>2</v>
      </c>
      <c r="AB27">
        <v>1.12658227848101</v>
      </c>
      <c r="AC27" t="s">
        <v>85</v>
      </c>
      <c r="AD27">
        <v>2</v>
      </c>
      <c r="AE27">
        <v>1.2359550561797701</v>
      </c>
      <c r="AF27" t="s">
        <v>81</v>
      </c>
      <c r="AG27">
        <v>2</v>
      </c>
      <c r="AH27">
        <v>0.98601151550684696</v>
      </c>
      <c r="AI27" t="s">
        <v>90</v>
      </c>
      <c r="AJ27">
        <v>3</v>
      </c>
      <c r="AK27">
        <v>0.71692607003890996</v>
      </c>
      <c r="AL27" t="s">
        <v>84</v>
      </c>
      <c r="AM27">
        <v>2</v>
      </c>
      <c r="AN27">
        <v>1.4184397163120499</v>
      </c>
      <c r="AO27" t="s">
        <v>98</v>
      </c>
      <c r="AP27">
        <v>2</v>
      </c>
      <c r="AQ27">
        <v>0.94207317073170704</v>
      </c>
      <c r="AR27" t="s">
        <v>98</v>
      </c>
      <c r="AS27">
        <v>2</v>
      </c>
      <c r="AT27">
        <v>0.88187702265372103</v>
      </c>
      <c r="AU27" t="s">
        <v>84</v>
      </c>
      <c r="AV27">
        <v>2</v>
      </c>
      <c r="AW27">
        <v>1.14229249011857</v>
      </c>
      <c r="AX27" t="s">
        <v>92</v>
      </c>
      <c r="AY27">
        <v>2</v>
      </c>
      <c r="AZ27">
        <v>0.80573248407643305</v>
      </c>
      <c r="BA27" t="s">
        <v>91</v>
      </c>
      <c r="BB27">
        <v>3</v>
      </c>
      <c r="BC27">
        <v>0.92765395631936898</v>
      </c>
      <c r="BD27" t="s">
        <v>98</v>
      </c>
      <c r="BE27">
        <v>2</v>
      </c>
      <c r="BF27">
        <v>1.13403880070546</v>
      </c>
      <c r="BG27" t="s">
        <v>92</v>
      </c>
      <c r="BH27">
        <v>2</v>
      </c>
      <c r="BI27">
        <v>1.1040000000000001</v>
      </c>
      <c r="BJ27" t="s">
        <v>89</v>
      </c>
      <c r="BK27">
        <v>3</v>
      </c>
      <c r="BL27">
        <v>1.10126582278481</v>
      </c>
      <c r="BM27" t="s">
        <v>80</v>
      </c>
      <c r="BN27">
        <v>3</v>
      </c>
      <c r="BO27">
        <v>0.91743119266054995</v>
      </c>
      <c r="BP27" t="s">
        <v>85</v>
      </c>
      <c r="BQ27">
        <v>2</v>
      </c>
      <c r="BR27">
        <v>0.91245791245791197</v>
      </c>
      <c r="BS27" t="s">
        <v>98</v>
      </c>
      <c r="BT27">
        <v>2</v>
      </c>
      <c r="BU27">
        <v>1.03359173126614</v>
      </c>
      <c r="BV27" t="s">
        <v>110</v>
      </c>
      <c r="BW27">
        <v>3</v>
      </c>
      <c r="BX27">
        <v>1.40263157894736</v>
      </c>
      <c r="BY27" t="s">
        <v>98</v>
      </c>
      <c r="BZ27">
        <v>2</v>
      </c>
      <c r="CA27">
        <v>1.4959349593495901</v>
      </c>
      <c r="CB27" t="s">
        <v>92</v>
      </c>
      <c r="CC27">
        <v>2</v>
      </c>
      <c r="CD27">
        <v>0.86381322957198403</v>
      </c>
      <c r="CE27" t="s">
        <v>89</v>
      </c>
      <c r="CF27">
        <v>3</v>
      </c>
      <c r="CG27">
        <v>1.10928961748633</v>
      </c>
      <c r="CH27" t="s">
        <v>92</v>
      </c>
      <c r="CI27">
        <v>2</v>
      </c>
      <c r="CJ27">
        <v>1.11574074074074</v>
      </c>
      <c r="CK27" t="s">
        <v>91</v>
      </c>
      <c r="CL27">
        <v>3</v>
      </c>
      <c r="CM27">
        <v>0.79401653482424295</v>
      </c>
      <c r="CN27" t="s">
        <v>88</v>
      </c>
      <c r="CO27">
        <v>1</v>
      </c>
      <c r="CP27">
        <v>0.92846270928462704</v>
      </c>
      <c r="CQ27" t="s">
        <v>88</v>
      </c>
      <c r="CR27">
        <v>1</v>
      </c>
      <c r="CS27">
        <v>0.97704918032786803</v>
      </c>
      <c r="CT27" t="s">
        <v>105</v>
      </c>
      <c r="CU27">
        <v>3</v>
      </c>
      <c r="CV27">
        <v>0.93123772102161095</v>
      </c>
      <c r="CW27" t="s">
        <v>88</v>
      </c>
      <c r="CX27">
        <v>2</v>
      </c>
      <c r="CY27">
        <v>1.02593192868719</v>
      </c>
      <c r="CZ27" t="s">
        <v>101</v>
      </c>
      <c r="DA27">
        <v>2</v>
      </c>
      <c r="DB27">
        <v>0.98019801980197996</v>
      </c>
      <c r="DC27" t="s">
        <v>105</v>
      </c>
      <c r="DD27">
        <v>3</v>
      </c>
      <c r="DE27">
        <v>1.0185950413223099</v>
      </c>
      <c r="DF27" t="s">
        <v>105</v>
      </c>
      <c r="DG27">
        <v>3</v>
      </c>
      <c r="DH27">
        <v>1.0709939148073</v>
      </c>
    </row>
    <row r="28" spans="1:112" x14ac:dyDescent="0.4">
      <c r="A28">
        <v>26</v>
      </c>
      <c r="B28" t="s">
        <v>100</v>
      </c>
      <c r="C28">
        <v>2</v>
      </c>
      <c r="D28">
        <v>1.14358650757228</v>
      </c>
      <c r="E28" t="s">
        <v>107</v>
      </c>
      <c r="F28">
        <v>2</v>
      </c>
      <c r="G28">
        <v>0.42406417112299399</v>
      </c>
      <c r="H28" t="s">
        <v>91</v>
      </c>
      <c r="I28">
        <v>3</v>
      </c>
      <c r="J28">
        <v>0.73854190251317997</v>
      </c>
      <c r="K28" t="s">
        <v>85</v>
      </c>
      <c r="L28">
        <v>2</v>
      </c>
      <c r="M28">
        <v>0.80555555555555503</v>
      </c>
      <c r="N28" t="s">
        <v>79</v>
      </c>
      <c r="O28">
        <v>1</v>
      </c>
      <c r="P28">
        <v>1.2459239130434701</v>
      </c>
      <c r="Q28" t="s">
        <v>100</v>
      </c>
      <c r="R28">
        <v>2</v>
      </c>
      <c r="S28">
        <v>1.1547589616810801</v>
      </c>
      <c r="T28" t="s">
        <v>95</v>
      </c>
      <c r="U28">
        <v>2</v>
      </c>
      <c r="V28">
        <v>0.95726484391301403</v>
      </c>
      <c r="W28" t="s">
        <v>92</v>
      </c>
      <c r="X28">
        <v>2</v>
      </c>
      <c r="Y28">
        <v>1.1198830409356699</v>
      </c>
      <c r="Z28" t="s">
        <v>89</v>
      </c>
      <c r="AA28">
        <v>3</v>
      </c>
      <c r="AB28">
        <v>1.03157894736842</v>
      </c>
      <c r="AC28" t="s">
        <v>89</v>
      </c>
      <c r="AD28">
        <v>3</v>
      </c>
      <c r="AE28">
        <v>0.91496598639455695</v>
      </c>
      <c r="AF28" t="s">
        <v>95</v>
      </c>
      <c r="AG28">
        <v>2</v>
      </c>
      <c r="AH28">
        <v>1.1428575793127</v>
      </c>
      <c r="AI28" t="s">
        <v>86</v>
      </c>
      <c r="AJ28">
        <v>3</v>
      </c>
      <c r="AK28">
        <v>1.00162127107652</v>
      </c>
      <c r="AL28" t="s">
        <v>98</v>
      </c>
      <c r="AM28">
        <v>2</v>
      </c>
      <c r="AN28">
        <v>0.92134831460674105</v>
      </c>
      <c r="AO28" t="s">
        <v>88</v>
      </c>
      <c r="AP28">
        <v>1</v>
      </c>
      <c r="AQ28">
        <v>0.99137931034482696</v>
      </c>
      <c r="AR28" t="s">
        <v>88</v>
      </c>
      <c r="AS28">
        <v>1</v>
      </c>
      <c r="AT28">
        <v>0.89565217391304297</v>
      </c>
      <c r="AU28" t="s">
        <v>98</v>
      </c>
      <c r="AV28">
        <v>2</v>
      </c>
      <c r="AW28">
        <v>1.1522935779816501</v>
      </c>
      <c r="AX28" t="s">
        <v>91</v>
      </c>
      <c r="AY28">
        <v>3</v>
      </c>
      <c r="AZ28">
        <v>0.87523992322456801</v>
      </c>
      <c r="BA28" t="s">
        <v>100</v>
      </c>
      <c r="BB28">
        <v>2</v>
      </c>
      <c r="BC28">
        <v>1.83509856977193</v>
      </c>
      <c r="BD28" t="s">
        <v>88</v>
      </c>
      <c r="BE28">
        <v>1</v>
      </c>
      <c r="BF28">
        <v>0.87605932203389802</v>
      </c>
      <c r="BG28" t="s">
        <v>98</v>
      </c>
      <c r="BH28">
        <v>2</v>
      </c>
      <c r="BI28">
        <v>1.0948678071539599</v>
      </c>
      <c r="BJ28" t="s">
        <v>92</v>
      </c>
      <c r="BK28">
        <v>2</v>
      </c>
      <c r="BL28">
        <v>0.92753623188405798</v>
      </c>
      <c r="BM28" t="s">
        <v>85</v>
      </c>
      <c r="BN28">
        <v>2</v>
      </c>
      <c r="BO28">
        <v>0.88789237668161403</v>
      </c>
      <c r="BP28" t="s">
        <v>89</v>
      </c>
      <c r="BQ28">
        <v>3</v>
      </c>
      <c r="BR28">
        <v>0.99736842105263102</v>
      </c>
      <c r="BS28" t="s">
        <v>88</v>
      </c>
      <c r="BT28">
        <v>1</v>
      </c>
      <c r="BU28">
        <v>1.11512717536813</v>
      </c>
      <c r="BV28" t="s">
        <v>105</v>
      </c>
      <c r="BW28">
        <v>3</v>
      </c>
      <c r="BX28">
        <v>1.1903726573031199</v>
      </c>
      <c r="BY28" t="s">
        <v>105</v>
      </c>
      <c r="BZ28">
        <v>3</v>
      </c>
      <c r="CA28">
        <v>1.10093150684931</v>
      </c>
      <c r="CB28" t="s">
        <v>91</v>
      </c>
      <c r="CC28">
        <v>3</v>
      </c>
      <c r="CD28">
        <v>1.01203796393679</v>
      </c>
      <c r="CE28" t="s">
        <v>92</v>
      </c>
      <c r="CF28">
        <v>2</v>
      </c>
      <c r="CG28">
        <v>0.97297297297297303</v>
      </c>
      <c r="CH28" t="s">
        <v>101</v>
      </c>
      <c r="CI28">
        <v>3</v>
      </c>
      <c r="CJ28">
        <v>1.0647482014388401</v>
      </c>
      <c r="CK28" t="s">
        <v>98</v>
      </c>
      <c r="CL28">
        <v>2</v>
      </c>
      <c r="CM28">
        <v>0.91638225255972605</v>
      </c>
      <c r="CN28" t="s">
        <v>103</v>
      </c>
      <c r="CO28">
        <v>3</v>
      </c>
      <c r="CP28">
        <v>1.0132850241545801</v>
      </c>
      <c r="CQ28" t="s">
        <v>103</v>
      </c>
      <c r="CR28">
        <v>3</v>
      </c>
      <c r="CS28">
        <v>0.85220500595947501</v>
      </c>
      <c r="CT28" t="s">
        <v>108</v>
      </c>
      <c r="CU28">
        <v>3</v>
      </c>
      <c r="CV28">
        <v>1.03993344425956</v>
      </c>
      <c r="CW28" t="s">
        <v>107</v>
      </c>
      <c r="CX28">
        <v>3</v>
      </c>
      <c r="CY28">
        <v>1.1298701298701299</v>
      </c>
      <c r="CZ28" t="s">
        <v>91</v>
      </c>
      <c r="DA28">
        <v>3</v>
      </c>
      <c r="DB28">
        <v>0.98186028560401395</v>
      </c>
      <c r="DC28" t="s">
        <v>108</v>
      </c>
      <c r="DD28">
        <v>3</v>
      </c>
      <c r="DE28">
        <v>1.00329489291598</v>
      </c>
      <c r="DF28" t="s">
        <v>107</v>
      </c>
      <c r="DG28">
        <v>3</v>
      </c>
      <c r="DH28">
        <v>1.2279635258358601</v>
      </c>
    </row>
    <row r="29" spans="1:112" x14ac:dyDescent="0.4">
      <c r="A29">
        <v>27</v>
      </c>
      <c r="B29" t="s">
        <v>98</v>
      </c>
      <c r="C29">
        <v>2</v>
      </c>
      <c r="D29">
        <v>0.82561983471074296</v>
      </c>
      <c r="E29" t="s">
        <v>108</v>
      </c>
      <c r="F29">
        <v>2</v>
      </c>
      <c r="G29">
        <v>0.50769197102654395</v>
      </c>
      <c r="H29" t="s">
        <v>84</v>
      </c>
      <c r="I29">
        <v>2</v>
      </c>
      <c r="J29">
        <v>0.57900432900432897</v>
      </c>
      <c r="K29" t="s">
        <v>81</v>
      </c>
      <c r="L29">
        <v>1</v>
      </c>
      <c r="M29">
        <v>0.92483612775641999</v>
      </c>
      <c r="N29" t="s">
        <v>85</v>
      </c>
      <c r="O29">
        <v>2</v>
      </c>
      <c r="P29">
        <v>1.0724137931034401</v>
      </c>
      <c r="Q29" t="s">
        <v>84</v>
      </c>
      <c r="R29">
        <v>2</v>
      </c>
      <c r="S29">
        <v>1.20341614906832</v>
      </c>
      <c r="T29" t="s">
        <v>91</v>
      </c>
      <c r="U29">
        <v>2</v>
      </c>
      <c r="V29">
        <v>0.91317570461749298</v>
      </c>
      <c r="W29" t="s">
        <v>84</v>
      </c>
      <c r="X29">
        <v>2</v>
      </c>
      <c r="Y29">
        <v>0.92277486910994699</v>
      </c>
      <c r="Z29" t="s">
        <v>95</v>
      </c>
      <c r="AA29">
        <v>2</v>
      </c>
      <c r="AB29">
        <v>0.67303104476917097</v>
      </c>
      <c r="AC29" t="s">
        <v>95</v>
      </c>
      <c r="AD29">
        <v>2</v>
      </c>
      <c r="AE29">
        <v>0.94326224783861601</v>
      </c>
      <c r="AF29" t="s">
        <v>92</v>
      </c>
      <c r="AG29">
        <v>2</v>
      </c>
      <c r="AH29">
        <v>1.0739644970414199</v>
      </c>
      <c r="AI29" t="s">
        <v>87</v>
      </c>
      <c r="AJ29">
        <v>3</v>
      </c>
      <c r="AK29">
        <v>0.81957186544342497</v>
      </c>
      <c r="AL29" t="s">
        <v>88</v>
      </c>
      <c r="AM29">
        <v>1</v>
      </c>
      <c r="AN29">
        <v>1.0043290043290001</v>
      </c>
      <c r="AO29" t="s">
        <v>103</v>
      </c>
      <c r="AP29">
        <v>3</v>
      </c>
      <c r="AQ29">
        <v>0.97883597883597795</v>
      </c>
      <c r="AR29" t="s">
        <v>105</v>
      </c>
      <c r="AS29">
        <v>2</v>
      </c>
      <c r="AT29">
        <v>0.66665359733385599</v>
      </c>
      <c r="AU29" t="s">
        <v>88</v>
      </c>
      <c r="AV29">
        <v>1</v>
      </c>
      <c r="AW29">
        <v>1.0436893203883399</v>
      </c>
      <c r="AX29" t="s">
        <v>100</v>
      </c>
      <c r="AY29">
        <v>2</v>
      </c>
      <c r="AZ29">
        <v>0.72656293883053402</v>
      </c>
      <c r="BA29" t="s">
        <v>98</v>
      </c>
      <c r="BB29">
        <v>2</v>
      </c>
      <c r="BC29">
        <v>0.99125874125874103</v>
      </c>
      <c r="BD29" t="s">
        <v>105</v>
      </c>
      <c r="BE29">
        <v>3</v>
      </c>
      <c r="BF29">
        <v>1.2342019723431199</v>
      </c>
      <c r="BG29" t="s">
        <v>88</v>
      </c>
      <c r="BH29">
        <v>1</v>
      </c>
      <c r="BI29">
        <v>0.96614268440145101</v>
      </c>
      <c r="BJ29" t="s">
        <v>96</v>
      </c>
      <c r="BK29">
        <v>2</v>
      </c>
      <c r="BL29">
        <v>0.92407407407407405</v>
      </c>
      <c r="BM29" t="s">
        <v>89</v>
      </c>
      <c r="BN29">
        <v>3</v>
      </c>
      <c r="BO29">
        <v>0.87356321839080397</v>
      </c>
      <c r="BP29" t="s">
        <v>92</v>
      </c>
      <c r="BQ29">
        <v>2</v>
      </c>
      <c r="BR29">
        <v>0.95327102803738295</v>
      </c>
      <c r="BS29" t="s">
        <v>105</v>
      </c>
      <c r="BT29">
        <v>3</v>
      </c>
      <c r="BU29">
        <v>0.96780574025755395</v>
      </c>
      <c r="BV29" t="s">
        <v>108</v>
      </c>
      <c r="BW29">
        <v>3</v>
      </c>
      <c r="BX29">
        <v>1.12379807692307</v>
      </c>
      <c r="BY29" t="s">
        <v>108</v>
      </c>
      <c r="BZ29">
        <v>3</v>
      </c>
      <c r="CA29">
        <v>1.0951871657754</v>
      </c>
      <c r="CB29" t="s">
        <v>100</v>
      </c>
      <c r="CC29">
        <v>3</v>
      </c>
      <c r="CD29">
        <v>1.4350515463917499</v>
      </c>
      <c r="CE29" t="s">
        <v>101</v>
      </c>
      <c r="CF29">
        <v>3</v>
      </c>
      <c r="CG29">
        <v>1.48345784418356</v>
      </c>
      <c r="CH29" t="s">
        <v>91</v>
      </c>
      <c r="CI29">
        <v>3</v>
      </c>
      <c r="CJ29">
        <v>1.0495268296336899</v>
      </c>
      <c r="CK29" t="s">
        <v>103</v>
      </c>
      <c r="CL29">
        <v>3</v>
      </c>
      <c r="CM29">
        <v>0.99161676646706498</v>
      </c>
      <c r="CN29" t="s">
        <v>105</v>
      </c>
      <c r="CO29">
        <v>3</v>
      </c>
      <c r="CP29">
        <v>0.86575875486381304</v>
      </c>
      <c r="CQ29" t="s">
        <v>105</v>
      </c>
      <c r="CR29">
        <v>3</v>
      </c>
      <c r="CS29">
        <v>1.1438202247191001</v>
      </c>
      <c r="CT29" t="s">
        <v>97</v>
      </c>
      <c r="CU29">
        <v>3</v>
      </c>
      <c r="CV29">
        <v>1.0983606557376999</v>
      </c>
      <c r="CW29" t="s">
        <v>108</v>
      </c>
      <c r="CX29">
        <v>3</v>
      </c>
      <c r="CY29">
        <v>1.08</v>
      </c>
      <c r="CZ29" t="s">
        <v>88</v>
      </c>
      <c r="DA29">
        <v>2</v>
      </c>
      <c r="DB29">
        <v>1.0742496050552901</v>
      </c>
      <c r="DC29" t="s">
        <v>97</v>
      </c>
      <c r="DD29">
        <v>3</v>
      </c>
      <c r="DE29">
        <v>1.0090909090908999</v>
      </c>
      <c r="DF29" t="s">
        <v>108</v>
      </c>
      <c r="DG29">
        <v>3</v>
      </c>
      <c r="DH29">
        <v>1.12972085385878</v>
      </c>
    </row>
    <row r="30" spans="1:112" x14ac:dyDescent="0.4">
      <c r="A30">
        <v>28</v>
      </c>
      <c r="B30" t="s">
        <v>103</v>
      </c>
      <c r="C30">
        <v>2</v>
      </c>
      <c r="D30">
        <v>1.08762886597938</v>
      </c>
      <c r="E30" t="s">
        <v>97</v>
      </c>
      <c r="F30">
        <v>2</v>
      </c>
      <c r="G30">
        <v>0.96933560477001701</v>
      </c>
      <c r="H30" t="s">
        <v>98</v>
      </c>
      <c r="I30">
        <v>2</v>
      </c>
      <c r="J30">
        <v>0.55339805825242705</v>
      </c>
      <c r="K30" t="s">
        <v>93</v>
      </c>
      <c r="L30">
        <v>1</v>
      </c>
      <c r="M30">
        <v>0.81297709923664097</v>
      </c>
      <c r="N30" t="s">
        <v>81</v>
      </c>
      <c r="O30">
        <v>1</v>
      </c>
      <c r="P30">
        <v>1.5583046848358</v>
      </c>
      <c r="Q30" t="s">
        <v>98</v>
      </c>
      <c r="R30">
        <v>2</v>
      </c>
      <c r="S30">
        <v>1.0484927916120499</v>
      </c>
      <c r="T30" t="s">
        <v>100</v>
      </c>
      <c r="U30">
        <v>2</v>
      </c>
      <c r="V30">
        <v>1.1414044101905301</v>
      </c>
      <c r="W30" t="s">
        <v>98</v>
      </c>
      <c r="X30">
        <v>2</v>
      </c>
      <c r="Y30">
        <v>1.1209439528023599</v>
      </c>
      <c r="Z30" t="s">
        <v>91</v>
      </c>
      <c r="AA30">
        <v>2</v>
      </c>
      <c r="AB30">
        <v>1.13267080212067</v>
      </c>
      <c r="AC30" t="s">
        <v>91</v>
      </c>
      <c r="AD30">
        <v>3</v>
      </c>
      <c r="AE30">
        <v>1.04142505211294</v>
      </c>
      <c r="AF30" t="s">
        <v>91</v>
      </c>
      <c r="AG30">
        <v>3</v>
      </c>
      <c r="AH30">
        <v>1.01730475289322</v>
      </c>
      <c r="AI30" t="s">
        <v>89</v>
      </c>
      <c r="AJ30">
        <v>3</v>
      </c>
      <c r="AK30">
        <v>1.0170648464163801</v>
      </c>
      <c r="AL30" t="s">
        <v>103</v>
      </c>
      <c r="AM30">
        <v>3</v>
      </c>
      <c r="AN30">
        <v>0.84187082405345204</v>
      </c>
      <c r="AO30" t="s">
        <v>105</v>
      </c>
      <c r="AP30">
        <v>2</v>
      </c>
      <c r="AQ30">
        <v>1.35744318484219</v>
      </c>
      <c r="AR30" t="s">
        <v>108</v>
      </c>
      <c r="AS30">
        <v>3</v>
      </c>
      <c r="AT30">
        <v>0.90589887640449396</v>
      </c>
      <c r="AU30" t="s">
        <v>105</v>
      </c>
      <c r="AV30">
        <v>2</v>
      </c>
      <c r="AW30">
        <v>1.1225077927424501</v>
      </c>
      <c r="AX30" t="s">
        <v>84</v>
      </c>
      <c r="AY30">
        <v>2</v>
      </c>
      <c r="AZ30">
        <v>1.26989619377162</v>
      </c>
      <c r="BA30" t="s">
        <v>88</v>
      </c>
      <c r="BB30">
        <v>1</v>
      </c>
      <c r="BC30">
        <v>1.11848341232227</v>
      </c>
      <c r="BD30" t="s">
        <v>108</v>
      </c>
      <c r="BE30">
        <v>3</v>
      </c>
      <c r="BF30">
        <v>0.97605633802816905</v>
      </c>
      <c r="BG30" t="s">
        <v>105</v>
      </c>
      <c r="BH30">
        <v>3</v>
      </c>
      <c r="BI30">
        <v>1.07021694491563</v>
      </c>
      <c r="BJ30" t="s">
        <v>98</v>
      </c>
      <c r="BK30">
        <v>2</v>
      </c>
      <c r="BL30">
        <v>1.1235795454545401</v>
      </c>
      <c r="BM30" t="s">
        <v>92</v>
      </c>
      <c r="BN30">
        <v>2</v>
      </c>
      <c r="BO30">
        <v>0.8359375</v>
      </c>
      <c r="BP30" t="s">
        <v>96</v>
      </c>
      <c r="BQ30">
        <v>2</v>
      </c>
      <c r="BR30">
        <v>0.98988621997471504</v>
      </c>
      <c r="BS30" t="s">
        <v>108</v>
      </c>
      <c r="BT30">
        <v>3</v>
      </c>
      <c r="BU30">
        <v>1.05852417302798</v>
      </c>
      <c r="BV30" t="s">
        <v>97</v>
      </c>
      <c r="BW30">
        <v>2</v>
      </c>
      <c r="BX30">
        <v>1.3567251461988299</v>
      </c>
      <c r="BY30" t="s">
        <v>97</v>
      </c>
      <c r="BZ30">
        <v>3</v>
      </c>
      <c r="CA30">
        <v>1.1422413793103401</v>
      </c>
      <c r="CB30" t="s">
        <v>105</v>
      </c>
      <c r="CC30">
        <v>3</v>
      </c>
      <c r="CD30">
        <v>0.79690092242351795</v>
      </c>
      <c r="CE30" t="s">
        <v>91</v>
      </c>
      <c r="CF30">
        <v>3</v>
      </c>
      <c r="CG30">
        <v>1.0028923084628101</v>
      </c>
      <c r="CH30" t="s">
        <v>103</v>
      </c>
      <c r="CI30">
        <v>3</v>
      </c>
      <c r="CJ30">
        <v>1.07881136950904</v>
      </c>
      <c r="CK30" t="s">
        <v>105</v>
      </c>
      <c r="CL30">
        <v>3</v>
      </c>
      <c r="CM30">
        <v>0.90812720848056505</v>
      </c>
      <c r="CN30" t="s">
        <v>108</v>
      </c>
      <c r="CO30">
        <v>3</v>
      </c>
      <c r="CP30">
        <v>0.95294117647058796</v>
      </c>
      <c r="CQ30" t="s">
        <v>108</v>
      </c>
      <c r="CR30">
        <v>3</v>
      </c>
      <c r="CS30">
        <v>1.0599647266313901</v>
      </c>
      <c r="CT30" t="s">
        <v>112</v>
      </c>
      <c r="CU30">
        <v>2</v>
      </c>
      <c r="CV30">
        <v>1.05092592592592</v>
      </c>
      <c r="CW30" t="s">
        <v>97</v>
      </c>
      <c r="CX30">
        <v>3</v>
      </c>
      <c r="CY30">
        <v>1.02425373134328</v>
      </c>
      <c r="CZ30" t="s">
        <v>105</v>
      </c>
      <c r="DA30">
        <v>3</v>
      </c>
      <c r="DB30">
        <v>1.0146750524109001</v>
      </c>
      <c r="DC30" t="s">
        <v>112</v>
      </c>
      <c r="DD30">
        <v>3</v>
      </c>
      <c r="DE30">
        <v>0.91775700934579396</v>
      </c>
      <c r="DF30" t="s">
        <v>97</v>
      </c>
      <c r="DG30">
        <v>3</v>
      </c>
      <c r="DH30">
        <v>0.98738738738738696</v>
      </c>
    </row>
    <row r="31" spans="1:112" x14ac:dyDescent="0.4">
      <c r="A31">
        <v>29</v>
      </c>
      <c r="B31" t="s">
        <v>105</v>
      </c>
      <c r="C31">
        <v>3</v>
      </c>
      <c r="D31">
        <v>0.95341090972011899</v>
      </c>
      <c r="E31" t="s">
        <v>112</v>
      </c>
      <c r="F31">
        <v>2</v>
      </c>
      <c r="G31">
        <v>0.90327101410382504</v>
      </c>
      <c r="H31" t="s">
        <v>103</v>
      </c>
      <c r="I31">
        <v>2</v>
      </c>
      <c r="J31">
        <v>0.62577777777777699</v>
      </c>
      <c r="K31" t="s">
        <v>92</v>
      </c>
      <c r="L31">
        <v>2</v>
      </c>
      <c r="M31">
        <v>1.4183127371801101</v>
      </c>
      <c r="N31" t="s">
        <v>93</v>
      </c>
      <c r="O31">
        <v>1</v>
      </c>
      <c r="P31">
        <v>1.36619718309859</v>
      </c>
      <c r="Q31" t="s">
        <v>103</v>
      </c>
      <c r="R31">
        <v>3</v>
      </c>
      <c r="S31">
        <v>1.0216450216450199</v>
      </c>
      <c r="T31" t="s">
        <v>84</v>
      </c>
      <c r="U31">
        <v>2</v>
      </c>
      <c r="V31">
        <v>0.98580645161290303</v>
      </c>
      <c r="W31" t="s">
        <v>88</v>
      </c>
      <c r="X31">
        <v>1</v>
      </c>
      <c r="Y31">
        <v>1.0145631067961101</v>
      </c>
      <c r="Z31" t="s">
        <v>84</v>
      </c>
      <c r="AA31">
        <v>2</v>
      </c>
      <c r="AB31">
        <v>1.2368794326241099</v>
      </c>
      <c r="AC31" t="s">
        <v>100</v>
      </c>
      <c r="AD31">
        <v>2</v>
      </c>
      <c r="AE31">
        <v>1.3517150395778299</v>
      </c>
      <c r="AF31" t="s">
        <v>84</v>
      </c>
      <c r="AG31">
        <v>2</v>
      </c>
      <c r="AH31">
        <v>1.0972222222222201</v>
      </c>
      <c r="AI31" t="s">
        <v>95</v>
      </c>
      <c r="AJ31">
        <v>2</v>
      </c>
      <c r="AK31">
        <v>1.0392412135664</v>
      </c>
      <c r="AL31" t="s">
        <v>105</v>
      </c>
      <c r="AM31">
        <v>3</v>
      </c>
      <c r="AN31">
        <v>1.05615514333895</v>
      </c>
      <c r="AO31" t="s">
        <v>108</v>
      </c>
      <c r="AP31">
        <v>3</v>
      </c>
      <c r="AQ31">
        <v>0.97400820793433596</v>
      </c>
      <c r="AR31" t="s">
        <v>97</v>
      </c>
      <c r="AS31">
        <v>2</v>
      </c>
      <c r="AT31">
        <v>0.91397849462365499</v>
      </c>
      <c r="AU31" t="s">
        <v>108</v>
      </c>
      <c r="AV31">
        <v>3</v>
      </c>
      <c r="AW31">
        <v>1.2124031007751901</v>
      </c>
      <c r="AX31" t="s">
        <v>98</v>
      </c>
      <c r="AY31">
        <v>2</v>
      </c>
      <c r="AZ31">
        <v>0.91082802547770703</v>
      </c>
      <c r="BA31" t="s">
        <v>105</v>
      </c>
      <c r="BB31">
        <v>3</v>
      </c>
      <c r="BC31">
        <v>1.04148496672022</v>
      </c>
      <c r="BD31" t="s">
        <v>97</v>
      </c>
      <c r="BE31">
        <v>2</v>
      </c>
      <c r="BF31">
        <v>1.03097345132743</v>
      </c>
      <c r="BG31" t="s">
        <v>108</v>
      </c>
      <c r="BH31">
        <v>3</v>
      </c>
      <c r="BI31">
        <v>1.001443001443</v>
      </c>
      <c r="BJ31" t="s">
        <v>88</v>
      </c>
      <c r="BK31">
        <v>1</v>
      </c>
      <c r="BL31">
        <v>0.87609511889862302</v>
      </c>
      <c r="BM31" t="s">
        <v>96</v>
      </c>
      <c r="BN31">
        <v>2</v>
      </c>
      <c r="BO31">
        <v>0.79258517034068099</v>
      </c>
      <c r="BP31" t="s">
        <v>91</v>
      </c>
      <c r="BQ31">
        <v>3</v>
      </c>
      <c r="BR31">
        <v>0.96338176586215896</v>
      </c>
      <c r="BS31" t="s">
        <v>97</v>
      </c>
      <c r="BT31">
        <v>2</v>
      </c>
      <c r="BU31">
        <v>1.08227848101265</v>
      </c>
      <c r="BV31" t="s">
        <v>113</v>
      </c>
      <c r="BW31">
        <v>2</v>
      </c>
      <c r="BX31">
        <v>1.20485175202156</v>
      </c>
      <c r="BY31" t="s">
        <v>113</v>
      </c>
      <c r="BZ31">
        <v>3</v>
      </c>
      <c r="CA31">
        <v>1.23266219239373</v>
      </c>
      <c r="CB31" t="s">
        <v>108</v>
      </c>
      <c r="CC31">
        <v>3</v>
      </c>
      <c r="CD31">
        <v>0.970703125</v>
      </c>
      <c r="CE31" t="s">
        <v>100</v>
      </c>
      <c r="CF31">
        <v>3</v>
      </c>
      <c r="CG31">
        <v>0.87643678160919503</v>
      </c>
      <c r="CH31" t="s">
        <v>105</v>
      </c>
      <c r="CI31">
        <v>3</v>
      </c>
      <c r="CJ31">
        <v>1.0760456273764201</v>
      </c>
      <c r="CK31" t="s">
        <v>108</v>
      </c>
      <c r="CL31">
        <v>3</v>
      </c>
      <c r="CM31">
        <v>1.0759493670886</v>
      </c>
      <c r="CN31" t="s">
        <v>97</v>
      </c>
      <c r="CO31">
        <v>3</v>
      </c>
      <c r="CP31">
        <v>0.93269230769230704</v>
      </c>
      <c r="CQ31" t="s">
        <v>97</v>
      </c>
      <c r="CR31">
        <v>3</v>
      </c>
      <c r="CS31">
        <v>1.0061855670102999</v>
      </c>
      <c r="CT31" t="s">
        <v>115</v>
      </c>
      <c r="CU31">
        <v>3</v>
      </c>
      <c r="CV31">
        <v>1.0594059405940499</v>
      </c>
      <c r="CW31" t="s">
        <v>112</v>
      </c>
      <c r="CX31">
        <v>3</v>
      </c>
      <c r="CY31">
        <v>0.876651982378854</v>
      </c>
      <c r="CZ31" t="s">
        <v>108</v>
      </c>
      <c r="DA31">
        <v>3</v>
      </c>
      <c r="DB31">
        <v>0.89925925925925898</v>
      </c>
      <c r="DC31" t="s">
        <v>118</v>
      </c>
      <c r="DD31">
        <v>3</v>
      </c>
      <c r="DE31">
        <v>0.96577946768060796</v>
      </c>
      <c r="DF31" t="s">
        <v>112</v>
      </c>
      <c r="DG31">
        <v>3</v>
      </c>
      <c r="DH31">
        <v>1.0845213849287101</v>
      </c>
    </row>
    <row r="32" spans="1:112" x14ac:dyDescent="0.4">
      <c r="A32">
        <v>30</v>
      </c>
      <c r="B32" t="s">
        <v>107</v>
      </c>
      <c r="C32">
        <v>2</v>
      </c>
      <c r="D32">
        <v>1.1032448377581101</v>
      </c>
      <c r="E32" t="s">
        <v>115</v>
      </c>
      <c r="F32">
        <v>3</v>
      </c>
      <c r="G32">
        <v>0.81612903225806399</v>
      </c>
      <c r="H32" t="s">
        <v>105</v>
      </c>
      <c r="I32">
        <v>3</v>
      </c>
      <c r="J32">
        <v>0.76924395679753099</v>
      </c>
      <c r="K32" t="s">
        <v>91</v>
      </c>
      <c r="L32">
        <v>3</v>
      </c>
      <c r="M32">
        <v>1.01020430507806</v>
      </c>
      <c r="N32" t="s">
        <v>95</v>
      </c>
      <c r="O32">
        <v>2</v>
      </c>
      <c r="P32">
        <v>1.3546502117013</v>
      </c>
      <c r="Q32" t="s">
        <v>105</v>
      </c>
      <c r="R32">
        <v>2</v>
      </c>
      <c r="S32">
        <v>0.82166403565790602</v>
      </c>
      <c r="T32" t="s">
        <v>98</v>
      </c>
      <c r="U32">
        <v>2</v>
      </c>
      <c r="V32">
        <v>0.84750000000000003</v>
      </c>
      <c r="W32" t="s">
        <v>103</v>
      </c>
      <c r="X32">
        <v>3</v>
      </c>
      <c r="Y32">
        <v>1.0096153846153799</v>
      </c>
      <c r="Z32" t="s">
        <v>98</v>
      </c>
      <c r="AA32">
        <v>2</v>
      </c>
      <c r="AB32">
        <v>0.95657894736842097</v>
      </c>
      <c r="AC32" t="s">
        <v>84</v>
      </c>
      <c r="AD32">
        <v>2</v>
      </c>
      <c r="AE32">
        <v>0.82568807339449501</v>
      </c>
      <c r="AF32" t="s">
        <v>98</v>
      </c>
      <c r="AG32">
        <v>2</v>
      </c>
      <c r="AH32">
        <v>1.0307262569832401</v>
      </c>
      <c r="AI32" t="s">
        <v>92</v>
      </c>
      <c r="AJ32">
        <v>2</v>
      </c>
      <c r="AK32">
        <v>1.1074380165289199</v>
      </c>
      <c r="AL32" t="s">
        <v>108</v>
      </c>
      <c r="AM32">
        <v>2</v>
      </c>
      <c r="AN32">
        <v>0.96310935441370205</v>
      </c>
      <c r="AO32" t="s">
        <v>97</v>
      </c>
      <c r="AP32">
        <v>2</v>
      </c>
      <c r="AQ32">
        <v>0.91927512355848395</v>
      </c>
      <c r="AR32" t="s">
        <v>113</v>
      </c>
      <c r="AS32">
        <v>2</v>
      </c>
      <c r="AT32">
        <v>0.62146050670640796</v>
      </c>
      <c r="AU32" t="s">
        <v>97</v>
      </c>
      <c r="AV32">
        <v>2</v>
      </c>
      <c r="AW32">
        <v>1.0647058823529401</v>
      </c>
      <c r="AX32" t="s">
        <v>88</v>
      </c>
      <c r="AY32">
        <v>1</v>
      </c>
      <c r="AZ32">
        <v>0.785116279069767</v>
      </c>
      <c r="BA32" t="s">
        <v>108</v>
      </c>
      <c r="BB32">
        <v>3</v>
      </c>
      <c r="BC32">
        <v>1.03498542274052</v>
      </c>
      <c r="BD32" t="s">
        <v>113</v>
      </c>
      <c r="BE32">
        <v>2</v>
      </c>
      <c r="BF32">
        <v>0.76376146788990795</v>
      </c>
      <c r="BG32" t="s">
        <v>113</v>
      </c>
      <c r="BH32">
        <v>2</v>
      </c>
      <c r="BI32">
        <v>1.02102102102102</v>
      </c>
      <c r="BJ32" t="s">
        <v>105</v>
      </c>
      <c r="BK32">
        <v>3</v>
      </c>
      <c r="BL32">
        <v>1.1240875912408701</v>
      </c>
      <c r="BM32" t="s">
        <v>91</v>
      </c>
      <c r="BN32">
        <v>3</v>
      </c>
      <c r="BO32">
        <v>0.96648909083787005</v>
      </c>
      <c r="BP32" t="s">
        <v>98</v>
      </c>
      <c r="BQ32">
        <v>2</v>
      </c>
      <c r="BR32">
        <v>1.0487804878048701</v>
      </c>
      <c r="BS32" t="s">
        <v>113</v>
      </c>
      <c r="BT32">
        <v>2</v>
      </c>
      <c r="BU32">
        <v>1.02770083102493</v>
      </c>
      <c r="BV32" t="s">
        <v>112</v>
      </c>
      <c r="BW32">
        <v>2</v>
      </c>
      <c r="BX32">
        <v>1.16417910447761</v>
      </c>
      <c r="BY32" t="s">
        <v>112</v>
      </c>
      <c r="BZ32">
        <v>3</v>
      </c>
      <c r="CA32">
        <v>0.89102564102564097</v>
      </c>
      <c r="CB32" t="s">
        <v>97</v>
      </c>
      <c r="CC32">
        <v>3</v>
      </c>
      <c r="CD32">
        <v>1.0188679245283001</v>
      </c>
      <c r="CE32" t="s">
        <v>105</v>
      </c>
      <c r="CF32">
        <v>3</v>
      </c>
      <c r="CG32">
        <v>1.0950576674855299</v>
      </c>
      <c r="CH32" t="s">
        <v>108</v>
      </c>
      <c r="CI32">
        <v>3</v>
      </c>
      <c r="CJ32">
        <v>1.1194331983805601</v>
      </c>
      <c r="CK32" t="s">
        <v>97</v>
      </c>
      <c r="CL32">
        <v>3</v>
      </c>
      <c r="CM32">
        <v>0.82018927444794898</v>
      </c>
      <c r="CN32" t="s">
        <v>112</v>
      </c>
      <c r="CO32">
        <v>2</v>
      </c>
      <c r="CP32">
        <v>0.85887096774193505</v>
      </c>
      <c r="CQ32" t="s">
        <v>112</v>
      </c>
      <c r="CR32">
        <v>2</v>
      </c>
      <c r="CS32">
        <v>1.0140845070422499</v>
      </c>
      <c r="CT32" t="s">
        <v>121</v>
      </c>
      <c r="CU32">
        <v>3</v>
      </c>
      <c r="CV32">
        <v>1.0817253121452799</v>
      </c>
      <c r="CW32" t="s">
        <v>115</v>
      </c>
      <c r="CX32">
        <v>3</v>
      </c>
      <c r="CY32">
        <v>0.99813084112149497</v>
      </c>
      <c r="CZ32" t="s">
        <v>97</v>
      </c>
      <c r="DA32">
        <v>3</v>
      </c>
      <c r="DB32">
        <v>1.00182149362477</v>
      </c>
      <c r="DC32" t="s">
        <v>102</v>
      </c>
      <c r="DD32">
        <v>2</v>
      </c>
      <c r="DE32">
        <v>0.98205741626794196</v>
      </c>
      <c r="DF32" t="s">
        <v>118</v>
      </c>
      <c r="DG32">
        <v>3</v>
      </c>
      <c r="DH32">
        <v>1.06692913385826</v>
      </c>
    </row>
    <row r="33" spans="1:112" x14ac:dyDescent="0.4">
      <c r="A33">
        <v>31</v>
      </c>
      <c r="B33" t="s">
        <v>108</v>
      </c>
      <c r="C33">
        <v>2</v>
      </c>
      <c r="D33">
        <v>1.1787602858100901</v>
      </c>
      <c r="E33" t="s">
        <v>118</v>
      </c>
      <c r="F33">
        <v>3</v>
      </c>
      <c r="G33">
        <v>0.84927536231884004</v>
      </c>
      <c r="H33" t="s">
        <v>107</v>
      </c>
      <c r="I33">
        <v>2</v>
      </c>
      <c r="J33">
        <v>0.31525851197982302</v>
      </c>
      <c r="K33" t="s">
        <v>100</v>
      </c>
      <c r="L33">
        <v>2</v>
      </c>
      <c r="M33">
        <v>1.41401971522453</v>
      </c>
      <c r="N33" t="s">
        <v>91</v>
      </c>
      <c r="O33">
        <v>3</v>
      </c>
      <c r="P33">
        <v>1.02020245811024</v>
      </c>
      <c r="Q33" t="s">
        <v>108</v>
      </c>
      <c r="R33">
        <v>2</v>
      </c>
      <c r="S33">
        <v>1.1656626506023999</v>
      </c>
      <c r="T33" t="s">
        <v>103</v>
      </c>
      <c r="U33">
        <v>3</v>
      </c>
      <c r="V33">
        <v>0.88135593220338904</v>
      </c>
      <c r="W33" t="s">
        <v>105</v>
      </c>
      <c r="X33">
        <v>2</v>
      </c>
      <c r="Y33">
        <v>0.94047092637629803</v>
      </c>
      <c r="Z33" t="s">
        <v>88</v>
      </c>
      <c r="AA33">
        <v>1</v>
      </c>
      <c r="AB33">
        <v>1.0334928229664999</v>
      </c>
      <c r="AC33" t="s">
        <v>98</v>
      </c>
      <c r="AD33">
        <v>2</v>
      </c>
      <c r="AE33">
        <v>0.98486932599724897</v>
      </c>
      <c r="AF33" t="s">
        <v>88</v>
      </c>
      <c r="AG33">
        <v>1</v>
      </c>
      <c r="AH33">
        <v>1.1094224924012099</v>
      </c>
      <c r="AI33" t="s">
        <v>91</v>
      </c>
      <c r="AJ33">
        <v>3</v>
      </c>
      <c r="AK33">
        <v>1.0272237823528301</v>
      </c>
      <c r="AL33" t="s">
        <v>97</v>
      </c>
      <c r="AM33">
        <v>2</v>
      </c>
      <c r="AN33">
        <v>1.0116666666666601</v>
      </c>
      <c r="AO33" t="s">
        <v>113</v>
      </c>
      <c r="AP33">
        <v>2</v>
      </c>
      <c r="AQ33">
        <v>1.24259259259259</v>
      </c>
      <c r="AR33" t="s">
        <v>112</v>
      </c>
      <c r="AS33">
        <v>2</v>
      </c>
      <c r="AT33">
        <v>0.84773601657294995</v>
      </c>
      <c r="AU33" t="s">
        <v>113</v>
      </c>
      <c r="AV33">
        <v>2</v>
      </c>
      <c r="AW33">
        <v>1.31175059952038</v>
      </c>
      <c r="AX33" t="s">
        <v>105</v>
      </c>
      <c r="AY33">
        <v>2</v>
      </c>
      <c r="AZ33">
        <v>0.91313004296342803</v>
      </c>
      <c r="BA33" t="s">
        <v>97</v>
      </c>
      <c r="BB33">
        <v>2</v>
      </c>
      <c r="BC33">
        <v>1</v>
      </c>
      <c r="BD33" t="s">
        <v>112</v>
      </c>
      <c r="BE33">
        <v>3</v>
      </c>
      <c r="BF33">
        <v>1.3146458509257899</v>
      </c>
      <c r="BG33" t="s">
        <v>112</v>
      </c>
      <c r="BH33">
        <v>3</v>
      </c>
      <c r="BI33">
        <v>1.23770954096819</v>
      </c>
      <c r="BJ33" t="s">
        <v>108</v>
      </c>
      <c r="BK33">
        <v>3</v>
      </c>
      <c r="BL33">
        <v>1.4135446685878901</v>
      </c>
      <c r="BM33" t="s">
        <v>98</v>
      </c>
      <c r="BN33">
        <v>2</v>
      </c>
      <c r="BO33">
        <v>0.93299620733249</v>
      </c>
      <c r="BP33" t="s">
        <v>88</v>
      </c>
      <c r="BQ33">
        <v>1</v>
      </c>
      <c r="BR33">
        <v>1.1318181818181801</v>
      </c>
      <c r="BS33" t="s">
        <v>112</v>
      </c>
      <c r="BT33">
        <v>2</v>
      </c>
      <c r="BU33">
        <v>1.11666666666666</v>
      </c>
      <c r="BV33" t="s">
        <v>121</v>
      </c>
      <c r="BW33">
        <v>3</v>
      </c>
      <c r="BX33">
        <v>0.96322067594433403</v>
      </c>
      <c r="BY33" t="s">
        <v>115</v>
      </c>
      <c r="BZ33">
        <v>3</v>
      </c>
      <c r="CA33">
        <v>0.97422680412371099</v>
      </c>
      <c r="CB33" t="s">
        <v>113</v>
      </c>
      <c r="CC33">
        <v>3</v>
      </c>
      <c r="CD33">
        <v>0.80580762250453697</v>
      </c>
      <c r="CE33" t="s">
        <v>108</v>
      </c>
      <c r="CF33">
        <v>3</v>
      </c>
      <c r="CG33">
        <v>0.99396378269617702</v>
      </c>
      <c r="CH33" t="s">
        <v>97</v>
      </c>
      <c r="CI33">
        <v>3</v>
      </c>
      <c r="CJ33">
        <v>1.10452961672473</v>
      </c>
      <c r="CK33" t="s">
        <v>112</v>
      </c>
      <c r="CL33">
        <v>2</v>
      </c>
      <c r="CM33">
        <v>0.83783783783783705</v>
      </c>
      <c r="CN33" t="s">
        <v>115</v>
      </c>
      <c r="CO33">
        <v>3</v>
      </c>
      <c r="CP33">
        <v>0.971857410881801</v>
      </c>
      <c r="CQ33" t="s">
        <v>115</v>
      </c>
      <c r="CR33">
        <v>3</v>
      </c>
      <c r="CS33">
        <v>0.97490347490347495</v>
      </c>
      <c r="CT33" t="s">
        <v>118</v>
      </c>
      <c r="CU33">
        <v>3</v>
      </c>
      <c r="CV33">
        <v>1.05010893246187</v>
      </c>
      <c r="CW33" t="s">
        <v>121</v>
      </c>
      <c r="CX33">
        <v>3</v>
      </c>
      <c r="CY33">
        <v>1.0136411332633699</v>
      </c>
      <c r="CZ33" t="s">
        <v>112</v>
      </c>
      <c r="DA33">
        <v>3</v>
      </c>
      <c r="DB33">
        <v>1.0753768844221101</v>
      </c>
      <c r="DC33" t="s">
        <v>124</v>
      </c>
      <c r="DD33">
        <v>3</v>
      </c>
      <c r="DE33">
        <v>1.0560897435897401</v>
      </c>
      <c r="DF33" t="s">
        <v>102</v>
      </c>
      <c r="DG33">
        <v>2</v>
      </c>
      <c r="DH33">
        <v>0.97442143727162001</v>
      </c>
    </row>
    <row r="34" spans="1:112" x14ac:dyDescent="0.4">
      <c r="A34">
        <v>32</v>
      </c>
      <c r="B34" t="s">
        <v>97</v>
      </c>
      <c r="C34">
        <v>2</v>
      </c>
      <c r="D34">
        <v>0.92733017377567095</v>
      </c>
      <c r="E34" t="s">
        <v>102</v>
      </c>
      <c r="F34">
        <v>2</v>
      </c>
      <c r="G34">
        <v>0.90569829760403497</v>
      </c>
      <c r="H34" t="s">
        <v>108</v>
      </c>
      <c r="I34">
        <v>2</v>
      </c>
      <c r="J34">
        <v>0.47270114942528701</v>
      </c>
      <c r="K34" t="s">
        <v>84</v>
      </c>
      <c r="L34">
        <v>2</v>
      </c>
      <c r="M34">
        <v>0.84859813084112101</v>
      </c>
      <c r="N34" t="s">
        <v>100</v>
      </c>
      <c r="O34">
        <v>2</v>
      </c>
      <c r="P34">
        <v>0.96407078591431805</v>
      </c>
      <c r="Q34" t="s">
        <v>97</v>
      </c>
      <c r="R34">
        <v>2</v>
      </c>
      <c r="S34">
        <v>1.0534883720930199</v>
      </c>
      <c r="T34" t="s">
        <v>105</v>
      </c>
      <c r="U34">
        <v>2</v>
      </c>
      <c r="V34">
        <v>1.02232016725998</v>
      </c>
      <c r="W34" t="s">
        <v>108</v>
      </c>
      <c r="X34">
        <v>2</v>
      </c>
      <c r="Y34">
        <v>0.800561797752809</v>
      </c>
      <c r="Z34" t="s">
        <v>103</v>
      </c>
      <c r="AA34">
        <v>3</v>
      </c>
      <c r="AB34">
        <v>0.81619047619047602</v>
      </c>
      <c r="AC34" t="s">
        <v>103</v>
      </c>
      <c r="AD34">
        <v>3</v>
      </c>
      <c r="AE34">
        <v>1.05250875145857</v>
      </c>
      <c r="AF34" t="s">
        <v>103</v>
      </c>
      <c r="AG34">
        <v>3</v>
      </c>
      <c r="AH34">
        <v>1.0199556541019901</v>
      </c>
      <c r="AI34" t="s">
        <v>84</v>
      </c>
      <c r="AJ34">
        <v>2</v>
      </c>
      <c r="AK34">
        <v>0.892405063291139</v>
      </c>
      <c r="AL34" t="s">
        <v>113</v>
      </c>
      <c r="AM34">
        <v>2</v>
      </c>
      <c r="AN34">
        <v>0.98901098901098905</v>
      </c>
      <c r="AO34" t="s">
        <v>112</v>
      </c>
      <c r="AP34">
        <v>2</v>
      </c>
      <c r="AQ34">
        <v>0.838756386653703</v>
      </c>
      <c r="AR34" t="s">
        <v>102</v>
      </c>
      <c r="AS34">
        <v>2</v>
      </c>
      <c r="AT34">
        <v>0.86923342816878901</v>
      </c>
      <c r="AU34" t="s">
        <v>112</v>
      </c>
      <c r="AV34">
        <v>2</v>
      </c>
      <c r="AW34">
        <v>1.29376854599406</v>
      </c>
      <c r="AX34" t="s">
        <v>108</v>
      </c>
      <c r="AY34">
        <v>3</v>
      </c>
      <c r="AZ34">
        <v>0.87723785166240398</v>
      </c>
      <c r="BA34" t="s">
        <v>113</v>
      </c>
      <c r="BB34">
        <v>2</v>
      </c>
      <c r="BC34">
        <v>0.95196506550218296</v>
      </c>
      <c r="BD34" t="s">
        <v>102</v>
      </c>
      <c r="BE34">
        <v>2</v>
      </c>
      <c r="BF34">
        <v>0.91883951524054297</v>
      </c>
      <c r="BG34" t="s">
        <v>121</v>
      </c>
      <c r="BH34">
        <v>2</v>
      </c>
      <c r="BI34">
        <v>1.52637244348762</v>
      </c>
      <c r="BJ34" t="s">
        <v>97</v>
      </c>
      <c r="BK34">
        <v>2</v>
      </c>
      <c r="BL34">
        <v>0.938271604938271</v>
      </c>
      <c r="BM34" t="s">
        <v>88</v>
      </c>
      <c r="BN34">
        <v>1</v>
      </c>
      <c r="BO34">
        <v>0.94285714285714195</v>
      </c>
      <c r="BP34" t="s">
        <v>105</v>
      </c>
      <c r="BQ34">
        <v>3</v>
      </c>
      <c r="BR34">
        <v>0.90161259723012699</v>
      </c>
      <c r="BS34" t="s">
        <v>121</v>
      </c>
      <c r="BT34">
        <v>3</v>
      </c>
      <c r="BU34">
        <v>1.0244399185335999</v>
      </c>
      <c r="BV34" t="s">
        <v>102</v>
      </c>
      <c r="BW34">
        <v>2</v>
      </c>
      <c r="BX34">
        <v>1.0055778223112799</v>
      </c>
      <c r="BY34" t="s">
        <v>121</v>
      </c>
      <c r="BZ34">
        <v>3</v>
      </c>
      <c r="CA34">
        <v>1.0691434468524199</v>
      </c>
      <c r="CB34" t="s">
        <v>112</v>
      </c>
      <c r="CC34">
        <v>3</v>
      </c>
      <c r="CD34">
        <v>1.05395683453237</v>
      </c>
      <c r="CE34" t="s">
        <v>97</v>
      </c>
      <c r="CF34">
        <v>3</v>
      </c>
      <c r="CG34">
        <v>1.06296296296296</v>
      </c>
      <c r="CH34" t="s">
        <v>113</v>
      </c>
      <c r="CI34">
        <v>3</v>
      </c>
      <c r="CJ34">
        <v>2.6308243727598501</v>
      </c>
      <c r="CK34" t="s">
        <v>115</v>
      </c>
      <c r="CL34">
        <v>3</v>
      </c>
      <c r="CM34">
        <v>0.950089126559714</v>
      </c>
      <c r="CN34" t="s">
        <v>121</v>
      </c>
      <c r="CO34">
        <v>3</v>
      </c>
      <c r="CP34">
        <v>0.99024390243902405</v>
      </c>
      <c r="CQ34" t="s">
        <v>121</v>
      </c>
      <c r="CR34">
        <v>3</v>
      </c>
      <c r="CS34">
        <v>1.0849753694581199</v>
      </c>
      <c r="CT34" t="s">
        <v>102</v>
      </c>
      <c r="CU34">
        <v>2</v>
      </c>
      <c r="CV34">
        <v>0.98873591989987397</v>
      </c>
      <c r="CW34" t="s">
        <v>118</v>
      </c>
      <c r="CX34">
        <v>3</v>
      </c>
      <c r="CY34">
        <v>0.98029045643153501</v>
      </c>
      <c r="CZ34" t="s">
        <v>115</v>
      </c>
      <c r="DA34">
        <v>3</v>
      </c>
      <c r="DB34">
        <v>1.08988764044943</v>
      </c>
      <c r="DC34" t="s">
        <v>130</v>
      </c>
      <c r="DD34">
        <v>3</v>
      </c>
      <c r="DE34">
        <v>0.90610328638497595</v>
      </c>
      <c r="DF34" t="s">
        <v>124</v>
      </c>
      <c r="DG34">
        <v>3</v>
      </c>
      <c r="DH34">
        <v>0.915022761760242</v>
      </c>
    </row>
    <row r="35" spans="1:112" x14ac:dyDescent="0.4">
      <c r="A35">
        <v>33</v>
      </c>
      <c r="B35" t="s">
        <v>113</v>
      </c>
      <c r="C35">
        <v>2</v>
      </c>
      <c r="D35">
        <v>1.34708005443464</v>
      </c>
      <c r="E35" t="s">
        <v>120</v>
      </c>
      <c r="F35">
        <v>2</v>
      </c>
      <c r="G35">
        <v>0.96969696969696895</v>
      </c>
      <c r="H35" t="s">
        <v>97</v>
      </c>
      <c r="I35">
        <v>2</v>
      </c>
      <c r="J35">
        <v>0.75922671353251303</v>
      </c>
      <c r="K35" t="s">
        <v>98</v>
      </c>
      <c r="L35">
        <v>2</v>
      </c>
      <c r="M35">
        <v>1.1973684210526301</v>
      </c>
      <c r="N35" t="s">
        <v>84</v>
      </c>
      <c r="O35">
        <v>2</v>
      </c>
      <c r="P35">
        <v>1.41850220264317</v>
      </c>
      <c r="Q35" t="s">
        <v>113</v>
      </c>
      <c r="R35">
        <v>2</v>
      </c>
      <c r="S35">
        <v>0.98459005244035502</v>
      </c>
      <c r="T35" t="s">
        <v>108</v>
      </c>
      <c r="U35">
        <v>2</v>
      </c>
      <c r="V35">
        <v>0.91989664082687295</v>
      </c>
      <c r="W35" t="s">
        <v>97</v>
      </c>
      <c r="X35">
        <v>2</v>
      </c>
      <c r="Y35">
        <v>0.967592592592592</v>
      </c>
      <c r="Z35" t="s">
        <v>105</v>
      </c>
      <c r="AA35">
        <v>2</v>
      </c>
      <c r="AB35">
        <v>1.0742873934763399</v>
      </c>
      <c r="AC35" t="s">
        <v>105</v>
      </c>
      <c r="AD35">
        <v>3</v>
      </c>
      <c r="AE35">
        <v>0.89299195798457198</v>
      </c>
      <c r="AF35" t="s">
        <v>105</v>
      </c>
      <c r="AG35">
        <v>3</v>
      </c>
      <c r="AH35">
        <v>1.55731176866997</v>
      </c>
      <c r="AI35" t="s">
        <v>98</v>
      </c>
      <c r="AJ35">
        <v>2</v>
      </c>
      <c r="AK35">
        <v>0.964769647696477</v>
      </c>
      <c r="AL35" t="s">
        <v>112</v>
      </c>
      <c r="AM35">
        <v>2</v>
      </c>
      <c r="AN35">
        <v>1.04052948773138</v>
      </c>
      <c r="AO35" t="s">
        <v>102</v>
      </c>
      <c r="AP35">
        <v>2</v>
      </c>
      <c r="AQ35">
        <v>1.1751343582052201</v>
      </c>
      <c r="AR35" t="s">
        <v>120</v>
      </c>
      <c r="AS35">
        <v>2</v>
      </c>
      <c r="AT35">
        <v>1.1132596685082801</v>
      </c>
      <c r="AU35" t="s">
        <v>102</v>
      </c>
      <c r="AV35">
        <v>2</v>
      </c>
      <c r="AW35">
        <v>1.1301581475023701</v>
      </c>
      <c r="AX35" t="s">
        <v>97</v>
      </c>
      <c r="AY35">
        <v>2</v>
      </c>
      <c r="AZ35">
        <v>0.83241252302025703</v>
      </c>
      <c r="BA35" t="s">
        <v>112</v>
      </c>
      <c r="BB35">
        <v>3</v>
      </c>
      <c r="BC35">
        <v>1.0593689998254401</v>
      </c>
      <c r="BD35" t="s">
        <v>104</v>
      </c>
      <c r="BE35">
        <v>2</v>
      </c>
      <c r="BF35">
        <v>1.09562841530054</v>
      </c>
      <c r="BG35" t="s">
        <v>102</v>
      </c>
      <c r="BH35">
        <v>2</v>
      </c>
      <c r="BI35">
        <v>0.98333333333333295</v>
      </c>
      <c r="BJ35" t="s">
        <v>113</v>
      </c>
      <c r="BK35">
        <v>2</v>
      </c>
      <c r="BL35">
        <v>1.3588235294117601</v>
      </c>
      <c r="BM35" t="s">
        <v>105</v>
      </c>
      <c r="BN35">
        <v>3</v>
      </c>
      <c r="BO35">
        <v>0.97792207792207797</v>
      </c>
      <c r="BP35" t="s">
        <v>108</v>
      </c>
      <c r="BQ35">
        <v>3</v>
      </c>
      <c r="BR35">
        <v>1.04244031830238</v>
      </c>
      <c r="BS35" t="s">
        <v>102</v>
      </c>
      <c r="BT35">
        <v>2</v>
      </c>
      <c r="BU35">
        <v>0.93489461358313797</v>
      </c>
      <c r="BV35" t="s">
        <v>124</v>
      </c>
      <c r="BW35">
        <v>3</v>
      </c>
      <c r="BX35">
        <v>1.0196078431372499</v>
      </c>
      <c r="BY35" t="s">
        <v>118</v>
      </c>
      <c r="BZ35">
        <v>3</v>
      </c>
      <c r="CA35">
        <v>2.1844380403458201</v>
      </c>
      <c r="CB35" t="s">
        <v>115</v>
      </c>
      <c r="CC35">
        <v>3</v>
      </c>
      <c r="CD35">
        <v>0.88888888888888795</v>
      </c>
      <c r="CE35" t="s">
        <v>113</v>
      </c>
      <c r="CF35">
        <v>3</v>
      </c>
      <c r="CG35">
        <v>1.2567567567567499</v>
      </c>
      <c r="CH35" t="s">
        <v>112</v>
      </c>
      <c r="CI35">
        <v>3</v>
      </c>
      <c r="CJ35">
        <v>1.0068027210884301</v>
      </c>
      <c r="CK35" t="s">
        <v>121</v>
      </c>
      <c r="CL35">
        <v>3</v>
      </c>
      <c r="CM35">
        <v>0.95459837019790394</v>
      </c>
      <c r="CN35" t="s">
        <v>102</v>
      </c>
      <c r="CO35">
        <v>2</v>
      </c>
      <c r="CP35">
        <v>0.87553648068669498</v>
      </c>
      <c r="CQ35" t="s">
        <v>118</v>
      </c>
      <c r="CR35">
        <v>3</v>
      </c>
      <c r="CS35">
        <v>1.0443686006825901</v>
      </c>
      <c r="CT35" t="s">
        <v>124</v>
      </c>
      <c r="CU35">
        <v>3</v>
      </c>
      <c r="CV35">
        <v>0.99677419354838703</v>
      </c>
      <c r="CW35" t="s">
        <v>102</v>
      </c>
      <c r="CX35">
        <v>2</v>
      </c>
      <c r="CY35">
        <v>0.95063291139240502</v>
      </c>
      <c r="CZ35" t="s">
        <v>118</v>
      </c>
      <c r="DA35">
        <v>3</v>
      </c>
      <c r="DB35">
        <v>1.11322751322751</v>
      </c>
      <c r="DC35" t="s">
        <v>104</v>
      </c>
      <c r="DD35">
        <v>2</v>
      </c>
      <c r="DE35">
        <v>0.97649186256781195</v>
      </c>
      <c r="DF35" t="s">
        <v>130</v>
      </c>
      <c r="DG35">
        <v>3</v>
      </c>
      <c r="DH35">
        <v>1.0284974093264201</v>
      </c>
    </row>
    <row r="36" spans="1:112" x14ac:dyDescent="0.4">
      <c r="A36">
        <v>34</v>
      </c>
      <c r="B36" t="s">
        <v>112</v>
      </c>
      <c r="C36">
        <v>2</v>
      </c>
      <c r="D36">
        <v>1.04909673887542</v>
      </c>
      <c r="E36" t="s">
        <v>124</v>
      </c>
      <c r="F36">
        <v>2</v>
      </c>
      <c r="G36">
        <v>0.81599123767798398</v>
      </c>
      <c r="H36" t="s">
        <v>112</v>
      </c>
      <c r="I36">
        <v>2</v>
      </c>
      <c r="J36">
        <v>0.67357145215066105</v>
      </c>
      <c r="K36" t="s">
        <v>105</v>
      </c>
      <c r="L36">
        <v>3</v>
      </c>
      <c r="M36">
        <v>1.2299977713394199</v>
      </c>
      <c r="N36" t="s">
        <v>98</v>
      </c>
      <c r="O36">
        <v>2</v>
      </c>
      <c r="P36">
        <v>1.39743589743589</v>
      </c>
      <c r="Q36" t="s">
        <v>112</v>
      </c>
      <c r="R36">
        <v>2</v>
      </c>
      <c r="S36">
        <v>1.2545473208786599</v>
      </c>
      <c r="T36" t="s">
        <v>97</v>
      </c>
      <c r="U36">
        <v>2</v>
      </c>
      <c r="V36">
        <v>0.95364238410596003</v>
      </c>
      <c r="W36" t="s">
        <v>113</v>
      </c>
      <c r="X36">
        <v>2</v>
      </c>
      <c r="Y36">
        <v>0.68075755516288305</v>
      </c>
      <c r="Z36" t="s">
        <v>108</v>
      </c>
      <c r="AA36">
        <v>2</v>
      </c>
      <c r="AB36">
        <v>0.78245614035087696</v>
      </c>
      <c r="AC36" t="s">
        <v>108</v>
      </c>
      <c r="AD36">
        <v>2</v>
      </c>
      <c r="AE36">
        <v>1.1154708520179299</v>
      </c>
      <c r="AF36" t="s">
        <v>108</v>
      </c>
      <c r="AG36">
        <v>2</v>
      </c>
      <c r="AH36">
        <v>1.06532663316582</v>
      </c>
      <c r="AI36" t="s">
        <v>88</v>
      </c>
      <c r="AJ36">
        <v>1</v>
      </c>
      <c r="AK36">
        <v>1.0547945205479401</v>
      </c>
      <c r="AL36" t="s">
        <v>102</v>
      </c>
      <c r="AM36">
        <v>2</v>
      </c>
      <c r="AN36">
        <v>1.2482546121143501</v>
      </c>
      <c r="AO36" t="s">
        <v>120</v>
      </c>
      <c r="AP36">
        <v>2</v>
      </c>
      <c r="AQ36">
        <v>1.04322766570605</v>
      </c>
      <c r="AR36" t="s">
        <v>104</v>
      </c>
      <c r="AS36">
        <v>2</v>
      </c>
      <c r="AT36">
        <v>0.70404984423675998</v>
      </c>
      <c r="AU36" t="s">
        <v>104</v>
      </c>
      <c r="AV36">
        <v>2</v>
      </c>
      <c r="AW36">
        <v>1.0663716814159201</v>
      </c>
      <c r="AX36" t="s">
        <v>113</v>
      </c>
      <c r="AY36">
        <v>2</v>
      </c>
      <c r="AZ36">
        <v>0.83729433272394804</v>
      </c>
      <c r="BA36" t="s">
        <v>121</v>
      </c>
      <c r="BB36">
        <v>2</v>
      </c>
      <c r="BC36">
        <v>1.0504201680672201</v>
      </c>
      <c r="BD36" t="s">
        <v>106</v>
      </c>
      <c r="BE36">
        <v>1</v>
      </c>
      <c r="BF36">
        <v>1.0106007067137801</v>
      </c>
      <c r="BG36" t="s">
        <v>124</v>
      </c>
      <c r="BH36">
        <v>3</v>
      </c>
      <c r="BI36">
        <v>1.15384615384615</v>
      </c>
      <c r="BJ36" t="s">
        <v>112</v>
      </c>
      <c r="BK36">
        <v>3</v>
      </c>
      <c r="BL36">
        <v>1.0066200017720801</v>
      </c>
      <c r="BM36" t="s">
        <v>108</v>
      </c>
      <c r="BN36">
        <v>3</v>
      </c>
      <c r="BO36">
        <v>0.76860346585117201</v>
      </c>
      <c r="BP36" t="s">
        <v>97</v>
      </c>
      <c r="BQ36">
        <v>2</v>
      </c>
      <c r="BR36">
        <v>0.94047619047619002</v>
      </c>
      <c r="BS36" t="s">
        <v>124</v>
      </c>
      <c r="BT36">
        <v>3</v>
      </c>
      <c r="BU36">
        <v>1.00790513833992</v>
      </c>
      <c r="BV36" t="s">
        <v>130</v>
      </c>
      <c r="BW36">
        <v>3</v>
      </c>
      <c r="BX36">
        <v>1.0153061224489699</v>
      </c>
      <c r="BY36" t="s">
        <v>102</v>
      </c>
      <c r="BZ36">
        <v>2</v>
      </c>
      <c r="CA36">
        <v>1.44597601886604</v>
      </c>
      <c r="CB36" t="s">
        <v>121</v>
      </c>
      <c r="CC36">
        <v>3</v>
      </c>
      <c r="CD36">
        <v>0.77992277992277903</v>
      </c>
      <c r="CE36" t="s">
        <v>112</v>
      </c>
      <c r="CF36">
        <v>3</v>
      </c>
      <c r="CG36">
        <v>1.0034129692832701</v>
      </c>
      <c r="CH36" t="s">
        <v>115</v>
      </c>
      <c r="CI36">
        <v>3</v>
      </c>
      <c r="CJ36">
        <v>1.11976047904191</v>
      </c>
      <c r="CK36" t="s">
        <v>102</v>
      </c>
      <c r="CL36">
        <v>2</v>
      </c>
      <c r="CM36">
        <v>0.77537437603993298</v>
      </c>
      <c r="CN36" t="s">
        <v>124</v>
      </c>
      <c r="CO36">
        <v>3</v>
      </c>
      <c r="CP36">
        <v>0.89560439560439498</v>
      </c>
      <c r="CQ36" t="s">
        <v>102</v>
      </c>
      <c r="CR36">
        <v>2</v>
      </c>
      <c r="CS36">
        <v>0.97916666666666596</v>
      </c>
      <c r="CT36" t="s">
        <v>130</v>
      </c>
      <c r="CU36">
        <v>3</v>
      </c>
      <c r="CV36">
        <v>1.0450450450450399</v>
      </c>
      <c r="CW36" t="s">
        <v>124</v>
      </c>
      <c r="CX36">
        <v>3</v>
      </c>
      <c r="CY36">
        <v>0.90614886731391497</v>
      </c>
      <c r="CZ36" t="s">
        <v>102</v>
      </c>
      <c r="DA36">
        <v>2</v>
      </c>
      <c r="DB36">
        <v>1.11318242343541</v>
      </c>
      <c r="DC36" t="s">
        <v>106</v>
      </c>
      <c r="DD36">
        <v>1</v>
      </c>
      <c r="DE36">
        <v>0.93020134228187901</v>
      </c>
      <c r="DF36" t="s">
        <v>104</v>
      </c>
      <c r="DG36">
        <v>2</v>
      </c>
      <c r="DH36">
        <v>1.13518518518518</v>
      </c>
    </row>
    <row r="37" spans="1:112" x14ac:dyDescent="0.4">
      <c r="A37">
        <v>35</v>
      </c>
      <c r="B37" t="s">
        <v>115</v>
      </c>
      <c r="C37">
        <v>3</v>
      </c>
      <c r="D37">
        <v>0.80589254766031104</v>
      </c>
      <c r="E37" t="s">
        <v>127</v>
      </c>
      <c r="F37">
        <v>2</v>
      </c>
      <c r="G37">
        <v>0.75806451612903203</v>
      </c>
      <c r="H37" t="s">
        <v>102</v>
      </c>
      <c r="I37">
        <v>2</v>
      </c>
      <c r="J37">
        <v>0.91645999216812402</v>
      </c>
      <c r="K37" t="s">
        <v>97</v>
      </c>
      <c r="L37">
        <v>2</v>
      </c>
      <c r="M37">
        <v>0.842592592592592</v>
      </c>
      <c r="N37" t="s">
        <v>88</v>
      </c>
      <c r="O37">
        <v>1</v>
      </c>
      <c r="P37">
        <v>2.3287671232876699</v>
      </c>
      <c r="Q37" t="s">
        <v>102</v>
      </c>
      <c r="R37">
        <v>2</v>
      </c>
      <c r="S37">
        <v>0.89880540426684297</v>
      </c>
      <c r="T37" t="s">
        <v>113</v>
      </c>
      <c r="U37">
        <v>2</v>
      </c>
      <c r="V37">
        <v>0.80240674761870101</v>
      </c>
      <c r="W37" t="s">
        <v>112</v>
      </c>
      <c r="X37">
        <v>2</v>
      </c>
      <c r="Y37">
        <v>0.98599006116207899</v>
      </c>
      <c r="Z37" t="s">
        <v>97</v>
      </c>
      <c r="AA37">
        <v>2</v>
      </c>
      <c r="AB37">
        <v>1.0550239234449701</v>
      </c>
      <c r="AC37" t="s">
        <v>97</v>
      </c>
      <c r="AD37">
        <v>2</v>
      </c>
      <c r="AE37">
        <v>1.2380952380952299</v>
      </c>
      <c r="AF37" t="s">
        <v>97</v>
      </c>
      <c r="AG37">
        <v>2</v>
      </c>
      <c r="AH37">
        <v>1.09523809523809</v>
      </c>
      <c r="AI37" t="s">
        <v>103</v>
      </c>
      <c r="AJ37">
        <v>3</v>
      </c>
      <c r="AK37">
        <v>0.97608695652173905</v>
      </c>
      <c r="AL37" t="s">
        <v>120</v>
      </c>
      <c r="AM37">
        <v>2</v>
      </c>
      <c r="AN37">
        <v>1.3742574257425699</v>
      </c>
      <c r="AO37" t="s">
        <v>104</v>
      </c>
      <c r="AP37">
        <v>2</v>
      </c>
      <c r="AQ37">
        <v>1.2298850574712601</v>
      </c>
      <c r="AR37" t="s">
        <v>106</v>
      </c>
      <c r="AS37">
        <v>1</v>
      </c>
      <c r="AT37">
        <v>0.77013422818791899</v>
      </c>
      <c r="AU37" t="s">
        <v>106</v>
      </c>
      <c r="AV37">
        <v>1</v>
      </c>
      <c r="AW37">
        <v>1.5642701525054401</v>
      </c>
      <c r="AX37" t="s">
        <v>112</v>
      </c>
      <c r="AY37">
        <v>2</v>
      </c>
      <c r="AZ37">
        <v>1.0305810397553501</v>
      </c>
      <c r="BA37" t="s">
        <v>102</v>
      </c>
      <c r="BB37">
        <v>2</v>
      </c>
      <c r="BC37">
        <v>0.98196898665705001</v>
      </c>
      <c r="BD37" t="s">
        <v>128</v>
      </c>
      <c r="BE37">
        <v>3</v>
      </c>
      <c r="BF37">
        <v>2.0447896120973001</v>
      </c>
      <c r="BG37" t="s">
        <v>104</v>
      </c>
      <c r="BH37">
        <v>2</v>
      </c>
      <c r="BI37">
        <v>1.02244389027431</v>
      </c>
      <c r="BJ37" t="s">
        <v>102</v>
      </c>
      <c r="BK37">
        <v>2</v>
      </c>
      <c r="BL37">
        <v>1.1660773076454001</v>
      </c>
      <c r="BM37" t="s">
        <v>97</v>
      </c>
      <c r="BN37">
        <v>2</v>
      </c>
      <c r="BO37">
        <v>0.884210526315789</v>
      </c>
      <c r="BP37" t="s">
        <v>113</v>
      </c>
      <c r="BQ37">
        <v>2</v>
      </c>
      <c r="BR37">
        <v>0.92327365728900201</v>
      </c>
      <c r="BS37" t="s">
        <v>130</v>
      </c>
      <c r="BT37">
        <v>3</v>
      </c>
      <c r="BU37">
        <v>0.89293849658314295</v>
      </c>
      <c r="BV37" t="s">
        <v>104</v>
      </c>
      <c r="BW37">
        <v>2</v>
      </c>
      <c r="BX37">
        <v>1.3807615230460899</v>
      </c>
      <c r="BY37" t="s">
        <v>124</v>
      </c>
      <c r="BZ37">
        <v>3</v>
      </c>
      <c r="CA37">
        <v>1.21923076923076</v>
      </c>
      <c r="CB37" t="s">
        <v>102</v>
      </c>
      <c r="CC37">
        <v>2</v>
      </c>
      <c r="CD37">
        <v>1.06514448477052</v>
      </c>
      <c r="CE37" t="s">
        <v>115</v>
      </c>
      <c r="CF37">
        <v>3</v>
      </c>
      <c r="CG37">
        <v>0.99404761904761896</v>
      </c>
      <c r="CH37" t="s">
        <v>121</v>
      </c>
      <c r="CI37">
        <v>3</v>
      </c>
      <c r="CJ37">
        <v>1.0312124849939901</v>
      </c>
      <c r="CK37" t="s">
        <v>124</v>
      </c>
      <c r="CL37">
        <v>3</v>
      </c>
      <c r="CM37">
        <v>1.0370370370370301</v>
      </c>
      <c r="CN37" t="s">
        <v>130</v>
      </c>
      <c r="CO37">
        <v>3</v>
      </c>
      <c r="CP37">
        <v>0.82908163265306101</v>
      </c>
      <c r="CQ37" t="s">
        <v>124</v>
      </c>
      <c r="CR37">
        <v>3</v>
      </c>
      <c r="CS37">
        <v>0.95092024539877296</v>
      </c>
      <c r="CT37" t="s">
        <v>104</v>
      </c>
      <c r="CU37">
        <v>2</v>
      </c>
      <c r="CV37">
        <v>0.73700623700623702</v>
      </c>
      <c r="CW37" t="s">
        <v>130</v>
      </c>
      <c r="CX37">
        <v>3</v>
      </c>
      <c r="CY37">
        <v>1.27298850574712</v>
      </c>
      <c r="CZ37" t="s">
        <v>124</v>
      </c>
      <c r="DA37">
        <v>3</v>
      </c>
      <c r="DB37">
        <v>1.1142857142857101</v>
      </c>
      <c r="DC37" t="s">
        <v>135</v>
      </c>
      <c r="DD37">
        <v>3</v>
      </c>
      <c r="DE37">
        <v>0.97122302158273299</v>
      </c>
      <c r="DF37" t="s">
        <v>106</v>
      </c>
      <c r="DG37">
        <v>1</v>
      </c>
      <c r="DH37">
        <v>1.17604617604617</v>
      </c>
    </row>
    <row r="38" spans="1:112" x14ac:dyDescent="0.4">
      <c r="A38">
        <v>36</v>
      </c>
      <c r="B38" t="s">
        <v>118</v>
      </c>
      <c r="C38">
        <v>3</v>
      </c>
      <c r="D38">
        <v>0.86142322097378199</v>
      </c>
      <c r="E38" t="s">
        <v>128</v>
      </c>
      <c r="F38">
        <v>2</v>
      </c>
      <c r="G38">
        <v>0.97781771213567703</v>
      </c>
      <c r="H38" t="s">
        <v>120</v>
      </c>
      <c r="I38">
        <v>2</v>
      </c>
      <c r="J38">
        <v>0.73958333333333304</v>
      </c>
      <c r="K38" t="s">
        <v>113</v>
      </c>
      <c r="L38">
        <v>2</v>
      </c>
      <c r="M38">
        <v>1.2225173380551799</v>
      </c>
      <c r="N38" t="s">
        <v>105</v>
      </c>
      <c r="O38">
        <v>3</v>
      </c>
      <c r="P38">
        <v>0.97562964305127697</v>
      </c>
      <c r="Q38" t="s">
        <v>120</v>
      </c>
      <c r="R38">
        <v>2</v>
      </c>
      <c r="S38">
        <v>1.0689655172413699</v>
      </c>
      <c r="T38" t="s">
        <v>112</v>
      </c>
      <c r="U38">
        <v>2</v>
      </c>
      <c r="V38">
        <v>0.85617503150108798</v>
      </c>
      <c r="W38" t="s">
        <v>102</v>
      </c>
      <c r="X38">
        <v>2</v>
      </c>
      <c r="Y38">
        <v>1.01465870792219</v>
      </c>
      <c r="Z38" t="s">
        <v>113</v>
      </c>
      <c r="AA38">
        <v>2</v>
      </c>
      <c r="AB38">
        <v>0.86356073211314399</v>
      </c>
      <c r="AC38" t="s">
        <v>113</v>
      </c>
      <c r="AD38">
        <v>2</v>
      </c>
      <c r="AE38">
        <v>1.24470134874759</v>
      </c>
      <c r="AF38" t="s">
        <v>113</v>
      </c>
      <c r="AG38">
        <v>2</v>
      </c>
      <c r="AH38">
        <v>1.0092879256965901</v>
      </c>
      <c r="AI38" t="s">
        <v>105</v>
      </c>
      <c r="AJ38">
        <v>3</v>
      </c>
      <c r="AK38">
        <v>0.69984264358772597</v>
      </c>
      <c r="AL38" t="s">
        <v>124</v>
      </c>
      <c r="AM38">
        <v>2</v>
      </c>
      <c r="AN38">
        <v>0.80043859649122795</v>
      </c>
      <c r="AO38" t="s">
        <v>106</v>
      </c>
      <c r="AP38">
        <v>1</v>
      </c>
      <c r="AQ38">
        <v>0.93563579277864894</v>
      </c>
      <c r="AR38" t="s">
        <v>128</v>
      </c>
      <c r="AS38">
        <v>3</v>
      </c>
      <c r="AT38">
        <v>0.91823237637156097</v>
      </c>
      <c r="AU38" t="s">
        <v>128</v>
      </c>
      <c r="AV38">
        <v>3</v>
      </c>
      <c r="AW38">
        <v>1.0202160746439599</v>
      </c>
      <c r="AX38" t="s">
        <v>102</v>
      </c>
      <c r="AY38">
        <v>2</v>
      </c>
      <c r="AZ38">
        <v>0.75055486385535597</v>
      </c>
      <c r="BA38" t="s">
        <v>104</v>
      </c>
      <c r="BB38">
        <v>2</v>
      </c>
      <c r="BC38">
        <v>1.0338983050847399</v>
      </c>
      <c r="BD38" t="s">
        <v>129</v>
      </c>
      <c r="BE38">
        <v>3</v>
      </c>
      <c r="BF38">
        <v>0.84735202492211803</v>
      </c>
      <c r="BG38" t="s">
        <v>106</v>
      </c>
      <c r="BH38">
        <v>1</v>
      </c>
      <c r="BI38">
        <v>0.99650349650349601</v>
      </c>
      <c r="BJ38" t="s">
        <v>124</v>
      </c>
      <c r="BK38">
        <v>3</v>
      </c>
      <c r="BL38">
        <v>1.0125</v>
      </c>
      <c r="BM38" t="s">
        <v>113</v>
      </c>
      <c r="BN38">
        <v>2</v>
      </c>
      <c r="BO38">
        <v>0.84632034632034603</v>
      </c>
      <c r="BP38" t="s">
        <v>112</v>
      </c>
      <c r="BQ38">
        <v>2</v>
      </c>
      <c r="BR38">
        <v>1.32272216220982</v>
      </c>
      <c r="BS38" t="s">
        <v>104</v>
      </c>
      <c r="BT38">
        <v>2</v>
      </c>
      <c r="BU38">
        <v>1.42165242165242</v>
      </c>
      <c r="BV38" t="s">
        <v>128</v>
      </c>
      <c r="BW38">
        <v>2</v>
      </c>
      <c r="BX38">
        <v>1.4924485670115299</v>
      </c>
      <c r="BY38" t="s">
        <v>130</v>
      </c>
      <c r="BZ38">
        <v>3</v>
      </c>
      <c r="CA38">
        <v>1.24371859296482</v>
      </c>
      <c r="CB38" t="s">
        <v>124</v>
      </c>
      <c r="CC38">
        <v>3</v>
      </c>
      <c r="CD38">
        <v>0.93533123028391096</v>
      </c>
      <c r="CE38" t="s">
        <v>121</v>
      </c>
      <c r="CF38">
        <v>3</v>
      </c>
      <c r="CG38">
        <v>1.0309405940594001</v>
      </c>
      <c r="CH38" t="s">
        <v>102</v>
      </c>
      <c r="CI38">
        <v>2</v>
      </c>
      <c r="CJ38">
        <v>1.2760084925690001</v>
      </c>
      <c r="CK38" t="s">
        <v>130</v>
      </c>
      <c r="CL38">
        <v>3</v>
      </c>
      <c r="CM38">
        <v>0.67008547008547004</v>
      </c>
      <c r="CN38" t="s">
        <v>104</v>
      </c>
      <c r="CO38">
        <v>2</v>
      </c>
      <c r="CP38">
        <v>0.95416666666666605</v>
      </c>
      <c r="CQ38" t="s">
        <v>130</v>
      </c>
      <c r="CR38">
        <v>3</v>
      </c>
      <c r="CS38">
        <v>1.02461538461538</v>
      </c>
      <c r="CT38" t="s">
        <v>135</v>
      </c>
      <c r="CU38">
        <v>3</v>
      </c>
      <c r="CV38">
        <v>0.87822878228782197</v>
      </c>
      <c r="CW38" t="s">
        <v>104</v>
      </c>
      <c r="CX38">
        <v>2</v>
      </c>
      <c r="CY38">
        <v>1.0507757404795399</v>
      </c>
      <c r="CZ38" t="s">
        <v>104</v>
      </c>
      <c r="DA38">
        <v>2</v>
      </c>
      <c r="DB38">
        <v>0.74228187919462996</v>
      </c>
      <c r="DC38" t="s">
        <v>126</v>
      </c>
      <c r="DD38">
        <v>2</v>
      </c>
      <c r="DE38">
        <v>0.92618629173989397</v>
      </c>
      <c r="DF38" t="s">
        <v>135</v>
      </c>
      <c r="DG38">
        <v>3</v>
      </c>
      <c r="DH38">
        <v>1.2296296296296201</v>
      </c>
    </row>
    <row r="39" spans="1:112" x14ac:dyDescent="0.4">
      <c r="A39">
        <v>37</v>
      </c>
      <c r="B39" t="s">
        <v>102</v>
      </c>
      <c r="C39">
        <v>2</v>
      </c>
      <c r="D39">
        <v>1.0447097571016799</v>
      </c>
      <c r="E39" t="s">
        <v>132</v>
      </c>
      <c r="F39">
        <v>3</v>
      </c>
      <c r="G39">
        <v>0.93817203674745597</v>
      </c>
      <c r="H39" t="s">
        <v>124</v>
      </c>
      <c r="I39">
        <v>2</v>
      </c>
      <c r="J39">
        <v>0.69127516778523401</v>
      </c>
      <c r="K39" t="s">
        <v>112</v>
      </c>
      <c r="L39">
        <v>2</v>
      </c>
      <c r="M39">
        <v>0.93846945526722003</v>
      </c>
      <c r="N39" t="s">
        <v>108</v>
      </c>
      <c r="O39">
        <v>2</v>
      </c>
      <c r="P39">
        <v>1.5090909090908999</v>
      </c>
      <c r="Q39" t="s">
        <v>124</v>
      </c>
      <c r="R39">
        <v>2</v>
      </c>
      <c r="S39">
        <v>1.1414514145141399</v>
      </c>
      <c r="T39" t="s">
        <v>102</v>
      </c>
      <c r="U39">
        <v>2</v>
      </c>
      <c r="V39">
        <v>0.82447271509876097</v>
      </c>
      <c r="W39" t="s">
        <v>120</v>
      </c>
      <c r="X39">
        <v>2</v>
      </c>
      <c r="Y39">
        <v>1.14182692307692</v>
      </c>
      <c r="Z39" t="s">
        <v>112</v>
      </c>
      <c r="AA39">
        <v>2</v>
      </c>
      <c r="AB39">
        <v>0.875259270746505</v>
      </c>
      <c r="AC39" t="s">
        <v>112</v>
      </c>
      <c r="AD39">
        <v>2</v>
      </c>
      <c r="AE39">
        <v>1.02201452870304</v>
      </c>
      <c r="AF39" t="s">
        <v>112</v>
      </c>
      <c r="AG39">
        <v>2</v>
      </c>
      <c r="AH39">
        <v>0.99659775495167502</v>
      </c>
      <c r="AI39" t="s">
        <v>108</v>
      </c>
      <c r="AJ39">
        <v>2</v>
      </c>
      <c r="AK39">
        <v>0.71603773584905595</v>
      </c>
      <c r="AL39" t="s">
        <v>104</v>
      </c>
      <c r="AM39">
        <v>2</v>
      </c>
      <c r="AN39">
        <v>0.87</v>
      </c>
      <c r="AO39" t="s">
        <v>128</v>
      </c>
      <c r="AP39">
        <v>3</v>
      </c>
      <c r="AQ39">
        <v>1.08029552650807</v>
      </c>
      <c r="AR39" t="s">
        <v>129</v>
      </c>
      <c r="AS39">
        <v>3</v>
      </c>
      <c r="AT39">
        <v>1.10840108401084</v>
      </c>
      <c r="AU39" t="s">
        <v>133</v>
      </c>
      <c r="AV39">
        <v>2</v>
      </c>
      <c r="AW39">
        <v>1.19383259911894</v>
      </c>
      <c r="AX39" t="s">
        <v>124</v>
      </c>
      <c r="AY39">
        <v>3</v>
      </c>
      <c r="AZ39">
        <v>0.83111111111111102</v>
      </c>
      <c r="BA39" t="s">
        <v>106</v>
      </c>
      <c r="BB39">
        <v>1</v>
      </c>
      <c r="BC39">
        <v>0.95608108108108103</v>
      </c>
      <c r="BD39" t="s">
        <v>126</v>
      </c>
      <c r="BE39">
        <v>2</v>
      </c>
      <c r="BF39">
        <v>1.0040816326530599</v>
      </c>
      <c r="BG39" t="s">
        <v>126</v>
      </c>
      <c r="BH39">
        <v>2</v>
      </c>
      <c r="BI39">
        <v>0.94918699186991795</v>
      </c>
      <c r="BJ39" t="s">
        <v>130</v>
      </c>
      <c r="BK39">
        <v>3</v>
      </c>
      <c r="BL39">
        <v>1.19705882352941</v>
      </c>
      <c r="BM39" t="s">
        <v>112</v>
      </c>
      <c r="BN39">
        <v>2</v>
      </c>
      <c r="BO39">
        <v>1.14078414606543</v>
      </c>
      <c r="BP39" t="s">
        <v>121</v>
      </c>
      <c r="BQ39">
        <v>3</v>
      </c>
      <c r="BR39">
        <v>1.14186046511627</v>
      </c>
      <c r="BS39" t="s">
        <v>128</v>
      </c>
      <c r="BT39">
        <v>2</v>
      </c>
      <c r="BU39">
        <v>0.95774487471526104</v>
      </c>
      <c r="BV39" t="s">
        <v>129</v>
      </c>
      <c r="BW39">
        <v>3</v>
      </c>
      <c r="BX39">
        <v>1.8381642512077201</v>
      </c>
      <c r="BY39" t="s">
        <v>104</v>
      </c>
      <c r="BZ39">
        <v>2</v>
      </c>
      <c r="CA39">
        <v>1.0914368650217701</v>
      </c>
      <c r="CB39" t="s">
        <v>130</v>
      </c>
      <c r="CC39">
        <v>3</v>
      </c>
      <c r="CD39">
        <v>1.0363636363636299</v>
      </c>
      <c r="CE39" t="s">
        <v>102</v>
      </c>
      <c r="CF39">
        <v>2</v>
      </c>
      <c r="CG39">
        <v>1.0157429372439</v>
      </c>
      <c r="CH39" t="s">
        <v>124</v>
      </c>
      <c r="CI39">
        <v>3</v>
      </c>
      <c r="CJ39">
        <v>1.1878172588832401</v>
      </c>
      <c r="CK39" t="s">
        <v>135</v>
      </c>
      <c r="CL39">
        <v>3</v>
      </c>
      <c r="CM39">
        <v>0.93924050632911305</v>
      </c>
      <c r="CN39" t="s">
        <v>106</v>
      </c>
      <c r="CO39">
        <v>1</v>
      </c>
      <c r="CP39">
        <v>1.17070063694267</v>
      </c>
      <c r="CQ39" t="s">
        <v>104</v>
      </c>
      <c r="CR39">
        <v>2</v>
      </c>
      <c r="CS39">
        <v>1.0502183406113501</v>
      </c>
      <c r="CT39" t="s">
        <v>144</v>
      </c>
      <c r="CU39">
        <v>3</v>
      </c>
      <c r="CV39">
        <v>0.98701298701298701</v>
      </c>
      <c r="CW39" t="s">
        <v>135</v>
      </c>
      <c r="CX39">
        <v>3</v>
      </c>
      <c r="CY39">
        <v>1</v>
      </c>
      <c r="CZ39" t="s">
        <v>135</v>
      </c>
      <c r="DA39">
        <v>3</v>
      </c>
      <c r="DB39">
        <v>1.1680672268907499</v>
      </c>
      <c r="DC39" t="s">
        <v>144</v>
      </c>
      <c r="DD39">
        <v>3</v>
      </c>
      <c r="DE39">
        <v>1.0143540669856399</v>
      </c>
      <c r="DF39" t="s">
        <v>126</v>
      </c>
      <c r="DG39">
        <v>2</v>
      </c>
      <c r="DH39">
        <v>1.14990512333965</v>
      </c>
    </row>
    <row r="40" spans="1:112" x14ac:dyDescent="0.4">
      <c r="A40">
        <v>38</v>
      </c>
      <c r="B40" t="s">
        <v>120</v>
      </c>
      <c r="C40">
        <v>2</v>
      </c>
      <c r="D40">
        <v>0.90410958904109495</v>
      </c>
      <c r="E40" t="s">
        <v>135</v>
      </c>
      <c r="F40">
        <v>2</v>
      </c>
      <c r="G40">
        <v>0.58701298701298699</v>
      </c>
      <c r="H40" t="s">
        <v>127</v>
      </c>
      <c r="I40">
        <v>2</v>
      </c>
      <c r="J40">
        <v>0.680851063829787</v>
      </c>
      <c r="K40" t="s">
        <v>102</v>
      </c>
      <c r="L40">
        <v>2</v>
      </c>
      <c r="M40">
        <v>1.0850780990362201</v>
      </c>
      <c r="N40" t="s">
        <v>97</v>
      </c>
      <c r="O40">
        <v>2</v>
      </c>
      <c r="P40">
        <v>1.18131868131868</v>
      </c>
      <c r="Q40" t="s">
        <v>128</v>
      </c>
      <c r="R40">
        <v>2</v>
      </c>
      <c r="S40">
        <v>1.5281290224880699</v>
      </c>
      <c r="T40" t="s">
        <v>120</v>
      </c>
      <c r="U40">
        <v>2</v>
      </c>
      <c r="V40">
        <v>1.1182795698924699</v>
      </c>
      <c r="W40" t="s">
        <v>124</v>
      </c>
      <c r="X40">
        <v>2</v>
      </c>
      <c r="Y40">
        <v>0.72913992297817698</v>
      </c>
      <c r="Z40" t="s">
        <v>102</v>
      </c>
      <c r="AA40">
        <v>2</v>
      </c>
      <c r="AB40">
        <v>1.0665919641427799</v>
      </c>
      <c r="AC40" t="s">
        <v>102</v>
      </c>
      <c r="AD40">
        <v>2</v>
      </c>
      <c r="AE40">
        <v>1.0311796488068401</v>
      </c>
      <c r="AF40" t="s">
        <v>102</v>
      </c>
      <c r="AG40">
        <v>2</v>
      </c>
      <c r="AH40">
        <v>0.99345049667066898</v>
      </c>
      <c r="AI40" t="s">
        <v>97</v>
      </c>
      <c r="AJ40">
        <v>2</v>
      </c>
      <c r="AK40">
        <v>1.0033444816053501</v>
      </c>
      <c r="AL40" t="s">
        <v>106</v>
      </c>
      <c r="AM40">
        <v>1</v>
      </c>
      <c r="AN40">
        <v>1.0159489633173799</v>
      </c>
      <c r="AO40" t="s">
        <v>133</v>
      </c>
      <c r="AP40">
        <v>2</v>
      </c>
      <c r="AQ40">
        <v>0.854700854700854</v>
      </c>
      <c r="AR40" t="s">
        <v>133</v>
      </c>
      <c r="AS40">
        <v>2</v>
      </c>
      <c r="AT40">
        <v>1.135</v>
      </c>
      <c r="AU40" t="s">
        <v>139</v>
      </c>
      <c r="AV40">
        <v>3</v>
      </c>
      <c r="AW40">
        <v>1.3596214511041</v>
      </c>
      <c r="AX40" t="s">
        <v>104</v>
      </c>
      <c r="AY40">
        <v>2</v>
      </c>
      <c r="AZ40">
        <v>0.73443983402489599</v>
      </c>
      <c r="BA40" t="s">
        <v>128</v>
      </c>
      <c r="BB40">
        <v>3</v>
      </c>
      <c r="BC40">
        <v>1.1080958018395399</v>
      </c>
      <c r="BD40" t="s">
        <v>133</v>
      </c>
      <c r="BE40">
        <v>3</v>
      </c>
      <c r="BF40">
        <v>0.958620689655172</v>
      </c>
      <c r="BG40" t="s">
        <v>133</v>
      </c>
      <c r="BH40">
        <v>3</v>
      </c>
      <c r="BI40">
        <v>1</v>
      </c>
      <c r="BJ40" t="s">
        <v>104</v>
      </c>
      <c r="BK40">
        <v>2</v>
      </c>
      <c r="BL40">
        <v>1.17560975609756</v>
      </c>
      <c r="BM40" t="s">
        <v>141</v>
      </c>
      <c r="BN40">
        <v>3</v>
      </c>
      <c r="BO40">
        <v>0.92635658914728602</v>
      </c>
      <c r="BP40" t="s">
        <v>102</v>
      </c>
      <c r="BQ40">
        <v>2</v>
      </c>
      <c r="BR40">
        <v>1.11143888387589</v>
      </c>
      <c r="BS40" t="s">
        <v>129</v>
      </c>
      <c r="BT40">
        <v>3</v>
      </c>
      <c r="BU40">
        <v>0.81176470588235194</v>
      </c>
      <c r="BV40" t="s">
        <v>135</v>
      </c>
      <c r="BW40">
        <v>3</v>
      </c>
      <c r="BX40">
        <v>1.1635565312842999</v>
      </c>
      <c r="BY40" t="s">
        <v>135</v>
      </c>
      <c r="BZ40">
        <v>3</v>
      </c>
      <c r="CA40">
        <v>1.1981132075471601</v>
      </c>
      <c r="CB40" t="s">
        <v>104</v>
      </c>
      <c r="CC40">
        <v>2</v>
      </c>
      <c r="CD40">
        <v>1.33510638297872</v>
      </c>
      <c r="CE40" t="s">
        <v>124</v>
      </c>
      <c r="CF40">
        <v>3</v>
      </c>
      <c r="CG40">
        <v>0.99662731871838095</v>
      </c>
      <c r="CH40" t="s">
        <v>130</v>
      </c>
      <c r="CI40">
        <v>3</v>
      </c>
      <c r="CJ40">
        <v>1.0263157894736801</v>
      </c>
      <c r="CK40" t="s">
        <v>126</v>
      </c>
      <c r="CL40">
        <v>2</v>
      </c>
      <c r="CM40">
        <v>0.91573033707865104</v>
      </c>
      <c r="CN40" t="s">
        <v>135</v>
      </c>
      <c r="CO40">
        <v>3</v>
      </c>
      <c r="CP40">
        <v>0.75202156334231796</v>
      </c>
      <c r="CQ40" t="s">
        <v>135</v>
      </c>
      <c r="CR40">
        <v>3</v>
      </c>
      <c r="CS40">
        <v>0.97132616487455103</v>
      </c>
      <c r="CT40" t="s">
        <v>143</v>
      </c>
      <c r="CU40">
        <v>2</v>
      </c>
      <c r="CV40">
        <v>1.2318339100346001</v>
      </c>
      <c r="CW40" t="s">
        <v>144</v>
      </c>
      <c r="CX40">
        <v>3</v>
      </c>
      <c r="CY40">
        <v>0.93859649122806998</v>
      </c>
      <c r="CZ40" t="s">
        <v>126</v>
      </c>
      <c r="DA40">
        <v>2</v>
      </c>
      <c r="DB40">
        <v>1.0556586270871899</v>
      </c>
      <c r="DC40" t="s">
        <v>149</v>
      </c>
      <c r="DD40">
        <v>3</v>
      </c>
      <c r="DE40">
        <v>1.0719512195121901</v>
      </c>
      <c r="DF40" t="s">
        <v>144</v>
      </c>
      <c r="DG40">
        <v>3</v>
      </c>
      <c r="DH40">
        <v>1.03301886792452</v>
      </c>
    </row>
    <row r="41" spans="1:112" x14ac:dyDescent="0.4">
      <c r="A41">
        <v>39</v>
      </c>
      <c r="B41" t="s">
        <v>124</v>
      </c>
      <c r="C41">
        <v>2</v>
      </c>
      <c r="D41">
        <v>1.26454293628808</v>
      </c>
      <c r="E41" t="s">
        <v>138</v>
      </c>
      <c r="F41">
        <v>2</v>
      </c>
      <c r="G41">
        <v>0.67758770515411604</v>
      </c>
      <c r="H41" t="s">
        <v>106</v>
      </c>
      <c r="I41">
        <v>1</v>
      </c>
      <c r="J41">
        <v>0.71309192200557103</v>
      </c>
      <c r="K41" t="s">
        <v>120</v>
      </c>
      <c r="L41">
        <v>2</v>
      </c>
      <c r="M41">
        <v>0.87323943661971803</v>
      </c>
      <c r="N41" t="s">
        <v>113</v>
      </c>
      <c r="O41">
        <v>2</v>
      </c>
      <c r="P41">
        <v>1.6859686179843001</v>
      </c>
      <c r="Q41" t="s">
        <v>133</v>
      </c>
      <c r="R41">
        <v>3</v>
      </c>
      <c r="S41">
        <v>1.109375</v>
      </c>
      <c r="T41" t="s">
        <v>124</v>
      </c>
      <c r="U41">
        <v>2</v>
      </c>
      <c r="V41">
        <v>0.83943965517241304</v>
      </c>
      <c r="W41" t="s">
        <v>104</v>
      </c>
      <c r="X41">
        <v>2</v>
      </c>
      <c r="Y41">
        <v>0.96470588235294097</v>
      </c>
      <c r="Z41" t="s">
        <v>120</v>
      </c>
      <c r="AA41">
        <v>2</v>
      </c>
      <c r="AB41">
        <v>1.1263157894736799</v>
      </c>
      <c r="AC41" t="s">
        <v>120</v>
      </c>
      <c r="AD41">
        <v>2</v>
      </c>
      <c r="AE41">
        <v>0.90467289719626098</v>
      </c>
      <c r="AF41" t="s">
        <v>120</v>
      </c>
      <c r="AG41">
        <v>2</v>
      </c>
      <c r="AH41">
        <v>1.10330578512396</v>
      </c>
      <c r="AI41" t="s">
        <v>113</v>
      </c>
      <c r="AJ41">
        <v>2</v>
      </c>
      <c r="AK41">
        <v>0.83742331288343497</v>
      </c>
      <c r="AL41" t="s">
        <v>128</v>
      </c>
      <c r="AM41">
        <v>2</v>
      </c>
      <c r="AN41">
        <v>0.98417898521773794</v>
      </c>
      <c r="AO41" t="s">
        <v>136</v>
      </c>
      <c r="AP41">
        <v>3</v>
      </c>
      <c r="AQ41">
        <v>0.84494417361220298</v>
      </c>
      <c r="AR41" t="s">
        <v>136</v>
      </c>
      <c r="AS41">
        <v>3</v>
      </c>
      <c r="AT41">
        <v>0.74911595012097498</v>
      </c>
      <c r="AU41" t="s">
        <v>143</v>
      </c>
      <c r="AV41">
        <v>2</v>
      </c>
      <c r="AW41">
        <v>1.70553935860058</v>
      </c>
      <c r="AX41" t="s">
        <v>106</v>
      </c>
      <c r="AY41">
        <v>1</v>
      </c>
      <c r="AZ41">
        <v>0.82451253481894105</v>
      </c>
      <c r="BA41" t="s">
        <v>133</v>
      </c>
      <c r="BB41">
        <v>3</v>
      </c>
      <c r="BC41">
        <v>1.0431654676258899</v>
      </c>
      <c r="BD41" t="s">
        <v>140</v>
      </c>
      <c r="BE41">
        <v>3</v>
      </c>
      <c r="BF41">
        <v>1.0714285714285701</v>
      </c>
      <c r="BG41" t="s">
        <v>140</v>
      </c>
      <c r="BH41">
        <v>3</v>
      </c>
      <c r="BI41">
        <v>1.2833333333333301</v>
      </c>
      <c r="BJ41" t="s">
        <v>106</v>
      </c>
      <c r="BK41">
        <v>1</v>
      </c>
      <c r="BL41">
        <v>1.2052631578947299</v>
      </c>
      <c r="BM41" t="s">
        <v>102</v>
      </c>
      <c r="BN41">
        <v>2</v>
      </c>
      <c r="BO41">
        <v>1.00435707065425</v>
      </c>
      <c r="BP41" t="s">
        <v>124</v>
      </c>
      <c r="BQ41">
        <v>3</v>
      </c>
      <c r="BR41">
        <v>1.00596421471172</v>
      </c>
      <c r="BS41" t="s">
        <v>133</v>
      </c>
      <c r="BT41">
        <v>3</v>
      </c>
      <c r="BU41">
        <v>1.2923076923076899</v>
      </c>
      <c r="BV41" t="s">
        <v>149</v>
      </c>
      <c r="BW41">
        <v>3</v>
      </c>
      <c r="BX41">
        <v>1.1886363636363599</v>
      </c>
      <c r="BY41" t="s">
        <v>144</v>
      </c>
      <c r="BZ41">
        <v>3</v>
      </c>
      <c r="CA41">
        <v>0.86483984447324502</v>
      </c>
      <c r="CB41" t="s">
        <v>135</v>
      </c>
      <c r="CC41">
        <v>3</v>
      </c>
      <c r="CD41">
        <v>0.87401574803149595</v>
      </c>
      <c r="CE41" t="s">
        <v>130</v>
      </c>
      <c r="CF41">
        <v>3</v>
      </c>
      <c r="CG41">
        <v>1.1111111111111101</v>
      </c>
      <c r="CH41" t="s">
        <v>135</v>
      </c>
      <c r="CI41">
        <v>3</v>
      </c>
      <c r="CJ41">
        <v>1.17210682492581</v>
      </c>
      <c r="CK41" t="s">
        <v>144</v>
      </c>
      <c r="CL41">
        <v>3</v>
      </c>
      <c r="CM41">
        <v>1.39426877470355</v>
      </c>
      <c r="CN41" t="s">
        <v>126</v>
      </c>
      <c r="CO41">
        <v>2</v>
      </c>
      <c r="CP41">
        <v>1.13087934560327</v>
      </c>
      <c r="CQ41" t="s">
        <v>144</v>
      </c>
      <c r="CR41">
        <v>3</v>
      </c>
      <c r="CS41">
        <v>0.90340242471646404</v>
      </c>
      <c r="CT41" t="s">
        <v>146</v>
      </c>
      <c r="CU41">
        <v>3</v>
      </c>
      <c r="CV41">
        <v>1.1189591078066901</v>
      </c>
      <c r="CW41" t="s">
        <v>149</v>
      </c>
      <c r="CX41">
        <v>3</v>
      </c>
      <c r="CY41">
        <v>0.99484536082474195</v>
      </c>
      <c r="CZ41" t="s">
        <v>144</v>
      </c>
      <c r="DA41">
        <v>3</v>
      </c>
      <c r="DB41">
        <v>0.97663551401869098</v>
      </c>
      <c r="DC41" t="s">
        <v>147</v>
      </c>
      <c r="DD41">
        <v>2</v>
      </c>
      <c r="DE41">
        <v>1.06321839080459</v>
      </c>
      <c r="DF41" t="s">
        <v>149</v>
      </c>
      <c r="DG41">
        <v>3</v>
      </c>
      <c r="DH41">
        <v>1.032992036405</v>
      </c>
    </row>
    <row r="42" spans="1:112" x14ac:dyDescent="0.4">
      <c r="A42">
        <v>40</v>
      </c>
      <c r="B42" t="s">
        <v>127</v>
      </c>
      <c r="C42">
        <v>2</v>
      </c>
      <c r="D42">
        <v>0.99272197962154296</v>
      </c>
      <c r="E42" t="s">
        <v>133</v>
      </c>
      <c r="F42">
        <v>3</v>
      </c>
      <c r="G42">
        <v>0.976958525345622</v>
      </c>
      <c r="H42" t="s">
        <v>128</v>
      </c>
      <c r="I42">
        <v>2</v>
      </c>
      <c r="J42">
        <v>0.68182862393751398</v>
      </c>
      <c r="K42" t="s">
        <v>124</v>
      </c>
      <c r="L42">
        <v>2</v>
      </c>
      <c r="M42">
        <v>0.88932038834951399</v>
      </c>
      <c r="N42" t="s">
        <v>112</v>
      </c>
      <c r="O42">
        <v>2</v>
      </c>
      <c r="P42">
        <v>1.2718679826622801</v>
      </c>
      <c r="Q42" t="s">
        <v>109</v>
      </c>
      <c r="R42">
        <v>2</v>
      </c>
      <c r="S42">
        <v>1.1559999999999999</v>
      </c>
      <c r="T42" t="s">
        <v>106</v>
      </c>
      <c r="U42">
        <v>1</v>
      </c>
      <c r="V42">
        <v>1.1320754716981101</v>
      </c>
      <c r="W42" t="s">
        <v>106</v>
      </c>
      <c r="X42">
        <v>1</v>
      </c>
      <c r="Y42">
        <v>0.97916666666666596</v>
      </c>
      <c r="Z42" t="s">
        <v>124</v>
      </c>
      <c r="AA42">
        <v>2</v>
      </c>
      <c r="AB42">
        <v>1.06866197183098</v>
      </c>
      <c r="AC42" t="s">
        <v>124</v>
      </c>
      <c r="AD42">
        <v>2</v>
      </c>
      <c r="AE42">
        <v>0.97364085667215805</v>
      </c>
      <c r="AF42" t="s">
        <v>124</v>
      </c>
      <c r="AG42">
        <v>2</v>
      </c>
      <c r="AH42">
        <v>0.90693739424703801</v>
      </c>
      <c r="AI42" t="s">
        <v>112</v>
      </c>
      <c r="AJ42">
        <v>2</v>
      </c>
      <c r="AK42">
        <v>1.0102415795081401</v>
      </c>
      <c r="AL42" t="s">
        <v>133</v>
      </c>
      <c r="AM42">
        <v>3</v>
      </c>
      <c r="AN42">
        <v>0.92490118577075098</v>
      </c>
      <c r="AO42" t="s">
        <v>148</v>
      </c>
      <c r="AP42">
        <v>3</v>
      </c>
      <c r="AQ42">
        <v>0.87659110195175105</v>
      </c>
      <c r="AR42" t="s">
        <v>139</v>
      </c>
      <c r="AS42">
        <v>3</v>
      </c>
      <c r="AT42">
        <v>0.68318965517241304</v>
      </c>
      <c r="AU42" t="s">
        <v>146</v>
      </c>
      <c r="AV42">
        <v>3</v>
      </c>
      <c r="AW42">
        <v>1.43867991149192</v>
      </c>
      <c r="AX42" t="s">
        <v>128</v>
      </c>
      <c r="AY42">
        <v>3</v>
      </c>
      <c r="AZ42">
        <v>0.88094665062174005</v>
      </c>
      <c r="BA42" t="s">
        <v>139</v>
      </c>
      <c r="BB42">
        <v>3</v>
      </c>
      <c r="BC42">
        <v>1.0363196125907901</v>
      </c>
      <c r="BD42" t="s">
        <v>139</v>
      </c>
      <c r="BE42">
        <v>3</v>
      </c>
      <c r="BF42">
        <v>0.75</v>
      </c>
      <c r="BG42" t="s">
        <v>139</v>
      </c>
      <c r="BH42">
        <v>3</v>
      </c>
      <c r="BI42">
        <v>0.70093457943925197</v>
      </c>
      <c r="BJ42" t="s">
        <v>128</v>
      </c>
      <c r="BK42">
        <v>3</v>
      </c>
      <c r="BL42">
        <v>0.81435148118494705</v>
      </c>
      <c r="BM42" t="s">
        <v>124</v>
      </c>
      <c r="BN42">
        <v>3</v>
      </c>
      <c r="BO42">
        <v>1.0349794238683101</v>
      </c>
      <c r="BP42" t="s">
        <v>130</v>
      </c>
      <c r="BQ42">
        <v>3</v>
      </c>
      <c r="BR42">
        <v>1.20604395604395</v>
      </c>
      <c r="BS42" t="s">
        <v>149</v>
      </c>
      <c r="BT42">
        <v>3</v>
      </c>
      <c r="BU42">
        <v>0.88888888888888795</v>
      </c>
      <c r="BV42" t="s">
        <v>143</v>
      </c>
      <c r="BW42">
        <v>2</v>
      </c>
      <c r="BX42">
        <v>1.2</v>
      </c>
      <c r="BY42" t="s">
        <v>149</v>
      </c>
      <c r="BZ42">
        <v>3</v>
      </c>
      <c r="CA42">
        <v>1.3403441682600299</v>
      </c>
      <c r="CB42" t="s">
        <v>144</v>
      </c>
      <c r="CC42">
        <v>3</v>
      </c>
      <c r="CD42">
        <v>0.753157782059516</v>
      </c>
      <c r="CE42" t="s">
        <v>104</v>
      </c>
      <c r="CF42">
        <v>2</v>
      </c>
      <c r="CG42">
        <v>1.1812749003984</v>
      </c>
      <c r="CH42" t="s">
        <v>126</v>
      </c>
      <c r="CI42">
        <v>2</v>
      </c>
      <c r="CJ42">
        <v>1.1125</v>
      </c>
      <c r="CK42" t="s">
        <v>149</v>
      </c>
      <c r="CL42">
        <v>3</v>
      </c>
      <c r="CM42">
        <v>0.75499092558983605</v>
      </c>
      <c r="CN42" t="s">
        <v>149</v>
      </c>
      <c r="CO42">
        <v>3</v>
      </c>
      <c r="CP42">
        <v>1.0096153846153799</v>
      </c>
      <c r="CQ42" t="s">
        <v>149</v>
      </c>
      <c r="CR42">
        <v>3</v>
      </c>
      <c r="CS42">
        <v>0.911904761904761</v>
      </c>
      <c r="CT42" t="s">
        <v>152</v>
      </c>
      <c r="CU42">
        <v>2</v>
      </c>
      <c r="CV42">
        <v>1.0871559633027501</v>
      </c>
      <c r="CW42" t="s">
        <v>143</v>
      </c>
      <c r="CX42">
        <v>3</v>
      </c>
      <c r="CY42">
        <v>0.925561797752809</v>
      </c>
      <c r="CZ42" t="s">
        <v>149</v>
      </c>
      <c r="DA42">
        <v>3</v>
      </c>
      <c r="DB42">
        <v>1.0621761658030999</v>
      </c>
      <c r="DC42" t="s">
        <v>143</v>
      </c>
      <c r="DD42">
        <v>3</v>
      </c>
      <c r="DE42">
        <v>1.2947976878612699</v>
      </c>
      <c r="DF42" t="s">
        <v>143</v>
      </c>
      <c r="DG42">
        <v>3</v>
      </c>
      <c r="DH42">
        <v>0.85178571428571404</v>
      </c>
    </row>
    <row r="43" spans="1:112" x14ac:dyDescent="0.4">
      <c r="A43">
        <v>41</v>
      </c>
      <c r="B43" t="s">
        <v>128</v>
      </c>
      <c r="C43">
        <v>2</v>
      </c>
      <c r="D43">
        <v>0.99170193807083895</v>
      </c>
      <c r="E43" t="s">
        <v>109</v>
      </c>
      <c r="F43">
        <v>2</v>
      </c>
      <c r="G43">
        <v>1.0691056910569099</v>
      </c>
      <c r="H43" t="s">
        <v>132</v>
      </c>
      <c r="I43">
        <v>3</v>
      </c>
      <c r="J43">
        <v>0.47277937327230402</v>
      </c>
      <c r="K43" t="s">
        <v>127</v>
      </c>
      <c r="L43">
        <v>2</v>
      </c>
      <c r="M43">
        <v>1.36363636363636</v>
      </c>
      <c r="N43" t="s">
        <v>102</v>
      </c>
      <c r="O43">
        <v>2</v>
      </c>
      <c r="P43">
        <v>1.4540800700065599</v>
      </c>
      <c r="Q43" t="s">
        <v>143</v>
      </c>
      <c r="R43">
        <v>2</v>
      </c>
      <c r="S43">
        <v>0.92074592074591999</v>
      </c>
      <c r="T43" t="s">
        <v>133</v>
      </c>
      <c r="U43">
        <v>3</v>
      </c>
      <c r="V43">
        <v>0.91830985915492902</v>
      </c>
      <c r="W43" t="s">
        <v>128</v>
      </c>
      <c r="X43">
        <v>2</v>
      </c>
      <c r="Y43">
        <v>1.3136990645314699</v>
      </c>
      <c r="Z43" t="s">
        <v>104</v>
      </c>
      <c r="AA43">
        <v>2</v>
      </c>
      <c r="AB43">
        <v>1.1493902439024299</v>
      </c>
      <c r="AC43" t="s">
        <v>104</v>
      </c>
      <c r="AD43">
        <v>2</v>
      </c>
      <c r="AE43">
        <v>0.85543766578249303</v>
      </c>
      <c r="AF43" t="s">
        <v>104</v>
      </c>
      <c r="AG43">
        <v>2</v>
      </c>
      <c r="AH43">
        <v>1.02325581395348</v>
      </c>
      <c r="AI43" t="s">
        <v>102</v>
      </c>
      <c r="AJ43">
        <v>2</v>
      </c>
      <c r="AK43">
        <v>0.93905431637548897</v>
      </c>
      <c r="AL43" t="s">
        <v>109</v>
      </c>
      <c r="AM43">
        <v>2</v>
      </c>
      <c r="AN43">
        <v>1.2419825072886199</v>
      </c>
      <c r="AO43" t="s">
        <v>139</v>
      </c>
      <c r="AP43">
        <v>3</v>
      </c>
      <c r="AQ43">
        <v>1.08411214953271</v>
      </c>
      <c r="AR43" t="s">
        <v>143</v>
      </c>
      <c r="AS43">
        <v>2</v>
      </c>
      <c r="AT43">
        <v>0.79582366589327103</v>
      </c>
      <c r="AU43" t="s">
        <v>152</v>
      </c>
      <c r="AV43">
        <v>2</v>
      </c>
      <c r="AW43">
        <v>1.07490636704119</v>
      </c>
      <c r="AX43" t="s">
        <v>133</v>
      </c>
      <c r="AY43">
        <v>2</v>
      </c>
      <c r="AZ43">
        <v>1.02583025830258</v>
      </c>
      <c r="BA43" t="s">
        <v>143</v>
      </c>
      <c r="BB43">
        <v>2</v>
      </c>
      <c r="BC43">
        <v>0.93052631578947298</v>
      </c>
      <c r="BD43" t="s">
        <v>143</v>
      </c>
      <c r="BE43">
        <v>2</v>
      </c>
      <c r="BF43">
        <v>1.0282805429864199</v>
      </c>
      <c r="BG43" t="s">
        <v>143</v>
      </c>
      <c r="BH43">
        <v>2</v>
      </c>
      <c r="BI43">
        <v>1</v>
      </c>
      <c r="BJ43" t="s">
        <v>126</v>
      </c>
      <c r="BK43">
        <v>2</v>
      </c>
      <c r="BL43">
        <v>1.06423982869379</v>
      </c>
      <c r="BM43" t="s">
        <v>130</v>
      </c>
      <c r="BN43">
        <v>3</v>
      </c>
      <c r="BO43">
        <v>0.89434889434889397</v>
      </c>
      <c r="BP43" t="s">
        <v>104</v>
      </c>
      <c r="BQ43">
        <v>2</v>
      </c>
      <c r="BR43">
        <v>0.84782608695652095</v>
      </c>
      <c r="BS43" t="s">
        <v>143</v>
      </c>
      <c r="BT43">
        <v>2</v>
      </c>
      <c r="BU43">
        <v>1.2602579132473599</v>
      </c>
      <c r="BV43" t="s">
        <v>146</v>
      </c>
      <c r="BW43">
        <v>2</v>
      </c>
      <c r="BX43">
        <v>0.74161053086953799</v>
      </c>
      <c r="BY43" t="s">
        <v>143</v>
      </c>
      <c r="BZ43">
        <v>2</v>
      </c>
      <c r="CA43">
        <v>0.724806201550387</v>
      </c>
      <c r="CB43" t="s">
        <v>149</v>
      </c>
      <c r="CC43">
        <v>3</v>
      </c>
      <c r="CD43">
        <v>0.844507845934379</v>
      </c>
      <c r="CE43" t="s">
        <v>128</v>
      </c>
      <c r="CF43">
        <v>3</v>
      </c>
      <c r="CG43">
        <v>1.2755905511811001</v>
      </c>
      <c r="CH43" t="s">
        <v>144</v>
      </c>
      <c r="CI43">
        <v>3</v>
      </c>
      <c r="CJ43">
        <v>1.30300429184549</v>
      </c>
      <c r="CK43" t="s">
        <v>147</v>
      </c>
      <c r="CL43">
        <v>2</v>
      </c>
      <c r="CM43">
        <v>1.03779069767441</v>
      </c>
      <c r="CN43" t="s">
        <v>143</v>
      </c>
      <c r="CO43">
        <v>2</v>
      </c>
      <c r="CP43">
        <v>0.81014492753623102</v>
      </c>
      <c r="CQ43" t="s">
        <v>143</v>
      </c>
      <c r="CR43">
        <v>2</v>
      </c>
      <c r="CS43">
        <v>1.0339892665474</v>
      </c>
      <c r="CT43" t="s">
        <v>154</v>
      </c>
      <c r="CU43">
        <v>2</v>
      </c>
      <c r="CV43">
        <v>0.94754098360655703</v>
      </c>
      <c r="CW43" t="s">
        <v>152</v>
      </c>
      <c r="CX43">
        <v>3</v>
      </c>
      <c r="CY43">
        <v>0.949367088607594</v>
      </c>
      <c r="CZ43" t="s">
        <v>147</v>
      </c>
      <c r="DA43">
        <v>2</v>
      </c>
      <c r="DB43">
        <v>0.77678571428571397</v>
      </c>
      <c r="DC43" t="s">
        <v>146</v>
      </c>
      <c r="DD43">
        <v>3</v>
      </c>
      <c r="DE43">
        <v>1.35</v>
      </c>
      <c r="DF43" t="s">
        <v>146</v>
      </c>
      <c r="DG43">
        <v>3</v>
      </c>
      <c r="DH43">
        <v>0.96969696969696895</v>
      </c>
    </row>
    <row r="44" spans="1:112" x14ac:dyDescent="0.4">
      <c r="A44">
        <v>42</v>
      </c>
      <c r="B44" t="s">
        <v>132</v>
      </c>
      <c r="C44">
        <v>3</v>
      </c>
      <c r="D44">
        <v>1.1588785631437899</v>
      </c>
      <c r="E44" t="s">
        <v>143</v>
      </c>
      <c r="F44">
        <v>2</v>
      </c>
      <c r="G44">
        <v>0.99842519685039299</v>
      </c>
      <c r="H44" t="s">
        <v>138</v>
      </c>
      <c r="I44">
        <v>2</v>
      </c>
      <c r="J44">
        <v>0.38040828486207001</v>
      </c>
      <c r="K44" t="s">
        <v>106</v>
      </c>
      <c r="L44">
        <v>1</v>
      </c>
      <c r="M44">
        <v>1.11328125</v>
      </c>
      <c r="N44" t="s">
        <v>120</v>
      </c>
      <c r="O44">
        <v>2</v>
      </c>
      <c r="P44">
        <v>1.4032258064516101</v>
      </c>
      <c r="Q44" t="s">
        <v>146</v>
      </c>
      <c r="R44">
        <v>2</v>
      </c>
      <c r="S44">
        <v>0.89455601258165895</v>
      </c>
      <c r="T44" t="s">
        <v>109</v>
      </c>
      <c r="U44">
        <v>2</v>
      </c>
      <c r="V44">
        <v>1.0415224913494801</v>
      </c>
      <c r="W44" t="s">
        <v>133</v>
      </c>
      <c r="X44">
        <v>3</v>
      </c>
      <c r="Y44">
        <v>0.91717791411042904</v>
      </c>
      <c r="Z44" t="s">
        <v>106</v>
      </c>
      <c r="AA44">
        <v>1</v>
      </c>
      <c r="AB44">
        <v>0.79574468085106298</v>
      </c>
      <c r="AC44" t="s">
        <v>127</v>
      </c>
      <c r="AD44">
        <v>2</v>
      </c>
      <c r="AE44">
        <v>1.0447530864197501</v>
      </c>
      <c r="AF44" t="s">
        <v>106</v>
      </c>
      <c r="AG44">
        <v>1</v>
      </c>
      <c r="AH44">
        <v>1.1241610738254999</v>
      </c>
      <c r="AI44" t="s">
        <v>120</v>
      </c>
      <c r="AJ44">
        <v>2</v>
      </c>
      <c r="AK44">
        <v>0.94569288389513095</v>
      </c>
      <c r="AL44" t="s">
        <v>143</v>
      </c>
      <c r="AM44">
        <v>2</v>
      </c>
      <c r="AN44">
        <v>1.26657060518731</v>
      </c>
      <c r="AO44" t="s">
        <v>149</v>
      </c>
      <c r="AP44">
        <v>3</v>
      </c>
      <c r="AQ44">
        <v>0.71410736579275902</v>
      </c>
      <c r="AR44" t="s">
        <v>146</v>
      </c>
      <c r="AS44">
        <v>3</v>
      </c>
      <c r="AT44">
        <v>0.97471549192364104</v>
      </c>
      <c r="AU44" t="s">
        <v>154</v>
      </c>
      <c r="AV44">
        <v>2</v>
      </c>
      <c r="AW44">
        <v>0.99051008303677301</v>
      </c>
      <c r="AX44" t="s">
        <v>140</v>
      </c>
      <c r="AY44">
        <v>3</v>
      </c>
      <c r="AZ44">
        <v>0.94568690095846597</v>
      </c>
      <c r="BA44" t="s">
        <v>117</v>
      </c>
      <c r="BB44">
        <v>3</v>
      </c>
      <c r="BC44">
        <v>1.08</v>
      </c>
      <c r="BD44" t="s">
        <v>146</v>
      </c>
      <c r="BE44">
        <v>2</v>
      </c>
      <c r="BF44">
        <v>0.79853765537411603</v>
      </c>
      <c r="BG44" t="s">
        <v>146</v>
      </c>
      <c r="BH44">
        <v>2</v>
      </c>
      <c r="BI44">
        <v>1.15443779758271</v>
      </c>
      <c r="BJ44" t="s">
        <v>133</v>
      </c>
      <c r="BK44">
        <v>3</v>
      </c>
      <c r="BL44">
        <v>1.0071942446043101</v>
      </c>
      <c r="BM44" t="s">
        <v>104</v>
      </c>
      <c r="BN44">
        <v>2</v>
      </c>
      <c r="BO44">
        <v>0.85892116182572598</v>
      </c>
      <c r="BP44" t="s">
        <v>128</v>
      </c>
      <c r="BQ44">
        <v>2</v>
      </c>
      <c r="BR44">
        <v>1.1451676014086301</v>
      </c>
      <c r="BS44" t="s">
        <v>146</v>
      </c>
      <c r="BT44">
        <v>2</v>
      </c>
      <c r="BU44">
        <v>0.97288359788359702</v>
      </c>
      <c r="BV44" t="s">
        <v>152</v>
      </c>
      <c r="BW44">
        <v>2</v>
      </c>
      <c r="BX44">
        <v>1.0540184453227901</v>
      </c>
      <c r="BY44" t="s">
        <v>146</v>
      </c>
      <c r="BZ44">
        <v>2</v>
      </c>
      <c r="CA44">
        <v>0.68583333333333296</v>
      </c>
      <c r="CB44" t="s">
        <v>143</v>
      </c>
      <c r="CC44">
        <v>2</v>
      </c>
      <c r="CD44">
        <v>0.92620320855614902</v>
      </c>
      <c r="CE44" t="s">
        <v>135</v>
      </c>
      <c r="CF44">
        <v>3</v>
      </c>
      <c r="CG44">
        <v>1.5180180180180101</v>
      </c>
      <c r="CH44" t="s">
        <v>149</v>
      </c>
      <c r="CI44">
        <v>3</v>
      </c>
      <c r="CJ44">
        <v>0.97868561278863198</v>
      </c>
      <c r="CK44" t="s">
        <v>143</v>
      </c>
      <c r="CL44">
        <v>2</v>
      </c>
      <c r="CM44">
        <v>0.94133697135061301</v>
      </c>
      <c r="CN44" t="s">
        <v>146</v>
      </c>
      <c r="CO44">
        <v>3</v>
      </c>
      <c r="CP44">
        <v>0.66589327146171695</v>
      </c>
      <c r="CQ44" t="s">
        <v>146</v>
      </c>
      <c r="CR44">
        <v>3</v>
      </c>
      <c r="CS44">
        <v>0.93728222996515598</v>
      </c>
      <c r="CT44" t="s">
        <v>114</v>
      </c>
      <c r="CU44">
        <v>2</v>
      </c>
      <c r="CV44">
        <v>0.91133004926108296</v>
      </c>
      <c r="CW44" t="s">
        <v>154</v>
      </c>
      <c r="CX44">
        <v>2</v>
      </c>
      <c r="CY44">
        <v>0.865051903114186</v>
      </c>
      <c r="CZ44" t="s">
        <v>143</v>
      </c>
      <c r="DA44">
        <v>3</v>
      </c>
      <c r="DB44">
        <v>1.31259484066767</v>
      </c>
      <c r="DC44" t="s">
        <v>161</v>
      </c>
      <c r="DD44">
        <v>3</v>
      </c>
      <c r="DE44">
        <v>0.95774647887323905</v>
      </c>
      <c r="DF44" t="s">
        <v>161</v>
      </c>
      <c r="DG44">
        <v>3</v>
      </c>
      <c r="DH44">
        <v>1.1094771241829999</v>
      </c>
    </row>
    <row r="45" spans="1:112" x14ac:dyDescent="0.4">
      <c r="A45">
        <v>43</v>
      </c>
      <c r="B45" t="s">
        <v>135</v>
      </c>
      <c r="C45">
        <v>2</v>
      </c>
      <c r="D45">
        <v>0.83393501805054104</v>
      </c>
      <c r="E45" t="s">
        <v>146</v>
      </c>
      <c r="F45">
        <v>2</v>
      </c>
      <c r="G45">
        <v>0.72622261489880402</v>
      </c>
      <c r="H45" t="s">
        <v>133</v>
      </c>
      <c r="I45">
        <v>3</v>
      </c>
      <c r="J45">
        <v>0.52358490566037696</v>
      </c>
      <c r="K45" t="s">
        <v>128</v>
      </c>
      <c r="L45">
        <v>2</v>
      </c>
      <c r="M45">
        <v>1.14993261455525</v>
      </c>
      <c r="N45" t="s">
        <v>124</v>
      </c>
      <c r="O45">
        <v>2</v>
      </c>
      <c r="P45">
        <v>1.7751091703056701</v>
      </c>
      <c r="Q45" t="s">
        <v>117</v>
      </c>
      <c r="R45">
        <v>2</v>
      </c>
      <c r="S45">
        <v>1.1016377649325599</v>
      </c>
      <c r="T45" t="s">
        <v>147</v>
      </c>
      <c r="U45">
        <v>2</v>
      </c>
      <c r="V45">
        <v>0.85823765960807097</v>
      </c>
      <c r="W45" t="s">
        <v>156</v>
      </c>
      <c r="X45">
        <v>2</v>
      </c>
      <c r="Y45">
        <v>0.83783583746576795</v>
      </c>
      <c r="Z45" t="s">
        <v>128</v>
      </c>
      <c r="AA45">
        <v>2</v>
      </c>
      <c r="AB45">
        <v>0.81787460020517699</v>
      </c>
      <c r="AC45" t="s">
        <v>106</v>
      </c>
      <c r="AD45">
        <v>1</v>
      </c>
      <c r="AE45">
        <v>1.0623885918003499</v>
      </c>
      <c r="AF45" t="s">
        <v>128</v>
      </c>
      <c r="AG45">
        <v>2</v>
      </c>
      <c r="AH45">
        <v>1.01380271871732</v>
      </c>
      <c r="AI45" t="s">
        <v>124</v>
      </c>
      <c r="AJ45">
        <v>2</v>
      </c>
      <c r="AK45">
        <v>0.85074626865671599</v>
      </c>
      <c r="AL45" t="s">
        <v>146</v>
      </c>
      <c r="AM45">
        <v>3</v>
      </c>
      <c r="AN45">
        <v>0.80789058838566696</v>
      </c>
      <c r="AO45" t="s">
        <v>143</v>
      </c>
      <c r="AP45">
        <v>2</v>
      </c>
      <c r="AQ45">
        <v>0.98065984072809997</v>
      </c>
      <c r="AR45" t="s">
        <v>152</v>
      </c>
      <c r="AS45">
        <v>2</v>
      </c>
      <c r="AT45">
        <v>1.02298850574712</v>
      </c>
      <c r="AU45" t="s">
        <v>114</v>
      </c>
      <c r="AV45">
        <v>2</v>
      </c>
      <c r="AW45">
        <v>1.0314960629921199</v>
      </c>
      <c r="AX45" t="s">
        <v>143</v>
      </c>
      <c r="AY45">
        <v>2</v>
      </c>
      <c r="AZ45">
        <v>0.81196581196581197</v>
      </c>
      <c r="BA45" t="s">
        <v>152</v>
      </c>
      <c r="BB45">
        <v>2</v>
      </c>
      <c r="BC45">
        <v>1.12415654520917</v>
      </c>
      <c r="BD45" t="s">
        <v>117</v>
      </c>
      <c r="BE45">
        <v>3</v>
      </c>
      <c r="BF45">
        <v>1.3179012345679</v>
      </c>
      <c r="BG45" t="s">
        <v>117</v>
      </c>
      <c r="BH45">
        <v>3</v>
      </c>
      <c r="BI45">
        <v>1.1615925058548</v>
      </c>
      <c r="BJ45" t="s">
        <v>143</v>
      </c>
      <c r="BK45">
        <v>2</v>
      </c>
      <c r="BL45">
        <v>1.33663366336633</v>
      </c>
      <c r="BM45" t="s">
        <v>106</v>
      </c>
      <c r="BN45">
        <v>1</v>
      </c>
      <c r="BO45">
        <v>1.2183406113537101</v>
      </c>
      <c r="BP45" t="s">
        <v>133</v>
      </c>
      <c r="BQ45">
        <v>3</v>
      </c>
      <c r="BR45">
        <v>0.94545454545454499</v>
      </c>
      <c r="BS45" t="s">
        <v>152</v>
      </c>
      <c r="BT45">
        <v>2</v>
      </c>
      <c r="BU45">
        <v>0.98956975228161603</v>
      </c>
      <c r="BV45" t="s">
        <v>154</v>
      </c>
      <c r="BW45">
        <v>3</v>
      </c>
      <c r="BX45">
        <v>1.0340909090909001</v>
      </c>
      <c r="BY45" t="s">
        <v>152</v>
      </c>
      <c r="BZ45">
        <v>3</v>
      </c>
      <c r="CA45">
        <v>1.1000000000000001</v>
      </c>
      <c r="CB45" t="s">
        <v>146</v>
      </c>
      <c r="CC45">
        <v>2</v>
      </c>
      <c r="CD45">
        <v>0.862697448359659</v>
      </c>
      <c r="CE45" t="s">
        <v>149</v>
      </c>
      <c r="CF45">
        <v>3</v>
      </c>
      <c r="CG45">
        <v>0.95101351351351304</v>
      </c>
      <c r="CH45" t="s">
        <v>143</v>
      </c>
      <c r="CI45">
        <v>2</v>
      </c>
      <c r="CJ45">
        <v>0.868483412322274</v>
      </c>
      <c r="CK45" t="s">
        <v>146</v>
      </c>
      <c r="CL45">
        <v>3</v>
      </c>
      <c r="CM45">
        <v>1.16172506738544</v>
      </c>
      <c r="CN45" t="s">
        <v>154</v>
      </c>
      <c r="CO45">
        <v>2</v>
      </c>
      <c r="CP45">
        <v>0.76885644768856398</v>
      </c>
      <c r="CQ45" t="s">
        <v>154</v>
      </c>
      <c r="CR45">
        <v>2</v>
      </c>
      <c r="CS45">
        <v>0.965189873417721</v>
      </c>
      <c r="CT45" t="s">
        <v>160</v>
      </c>
      <c r="CU45">
        <v>3</v>
      </c>
      <c r="CV45">
        <v>1.01370851370851</v>
      </c>
      <c r="CW45" t="s">
        <v>114</v>
      </c>
      <c r="CX45">
        <v>2</v>
      </c>
      <c r="CY45">
        <v>0.89945945945945904</v>
      </c>
      <c r="CZ45" t="s">
        <v>152</v>
      </c>
      <c r="DA45">
        <v>3</v>
      </c>
      <c r="DB45">
        <v>1.0888888888888799</v>
      </c>
      <c r="DC45" t="s">
        <v>152</v>
      </c>
      <c r="DD45">
        <v>3</v>
      </c>
      <c r="DE45">
        <v>1.04489795918367</v>
      </c>
      <c r="DF45" t="s">
        <v>154</v>
      </c>
      <c r="DG45">
        <v>2</v>
      </c>
      <c r="DH45">
        <v>1.02145922746781</v>
      </c>
    </row>
    <row r="46" spans="1:112" x14ac:dyDescent="0.4">
      <c r="A46">
        <v>44</v>
      </c>
      <c r="B46" t="s">
        <v>138</v>
      </c>
      <c r="C46">
        <v>2</v>
      </c>
      <c r="D46">
        <v>0.87481021899382105</v>
      </c>
      <c r="E46" t="s">
        <v>117</v>
      </c>
      <c r="F46">
        <v>2</v>
      </c>
      <c r="G46">
        <v>0.71274738067520305</v>
      </c>
      <c r="H46" t="s">
        <v>156</v>
      </c>
      <c r="I46">
        <v>3</v>
      </c>
      <c r="J46">
        <v>0.5</v>
      </c>
      <c r="K46" t="s">
        <v>126</v>
      </c>
      <c r="L46">
        <v>2</v>
      </c>
      <c r="M46">
        <v>1.02755905511811</v>
      </c>
      <c r="N46" t="s">
        <v>127</v>
      </c>
      <c r="O46">
        <v>2</v>
      </c>
      <c r="P46">
        <v>1.7958333333333301</v>
      </c>
      <c r="Q46" t="s">
        <v>152</v>
      </c>
      <c r="R46">
        <v>2</v>
      </c>
      <c r="S46">
        <v>1.0122324159021401</v>
      </c>
      <c r="T46" t="s">
        <v>143</v>
      </c>
      <c r="U46">
        <v>2</v>
      </c>
      <c r="V46">
        <v>0.816455696202531</v>
      </c>
      <c r="W46" t="s">
        <v>109</v>
      </c>
      <c r="X46">
        <v>2</v>
      </c>
      <c r="Y46">
        <v>0.78737541528239197</v>
      </c>
      <c r="Z46" t="s">
        <v>133</v>
      </c>
      <c r="AA46">
        <v>3</v>
      </c>
      <c r="AB46">
        <v>1.4604236343366701</v>
      </c>
      <c r="AC46" t="s">
        <v>128</v>
      </c>
      <c r="AD46">
        <v>2</v>
      </c>
      <c r="AE46">
        <v>1.05843724636611</v>
      </c>
      <c r="AF46" t="s">
        <v>133</v>
      </c>
      <c r="AG46">
        <v>3</v>
      </c>
      <c r="AH46">
        <v>1.12355212355212</v>
      </c>
      <c r="AI46" t="s">
        <v>104</v>
      </c>
      <c r="AJ46">
        <v>2</v>
      </c>
      <c r="AK46">
        <v>0.90909090909090895</v>
      </c>
      <c r="AL46" t="s">
        <v>152</v>
      </c>
      <c r="AM46">
        <v>2</v>
      </c>
      <c r="AN46">
        <v>0.97943444730077101</v>
      </c>
      <c r="AO46" t="s">
        <v>152</v>
      </c>
      <c r="AP46">
        <v>2</v>
      </c>
      <c r="AQ46">
        <v>1.02755905511811</v>
      </c>
      <c r="AR46" t="s">
        <v>154</v>
      </c>
      <c r="AS46">
        <v>2</v>
      </c>
      <c r="AT46">
        <v>0.98137369033760102</v>
      </c>
      <c r="AU46" t="s">
        <v>116</v>
      </c>
      <c r="AV46">
        <v>2</v>
      </c>
      <c r="AW46">
        <v>1.2515644555694601</v>
      </c>
      <c r="AX46" t="s">
        <v>117</v>
      </c>
      <c r="AY46">
        <v>2</v>
      </c>
      <c r="AZ46">
        <v>0.95816033216224805</v>
      </c>
      <c r="BA46" t="s">
        <v>154</v>
      </c>
      <c r="BB46">
        <v>3</v>
      </c>
      <c r="BC46">
        <v>1.0363128491620099</v>
      </c>
      <c r="BD46" t="s">
        <v>152</v>
      </c>
      <c r="BE46">
        <v>2</v>
      </c>
      <c r="BF46">
        <v>1.0048019207683001</v>
      </c>
      <c r="BG46" t="s">
        <v>152</v>
      </c>
      <c r="BH46">
        <v>2</v>
      </c>
      <c r="BI46">
        <v>0.91995221027479002</v>
      </c>
      <c r="BJ46" t="s">
        <v>146</v>
      </c>
      <c r="BK46">
        <v>2</v>
      </c>
      <c r="BL46">
        <v>1.12447123519458</v>
      </c>
      <c r="BM46" t="s">
        <v>128</v>
      </c>
      <c r="BN46">
        <v>2</v>
      </c>
      <c r="BO46">
        <v>0.94223915447953699</v>
      </c>
      <c r="BP46" t="s">
        <v>149</v>
      </c>
      <c r="BQ46">
        <v>3</v>
      </c>
      <c r="BR46">
        <v>0.92696629213483095</v>
      </c>
      <c r="BS46" t="s">
        <v>154</v>
      </c>
      <c r="BT46">
        <v>3</v>
      </c>
      <c r="BU46">
        <v>1.1578947368421</v>
      </c>
      <c r="BV46" t="s">
        <v>114</v>
      </c>
      <c r="BW46">
        <v>2</v>
      </c>
      <c r="BX46">
        <v>0.920086393088552</v>
      </c>
      <c r="BY46" t="s">
        <v>154</v>
      </c>
      <c r="BZ46">
        <v>2</v>
      </c>
      <c r="CA46">
        <v>1.1428571428571399</v>
      </c>
      <c r="CB46" t="s">
        <v>152</v>
      </c>
      <c r="CC46">
        <v>3</v>
      </c>
      <c r="CD46">
        <v>1.10227272727272</v>
      </c>
      <c r="CE46" t="s">
        <v>143</v>
      </c>
      <c r="CF46">
        <v>2</v>
      </c>
      <c r="CG46">
        <v>0.97459584295612001</v>
      </c>
      <c r="CH46" t="s">
        <v>146</v>
      </c>
      <c r="CI46">
        <v>2</v>
      </c>
      <c r="CJ46">
        <v>1.7018348623853199</v>
      </c>
      <c r="CK46" t="s">
        <v>154</v>
      </c>
      <c r="CL46">
        <v>2</v>
      </c>
      <c r="CM46">
        <v>1.0873015873015801</v>
      </c>
      <c r="CN46" t="s">
        <v>114</v>
      </c>
      <c r="CO46">
        <v>2</v>
      </c>
      <c r="CP46">
        <v>0.952060555088309</v>
      </c>
      <c r="CQ46" t="s">
        <v>114</v>
      </c>
      <c r="CR46">
        <v>2</v>
      </c>
      <c r="CS46">
        <v>0.89664310954063597</v>
      </c>
      <c r="CT46" t="s">
        <v>116</v>
      </c>
      <c r="CU46">
        <v>2</v>
      </c>
      <c r="CV46">
        <v>0.98006644518272401</v>
      </c>
      <c r="CW46" t="s">
        <v>116</v>
      </c>
      <c r="CX46">
        <v>2</v>
      </c>
      <c r="CY46">
        <v>0.87909604519773998</v>
      </c>
      <c r="CZ46" t="s">
        <v>154</v>
      </c>
      <c r="DA46">
        <v>2</v>
      </c>
      <c r="DB46">
        <v>1.0640000000000001</v>
      </c>
      <c r="DC46" t="s">
        <v>154</v>
      </c>
      <c r="DD46">
        <v>2</v>
      </c>
      <c r="DE46">
        <v>0.87593984962406002</v>
      </c>
      <c r="DF46" t="s">
        <v>114</v>
      </c>
      <c r="DG46">
        <v>2</v>
      </c>
      <c r="DH46">
        <v>1.1434511434511401</v>
      </c>
    </row>
    <row r="47" spans="1:112" x14ac:dyDescent="0.4">
      <c r="A47">
        <v>45</v>
      </c>
      <c r="B47" t="s">
        <v>133</v>
      </c>
      <c r="C47">
        <v>3</v>
      </c>
      <c r="D47">
        <v>0.99541284403669705</v>
      </c>
      <c r="E47" t="s">
        <v>152</v>
      </c>
      <c r="F47">
        <v>2</v>
      </c>
      <c r="G47">
        <v>1.1201923076922999</v>
      </c>
      <c r="H47" t="s">
        <v>109</v>
      </c>
      <c r="I47">
        <v>2</v>
      </c>
      <c r="J47">
        <v>0.75741444866920105</v>
      </c>
      <c r="K47" t="s">
        <v>109</v>
      </c>
      <c r="L47">
        <v>2</v>
      </c>
      <c r="M47">
        <v>0.76506024096385505</v>
      </c>
      <c r="N47" t="s">
        <v>106</v>
      </c>
      <c r="O47">
        <v>1</v>
      </c>
      <c r="P47">
        <v>1.42631578947368</v>
      </c>
      <c r="Q47" t="s">
        <v>154</v>
      </c>
      <c r="R47">
        <v>2</v>
      </c>
      <c r="S47">
        <v>1.03264604810996</v>
      </c>
      <c r="T47" t="s">
        <v>146</v>
      </c>
      <c r="U47">
        <v>2</v>
      </c>
      <c r="V47">
        <v>0.75473331169533697</v>
      </c>
      <c r="W47" t="s">
        <v>147</v>
      </c>
      <c r="X47">
        <v>2</v>
      </c>
      <c r="Y47">
        <v>0.38348357360452001</v>
      </c>
      <c r="Z47" t="s">
        <v>109</v>
      </c>
      <c r="AA47">
        <v>2</v>
      </c>
      <c r="AB47">
        <v>1.11392405063291</v>
      </c>
      <c r="AC47" t="s">
        <v>133</v>
      </c>
      <c r="AD47">
        <v>3</v>
      </c>
      <c r="AE47">
        <v>0.98854961832060995</v>
      </c>
      <c r="AF47" t="s">
        <v>109</v>
      </c>
      <c r="AG47">
        <v>2</v>
      </c>
      <c r="AH47">
        <v>1.10850439882697</v>
      </c>
      <c r="AI47" t="s">
        <v>106</v>
      </c>
      <c r="AJ47">
        <v>1</v>
      </c>
      <c r="AK47">
        <v>0.93582089552238801</v>
      </c>
      <c r="AL47" t="s">
        <v>154</v>
      </c>
      <c r="AM47">
        <v>3</v>
      </c>
      <c r="AN47">
        <v>1.23949579831932</v>
      </c>
      <c r="AO47" t="s">
        <v>154</v>
      </c>
      <c r="AP47">
        <v>2</v>
      </c>
      <c r="AQ47">
        <v>0.72796610169491505</v>
      </c>
      <c r="AR47" t="s">
        <v>114</v>
      </c>
      <c r="AS47">
        <v>2</v>
      </c>
      <c r="AT47">
        <v>0.90779127948534599</v>
      </c>
      <c r="AU47" t="s">
        <v>119</v>
      </c>
      <c r="AV47">
        <v>2</v>
      </c>
      <c r="AW47">
        <v>1.3422655298416499</v>
      </c>
      <c r="AX47" t="s">
        <v>152</v>
      </c>
      <c r="AY47">
        <v>2</v>
      </c>
      <c r="AZ47">
        <v>0.86062717770034802</v>
      </c>
      <c r="BA47" t="s">
        <v>114</v>
      </c>
      <c r="BB47">
        <v>2</v>
      </c>
      <c r="BC47">
        <v>1.1316455696202501</v>
      </c>
      <c r="BD47" t="s">
        <v>154</v>
      </c>
      <c r="BE47">
        <v>3</v>
      </c>
      <c r="BF47">
        <v>1.0754716981132</v>
      </c>
      <c r="BG47" t="s">
        <v>154</v>
      </c>
      <c r="BH47">
        <v>3</v>
      </c>
      <c r="BI47">
        <v>1.0463659147869599</v>
      </c>
      <c r="BJ47" t="s">
        <v>152</v>
      </c>
      <c r="BK47">
        <v>2</v>
      </c>
      <c r="BL47">
        <v>1.02727272727272</v>
      </c>
      <c r="BM47" t="s">
        <v>133</v>
      </c>
      <c r="BN47">
        <v>3</v>
      </c>
      <c r="BO47">
        <v>0.98214285714285698</v>
      </c>
      <c r="BP47" t="s">
        <v>143</v>
      </c>
      <c r="BQ47">
        <v>2</v>
      </c>
      <c r="BR47">
        <v>0.86598984771573595</v>
      </c>
      <c r="BS47" t="s">
        <v>114</v>
      </c>
      <c r="BT47">
        <v>2</v>
      </c>
      <c r="BU47">
        <v>1.16526845637583</v>
      </c>
      <c r="BV47" t="s">
        <v>160</v>
      </c>
      <c r="BW47">
        <v>3</v>
      </c>
      <c r="BX47">
        <v>1</v>
      </c>
      <c r="BY47" t="s">
        <v>114</v>
      </c>
      <c r="BZ47">
        <v>2</v>
      </c>
      <c r="CA47">
        <v>1.0187793427230001</v>
      </c>
      <c r="CB47" t="s">
        <v>154</v>
      </c>
      <c r="CC47">
        <v>2</v>
      </c>
      <c r="CD47">
        <v>1.12179487179487</v>
      </c>
      <c r="CE47" t="s">
        <v>146</v>
      </c>
      <c r="CF47">
        <v>2</v>
      </c>
      <c r="CG47">
        <v>1.53521126760563</v>
      </c>
      <c r="CH47" t="s">
        <v>154</v>
      </c>
      <c r="CI47">
        <v>2</v>
      </c>
      <c r="CJ47">
        <v>1.04709141274238</v>
      </c>
      <c r="CK47" t="s">
        <v>114</v>
      </c>
      <c r="CL47">
        <v>2</v>
      </c>
      <c r="CM47">
        <v>0.96431467964314599</v>
      </c>
      <c r="CN47" t="s">
        <v>116</v>
      </c>
      <c r="CO47">
        <v>2</v>
      </c>
      <c r="CP47">
        <v>0.87258687258687195</v>
      </c>
      <c r="CQ47" t="s">
        <v>160</v>
      </c>
      <c r="CR47">
        <v>3</v>
      </c>
      <c r="CS47">
        <v>0.85239852398523897</v>
      </c>
      <c r="CT47" t="s">
        <v>159</v>
      </c>
      <c r="CU47">
        <v>2</v>
      </c>
      <c r="CV47">
        <v>0.99379844961240305</v>
      </c>
      <c r="CW47" t="s">
        <v>159</v>
      </c>
      <c r="CX47">
        <v>2</v>
      </c>
      <c r="CY47">
        <v>1.1404056162246401</v>
      </c>
      <c r="CZ47" t="s">
        <v>114</v>
      </c>
      <c r="DA47">
        <v>2</v>
      </c>
      <c r="DB47">
        <v>1.06490384615384</v>
      </c>
      <c r="DC47" t="s">
        <v>114</v>
      </c>
      <c r="DD47">
        <v>2</v>
      </c>
      <c r="DE47">
        <v>1.0857787810383699</v>
      </c>
      <c r="DF47" t="s">
        <v>116</v>
      </c>
      <c r="DG47">
        <v>2</v>
      </c>
      <c r="DH47">
        <v>1.4036996735582099</v>
      </c>
    </row>
    <row r="48" spans="1:112" x14ac:dyDescent="0.4">
      <c r="A48">
        <v>46</v>
      </c>
      <c r="B48" t="s">
        <v>109</v>
      </c>
      <c r="C48">
        <v>2</v>
      </c>
      <c r="D48">
        <v>0.89454545454545398</v>
      </c>
      <c r="E48" t="s">
        <v>154</v>
      </c>
      <c r="F48">
        <v>2</v>
      </c>
      <c r="G48">
        <v>0.95555555555555505</v>
      </c>
      <c r="H48" t="s">
        <v>147</v>
      </c>
      <c r="I48">
        <v>1</v>
      </c>
      <c r="J48">
        <v>0.84459575270383702</v>
      </c>
      <c r="K48" t="s">
        <v>147</v>
      </c>
      <c r="L48">
        <v>1</v>
      </c>
      <c r="M48">
        <v>0.93999898531239601</v>
      </c>
      <c r="N48" t="s">
        <v>128</v>
      </c>
      <c r="O48">
        <v>2</v>
      </c>
      <c r="P48">
        <v>0.96740404336360897</v>
      </c>
      <c r="Q48" t="s">
        <v>114</v>
      </c>
      <c r="R48">
        <v>1</v>
      </c>
      <c r="S48">
        <v>1.1742424242424201</v>
      </c>
      <c r="T48" t="s">
        <v>117</v>
      </c>
      <c r="U48">
        <v>2</v>
      </c>
      <c r="V48">
        <v>0.94425010931351105</v>
      </c>
      <c r="W48" t="s">
        <v>143</v>
      </c>
      <c r="X48">
        <v>2</v>
      </c>
      <c r="Y48">
        <v>1.01395348837209</v>
      </c>
      <c r="Z48" t="s">
        <v>143</v>
      </c>
      <c r="AA48">
        <v>2</v>
      </c>
      <c r="AB48">
        <v>1.0825688073394399</v>
      </c>
      <c r="AC48" t="s">
        <v>109</v>
      </c>
      <c r="AD48">
        <v>2</v>
      </c>
      <c r="AE48">
        <v>1.2916666666666601</v>
      </c>
      <c r="AF48" t="s">
        <v>143</v>
      </c>
      <c r="AG48">
        <v>2</v>
      </c>
      <c r="AH48">
        <v>1.20672478206724</v>
      </c>
      <c r="AI48" t="s">
        <v>128</v>
      </c>
      <c r="AJ48">
        <v>2</v>
      </c>
      <c r="AK48">
        <v>0.86055146806023497</v>
      </c>
      <c r="AL48" t="s">
        <v>114</v>
      </c>
      <c r="AM48">
        <v>2</v>
      </c>
      <c r="AN48">
        <v>1.5656652360515</v>
      </c>
      <c r="AO48" t="s">
        <v>114</v>
      </c>
      <c r="AP48">
        <v>2</v>
      </c>
      <c r="AQ48">
        <v>0.76699561403508698</v>
      </c>
      <c r="AR48" t="s">
        <v>116</v>
      </c>
      <c r="AS48">
        <v>2</v>
      </c>
      <c r="AT48">
        <v>0.83229166666666599</v>
      </c>
      <c r="AU48" t="s">
        <v>159</v>
      </c>
      <c r="AV48">
        <v>1</v>
      </c>
      <c r="AW48">
        <v>1.2556818181818099</v>
      </c>
      <c r="AX48" t="s">
        <v>154</v>
      </c>
      <c r="AY48">
        <v>2</v>
      </c>
      <c r="AZ48">
        <v>0.85748502994011899</v>
      </c>
      <c r="BA48" t="s">
        <v>116</v>
      </c>
      <c r="BB48">
        <v>2</v>
      </c>
      <c r="BC48">
        <v>1.08920187793427</v>
      </c>
      <c r="BD48" t="s">
        <v>114</v>
      </c>
      <c r="BE48">
        <v>2</v>
      </c>
      <c r="BF48">
        <v>1.0447427293064799</v>
      </c>
      <c r="BG48" t="s">
        <v>114</v>
      </c>
      <c r="BH48">
        <v>2</v>
      </c>
      <c r="BI48">
        <v>1.10813704496788</v>
      </c>
      <c r="BJ48" t="s">
        <v>154</v>
      </c>
      <c r="BK48">
        <v>3</v>
      </c>
      <c r="BL48">
        <v>1.3712574850299399</v>
      </c>
      <c r="BM48" t="s">
        <v>149</v>
      </c>
      <c r="BN48">
        <v>3</v>
      </c>
      <c r="BO48">
        <v>1.2027027027027</v>
      </c>
      <c r="BP48" t="s">
        <v>152</v>
      </c>
      <c r="BQ48">
        <v>2</v>
      </c>
      <c r="BR48">
        <v>0.96477987421383604</v>
      </c>
      <c r="BS48" t="s">
        <v>116</v>
      </c>
      <c r="BT48">
        <v>2</v>
      </c>
      <c r="BU48">
        <v>1.1957730812013301</v>
      </c>
      <c r="BV48" t="s">
        <v>116</v>
      </c>
      <c r="BW48">
        <v>2</v>
      </c>
      <c r="BX48">
        <v>1.0511627906976699</v>
      </c>
      <c r="BY48" t="s">
        <v>160</v>
      </c>
      <c r="BZ48">
        <v>3</v>
      </c>
      <c r="CA48">
        <v>1.40228013029315</v>
      </c>
      <c r="CB48" t="s">
        <v>114</v>
      </c>
      <c r="CC48">
        <v>2</v>
      </c>
      <c r="CD48">
        <v>0.91397849462365499</v>
      </c>
      <c r="CE48" t="s">
        <v>152</v>
      </c>
      <c r="CF48">
        <v>3</v>
      </c>
      <c r="CG48">
        <v>1.19587628865979</v>
      </c>
      <c r="CH48" t="s">
        <v>114</v>
      </c>
      <c r="CI48">
        <v>2</v>
      </c>
      <c r="CJ48">
        <v>1.0583690987124399</v>
      </c>
      <c r="CK48" t="s">
        <v>116</v>
      </c>
      <c r="CL48">
        <v>2</v>
      </c>
      <c r="CM48">
        <v>0.89619377162629699</v>
      </c>
      <c r="CN48" t="s">
        <v>159</v>
      </c>
      <c r="CO48">
        <v>2</v>
      </c>
      <c r="CP48">
        <v>0.87907608695652095</v>
      </c>
      <c r="CQ48" t="s">
        <v>116</v>
      </c>
      <c r="CR48">
        <v>2</v>
      </c>
      <c r="CS48">
        <v>0.79911504424778701</v>
      </c>
      <c r="CT48" t="s">
        <v>166</v>
      </c>
      <c r="CU48">
        <v>3</v>
      </c>
      <c r="CV48">
        <v>1.06354515050167</v>
      </c>
      <c r="CW48" t="s">
        <v>166</v>
      </c>
      <c r="CX48">
        <v>3</v>
      </c>
      <c r="CY48">
        <v>0.98113207547169801</v>
      </c>
      <c r="CZ48" t="s">
        <v>116</v>
      </c>
      <c r="DA48">
        <v>2</v>
      </c>
      <c r="DB48">
        <v>0.93187660668380401</v>
      </c>
      <c r="DC48" t="s">
        <v>116</v>
      </c>
      <c r="DD48">
        <v>2</v>
      </c>
      <c r="DE48">
        <v>1.26758620689655</v>
      </c>
      <c r="DF48" t="s">
        <v>119</v>
      </c>
      <c r="DG48">
        <v>2</v>
      </c>
      <c r="DH48">
        <v>1.0944055944055899</v>
      </c>
    </row>
    <row r="49" spans="1:112" x14ac:dyDescent="0.4">
      <c r="A49">
        <v>47</v>
      </c>
      <c r="B49" t="s">
        <v>144</v>
      </c>
      <c r="C49">
        <v>3</v>
      </c>
      <c r="D49">
        <v>0.90491484184914805</v>
      </c>
      <c r="E49" t="s">
        <v>114</v>
      </c>
      <c r="F49">
        <v>2</v>
      </c>
      <c r="G49">
        <v>1.0416666666666601</v>
      </c>
      <c r="H49" t="s">
        <v>143</v>
      </c>
      <c r="I49">
        <v>2</v>
      </c>
      <c r="J49">
        <v>0.60961258994080703</v>
      </c>
      <c r="K49" t="s">
        <v>143</v>
      </c>
      <c r="L49">
        <v>2</v>
      </c>
      <c r="M49">
        <v>0.99354613640327905</v>
      </c>
      <c r="N49" t="s">
        <v>126</v>
      </c>
      <c r="O49">
        <v>2</v>
      </c>
      <c r="P49">
        <v>1.17241379310344</v>
      </c>
      <c r="Q49" t="s">
        <v>116</v>
      </c>
      <c r="R49">
        <v>2</v>
      </c>
      <c r="S49">
        <v>0.98835705045278099</v>
      </c>
      <c r="T49" t="s">
        <v>152</v>
      </c>
      <c r="U49">
        <v>2</v>
      </c>
      <c r="V49">
        <v>0.83987915407854896</v>
      </c>
      <c r="W49" t="s">
        <v>146</v>
      </c>
      <c r="X49">
        <v>2</v>
      </c>
      <c r="Y49">
        <v>0.89947677752293498</v>
      </c>
      <c r="Z49" t="s">
        <v>146</v>
      </c>
      <c r="AA49">
        <v>2</v>
      </c>
      <c r="AB49">
        <v>0.81537113032391695</v>
      </c>
      <c r="AC49" t="s">
        <v>143</v>
      </c>
      <c r="AD49">
        <v>2</v>
      </c>
      <c r="AE49">
        <v>1.13418079096045</v>
      </c>
      <c r="AF49" t="s">
        <v>117</v>
      </c>
      <c r="AG49">
        <v>2</v>
      </c>
      <c r="AH49">
        <v>1.0197330237957001</v>
      </c>
      <c r="AI49" t="s">
        <v>143</v>
      </c>
      <c r="AJ49">
        <v>2</v>
      </c>
      <c r="AK49">
        <v>1.4324045407636701</v>
      </c>
      <c r="AL49" t="s">
        <v>116</v>
      </c>
      <c r="AM49">
        <v>2</v>
      </c>
      <c r="AN49">
        <v>0.93040293040292998</v>
      </c>
      <c r="AO49" t="s">
        <v>116</v>
      </c>
      <c r="AP49">
        <v>2</v>
      </c>
      <c r="AQ49">
        <v>0.94488188976377896</v>
      </c>
      <c r="AR49" t="s">
        <v>119</v>
      </c>
      <c r="AS49">
        <v>2</v>
      </c>
      <c r="AT49">
        <v>0.76987996999249797</v>
      </c>
      <c r="AU49" t="s">
        <v>166</v>
      </c>
      <c r="AV49">
        <v>3</v>
      </c>
      <c r="AW49">
        <v>1.11678832116788</v>
      </c>
      <c r="AX49" t="s">
        <v>114</v>
      </c>
      <c r="AY49">
        <v>2</v>
      </c>
      <c r="AZ49">
        <v>0.60305343511450304</v>
      </c>
      <c r="BA49" t="s">
        <v>119</v>
      </c>
      <c r="BB49">
        <v>2</v>
      </c>
      <c r="BC49">
        <v>1.2311922019495101</v>
      </c>
      <c r="BD49" t="s">
        <v>116</v>
      </c>
      <c r="BE49">
        <v>2</v>
      </c>
      <c r="BF49">
        <v>1.2701149425287299</v>
      </c>
      <c r="BG49" t="s">
        <v>116</v>
      </c>
      <c r="BH49">
        <v>2</v>
      </c>
      <c r="BI49">
        <v>1.31900452488687</v>
      </c>
      <c r="BJ49" t="s">
        <v>114</v>
      </c>
      <c r="BK49">
        <v>2</v>
      </c>
      <c r="BL49">
        <v>1.0135265700483</v>
      </c>
      <c r="BM49" t="s">
        <v>143</v>
      </c>
      <c r="BN49">
        <v>2</v>
      </c>
      <c r="BO49">
        <v>0.81069958847736601</v>
      </c>
      <c r="BP49" t="s">
        <v>154</v>
      </c>
      <c r="BQ49">
        <v>3</v>
      </c>
      <c r="BR49">
        <v>0.92307692307692302</v>
      </c>
      <c r="BS49" t="s">
        <v>119</v>
      </c>
      <c r="BT49">
        <v>2</v>
      </c>
      <c r="BU49">
        <v>1.3855614119150199</v>
      </c>
      <c r="BV49" t="s">
        <v>119</v>
      </c>
      <c r="BW49">
        <v>2</v>
      </c>
      <c r="BX49">
        <v>1.1402881844380399</v>
      </c>
      <c r="BY49" t="s">
        <v>116</v>
      </c>
      <c r="BZ49">
        <v>2</v>
      </c>
      <c r="CA49">
        <v>1.2522123893805299</v>
      </c>
      <c r="CB49" t="s">
        <v>116</v>
      </c>
      <c r="CC49">
        <v>2</v>
      </c>
      <c r="CD49">
        <v>0.93992932862190803</v>
      </c>
      <c r="CE49" t="s">
        <v>154</v>
      </c>
      <c r="CF49">
        <v>2</v>
      </c>
      <c r="CG49">
        <v>1.03142857142857</v>
      </c>
      <c r="CH49" t="s">
        <v>119</v>
      </c>
      <c r="CI49">
        <v>2</v>
      </c>
      <c r="CJ49">
        <v>1.20205596024235</v>
      </c>
      <c r="CK49" t="s">
        <v>119</v>
      </c>
      <c r="CL49">
        <v>2</v>
      </c>
      <c r="CM49">
        <v>1.0587868833890199</v>
      </c>
      <c r="CN49" t="s">
        <v>166</v>
      </c>
      <c r="CO49">
        <v>3</v>
      </c>
      <c r="CP49">
        <v>1.16911764705882</v>
      </c>
      <c r="CQ49" t="s">
        <v>159</v>
      </c>
      <c r="CR49">
        <v>2</v>
      </c>
      <c r="CS49">
        <v>0.99690880989180797</v>
      </c>
      <c r="CT49" t="s">
        <v>163</v>
      </c>
      <c r="CU49">
        <v>2</v>
      </c>
      <c r="CV49">
        <v>0.98065476190476097</v>
      </c>
      <c r="CW49" t="s">
        <v>163</v>
      </c>
      <c r="CX49">
        <v>2</v>
      </c>
      <c r="CY49">
        <v>1.0106221547799601</v>
      </c>
      <c r="CZ49" t="s">
        <v>166</v>
      </c>
      <c r="DA49">
        <v>3</v>
      </c>
      <c r="DB49">
        <v>1.0128205128205101</v>
      </c>
      <c r="DC49" t="s">
        <v>166</v>
      </c>
      <c r="DD49">
        <v>3</v>
      </c>
      <c r="DE49">
        <v>0.936708860759493</v>
      </c>
      <c r="DF49" t="s">
        <v>166</v>
      </c>
      <c r="DG49">
        <v>3</v>
      </c>
      <c r="DH49">
        <v>1.0540540540540499</v>
      </c>
    </row>
    <row r="50" spans="1:112" x14ac:dyDescent="0.4">
      <c r="A50">
        <v>48</v>
      </c>
      <c r="B50" t="s">
        <v>151</v>
      </c>
      <c r="C50">
        <v>3</v>
      </c>
      <c r="D50">
        <v>1.0634743875278301</v>
      </c>
      <c r="E50" t="s">
        <v>116</v>
      </c>
      <c r="F50">
        <v>2</v>
      </c>
      <c r="G50">
        <v>0.81655480984340001</v>
      </c>
      <c r="H50" t="s">
        <v>146</v>
      </c>
      <c r="I50">
        <v>2</v>
      </c>
      <c r="J50">
        <v>0.462195286802144</v>
      </c>
      <c r="K50" t="s">
        <v>117</v>
      </c>
      <c r="L50">
        <v>2</v>
      </c>
      <c r="M50">
        <v>1.1165624999999999</v>
      </c>
      <c r="N50" t="s">
        <v>156</v>
      </c>
      <c r="O50">
        <v>3</v>
      </c>
      <c r="P50">
        <v>1.25103541543402</v>
      </c>
      <c r="Q50" t="s">
        <v>159</v>
      </c>
      <c r="R50">
        <v>1</v>
      </c>
      <c r="S50">
        <v>1.22349974037534</v>
      </c>
      <c r="T50" t="s">
        <v>154</v>
      </c>
      <c r="U50">
        <v>2</v>
      </c>
      <c r="V50">
        <v>0.97504159733776996</v>
      </c>
      <c r="W50" t="s">
        <v>117</v>
      </c>
      <c r="X50">
        <v>2</v>
      </c>
      <c r="Y50">
        <v>0.877286408890947</v>
      </c>
      <c r="Z50" t="s">
        <v>117</v>
      </c>
      <c r="AA50">
        <v>2</v>
      </c>
      <c r="AB50">
        <v>0.96384270256004201</v>
      </c>
      <c r="AC50" t="s">
        <v>117</v>
      </c>
      <c r="AD50">
        <v>2</v>
      </c>
      <c r="AE50">
        <v>0.943592552026287</v>
      </c>
      <c r="AF50" t="s">
        <v>152</v>
      </c>
      <c r="AG50">
        <v>2</v>
      </c>
      <c r="AH50">
        <v>1.14431486880466</v>
      </c>
      <c r="AI50" t="s">
        <v>146</v>
      </c>
      <c r="AJ50">
        <v>3</v>
      </c>
      <c r="AK50">
        <v>1.0770466226138</v>
      </c>
      <c r="AL50" t="s">
        <v>119</v>
      </c>
      <c r="AM50">
        <v>2</v>
      </c>
      <c r="AN50">
        <v>1.13173940949935</v>
      </c>
      <c r="AO50" t="s">
        <v>119</v>
      </c>
      <c r="AP50">
        <v>2</v>
      </c>
      <c r="AQ50">
        <v>0.755990358712604</v>
      </c>
      <c r="AR50" t="s">
        <v>159</v>
      </c>
      <c r="AS50">
        <v>1</v>
      </c>
      <c r="AT50">
        <v>0.77821011673151697</v>
      </c>
      <c r="AU50" t="s">
        <v>163</v>
      </c>
      <c r="AV50">
        <v>2</v>
      </c>
      <c r="AW50">
        <v>1.31067961165048</v>
      </c>
      <c r="AX50" t="s">
        <v>116</v>
      </c>
      <c r="AY50">
        <v>2</v>
      </c>
      <c r="AZ50">
        <v>0.63900000000000001</v>
      </c>
      <c r="BA50" t="s">
        <v>159</v>
      </c>
      <c r="BB50">
        <v>2</v>
      </c>
      <c r="BC50">
        <v>1.04049079754601</v>
      </c>
      <c r="BD50" t="s">
        <v>119</v>
      </c>
      <c r="BE50">
        <v>2</v>
      </c>
      <c r="BF50">
        <v>1.0623223710921601</v>
      </c>
      <c r="BG50" t="s">
        <v>119</v>
      </c>
      <c r="BH50">
        <v>2</v>
      </c>
      <c r="BI50">
        <v>1.5121345308618299</v>
      </c>
      <c r="BJ50" t="s">
        <v>116</v>
      </c>
      <c r="BK50">
        <v>2</v>
      </c>
      <c r="BL50">
        <v>0.97770154373927898</v>
      </c>
      <c r="BM50" t="s">
        <v>152</v>
      </c>
      <c r="BN50">
        <v>2</v>
      </c>
      <c r="BO50">
        <v>1.00505689001264</v>
      </c>
      <c r="BP50" t="s">
        <v>114</v>
      </c>
      <c r="BQ50">
        <v>2</v>
      </c>
      <c r="BR50">
        <v>1.0311418685121101</v>
      </c>
      <c r="BS50" t="s">
        <v>159</v>
      </c>
      <c r="BT50">
        <v>2</v>
      </c>
      <c r="BU50">
        <v>1.13389830508474</v>
      </c>
      <c r="BV50" t="s">
        <v>159</v>
      </c>
      <c r="BW50">
        <v>2</v>
      </c>
      <c r="BX50">
        <v>0.91479820627802599</v>
      </c>
      <c r="BY50" t="s">
        <v>119</v>
      </c>
      <c r="BZ50">
        <v>2</v>
      </c>
      <c r="CA50">
        <v>1.0499393449251899</v>
      </c>
      <c r="CB50" t="s">
        <v>119</v>
      </c>
      <c r="CC50">
        <v>2</v>
      </c>
      <c r="CD50">
        <v>0.99046793760831797</v>
      </c>
      <c r="CE50" t="s">
        <v>114</v>
      </c>
      <c r="CF50">
        <v>2</v>
      </c>
      <c r="CG50">
        <v>0.97899159663865498</v>
      </c>
      <c r="CH50" t="s">
        <v>159</v>
      </c>
      <c r="CI50">
        <v>2</v>
      </c>
      <c r="CJ50">
        <v>1.24155844155844</v>
      </c>
      <c r="CK50" t="s">
        <v>159</v>
      </c>
      <c r="CL50">
        <v>2</v>
      </c>
      <c r="CM50">
        <v>0.76987447698744704</v>
      </c>
      <c r="CN50" t="s">
        <v>122</v>
      </c>
      <c r="CO50">
        <v>3</v>
      </c>
      <c r="CP50">
        <v>0.90620272314674699</v>
      </c>
      <c r="CQ50" t="s">
        <v>166</v>
      </c>
      <c r="CR50">
        <v>3</v>
      </c>
      <c r="CS50">
        <v>0.94025157232704404</v>
      </c>
      <c r="CT50" t="s">
        <v>122</v>
      </c>
      <c r="CU50">
        <v>3</v>
      </c>
      <c r="CV50">
        <v>0.91442307692307601</v>
      </c>
      <c r="CW50" t="s">
        <v>171</v>
      </c>
      <c r="CX50">
        <v>2</v>
      </c>
      <c r="CY50">
        <v>0.97156398104265396</v>
      </c>
      <c r="CZ50" t="s">
        <v>122</v>
      </c>
      <c r="DA50">
        <v>3</v>
      </c>
      <c r="DB50">
        <v>0.92647058823529405</v>
      </c>
      <c r="DC50" t="s">
        <v>163</v>
      </c>
      <c r="DD50">
        <v>2</v>
      </c>
      <c r="DE50">
        <v>1.0456692913385801</v>
      </c>
      <c r="DF50" t="s">
        <v>171</v>
      </c>
      <c r="DG50">
        <v>2</v>
      </c>
      <c r="DH50">
        <v>1.1310043668122201</v>
      </c>
    </row>
    <row r="51" spans="1:112" x14ac:dyDescent="0.4">
      <c r="A51">
        <v>49</v>
      </c>
      <c r="B51" t="s">
        <v>143</v>
      </c>
      <c r="C51">
        <v>2</v>
      </c>
      <c r="D51">
        <v>1.42058165548098</v>
      </c>
      <c r="E51" t="s">
        <v>159</v>
      </c>
      <c r="F51">
        <v>1</v>
      </c>
      <c r="G51">
        <v>0.81685334915807395</v>
      </c>
      <c r="H51" t="s">
        <v>117</v>
      </c>
      <c r="I51">
        <v>2</v>
      </c>
      <c r="J51">
        <v>0.65332788893425797</v>
      </c>
      <c r="K51" t="s">
        <v>152</v>
      </c>
      <c r="L51">
        <v>2</v>
      </c>
      <c r="M51">
        <v>0.87694483734087603</v>
      </c>
      <c r="N51" t="s">
        <v>109</v>
      </c>
      <c r="O51">
        <v>2</v>
      </c>
      <c r="P51">
        <v>1.64041994750656</v>
      </c>
      <c r="Q51" t="s">
        <v>166</v>
      </c>
      <c r="R51">
        <v>2</v>
      </c>
      <c r="S51">
        <v>1.0526315789473599</v>
      </c>
      <c r="T51" t="s">
        <v>114</v>
      </c>
      <c r="U51">
        <v>1</v>
      </c>
      <c r="V51">
        <v>0.891612903225806</v>
      </c>
      <c r="W51" t="s">
        <v>152</v>
      </c>
      <c r="X51">
        <v>2</v>
      </c>
      <c r="Y51">
        <v>1.2589928057553901</v>
      </c>
      <c r="Z51" t="s">
        <v>152</v>
      </c>
      <c r="AA51">
        <v>2</v>
      </c>
      <c r="AB51">
        <v>1.3485714285714201</v>
      </c>
      <c r="AC51" t="s">
        <v>152</v>
      </c>
      <c r="AD51">
        <v>2</v>
      </c>
      <c r="AE51">
        <v>0.72669491525423702</v>
      </c>
      <c r="AF51" t="s">
        <v>154</v>
      </c>
      <c r="AG51">
        <v>3</v>
      </c>
      <c r="AH51">
        <v>1.1341176470588199</v>
      </c>
      <c r="AI51" t="s">
        <v>117</v>
      </c>
      <c r="AJ51">
        <v>2</v>
      </c>
      <c r="AK51">
        <v>0.95247581104154799</v>
      </c>
      <c r="AL51" t="s">
        <v>159</v>
      </c>
      <c r="AM51">
        <v>1</v>
      </c>
      <c r="AN51">
        <v>0.94236311239193005</v>
      </c>
      <c r="AO51" t="s">
        <v>159</v>
      </c>
      <c r="AP51">
        <v>1</v>
      </c>
      <c r="AQ51">
        <v>0.93462269609058601</v>
      </c>
      <c r="AR51" t="s">
        <v>166</v>
      </c>
      <c r="AS51">
        <v>3</v>
      </c>
      <c r="AT51">
        <v>1.0300751879699199</v>
      </c>
      <c r="AU51" t="s">
        <v>122</v>
      </c>
      <c r="AV51">
        <v>2</v>
      </c>
      <c r="AW51">
        <v>1.2691771269177099</v>
      </c>
      <c r="AX51" t="s">
        <v>119</v>
      </c>
      <c r="AY51">
        <v>2</v>
      </c>
      <c r="AZ51">
        <v>0.726134301270417</v>
      </c>
      <c r="BA51" t="s">
        <v>166</v>
      </c>
      <c r="BB51">
        <v>3</v>
      </c>
      <c r="BC51">
        <v>1.0393700787401501</v>
      </c>
      <c r="BD51" t="s">
        <v>159</v>
      </c>
      <c r="BE51">
        <v>2</v>
      </c>
      <c r="BF51">
        <v>0.96226415094339601</v>
      </c>
      <c r="BG51" t="s">
        <v>159</v>
      </c>
      <c r="BH51">
        <v>2</v>
      </c>
      <c r="BI51">
        <v>1.09313725490196</v>
      </c>
      <c r="BJ51" t="s">
        <v>119</v>
      </c>
      <c r="BK51">
        <v>2</v>
      </c>
      <c r="BL51">
        <v>1.0337419436370501</v>
      </c>
      <c r="BM51" t="s">
        <v>154</v>
      </c>
      <c r="BN51">
        <v>3</v>
      </c>
      <c r="BO51">
        <v>1.07860262008733</v>
      </c>
      <c r="BP51" t="s">
        <v>160</v>
      </c>
      <c r="BQ51">
        <v>3</v>
      </c>
      <c r="BR51">
        <v>0.654471544715447</v>
      </c>
      <c r="BS51" t="s">
        <v>166</v>
      </c>
      <c r="BT51">
        <v>3</v>
      </c>
      <c r="BU51">
        <v>1.01673640167364</v>
      </c>
      <c r="BV51" t="s">
        <v>166</v>
      </c>
      <c r="BW51">
        <v>3</v>
      </c>
      <c r="BX51">
        <v>1.0329218106995799</v>
      </c>
      <c r="BY51" t="s">
        <v>159</v>
      </c>
      <c r="BZ51">
        <v>2</v>
      </c>
      <c r="CA51">
        <v>1.2777777777777699</v>
      </c>
      <c r="CB51" t="s">
        <v>159</v>
      </c>
      <c r="CC51">
        <v>2</v>
      </c>
      <c r="CD51">
        <v>0.92199488491048598</v>
      </c>
      <c r="CE51" t="s">
        <v>116</v>
      </c>
      <c r="CF51">
        <v>2</v>
      </c>
      <c r="CG51">
        <v>1.27067669172932</v>
      </c>
      <c r="CH51" t="s">
        <v>166</v>
      </c>
      <c r="CI51">
        <v>3</v>
      </c>
      <c r="CJ51">
        <v>0.95192307692307598</v>
      </c>
      <c r="CK51" t="s">
        <v>166</v>
      </c>
      <c r="CL51">
        <v>3</v>
      </c>
      <c r="CM51">
        <v>0.91582491582491499</v>
      </c>
      <c r="CN51" t="s">
        <v>169</v>
      </c>
      <c r="CO51">
        <v>2</v>
      </c>
      <c r="CP51">
        <v>0.82903533906399196</v>
      </c>
      <c r="CQ51" t="s">
        <v>122</v>
      </c>
      <c r="CR51">
        <v>3</v>
      </c>
      <c r="CS51">
        <v>0.86811352253756202</v>
      </c>
      <c r="CT51" t="s">
        <v>169</v>
      </c>
      <c r="CU51">
        <v>2</v>
      </c>
      <c r="CV51">
        <v>0.87616897774911295</v>
      </c>
      <c r="CW51" t="s">
        <v>175</v>
      </c>
      <c r="CX51">
        <v>2</v>
      </c>
      <c r="CY51">
        <v>0.92020202020202002</v>
      </c>
      <c r="CZ51" t="s">
        <v>171</v>
      </c>
      <c r="DA51">
        <v>2</v>
      </c>
      <c r="DB51">
        <v>1.0146341463414601</v>
      </c>
      <c r="DC51" t="s">
        <v>171</v>
      </c>
      <c r="DD51">
        <v>2</v>
      </c>
      <c r="DE51">
        <v>1.1009615384615301</v>
      </c>
      <c r="DF51" t="s">
        <v>182</v>
      </c>
      <c r="DG51">
        <v>3</v>
      </c>
      <c r="DH51">
        <v>0.96017699115044197</v>
      </c>
    </row>
    <row r="52" spans="1:112" x14ac:dyDescent="0.4">
      <c r="A52">
        <v>50</v>
      </c>
      <c r="B52" t="s">
        <v>146</v>
      </c>
      <c r="C52">
        <v>2</v>
      </c>
      <c r="D52">
        <v>0.991869522882181</v>
      </c>
      <c r="E52" t="s">
        <v>166</v>
      </c>
      <c r="F52">
        <v>2</v>
      </c>
      <c r="G52">
        <v>0.88524590163934402</v>
      </c>
      <c r="H52" t="s">
        <v>152</v>
      </c>
      <c r="I52">
        <v>2</v>
      </c>
      <c r="J52">
        <v>0.60686695278969904</v>
      </c>
      <c r="K52" t="s">
        <v>154</v>
      </c>
      <c r="L52">
        <v>2</v>
      </c>
      <c r="M52">
        <v>0.94679186228482004</v>
      </c>
      <c r="N52" t="s">
        <v>147</v>
      </c>
      <c r="O52">
        <v>1</v>
      </c>
      <c r="P52">
        <v>1.9319160075238</v>
      </c>
      <c r="Q52" t="s">
        <v>122</v>
      </c>
      <c r="R52">
        <v>2</v>
      </c>
      <c r="S52">
        <v>0.78342245989304804</v>
      </c>
      <c r="T52" t="s">
        <v>116</v>
      </c>
      <c r="U52">
        <v>2</v>
      </c>
      <c r="V52">
        <v>0.92539267015706805</v>
      </c>
      <c r="W52" t="s">
        <v>154</v>
      </c>
      <c r="X52">
        <v>2</v>
      </c>
      <c r="Y52">
        <v>1.0494880546075001</v>
      </c>
      <c r="Z52" t="s">
        <v>154</v>
      </c>
      <c r="AA52">
        <v>2</v>
      </c>
      <c r="AB52">
        <v>1.34146341463414</v>
      </c>
      <c r="AC52" t="s">
        <v>154</v>
      </c>
      <c r="AD52">
        <v>3</v>
      </c>
      <c r="AE52">
        <v>1.0303030303030301</v>
      </c>
      <c r="AF52" t="s">
        <v>114</v>
      </c>
      <c r="AG52">
        <v>2</v>
      </c>
      <c r="AH52">
        <v>1.54387865655471</v>
      </c>
      <c r="AI52" t="s">
        <v>152</v>
      </c>
      <c r="AJ52">
        <v>2</v>
      </c>
      <c r="AK52">
        <v>0.99108280254777004</v>
      </c>
      <c r="AL52" t="s">
        <v>166</v>
      </c>
      <c r="AM52">
        <v>2</v>
      </c>
      <c r="AN52">
        <v>0.91059602649006599</v>
      </c>
      <c r="AO52" t="s">
        <v>166</v>
      </c>
      <c r="AP52">
        <v>3</v>
      </c>
      <c r="AQ52">
        <v>0.96727272727272695</v>
      </c>
      <c r="AR52" t="s">
        <v>163</v>
      </c>
      <c r="AS52">
        <v>2</v>
      </c>
      <c r="AT52">
        <v>0.78326996197718601</v>
      </c>
      <c r="AU52" t="s">
        <v>169</v>
      </c>
      <c r="AV52">
        <v>2</v>
      </c>
      <c r="AW52">
        <v>1.16176087522792</v>
      </c>
      <c r="AX52" t="s">
        <v>159</v>
      </c>
      <c r="AY52">
        <v>1</v>
      </c>
      <c r="AZ52">
        <v>0.73755656108597201</v>
      </c>
      <c r="BA52" t="s">
        <v>163</v>
      </c>
      <c r="BB52">
        <v>2</v>
      </c>
      <c r="BC52">
        <v>0.96401985111662503</v>
      </c>
      <c r="BD52" t="s">
        <v>166</v>
      </c>
      <c r="BE52">
        <v>3</v>
      </c>
      <c r="BF52">
        <v>0.97727272727272696</v>
      </c>
      <c r="BG52" t="s">
        <v>166</v>
      </c>
      <c r="BH52">
        <v>3</v>
      </c>
      <c r="BI52">
        <v>0.95348837209302295</v>
      </c>
      <c r="BJ52" t="s">
        <v>159</v>
      </c>
      <c r="BK52">
        <v>2</v>
      </c>
      <c r="BL52">
        <v>0.87443946188340804</v>
      </c>
      <c r="BM52" t="s">
        <v>114</v>
      </c>
      <c r="BN52">
        <v>2</v>
      </c>
      <c r="BO52">
        <v>1.10200190657769</v>
      </c>
      <c r="BP52" t="s">
        <v>116</v>
      </c>
      <c r="BQ52">
        <v>2</v>
      </c>
      <c r="BR52">
        <v>1.5083892617449599</v>
      </c>
      <c r="BS52" t="s">
        <v>163</v>
      </c>
      <c r="BT52">
        <v>2</v>
      </c>
      <c r="BU52">
        <v>0.89245283018867905</v>
      </c>
      <c r="BV52" t="s">
        <v>163</v>
      </c>
      <c r="BW52">
        <v>2</v>
      </c>
      <c r="BX52">
        <v>0.96405919661733597</v>
      </c>
      <c r="BY52" t="s">
        <v>166</v>
      </c>
      <c r="BZ52">
        <v>3</v>
      </c>
      <c r="CA52">
        <v>1.13944223107569</v>
      </c>
      <c r="CB52" t="s">
        <v>166</v>
      </c>
      <c r="CC52">
        <v>3</v>
      </c>
      <c r="CD52">
        <v>1.006993006993</v>
      </c>
      <c r="CE52" t="s">
        <v>119</v>
      </c>
      <c r="CF52">
        <v>2</v>
      </c>
      <c r="CG52">
        <v>1.4279187323806699</v>
      </c>
      <c r="CH52" t="s">
        <v>122</v>
      </c>
      <c r="CI52">
        <v>2</v>
      </c>
      <c r="CJ52">
        <v>1.1493943472409101</v>
      </c>
      <c r="CK52" t="s">
        <v>169</v>
      </c>
      <c r="CL52">
        <v>2</v>
      </c>
      <c r="CM52">
        <v>0.91601049868766404</v>
      </c>
      <c r="CN52" t="s">
        <v>171</v>
      </c>
      <c r="CO52">
        <v>2</v>
      </c>
      <c r="CP52">
        <v>1.07317073170731</v>
      </c>
      <c r="CQ52" t="s">
        <v>169</v>
      </c>
      <c r="CR52">
        <v>2</v>
      </c>
      <c r="CS52">
        <v>0.89314516129032195</v>
      </c>
      <c r="CT52" t="s">
        <v>171</v>
      </c>
      <c r="CU52">
        <v>2</v>
      </c>
      <c r="CV52">
        <v>0.88655462184873901</v>
      </c>
      <c r="CW52" t="s">
        <v>179</v>
      </c>
      <c r="CX52">
        <v>3</v>
      </c>
      <c r="CY52">
        <v>0.92546583850931596</v>
      </c>
      <c r="CZ52" t="s">
        <v>175</v>
      </c>
      <c r="DA52">
        <v>2</v>
      </c>
      <c r="DB52">
        <v>0.99670691547749701</v>
      </c>
      <c r="DC52" t="s">
        <v>125</v>
      </c>
      <c r="DD52">
        <v>1</v>
      </c>
      <c r="DE52">
        <v>1.11150442477876</v>
      </c>
      <c r="DF52" t="s">
        <v>181</v>
      </c>
      <c r="DG52">
        <v>2</v>
      </c>
      <c r="DH52">
        <v>1.06696428571428</v>
      </c>
    </row>
    <row r="53" spans="1:112" x14ac:dyDescent="0.4">
      <c r="A53">
        <v>51</v>
      </c>
      <c r="B53" t="s">
        <v>117</v>
      </c>
      <c r="C53">
        <v>2</v>
      </c>
      <c r="D53">
        <v>0.83337375697307703</v>
      </c>
      <c r="E53" t="s">
        <v>163</v>
      </c>
      <c r="F53">
        <v>1</v>
      </c>
      <c r="G53">
        <v>0.68850174216027804</v>
      </c>
      <c r="H53" t="s">
        <v>154</v>
      </c>
      <c r="I53">
        <v>2</v>
      </c>
      <c r="J53">
        <v>0.92877906976744096</v>
      </c>
      <c r="K53" t="s">
        <v>114</v>
      </c>
      <c r="L53">
        <v>2</v>
      </c>
      <c r="M53">
        <v>0.601045296167247</v>
      </c>
      <c r="N53" t="s">
        <v>143</v>
      </c>
      <c r="O53">
        <v>2</v>
      </c>
      <c r="P53">
        <v>1.25526685393258</v>
      </c>
      <c r="Q53" t="s">
        <v>169</v>
      </c>
      <c r="R53">
        <v>2</v>
      </c>
      <c r="S53">
        <v>0.99042075906390203</v>
      </c>
      <c r="T53" t="s">
        <v>119</v>
      </c>
      <c r="U53">
        <v>2</v>
      </c>
      <c r="V53">
        <v>0.94700675518285504</v>
      </c>
      <c r="W53" t="s">
        <v>114</v>
      </c>
      <c r="X53">
        <v>1</v>
      </c>
      <c r="Y53">
        <v>0.95369030390737997</v>
      </c>
      <c r="Z53" t="s">
        <v>114</v>
      </c>
      <c r="AA53">
        <v>1</v>
      </c>
      <c r="AB53">
        <v>1.09256449165402</v>
      </c>
      <c r="AC53" t="s">
        <v>114</v>
      </c>
      <c r="AD53">
        <v>2</v>
      </c>
      <c r="AE53">
        <v>1.2819444444444399</v>
      </c>
      <c r="AF53" t="s">
        <v>116</v>
      </c>
      <c r="AG53">
        <v>2</v>
      </c>
      <c r="AH53">
        <v>1.09380530973451</v>
      </c>
      <c r="AI53" t="s">
        <v>154</v>
      </c>
      <c r="AJ53">
        <v>3</v>
      </c>
      <c r="AK53">
        <v>0.98755186721991695</v>
      </c>
      <c r="AL53" t="s">
        <v>163</v>
      </c>
      <c r="AM53">
        <v>1</v>
      </c>
      <c r="AN53">
        <v>0.76753246753246696</v>
      </c>
      <c r="AO53" t="s">
        <v>163</v>
      </c>
      <c r="AP53">
        <v>2</v>
      </c>
      <c r="AQ53">
        <v>0.89001692047377301</v>
      </c>
      <c r="AR53" t="s">
        <v>122</v>
      </c>
      <c r="AS53">
        <v>2</v>
      </c>
      <c r="AT53">
        <v>0.76439232409381597</v>
      </c>
      <c r="AU53" t="s">
        <v>171</v>
      </c>
      <c r="AV53">
        <v>2</v>
      </c>
      <c r="AW53">
        <v>1.18691588785046</v>
      </c>
      <c r="AX53" t="s">
        <v>166</v>
      </c>
      <c r="AY53">
        <v>3</v>
      </c>
      <c r="AZ53">
        <v>0.83006535947712401</v>
      </c>
      <c r="BA53" t="s">
        <v>122</v>
      </c>
      <c r="BB53">
        <v>2</v>
      </c>
      <c r="BC53">
        <v>1.0126582278481</v>
      </c>
      <c r="BD53" t="s">
        <v>163</v>
      </c>
      <c r="BE53">
        <v>2</v>
      </c>
      <c r="BF53">
        <v>0.99099099099099097</v>
      </c>
      <c r="BG53" t="s">
        <v>163</v>
      </c>
      <c r="BH53">
        <v>2</v>
      </c>
      <c r="BI53">
        <v>1.0727272727272701</v>
      </c>
      <c r="BJ53" t="s">
        <v>166</v>
      </c>
      <c r="BK53">
        <v>3</v>
      </c>
      <c r="BL53">
        <v>1.0243902439024299</v>
      </c>
      <c r="BM53" t="s">
        <v>116</v>
      </c>
      <c r="BN53">
        <v>2</v>
      </c>
      <c r="BO53">
        <v>1.0456140350877099</v>
      </c>
      <c r="BP53" t="s">
        <v>119</v>
      </c>
      <c r="BQ53">
        <v>2</v>
      </c>
      <c r="BR53">
        <v>1.15495296070835</v>
      </c>
      <c r="BS53" t="s">
        <v>122</v>
      </c>
      <c r="BT53">
        <v>3</v>
      </c>
      <c r="BU53">
        <v>1.1565656565656499</v>
      </c>
      <c r="BV53" t="s">
        <v>122</v>
      </c>
      <c r="BW53">
        <v>3</v>
      </c>
      <c r="BX53">
        <v>0.93886462882096</v>
      </c>
      <c r="BY53" t="s">
        <v>163</v>
      </c>
      <c r="BZ53">
        <v>2</v>
      </c>
      <c r="CA53">
        <v>1.3223684210526301</v>
      </c>
      <c r="CB53" t="s">
        <v>122</v>
      </c>
      <c r="CC53">
        <v>2</v>
      </c>
      <c r="CD53">
        <v>0.84095238095238101</v>
      </c>
      <c r="CE53" t="s">
        <v>159</v>
      </c>
      <c r="CF53">
        <v>2</v>
      </c>
      <c r="CG53">
        <v>1.0679611650485401</v>
      </c>
      <c r="CH53" t="s">
        <v>169</v>
      </c>
      <c r="CI53">
        <v>2</v>
      </c>
      <c r="CJ53">
        <v>1.23534179951364</v>
      </c>
      <c r="CK53" t="s">
        <v>171</v>
      </c>
      <c r="CL53">
        <v>2</v>
      </c>
      <c r="CM53">
        <v>0.86864406779660996</v>
      </c>
      <c r="CN53" t="s">
        <v>125</v>
      </c>
      <c r="CO53">
        <v>1</v>
      </c>
      <c r="CP53">
        <v>1.26460481099656</v>
      </c>
      <c r="CQ53" t="s">
        <v>171</v>
      </c>
      <c r="CR53">
        <v>2</v>
      </c>
      <c r="CS53">
        <v>1.08181818181818</v>
      </c>
      <c r="CT53" t="s">
        <v>175</v>
      </c>
      <c r="CU53">
        <v>2</v>
      </c>
      <c r="CV53">
        <v>0.68989547038327503</v>
      </c>
      <c r="CW53" t="s">
        <v>182</v>
      </c>
      <c r="CX53">
        <v>3</v>
      </c>
      <c r="CY53">
        <v>0.92218717139852702</v>
      </c>
      <c r="CZ53" t="s">
        <v>182</v>
      </c>
      <c r="DA53">
        <v>3</v>
      </c>
      <c r="DB53">
        <v>0.98175598631698902</v>
      </c>
      <c r="DC53" t="s">
        <v>175</v>
      </c>
      <c r="DD53">
        <v>2</v>
      </c>
      <c r="DE53">
        <v>1.0550660792951501</v>
      </c>
      <c r="DF53" t="s">
        <v>184</v>
      </c>
      <c r="DG53">
        <v>3</v>
      </c>
      <c r="DH53">
        <v>1.2195121951219501</v>
      </c>
    </row>
    <row r="54" spans="1:112" x14ac:dyDescent="0.4">
      <c r="A54">
        <v>52</v>
      </c>
      <c r="B54" t="s">
        <v>152</v>
      </c>
      <c r="C54">
        <v>2</v>
      </c>
      <c r="D54">
        <v>0.88510638297872302</v>
      </c>
      <c r="E54" t="s">
        <v>122</v>
      </c>
      <c r="F54">
        <v>2</v>
      </c>
      <c r="G54">
        <v>0.57023411371237398</v>
      </c>
      <c r="H54" t="s">
        <v>114</v>
      </c>
      <c r="I54">
        <v>2</v>
      </c>
      <c r="J54">
        <v>1.20842105263157</v>
      </c>
      <c r="K54" t="s">
        <v>116</v>
      </c>
      <c r="L54">
        <v>2</v>
      </c>
      <c r="M54">
        <v>1.0780399274047101</v>
      </c>
      <c r="N54" t="s">
        <v>146</v>
      </c>
      <c r="O54">
        <v>2</v>
      </c>
      <c r="P54">
        <v>1.2331791735044</v>
      </c>
      <c r="Q54" t="s">
        <v>171</v>
      </c>
      <c r="R54">
        <v>2</v>
      </c>
      <c r="S54">
        <v>0.98784194528875302</v>
      </c>
      <c r="T54" t="s">
        <v>159</v>
      </c>
      <c r="U54">
        <v>1</v>
      </c>
      <c r="V54">
        <v>0.82332969564690195</v>
      </c>
      <c r="W54" t="s">
        <v>116</v>
      </c>
      <c r="X54">
        <v>2</v>
      </c>
      <c r="Y54">
        <v>1.03253182461103</v>
      </c>
      <c r="Z54" t="s">
        <v>116</v>
      </c>
      <c r="AA54">
        <v>2</v>
      </c>
      <c r="AB54">
        <v>0.82191780821917804</v>
      </c>
      <c r="AC54" t="s">
        <v>116</v>
      </c>
      <c r="AD54">
        <v>2</v>
      </c>
      <c r="AE54">
        <v>0.94166666666666599</v>
      </c>
      <c r="AF54" t="s">
        <v>119</v>
      </c>
      <c r="AG54">
        <v>2</v>
      </c>
      <c r="AH54">
        <v>1.0825082508250801</v>
      </c>
      <c r="AI54" t="s">
        <v>114</v>
      </c>
      <c r="AJ54">
        <v>2</v>
      </c>
      <c r="AK54">
        <v>0.81754385964912202</v>
      </c>
      <c r="AL54" t="s">
        <v>122</v>
      </c>
      <c r="AM54">
        <v>2</v>
      </c>
      <c r="AN54">
        <v>0.94827586206896497</v>
      </c>
      <c r="AO54" t="s">
        <v>122</v>
      </c>
      <c r="AP54">
        <v>2</v>
      </c>
      <c r="AQ54">
        <v>0.852727272727272</v>
      </c>
      <c r="AR54" t="s">
        <v>169</v>
      </c>
      <c r="AS54">
        <v>2</v>
      </c>
      <c r="AT54">
        <v>0.77791286727456899</v>
      </c>
      <c r="AU54" t="s">
        <v>175</v>
      </c>
      <c r="AV54">
        <v>2</v>
      </c>
      <c r="AW54">
        <v>1.0625</v>
      </c>
      <c r="AX54" t="s">
        <v>163</v>
      </c>
      <c r="AY54">
        <v>2</v>
      </c>
      <c r="AZ54">
        <v>0.74629629629629601</v>
      </c>
      <c r="BA54" t="s">
        <v>169</v>
      </c>
      <c r="BB54">
        <v>2</v>
      </c>
      <c r="BC54">
        <v>0.97322741982936101</v>
      </c>
      <c r="BD54" t="s">
        <v>122</v>
      </c>
      <c r="BE54">
        <v>2</v>
      </c>
      <c r="BF54">
        <v>0.96250000000000002</v>
      </c>
      <c r="BG54" t="s">
        <v>122</v>
      </c>
      <c r="BH54">
        <v>2</v>
      </c>
      <c r="BI54">
        <v>0.94805194805194803</v>
      </c>
      <c r="BJ54" t="s">
        <v>163</v>
      </c>
      <c r="BK54">
        <v>2</v>
      </c>
      <c r="BL54">
        <v>0.99394673123486599</v>
      </c>
      <c r="BM54" t="s">
        <v>119</v>
      </c>
      <c r="BN54">
        <v>2</v>
      </c>
      <c r="BO54">
        <v>0.66271393643031695</v>
      </c>
      <c r="BP54" t="s">
        <v>159</v>
      </c>
      <c r="BQ54">
        <v>2</v>
      </c>
      <c r="BR54">
        <v>1.0350877192982399</v>
      </c>
      <c r="BS54" t="s">
        <v>123</v>
      </c>
      <c r="BT54">
        <v>1</v>
      </c>
      <c r="BU54">
        <v>1.13466205780686</v>
      </c>
      <c r="BV54" t="s">
        <v>123</v>
      </c>
      <c r="BW54">
        <v>1</v>
      </c>
      <c r="BX54">
        <v>0.96525797251750001</v>
      </c>
      <c r="BY54" t="s">
        <v>122</v>
      </c>
      <c r="BZ54">
        <v>2</v>
      </c>
      <c r="CA54">
        <v>0.97674418604651103</v>
      </c>
      <c r="CB54" t="s">
        <v>123</v>
      </c>
      <c r="CC54">
        <v>2</v>
      </c>
      <c r="CD54">
        <v>1.1522747519429799</v>
      </c>
      <c r="CE54" t="s">
        <v>166</v>
      </c>
      <c r="CF54">
        <v>3</v>
      </c>
      <c r="CG54">
        <v>1.0833333333333299</v>
      </c>
      <c r="CH54" t="s">
        <v>171</v>
      </c>
      <c r="CI54">
        <v>2</v>
      </c>
      <c r="CJ54">
        <v>1.0727272727272701</v>
      </c>
      <c r="CK54" t="s">
        <v>125</v>
      </c>
      <c r="CL54">
        <v>1</v>
      </c>
      <c r="CM54">
        <v>0.93418940609951795</v>
      </c>
      <c r="CN54" t="s">
        <v>175</v>
      </c>
      <c r="CO54">
        <v>2</v>
      </c>
      <c r="CP54">
        <v>1.17307692307692</v>
      </c>
      <c r="CQ54" t="s">
        <v>175</v>
      </c>
      <c r="CR54">
        <v>2</v>
      </c>
      <c r="CS54">
        <v>0.94098360655737701</v>
      </c>
      <c r="CT54" t="s">
        <v>179</v>
      </c>
      <c r="CU54">
        <v>3</v>
      </c>
      <c r="CV54">
        <v>0.971830985915493</v>
      </c>
      <c r="CW54" t="s">
        <v>181</v>
      </c>
      <c r="CX54">
        <v>2</v>
      </c>
      <c r="CY54">
        <v>0.93359375</v>
      </c>
      <c r="CZ54" t="s">
        <v>181</v>
      </c>
      <c r="DA54">
        <v>2</v>
      </c>
      <c r="DB54">
        <v>0.95815899581589903</v>
      </c>
      <c r="DC54" t="s">
        <v>182</v>
      </c>
      <c r="DD54">
        <v>3</v>
      </c>
      <c r="DE54">
        <v>1.0499419279907001</v>
      </c>
      <c r="DF54" t="s">
        <v>137</v>
      </c>
      <c r="DG54">
        <v>2</v>
      </c>
      <c r="DH54">
        <v>1.07152145643693</v>
      </c>
    </row>
    <row r="55" spans="1:112" x14ac:dyDescent="0.4">
      <c r="A55">
        <v>53</v>
      </c>
      <c r="B55" t="s">
        <v>154</v>
      </c>
      <c r="C55">
        <v>2</v>
      </c>
      <c r="D55">
        <v>0.94117647058823495</v>
      </c>
      <c r="E55" t="s">
        <v>169</v>
      </c>
      <c r="F55">
        <v>2</v>
      </c>
      <c r="G55">
        <v>0.75527983104540597</v>
      </c>
      <c r="H55" t="s">
        <v>116</v>
      </c>
      <c r="I55">
        <v>2</v>
      </c>
      <c r="J55">
        <v>0.75479452054794505</v>
      </c>
      <c r="K55" t="s">
        <v>119</v>
      </c>
      <c r="L55">
        <v>2</v>
      </c>
      <c r="M55">
        <v>1.15995575221238</v>
      </c>
      <c r="N55" t="s">
        <v>117</v>
      </c>
      <c r="O55">
        <v>2</v>
      </c>
      <c r="P55">
        <v>1.1620486985726199</v>
      </c>
      <c r="Q55" t="s">
        <v>175</v>
      </c>
      <c r="R55">
        <v>2</v>
      </c>
      <c r="S55">
        <v>1.0462046204620401</v>
      </c>
      <c r="T55" t="s">
        <v>166</v>
      </c>
      <c r="U55">
        <v>2</v>
      </c>
      <c r="V55">
        <v>0.96666666666666601</v>
      </c>
      <c r="W55" t="s">
        <v>119</v>
      </c>
      <c r="X55">
        <v>2</v>
      </c>
      <c r="Y55">
        <v>0.919690075021522</v>
      </c>
      <c r="Z55" t="s">
        <v>119</v>
      </c>
      <c r="AA55">
        <v>2</v>
      </c>
      <c r="AB55">
        <v>0.69978603904787295</v>
      </c>
      <c r="AC55" t="s">
        <v>119</v>
      </c>
      <c r="AD55">
        <v>2</v>
      </c>
      <c r="AE55">
        <v>1.1001337664819399</v>
      </c>
      <c r="AF55" t="s">
        <v>166</v>
      </c>
      <c r="AG55">
        <v>2</v>
      </c>
      <c r="AH55">
        <v>0.99677419354838703</v>
      </c>
      <c r="AI55" t="s">
        <v>116</v>
      </c>
      <c r="AJ55">
        <v>2</v>
      </c>
      <c r="AK55">
        <v>0.88349514563106801</v>
      </c>
      <c r="AL55" t="s">
        <v>169</v>
      </c>
      <c r="AM55">
        <v>2</v>
      </c>
      <c r="AN55">
        <v>0.80075471698113199</v>
      </c>
      <c r="AO55" t="s">
        <v>169</v>
      </c>
      <c r="AP55">
        <v>2</v>
      </c>
      <c r="AQ55">
        <v>0.93025447690857599</v>
      </c>
      <c r="AR55" t="s">
        <v>171</v>
      </c>
      <c r="AS55">
        <v>2</v>
      </c>
      <c r="AT55">
        <v>0.88065843621399098</v>
      </c>
      <c r="AU55" t="s">
        <v>131</v>
      </c>
      <c r="AV55">
        <v>1</v>
      </c>
      <c r="AW55">
        <v>1.21505376344086</v>
      </c>
      <c r="AX55" t="s">
        <v>122</v>
      </c>
      <c r="AY55">
        <v>2</v>
      </c>
      <c r="AZ55">
        <v>0.78131868131868099</v>
      </c>
      <c r="BA55" t="s">
        <v>171</v>
      </c>
      <c r="BB55">
        <v>2</v>
      </c>
      <c r="BC55">
        <v>0.93721973094170397</v>
      </c>
      <c r="BD55" t="s">
        <v>169</v>
      </c>
      <c r="BE55">
        <v>2</v>
      </c>
      <c r="BF55">
        <v>0.96765417170495704</v>
      </c>
      <c r="BG55" t="s">
        <v>169</v>
      </c>
      <c r="BH55">
        <v>2</v>
      </c>
      <c r="BI55">
        <v>1.2530459231490101</v>
      </c>
      <c r="BJ55" t="s">
        <v>122</v>
      </c>
      <c r="BK55">
        <v>2</v>
      </c>
      <c r="BL55">
        <v>1.07610350076103</v>
      </c>
      <c r="BM55" t="s">
        <v>159</v>
      </c>
      <c r="BN55">
        <v>2</v>
      </c>
      <c r="BO55">
        <v>0.73076923076922995</v>
      </c>
      <c r="BP55" t="s">
        <v>166</v>
      </c>
      <c r="BQ55">
        <v>3</v>
      </c>
      <c r="BR55">
        <v>1.0257510729613699</v>
      </c>
      <c r="BS55" t="s">
        <v>169</v>
      </c>
      <c r="BT55">
        <v>2</v>
      </c>
      <c r="BU55">
        <v>0.95546064673581399</v>
      </c>
      <c r="BV55" t="s">
        <v>169</v>
      </c>
      <c r="BW55">
        <v>2</v>
      </c>
      <c r="BX55">
        <v>0.98180076628352397</v>
      </c>
      <c r="BY55" t="s">
        <v>123</v>
      </c>
      <c r="BZ55">
        <v>2</v>
      </c>
      <c r="CA55">
        <v>1.0929693795326301</v>
      </c>
      <c r="CB55" t="s">
        <v>169</v>
      </c>
      <c r="CC55">
        <v>2</v>
      </c>
      <c r="CD55">
        <v>0.86457536342769703</v>
      </c>
      <c r="CE55" t="s">
        <v>122</v>
      </c>
      <c r="CF55">
        <v>2</v>
      </c>
      <c r="CG55">
        <v>0.841449603624009</v>
      </c>
      <c r="CH55" t="s">
        <v>175</v>
      </c>
      <c r="CI55">
        <v>2</v>
      </c>
      <c r="CJ55">
        <v>1.3013698630136901</v>
      </c>
      <c r="CK55" t="s">
        <v>175</v>
      </c>
      <c r="CL55">
        <v>2</v>
      </c>
      <c r="CM55">
        <v>0.91228070175438503</v>
      </c>
      <c r="CN55" t="s">
        <v>179</v>
      </c>
      <c r="CO55">
        <v>3</v>
      </c>
      <c r="CP55">
        <v>0.98763250883392195</v>
      </c>
      <c r="CQ55" t="s">
        <v>179</v>
      </c>
      <c r="CR55">
        <v>3</v>
      </c>
      <c r="CS55">
        <v>0.88908765652951705</v>
      </c>
      <c r="CT55" t="s">
        <v>182</v>
      </c>
      <c r="CU55">
        <v>3</v>
      </c>
      <c r="CV55">
        <v>1.0981524249422601</v>
      </c>
      <c r="CW55" t="s">
        <v>184</v>
      </c>
      <c r="CX55">
        <v>3</v>
      </c>
      <c r="CY55">
        <v>0.98113207547169801</v>
      </c>
      <c r="CZ55" t="s">
        <v>184</v>
      </c>
      <c r="DA55">
        <v>3</v>
      </c>
      <c r="DB55">
        <v>1</v>
      </c>
      <c r="DC55" t="s">
        <v>181</v>
      </c>
      <c r="DD55">
        <v>2</v>
      </c>
      <c r="DE55">
        <v>0.97816593886462799</v>
      </c>
      <c r="DF55" t="s">
        <v>190</v>
      </c>
      <c r="DG55">
        <v>3</v>
      </c>
      <c r="DH55">
        <v>1.27012987012987</v>
      </c>
    </row>
    <row r="56" spans="1:112" x14ac:dyDescent="0.4">
      <c r="A56">
        <v>54</v>
      </c>
      <c r="B56" t="s">
        <v>114</v>
      </c>
      <c r="C56">
        <v>2</v>
      </c>
      <c r="D56">
        <v>0.902970297029703</v>
      </c>
      <c r="E56" t="s">
        <v>171</v>
      </c>
      <c r="F56">
        <v>2</v>
      </c>
      <c r="G56">
        <v>0.89672544080604499</v>
      </c>
      <c r="H56" t="s">
        <v>159</v>
      </c>
      <c r="I56">
        <v>1</v>
      </c>
      <c r="J56">
        <v>0.66636396658190999</v>
      </c>
      <c r="K56" t="s">
        <v>159</v>
      </c>
      <c r="L56">
        <v>1</v>
      </c>
      <c r="M56">
        <v>1.2463886617606901</v>
      </c>
      <c r="N56" t="s">
        <v>152</v>
      </c>
      <c r="O56">
        <v>2</v>
      </c>
      <c r="P56">
        <v>1.0548387096774099</v>
      </c>
      <c r="Q56" t="s">
        <v>131</v>
      </c>
      <c r="R56">
        <v>1</v>
      </c>
      <c r="S56">
        <v>0.967741935483871</v>
      </c>
      <c r="T56" t="s">
        <v>122</v>
      </c>
      <c r="U56">
        <v>2</v>
      </c>
      <c r="V56">
        <v>0.73378839590443601</v>
      </c>
      <c r="W56" t="s">
        <v>159</v>
      </c>
      <c r="X56">
        <v>1</v>
      </c>
      <c r="Y56">
        <v>0.949116347569955</v>
      </c>
      <c r="Z56" t="s">
        <v>159</v>
      </c>
      <c r="AA56">
        <v>1</v>
      </c>
      <c r="AB56">
        <v>0.85057025370470896</v>
      </c>
      <c r="AC56" t="s">
        <v>159</v>
      </c>
      <c r="AD56">
        <v>1</v>
      </c>
      <c r="AE56">
        <v>1.2928030648545099</v>
      </c>
      <c r="AF56" t="s">
        <v>163</v>
      </c>
      <c r="AG56">
        <v>1</v>
      </c>
      <c r="AH56">
        <v>0.90174002047082902</v>
      </c>
      <c r="AI56" t="s">
        <v>119</v>
      </c>
      <c r="AJ56">
        <v>2</v>
      </c>
      <c r="AK56">
        <v>1</v>
      </c>
      <c r="AL56" t="s">
        <v>171</v>
      </c>
      <c r="AM56">
        <v>2</v>
      </c>
      <c r="AN56">
        <v>0.88424437299035297</v>
      </c>
      <c r="AO56" t="s">
        <v>171</v>
      </c>
      <c r="AP56">
        <v>2</v>
      </c>
      <c r="AQ56">
        <v>0.883636363636363</v>
      </c>
      <c r="AR56" t="s">
        <v>175</v>
      </c>
      <c r="AS56">
        <v>2</v>
      </c>
      <c r="AT56">
        <v>1.0797546012269901</v>
      </c>
      <c r="AU56" t="s">
        <v>177</v>
      </c>
      <c r="AV56">
        <v>2</v>
      </c>
      <c r="AW56">
        <v>1.4346076458752499</v>
      </c>
      <c r="AX56" t="s">
        <v>169</v>
      </c>
      <c r="AY56">
        <v>2</v>
      </c>
      <c r="AZ56">
        <v>0.762107623318385</v>
      </c>
      <c r="BA56" t="s">
        <v>125</v>
      </c>
      <c r="BB56">
        <v>1</v>
      </c>
      <c r="BC56">
        <v>1.13818181818181</v>
      </c>
      <c r="BD56" t="s">
        <v>171</v>
      </c>
      <c r="BE56">
        <v>2</v>
      </c>
      <c r="BF56">
        <v>1.0586124401913799</v>
      </c>
      <c r="BG56" t="s">
        <v>171</v>
      </c>
      <c r="BH56">
        <v>2</v>
      </c>
      <c r="BI56">
        <v>1.1694915254237199</v>
      </c>
      <c r="BJ56" t="s">
        <v>169</v>
      </c>
      <c r="BK56">
        <v>2</v>
      </c>
      <c r="BL56">
        <v>0.913986537023186</v>
      </c>
      <c r="BM56" t="s">
        <v>166</v>
      </c>
      <c r="BN56">
        <v>3</v>
      </c>
      <c r="BO56">
        <v>0.92460317460317398</v>
      </c>
      <c r="BP56" t="s">
        <v>163</v>
      </c>
      <c r="BQ56">
        <v>2</v>
      </c>
      <c r="BR56">
        <v>0.88628762541806005</v>
      </c>
      <c r="BS56" t="s">
        <v>171</v>
      </c>
      <c r="BT56">
        <v>2</v>
      </c>
      <c r="BU56">
        <v>0.97703788748564802</v>
      </c>
      <c r="BV56" t="s">
        <v>171</v>
      </c>
      <c r="BW56">
        <v>2</v>
      </c>
      <c r="BX56">
        <v>1.0716803760282001</v>
      </c>
      <c r="BY56" t="s">
        <v>169</v>
      </c>
      <c r="BZ56">
        <v>2</v>
      </c>
      <c r="CA56">
        <v>1.27512195121951</v>
      </c>
      <c r="CB56" t="s">
        <v>171</v>
      </c>
      <c r="CC56">
        <v>2</v>
      </c>
      <c r="CD56">
        <v>0.79338842975206603</v>
      </c>
      <c r="CE56" t="s">
        <v>169</v>
      </c>
      <c r="CF56">
        <v>2</v>
      </c>
      <c r="CG56">
        <v>1.09174041297935</v>
      </c>
      <c r="CH56" t="s">
        <v>179</v>
      </c>
      <c r="CI56">
        <v>3</v>
      </c>
      <c r="CJ56">
        <v>0.958620689655172</v>
      </c>
      <c r="CK56" t="s">
        <v>179</v>
      </c>
      <c r="CL56">
        <v>3</v>
      </c>
      <c r="CM56">
        <v>1.0179856115107899</v>
      </c>
      <c r="CN56" t="s">
        <v>182</v>
      </c>
      <c r="CO56">
        <v>3</v>
      </c>
      <c r="CP56">
        <v>1.0554803788903899</v>
      </c>
      <c r="CQ56" t="s">
        <v>182</v>
      </c>
      <c r="CR56">
        <v>3</v>
      </c>
      <c r="CS56">
        <v>1.1102564102564101</v>
      </c>
      <c r="CT56" t="s">
        <v>181</v>
      </c>
      <c r="CU56">
        <v>2</v>
      </c>
      <c r="CV56">
        <v>0.984615384615384</v>
      </c>
      <c r="CW56" t="s">
        <v>137</v>
      </c>
      <c r="CX56">
        <v>2</v>
      </c>
      <c r="CY56">
        <v>0.97506925207756201</v>
      </c>
      <c r="CZ56" t="s">
        <v>137</v>
      </c>
      <c r="DA56">
        <v>2</v>
      </c>
      <c r="DB56">
        <v>1.0255681818181801</v>
      </c>
      <c r="DC56" t="s">
        <v>184</v>
      </c>
      <c r="DD56">
        <v>3</v>
      </c>
      <c r="DE56">
        <v>0.98557692307692302</v>
      </c>
      <c r="DF56" t="s">
        <v>145</v>
      </c>
      <c r="DG56">
        <v>1</v>
      </c>
      <c r="DH56">
        <v>0.94720000000000004</v>
      </c>
    </row>
    <row r="57" spans="1:112" x14ac:dyDescent="0.4">
      <c r="A57">
        <v>55</v>
      </c>
      <c r="B57" t="s">
        <v>116</v>
      </c>
      <c r="C57">
        <v>2</v>
      </c>
      <c r="D57">
        <v>0.98241758241758204</v>
      </c>
      <c r="E57" t="s">
        <v>131</v>
      </c>
      <c r="F57">
        <v>1</v>
      </c>
      <c r="G57">
        <v>0.67592592592592504</v>
      </c>
      <c r="H57" t="s">
        <v>166</v>
      </c>
      <c r="I57">
        <v>2</v>
      </c>
      <c r="J57">
        <v>0.67724867724867699</v>
      </c>
      <c r="K57" t="s">
        <v>166</v>
      </c>
      <c r="L57">
        <v>2</v>
      </c>
      <c r="M57">
        <v>1.015625</v>
      </c>
      <c r="N57" t="s">
        <v>154</v>
      </c>
      <c r="O57">
        <v>2</v>
      </c>
      <c r="P57">
        <v>0.96198347107437998</v>
      </c>
      <c r="Q57" t="s">
        <v>134</v>
      </c>
      <c r="R57">
        <v>2</v>
      </c>
      <c r="S57">
        <v>1.5178571428571399</v>
      </c>
      <c r="T57" t="s">
        <v>169</v>
      </c>
      <c r="U57">
        <v>2</v>
      </c>
      <c r="V57">
        <v>0.769098922624877</v>
      </c>
      <c r="W57" t="s">
        <v>166</v>
      </c>
      <c r="X57">
        <v>2</v>
      </c>
      <c r="Y57">
        <v>1.02413793103448</v>
      </c>
      <c r="Z57" t="s">
        <v>166</v>
      </c>
      <c r="AA57">
        <v>2</v>
      </c>
      <c r="AB57">
        <v>0.95622895622895598</v>
      </c>
      <c r="AC57" t="s">
        <v>166</v>
      </c>
      <c r="AD57">
        <v>2</v>
      </c>
      <c r="AE57">
        <v>1.09154929577464</v>
      </c>
      <c r="AF57" t="s">
        <v>122</v>
      </c>
      <c r="AG57">
        <v>2</v>
      </c>
      <c r="AH57">
        <v>1.2365145228215699</v>
      </c>
      <c r="AI57" t="s">
        <v>159</v>
      </c>
      <c r="AJ57">
        <v>1</v>
      </c>
      <c r="AK57">
        <v>1.0399319617689899</v>
      </c>
      <c r="AL57" t="s">
        <v>175</v>
      </c>
      <c r="AM57">
        <v>2</v>
      </c>
      <c r="AN57">
        <v>0.96107784431137699</v>
      </c>
      <c r="AO57" t="s">
        <v>175</v>
      </c>
      <c r="AP57">
        <v>2</v>
      </c>
      <c r="AQ57">
        <v>1.0155763239875299</v>
      </c>
      <c r="AR57" t="s">
        <v>131</v>
      </c>
      <c r="AS57">
        <v>1</v>
      </c>
      <c r="AT57">
        <v>0.84802431610942197</v>
      </c>
      <c r="AU57" t="s">
        <v>134</v>
      </c>
      <c r="AV57">
        <v>2</v>
      </c>
      <c r="AW57">
        <v>1.15151515151515</v>
      </c>
      <c r="AX57" t="s">
        <v>171</v>
      </c>
      <c r="AY57">
        <v>2</v>
      </c>
      <c r="AZ57">
        <v>0.70236220472440902</v>
      </c>
      <c r="BA57" t="s">
        <v>175</v>
      </c>
      <c r="BB57">
        <v>2</v>
      </c>
      <c r="BC57">
        <v>1.0204918032786801</v>
      </c>
      <c r="BD57" t="s">
        <v>175</v>
      </c>
      <c r="BE57">
        <v>2</v>
      </c>
      <c r="BF57">
        <v>0.93975903614457801</v>
      </c>
      <c r="BG57" t="s">
        <v>175</v>
      </c>
      <c r="BH57">
        <v>2</v>
      </c>
      <c r="BI57">
        <v>1.0384615384615301</v>
      </c>
      <c r="BJ57" t="s">
        <v>171</v>
      </c>
      <c r="BK57">
        <v>2</v>
      </c>
      <c r="BL57">
        <v>0.94396135265700398</v>
      </c>
      <c r="BM57" t="s">
        <v>163</v>
      </c>
      <c r="BN57">
        <v>2</v>
      </c>
      <c r="BO57">
        <v>0.72838002436053595</v>
      </c>
      <c r="BP57" t="s">
        <v>122</v>
      </c>
      <c r="BQ57">
        <v>3</v>
      </c>
      <c r="BR57">
        <v>1.3342318059299101</v>
      </c>
      <c r="BS57" t="s">
        <v>175</v>
      </c>
      <c r="BT57">
        <v>2</v>
      </c>
      <c r="BU57">
        <v>0.92460317460317398</v>
      </c>
      <c r="BV57" t="s">
        <v>125</v>
      </c>
      <c r="BW57">
        <v>1</v>
      </c>
      <c r="BX57">
        <v>1.08392857142857</v>
      </c>
      <c r="BY57" t="s">
        <v>171</v>
      </c>
      <c r="BZ57">
        <v>2</v>
      </c>
      <c r="CA57">
        <v>1.32675438596491</v>
      </c>
      <c r="CB57" t="s">
        <v>175</v>
      </c>
      <c r="CC57">
        <v>2</v>
      </c>
      <c r="CD57">
        <v>0.94994892747701698</v>
      </c>
      <c r="CE57" t="s">
        <v>171</v>
      </c>
      <c r="CF57">
        <v>2</v>
      </c>
      <c r="CG57">
        <v>1.1458333333333299</v>
      </c>
      <c r="CH57" t="s">
        <v>182</v>
      </c>
      <c r="CI57">
        <v>3</v>
      </c>
      <c r="CJ57">
        <v>1.14222873900293</v>
      </c>
      <c r="CK57" t="s">
        <v>182</v>
      </c>
      <c r="CL57">
        <v>3</v>
      </c>
      <c r="CM57">
        <v>0.94865211810012795</v>
      </c>
      <c r="CN57" t="s">
        <v>181</v>
      </c>
      <c r="CO57">
        <v>2</v>
      </c>
      <c r="CP57">
        <v>0.93525179856115104</v>
      </c>
      <c r="CQ57" t="s">
        <v>181</v>
      </c>
      <c r="CR57">
        <v>2</v>
      </c>
      <c r="CS57">
        <v>1</v>
      </c>
      <c r="CT57" t="s">
        <v>184</v>
      </c>
      <c r="CU57">
        <v>3</v>
      </c>
      <c r="CV57">
        <v>1.09617373319544</v>
      </c>
      <c r="CW57" t="s">
        <v>145</v>
      </c>
      <c r="CX57">
        <v>1</v>
      </c>
      <c r="CY57">
        <v>1.04907975460122</v>
      </c>
      <c r="CZ57" t="s">
        <v>190</v>
      </c>
      <c r="DA57">
        <v>3</v>
      </c>
      <c r="DB57">
        <v>1.0657142857142801</v>
      </c>
      <c r="DC57" t="s">
        <v>137</v>
      </c>
      <c r="DD57">
        <v>2</v>
      </c>
      <c r="DE57">
        <v>1.0650969529085801</v>
      </c>
      <c r="DF57" t="s">
        <v>150</v>
      </c>
      <c r="DG57">
        <v>3</v>
      </c>
      <c r="DH57">
        <v>1.4347826086956501</v>
      </c>
    </row>
    <row r="58" spans="1:112" x14ac:dyDescent="0.4">
      <c r="A58">
        <v>56</v>
      </c>
      <c r="B58" t="s">
        <v>166</v>
      </c>
      <c r="C58">
        <v>2</v>
      </c>
      <c r="D58">
        <v>1.0440097799510999</v>
      </c>
      <c r="E58" t="s">
        <v>134</v>
      </c>
      <c r="F58">
        <v>2</v>
      </c>
      <c r="G58">
        <v>0.80968858131487798</v>
      </c>
      <c r="H58" t="s">
        <v>163</v>
      </c>
      <c r="I58">
        <v>1</v>
      </c>
      <c r="J58">
        <v>0.43522267206477699</v>
      </c>
      <c r="K58" t="s">
        <v>163</v>
      </c>
      <c r="L58">
        <v>1</v>
      </c>
      <c r="M58">
        <v>1.31627906976744</v>
      </c>
      <c r="N58" t="s">
        <v>114</v>
      </c>
      <c r="O58">
        <v>2</v>
      </c>
      <c r="P58">
        <v>0.95652173913043403</v>
      </c>
      <c r="Q58" t="s">
        <v>137</v>
      </c>
      <c r="R58">
        <v>2</v>
      </c>
      <c r="S58">
        <v>1.0159680638722499</v>
      </c>
      <c r="T58" t="s">
        <v>171</v>
      </c>
      <c r="U58">
        <v>2</v>
      </c>
      <c r="V58">
        <v>0.92</v>
      </c>
      <c r="W58" t="s">
        <v>163</v>
      </c>
      <c r="X58">
        <v>2</v>
      </c>
      <c r="Y58">
        <v>0.91774891774891698</v>
      </c>
      <c r="Z58" t="s">
        <v>163</v>
      </c>
      <c r="AA58">
        <v>2</v>
      </c>
      <c r="AB58">
        <v>0.78584905660377302</v>
      </c>
      <c r="AC58" t="s">
        <v>163</v>
      </c>
      <c r="AD58">
        <v>1</v>
      </c>
      <c r="AE58">
        <v>1.17286914765906</v>
      </c>
      <c r="AF58" t="s">
        <v>169</v>
      </c>
      <c r="AG58">
        <v>2</v>
      </c>
      <c r="AH58">
        <v>1.0951686121919499</v>
      </c>
      <c r="AI58" t="s">
        <v>166</v>
      </c>
      <c r="AJ58">
        <v>2</v>
      </c>
      <c r="AK58">
        <v>0.97734627831715204</v>
      </c>
      <c r="AL58" t="s">
        <v>131</v>
      </c>
      <c r="AM58">
        <v>1</v>
      </c>
      <c r="AN58">
        <v>1.5358490566037699</v>
      </c>
      <c r="AO58" t="s">
        <v>134</v>
      </c>
      <c r="AP58">
        <v>2</v>
      </c>
      <c r="AQ58">
        <v>0.866807610993657</v>
      </c>
      <c r="AR58" t="s">
        <v>177</v>
      </c>
      <c r="AS58">
        <v>2</v>
      </c>
      <c r="AT58">
        <v>0.77656250000000004</v>
      </c>
      <c r="AU58" t="s">
        <v>137</v>
      </c>
      <c r="AV58">
        <v>2</v>
      </c>
      <c r="AW58">
        <v>1.0025542784163399</v>
      </c>
      <c r="AX58" t="s">
        <v>175</v>
      </c>
      <c r="AY58">
        <v>2</v>
      </c>
      <c r="AZ58">
        <v>0.65240641711229896</v>
      </c>
      <c r="BA58" t="s">
        <v>131</v>
      </c>
      <c r="BB58">
        <v>1</v>
      </c>
      <c r="BC58">
        <v>1.36326530612244</v>
      </c>
      <c r="BD58" t="s">
        <v>131</v>
      </c>
      <c r="BE58">
        <v>1</v>
      </c>
      <c r="BF58">
        <v>1.0748502994011899</v>
      </c>
      <c r="BG58" t="s">
        <v>131</v>
      </c>
      <c r="BH58">
        <v>1</v>
      </c>
      <c r="BI58">
        <v>0.98050139275766002</v>
      </c>
      <c r="BJ58" t="s">
        <v>175</v>
      </c>
      <c r="BK58">
        <v>2</v>
      </c>
      <c r="BL58">
        <v>1.13168724279835</v>
      </c>
      <c r="BM58" t="s">
        <v>122</v>
      </c>
      <c r="BN58">
        <v>3</v>
      </c>
      <c r="BO58">
        <v>1.04950495049504</v>
      </c>
      <c r="BP58" t="s">
        <v>169</v>
      </c>
      <c r="BQ58">
        <v>2</v>
      </c>
      <c r="BR58">
        <v>1.1782890007189</v>
      </c>
      <c r="BS58" t="s">
        <v>131</v>
      </c>
      <c r="BT58">
        <v>1</v>
      </c>
      <c r="BU58">
        <v>1.02941176470588</v>
      </c>
      <c r="BV58" t="s">
        <v>175</v>
      </c>
      <c r="BW58">
        <v>2</v>
      </c>
      <c r="BX58">
        <v>0.935622317596566</v>
      </c>
      <c r="BY58" t="s">
        <v>125</v>
      </c>
      <c r="BZ58">
        <v>1</v>
      </c>
      <c r="CA58">
        <v>1.16803953871499</v>
      </c>
      <c r="CB58" t="s">
        <v>131</v>
      </c>
      <c r="CC58">
        <v>1</v>
      </c>
      <c r="CD58">
        <v>1.0591900311526401</v>
      </c>
      <c r="CE58" t="s">
        <v>175</v>
      </c>
      <c r="CF58">
        <v>2</v>
      </c>
      <c r="CG58">
        <v>1.1774193548387</v>
      </c>
      <c r="CH58" t="s">
        <v>181</v>
      </c>
      <c r="CI58">
        <v>2</v>
      </c>
      <c r="CJ58">
        <v>1.1634615384615301</v>
      </c>
      <c r="CK58" t="s">
        <v>181</v>
      </c>
      <c r="CL58">
        <v>2</v>
      </c>
      <c r="CM58">
        <v>1.1487603305785099</v>
      </c>
      <c r="CN58" t="s">
        <v>184</v>
      </c>
      <c r="CO58">
        <v>3</v>
      </c>
      <c r="CP58">
        <v>0.9</v>
      </c>
      <c r="CQ58" t="s">
        <v>184</v>
      </c>
      <c r="CR58">
        <v>3</v>
      </c>
      <c r="CS58">
        <v>0.96796796796796702</v>
      </c>
      <c r="CT58" t="s">
        <v>137</v>
      </c>
      <c r="CU58">
        <v>2</v>
      </c>
      <c r="CV58">
        <v>0.88697788697788604</v>
      </c>
      <c r="CW58" t="s">
        <v>150</v>
      </c>
      <c r="CX58">
        <v>3</v>
      </c>
      <c r="CY58">
        <v>1.0038461538461501</v>
      </c>
      <c r="CZ58" t="s">
        <v>145</v>
      </c>
      <c r="DA58">
        <v>1</v>
      </c>
      <c r="DB58">
        <v>0.97270955165691997</v>
      </c>
      <c r="DC58" t="s">
        <v>190</v>
      </c>
      <c r="DD58">
        <v>3</v>
      </c>
      <c r="DE58">
        <v>1.0321715817694299</v>
      </c>
      <c r="DF58" t="s">
        <v>155</v>
      </c>
      <c r="DG58">
        <v>1</v>
      </c>
      <c r="DH58">
        <v>1.2205513784461099</v>
      </c>
    </row>
    <row r="59" spans="1:112" x14ac:dyDescent="0.4">
      <c r="A59">
        <v>57</v>
      </c>
      <c r="B59" t="s">
        <v>122</v>
      </c>
      <c r="C59">
        <v>1</v>
      </c>
      <c r="D59">
        <v>0.87426900584795297</v>
      </c>
      <c r="E59" t="s">
        <v>184</v>
      </c>
      <c r="F59">
        <v>2</v>
      </c>
      <c r="G59">
        <v>0.83870967741935398</v>
      </c>
      <c r="H59" t="s">
        <v>122</v>
      </c>
      <c r="I59">
        <v>2</v>
      </c>
      <c r="J59">
        <v>0.66862170087976502</v>
      </c>
      <c r="K59" t="s">
        <v>122</v>
      </c>
      <c r="L59">
        <v>2</v>
      </c>
      <c r="M59">
        <v>1.09649122807017</v>
      </c>
      <c r="N59" t="s">
        <v>116</v>
      </c>
      <c r="O59">
        <v>2</v>
      </c>
      <c r="P59">
        <v>1.3013468013467999</v>
      </c>
      <c r="Q59" t="s">
        <v>186</v>
      </c>
      <c r="R59">
        <v>2</v>
      </c>
      <c r="S59">
        <v>1.14234893704356</v>
      </c>
      <c r="T59" t="s">
        <v>175</v>
      </c>
      <c r="U59">
        <v>2</v>
      </c>
      <c r="V59">
        <v>0.94637223974763396</v>
      </c>
      <c r="W59" t="s">
        <v>122</v>
      </c>
      <c r="X59">
        <v>2</v>
      </c>
      <c r="Y59">
        <v>0.96744186046511604</v>
      </c>
      <c r="Z59" t="s">
        <v>122</v>
      </c>
      <c r="AA59">
        <v>2</v>
      </c>
      <c r="AB59">
        <v>1.0673076923076901</v>
      </c>
      <c r="AC59" t="s">
        <v>122</v>
      </c>
      <c r="AD59">
        <v>2</v>
      </c>
      <c r="AE59">
        <v>1.08558558558558</v>
      </c>
      <c r="AF59" t="s">
        <v>171</v>
      </c>
      <c r="AG59">
        <v>2</v>
      </c>
      <c r="AH59">
        <v>1.02430555555555</v>
      </c>
      <c r="AI59" t="s">
        <v>163</v>
      </c>
      <c r="AJ59">
        <v>1</v>
      </c>
      <c r="AK59">
        <v>0.87400681044267803</v>
      </c>
      <c r="AL59" t="s">
        <v>134</v>
      </c>
      <c r="AM59">
        <v>2</v>
      </c>
      <c r="AN59">
        <v>1.1315789473684199</v>
      </c>
      <c r="AO59" t="s">
        <v>184</v>
      </c>
      <c r="AP59">
        <v>3</v>
      </c>
      <c r="AQ59">
        <v>0.787677725118483</v>
      </c>
      <c r="AR59" t="s">
        <v>134</v>
      </c>
      <c r="AS59">
        <v>2</v>
      </c>
      <c r="AT59">
        <v>0.80487804878048697</v>
      </c>
      <c r="AU59" t="s">
        <v>186</v>
      </c>
      <c r="AV59">
        <v>3</v>
      </c>
      <c r="AW59">
        <v>0.95687591331654298</v>
      </c>
      <c r="AX59" t="s">
        <v>131</v>
      </c>
      <c r="AY59">
        <v>1</v>
      </c>
      <c r="AZ59">
        <v>0.72271386430678397</v>
      </c>
      <c r="BA59" t="s">
        <v>134</v>
      </c>
      <c r="BB59">
        <v>3</v>
      </c>
      <c r="BC59">
        <v>1.1196581196581099</v>
      </c>
      <c r="BD59" t="s">
        <v>134</v>
      </c>
      <c r="BE59">
        <v>3</v>
      </c>
      <c r="BF59">
        <v>0.86641221374045796</v>
      </c>
      <c r="BG59" t="s">
        <v>134</v>
      </c>
      <c r="BH59">
        <v>3</v>
      </c>
      <c r="BI59">
        <v>1.13215859030837</v>
      </c>
      <c r="BJ59" t="s">
        <v>131</v>
      </c>
      <c r="BK59">
        <v>1</v>
      </c>
      <c r="BL59">
        <v>1.01136363636363</v>
      </c>
      <c r="BM59" t="s">
        <v>169</v>
      </c>
      <c r="BN59">
        <v>2</v>
      </c>
      <c r="BO59">
        <v>0.75886524822695001</v>
      </c>
      <c r="BP59" t="s">
        <v>171</v>
      </c>
      <c r="BQ59">
        <v>2</v>
      </c>
      <c r="BR59">
        <v>1.02955082742316</v>
      </c>
      <c r="BS59" t="s">
        <v>134</v>
      </c>
      <c r="BT59">
        <v>3</v>
      </c>
      <c r="BU59">
        <v>0.98355263157894701</v>
      </c>
      <c r="BV59" t="s">
        <v>131</v>
      </c>
      <c r="BW59">
        <v>1</v>
      </c>
      <c r="BX59">
        <v>0.95584415584415505</v>
      </c>
      <c r="BY59" t="s">
        <v>175</v>
      </c>
      <c r="BZ59">
        <v>2</v>
      </c>
      <c r="CA59">
        <v>0.89816513761467798</v>
      </c>
      <c r="CB59" t="s">
        <v>134</v>
      </c>
      <c r="CC59">
        <v>3</v>
      </c>
      <c r="CD59">
        <v>0.93913043478260805</v>
      </c>
      <c r="CE59" t="s">
        <v>131</v>
      </c>
      <c r="CF59">
        <v>1</v>
      </c>
      <c r="CG59">
        <v>1.0941176470588201</v>
      </c>
      <c r="CH59" t="s">
        <v>184</v>
      </c>
      <c r="CI59">
        <v>3</v>
      </c>
      <c r="CJ59">
        <v>1.4066339066339</v>
      </c>
      <c r="CK59" t="s">
        <v>184</v>
      </c>
      <c r="CL59">
        <v>3</v>
      </c>
      <c r="CM59">
        <v>0.96943231441047995</v>
      </c>
      <c r="CN59" t="s">
        <v>137</v>
      </c>
      <c r="CO59">
        <v>2</v>
      </c>
      <c r="CP59">
        <v>0.91769041769041704</v>
      </c>
      <c r="CQ59" t="s">
        <v>137</v>
      </c>
      <c r="CR59">
        <v>2</v>
      </c>
      <c r="CS59">
        <v>1.0896921017402901</v>
      </c>
      <c r="CT59" t="s">
        <v>190</v>
      </c>
      <c r="CU59">
        <v>3</v>
      </c>
      <c r="CV59">
        <v>1.1859838274932599</v>
      </c>
      <c r="CW59" t="s">
        <v>155</v>
      </c>
      <c r="CX59">
        <v>1</v>
      </c>
      <c r="CY59">
        <v>0.98072289156626502</v>
      </c>
      <c r="CZ59" t="s">
        <v>150</v>
      </c>
      <c r="DA59">
        <v>3</v>
      </c>
      <c r="DB59">
        <v>0.83524904214559303</v>
      </c>
      <c r="DC59" t="s">
        <v>145</v>
      </c>
      <c r="DD59">
        <v>1</v>
      </c>
      <c r="DE59">
        <v>1.2525050100200401</v>
      </c>
      <c r="DF59" t="s">
        <v>198</v>
      </c>
      <c r="DG59">
        <v>3</v>
      </c>
      <c r="DH59">
        <v>0.98722044728434499</v>
      </c>
    </row>
    <row r="60" spans="1:112" x14ac:dyDescent="0.4">
      <c r="A60">
        <v>58</v>
      </c>
      <c r="B60" t="s">
        <v>169</v>
      </c>
      <c r="C60">
        <v>2</v>
      </c>
      <c r="D60">
        <v>0.76186645213193804</v>
      </c>
      <c r="E60" t="s">
        <v>137</v>
      </c>
      <c r="F60">
        <v>2</v>
      </c>
      <c r="G60">
        <v>0.85080147965474695</v>
      </c>
      <c r="H60" t="s">
        <v>169</v>
      </c>
      <c r="I60">
        <v>2</v>
      </c>
      <c r="J60">
        <v>0.69381335197483396</v>
      </c>
      <c r="K60" t="s">
        <v>169</v>
      </c>
      <c r="L60">
        <v>2</v>
      </c>
      <c r="M60">
        <v>1.44307304785894</v>
      </c>
      <c r="N60" t="s">
        <v>159</v>
      </c>
      <c r="O60">
        <v>1</v>
      </c>
      <c r="P60">
        <v>1.4739776951672801</v>
      </c>
      <c r="Q60" t="s">
        <v>145</v>
      </c>
      <c r="R60">
        <v>1</v>
      </c>
      <c r="S60">
        <v>1.3238731218697799</v>
      </c>
      <c r="T60" t="s">
        <v>131</v>
      </c>
      <c r="U60">
        <v>1</v>
      </c>
      <c r="V60">
        <v>0.80190476190476101</v>
      </c>
      <c r="W60" t="s">
        <v>169</v>
      </c>
      <c r="X60">
        <v>2</v>
      </c>
      <c r="Y60">
        <v>1.0803884113339699</v>
      </c>
      <c r="Z60" t="s">
        <v>169</v>
      </c>
      <c r="AA60">
        <v>2</v>
      </c>
      <c r="AB60">
        <v>0.83262118756446102</v>
      </c>
      <c r="AC60" t="s">
        <v>169</v>
      </c>
      <c r="AD60">
        <v>2</v>
      </c>
      <c r="AE60">
        <v>1.09148823217129</v>
      </c>
      <c r="AF60" t="s">
        <v>131</v>
      </c>
      <c r="AG60">
        <v>1</v>
      </c>
      <c r="AH60">
        <v>1.38043478260869</v>
      </c>
      <c r="AI60" t="s">
        <v>122</v>
      </c>
      <c r="AJ60">
        <v>2</v>
      </c>
      <c r="AK60">
        <v>0.778523489932885</v>
      </c>
      <c r="AL60" t="s">
        <v>184</v>
      </c>
      <c r="AM60">
        <v>3</v>
      </c>
      <c r="AN60">
        <v>1.1867266591676</v>
      </c>
      <c r="AO60" t="s">
        <v>187</v>
      </c>
      <c r="AP60">
        <v>3</v>
      </c>
      <c r="AQ60">
        <v>0.84310206102618002</v>
      </c>
      <c r="AR60" t="s">
        <v>184</v>
      </c>
      <c r="AS60">
        <v>3</v>
      </c>
      <c r="AT60">
        <v>0.89891696750902494</v>
      </c>
      <c r="AU60" t="s">
        <v>145</v>
      </c>
      <c r="AV60">
        <v>1</v>
      </c>
      <c r="AW60">
        <v>1.1927083333333299</v>
      </c>
      <c r="AX60" t="s">
        <v>134</v>
      </c>
      <c r="AY60">
        <v>2</v>
      </c>
      <c r="AZ60">
        <v>0.61578947368421</v>
      </c>
      <c r="BA60" t="s">
        <v>188</v>
      </c>
      <c r="BB60">
        <v>3</v>
      </c>
      <c r="BC60">
        <v>1.1356932153392301</v>
      </c>
      <c r="BD60" t="s">
        <v>188</v>
      </c>
      <c r="BE60">
        <v>3</v>
      </c>
      <c r="BF60">
        <v>0.84285714285714197</v>
      </c>
      <c r="BG60" t="s">
        <v>188</v>
      </c>
      <c r="BH60">
        <v>3</v>
      </c>
      <c r="BI60">
        <v>1.0169491525423699</v>
      </c>
      <c r="BJ60" t="s">
        <v>134</v>
      </c>
      <c r="BK60">
        <v>3</v>
      </c>
      <c r="BL60">
        <v>0.96498054474708095</v>
      </c>
      <c r="BM60" t="s">
        <v>171</v>
      </c>
      <c r="BN60">
        <v>2</v>
      </c>
      <c r="BO60">
        <v>0.86591606960081802</v>
      </c>
      <c r="BP60" t="s">
        <v>175</v>
      </c>
      <c r="BQ60">
        <v>2</v>
      </c>
      <c r="BR60">
        <v>1.008</v>
      </c>
      <c r="BS60" t="s">
        <v>182</v>
      </c>
      <c r="BT60">
        <v>3</v>
      </c>
      <c r="BU60">
        <v>0.997282608695652</v>
      </c>
      <c r="BV60" t="s">
        <v>134</v>
      </c>
      <c r="BW60">
        <v>3</v>
      </c>
      <c r="BX60">
        <v>0.93311036789297597</v>
      </c>
      <c r="BY60" t="s">
        <v>131</v>
      </c>
      <c r="BZ60">
        <v>1</v>
      </c>
      <c r="CA60">
        <v>0.872282608695652</v>
      </c>
      <c r="CB60" t="s">
        <v>182</v>
      </c>
      <c r="CC60">
        <v>3</v>
      </c>
      <c r="CD60">
        <v>0.90208877284595301</v>
      </c>
      <c r="CE60" t="s">
        <v>179</v>
      </c>
      <c r="CF60">
        <v>3</v>
      </c>
      <c r="CG60">
        <v>1.12403100775193</v>
      </c>
      <c r="CH60" t="s">
        <v>137</v>
      </c>
      <c r="CI60">
        <v>2</v>
      </c>
      <c r="CJ60">
        <v>1.01768707482993</v>
      </c>
      <c r="CK60" t="s">
        <v>137</v>
      </c>
      <c r="CL60">
        <v>2</v>
      </c>
      <c r="CM60">
        <v>1.0882352941176401</v>
      </c>
      <c r="CN60" t="s">
        <v>190</v>
      </c>
      <c r="CO60">
        <v>3</v>
      </c>
      <c r="CP60">
        <v>0.97164948453608202</v>
      </c>
      <c r="CQ60" t="s">
        <v>190</v>
      </c>
      <c r="CR60">
        <v>3</v>
      </c>
      <c r="CS60">
        <v>0.98408488063660404</v>
      </c>
      <c r="CT60" t="s">
        <v>142</v>
      </c>
      <c r="CU60">
        <v>2</v>
      </c>
      <c r="CV60">
        <v>0.95283018867924496</v>
      </c>
      <c r="CW60" t="s">
        <v>198</v>
      </c>
      <c r="CX60">
        <v>3</v>
      </c>
      <c r="CY60">
        <v>0.94512195121951204</v>
      </c>
      <c r="CZ60" t="s">
        <v>155</v>
      </c>
      <c r="DA60">
        <v>1</v>
      </c>
      <c r="DB60">
        <v>0.88697788697788604</v>
      </c>
      <c r="DC60" t="s">
        <v>150</v>
      </c>
      <c r="DD60">
        <v>3</v>
      </c>
      <c r="DE60">
        <v>1.1605504587155899</v>
      </c>
      <c r="DF60" t="s">
        <v>206</v>
      </c>
      <c r="DG60">
        <v>2</v>
      </c>
      <c r="DH60">
        <v>1.0759668508287199</v>
      </c>
    </row>
    <row r="61" spans="1:112" x14ac:dyDescent="0.4">
      <c r="A61">
        <v>59</v>
      </c>
      <c r="B61" t="s">
        <v>171</v>
      </c>
      <c r="C61">
        <v>1</v>
      </c>
      <c r="D61">
        <v>0.79241516966067804</v>
      </c>
      <c r="E61" t="s">
        <v>186</v>
      </c>
      <c r="F61">
        <v>2</v>
      </c>
      <c r="G61">
        <v>0.88372915399521901</v>
      </c>
      <c r="H61" t="s">
        <v>171</v>
      </c>
      <c r="I61">
        <v>2</v>
      </c>
      <c r="J61">
        <v>0.69101123595505598</v>
      </c>
      <c r="K61" t="s">
        <v>171</v>
      </c>
      <c r="L61">
        <v>2</v>
      </c>
      <c r="M61">
        <v>1.2723577235772301</v>
      </c>
      <c r="N61" t="s">
        <v>166</v>
      </c>
      <c r="O61">
        <v>2</v>
      </c>
      <c r="P61">
        <v>1.09615384615384</v>
      </c>
      <c r="Q61" t="s">
        <v>150</v>
      </c>
      <c r="R61">
        <v>3</v>
      </c>
      <c r="S61">
        <v>1.14054054054054</v>
      </c>
      <c r="T61" t="s">
        <v>134</v>
      </c>
      <c r="U61">
        <v>2</v>
      </c>
      <c r="V61">
        <v>0.87843137254901904</v>
      </c>
      <c r="W61" t="s">
        <v>171</v>
      </c>
      <c r="X61">
        <v>2</v>
      </c>
      <c r="Y61">
        <v>1.0434782608695601</v>
      </c>
      <c r="Z61" t="s">
        <v>171</v>
      </c>
      <c r="AA61">
        <v>2</v>
      </c>
      <c r="AB61">
        <v>0.89743589743589702</v>
      </c>
      <c r="AC61" t="s">
        <v>171</v>
      </c>
      <c r="AD61">
        <v>2</v>
      </c>
      <c r="AE61">
        <v>1.02857142857142</v>
      </c>
      <c r="AF61" t="s">
        <v>134</v>
      </c>
      <c r="AG61">
        <v>2</v>
      </c>
      <c r="AH61">
        <v>1.2214611872146099</v>
      </c>
      <c r="AI61" t="s">
        <v>169</v>
      </c>
      <c r="AJ61">
        <v>2</v>
      </c>
      <c r="AK61">
        <v>0.98075499629903695</v>
      </c>
      <c r="AL61" t="s">
        <v>137</v>
      </c>
      <c r="AM61">
        <v>2</v>
      </c>
      <c r="AN61">
        <v>1.0927536231884001</v>
      </c>
      <c r="AO61" t="s">
        <v>137</v>
      </c>
      <c r="AP61">
        <v>2</v>
      </c>
      <c r="AQ61">
        <v>1.09151193633952</v>
      </c>
      <c r="AR61" t="s">
        <v>187</v>
      </c>
      <c r="AS61">
        <v>3</v>
      </c>
      <c r="AT61">
        <v>0.78050212890911697</v>
      </c>
      <c r="AU61" t="s">
        <v>150</v>
      </c>
      <c r="AV61">
        <v>3</v>
      </c>
      <c r="AW61">
        <v>1.22257053291536</v>
      </c>
      <c r="AX61" t="s">
        <v>184</v>
      </c>
      <c r="AY61">
        <v>3</v>
      </c>
      <c r="AZ61">
        <v>0.65818584070796404</v>
      </c>
      <c r="BA61" t="s">
        <v>137</v>
      </c>
      <c r="BB61">
        <v>2</v>
      </c>
      <c r="BC61">
        <v>1.2649310872894299</v>
      </c>
      <c r="BD61" t="s">
        <v>187</v>
      </c>
      <c r="BE61">
        <v>3</v>
      </c>
      <c r="BF61">
        <v>1.58808724832214</v>
      </c>
      <c r="BG61" t="s">
        <v>137</v>
      </c>
      <c r="BH61">
        <v>2</v>
      </c>
      <c r="BI61">
        <v>1.0680127523910701</v>
      </c>
      <c r="BJ61" t="s">
        <v>182</v>
      </c>
      <c r="BK61">
        <v>3</v>
      </c>
      <c r="BL61">
        <v>1.2017045454545401</v>
      </c>
      <c r="BM61" t="s">
        <v>175</v>
      </c>
      <c r="BN61">
        <v>2</v>
      </c>
      <c r="BO61">
        <v>0.90909090909090895</v>
      </c>
      <c r="BP61" t="s">
        <v>131</v>
      </c>
      <c r="BQ61">
        <v>1</v>
      </c>
      <c r="BR61">
        <v>1</v>
      </c>
      <c r="BS61" t="s">
        <v>181</v>
      </c>
      <c r="BT61">
        <v>2</v>
      </c>
      <c r="BU61">
        <v>0.99518029275258801</v>
      </c>
      <c r="BV61" t="s">
        <v>182</v>
      </c>
      <c r="BW61">
        <v>3</v>
      </c>
      <c r="BX61">
        <v>0.980926430517711</v>
      </c>
      <c r="BY61" t="s">
        <v>134</v>
      </c>
      <c r="BZ61">
        <v>3</v>
      </c>
      <c r="CA61">
        <v>0.82437275985663006</v>
      </c>
      <c r="CB61" t="s">
        <v>181</v>
      </c>
      <c r="CC61">
        <v>2</v>
      </c>
      <c r="CD61">
        <v>0.97033898305084698</v>
      </c>
      <c r="CE61" t="s">
        <v>182</v>
      </c>
      <c r="CF61">
        <v>3</v>
      </c>
      <c r="CG61">
        <v>0.98697539797394995</v>
      </c>
      <c r="CH61" t="s">
        <v>186</v>
      </c>
      <c r="CI61">
        <v>3</v>
      </c>
      <c r="CJ61">
        <v>1.8450704225352099</v>
      </c>
      <c r="CK61" t="s">
        <v>190</v>
      </c>
      <c r="CL61">
        <v>3</v>
      </c>
      <c r="CM61">
        <v>0.98979591836734604</v>
      </c>
      <c r="CN61" t="s">
        <v>142</v>
      </c>
      <c r="CO61">
        <v>2</v>
      </c>
      <c r="CP61">
        <v>1</v>
      </c>
      <c r="CQ61" t="s">
        <v>142</v>
      </c>
      <c r="CR61">
        <v>2</v>
      </c>
      <c r="CS61">
        <v>1.0436005625878999</v>
      </c>
      <c r="CT61" t="s">
        <v>145</v>
      </c>
      <c r="CU61">
        <v>1</v>
      </c>
      <c r="CV61">
        <v>0.87949640287769704</v>
      </c>
      <c r="CW61" t="s">
        <v>206</v>
      </c>
      <c r="CX61">
        <v>2</v>
      </c>
      <c r="CY61">
        <v>0.92874692874692799</v>
      </c>
      <c r="CZ61" t="s">
        <v>199</v>
      </c>
      <c r="DA61">
        <v>3</v>
      </c>
      <c r="DB61">
        <v>0.95245398773006096</v>
      </c>
      <c r="DC61" t="s">
        <v>153</v>
      </c>
      <c r="DD61">
        <v>3</v>
      </c>
      <c r="DE61">
        <v>1.14685314685314</v>
      </c>
      <c r="DF61" t="s">
        <v>210</v>
      </c>
      <c r="DG61">
        <v>3</v>
      </c>
      <c r="DH61">
        <v>0.95925925925925903</v>
      </c>
    </row>
    <row r="62" spans="1:112" x14ac:dyDescent="0.4">
      <c r="A62">
        <v>60</v>
      </c>
      <c r="B62" t="s">
        <v>175</v>
      </c>
      <c r="C62">
        <v>2</v>
      </c>
      <c r="D62">
        <v>1.44910179640718</v>
      </c>
      <c r="E62" t="s">
        <v>190</v>
      </c>
      <c r="F62">
        <v>3</v>
      </c>
      <c r="G62">
        <v>0.86016949152542299</v>
      </c>
      <c r="H62" t="s">
        <v>131</v>
      </c>
      <c r="I62">
        <v>1</v>
      </c>
      <c r="J62">
        <v>0.78538812785388101</v>
      </c>
      <c r="K62" t="s">
        <v>125</v>
      </c>
      <c r="L62">
        <v>1</v>
      </c>
      <c r="M62">
        <v>0.98313253012048196</v>
      </c>
      <c r="N62" t="s">
        <v>163</v>
      </c>
      <c r="O62">
        <v>1</v>
      </c>
      <c r="P62">
        <v>2.1908127208480499</v>
      </c>
      <c r="Q62" t="s">
        <v>153</v>
      </c>
      <c r="R62">
        <v>2</v>
      </c>
      <c r="S62">
        <v>1.3128221649484499</v>
      </c>
      <c r="T62" t="s">
        <v>187</v>
      </c>
      <c r="U62">
        <v>3</v>
      </c>
      <c r="V62">
        <v>0.87572174869397801</v>
      </c>
      <c r="W62" t="s">
        <v>175</v>
      </c>
      <c r="X62">
        <v>2</v>
      </c>
      <c r="Y62">
        <v>0.96666666666666601</v>
      </c>
      <c r="Z62" t="s">
        <v>175</v>
      </c>
      <c r="AA62">
        <v>2</v>
      </c>
      <c r="AB62">
        <v>1.1482758620689599</v>
      </c>
      <c r="AC62" t="s">
        <v>131</v>
      </c>
      <c r="AD62">
        <v>1</v>
      </c>
      <c r="AE62">
        <v>1.08747044917257</v>
      </c>
      <c r="AF62" t="s">
        <v>137</v>
      </c>
      <c r="AG62">
        <v>2</v>
      </c>
      <c r="AH62">
        <v>1.2705410821643199</v>
      </c>
      <c r="AI62" t="s">
        <v>171</v>
      </c>
      <c r="AJ62">
        <v>2</v>
      </c>
      <c r="AK62">
        <v>1.0542372881355899</v>
      </c>
      <c r="AL62" t="s">
        <v>186</v>
      </c>
      <c r="AM62">
        <v>2</v>
      </c>
      <c r="AN62">
        <v>1.11899123640952</v>
      </c>
      <c r="AO62" t="s">
        <v>186</v>
      </c>
      <c r="AP62">
        <v>3</v>
      </c>
      <c r="AQ62">
        <v>1.2254043282821201</v>
      </c>
      <c r="AR62" t="s">
        <v>137</v>
      </c>
      <c r="AS62">
        <v>2</v>
      </c>
      <c r="AT62">
        <v>0.95139732685297695</v>
      </c>
      <c r="AU62" t="s">
        <v>153</v>
      </c>
      <c r="AV62">
        <v>2</v>
      </c>
      <c r="AW62">
        <v>0.98329511955453597</v>
      </c>
      <c r="AX62" t="s">
        <v>187</v>
      </c>
      <c r="AY62">
        <v>3</v>
      </c>
      <c r="AZ62">
        <v>0.810447268526159</v>
      </c>
      <c r="BA62" t="s">
        <v>186</v>
      </c>
      <c r="BB62">
        <v>3</v>
      </c>
      <c r="BC62">
        <v>0.96239887651561595</v>
      </c>
      <c r="BD62" t="s">
        <v>137</v>
      </c>
      <c r="BE62">
        <v>2</v>
      </c>
      <c r="BF62">
        <v>1.1392251815980601</v>
      </c>
      <c r="BG62" t="s">
        <v>186</v>
      </c>
      <c r="BH62">
        <v>3</v>
      </c>
      <c r="BI62">
        <v>1.2596071733561001</v>
      </c>
      <c r="BJ62" t="s">
        <v>188</v>
      </c>
      <c r="BK62">
        <v>3</v>
      </c>
      <c r="BL62">
        <v>0.851515151515151</v>
      </c>
      <c r="BM62" t="s">
        <v>131</v>
      </c>
      <c r="BN62">
        <v>1</v>
      </c>
      <c r="BO62">
        <v>1.0505617977527999</v>
      </c>
      <c r="BP62" t="s">
        <v>134</v>
      </c>
      <c r="BQ62">
        <v>3</v>
      </c>
      <c r="BR62">
        <v>1.15151515151515</v>
      </c>
      <c r="BS62" t="s">
        <v>137</v>
      </c>
      <c r="BT62">
        <v>2</v>
      </c>
      <c r="BU62">
        <v>0.95105672969966604</v>
      </c>
      <c r="BV62" t="s">
        <v>137</v>
      </c>
      <c r="BW62">
        <v>2</v>
      </c>
      <c r="BX62">
        <v>1.0865497076023301</v>
      </c>
      <c r="BY62" t="s">
        <v>182</v>
      </c>
      <c r="BZ62">
        <v>3</v>
      </c>
      <c r="CA62">
        <v>1.06388888888888</v>
      </c>
      <c r="CB62" t="s">
        <v>184</v>
      </c>
      <c r="CC62">
        <v>3</v>
      </c>
      <c r="CD62">
        <v>0.93672316384180698</v>
      </c>
      <c r="CE62" t="s">
        <v>181</v>
      </c>
      <c r="CF62">
        <v>2</v>
      </c>
      <c r="CG62">
        <v>0.90829694323144095</v>
      </c>
      <c r="CH62" t="s">
        <v>142</v>
      </c>
      <c r="CI62">
        <v>2</v>
      </c>
      <c r="CJ62">
        <v>1.13730929264909</v>
      </c>
      <c r="CK62" t="s">
        <v>142</v>
      </c>
      <c r="CL62">
        <v>2</v>
      </c>
      <c r="CM62">
        <v>0.86707317073170698</v>
      </c>
      <c r="CN62" t="s">
        <v>145</v>
      </c>
      <c r="CO62">
        <v>1</v>
      </c>
      <c r="CP62">
        <v>0.960302457466918</v>
      </c>
      <c r="CQ62" t="s">
        <v>145</v>
      </c>
      <c r="CR62">
        <v>1</v>
      </c>
      <c r="CS62">
        <v>1.09448818897637</v>
      </c>
      <c r="CT62" t="s">
        <v>150</v>
      </c>
      <c r="CU62">
        <v>3</v>
      </c>
      <c r="CV62">
        <v>1.26829268292682</v>
      </c>
      <c r="CW62" t="s">
        <v>210</v>
      </c>
      <c r="CX62">
        <v>3</v>
      </c>
      <c r="CY62">
        <v>1.2379421221864899</v>
      </c>
      <c r="CZ62" t="s">
        <v>198</v>
      </c>
      <c r="DA62">
        <v>3</v>
      </c>
      <c r="DB62">
        <v>0.99354838709677396</v>
      </c>
      <c r="DC62" t="s">
        <v>155</v>
      </c>
      <c r="DD62">
        <v>1</v>
      </c>
      <c r="DE62">
        <v>1.1052631578947301</v>
      </c>
      <c r="DF62" t="s">
        <v>158</v>
      </c>
      <c r="DG62">
        <v>2</v>
      </c>
      <c r="DH62">
        <v>1.2191358024691299</v>
      </c>
    </row>
    <row r="63" spans="1:112" x14ac:dyDescent="0.4">
      <c r="A63">
        <v>61</v>
      </c>
      <c r="B63" t="s">
        <v>131</v>
      </c>
      <c r="C63">
        <v>1</v>
      </c>
      <c r="D63">
        <v>0.950146627565982</v>
      </c>
      <c r="E63" t="s">
        <v>193</v>
      </c>
      <c r="F63">
        <v>2</v>
      </c>
      <c r="G63">
        <v>0.70750000000000002</v>
      </c>
      <c r="H63" t="s">
        <v>177</v>
      </c>
      <c r="I63">
        <v>2</v>
      </c>
      <c r="J63">
        <v>0.40726577437858502</v>
      </c>
      <c r="K63" t="s">
        <v>175</v>
      </c>
      <c r="L63">
        <v>2</v>
      </c>
      <c r="M63">
        <v>1.30530973451327</v>
      </c>
      <c r="N63" t="s">
        <v>122</v>
      </c>
      <c r="O63">
        <v>2</v>
      </c>
      <c r="P63">
        <v>1.496</v>
      </c>
      <c r="Q63" t="s">
        <v>198</v>
      </c>
      <c r="R63">
        <v>2</v>
      </c>
      <c r="S63">
        <v>1.1589147286821699</v>
      </c>
      <c r="T63" t="s">
        <v>137</v>
      </c>
      <c r="U63">
        <v>2</v>
      </c>
      <c r="V63">
        <v>0.98624754420432204</v>
      </c>
      <c r="W63" t="s">
        <v>131</v>
      </c>
      <c r="X63">
        <v>1</v>
      </c>
      <c r="Y63">
        <v>1.02612826603325</v>
      </c>
      <c r="Z63" t="s">
        <v>131</v>
      </c>
      <c r="AA63">
        <v>1</v>
      </c>
      <c r="AB63">
        <v>0.97916666666666596</v>
      </c>
      <c r="AC63" t="s">
        <v>134</v>
      </c>
      <c r="AD63">
        <v>2</v>
      </c>
      <c r="AE63">
        <v>0.97767857142857095</v>
      </c>
      <c r="AF63" t="s">
        <v>186</v>
      </c>
      <c r="AG63">
        <v>2</v>
      </c>
      <c r="AH63">
        <v>1.0283520559071799</v>
      </c>
      <c r="AI63" t="s">
        <v>131</v>
      </c>
      <c r="AJ63">
        <v>1</v>
      </c>
      <c r="AK63">
        <v>1.04330708661417</v>
      </c>
      <c r="AL63" t="s">
        <v>190</v>
      </c>
      <c r="AM63">
        <v>3</v>
      </c>
      <c r="AN63">
        <v>0.74821428571428505</v>
      </c>
      <c r="AO63" t="s">
        <v>190</v>
      </c>
      <c r="AP63">
        <v>3</v>
      </c>
      <c r="AQ63">
        <v>0.82100238663484404</v>
      </c>
      <c r="AR63" t="s">
        <v>186</v>
      </c>
      <c r="AS63">
        <v>3</v>
      </c>
      <c r="AT63">
        <v>0.81087622433158102</v>
      </c>
      <c r="AU63" t="s">
        <v>155</v>
      </c>
      <c r="AV63">
        <v>1</v>
      </c>
      <c r="AW63">
        <v>1.08921161825726</v>
      </c>
      <c r="AX63" t="s">
        <v>137</v>
      </c>
      <c r="AY63">
        <v>2</v>
      </c>
      <c r="AZ63">
        <v>0.83184713375796104</v>
      </c>
      <c r="BA63" t="s">
        <v>145</v>
      </c>
      <c r="BB63">
        <v>1</v>
      </c>
      <c r="BC63">
        <v>0.98701298701298701</v>
      </c>
      <c r="BD63" t="s">
        <v>186</v>
      </c>
      <c r="BE63">
        <v>3</v>
      </c>
      <c r="BF63">
        <v>1.1552121012824701</v>
      </c>
      <c r="BG63" t="s">
        <v>145</v>
      </c>
      <c r="BH63">
        <v>1</v>
      </c>
      <c r="BI63">
        <v>1.05977584059775</v>
      </c>
      <c r="BJ63" t="s">
        <v>137</v>
      </c>
      <c r="BK63">
        <v>2</v>
      </c>
      <c r="BL63">
        <v>0.947263681592039</v>
      </c>
      <c r="BM63" t="s">
        <v>134</v>
      </c>
      <c r="BN63">
        <v>3</v>
      </c>
      <c r="BO63">
        <v>1.06451612903225</v>
      </c>
      <c r="BP63" t="s">
        <v>182</v>
      </c>
      <c r="BQ63">
        <v>3</v>
      </c>
      <c r="BR63">
        <v>0.97872340425531901</v>
      </c>
      <c r="BS63" t="s">
        <v>186</v>
      </c>
      <c r="BT63">
        <v>3</v>
      </c>
      <c r="BU63">
        <v>1.0511679644048899</v>
      </c>
      <c r="BV63" t="s">
        <v>186</v>
      </c>
      <c r="BW63">
        <v>3</v>
      </c>
      <c r="BX63">
        <v>1.2962962962962901</v>
      </c>
      <c r="BY63" t="s">
        <v>181</v>
      </c>
      <c r="BZ63">
        <v>2</v>
      </c>
      <c r="CA63">
        <v>1.18</v>
      </c>
      <c r="CB63" t="s">
        <v>186</v>
      </c>
      <c r="CC63">
        <v>3</v>
      </c>
      <c r="CD63">
        <v>0.69198606271776997</v>
      </c>
      <c r="CE63" t="s">
        <v>184</v>
      </c>
      <c r="CF63">
        <v>3</v>
      </c>
      <c r="CG63">
        <v>0.981905910735826</v>
      </c>
      <c r="CH63" t="s">
        <v>145</v>
      </c>
      <c r="CI63">
        <v>1</v>
      </c>
      <c r="CJ63">
        <v>1.11343283582089</v>
      </c>
      <c r="CK63" t="s">
        <v>145</v>
      </c>
      <c r="CL63">
        <v>1</v>
      </c>
      <c r="CM63">
        <v>0.70911528150133996</v>
      </c>
      <c r="CN63" t="s">
        <v>150</v>
      </c>
      <c r="CO63">
        <v>3</v>
      </c>
      <c r="CP63">
        <v>1.1004464285714199</v>
      </c>
      <c r="CQ63" t="s">
        <v>150</v>
      </c>
      <c r="CR63">
        <v>3</v>
      </c>
      <c r="CS63">
        <v>1.0395537525354901</v>
      </c>
      <c r="CT63" t="s">
        <v>155</v>
      </c>
      <c r="CU63">
        <v>2</v>
      </c>
      <c r="CV63">
        <v>0.97647058823529398</v>
      </c>
      <c r="CW63" t="s">
        <v>158</v>
      </c>
      <c r="CX63">
        <v>2</v>
      </c>
      <c r="CY63">
        <v>0.95754716981132004</v>
      </c>
      <c r="CZ63" t="s">
        <v>206</v>
      </c>
      <c r="DA63">
        <v>2</v>
      </c>
      <c r="DB63">
        <v>1.005291005291</v>
      </c>
      <c r="DC63" t="s">
        <v>198</v>
      </c>
      <c r="DD63">
        <v>3</v>
      </c>
      <c r="DE63">
        <v>1.0162337662337599</v>
      </c>
      <c r="DF63" t="s">
        <v>217</v>
      </c>
      <c r="DG63">
        <v>3</v>
      </c>
      <c r="DH63">
        <v>0.95022624434389102</v>
      </c>
    </row>
    <row r="64" spans="1:112" x14ac:dyDescent="0.4">
      <c r="A64">
        <v>62</v>
      </c>
      <c r="B64" t="s">
        <v>177</v>
      </c>
      <c r="C64">
        <v>2</v>
      </c>
      <c r="D64">
        <v>0.93222003929273001</v>
      </c>
      <c r="E64" t="s">
        <v>150</v>
      </c>
      <c r="F64">
        <v>3</v>
      </c>
      <c r="G64">
        <v>0.86369593709043202</v>
      </c>
      <c r="H64" t="s">
        <v>134</v>
      </c>
      <c r="I64">
        <v>2</v>
      </c>
      <c r="J64">
        <v>0.56196581196581197</v>
      </c>
      <c r="K64" t="s">
        <v>131</v>
      </c>
      <c r="L64">
        <v>1</v>
      </c>
      <c r="M64">
        <v>0.99418604651162701</v>
      </c>
      <c r="N64" t="s">
        <v>169</v>
      </c>
      <c r="O64">
        <v>2</v>
      </c>
      <c r="P64">
        <v>1.4395182405306299</v>
      </c>
      <c r="Q64" t="s">
        <v>157</v>
      </c>
      <c r="R64">
        <v>1</v>
      </c>
      <c r="S64">
        <v>1.1179245283018799</v>
      </c>
      <c r="T64" t="s">
        <v>186</v>
      </c>
      <c r="U64">
        <v>2</v>
      </c>
      <c r="V64">
        <v>0.95385674931129405</v>
      </c>
      <c r="W64" t="s">
        <v>134</v>
      </c>
      <c r="X64">
        <v>2</v>
      </c>
      <c r="Y64">
        <v>0.88839285714285698</v>
      </c>
      <c r="Z64" t="s">
        <v>134</v>
      </c>
      <c r="AA64">
        <v>2</v>
      </c>
      <c r="AB64">
        <v>1.12562814070351</v>
      </c>
      <c r="AC64" t="s">
        <v>137</v>
      </c>
      <c r="AD64">
        <v>2</v>
      </c>
      <c r="AE64">
        <v>1.0494216614090399</v>
      </c>
      <c r="AF64" t="s">
        <v>193</v>
      </c>
      <c r="AG64">
        <v>2</v>
      </c>
      <c r="AH64">
        <v>1.20600858369098</v>
      </c>
      <c r="AI64" t="s">
        <v>177</v>
      </c>
      <c r="AJ64">
        <v>2</v>
      </c>
      <c r="AK64">
        <v>1.1123227917120999</v>
      </c>
      <c r="AL64" t="s">
        <v>150</v>
      </c>
      <c r="AM64">
        <v>2</v>
      </c>
      <c r="AN64">
        <v>1.1517412935323299</v>
      </c>
      <c r="AO64" t="s">
        <v>150</v>
      </c>
      <c r="AP64">
        <v>3</v>
      </c>
      <c r="AQ64">
        <v>0.86717062634989195</v>
      </c>
      <c r="AR64" t="s">
        <v>145</v>
      </c>
      <c r="AS64">
        <v>1</v>
      </c>
      <c r="AT64">
        <v>0.88479262672810999</v>
      </c>
      <c r="AU64" t="s">
        <v>199</v>
      </c>
      <c r="AV64">
        <v>3</v>
      </c>
      <c r="AW64">
        <v>1.09551656920077</v>
      </c>
      <c r="AX64" t="s">
        <v>186</v>
      </c>
      <c r="AY64">
        <v>3</v>
      </c>
      <c r="AZ64">
        <v>0.821370548479334</v>
      </c>
      <c r="BA64" t="s">
        <v>150</v>
      </c>
      <c r="BB64">
        <v>2</v>
      </c>
      <c r="BC64">
        <v>1.03875968992248</v>
      </c>
      <c r="BD64" t="s">
        <v>145</v>
      </c>
      <c r="BE64">
        <v>1</v>
      </c>
      <c r="BF64">
        <v>0.96052631578947301</v>
      </c>
      <c r="BG64" t="s">
        <v>203</v>
      </c>
      <c r="BH64">
        <v>3</v>
      </c>
      <c r="BI64">
        <v>1.5384615384615301</v>
      </c>
      <c r="BJ64" t="s">
        <v>186</v>
      </c>
      <c r="BK64">
        <v>3</v>
      </c>
      <c r="BL64">
        <v>1.16525423728813</v>
      </c>
      <c r="BM64" t="s">
        <v>182</v>
      </c>
      <c r="BN64">
        <v>3</v>
      </c>
      <c r="BO64">
        <v>0.88888888888888795</v>
      </c>
      <c r="BP64" t="s">
        <v>137</v>
      </c>
      <c r="BQ64">
        <v>2</v>
      </c>
      <c r="BR64">
        <v>1.1167701863354</v>
      </c>
      <c r="BS64" t="s">
        <v>145</v>
      </c>
      <c r="BT64">
        <v>1</v>
      </c>
      <c r="BU64">
        <v>0.82324455205811098</v>
      </c>
      <c r="BV64" t="s">
        <v>145</v>
      </c>
      <c r="BW64">
        <v>1</v>
      </c>
      <c r="BX64">
        <v>1.01176470588235</v>
      </c>
      <c r="BY64" t="s">
        <v>184</v>
      </c>
      <c r="BZ64">
        <v>3</v>
      </c>
      <c r="CA64">
        <v>1.1389961389961301</v>
      </c>
      <c r="CB64" t="s">
        <v>142</v>
      </c>
      <c r="CC64">
        <v>2</v>
      </c>
      <c r="CD64">
        <v>0.85499999999999998</v>
      </c>
      <c r="CE64" t="s">
        <v>137</v>
      </c>
      <c r="CF64">
        <v>2</v>
      </c>
      <c r="CG64">
        <v>1.1238532110091699</v>
      </c>
      <c r="CH64" t="s">
        <v>203</v>
      </c>
      <c r="CI64">
        <v>3</v>
      </c>
      <c r="CJ64">
        <v>1.0263522884882099</v>
      </c>
      <c r="CK64" t="s">
        <v>150</v>
      </c>
      <c r="CL64">
        <v>3</v>
      </c>
      <c r="CM64">
        <v>0.83738317757009295</v>
      </c>
      <c r="CN64" t="s">
        <v>153</v>
      </c>
      <c r="CO64">
        <v>3</v>
      </c>
      <c r="CP64">
        <v>0.99211563731931596</v>
      </c>
      <c r="CQ64" t="s">
        <v>153</v>
      </c>
      <c r="CR64">
        <v>3</v>
      </c>
      <c r="CS64">
        <v>1.1298013245033101</v>
      </c>
      <c r="CT64" t="s">
        <v>198</v>
      </c>
      <c r="CU64">
        <v>2</v>
      </c>
      <c r="CV64">
        <v>1.00923076923076</v>
      </c>
      <c r="CW64" t="s">
        <v>217</v>
      </c>
      <c r="CX64">
        <v>3</v>
      </c>
      <c r="CY64">
        <v>1.00378378378378</v>
      </c>
      <c r="CZ64" t="s">
        <v>210</v>
      </c>
      <c r="DA64">
        <v>3</v>
      </c>
      <c r="DB64">
        <v>0.96536796536796499</v>
      </c>
      <c r="DC64" t="s">
        <v>206</v>
      </c>
      <c r="DD64">
        <v>2</v>
      </c>
      <c r="DE64">
        <v>0.95263157894736805</v>
      </c>
      <c r="DF64" t="s">
        <v>214</v>
      </c>
      <c r="DG64">
        <v>3</v>
      </c>
      <c r="DH64">
        <v>0.90123456790123402</v>
      </c>
    </row>
    <row r="65" spans="1:112" x14ac:dyDescent="0.4">
      <c r="A65">
        <v>63</v>
      </c>
      <c r="B65" t="s">
        <v>134</v>
      </c>
      <c r="C65">
        <v>2</v>
      </c>
      <c r="D65">
        <v>1.25652173913043</v>
      </c>
      <c r="E65" t="s">
        <v>202</v>
      </c>
      <c r="F65">
        <v>2</v>
      </c>
      <c r="G65">
        <v>0.53353658536585302</v>
      </c>
      <c r="H65" t="s">
        <v>184</v>
      </c>
      <c r="I65">
        <v>2</v>
      </c>
      <c r="J65">
        <v>0.63749999999999996</v>
      </c>
      <c r="K65" t="s">
        <v>177</v>
      </c>
      <c r="L65">
        <v>2</v>
      </c>
      <c r="M65">
        <v>1.15023474178403</v>
      </c>
      <c r="N65" t="s">
        <v>171</v>
      </c>
      <c r="O65">
        <v>2</v>
      </c>
      <c r="P65">
        <v>1.05111821086261</v>
      </c>
      <c r="Q65" t="s">
        <v>206</v>
      </c>
      <c r="R65">
        <v>2</v>
      </c>
      <c r="S65">
        <v>0.81692573402417901</v>
      </c>
      <c r="T65" t="s">
        <v>190</v>
      </c>
      <c r="U65">
        <v>3</v>
      </c>
      <c r="V65">
        <v>0.92894736842105197</v>
      </c>
      <c r="W65" t="s">
        <v>187</v>
      </c>
      <c r="X65">
        <v>3</v>
      </c>
      <c r="Y65">
        <v>0.89992150706436402</v>
      </c>
      <c r="Z65" t="s">
        <v>187</v>
      </c>
      <c r="AA65">
        <v>3</v>
      </c>
      <c r="AB65">
        <v>0.85669428696031402</v>
      </c>
      <c r="AC65" t="s">
        <v>186</v>
      </c>
      <c r="AD65">
        <v>2</v>
      </c>
      <c r="AE65">
        <v>0.98910110656358896</v>
      </c>
      <c r="AF65" t="s">
        <v>150</v>
      </c>
      <c r="AG65">
        <v>2</v>
      </c>
      <c r="AH65">
        <v>1.01940639269406</v>
      </c>
      <c r="AI65" t="s">
        <v>134</v>
      </c>
      <c r="AJ65">
        <v>2</v>
      </c>
      <c r="AK65">
        <v>0.78130841121495298</v>
      </c>
      <c r="AL65" t="s">
        <v>153</v>
      </c>
      <c r="AM65">
        <v>2</v>
      </c>
      <c r="AN65">
        <v>0.92949604122156504</v>
      </c>
      <c r="AO65" t="s">
        <v>153</v>
      </c>
      <c r="AP65">
        <v>2</v>
      </c>
      <c r="AQ65">
        <v>1.3677663601946899</v>
      </c>
      <c r="AR65" t="s">
        <v>150</v>
      </c>
      <c r="AS65">
        <v>3</v>
      </c>
      <c r="AT65">
        <v>1.1917808219178001</v>
      </c>
      <c r="AU65" t="s">
        <v>198</v>
      </c>
      <c r="AV65">
        <v>2</v>
      </c>
      <c r="AW65">
        <v>1.12292358803986</v>
      </c>
      <c r="AX65" t="s">
        <v>150</v>
      </c>
      <c r="AY65">
        <v>3</v>
      </c>
      <c r="AZ65">
        <v>1.1025641025641</v>
      </c>
      <c r="BA65" t="s">
        <v>153</v>
      </c>
      <c r="BB65">
        <v>2</v>
      </c>
      <c r="BC65">
        <v>1.2344976983482201</v>
      </c>
      <c r="BD65" t="s">
        <v>150</v>
      </c>
      <c r="BE65">
        <v>2</v>
      </c>
      <c r="BF65">
        <v>1.3432835820895499</v>
      </c>
      <c r="BG65" t="s">
        <v>153</v>
      </c>
      <c r="BH65">
        <v>2</v>
      </c>
      <c r="BI65">
        <v>1.13142272262026</v>
      </c>
      <c r="BJ65" t="s">
        <v>145</v>
      </c>
      <c r="BK65">
        <v>1</v>
      </c>
      <c r="BL65">
        <v>0.84723854289071598</v>
      </c>
      <c r="BM65" t="s">
        <v>137</v>
      </c>
      <c r="BN65">
        <v>2</v>
      </c>
      <c r="BO65">
        <v>0.84558823529411697</v>
      </c>
      <c r="BP65" t="s">
        <v>186</v>
      </c>
      <c r="BQ65">
        <v>3</v>
      </c>
      <c r="BR65">
        <v>0.94831223628691896</v>
      </c>
      <c r="BS65" t="s">
        <v>203</v>
      </c>
      <c r="BT65">
        <v>3</v>
      </c>
      <c r="BU65">
        <v>0.89567809239940299</v>
      </c>
      <c r="BV65" t="s">
        <v>203</v>
      </c>
      <c r="BW65">
        <v>3</v>
      </c>
      <c r="BX65">
        <v>1.0099833610648901</v>
      </c>
      <c r="BY65" t="s">
        <v>186</v>
      </c>
      <c r="BZ65">
        <v>3</v>
      </c>
      <c r="CA65">
        <v>1.1714285714285699</v>
      </c>
      <c r="CB65" t="s">
        <v>145</v>
      </c>
      <c r="CC65">
        <v>1</v>
      </c>
      <c r="CD65">
        <v>0.84544253632760902</v>
      </c>
      <c r="CE65" t="s">
        <v>186</v>
      </c>
      <c r="CF65">
        <v>3</v>
      </c>
      <c r="CG65">
        <v>1.07250755287009</v>
      </c>
      <c r="CH65" t="s">
        <v>150</v>
      </c>
      <c r="CI65">
        <v>2</v>
      </c>
      <c r="CJ65">
        <v>0.79259259259259196</v>
      </c>
      <c r="CK65" t="s">
        <v>198</v>
      </c>
      <c r="CL65">
        <v>2</v>
      </c>
      <c r="CM65">
        <v>0.90821256038647302</v>
      </c>
      <c r="CN65" t="s">
        <v>155</v>
      </c>
      <c r="CO65">
        <v>2</v>
      </c>
      <c r="CP65">
        <v>1</v>
      </c>
      <c r="CQ65" t="s">
        <v>155</v>
      </c>
      <c r="CR65">
        <v>2</v>
      </c>
      <c r="CS65">
        <v>0.84830339321357195</v>
      </c>
      <c r="CT65" t="s">
        <v>206</v>
      </c>
      <c r="CU65">
        <v>2</v>
      </c>
      <c r="CV65">
        <v>1.0853333333333299</v>
      </c>
      <c r="CW65" t="s">
        <v>214</v>
      </c>
      <c r="CX65">
        <v>3</v>
      </c>
      <c r="CY65">
        <v>1.1666666666666601</v>
      </c>
      <c r="CZ65" t="s">
        <v>158</v>
      </c>
      <c r="DA65">
        <v>2</v>
      </c>
      <c r="DB65">
        <v>0.96650246305418697</v>
      </c>
      <c r="DC65" t="s">
        <v>210</v>
      </c>
      <c r="DD65">
        <v>3</v>
      </c>
      <c r="DE65">
        <v>1.2107623318385601</v>
      </c>
      <c r="DF65" t="s">
        <v>223</v>
      </c>
      <c r="DG65">
        <v>3</v>
      </c>
      <c r="DH65">
        <v>0.97663551401869098</v>
      </c>
    </row>
    <row r="66" spans="1:112" x14ac:dyDescent="0.4">
      <c r="A66">
        <v>64</v>
      </c>
      <c r="B66" t="s">
        <v>184</v>
      </c>
      <c r="C66">
        <v>2</v>
      </c>
      <c r="D66">
        <v>0.89208633093525103</v>
      </c>
      <c r="E66" t="s">
        <v>205</v>
      </c>
      <c r="F66">
        <v>3</v>
      </c>
      <c r="G66">
        <v>0.84378843788437796</v>
      </c>
      <c r="H66" t="s">
        <v>137</v>
      </c>
      <c r="I66">
        <v>2</v>
      </c>
      <c r="J66">
        <v>0.61014492753623095</v>
      </c>
      <c r="K66" t="s">
        <v>134</v>
      </c>
      <c r="L66">
        <v>2</v>
      </c>
      <c r="M66">
        <v>0.91254752851710996</v>
      </c>
      <c r="N66" t="s">
        <v>125</v>
      </c>
      <c r="O66">
        <v>1</v>
      </c>
      <c r="P66">
        <v>1.5833333333333299</v>
      </c>
      <c r="Q66" t="s">
        <v>165</v>
      </c>
      <c r="R66">
        <v>2</v>
      </c>
      <c r="S66">
        <v>1.10481586402266</v>
      </c>
      <c r="T66" t="s">
        <v>145</v>
      </c>
      <c r="U66">
        <v>1</v>
      </c>
      <c r="V66">
        <v>0.97856242118537196</v>
      </c>
      <c r="W66" t="s">
        <v>137</v>
      </c>
      <c r="X66">
        <v>2</v>
      </c>
      <c r="Y66">
        <v>1.00996015936254</v>
      </c>
      <c r="Z66" t="s">
        <v>137</v>
      </c>
      <c r="AA66">
        <v>2</v>
      </c>
      <c r="AB66">
        <v>0.93786982248520701</v>
      </c>
      <c r="AC66" t="s">
        <v>145</v>
      </c>
      <c r="AD66">
        <v>1</v>
      </c>
      <c r="AE66">
        <v>1.22448979591836</v>
      </c>
      <c r="AF66" t="s">
        <v>153</v>
      </c>
      <c r="AG66">
        <v>2</v>
      </c>
      <c r="AH66">
        <v>0.76290533662934401</v>
      </c>
      <c r="AI66" t="s">
        <v>182</v>
      </c>
      <c r="AJ66">
        <v>3</v>
      </c>
      <c r="AK66">
        <v>0.69880418535126998</v>
      </c>
      <c r="AL66" t="s">
        <v>198</v>
      </c>
      <c r="AM66">
        <v>2</v>
      </c>
      <c r="AN66">
        <v>1.0440251572327</v>
      </c>
      <c r="AO66" t="s">
        <v>199</v>
      </c>
      <c r="AP66">
        <v>3</v>
      </c>
      <c r="AQ66">
        <v>0.99074074074074003</v>
      </c>
      <c r="AR66" t="s">
        <v>153</v>
      </c>
      <c r="AS66">
        <v>2</v>
      </c>
      <c r="AT66">
        <v>0.90539739027283495</v>
      </c>
      <c r="AU66" t="s">
        <v>157</v>
      </c>
      <c r="AV66">
        <v>2</v>
      </c>
      <c r="AW66">
        <v>1.0341151385927501</v>
      </c>
      <c r="AX66" t="s">
        <v>153</v>
      </c>
      <c r="AY66">
        <v>2</v>
      </c>
      <c r="AZ66">
        <v>0.82011992005329704</v>
      </c>
      <c r="BA66" t="s">
        <v>155</v>
      </c>
      <c r="BB66">
        <v>1</v>
      </c>
      <c r="BC66">
        <v>0.98260869565217301</v>
      </c>
      <c r="BD66" t="s">
        <v>200</v>
      </c>
      <c r="BE66">
        <v>3</v>
      </c>
      <c r="BF66">
        <v>0.60787366548042698</v>
      </c>
      <c r="BG66" t="s">
        <v>155</v>
      </c>
      <c r="BH66">
        <v>1</v>
      </c>
      <c r="BI66">
        <v>1.12406947890818</v>
      </c>
      <c r="BJ66" t="s">
        <v>153</v>
      </c>
      <c r="BK66">
        <v>2</v>
      </c>
      <c r="BL66">
        <v>1.3271214040166399</v>
      </c>
      <c r="BM66" t="s">
        <v>186</v>
      </c>
      <c r="BN66">
        <v>3</v>
      </c>
      <c r="BO66">
        <v>1.1490909090909001</v>
      </c>
      <c r="BP66" t="s">
        <v>145</v>
      </c>
      <c r="BQ66">
        <v>1</v>
      </c>
      <c r="BR66">
        <v>1.1253405994550401</v>
      </c>
      <c r="BS66" t="s">
        <v>153</v>
      </c>
      <c r="BT66">
        <v>2</v>
      </c>
      <c r="BU66">
        <v>1.1163479438145201</v>
      </c>
      <c r="BV66" t="s">
        <v>150</v>
      </c>
      <c r="BW66">
        <v>2</v>
      </c>
      <c r="BX66">
        <v>0.85882352941176399</v>
      </c>
      <c r="BY66" t="s">
        <v>145</v>
      </c>
      <c r="BZ66">
        <v>1</v>
      </c>
      <c r="CA66">
        <v>1.10029069767441</v>
      </c>
      <c r="CB66" t="s">
        <v>203</v>
      </c>
      <c r="CC66">
        <v>3</v>
      </c>
      <c r="CD66">
        <v>1.0396039603960301</v>
      </c>
      <c r="CE66" t="s">
        <v>142</v>
      </c>
      <c r="CF66">
        <v>2</v>
      </c>
      <c r="CG66">
        <v>1.05409356725146</v>
      </c>
      <c r="CH66" t="s">
        <v>153</v>
      </c>
      <c r="CI66">
        <v>2</v>
      </c>
      <c r="CJ66">
        <v>1.4029255319148899</v>
      </c>
      <c r="CK66" t="s">
        <v>206</v>
      </c>
      <c r="CL66">
        <v>2</v>
      </c>
      <c r="CM66">
        <v>0.84425349087003199</v>
      </c>
      <c r="CN66" t="s">
        <v>198</v>
      </c>
      <c r="CO66">
        <v>2</v>
      </c>
      <c r="CP66">
        <v>0.86968085106382897</v>
      </c>
      <c r="CQ66" t="s">
        <v>198</v>
      </c>
      <c r="CR66">
        <v>2</v>
      </c>
      <c r="CS66">
        <v>0.99388379204892896</v>
      </c>
      <c r="CT66" t="s">
        <v>210</v>
      </c>
      <c r="CU66">
        <v>3</v>
      </c>
      <c r="CV66">
        <v>0.88436018957345897</v>
      </c>
      <c r="CW66" t="s">
        <v>223</v>
      </c>
      <c r="CX66">
        <v>3</v>
      </c>
      <c r="CY66">
        <v>0.96484375</v>
      </c>
      <c r="CZ66" t="s">
        <v>217</v>
      </c>
      <c r="DA66">
        <v>3</v>
      </c>
      <c r="DB66">
        <v>0.84960381567812904</v>
      </c>
      <c r="DC66" t="s">
        <v>158</v>
      </c>
      <c r="DD66">
        <v>2</v>
      </c>
      <c r="DE66">
        <v>0.990825688073394</v>
      </c>
      <c r="DF66" t="s">
        <v>222</v>
      </c>
      <c r="DG66">
        <v>3</v>
      </c>
      <c r="DH66">
        <v>1.25471698113207</v>
      </c>
    </row>
    <row r="67" spans="1:112" x14ac:dyDescent="0.4">
      <c r="A67">
        <v>65</v>
      </c>
      <c r="B67" t="s">
        <v>137</v>
      </c>
      <c r="C67">
        <v>2</v>
      </c>
      <c r="D67">
        <v>1.06570302233902</v>
      </c>
      <c r="E67" t="s">
        <v>198</v>
      </c>
      <c r="F67">
        <v>2</v>
      </c>
      <c r="G67">
        <v>0.82392026578072997</v>
      </c>
      <c r="H67" t="s">
        <v>186</v>
      </c>
      <c r="I67">
        <v>2</v>
      </c>
      <c r="J67">
        <v>0.85361012852729801</v>
      </c>
      <c r="K67" t="s">
        <v>137</v>
      </c>
      <c r="L67">
        <v>2</v>
      </c>
      <c r="M67">
        <v>0.96318289786223199</v>
      </c>
      <c r="N67" t="s">
        <v>175</v>
      </c>
      <c r="O67">
        <v>2</v>
      </c>
      <c r="P67">
        <v>1.71186440677966</v>
      </c>
      <c r="Q67" t="s">
        <v>158</v>
      </c>
      <c r="R67">
        <v>2</v>
      </c>
      <c r="S67">
        <v>1.01185770750988</v>
      </c>
      <c r="T67" t="s">
        <v>150</v>
      </c>
      <c r="U67">
        <v>3</v>
      </c>
      <c r="V67">
        <v>0.84360189573459698</v>
      </c>
      <c r="W67" t="s">
        <v>186</v>
      </c>
      <c r="X67">
        <v>2</v>
      </c>
      <c r="Y67">
        <v>0.98386438549678201</v>
      </c>
      <c r="Z67" t="s">
        <v>186</v>
      </c>
      <c r="AA67">
        <v>2</v>
      </c>
      <c r="AB67">
        <v>1.05245525031109</v>
      </c>
      <c r="AC67" t="s">
        <v>150</v>
      </c>
      <c r="AD67">
        <v>2</v>
      </c>
      <c r="AE67">
        <v>0.87775551102204397</v>
      </c>
      <c r="AF67" t="s">
        <v>198</v>
      </c>
      <c r="AG67">
        <v>2</v>
      </c>
      <c r="AH67">
        <v>1.0506329113924</v>
      </c>
      <c r="AI67" t="s">
        <v>184</v>
      </c>
      <c r="AJ67">
        <v>3</v>
      </c>
      <c r="AK67">
        <v>0.93875395987328403</v>
      </c>
      <c r="AL67" t="s">
        <v>157</v>
      </c>
      <c r="AM67">
        <v>1</v>
      </c>
      <c r="AN67">
        <v>1.21204819277108</v>
      </c>
      <c r="AO67" t="s">
        <v>198</v>
      </c>
      <c r="AP67">
        <v>2</v>
      </c>
      <c r="AQ67">
        <v>0.95481927710843295</v>
      </c>
      <c r="AR67" t="s">
        <v>155</v>
      </c>
      <c r="AS67">
        <v>1</v>
      </c>
      <c r="AT67">
        <v>0.75430359937402103</v>
      </c>
      <c r="AU67" t="s">
        <v>210</v>
      </c>
      <c r="AV67">
        <v>3</v>
      </c>
      <c r="AW67">
        <v>1.1857707509881401</v>
      </c>
      <c r="AX67" t="s">
        <v>155</v>
      </c>
      <c r="AY67">
        <v>1</v>
      </c>
      <c r="AZ67">
        <v>0.87619047619047596</v>
      </c>
      <c r="BA67" t="s">
        <v>198</v>
      </c>
      <c r="BB67">
        <v>2</v>
      </c>
      <c r="BC67">
        <v>1.08813559322033</v>
      </c>
      <c r="BD67" t="s">
        <v>153</v>
      </c>
      <c r="BE67">
        <v>2</v>
      </c>
      <c r="BF67">
        <v>1.0715069094099501</v>
      </c>
      <c r="BG67" t="s">
        <v>198</v>
      </c>
      <c r="BH67">
        <v>2</v>
      </c>
      <c r="BI67">
        <v>1.0489296636085601</v>
      </c>
      <c r="BJ67" t="s">
        <v>199</v>
      </c>
      <c r="BK67">
        <v>3</v>
      </c>
      <c r="BL67">
        <v>1.5578231292517</v>
      </c>
      <c r="BM67" t="s">
        <v>145</v>
      </c>
      <c r="BN67">
        <v>1</v>
      </c>
      <c r="BO67">
        <v>1.01803051317614</v>
      </c>
      <c r="BP67" t="s">
        <v>203</v>
      </c>
      <c r="BQ67">
        <v>3</v>
      </c>
      <c r="BR67">
        <v>0.92297111416781297</v>
      </c>
      <c r="BS67" t="s">
        <v>198</v>
      </c>
      <c r="BT67">
        <v>2</v>
      </c>
      <c r="BU67">
        <v>1.00539083557951</v>
      </c>
      <c r="BV67" t="s">
        <v>153</v>
      </c>
      <c r="BW67">
        <v>2</v>
      </c>
      <c r="BX67">
        <v>0.89964375047373601</v>
      </c>
      <c r="BY67" t="s">
        <v>203</v>
      </c>
      <c r="BZ67">
        <v>3</v>
      </c>
      <c r="CA67">
        <v>0.99835255354200902</v>
      </c>
      <c r="CB67" t="s">
        <v>150</v>
      </c>
      <c r="CC67">
        <v>2</v>
      </c>
      <c r="CD67">
        <v>0.85074626865671599</v>
      </c>
      <c r="CE67" t="s">
        <v>145</v>
      </c>
      <c r="CF67">
        <v>1</v>
      </c>
      <c r="CG67">
        <v>1.046875</v>
      </c>
      <c r="CH67" t="s">
        <v>155</v>
      </c>
      <c r="CI67">
        <v>1</v>
      </c>
      <c r="CJ67">
        <v>1.40869565217391</v>
      </c>
      <c r="CK67" t="s">
        <v>210</v>
      </c>
      <c r="CL67">
        <v>3</v>
      </c>
      <c r="CM67">
        <v>0.71724137931034404</v>
      </c>
      <c r="CN67" t="s">
        <v>206</v>
      </c>
      <c r="CO67">
        <v>2</v>
      </c>
      <c r="CP67">
        <v>1.0801526717557199</v>
      </c>
      <c r="CQ67" t="s">
        <v>206</v>
      </c>
      <c r="CR67">
        <v>2</v>
      </c>
      <c r="CS67">
        <v>0.88339222614840895</v>
      </c>
      <c r="CT67" t="s">
        <v>158</v>
      </c>
      <c r="CU67">
        <v>2</v>
      </c>
      <c r="CV67">
        <v>1.09165808444902</v>
      </c>
      <c r="CW67" t="s">
        <v>222</v>
      </c>
      <c r="CX67">
        <v>3</v>
      </c>
      <c r="CY67">
        <v>0.86330935251798502</v>
      </c>
      <c r="CZ67" t="s">
        <v>214</v>
      </c>
      <c r="DA67">
        <v>3</v>
      </c>
      <c r="DB67">
        <v>1.11045655375552</v>
      </c>
      <c r="DC67" t="s">
        <v>217</v>
      </c>
      <c r="DD67">
        <v>3</v>
      </c>
      <c r="DE67">
        <v>1.0005432814197699</v>
      </c>
      <c r="DF67" t="s">
        <v>225</v>
      </c>
      <c r="DG67">
        <v>3</v>
      </c>
      <c r="DH67">
        <v>0.93690851735015701</v>
      </c>
    </row>
    <row r="68" spans="1:112" x14ac:dyDescent="0.4">
      <c r="A68">
        <v>66</v>
      </c>
      <c r="B68" t="s">
        <v>186</v>
      </c>
      <c r="C68">
        <v>2</v>
      </c>
      <c r="D68">
        <v>1.0920648161020701</v>
      </c>
      <c r="E68" t="s">
        <v>157</v>
      </c>
      <c r="F68">
        <v>2</v>
      </c>
      <c r="G68">
        <v>1.21606648199445</v>
      </c>
      <c r="H68" t="s">
        <v>193</v>
      </c>
      <c r="I68">
        <v>2</v>
      </c>
      <c r="J68">
        <v>0.73733804475853904</v>
      </c>
      <c r="K68" t="s">
        <v>186</v>
      </c>
      <c r="L68">
        <v>2</v>
      </c>
      <c r="M68">
        <v>0.88922015338171001</v>
      </c>
      <c r="N68" t="s">
        <v>131</v>
      </c>
      <c r="O68">
        <v>1</v>
      </c>
      <c r="P68">
        <v>1.26900584795321</v>
      </c>
      <c r="Q68" t="s">
        <v>214</v>
      </c>
      <c r="R68">
        <v>3</v>
      </c>
      <c r="S68">
        <v>0.93333333333333302</v>
      </c>
      <c r="T68" t="s">
        <v>153</v>
      </c>
      <c r="U68">
        <v>2</v>
      </c>
      <c r="V68">
        <v>0.82666666666666599</v>
      </c>
      <c r="W68" t="s">
        <v>145</v>
      </c>
      <c r="X68">
        <v>1</v>
      </c>
      <c r="Y68">
        <v>1.14432989690721</v>
      </c>
      <c r="Z68" t="s">
        <v>193</v>
      </c>
      <c r="AA68">
        <v>2</v>
      </c>
      <c r="AB68">
        <v>0.94883720930232496</v>
      </c>
      <c r="AC68" t="s">
        <v>153</v>
      </c>
      <c r="AD68">
        <v>2</v>
      </c>
      <c r="AE68">
        <v>1</v>
      </c>
      <c r="AF68" t="s">
        <v>206</v>
      </c>
      <c r="AG68">
        <v>2</v>
      </c>
      <c r="AH68">
        <v>1.2083333333333299</v>
      </c>
      <c r="AI68" t="s">
        <v>137</v>
      </c>
      <c r="AJ68">
        <v>2</v>
      </c>
      <c r="AK68">
        <v>1.08832807570977</v>
      </c>
      <c r="AL68" t="s">
        <v>210</v>
      </c>
      <c r="AM68">
        <v>3</v>
      </c>
      <c r="AN68">
        <v>1.5882352941176401</v>
      </c>
      <c r="AO68" t="s">
        <v>158</v>
      </c>
      <c r="AP68">
        <v>2</v>
      </c>
      <c r="AQ68">
        <v>1.0049751243781</v>
      </c>
      <c r="AR68" t="s">
        <v>199</v>
      </c>
      <c r="AS68">
        <v>3</v>
      </c>
      <c r="AT68">
        <v>0.95887850467289704</v>
      </c>
      <c r="AU68" t="s">
        <v>158</v>
      </c>
      <c r="AV68">
        <v>2</v>
      </c>
      <c r="AW68">
        <v>1.12761276127612</v>
      </c>
      <c r="AX68" t="s">
        <v>199</v>
      </c>
      <c r="AY68">
        <v>3</v>
      </c>
      <c r="AZ68">
        <v>0.80960854092526602</v>
      </c>
      <c r="BA68" t="s">
        <v>207</v>
      </c>
      <c r="BB68">
        <v>2</v>
      </c>
      <c r="BC68">
        <v>1.4393939393939299</v>
      </c>
      <c r="BD68" t="s">
        <v>199</v>
      </c>
      <c r="BE68">
        <v>3</v>
      </c>
      <c r="BF68">
        <v>0.95906432748537995</v>
      </c>
      <c r="BG68" t="s">
        <v>215</v>
      </c>
      <c r="BH68">
        <v>3</v>
      </c>
      <c r="BI68">
        <v>1.0806754221388299</v>
      </c>
      <c r="BJ68" t="s">
        <v>198</v>
      </c>
      <c r="BK68">
        <v>2</v>
      </c>
      <c r="BL68">
        <v>1.1545189504373099</v>
      </c>
      <c r="BM68" t="s">
        <v>203</v>
      </c>
      <c r="BN68">
        <v>3</v>
      </c>
      <c r="BO68">
        <v>0.85529411764705798</v>
      </c>
      <c r="BP68" t="s">
        <v>153</v>
      </c>
      <c r="BQ68">
        <v>2</v>
      </c>
      <c r="BR68">
        <v>1.0311491143879199</v>
      </c>
      <c r="BS68" t="s">
        <v>207</v>
      </c>
      <c r="BT68">
        <v>2</v>
      </c>
      <c r="BU68">
        <v>0.98571428571428499</v>
      </c>
      <c r="BV68" t="s">
        <v>198</v>
      </c>
      <c r="BW68">
        <v>2</v>
      </c>
      <c r="BX68">
        <v>1.01876675603217</v>
      </c>
      <c r="BY68" t="s">
        <v>150</v>
      </c>
      <c r="BZ68">
        <v>2</v>
      </c>
      <c r="CA68">
        <v>0.91780821917808197</v>
      </c>
      <c r="CB68" t="s">
        <v>153</v>
      </c>
      <c r="CC68">
        <v>2</v>
      </c>
      <c r="CD68">
        <v>0.82913472070098504</v>
      </c>
      <c r="CE68" t="s">
        <v>203</v>
      </c>
      <c r="CF68">
        <v>3</v>
      </c>
      <c r="CG68">
        <v>1.1444444444444399</v>
      </c>
      <c r="CH68" t="s">
        <v>198</v>
      </c>
      <c r="CI68">
        <v>2</v>
      </c>
      <c r="CJ68">
        <v>1.0534351145038101</v>
      </c>
      <c r="CK68" t="s">
        <v>158</v>
      </c>
      <c r="CL68">
        <v>2</v>
      </c>
      <c r="CM68">
        <v>0.80701754385964897</v>
      </c>
      <c r="CN68" t="s">
        <v>216</v>
      </c>
      <c r="CO68">
        <v>3</v>
      </c>
      <c r="CP68">
        <v>1.2600652883568999</v>
      </c>
      <c r="CQ68" t="s">
        <v>210</v>
      </c>
      <c r="CR68">
        <v>3</v>
      </c>
      <c r="CS68">
        <v>1.09326424870466</v>
      </c>
      <c r="CT68" t="s">
        <v>217</v>
      </c>
      <c r="CU68">
        <v>3</v>
      </c>
      <c r="CV68">
        <v>1.09052631578947</v>
      </c>
      <c r="CW68" t="s">
        <v>225</v>
      </c>
      <c r="CX68">
        <v>3</v>
      </c>
      <c r="CY68">
        <v>0.90490797546012203</v>
      </c>
      <c r="CZ68" t="s">
        <v>223</v>
      </c>
      <c r="DA68">
        <v>3</v>
      </c>
      <c r="DB68">
        <v>0.90688259109311697</v>
      </c>
      <c r="DC68" t="s">
        <v>214</v>
      </c>
      <c r="DD68">
        <v>3</v>
      </c>
      <c r="DE68">
        <v>1.07427055702917</v>
      </c>
      <c r="DF68" t="s">
        <v>209</v>
      </c>
      <c r="DG68">
        <v>3</v>
      </c>
      <c r="DH68">
        <v>1.12947658402203</v>
      </c>
    </row>
    <row r="69" spans="1:112" x14ac:dyDescent="0.4">
      <c r="A69">
        <v>67</v>
      </c>
      <c r="B69" t="s">
        <v>190</v>
      </c>
      <c r="C69">
        <v>3</v>
      </c>
      <c r="D69">
        <v>1.1456310679611601</v>
      </c>
      <c r="E69" t="s">
        <v>158</v>
      </c>
      <c r="F69">
        <v>2</v>
      </c>
      <c r="G69">
        <v>0.82857142857142796</v>
      </c>
      <c r="H69" t="s">
        <v>145</v>
      </c>
      <c r="I69">
        <v>1</v>
      </c>
      <c r="J69">
        <v>0.64734774066797596</v>
      </c>
      <c r="K69" t="s">
        <v>193</v>
      </c>
      <c r="L69">
        <v>2</v>
      </c>
      <c r="M69">
        <v>1.0894568690095801</v>
      </c>
      <c r="N69" t="s">
        <v>134</v>
      </c>
      <c r="O69">
        <v>2</v>
      </c>
      <c r="P69">
        <v>1.4</v>
      </c>
      <c r="Q69" t="s">
        <v>212</v>
      </c>
      <c r="R69">
        <v>1</v>
      </c>
      <c r="S69">
        <v>1.2159214830970499</v>
      </c>
      <c r="T69" t="s">
        <v>202</v>
      </c>
      <c r="U69">
        <v>3</v>
      </c>
      <c r="V69">
        <v>0.82847896440129398</v>
      </c>
      <c r="W69" t="s">
        <v>150</v>
      </c>
      <c r="X69">
        <v>3</v>
      </c>
      <c r="Y69">
        <v>1.0426966292134801</v>
      </c>
      <c r="Z69" t="s">
        <v>150</v>
      </c>
      <c r="AA69">
        <v>3</v>
      </c>
      <c r="AB69">
        <v>1.07543103448275</v>
      </c>
      <c r="AC69" t="s">
        <v>198</v>
      </c>
      <c r="AD69">
        <v>2</v>
      </c>
      <c r="AE69">
        <v>1.04290429042904</v>
      </c>
      <c r="AF69" t="s">
        <v>210</v>
      </c>
      <c r="AG69">
        <v>3</v>
      </c>
      <c r="AH69">
        <v>1.0047619047619001</v>
      </c>
      <c r="AI69" t="s">
        <v>186</v>
      </c>
      <c r="AJ69">
        <v>2</v>
      </c>
      <c r="AK69">
        <v>0.86217791091041796</v>
      </c>
      <c r="AL69" t="s">
        <v>158</v>
      </c>
      <c r="AM69">
        <v>2</v>
      </c>
      <c r="AN69">
        <v>0.98529411764705799</v>
      </c>
      <c r="AO69" t="s">
        <v>217</v>
      </c>
      <c r="AP69">
        <v>3</v>
      </c>
      <c r="AQ69">
        <v>1.27441761060055</v>
      </c>
      <c r="AR69" t="s">
        <v>198</v>
      </c>
      <c r="AS69">
        <v>2</v>
      </c>
      <c r="AT69">
        <v>0.94952681388012605</v>
      </c>
      <c r="AU69" t="s">
        <v>162</v>
      </c>
      <c r="AV69">
        <v>1</v>
      </c>
      <c r="AW69">
        <v>1.08660130718954</v>
      </c>
      <c r="AX69" t="s">
        <v>198</v>
      </c>
      <c r="AY69">
        <v>2</v>
      </c>
      <c r="AZ69">
        <v>0.87278106508875697</v>
      </c>
      <c r="BA69" t="s">
        <v>210</v>
      </c>
      <c r="BB69">
        <v>3</v>
      </c>
      <c r="BC69">
        <v>0.90550458715596305</v>
      </c>
      <c r="BD69" t="s">
        <v>198</v>
      </c>
      <c r="BE69">
        <v>2</v>
      </c>
      <c r="BF69">
        <v>1.0186915887850401</v>
      </c>
      <c r="BG69" t="s">
        <v>216</v>
      </c>
      <c r="BH69">
        <v>3</v>
      </c>
      <c r="BI69">
        <v>1.1791907514450799</v>
      </c>
      <c r="BJ69" t="s">
        <v>210</v>
      </c>
      <c r="BK69">
        <v>3</v>
      </c>
      <c r="BL69">
        <v>1.2610619469026501</v>
      </c>
      <c r="BM69" t="s">
        <v>153</v>
      </c>
      <c r="BN69">
        <v>2</v>
      </c>
      <c r="BO69">
        <v>0.78125426039536405</v>
      </c>
      <c r="BP69" t="s">
        <v>155</v>
      </c>
      <c r="BQ69">
        <v>1</v>
      </c>
      <c r="BR69">
        <v>1.2793017456359099</v>
      </c>
      <c r="BS69" t="s">
        <v>216</v>
      </c>
      <c r="BT69">
        <v>3</v>
      </c>
      <c r="BU69">
        <v>0.93110236220472398</v>
      </c>
      <c r="BV69" t="s">
        <v>207</v>
      </c>
      <c r="BW69">
        <v>2</v>
      </c>
      <c r="BX69">
        <v>0.84830917874396095</v>
      </c>
      <c r="BY69" t="s">
        <v>153</v>
      </c>
      <c r="BZ69">
        <v>2</v>
      </c>
      <c r="CA69">
        <v>1</v>
      </c>
      <c r="CB69" t="s">
        <v>198</v>
      </c>
      <c r="CC69">
        <v>2</v>
      </c>
      <c r="CD69">
        <v>0.91529411764705804</v>
      </c>
      <c r="CE69" t="s">
        <v>150</v>
      </c>
      <c r="CF69">
        <v>2</v>
      </c>
      <c r="CG69">
        <v>1.1842105263157801</v>
      </c>
      <c r="CH69" t="s">
        <v>207</v>
      </c>
      <c r="CI69">
        <v>2</v>
      </c>
      <c r="CJ69">
        <v>1.19463869463869</v>
      </c>
      <c r="CK69" t="s">
        <v>217</v>
      </c>
      <c r="CL69">
        <v>3</v>
      </c>
      <c r="CM69">
        <v>0.97240330291177701</v>
      </c>
      <c r="CN69" t="s">
        <v>210</v>
      </c>
      <c r="CO69">
        <v>3</v>
      </c>
      <c r="CP69">
        <v>0.92788461538461497</v>
      </c>
      <c r="CQ69" t="s">
        <v>158</v>
      </c>
      <c r="CR69">
        <v>2</v>
      </c>
      <c r="CS69">
        <v>0.95196078431372499</v>
      </c>
      <c r="CT69" t="s">
        <v>214</v>
      </c>
      <c r="CU69">
        <v>3</v>
      </c>
      <c r="CV69">
        <v>0.94327390599675798</v>
      </c>
      <c r="CW69" t="s">
        <v>174</v>
      </c>
      <c r="CX69">
        <v>1</v>
      </c>
      <c r="CY69">
        <v>0.95340501792114696</v>
      </c>
      <c r="CZ69" t="s">
        <v>222</v>
      </c>
      <c r="DA69">
        <v>3</v>
      </c>
      <c r="DB69">
        <v>0.86666666666666603</v>
      </c>
      <c r="DC69" t="s">
        <v>223</v>
      </c>
      <c r="DD69">
        <v>3</v>
      </c>
      <c r="DE69">
        <v>0.95535714285714202</v>
      </c>
      <c r="DF69" t="s">
        <v>228</v>
      </c>
      <c r="DG69">
        <v>3</v>
      </c>
      <c r="DH69">
        <v>0.97839506172839497</v>
      </c>
    </row>
    <row r="70" spans="1:112" x14ac:dyDescent="0.4">
      <c r="A70">
        <v>68</v>
      </c>
      <c r="B70" t="s">
        <v>193</v>
      </c>
      <c r="C70">
        <v>2</v>
      </c>
      <c r="D70">
        <v>1.0859728506787301</v>
      </c>
      <c r="E70" t="s">
        <v>214</v>
      </c>
      <c r="F70">
        <v>3</v>
      </c>
      <c r="G70">
        <v>0.75463917525773105</v>
      </c>
      <c r="H70" t="s">
        <v>150</v>
      </c>
      <c r="I70">
        <v>3</v>
      </c>
      <c r="J70">
        <v>0.64491654021244305</v>
      </c>
      <c r="K70" t="s">
        <v>145</v>
      </c>
      <c r="L70">
        <v>1</v>
      </c>
      <c r="M70">
        <v>1.0500758725341399</v>
      </c>
      <c r="N70" t="s">
        <v>137</v>
      </c>
      <c r="O70">
        <v>2</v>
      </c>
      <c r="P70">
        <v>1.23551171393341</v>
      </c>
      <c r="Q70" t="s">
        <v>222</v>
      </c>
      <c r="R70">
        <v>2</v>
      </c>
      <c r="S70">
        <v>1.31944444444444</v>
      </c>
      <c r="T70" t="s">
        <v>198</v>
      </c>
      <c r="U70">
        <v>2</v>
      </c>
      <c r="V70">
        <v>0.93645484949832702</v>
      </c>
      <c r="W70" t="s">
        <v>153</v>
      </c>
      <c r="X70">
        <v>2</v>
      </c>
      <c r="Y70">
        <v>1.0534336037997201</v>
      </c>
      <c r="Z70" t="s">
        <v>153</v>
      </c>
      <c r="AA70">
        <v>2</v>
      </c>
      <c r="AB70">
        <v>1.29194063498027</v>
      </c>
      <c r="AC70" t="s">
        <v>206</v>
      </c>
      <c r="AD70">
        <v>2</v>
      </c>
      <c r="AE70">
        <v>0.88590604026845599</v>
      </c>
      <c r="AF70" t="s">
        <v>158</v>
      </c>
      <c r="AG70">
        <v>2</v>
      </c>
      <c r="AH70">
        <v>1</v>
      </c>
      <c r="AI70" t="s">
        <v>190</v>
      </c>
      <c r="AJ70">
        <v>3</v>
      </c>
      <c r="AK70">
        <v>1.2962962962962901</v>
      </c>
      <c r="AL70" t="s">
        <v>162</v>
      </c>
      <c r="AM70">
        <v>1</v>
      </c>
      <c r="AN70">
        <v>1.0397435897435801</v>
      </c>
      <c r="AO70" t="s">
        <v>214</v>
      </c>
      <c r="AP70">
        <v>3</v>
      </c>
      <c r="AQ70">
        <v>0.95774647887323905</v>
      </c>
      <c r="AR70" t="s">
        <v>158</v>
      </c>
      <c r="AS70">
        <v>2</v>
      </c>
      <c r="AT70">
        <v>0.9</v>
      </c>
      <c r="AU70" t="s">
        <v>217</v>
      </c>
      <c r="AV70">
        <v>3</v>
      </c>
      <c r="AW70">
        <v>1.3480392156862699</v>
      </c>
      <c r="AX70" t="s">
        <v>210</v>
      </c>
      <c r="AY70">
        <v>3</v>
      </c>
      <c r="AZ70">
        <v>0.72666666666666602</v>
      </c>
      <c r="BA70" t="s">
        <v>158</v>
      </c>
      <c r="BB70">
        <v>2</v>
      </c>
      <c r="BC70">
        <v>1.12222222222222</v>
      </c>
      <c r="BD70" t="s">
        <v>206</v>
      </c>
      <c r="BE70">
        <v>2</v>
      </c>
      <c r="BF70">
        <v>0.96820512820512805</v>
      </c>
      <c r="BG70" t="s">
        <v>210</v>
      </c>
      <c r="BH70">
        <v>3</v>
      </c>
      <c r="BI70">
        <v>1.11881188118811</v>
      </c>
      <c r="BJ70" t="s">
        <v>158</v>
      </c>
      <c r="BK70">
        <v>2</v>
      </c>
      <c r="BL70">
        <v>1.1008771929824499</v>
      </c>
      <c r="BM70" t="s">
        <v>198</v>
      </c>
      <c r="BN70">
        <v>2</v>
      </c>
      <c r="BO70">
        <v>0.90656565656565602</v>
      </c>
      <c r="BP70" t="s">
        <v>198</v>
      </c>
      <c r="BQ70">
        <v>2</v>
      </c>
      <c r="BR70">
        <v>1.03342618384401</v>
      </c>
      <c r="BS70" t="s">
        <v>210</v>
      </c>
      <c r="BT70">
        <v>3</v>
      </c>
      <c r="BU70">
        <v>1.21167883211678</v>
      </c>
      <c r="BV70" t="s">
        <v>216</v>
      </c>
      <c r="BW70">
        <v>3</v>
      </c>
      <c r="BX70">
        <v>1.06553911205074</v>
      </c>
      <c r="BY70" t="s">
        <v>155</v>
      </c>
      <c r="BZ70">
        <v>1</v>
      </c>
      <c r="CA70">
        <v>1.1148325358851601</v>
      </c>
      <c r="CB70" t="s">
        <v>207</v>
      </c>
      <c r="CC70">
        <v>2</v>
      </c>
      <c r="CD70">
        <v>1.0878661087866099</v>
      </c>
      <c r="CE70" t="s">
        <v>153</v>
      </c>
      <c r="CF70">
        <v>2</v>
      </c>
      <c r="CG70">
        <v>0.76414998475764595</v>
      </c>
      <c r="CH70" t="s">
        <v>206</v>
      </c>
      <c r="CI70">
        <v>2</v>
      </c>
      <c r="CJ70">
        <v>1.1381418092909501</v>
      </c>
      <c r="CK70" t="s">
        <v>214</v>
      </c>
      <c r="CL70">
        <v>3</v>
      </c>
      <c r="CM70">
        <v>0.949659863945578</v>
      </c>
      <c r="CN70" t="s">
        <v>158</v>
      </c>
      <c r="CO70">
        <v>2</v>
      </c>
      <c r="CP70">
        <v>0.88695652173912998</v>
      </c>
      <c r="CQ70" t="s">
        <v>217</v>
      </c>
      <c r="CR70">
        <v>3</v>
      </c>
      <c r="CS70">
        <v>0.88771772445241803</v>
      </c>
      <c r="CT70" t="s">
        <v>222</v>
      </c>
      <c r="CU70">
        <v>3</v>
      </c>
      <c r="CV70">
        <v>1.21929824561403</v>
      </c>
      <c r="CW70" t="s">
        <v>231</v>
      </c>
      <c r="CX70">
        <v>3</v>
      </c>
      <c r="CY70">
        <v>1.1959459459459401</v>
      </c>
      <c r="CZ70" t="s">
        <v>225</v>
      </c>
      <c r="DA70">
        <v>3</v>
      </c>
      <c r="DB70">
        <v>0.92203389830508398</v>
      </c>
      <c r="DC70" t="s">
        <v>222</v>
      </c>
      <c r="DD70">
        <v>3</v>
      </c>
      <c r="DE70">
        <v>1.0192307692307601</v>
      </c>
      <c r="DF70" t="s">
        <v>174</v>
      </c>
      <c r="DG70">
        <v>1</v>
      </c>
      <c r="DH70">
        <v>1.09030100334448</v>
      </c>
    </row>
    <row r="71" spans="1:112" x14ac:dyDescent="0.4">
      <c r="A71">
        <v>69</v>
      </c>
      <c r="B71" t="s">
        <v>150</v>
      </c>
      <c r="C71">
        <v>2</v>
      </c>
      <c r="D71">
        <v>1.0269179004037601</v>
      </c>
      <c r="E71" t="s">
        <v>212</v>
      </c>
      <c r="F71">
        <v>1</v>
      </c>
      <c r="G71">
        <v>0.89250814332247497</v>
      </c>
      <c r="H71" t="s">
        <v>200</v>
      </c>
      <c r="I71">
        <v>3</v>
      </c>
      <c r="J71">
        <v>0.34887824552558599</v>
      </c>
      <c r="K71" t="s">
        <v>153</v>
      </c>
      <c r="L71">
        <v>2</v>
      </c>
      <c r="M71">
        <v>0.83978891820580404</v>
      </c>
      <c r="N71" t="s">
        <v>186</v>
      </c>
      <c r="O71">
        <v>2</v>
      </c>
      <c r="P71">
        <v>1.2329249520274901</v>
      </c>
      <c r="Q71" t="s">
        <v>225</v>
      </c>
      <c r="R71">
        <v>2</v>
      </c>
      <c r="S71">
        <v>0.99359673024523099</v>
      </c>
      <c r="T71" t="s">
        <v>206</v>
      </c>
      <c r="U71">
        <v>2</v>
      </c>
      <c r="V71">
        <v>0.88372093023255804</v>
      </c>
      <c r="W71" t="s">
        <v>202</v>
      </c>
      <c r="X71">
        <v>3</v>
      </c>
      <c r="Y71">
        <v>0.845703125</v>
      </c>
      <c r="Z71" t="s">
        <v>198</v>
      </c>
      <c r="AA71">
        <v>2</v>
      </c>
      <c r="AB71">
        <v>1.17441860465116</v>
      </c>
      <c r="AC71" t="s">
        <v>210</v>
      </c>
      <c r="AD71">
        <v>3</v>
      </c>
      <c r="AE71">
        <v>1.17713004484304</v>
      </c>
      <c r="AF71" t="s">
        <v>217</v>
      </c>
      <c r="AG71">
        <v>3</v>
      </c>
      <c r="AH71">
        <v>0.79147068046409497</v>
      </c>
      <c r="AI71" t="s">
        <v>150</v>
      </c>
      <c r="AJ71">
        <v>2</v>
      </c>
      <c r="AK71">
        <v>0.90033594624860003</v>
      </c>
      <c r="AL71" t="s">
        <v>217</v>
      </c>
      <c r="AM71">
        <v>3</v>
      </c>
      <c r="AN71">
        <v>1.02161572052401</v>
      </c>
      <c r="AO71" t="s">
        <v>212</v>
      </c>
      <c r="AP71">
        <v>1</v>
      </c>
      <c r="AQ71">
        <v>0.86680988184747498</v>
      </c>
      <c r="AR71" t="s">
        <v>162</v>
      </c>
      <c r="AS71">
        <v>1</v>
      </c>
      <c r="AT71">
        <v>0.77763659466327795</v>
      </c>
      <c r="AU71" t="s">
        <v>214</v>
      </c>
      <c r="AV71">
        <v>3</v>
      </c>
      <c r="AW71">
        <v>1.16811091854419</v>
      </c>
      <c r="AX71" t="s">
        <v>158</v>
      </c>
      <c r="AY71">
        <v>2</v>
      </c>
      <c r="AZ71">
        <v>0.87804878048780399</v>
      </c>
      <c r="BA71" t="s">
        <v>162</v>
      </c>
      <c r="BB71">
        <v>1</v>
      </c>
      <c r="BC71">
        <v>1.1496212121212099</v>
      </c>
      <c r="BD71" t="s">
        <v>210</v>
      </c>
      <c r="BE71">
        <v>3</v>
      </c>
      <c r="BF71">
        <v>1.0233029381965499</v>
      </c>
      <c r="BG71" t="s">
        <v>158</v>
      </c>
      <c r="BH71">
        <v>2</v>
      </c>
      <c r="BI71">
        <v>0.85393258426966201</v>
      </c>
      <c r="BJ71" t="s">
        <v>162</v>
      </c>
      <c r="BK71">
        <v>1</v>
      </c>
      <c r="BL71">
        <v>1.05486725663716</v>
      </c>
      <c r="BM71" t="s">
        <v>216</v>
      </c>
      <c r="BN71">
        <v>3</v>
      </c>
      <c r="BO71">
        <v>0.89947089947089898</v>
      </c>
      <c r="BP71" t="s">
        <v>216</v>
      </c>
      <c r="BQ71">
        <v>3</v>
      </c>
      <c r="BR71">
        <v>0.99607843137254903</v>
      </c>
      <c r="BS71" t="s">
        <v>158</v>
      </c>
      <c r="BT71">
        <v>2</v>
      </c>
      <c r="BU71">
        <v>0.90909090909090895</v>
      </c>
      <c r="BV71" t="s">
        <v>210</v>
      </c>
      <c r="BW71">
        <v>3</v>
      </c>
      <c r="BX71">
        <v>1.3524096385542099</v>
      </c>
      <c r="BY71" t="s">
        <v>198</v>
      </c>
      <c r="BZ71">
        <v>2</v>
      </c>
      <c r="CA71">
        <v>1.1184210526315701</v>
      </c>
      <c r="CB71" t="s">
        <v>216</v>
      </c>
      <c r="CC71">
        <v>3</v>
      </c>
      <c r="CD71">
        <v>0.83276450511945299</v>
      </c>
      <c r="CE71" t="s">
        <v>155</v>
      </c>
      <c r="CF71">
        <v>1</v>
      </c>
      <c r="CG71">
        <v>0.873417721518987</v>
      </c>
      <c r="CH71" t="s">
        <v>216</v>
      </c>
      <c r="CI71">
        <v>3</v>
      </c>
      <c r="CJ71">
        <v>1.5194805194805101</v>
      </c>
      <c r="CK71" t="s">
        <v>225</v>
      </c>
      <c r="CL71">
        <v>2</v>
      </c>
      <c r="CM71">
        <v>0.88292682926829202</v>
      </c>
      <c r="CN71" t="s">
        <v>217</v>
      </c>
      <c r="CO71">
        <v>3</v>
      </c>
      <c r="CP71">
        <v>0.99642458100558595</v>
      </c>
      <c r="CQ71" t="s">
        <v>214</v>
      </c>
      <c r="CR71">
        <v>3</v>
      </c>
      <c r="CS71">
        <v>1.0529010238907801</v>
      </c>
      <c r="CT71" t="s">
        <v>225</v>
      </c>
      <c r="CU71">
        <v>2</v>
      </c>
      <c r="CV71">
        <v>1.0723684210526301</v>
      </c>
      <c r="CW71" t="s">
        <v>178</v>
      </c>
      <c r="CX71">
        <v>1</v>
      </c>
      <c r="CY71">
        <v>1.11057692307692</v>
      </c>
      <c r="CZ71" t="s">
        <v>174</v>
      </c>
      <c r="DA71">
        <v>1</v>
      </c>
      <c r="DB71">
        <v>1</v>
      </c>
      <c r="DC71" t="s">
        <v>225</v>
      </c>
      <c r="DD71">
        <v>3</v>
      </c>
      <c r="DE71">
        <v>1.1654411764705801</v>
      </c>
      <c r="DF71" t="s">
        <v>231</v>
      </c>
      <c r="DG71">
        <v>3</v>
      </c>
      <c r="DH71">
        <v>1.0048309178743899</v>
      </c>
    </row>
    <row r="72" spans="1:112" x14ac:dyDescent="0.4">
      <c r="A72">
        <v>70</v>
      </c>
      <c r="B72" t="s">
        <v>200</v>
      </c>
      <c r="C72">
        <v>3</v>
      </c>
      <c r="D72">
        <v>1.04048096192384</v>
      </c>
      <c r="E72" t="s">
        <v>222</v>
      </c>
      <c r="F72">
        <v>2</v>
      </c>
      <c r="G72">
        <v>0.75961538461538403</v>
      </c>
      <c r="H72" t="s">
        <v>202</v>
      </c>
      <c r="I72">
        <v>2</v>
      </c>
      <c r="J72">
        <v>0.46057142857142802</v>
      </c>
      <c r="K72" t="s">
        <v>198</v>
      </c>
      <c r="L72">
        <v>2</v>
      </c>
      <c r="M72">
        <v>0.97466960352422904</v>
      </c>
      <c r="N72" t="s">
        <v>193</v>
      </c>
      <c r="O72">
        <v>2</v>
      </c>
      <c r="P72">
        <v>2.1627565982404602</v>
      </c>
      <c r="Q72" t="s">
        <v>209</v>
      </c>
      <c r="R72">
        <v>3</v>
      </c>
      <c r="S72">
        <v>1.21148459383753</v>
      </c>
      <c r="T72" t="s">
        <v>165</v>
      </c>
      <c r="U72">
        <v>2</v>
      </c>
      <c r="V72">
        <v>0.69316239316239303</v>
      </c>
      <c r="W72" t="s">
        <v>198</v>
      </c>
      <c r="X72">
        <v>2</v>
      </c>
      <c r="Y72">
        <v>0.92142857142857104</v>
      </c>
      <c r="Z72" t="s">
        <v>206</v>
      </c>
      <c r="AA72">
        <v>2</v>
      </c>
      <c r="AB72">
        <v>1.2680851063829699</v>
      </c>
      <c r="AC72" t="s">
        <v>158</v>
      </c>
      <c r="AD72">
        <v>2</v>
      </c>
      <c r="AE72">
        <v>0.967592592592592</v>
      </c>
      <c r="AF72" t="s">
        <v>214</v>
      </c>
      <c r="AG72">
        <v>3</v>
      </c>
      <c r="AH72">
        <v>1.2540861812778601</v>
      </c>
      <c r="AI72" t="s">
        <v>153</v>
      </c>
      <c r="AJ72">
        <v>2</v>
      </c>
      <c r="AK72">
        <v>0.75831506718764896</v>
      </c>
      <c r="AL72" t="s">
        <v>214</v>
      </c>
      <c r="AM72">
        <v>3</v>
      </c>
      <c r="AN72">
        <v>1.01428571428571</v>
      </c>
      <c r="AO72" t="s">
        <v>225</v>
      </c>
      <c r="AP72">
        <v>2</v>
      </c>
      <c r="AQ72">
        <v>0.83757961783439405</v>
      </c>
      <c r="AR72" t="s">
        <v>217</v>
      </c>
      <c r="AS72">
        <v>3</v>
      </c>
      <c r="AT72">
        <v>0.92369612611101704</v>
      </c>
      <c r="AU72" t="s">
        <v>212</v>
      </c>
      <c r="AV72">
        <v>1</v>
      </c>
      <c r="AW72">
        <v>1.0074165636588299</v>
      </c>
      <c r="AX72" t="s">
        <v>217</v>
      </c>
      <c r="AY72">
        <v>3</v>
      </c>
      <c r="AZ72">
        <v>0.77737373737373705</v>
      </c>
      <c r="BA72" t="s">
        <v>217</v>
      </c>
      <c r="BB72">
        <v>3</v>
      </c>
      <c r="BC72">
        <v>1.34927234927234</v>
      </c>
      <c r="BD72" t="s">
        <v>158</v>
      </c>
      <c r="BE72">
        <v>2</v>
      </c>
      <c r="BF72">
        <v>1.3217821782178201</v>
      </c>
      <c r="BG72" t="s">
        <v>214</v>
      </c>
      <c r="BH72">
        <v>3</v>
      </c>
      <c r="BI72">
        <v>1.1552270327349501</v>
      </c>
      <c r="BJ72" t="s">
        <v>214</v>
      </c>
      <c r="BK72">
        <v>3</v>
      </c>
      <c r="BL72">
        <v>1.0365630712979801</v>
      </c>
      <c r="BM72" t="s">
        <v>210</v>
      </c>
      <c r="BN72">
        <v>3</v>
      </c>
      <c r="BO72">
        <v>1.07368421052631</v>
      </c>
      <c r="BP72" t="s">
        <v>210</v>
      </c>
      <c r="BQ72">
        <v>3</v>
      </c>
      <c r="BR72">
        <v>0.89542483660130701</v>
      </c>
      <c r="BS72" t="s">
        <v>217</v>
      </c>
      <c r="BT72">
        <v>3</v>
      </c>
      <c r="BU72">
        <v>0.950754668713225</v>
      </c>
      <c r="BV72" t="s">
        <v>158</v>
      </c>
      <c r="BW72">
        <v>2</v>
      </c>
      <c r="BX72">
        <v>1.24166666666666</v>
      </c>
      <c r="BY72" t="s">
        <v>207</v>
      </c>
      <c r="BZ72">
        <v>2</v>
      </c>
      <c r="CA72">
        <v>0.81662870159453305</v>
      </c>
      <c r="CB72" t="s">
        <v>158</v>
      </c>
      <c r="CC72">
        <v>2</v>
      </c>
      <c r="CD72">
        <v>0.82978723404255295</v>
      </c>
      <c r="CE72" t="s">
        <v>198</v>
      </c>
      <c r="CF72">
        <v>2</v>
      </c>
      <c r="CG72">
        <v>1.0102827763496101</v>
      </c>
      <c r="CH72" t="s">
        <v>210</v>
      </c>
      <c r="CI72">
        <v>3</v>
      </c>
      <c r="CJ72">
        <v>0.93548387096774099</v>
      </c>
      <c r="CK72" t="s">
        <v>228</v>
      </c>
      <c r="CL72">
        <v>3</v>
      </c>
      <c r="CM72">
        <v>0.74403470715835096</v>
      </c>
      <c r="CN72" t="s">
        <v>214</v>
      </c>
      <c r="CO72">
        <v>3</v>
      </c>
      <c r="CP72">
        <v>0.83954154727793695</v>
      </c>
      <c r="CQ72" t="s">
        <v>225</v>
      </c>
      <c r="CR72">
        <v>2</v>
      </c>
      <c r="CS72">
        <v>0.98064516129032198</v>
      </c>
      <c r="CT72" t="s">
        <v>228</v>
      </c>
      <c r="CU72">
        <v>3</v>
      </c>
      <c r="CV72">
        <v>0.95016611295680997</v>
      </c>
      <c r="CW72" t="s">
        <v>185</v>
      </c>
      <c r="CX72">
        <v>3</v>
      </c>
      <c r="CY72">
        <v>0.98360655737704905</v>
      </c>
      <c r="CZ72" t="s">
        <v>231</v>
      </c>
      <c r="DA72">
        <v>3</v>
      </c>
      <c r="DB72">
        <v>0.92655367231638397</v>
      </c>
      <c r="DC72" t="s">
        <v>228</v>
      </c>
      <c r="DD72">
        <v>3</v>
      </c>
      <c r="DE72">
        <v>1.0253164556962</v>
      </c>
      <c r="DF72" t="s">
        <v>178</v>
      </c>
      <c r="DG72">
        <v>1</v>
      </c>
      <c r="DH72">
        <v>0.99470899470899399</v>
      </c>
    </row>
    <row r="73" spans="1:112" x14ac:dyDescent="0.4">
      <c r="A73">
        <v>71</v>
      </c>
      <c r="B73" t="s">
        <v>202</v>
      </c>
      <c r="C73">
        <v>2</v>
      </c>
      <c r="D73">
        <v>0.93714285714285706</v>
      </c>
      <c r="E73" t="s">
        <v>164</v>
      </c>
      <c r="F73">
        <v>1</v>
      </c>
      <c r="G73">
        <v>1.1293103448275801</v>
      </c>
      <c r="H73" t="s">
        <v>198</v>
      </c>
      <c r="I73">
        <v>2</v>
      </c>
      <c r="J73">
        <v>0.73225806451612896</v>
      </c>
      <c r="K73" t="s">
        <v>206</v>
      </c>
      <c r="L73">
        <v>3</v>
      </c>
      <c r="M73">
        <v>1.2717770034843201</v>
      </c>
      <c r="N73" t="s">
        <v>145</v>
      </c>
      <c r="O73">
        <v>1</v>
      </c>
      <c r="P73">
        <v>1.73121387283237</v>
      </c>
      <c r="Q73" t="s">
        <v>164</v>
      </c>
      <c r="R73">
        <v>1</v>
      </c>
      <c r="S73">
        <v>1.0329012961116599</v>
      </c>
      <c r="T73" t="s">
        <v>158</v>
      </c>
      <c r="U73">
        <v>2</v>
      </c>
      <c r="V73">
        <v>0.83203125</v>
      </c>
      <c r="W73" t="s">
        <v>206</v>
      </c>
      <c r="X73">
        <v>2</v>
      </c>
      <c r="Y73">
        <v>1.1244019138755901</v>
      </c>
      <c r="Z73" t="s">
        <v>165</v>
      </c>
      <c r="AA73">
        <v>2</v>
      </c>
      <c r="AB73">
        <v>0.35208333333333303</v>
      </c>
      <c r="AC73" t="s">
        <v>162</v>
      </c>
      <c r="AD73">
        <v>1</v>
      </c>
      <c r="AE73">
        <v>1.5758468335787901</v>
      </c>
      <c r="AF73" t="s">
        <v>212</v>
      </c>
      <c r="AG73">
        <v>1</v>
      </c>
      <c r="AH73">
        <v>0.88537549407114602</v>
      </c>
      <c r="AI73" t="s">
        <v>198</v>
      </c>
      <c r="AJ73">
        <v>2</v>
      </c>
      <c r="AK73">
        <v>0.95783132530120396</v>
      </c>
      <c r="AL73" t="s">
        <v>212</v>
      </c>
      <c r="AM73">
        <v>1</v>
      </c>
      <c r="AN73">
        <v>1.0197152245345</v>
      </c>
      <c r="AO73" t="s">
        <v>164</v>
      </c>
      <c r="AP73">
        <v>2</v>
      </c>
      <c r="AQ73">
        <v>1.0821494749845499</v>
      </c>
      <c r="AR73" t="s">
        <v>214</v>
      </c>
      <c r="AS73">
        <v>3</v>
      </c>
      <c r="AT73">
        <v>0.84852941176470498</v>
      </c>
      <c r="AU73" t="s">
        <v>225</v>
      </c>
      <c r="AV73">
        <v>2</v>
      </c>
      <c r="AW73">
        <v>1.2139737991266299</v>
      </c>
      <c r="AX73" t="s">
        <v>214</v>
      </c>
      <c r="AY73">
        <v>3</v>
      </c>
      <c r="AZ73">
        <v>0.72329376854599403</v>
      </c>
      <c r="BA73" t="s">
        <v>214</v>
      </c>
      <c r="BB73">
        <v>3</v>
      </c>
      <c r="BC73">
        <v>0.98666666666666603</v>
      </c>
      <c r="BD73" t="s">
        <v>217</v>
      </c>
      <c r="BE73">
        <v>3</v>
      </c>
      <c r="BF73">
        <v>0.75398048279404195</v>
      </c>
      <c r="BG73" t="s">
        <v>212</v>
      </c>
      <c r="BH73">
        <v>1</v>
      </c>
      <c r="BI73">
        <v>1.04252400548696</v>
      </c>
      <c r="BJ73" t="s">
        <v>225</v>
      </c>
      <c r="BK73">
        <v>2</v>
      </c>
      <c r="BL73">
        <v>1.2236286919831201</v>
      </c>
      <c r="BM73" t="s">
        <v>158</v>
      </c>
      <c r="BN73">
        <v>2</v>
      </c>
      <c r="BO73">
        <v>1.02390438247011</v>
      </c>
      <c r="BP73" t="s">
        <v>158</v>
      </c>
      <c r="BQ73">
        <v>2</v>
      </c>
      <c r="BR73">
        <v>1.0272373540855999</v>
      </c>
      <c r="BS73" t="s">
        <v>214</v>
      </c>
      <c r="BT73">
        <v>3</v>
      </c>
      <c r="BU73">
        <v>1.0317948717948699</v>
      </c>
      <c r="BV73" t="s">
        <v>217</v>
      </c>
      <c r="BW73">
        <v>3</v>
      </c>
      <c r="BX73">
        <v>1.7579712094712701</v>
      </c>
      <c r="BY73" t="s">
        <v>216</v>
      </c>
      <c r="BZ73">
        <v>3</v>
      </c>
      <c r="CA73">
        <v>1.1626984126984099</v>
      </c>
      <c r="CB73" t="s">
        <v>214</v>
      </c>
      <c r="CC73">
        <v>3</v>
      </c>
      <c r="CD73">
        <v>1.0243902439024299</v>
      </c>
      <c r="CE73" t="s">
        <v>207</v>
      </c>
      <c r="CF73">
        <v>2</v>
      </c>
      <c r="CG73">
        <v>1.1000000000000001</v>
      </c>
      <c r="CH73" t="s">
        <v>158</v>
      </c>
      <c r="CI73">
        <v>2</v>
      </c>
      <c r="CJ73">
        <v>1.15384615384615</v>
      </c>
      <c r="CK73" t="s">
        <v>174</v>
      </c>
      <c r="CL73">
        <v>1</v>
      </c>
      <c r="CM73">
        <v>0.943037974683544</v>
      </c>
      <c r="CN73" t="s">
        <v>225</v>
      </c>
      <c r="CO73">
        <v>2</v>
      </c>
      <c r="CP73">
        <v>0.85635359116022103</v>
      </c>
      <c r="CQ73" t="s">
        <v>209</v>
      </c>
      <c r="CR73">
        <v>3</v>
      </c>
      <c r="CS73">
        <v>0.92097560975609705</v>
      </c>
      <c r="CT73" t="s">
        <v>174</v>
      </c>
      <c r="CU73">
        <v>1</v>
      </c>
      <c r="CV73">
        <v>0.94576271186440597</v>
      </c>
      <c r="CW73" t="s">
        <v>238</v>
      </c>
      <c r="CX73">
        <v>2</v>
      </c>
      <c r="CY73">
        <v>0.99397590361445698</v>
      </c>
      <c r="CZ73" t="s">
        <v>178</v>
      </c>
      <c r="DA73">
        <v>1</v>
      </c>
      <c r="DB73">
        <v>1.08008658008658</v>
      </c>
      <c r="DC73" t="s">
        <v>174</v>
      </c>
      <c r="DD73">
        <v>1</v>
      </c>
      <c r="DE73">
        <v>1.12406015037593</v>
      </c>
      <c r="DF73" t="s">
        <v>185</v>
      </c>
      <c r="DG73">
        <v>3</v>
      </c>
      <c r="DH73">
        <v>1.07633587786259</v>
      </c>
    </row>
    <row r="74" spans="1:112" x14ac:dyDescent="0.4">
      <c r="A74">
        <v>72</v>
      </c>
      <c r="B74" t="s">
        <v>205</v>
      </c>
      <c r="C74">
        <v>3</v>
      </c>
      <c r="D74">
        <v>0.90939597315436205</v>
      </c>
      <c r="E74" t="s">
        <v>228</v>
      </c>
      <c r="F74">
        <v>3</v>
      </c>
      <c r="G74">
        <v>1.0394736842105201</v>
      </c>
      <c r="H74" t="s">
        <v>206</v>
      </c>
      <c r="I74">
        <v>3</v>
      </c>
      <c r="J74">
        <v>0.83918128654970703</v>
      </c>
      <c r="K74" t="s">
        <v>165</v>
      </c>
      <c r="L74">
        <v>2</v>
      </c>
      <c r="M74">
        <v>0.72072334840309105</v>
      </c>
      <c r="N74" t="s">
        <v>150</v>
      </c>
      <c r="O74">
        <v>3</v>
      </c>
      <c r="P74">
        <v>1.91115702479338</v>
      </c>
      <c r="Q74" t="s">
        <v>228</v>
      </c>
      <c r="R74">
        <v>2</v>
      </c>
      <c r="S74">
        <v>0.92857142857142805</v>
      </c>
      <c r="T74" t="s">
        <v>214</v>
      </c>
      <c r="U74">
        <v>3</v>
      </c>
      <c r="V74">
        <v>0.77922077922077904</v>
      </c>
      <c r="W74" t="s">
        <v>165</v>
      </c>
      <c r="X74">
        <v>2</v>
      </c>
      <c r="Y74">
        <v>0.88779284833538796</v>
      </c>
      <c r="Z74" t="s">
        <v>210</v>
      </c>
      <c r="AA74">
        <v>3</v>
      </c>
      <c r="AB74">
        <v>1.1191969887076501</v>
      </c>
      <c r="AC74" t="s">
        <v>217</v>
      </c>
      <c r="AD74">
        <v>3</v>
      </c>
      <c r="AE74">
        <v>1.3778353856124399</v>
      </c>
      <c r="AF74" t="s">
        <v>225</v>
      </c>
      <c r="AG74">
        <v>2</v>
      </c>
      <c r="AH74">
        <v>0.929133858267716</v>
      </c>
      <c r="AI74" t="s">
        <v>157</v>
      </c>
      <c r="AJ74">
        <v>1</v>
      </c>
      <c r="AK74">
        <v>1.01466992665036</v>
      </c>
      <c r="AL74" t="s">
        <v>225</v>
      </c>
      <c r="AM74">
        <v>2</v>
      </c>
      <c r="AN74">
        <v>1.09407665505226</v>
      </c>
      <c r="AO74" t="s">
        <v>228</v>
      </c>
      <c r="AP74">
        <v>3</v>
      </c>
      <c r="AQ74">
        <v>0.91346153846153799</v>
      </c>
      <c r="AR74" t="s">
        <v>212</v>
      </c>
      <c r="AS74">
        <v>1</v>
      </c>
      <c r="AT74">
        <v>1.0024783147459699</v>
      </c>
      <c r="AU74" t="s">
        <v>228</v>
      </c>
      <c r="AV74">
        <v>3</v>
      </c>
      <c r="AW74">
        <v>1.5277044854881201</v>
      </c>
      <c r="AX74" t="s">
        <v>212</v>
      </c>
      <c r="AY74">
        <v>1</v>
      </c>
      <c r="AZ74">
        <v>1.00736196319018</v>
      </c>
      <c r="BA74" t="s">
        <v>212</v>
      </c>
      <c r="BB74">
        <v>1</v>
      </c>
      <c r="BC74">
        <v>1.04141291108404</v>
      </c>
      <c r="BD74" t="s">
        <v>214</v>
      </c>
      <c r="BE74">
        <v>3</v>
      </c>
      <c r="BF74">
        <v>0.98440748440748405</v>
      </c>
      <c r="BG74" t="s">
        <v>225</v>
      </c>
      <c r="BH74">
        <v>2</v>
      </c>
      <c r="BI74">
        <v>0.98956158663882998</v>
      </c>
      <c r="BJ74" t="s">
        <v>209</v>
      </c>
      <c r="BK74">
        <v>3</v>
      </c>
      <c r="BL74">
        <v>0.96339677891654396</v>
      </c>
      <c r="BM74" t="s">
        <v>162</v>
      </c>
      <c r="BN74">
        <v>1</v>
      </c>
      <c r="BO74">
        <v>1.19127516778523</v>
      </c>
      <c r="BP74" t="s">
        <v>162</v>
      </c>
      <c r="BQ74">
        <v>1</v>
      </c>
      <c r="BR74">
        <v>1.01549295774647</v>
      </c>
      <c r="BS74" t="s">
        <v>222</v>
      </c>
      <c r="BT74">
        <v>3</v>
      </c>
      <c r="BU74">
        <v>1.1646090534979401</v>
      </c>
      <c r="BV74" t="s">
        <v>214</v>
      </c>
      <c r="BW74">
        <v>3</v>
      </c>
      <c r="BX74">
        <v>1.0278330019880699</v>
      </c>
      <c r="BY74" t="s">
        <v>158</v>
      </c>
      <c r="BZ74">
        <v>2</v>
      </c>
      <c r="CA74">
        <v>1.1040268456375799</v>
      </c>
      <c r="CB74" t="s">
        <v>223</v>
      </c>
      <c r="CC74">
        <v>3</v>
      </c>
      <c r="CD74">
        <v>0.95031712473572905</v>
      </c>
      <c r="CE74" t="s">
        <v>206</v>
      </c>
      <c r="CF74">
        <v>2</v>
      </c>
      <c r="CG74">
        <v>1.0174129353233801</v>
      </c>
      <c r="CH74" t="s">
        <v>162</v>
      </c>
      <c r="CI74">
        <v>1</v>
      </c>
      <c r="CJ74">
        <v>1.5710382513661201</v>
      </c>
      <c r="CK74" t="s">
        <v>231</v>
      </c>
      <c r="CL74">
        <v>3</v>
      </c>
      <c r="CM74">
        <v>0.82467532467532401</v>
      </c>
      <c r="CN74" t="s">
        <v>228</v>
      </c>
      <c r="CO74">
        <v>3</v>
      </c>
      <c r="CP74">
        <v>0.93294460641399402</v>
      </c>
      <c r="CQ74" t="s">
        <v>228</v>
      </c>
      <c r="CR74">
        <v>3</v>
      </c>
      <c r="CS74">
        <v>0.94062500000000004</v>
      </c>
      <c r="CT74" t="s">
        <v>178</v>
      </c>
      <c r="CU74">
        <v>1</v>
      </c>
      <c r="CV74">
        <v>1.04785894206549</v>
      </c>
      <c r="CW74" t="s">
        <v>241</v>
      </c>
      <c r="CX74">
        <v>3</v>
      </c>
      <c r="CY74">
        <v>0.92236024844720499</v>
      </c>
      <c r="CZ74" t="s">
        <v>185</v>
      </c>
      <c r="DA74">
        <v>3</v>
      </c>
      <c r="DB74">
        <v>0.92500000000000004</v>
      </c>
      <c r="DC74" t="s">
        <v>231</v>
      </c>
      <c r="DD74">
        <v>3</v>
      </c>
      <c r="DE74">
        <v>1.0097560975609701</v>
      </c>
      <c r="DF74" t="s">
        <v>238</v>
      </c>
      <c r="DG74">
        <v>2</v>
      </c>
      <c r="DH74">
        <v>1.0825</v>
      </c>
    </row>
    <row r="75" spans="1:112" x14ac:dyDescent="0.4">
      <c r="A75">
        <v>73</v>
      </c>
      <c r="B75" t="s">
        <v>198</v>
      </c>
      <c r="C75">
        <v>2</v>
      </c>
      <c r="D75">
        <v>1.1576923076923</v>
      </c>
      <c r="E75" t="s">
        <v>230</v>
      </c>
      <c r="F75">
        <v>2</v>
      </c>
      <c r="G75">
        <v>0.79111111111111099</v>
      </c>
      <c r="H75" t="s">
        <v>165</v>
      </c>
      <c r="I75">
        <v>2</v>
      </c>
      <c r="J75">
        <v>0.406798766018035</v>
      </c>
      <c r="K75" t="s">
        <v>158</v>
      </c>
      <c r="L75">
        <v>2</v>
      </c>
      <c r="M75">
        <v>0.83783783783783705</v>
      </c>
      <c r="N75" t="s">
        <v>153</v>
      </c>
      <c r="O75">
        <v>2</v>
      </c>
      <c r="P75">
        <v>1.1702903104184901</v>
      </c>
      <c r="Q75" t="s">
        <v>230</v>
      </c>
      <c r="R75">
        <v>3</v>
      </c>
      <c r="S75">
        <v>1.05186170212765</v>
      </c>
      <c r="T75" t="s">
        <v>212</v>
      </c>
      <c r="U75">
        <v>1</v>
      </c>
      <c r="V75">
        <v>1.27354260089686</v>
      </c>
      <c r="W75" t="s">
        <v>210</v>
      </c>
      <c r="X75">
        <v>3</v>
      </c>
      <c r="Y75">
        <v>1.0828804347826</v>
      </c>
      <c r="Z75" t="s">
        <v>158</v>
      </c>
      <c r="AA75">
        <v>2</v>
      </c>
      <c r="AB75">
        <v>0.95575221238938002</v>
      </c>
      <c r="AC75" t="s">
        <v>214</v>
      </c>
      <c r="AD75">
        <v>3</v>
      </c>
      <c r="AE75">
        <v>0.90945945945945905</v>
      </c>
      <c r="AF75" t="s">
        <v>164</v>
      </c>
      <c r="AG75">
        <v>1</v>
      </c>
      <c r="AH75">
        <v>1.1224655312246501</v>
      </c>
      <c r="AI75" t="s">
        <v>210</v>
      </c>
      <c r="AJ75">
        <v>3</v>
      </c>
      <c r="AK75">
        <v>1.1279620853080501</v>
      </c>
      <c r="AL75" t="s">
        <v>164</v>
      </c>
      <c r="AM75">
        <v>1</v>
      </c>
      <c r="AN75">
        <v>1.1647482014388399</v>
      </c>
      <c r="AO75" t="s">
        <v>233</v>
      </c>
      <c r="AP75">
        <v>3</v>
      </c>
      <c r="AQ75">
        <v>1.0125348189415</v>
      </c>
      <c r="AR75" t="s">
        <v>225</v>
      </c>
      <c r="AS75">
        <v>2</v>
      </c>
      <c r="AT75">
        <v>0.87072243346007605</v>
      </c>
      <c r="AU75" t="s">
        <v>172</v>
      </c>
      <c r="AV75">
        <v>2</v>
      </c>
      <c r="AW75">
        <v>0.90948587979724804</v>
      </c>
      <c r="AX75" t="s">
        <v>225</v>
      </c>
      <c r="AY75">
        <v>2</v>
      </c>
      <c r="AZ75">
        <v>1.0251798561151</v>
      </c>
      <c r="BA75" t="s">
        <v>225</v>
      </c>
      <c r="BB75">
        <v>2</v>
      </c>
      <c r="BC75">
        <v>1.1929824561403499</v>
      </c>
      <c r="BD75" t="s">
        <v>212</v>
      </c>
      <c r="BE75">
        <v>1</v>
      </c>
      <c r="BF75">
        <v>0.85263157894736796</v>
      </c>
      <c r="BG75" t="s">
        <v>164</v>
      </c>
      <c r="BH75">
        <v>1</v>
      </c>
      <c r="BI75">
        <v>1.2476125511596099</v>
      </c>
      <c r="BJ75" t="s">
        <v>228</v>
      </c>
      <c r="BK75">
        <v>3</v>
      </c>
      <c r="BL75">
        <v>1.0454545454545401</v>
      </c>
      <c r="BM75" t="s">
        <v>217</v>
      </c>
      <c r="BN75">
        <v>3</v>
      </c>
      <c r="BO75">
        <v>0.88210606638687505</v>
      </c>
      <c r="BP75" t="s">
        <v>214</v>
      </c>
      <c r="BQ75">
        <v>3</v>
      </c>
      <c r="BR75">
        <v>0.94111969111969096</v>
      </c>
      <c r="BS75" t="s">
        <v>209</v>
      </c>
      <c r="BT75">
        <v>3</v>
      </c>
      <c r="BU75">
        <v>1.7409948542024001</v>
      </c>
      <c r="BV75" t="s">
        <v>222</v>
      </c>
      <c r="BW75">
        <v>3</v>
      </c>
      <c r="BX75">
        <v>1.0388692579505301</v>
      </c>
      <c r="BY75" t="s">
        <v>214</v>
      </c>
      <c r="BZ75">
        <v>3</v>
      </c>
      <c r="CA75">
        <v>1.1895551257253301</v>
      </c>
      <c r="CB75" t="s">
        <v>209</v>
      </c>
      <c r="CC75">
        <v>3</v>
      </c>
      <c r="CD75">
        <v>0.75377358490566004</v>
      </c>
      <c r="CE75" t="s">
        <v>216</v>
      </c>
      <c r="CF75">
        <v>3</v>
      </c>
      <c r="CG75">
        <v>0.94672131147540906</v>
      </c>
      <c r="CH75" t="s">
        <v>214</v>
      </c>
      <c r="CI75">
        <v>3</v>
      </c>
      <c r="CJ75">
        <v>0.98923283983849197</v>
      </c>
      <c r="CK75" t="s">
        <v>178</v>
      </c>
      <c r="CL75">
        <v>1</v>
      </c>
      <c r="CM75">
        <v>0.77868852459016302</v>
      </c>
      <c r="CN75" t="s">
        <v>174</v>
      </c>
      <c r="CO75">
        <v>1</v>
      </c>
      <c r="CP75">
        <v>0.98993288590604001</v>
      </c>
      <c r="CQ75" t="s">
        <v>174</v>
      </c>
      <c r="CR75">
        <v>1</v>
      </c>
      <c r="CS75">
        <v>1</v>
      </c>
      <c r="CT75" t="s">
        <v>185</v>
      </c>
      <c r="CU75">
        <v>3</v>
      </c>
      <c r="CV75">
        <v>1.05627705627705</v>
      </c>
      <c r="CW75" t="s">
        <v>189</v>
      </c>
      <c r="CX75">
        <v>3</v>
      </c>
      <c r="CY75">
        <v>1.0426267281105901</v>
      </c>
      <c r="CZ75" t="s">
        <v>238</v>
      </c>
      <c r="DA75">
        <v>2</v>
      </c>
      <c r="DB75">
        <v>0.98545454545454503</v>
      </c>
      <c r="DC75" t="s">
        <v>178</v>
      </c>
      <c r="DD75">
        <v>1</v>
      </c>
      <c r="DE75">
        <v>1.1362725450901801</v>
      </c>
      <c r="DF75" t="s">
        <v>241</v>
      </c>
      <c r="DG75">
        <v>3</v>
      </c>
      <c r="DH75">
        <v>0.98863636363636298</v>
      </c>
    </row>
    <row r="76" spans="1:112" x14ac:dyDescent="0.4">
      <c r="A76">
        <v>74</v>
      </c>
      <c r="B76" t="s">
        <v>157</v>
      </c>
      <c r="C76">
        <v>1</v>
      </c>
      <c r="D76">
        <v>0.94010416666666596</v>
      </c>
      <c r="E76" t="s">
        <v>221</v>
      </c>
      <c r="F76">
        <v>2</v>
      </c>
      <c r="G76">
        <v>0.99863013698630099</v>
      </c>
      <c r="H76" t="s">
        <v>210</v>
      </c>
      <c r="I76">
        <v>2</v>
      </c>
      <c r="J76">
        <v>0.53596127247579495</v>
      </c>
      <c r="K76" t="s">
        <v>162</v>
      </c>
      <c r="L76">
        <v>1</v>
      </c>
      <c r="M76">
        <v>1.48529411764705</v>
      </c>
      <c r="N76" t="s">
        <v>198</v>
      </c>
      <c r="O76">
        <v>2</v>
      </c>
      <c r="P76">
        <v>1.4576271186440599</v>
      </c>
      <c r="Q76" t="s">
        <v>168</v>
      </c>
      <c r="R76">
        <v>2</v>
      </c>
      <c r="S76">
        <v>1.44776119402985</v>
      </c>
      <c r="T76" t="s">
        <v>222</v>
      </c>
      <c r="U76">
        <v>2</v>
      </c>
      <c r="V76">
        <v>0.923684210526315</v>
      </c>
      <c r="W76" t="s">
        <v>158</v>
      </c>
      <c r="X76">
        <v>2</v>
      </c>
      <c r="Y76">
        <v>1.0610328638497599</v>
      </c>
      <c r="Z76" t="s">
        <v>217</v>
      </c>
      <c r="AA76">
        <v>3</v>
      </c>
      <c r="AB76">
        <v>0.76474475466710701</v>
      </c>
      <c r="AC76" t="s">
        <v>212</v>
      </c>
      <c r="AD76">
        <v>1</v>
      </c>
      <c r="AE76">
        <v>0.97683397683397599</v>
      </c>
      <c r="AF76" t="s">
        <v>228</v>
      </c>
      <c r="AG76">
        <v>3</v>
      </c>
      <c r="AH76">
        <v>1.04411764705882</v>
      </c>
      <c r="AI76" t="s">
        <v>158</v>
      </c>
      <c r="AJ76">
        <v>2</v>
      </c>
      <c r="AK76">
        <v>0.97607655502392299</v>
      </c>
      <c r="AL76" t="s">
        <v>228</v>
      </c>
      <c r="AM76">
        <v>3</v>
      </c>
      <c r="AN76">
        <v>1.1818181818181801</v>
      </c>
      <c r="AO76" t="s">
        <v>172</v>
      </c>
      <c r="AP76">
        <v>2</v>
      </c>
      <c r="AQ76">
        <v>1.09671848013816</v>
      </c>
      <c r="AR76" t="s">
        <v>164</v>
      </c>
      <c r="AS76">
        <v>2</v>
      </c>
      <c r="AT76">
        <v>0.95605022831050201</v>
      </c>
      <c r="AU76" t="s">
        <v>237</v>
      </c>
      <c r="AV76">
        <v>3</v>
      </c>
      <c r="AW76">
        <v>2.04663212435233</v>
      </c>
      <c r="AX76" t="s">
        <v>228</v>
      </c>
      <c r="AY76">
        <v>3</v>
      </c>
      <c r="AZ76">
        <v>0.79447322970639001</v>
      </c>
      <c r="BA76" t="s">
        <v>228</v>
      </c>
      <c r="BB76">
        <v>3</v>
      </c>
      <c r="BC76">
        <v>1.0782608695652101</v>
      </c>
      <c r="BD76" t="s">
        <v>225</v>
      </c>
      <c r="BE76">
        <v>2</v>
      </c>
      <c r="BF76">
        <v>1.4088235294117599</v>
      </c>
      <c r="BG76" t="s">
        <v>228</v>
      </c>
      <c r="BH76">
        <v>3</v>
      </c>
      <c r="BI76">
        <v>0.94346978557504801</v>
      </c>
      <c r="BJ76" t="s">
        <v>172</v>
      </c>
      <c r="BK76">
        <v>2</v>
      </c>
      <c r="BL76">
        <v>1.0457063711911301</v>
      </c>
      <c r="BM76" t="s">
        <v>214</v>
      </c>
      <c r="BN76">
        <v>3</v>
      </c>
      <c r="BO76">
        <v>0.91358024691357997</v>
      </c>
      <c r="BP76" t="s">
        <v>222</v>
      </c>
      <c r="BQ76">
        <v>3</v>
      </c>
      <c r="BR76">
        <v>0.95669291338582596</v>
      </c>
      <c r="BS76" t="s">
        <v>228</v>
      </c>
      <c r="BT76">
        <v>3</v>
      </c>
      <c r="BU76">
        <v>1.04712041884816</v>
      </c>
      <c r="BV76" t="s">
        <v>209</v>
      </c>
      <c r="BW76">
        <v>3</v>
      </c>
      <c r="BX76">
        <v>1.07389162561576</v>
      </c>
      <c r="BY76" t="s">
        <v>222</v>
      </c>
      <c r="BZ76">
        <v>3</v>
      </c>
      <c r="CA76">
        <v>1.03741496598639</v>
      </c>
      <c r="CB76" t="s">
        <v>228</v>
      </c>
      <c r="CC76">
        <v>3</v>
      </c>
      <c r="CD76">
        <v>1.0027700831024899</v>
      </c>
      <c r="CE76" t="s">
        <v>210</v>
      </c>
      <c r="CF76">
        <v>3</v>
      </c>
      <c r="CG76">
        <v>0.89855072463768104</v>
      </c>
      <c r="CH76" t="s">
        <v>225</v>
      </c>
      <c r="CI76">
        <v>2</v>
      </c>
      <c r="CJ76">
        <v>0.94688221709006903</v>
      </c>
      <c r="CK76" t="s">
        <v>185</v>
      </c>
      <c r="CL76">
        <v>3</v>
      </c>
      <c r="CM76">
        <v>0.80781758957654703</v>
      </c>
      <c r="CN76" t="s">
        <v>231</v>
      </c>
      <c r="CO76">
        <v>3</v>
      </c>
      <c r="CP76">
        <v>0.93385826771653502</v>
      </c>
      <c r="CQ76" t="s">
        <v>178</v>
      </c>
      <c r="CR76">
        <v>1</v>
      </c>
      <c r="CS76">
        <v>1.17455621301775</v>
      </c>
      <c r="CT76" t="s">
        <v>238</v>
      </c>
      <c r="CU76">
        <v>2</v>
      </c>
      <c r="CV76">
        <v>1.1037234042553099</v>
      </c>
      <c r="CW76" t="s">
        <v>247</v>
      </c>
      <c r="CX76">
        <v>2</v>
      </c>
      <c r="CY76">
        <v>1.07371794871794</v>
      </c>
      <c r="CZ76" t="s">
        <v>241</v>
      </c>
      <c r="DA76">
        <v>3</v>
      </c>
      <c r="DB76">
        <v>1.13804713804713</v>
      </c>
      <c r="DC76" t="s">
        <v>185</v>
      </c>
      <c r="DD76">
        <v>3</v>
      </c>
      <c r="DE76">
        <v>1.1801801801801799</v>
      </c>
      <c r="DF76" t="s">
        <v>189</v>
      </c>
      <c r="DG76">
        <v>3</v>
      </c>
      <c r="DH76">
        <v>1.06488156539649</v>
      </c>
    </row>
    <row r="77" spans="1:112" x14ac:dyDescent="0.4">
      <c r="A77">
        <v>75</v>
      </c>
      <c r="B77" t="s">
        <v>206</v>
      </c>
      <c r="C77">
        <v>3</v>
      </c>
      <c r="D77">
        <v>3.0229746070133001</v>
      </c>
      <c r="E77" t="s">
        <v>168</v>
      </c>
      <c r="F77">
        <v>1</v>
      </c>
      <c r="G77">
        <v>0.79934210526315697</v>
      </c>
      <c r="H77" t="s">
        <v>158</v>
      </c>
      <c r="I77">
        <v>2</v>
      </c>
      <c r="J77">
        <v>0.74425287356321801</v>
      </c>
      <c r="K77" t="s">
        <v>212</v>
      </c>
      <c r="L77">
        <v>1</v>
      </c>
      <c r="M77">
        <v>0.75728155339805803</v>
      </c>
      <c r="N77" t="s">
        <v>206</v>
      </c>
      <c r="O77">
        <v>3</v>
      </c>
      <c r="P77">
        <v>1.58630136986301</v>
      </c>
      <c r="Q77" t="s">
        <v>170</v>
      </c>
      <c r="R77">
        <v>2</v>
      </c>
      <c r="S77">
        <v>1.44974226804123</v>
      </c>
      <c r="T77" t="s">
        <v>225</v>
      </c>
      <c r="U77">
        <v>2</v>
      </c>
      <c r="V77">
        <v>0.83333333333333304</v>
      </c>
      <c r="W77" t="s">
        <v>162</v>
      </c>
      <c r="X77">
        <v>1</v>
      </c>
      <c r="Y77">
        <v>1.0416666666666601</v>
      </c>
      <c r="Z77" t="s">
        <v>214</v>
      </c>
      <c r="AA77">
        <v>3</v>
      </c>
      <c r="AB77">
        <v>1.26495726495726</v>
      </c>
      <c r="AC77" t="s">
        <v>225</v>
      </c>
      <c r="AD77">
        <v>2</v>
      </c>
      <c r="AE77">
        <v>1.07627118644067</v>
      </c>
      <c r="AF77" t="s">
        <v>168</v>
      </c>
      <c r="AG77">
        <v>1</v>
      </c>
      <c r="AH77">
        <v>1.0358422939068099</v>
      </c>
      <c r="AI77" t="s">
        <v>217</v>
      </c>
      <c r="AJ77">
        <v>3</v>
      </c>
      <c r="AK77">
        <v>0.90729001584785995</v>
      </c>
      <c r="AL77" t="s">
        <v>167</v>
      </c>
      <c r="AM77">
        <v>2</v>
      </c>
      <c r="AN77">
        <v>1.1545454545454501</v>
      </c>
      <c r="AO77" t="s">
        <v>234</v>
      </c>
      <c r="AP77">
        <v>3</v>
      </c>
      <c r="AQ77">
        <v>1.4756097560975601</v>
      </c>
      <c r="AR77" t="s">
        <v>228</v>
      </c>
      <c r="AS77">
        <v>3</v>
      </c>
      <c r="AT77">
        <v>0.99736842105263102</v>
      </c>
      <c r="AU77" t="s">
        <v>234</v>
      </c>
      <c r="AV77">
        <v>3</v>
      </c>
      <c r="AW77">
        <v>0.89501312335958005</v>
      </c>
      <c r="AX77" t="s">
        <v>172</v>
      </c>
      <c r="AY77">
        <v>2</v>
      </c>
      <c r="AZ77">
        <v>1.0772292993630499</v>
      </c>
      <c r="BA77" t="s">
        <v>167</v>
      </c>
      <c r="BB77">
        <v>2</v>
      </c>
      <c r="BC77">
        <v>1.0750988142292399</v>
      </c>
      <c r="BD77" t="s">
        <v>228</v>
      </c>
      <c r="BE77">
        <v>3</v>
      </c>
      <c r="BF77">
        <v>1.0342741935483799</v>
      </c>
      <c r="BG77" t="s">
        <v>237</v>
      </c>
      <c r="BH77">
        <v>3</v>
      </c>
      <c r="BI77">
        <v>0.96088264794383105</v>
      </c>
      <c r="BJ77" t="s">
        <v>237</v>
      </c>
      <c r="BK77">
        <v>3</v>
      </c>
      <c r="BL77">
        <v>1.2630480167014599</v>
      </c>
      <c r="BM77" t="s">
        <v>222</v>
      </c>
      <c r="BN77">
        <v>3</v>
      </c>
      <c r="BO77">
        <v>0.96212121212121204</v>
      </c>
      <c r="BP77" t="s">
        <v>209</v>
      </c>
      <c r="BQ77">
        <v>3</v>
      </c>
      <c r="BR77">
        <v>1.16833667334669</v>
      </c>
      <c r="BS77" t="s">
        <v>172</v>
      </c>
      <c r="BT77">
        <v>2</v>
      </c>
      <c r="BU77">
        <v>0.98958333333333304</v>
      </c>
      <c r="BV77" t="s">
        <v>228</v>
      </c>
      <c r="BW77">
        <v>3</v>
      </c>
      <c r="BX77">
        <v>1.0325</v>
      </c>
      <c r="BY77" t="s">
        <v>209</v>
      </c>
      <c r="BZ77">
        <v>3</v>
      </c>
      <c r="CA77">
        <v>0.97247706422018299</v>
      </c>
      <c r="CB77" t="s">
        <v>237</v>
      </c>
      <c r="CC77">
        <v>3</v>
      </c>
      <c r="CD77">
        <v>1.2175925925925899</v>
      </c>
      <c r="CE77" t="s">
        <v>158</v>
      </c>
      <c r="CF77">
        <v>2</v>
      </c>
      <c r="CG77">
        <v>0.90476190476190399</v>
      </c>
      <c r="CH77" t="s">
        <v>228</v>
      </c>
      <c r="CI77">
        <v>3</v>
      </c>
      <c r="CJ77">
        <v>1.21957671957671</v>
      </c>
      <c r="CK77" t="s">
        <v>238</v>
      </c>
      <c r="CL77">
        <v>2</v>
      </c>
      <c r="CM77">
        <v>0.91638795986622001</v>
      </c>
      <c r="CN77" t="s">
        <v>178</v>
      </c>
      <c r="CO77">
        <v>1</v>
      </c>
      <c r="CP77">
        <v>0.88947368421052597</v>
      </c>
      <c r="CQ77" t="s">
        <v>185</v>
      </c>
      <c r="CR77">
        <v>3</v>
      </c>
      <c r="CS77">
        <v>0.93902439024390205</v>
      </c>
      <c r="CT77" t="s">
        <v>241</v>
      </c>
      <c r="CU77">
        <v>3</v>
      </c>
      <c r="CV77">
        <v>1.2243346007604501</v>
      </c>
      <c r="CW77" t="s">
        <v>251</v>
      </c>
      <c r="CX77">
        <v>1</v>
      </c>
      <c r="CY77">
        <v>1.11233480176211</v>
      </c>
      <c r="CZ77" t="s">
        <v>189</v>
      </c>
      <c r="DA77">
        <v>3</v>
      </c>
      <c r="DB77">
        <v>1.04972375690607</v>
      </c>
      <c r="DC77" t="s">
        <v>238</v>
      </c>
      <c r="DD77">
        <v>2</v>
      </c>
      <c r="DE77">
        <v>0.98400984009840098</v>
      </c>
      <c r="DF77" t="s">
        <v>196</v>
      </c>
      <c r="DG77">
        <v>3</v>
      </c>
      <c r="DH77">
        <v>1.5797872340425501</v>
      </c>
    </row>
    <row r="78" spans="1:112" x14ac:dyDescent="0.4">
      <c r="A78">
        <v>76</v>
      </c>
      <c r="B78" t="s">
        <v>210</v>
      </c>
      <c r="C78">
        <v>2</v>
      </c>
      <c r="D78">
        <v>0.84671532846715303</v>
      </c>
      <c r="E78" t="s">
        <v>170</v>
      </c>
      <c r="F78">
        <v>1</v>
      </c>
      <c r="G78">
        <v>0.816039395005276</v>
      </c>
      <c r="H78" t="s">
        <v>236</v>
      </c>
      <c r="I78">
        <v>2</v>
      </c>
      <c r="J78">
        <v>0.78247201349486195</v>
      </c>
      <c r="K78" t="s">
        <v>222</v>
      </c>
      <c r="L78">
        <v>2</v>
      </c>
      <c r="M78">
        <v>1.1578947368421</v>
      </c>
      <c r="N78" t="s">
        <v>165</v>
      </c>
      <c r="O78">
        <v>2</v>
      </c>
      <c r="P78">
        <v>2.1428571428571401</v>
      </c>
      <c r="Q78" t="s">
        <v>172</v>
      </c>
      <c r="R78">
        <v>1</v>
      </c>
      <c r="S78">
        <v>0.94645080946450799</v>
      </c>
      <c r="T78" t="s">
        <v>209</v>
      </c>
      <c r="U78">
        <v>3</v>
      </c>
      <c r="V78">
        <v>0.89479768786127101</v>
      </c>
      <c r="W78" t="s">
        <v>214</v>
      </c>
      <c r="X78">
        <v>3</v>
      </c>
      <c r="Y78">
        <v>1.21875</v>
      </c>
      <c r="Z78" t="s">
        <v>222</v>
      </c>
      <c r="AA78">
        <v>2</v>
      </c>
      <c r="AB78">
        <v>0.58827838827838796</v>
      </c>
      <c r="AC78" t="s">
        <v>164</v>
      </c>
      <c r="AD78">
        <v>1</v>
      </c>
      <c r="AE78">
        <v>0.98247011952191199</v>
      </c>
      <c r="AF78" t="s">
        <v>170</v>
      </c>
      <c r="AG78">
        <v>1</v>
      </c>
      <c r="AH78">
        <v>1.0745098039215599</v>
      </c>
      <c r="AI78" t="s">
        <v>214</v>
      </c>
      <c r="AJ78">
        <v>3</v>
      </c>
      <c r="AK78">
        <v>0.82938388625592396</v>
      </c>
      <c r="AL78" t="s">
        <v>168</v>
      </c>
      <c r="AM78">
        <v>1</v>
      </c>
      <c r="AN78">
        <v>1.0163934426229499</v>
      </c>
      <c r="AO78" t="s">
        <v>231</v>
      </c>
      <c r="AP78">
        <v>3</v>
      </c>
      <c r="AQ78">
        <v>0.93905472636815901</v>
      </c>
      <c r="AR78" t="s">
        <v>233</v>
      </c>
      <c r="AS78">
        <v>3</v>
      </c>
      <c r="AT78">
        <v>0.89133425034387803</v>
      </c>
      <c r="AU78" t="s">
        <v>178</v>
      </c>
      <c r="AV78">
        <v>1</v>
      </c>
      <c r="AW78">
        <v>1.1167785234899299</v>
      </c>
      <c r="AX78" t="s">
        <v>234</v>
      </c>
      <c r="AY78">
        <v>3</v>
      </c>
      <c r="AZ78">
        <v>0.76832844574780002</v>
      </c>
      <c r="BA78" t="s">
        <v>172</v>
      </c>
      <c r="BB78">
        <v>2</v>
      </c>
      <c r="BC78">
        <v>1.0332594235033199</v>
      </c>
      <c r="BD78" t="s">
        <v>167</v>
      </c>
      <c r="BE78">
        <v>2</v>
      </c>
      <c r="BF78">
        <v>1.13970588235294</v>
      </c>
      <c r="BG78" t="s">
        <v>234</v>
      </c>
      <c r="BH78">
        <v>2</v>
      </c>
      <c r="BI78">
        <v>0.92805755395683398</v>
      </c>
      <c r="BJ78" t="s">
        <v>234</v>
      </c>
      <c r="BK78">
        <v>2</v>
      </c>
      <c r="BL78">
        <v>0.85529715762273895</v>
      </c>
      <c r="BM78" t="s">
        <v>209</v>
      </c>
      <c r="BN78">
        <v>3</v>
      </c>
      <c r="BO78">
        <v>0.75835866261398099</v>
      </c>
      <c r="BP78" t="s">
        <v>164</v>
      </c>
      <c r="BQ78">
        <v>1</v>
      </c>
      <c r="BR78">
        <v>1.16005291005291</v>
      </c>
      <c r="BS78" t="s">
        <v>237</v>
      </c>
      <c r="BT78">
        <v>3</v>
      </c>
      <c r="BU78">
        <v>0.94581280788177302</v>
      </c>
      <c r="BV78" t="s">
        <v>172</v>
      </c>
      <c r="BW78">
        <v>2</v>
      </c>
      <c r="BX78">
        <v>1.04605263157894</v>
      </c>
      <c r="BY78" t="s">
        <v>228</v>
      </c>
      <c r="BZ78">
        <v>3</v>
      </c>
      <c r="CA78">
        <v>0.87409200968523004</v>
      </c>
      <c r="CB78" t="s">
        <v>178</v>
      </c>
      <c r="CC78">
        <v>1</v>
      </c>
      <c r="CD78">
        <v>0.90568862275449102</v>
      </c>
      <c r="CE78" t="s">
        <v>217</v>
      </c>
      <c r="CF78">
        <v>3</v>
      </c>
      <c r="CG78">
        <v>1.2715132218979299</v>
      </c>
      <c r="CH78" t="s">
        <v>174</v>
      </c>
      <c r="CI78">
        <v>1</v>
      </c>
      <c r="CJ78">
        <v>0.98442367601246095</v>
      </c>
      <c r="CK78" t="s">
        <v>241</v>
      </c>
      <c r="CL78">
        <v>3</v>
      </c>
      <c r="CM78">
        <v>1.1791044776119399</v>
      </c>
      <c r="CN78" t="s">
        <v>185</v>
      </c>
      <c r="CO78">
        <v>3</v>
      </c>
      <c r="CP78">
        <v>0.99193548387096697</v>
      </c>
      <c r="CQ78" t="s">
        <v>238</v>
      </c>
      <c r="CR78">
        <v>2</v>
      </c>
      <c r="CS78">
        <v>0.97916666666666596</v>
      </c>
      <c r="CT78" t="s">
        <v>189</v>
      </c>
      <c r="CU78">
        <v>2</v>
      </c>
      <c r="CV78">
        <v>1.09595959595959</v>
      </c>
      <c r="CW78" t="s">
        <v>256</v>
      </c>
      <c r="CX78">
        <v>3</v>
      </c>
      <c r="CY78">
        <v>1.13636363636363</v>
      </c>
      <c r="CZ78" t="s">
        <v>247</v>
      </c>
      <c r="DA78">
        <v>2</v>
      </c>
      <c r="DB78">
        <v>1.11343283582089</v>
      </c>
      <c r="DC78" t="s">
        <v>241</v>
      </c>
      <c r="DD78">
        <v>3</v>
      </c>
      <c r="DE78">
        <v>1.0414201183431899</v>
      </c>
      <c r="DF78" t="s">
        <v>256</v>
      </c>
      <c r="DG78">
        <v>3</v>
      </c>
      <c r="DH78">
        <v>1.08839779005524</v>
      </c>
    </row>
    <row r="79" spans="1:112" x14ac:dyDescent="0.4">
      <c r="A79">
        <v>77</v>
      </c>
      <c r="B79" t="s">
        <v>214</v>
      </c>
      <c r="C79">
        <v>3</v>
      </c>
      <c r="D79">
        <v>1.61666666666666</v>
      </c>
      <c r="E79" t="s">
        <v>172</v>
      </c>
      <c r="F79">
        <v>2</v>
      </c>
      <c r="G79">
        <v>0.9375</v>
      </c>
      <c r="H79" t="s">
        <v>214</v>
      </c>
      <c r="I79">
        <v>3</v>
      </c>
      <c r="J79">
        <v>0.487021857923497</v>
      </c>
      <c r="K79" t="s">
        <v>225</v>
      </c>
      <c r="L79">
        <v>3</v>
      </c>
      <c r="M79">
        <v>0.82498090145148895</v>
      </c>
      <c r="N79" t="s">
        <v>158</v>
      </c>
      <c r="O79">
        <v>2</v>
      </c>
      <c r="P79">
        <v>1.16589861751152</v>
      </c>
      <c r="Q79" t="s">
        <v>174</v>
      </c>
      <c r="R79">
        <v>1</v>
      </c>
      <c r="S79">
        <v>1.52958152958152</v>
      </c>
      <c r="T79" t="s">
        <v>164</v>
      </c>
      <c r="U79">
        <v>1</v>
      </c>
      <c r="V79">
        <v>1.20366795366795</v>
      </c>
      <c r="W79" t="s">
        <v>222</v>
      </c>
      <c r="X79">
        <v>2</v>
      </c>
      <c r="Y79">
        <v>0.77777777777777701</v>
      </c>
      <c r="Z79" t="s">
        <v>225</v>
      </c>
      <c r="AA79">
        <v>2</v>
      </c>
      <c r="AB79">
        <v>0.99159663865546199</v>
      </c>
      <c r="AC79" t="s">
        <v>228</v>
      </c>
      <c r="AD79">
        <v>3</v>
      </c>
      <c r="AE79">
        <v>1.0828025477707</v>
      </c>
      <c r="AF79" t="s">
        <v>172</v>
      </c>
      <c r="AG79">
        <v>2</v>
      </c>
      <c r="AH79">
        <v>1.11006711409395</v>
      </c>
      <c r="AI79" t="s">
        <v>212</v>
      </c>
      <c r="AJ79">
        <v>1</v>
      </c>
      <c r="AK79">
        <v>0.81517857142857097</v>
      </c>
      <c r="AL79" t="s">
        <v>172</v>
      </c>
      <c r="AM79">
        <v>2</v>
      </c>
      <c r="AN79">
        <v>1.2600652883568999</v>
      </c>
      <c r="AO79" t="s">
        <v>178</v>
      </c>
      <c r="AP79">
        <v>1</v>
      </c>
      <c r="AQ79">
        <v>0.92457142857142804</v>
      </c>
      <c r="AR79" t="s">
        <v>172</v>
      </c>
      <c r="AS79">
        <v>2</v>
      </c>
      <c r="AT79">
        <v>1.08740157480314</v>
      </c>
      <c r="AU79" t="s">
        <v>180</v>
      </c>
      <c r="AV79">
        <v>3</v>
      </c>
      <c r="AW79">
        <v>1.01326899879372</v>
      </c>
      <c r="AX79" t="s">
        <v>231</v>
      </c>
      <c r="AY79">
        <v>3</v>
      </c>
      <c r="AZ79">
        <v>0.86502177068214803</v>
      </c>
      <c r="BA79" t="s">
        <v>237</v>
      </c>
      <c r="BB79">
        <v>3</v>
      </c>
      <c r="BC79">
        <v>1.14406779661016</v>
      </c>
      <c r="BD79" t="s">
        <v>172</v>
      </c>
      <c r="BE79">
        <v>2</v>
      </c>
      <c r="BF79">
        <v>1.0157367668097199</v>
      </c>
      <c r="BG79" t="s">
        <v>178</v>
      </c>
      <c r="BH79">
        <v>1</v>
      </c>
      <c r="BI79">
        <v>1.0927357032457401</v>
      </c>
      <c r="BJ79" t="s">
        <v>178</v>
      </c>
      <c r="BK79">
        <v>1</v>
      </c>
      <c r="BL79">
        <v>0.91089108910891003</v>
      </c>
      <c r="BM79" t="s">
        <v>228</v>
      </c>
      <c r="BN79">
        <v>3</v>
      </c>
      <c r="BO79">
        <v>0.812252964426877</v>
      </c>
      <c r="BP79" t="s">
        <v>228</v>
      </c>
      <c r="BQ79">
        <v>3</v>
      </c>
      <c r="BR79">
        <v>0.92944038929440298</v>
      </c>
      <c r="BS79" t="s">
        <v>234</v>
      </c>
      <c r="BT79">
        <v>3</v>
      </c>
      <c r="BU79">
        <v>0.98743718592964802</v>
      </c>
      <c r="BV79" t="s">
        <v>237</v>
      </c>
      <c r="BW79">
        <v>3</v>
      </c>
      <c r="BX79">
        <v>1.2864583333333299</v>
      </c>
      <c r="BY79" t="s">
        <v>172</v>
      </c>
      <c r="BZ79">
        <v>2</v>
      </c>
      <c r="CA79">
        <v>1.2968553459119401</v>
      </c>
      <c r="CB79" t="s">
        <v>185</v>
      </c>
      <c r="CC79">
        <v>3</v>
      </c>
      <c r="CD79">
        <v>0.903474903474903</v>
      </c>
      <c r="CE79" t="s">
        <v>214</v>
      </c>
      <c r="CF79">
        <v>3</v>
      </c>
      <c r="CG79">
        <v>1.1793650793650701</v>
      </c>
      <c r="CH79" t="s">
        <v>231</v>
      </c>
      <c r="CI79">
        <v>3</v>
      </c>
      <c r="CJ79">
        <v>1.0026041666666601</v>
      </c>
      <c r="CK79" t="s">
        <v>189</v>
      </c>
      <c r="CL79">
        <v>2</v>
      </c>
      <c r="CM79">
        <v>0.904709748083242</v>
      </c>
      <c r="CN79" t="s">
        <v>238</v>
      </c>
      <c r="CO79">
        <v>2</v>
      </c>
      <c r="CP79">
        <v>0.934306569343065</v>
      </c>
      <c r="CQ79" t="s">
        <v>241</v>
      </c>
      <c r="CR79">
        <v>3</v>
      </c>
      <c r="CS79">
        <v>0.87375415282391999</v>
      </c>
      <c r="CT79" t="s">
        <v>247</v>
      </c>
      <c r="CU79">
        <v>2</v>
      </c>
      <c r="CV79">
        <v>0.88636363636363602</v>
      </c>
      <c r="CW79" t="s">
        <v>195</v>
      </c>
      <c r="CX79">
        <v>2</v>
      </c>
      <c r="CY79">
        <v>0.97128378378378299</v>
      </c>
      <c r="CZ79" t="s">
        <v>251</v>
      </c>
      <c r="DA79">
        <v>1</v>
      </c>
      <c r="DB79">
        <v>0.97326732673267302</v>
      </c>
      <c r="DC79" t="s">
        <v>189</v>
      </c>
      <c r="DD79">
        <v>3</v>
      </c>
      <c r="DE79">
        <v>1.02210526315789</v>
      </c>
      <c r="DF79" t="s">
        <v>262</v>
      </c>
      <c r="DG79">
        <v>3</v>
      </c>
      <c r="DH79">
        <v>0.94982078853046503</v>
      </c>
    </row>
    <row r="80" spans="1:112" x14ac:dyDescent="0.4">
      <c r="A80">
        <v>78</v>
      </c>
      <c r="B80" t="s">
        <v>212</v>
      </c>
      <c r="C80">
        <v>1</v>
      </c>
      <c r="D80">
        <v>1.15849056603773</v>
      </c>
      <c r="E80" t="s">
        <v>174</v>
      </c>
      <c r="F80">
        <v>1</v>
      </c>
      <c r="G80">
        <v>0.85357142857142798</v>
      </c>
      <c r="H80" t="s">
        <v>222</v>
      </c>
      <c r="I80">
        <v>2</v>
      </c>
      <c r="J80">
        <v>0.52911392405063296</v>
      </c>
      <c r="K80" t="s">
        <v>164</v>
      </c>
      <c r="L80">
        <v>1</v>
      </c>
      <c r="M80">
        <v>0.81224489795918298</v>
      </c>
      <c r="N80" t="s">
        <v>236</v>
      </c>
      <c r="O80">
        <v>2</v>
      </c>
      <c r="P80">
        <v>1.2720357941834399</v>
      </c>
      <c r="Q80" t="s">
        <v>231</v>
      </c>
      <c r="R80">
        <v>3</v>
      </c>
      <c r="S80">
        <v>0.99272197962154296</v>
      </c>
      <c r="T80" t="s">
        <v>228</v>
      </c>
      <c r="U80">
        <v>2</v>
      </c>
      <c r="V80">
        <v>0.82417582417582402</v>
      </c>
      <c r="W80" t="s">
        <v>225</v>
      </c>
      <c r="X80">
        <v>2</v>
      </c>
      <c r="Y80">
        <v>0.97902097902097895</v>
      </c>
      <c r="Z80" t="s">
        <v>209</v>
      </c>
      <c r="AA80">
        <v>3</v>
      </c>
      <c r="AB80">
        <v>0.53157894736842104</v>
      </c>
      <c r="AC80" t="s">
        <v>167</v>
      </c>
      <c r="AD80">
        <v>2</v>
      </c>
      <c r="AE80">
        <v>1.1005208333333301</v>
      </c>
      <c r="AF80" t="s">
        <v>231</v>
      </c>
      <c r="AG80">
        <v>3</v>
      </c>
      <c r="AH80">
        <v>1.2002567394094901</v>
      </c>
      <c r="AI80" t="s">
        <v>225</v>
      </c>
      <c r="AJ80">
        <v>2</v>
      </c>
      <c r="AK80">
        <v>1.2161016949152501</v>
      </c>
      <c r="AL80" t="s">
        <v>231</v>
      </c>
      <c r="AM80">
        <v>3</v>
      </c>
      <c r="AN80">
        <v>0.94588235294117595</v>
      </c>
      <c r="AO80" t="s">
        <v>180</v>
      </c>
      <c r="AP80">
        <v>3</v>
      </c>
      <c r="AQ80">
        <v>1.0506329113924</v>
      </c>
      <c r="AR80" t="s">
        <v>234</v>
      </c>
      <c r="AS80">
        <v>3</v>
      </c>
      <c r="AT80">
        <v>1.0495867768595</v>
      </c>
      <c r="AU80" t="s">
        <v>183</v>
      </c>
      <c r="AV80">
        <v>3</v>
      </c>
      <c r="AW80">
        <v>1.0150250417362201</v>
      </c>
      <c r="AX80" t="s">
        <v>178</v>
      </c>
      <c r="AY80">
        <v>1</v>
      </c>
      <c r="AZ80">
        <v>0.87019230769230704</v>
      </c>
      <c r="BA80" t="s">
        <v>234</v>
      </c>
      <c r="BB80">
        <v>2</v>
      </c>
      <c r="BC80">
        <v>0.91221374045801495</v>
      </c>
      <c r="BD80" t="s">
        <v>237</v>
      </c>
      <c r="BE80">
        <v>3</v>
      </c>
      <c r="BF80">
        <v>0.92314814814814805</v>
      </c>
      <c r="BG80" t="s">
        <v>246</v>
      </c>
      <c r="BH80">
        <v>3</v>
      </c>
      <c r="BI80">
        <v>0.89509803921568598</v>
      </c>
      <c r="BJ80" t="s">
        <v>246</v>
      </c>
      <c r="BK80">
        <v>3</v>
      </c>
      <c r="BL80">
        <v>0.756845564074479</v>
      </c>
      <c r="BM80" t="s">
        <v>172</v>
      </c>
      <c r="BN80">
        <v>2</v>
      </c>
      <c r="BO80">
        <v>0.92185430463576101</v>
      </c>
      <c r="BP80" t="s">
        <v>172</v>
      </c>
      <c r="BQ80">
        <v>2</v>
      </c>
      <c r="BR80">
        <v>1.1034482758620601</v>
      </c>
      <c r="BS80" t="s">
        <v>178</v>
      </c>
      <c r="BT80">
        <v>1</v>
      </c>
      <c r="BU80">
        <v>0.86717557251908395</v>
      </c>
      <c r="BV80" t="s">
        <v>234</v>
      </c>
      <c r="BW80">
        <v>3</v>
      </c>
      <c r="BX80">
        <v>0.853689567430025</v>
      </c>
      <c r="BY80" t="s">
        <v>237</v>
      </c>
      <c r="BZ80">
        <v>3</v>
      </c>
      <c r="CA80">
        <v>0.874493927125506</v>
      </c>
      <c r="CB80" t="s">
        <v>238</v>
      </c>
      <c r="CC80">
        <v>2</v>
      </c>
      <c r="CD80">
        <v>0.98637911464245098</v>
      </c>
      <c r="CE80" t="s">
        <v>223</v>
      </c>
      <c r="CF80">
        <v>3</v>
      </c>
      <c r="CG80">
        <v>1.4571746384872</v>
      </c>
      <c r="CH80" t="s">
        <v>178</v>
      </c>
      <c r="CI80">
        <v>1</v>
      </c>
      <c r="CJ80">
        <v>0.91214953271027999</v>
      </c>
      <c r="CK80" t="s">
        <v>243</v>
      </c>
      <c r="CL80">
        <v>1</v>
      </c>
      <c r="CM80">
        <v>1.0350194552529099</v>
      </c>
      <c r="CN80" t="s">
        <v>241</v>
      </c>
      <c r="CO80">
        <v>3</v>
      </c>
      <c r="CP80">
        <v>0.95253164556962</v>
      </c>
      <c r="CQ80" t="s">
        <v>189</v>
      </c>
      <c r="CR80">
        <v>2</v>
      </c>
      <c r="CS80">
        <v>0.98385093167701798</v>
      </c>
      <c r="CT80" t="s">
        <v>249</v>
      </c>
      <c r="CU80">
        <v>2</v>
      </c>
      <c r="CV80">
        <v>1.13664596273291</v>
      </c>
      <c r="CW80" t="s">
        <v>262</v>
      </c>
      <c r="CX80">
        <v>3</v>
      </c>
      <c r="CY80">
        <v>0.94623655913978499</v>
      </c>
      <c r="CZ80" t="s">
        <v>256</v>
      </c>
      <c r="DA80">
        <v>3</v>
      </c>
      <c r="DB80">
        <v>0.95030303030302998</v>
      </c>
      <c r="DC80" t="s">
        <v>247</v>
      </c>
      <c r="DD80">
        <v>2</v>
      </c>
      <c r="DE80">
        <v>1.3297587131367199</v>
      </c>
      <c r="DF80" t="s">
        <v>267</v>
      </c>
      <c r="DG80">
        <v>3</v>
      </c>
      <c r="DH80">
        <v>1.04330708661417</v>
      </c>
    </row>
    <row r="81" spans="1:112" x14ac:dyDescent="0.4">
      <c r="A81">
        <v>79</v>
      </c>
      <c r="B81" t="s">
        <v>222</v>
      </c>
      <c r="C81">
        <v>2</v>
      </c>
      <c r="D81">
        <v>0.86956521739130399</v>
      </c>
      <c r="E81" t="s">
        <v>231</v>
      </c>
      <c r="F81">
        <v>2</v>
      </c>
      <c r="G81">
        <v>0.82912032355915</v>
      </c>
      <c r="H81" t="s">
        <v>225</v>
      </c>
      <c r="I81">
        <v>3</v>
      </c>
      <c r="J81">
        <v>0.83829650976625003</v>
      </c>
      <c r="K81" t="s">
        <v>221</v>
      </c>
      <c r="L81">
        <v>2</v>
      </c>
      <c r="M81">
        <v>0.90249999999999997</v>
      </c>
      <c r="N81" t="s">
        <v>162</v>
      </c>
      <c r="O81">
        <v>1</v>
      </c>
      <c r="P81">
        <v>2.0891089108910799</v>
      </c>
      <c r="Q81" t="s">
        <v>176</v>
      </c>
      <c r="R81">
        <v>2</v>
      </c>
      <c r="S81">
        <v>1.21228070175438</v>
      </c>
      <c r="T81" t="s">
        <v>230</v>
      </c>
      <c r="U81">
        <v>3</v>
      </c>
      <c r="V81">
        <v>0.96965865992414602</v>
      </c>
      <c r="W81" t="s">
        <v>209</v>
      </c>
      <c r="X81">
        <v>3</v>
      </c>
      <c r="Y81">
        <v>0.98191214470284205</v>
      </c>
      <c r="Z81" t="s">
        <v>164</v>
      </c>
      <c r="AA81">
        <v>1</v>
      </c>
      <c r="AB81">
        <v>1.0253267973856199</v>
      </c>
      <c r="AC81" t="s">
        <v>168</v>
      </c>
      <c r="AD81">
        <v>1</v>
      </c>
      <c r="AE81">
        <v>0.98586572438162501</v>
      </c>
      <c r="AF81" t="s">
        <v>246</v>
      </c>
      <c r="AG81">
        <v>2</v>
      </c>
      <c r="AH81">
        <v>0.95769230769230695</v>
      </c>
      <c r="AI81" t="s">
        <v>164</v>
      </c>
      <c r="AJ81">
        <v>1</v>
      </c>
      <c r="AK81">
        <v>1.0043352601155999</v>
      </c>
      <c r="AL81" t="s">
        <v>176</v>
      </c>
      <c r="AM81">
        <v>2</v>
      </c>
      <c r="AN81">
        <v>1.2568807339449499</v>
      </c>
      <c r="AO81" t="s">
        <v>244</v>
      </c>
      <c r="AP81">
        <v>3</v>
      </c>
      <c r="AQ81">
        <v>0.955719557195572</v>
      </c>
      <c r="AR81" t="s">
        <v>231</v>
      </c>
      <c r="AS81">
        <v>3</v>
      </c>
      <c r="AT81">
        <v>0.80927152317880702</v>
      </c>
      <c r="AU81" t="s">
        <v>185</v>
      </c>
      <c r="AV81">
        <v>2</v>
      </c>
      <c r="AW81">
        <v>1.1955307262569801</v>
      </c>
      <c r="AX81" t="s">
        <v>244</v>
      </c>
      <c r="AY81">
        <v>3</v>
      </c>
      <c r="AZ81">
        <v>0.97805642633228795</v>
      </c>
      <c r="BA81" t="s">
        <v>178</v>
      </c>
      <c r="BB81">
        <v>1</v>
      </c>
      <c r="BC81">
        <v>1.0193370165745801</v>
      </c>
      <c r="BD81" t="s">
        <v>234</v>
      </c>
      <c r="BE81">
        <v>2</v>
      </c>
      <c r="BF81">
        <v>0.69790794979079496</v>
      </c>
      <c r="BG81" t="s">
        <v>185</v>
      </c>
      <c r="BH81">
        <v>3</v>
      </c>
      <c r="BI81">
        <v>1.00823529411764</v>
      </c>
      <c r="BJ81" t="s">
        <v>185</v>
      </c>
      <c r="BK81">
        <v>3</v>
      </c>
      <c r="BL81">
        <v>1.08634772462077</v>
      </c>
      <c r="BM81" t="s">
        <v>237</v>
      </c>
      <c r="BN81">
        <v>3</v>
      </c>
      <c r="BO81">
        <v>0.834710743801652</v>
      </c>
      <c r="BP81" t="s">
        <v>237</v>
      </c>
      <c r="BQ81">
        <v>3</v>
      </c>
      <c r="BR81">
        <v>1.0049504950495001</v>
      </c>
      <c r="BS81" t="s">
        <v>185</v>
      </c>
      <c r="BT81">
        <v>3</v>
      </c>
      <c r="BU81">
        <v>1.0807974816369299</v>
      </c>
      <c r="BV81" t="s">
        <v>178</v>
      </c>
      <c r="BW81">
        <v>1</v>
      </c>
      <c r="BX81">
        <v>1.0176056338028101</v>
      </c>
      <c r="BY81" t="s">
        <v>178</v>
      </c>
      <c r="BZ81">
        <v>1</v>
      </c>
      <c r="CA81">
        <v>1.15570934256055</v>
      </c>
      <c r="CB81" t="s">
        <v>241</v>
      </c>
      <c r="CC81">
        <v>3</v>
      </c>
      <c r="CD81">
        <v>1.0170940170940099</v>
      </c>
      <c r="CE81" t="s">
        <v>225</v>
      </c>
      <c r="CF81">
        <v>2</v>
      </c>
      <c r="CG81">
        <v>1.0509708737864001</v>
      </c>
      <c r="CH81" t="s">
        <v>185</v>
      </c>
      <c r="CI81">
        <v>3</v>
      </c>
      <c r="CJ81">
        <v>1.2329317269076301</v>
      </c>
      <c r="CK81" t="s">
        <v>247</v>
      </c>
      <c r="CL81">
        <v>2</v>
      </c>
      <c r="CM81">
        <v>0.80989583333333304</v>
      </c>
      <c r="CN81" t="s">
        <v>189</v>
      </c>
      <c r="CO81">
        <v>2</v>
      </c>
      <c r="CP81">
        <v>0.97457627118643997</v>
      </c>
      <c r="CQ81" t="s">
        <v>247</v>
      </c>
      <c r="CR81">
        <v>2</v>
      </c>
      <c r="CS81">
        <v>0.99154929577464701</v>
      </c>
      <c r="CT81" t="s">
        <v>251</v>
      </c>
      <c r="CU81">
        <v>1</v>
      </c>
      <c r="CV81">
        <v>0.92842535787321001</v>
      </c>
      <c r="CW81" t="s">
        <v>264</v>
      </c>
      <c r="CX81">
        <v>1</v>
      </c>
      <c r="CY81">
        <v>1.00252206809583</v>
      </c>
      <c r="CZ81" t="s">
        <v>262</v>
      </c>
      <c r="DA81">
        <v>3</v>
      </c>
      <c r="DB81">
        <v>1.02272727272727</v>
      </c>
      <c r="DC81" t="s">
        <v>251</v>
      </c>
      <c r="DD81">
        <v>1</v>
      </c>
      <c r="DE81">
        <v>1.1800610376398699</v>
      </c>
      <c r="DF81" t="s">
        <v>272</v>
      </c>
      <c r="DG81">
        <v>2</v>
      </c>
      <c r="DH81">
        <v>1.04414587332053</v>
      </c>
    </row>
    <row r="82" spans="1:112" x14ac:dyDescent="0.4">
      <c r="A82">
        <v>80</v>
      </c>
      <c r="B82" t="s">
        <v>225</v>
      </c>
      <c r="C82">
        <v>3</v>
      </c>
      <c r="D82">
        <v>1.3666323377960801</v>
      </c>
      <c r="E82" t="s">
        <v>176</v>
      </c>
      <c r="F82">
        <v>2</v>
      </c>
      <c r="G82">
        <v>0.84210526315789402</v>
      </c>
      <c r="H82" t="s">
        <v>228</v>
      </c>
      <c r="I82">
        <v>3</v>
      </c>
      <c r="J82">
        <v>0.588607594936708</v>
      </c>
      <c r="K82" t="s">
        <v>168</v>
      </c>
      <c r="L82">
        <v>1</v>
      </c>
      <c r="M82">
        <v>0.84028776978417197</v>
      </c>
      <c r="N82" t="s">
        <v>212</v>
      </c>
      <c r="O82">
        <v>1</v>
      </c>
      <c r="P82">
        <v>1.67948717948717</v>
      </c>
      <c r="Q82" t="s">
        <v>252</v>
      </c>
      <c r="R82">
        <v>3</v>
      </c>
      <c r="S82">
        <v>0.88698630136986301</v>
      </c>
      <c r="T82" t="s">
        <v>168</v>
      </c>
      <c r="U82">
        <v>2</v>
      </c>
      <c r="V82">
        <v>1.1340206185567001</v>
      </c>
      <c r="W82" t="s">
        <v>164</v>
      </c>
      <c r="X82">
        <v>1</v>
      </c>
      <c r="Y82">
        <v>0.98155573376102601</v>
      </c>
      <c r="Z82" t="s">
        <v>228</v>
      </c>
      <c r="AA82">
        <v>2</v>
      </c>
      <c r="AB82">
        <v>0.99682539682539595</v>
      </c>
      <c r="AC82" t="s">
        <v>170</v>
      </c>
      <c r="AD82">
        <v>1</v>
      </c>
      <c r="AE82">
        <v>1.17511520737327</v>
      </c>
      <c r="AF82" t="s">
        <v>183</v>
      </c>
      <c r="AG82">
        <v>2</v>
      </c>
      <c r="AH82">
        <v>0.83105022831050201</v>
      </c>
      <c r="AI82" t="s">
        <v>228</v>
      </c>
      <c r="AJ82">
        <v>3</v>
      </c>
      <c r="AK82">
        <v>0.99154929577464701</v>
      </c>
      <c r="AL82" t="s">
        <v>246</v>
      </c>
      <c r="AM82">
        <v>2</v>
      </c>
      <c r="AN82">
        <v>0.87637969094922696</v>
      </c>
      <c r="AO82" t="s">
        <v>183</v>
      </c>
      <c r="AP82">
        <v>3</v>
      </c>
      <c r="AQ82">
        <v>1.19137931034482</v>
      </c>
      <c r="AR82" t="s">
        <v>178</v>
      </c>
      <c r="AS82">
        <v>1</v>
      </c>
      <c r="AT82">
        <v>0.92088998763906005</v>
      </c>
      <c r="AU82" t="s">
        <v>238</v>
      </c>
      <c r="AV82">
        <v>3</v>
      </c>
      <c r="AW82">
        <v>0.74529485570890797</v>
      </c>
      <c r="AX82" t="s">
        <v>183</v>
      </c>
      <c r="AY82">
        <v>3</v>
      </c>
      <c r="AZ82">
        <v>0.65707236842105199</v>
      </c>
      <c r="BA82" t="s">
        <v>185</v>
      </c>
      <c r="BB82">
        <v>3</v>
      </c>
      <c r="BC82">
        <v>1.0638036809815901</v>
      </c>
      <c r="BD82" t="s">
        <v>178</v>
      </c>
      <c r="BE82">
        <v>1</v>
      </c>
      <c r="BF82">
        <v>0.87669376693766898</v>
      </c>
      <c r="BG82" t="s">
        <v>189</v>
      </c>
      <c r="BH82">
        <v>3</v>
      </c>
      <c r="BI82">
        <v>0.99576271186440601</v>
      </c>
      <c r="BJ82" t="s">
        <v>189</v>
      </c>
      <c r="BK82">
        <v>3</v>
      </c>
      <c r="BL82">
        <v>1.0872340425531899</v>
      </c>
      <c r="BM82" t="s">
        <v>178</v>
      </c>
      <c r="BN82">
        <v>1</v>
      </c>
      <c r="BO82">
        <v>1.0015527950310501</v>
      </c>
      <c r="BP82" t="s">
        <v>234</v>
      </c>
      <c r="BQ82">
        <v>3</v>
      </c>
      <c r="BR82">
        <v>0.810590631364562</v>
      </c>
      <c r="BS82" t="s">
        <v>238</v>
      </c>
      <c r="BT82">
        <v>2</v>
      </c>
      <c r="BU82">
        <v>0.96177558569666999</v>
      </c>
      <c r="BV82" t="s">
        <v>185</v>
      </c>
      <c r="BW82">
        <v>3</v>
      </c>
      <c r="BX82">
        <v>1.1213592233009699</v>
      </c>
      <c r="BY82" t="s">
        <v>185</v>
      </c>
      <c r="BZ82">
        <v>3</v>
      </c>
      <c r="CA82">
        <v>1.12121212121212</v>
      </c>
      <c r="CB82" t="s">
        <v>189</v>
      </c>
      <c r="CC82">
        <v>3</v>
      </c>
      <c r="CD82">
        <v>0.91754756871035903</v>
      </c>
      <c r="CE82" t="s">
        <v>209</v>
      </c>
      <c r="CF82">
        <v>3</v>
      </c>
      <c r="CG82">
        <v>1.59574468085106</v>
      </c>
      <c r="CH82" t="s">
        <v>238</v>
      </c>
      <c r="CI82">
        <v>2</v>
      </c>
      <c r="CJ82">
        <v>1.0135593220338901</v>
      </c>
      <c r="CK82" t="s">
        <v>249</v>
      </c>
      <c r="CL82">
        <v>2</v>
      </c>
      <c r="CM82">
        <v>0.92811839323467205</v>
      </c>
      <c r="CN82" t="s">
        <v>247</v>
      </c>
      <c r="CO82">
        <v>2</v>
      </c>
      <c r="CP82">
        <v>1.1414790996784501</v>
      </c>
      <c r="CQ82" t="s">
        <v>249</v>
      </c>
      <c r="CR82">
        <v>2</v>
      </c>
      <c r="CS82">
        <v>0.94152046783625698</v>
      </c>
      <c r="CT82" t="s">
        <v>256</v>
      </c>
      <c r="CU82">
        <v>3</v>
      </c>
      <c r="CV82">
        <v>0.86738351254480195</v>
      </c>
      <c r="CW82" t="s">
        <v>272</v>
      </c>
      <c r="CX82">
        <v>2</v>
      </c>
      <c r="CY82">
        <v>0.92407407407407405</v>
      </c>
      <c r="CZ82" t="s">
        <v>197</v>
      </c>
      <c r="DA82">
        <v>1</v>
      </c>
      <c r="DB82">
        <v>0.79913419913419903</v>
      </c>
      <c r="DC82" t="s">
        <v>256</v>
      </c>
      <c r="DD82">
        <v>3</v>
      </c>
      <c r="DE82">
        <v>0.92346938775510201</v>
      </c>
      <c r="DF82" t="s">
        <v>204</v>
      </c>
      <c r="DG82">
        <v>2</v>
      </c>
      <c r="DH82">
        <v>1.03313840155945</v>
      </c>
    </row>
    <row r="83" spans="1:112" x14ac:dyDescent="0.4">
      <c r="A83">
        <v>81</v>
      </c>
      <c r="B83" t="s">
        <v>228</v>
      </c>
      <c r="C83">
        <v>3</v>
      </c>
      <c r="D83">
        <v>1.4568690095846599</v>
      </c>
      <c r="E83" t="s">
        <v>185</v>
      </c>
      <c r="F83">
        <v>2</v>
      </c>
      <c r="G83">
        <v>0.92592592592592504</v>
      </c>
      <c r="H83" t="s">
        <v>230</v>
      </c>
      <c r="I83">
        <v>2</v>
      </c>
      <c r="J83">
        <v>0.67415730337078605</v>
      </c>
      <c r="K83" t="s">
        <v>170</v>
      </c>
      <c r="L83">
        <v>1</v>
      </c>
      <c r="M83">
        <v>0.90039979141317505</v>
      </c>
      <c r="N83" t="s">
        <v>222</v>
      </c>
      <c r="O83">
        <v>2</v>
      </c>
      <c r="P83">
        <v>1.1900826446280901</v>
      </c>
      <c r="Q83" t="s">
        <v>178</v>
      </c>
      <c r="R83">
        <v>1</v>
      </c>
      <c r="S83">
        <v>1.0988095238095199</v>
      </c>
      <c r="T83" t="s">
        <v>170</v>
      </c>
      <c r="U83">
        <v>2</v>
      </c>
      <c r="V83">
        <v>1.13333333333333</v>
      </c>
      <c r="W83" t="s">
        <v>228</v>
      </c>
      <c r="X83">
        <v>2</v>
      </c>
      <c r="Y83">
        <v>1.05</v>
      </c>
      <c r="Z83" t="s">
        <v>170</v>
      </c>
      <c r="AA83">
        <v>2</v>
      </c>
      <c r="AB83">
        <v>0.93133047210300401</v>
      </c>
      <c r="AC83" t="s">
        <v>172</v>
      </c>
      <c r="AD83">
        <v>2</v>
      </c>
      <c r="AE83">
        <v>0.94663278271918605</v>
      </c>
      <c r="AF83" t="s">
        <v>185</v>
      </c>
      <c r="AG83">
        <v>2</v>
      </c>
      <c r="AH83">
        <v>0.96296296296296202</v>
      </c>
      <c r="AI83" t="s">
        <v>167</v>
      </c>
      <c r="AJ83">
        <v>2</v>
      </c>
      <c r="AK83">
        <v>1.01354464203446</v>
      </c>
      <c r="AL83" t="s">
        <v>244</v>
      </c>
      <c r="AM83">
        <v>3</v>
      </c>
      <c r="AN83">
        <v>0.99632352941176405</v>
      </c>
      <c r="AO83" t="s">
        <v>185</v>
      </c>
      <c r="AP83">
        <v>2</v>
      </c>
      <c r="AQ83">
        <v>0.79661016949152497</v>
      </c>
      <c r="AR83" t="s">
        <v>244</v>
      </c>
      <c r="AS83">
        <v>3</v>
      </c>
      <c r="AT83">
        <v>0.84942084942084894</v>
      </c>
      <c r="AU83" t="s">
        <v>259</v>
      </c>
      <c r="AV83">
        <v>2</v>
      </c>
      <c r="AW83">
        <v>1.24709348622392</v>
      </c>
      <c r="AX83" t="s">
        <v>185</v>
      </c>
      <c r="AY83">
        <v>2</v>
      </c>
      <c r="AZ83">
        <v>0.76168224299065401</v>
      </c>
      <c r="BA83" t="s">
        <v>238</v>
      </c>
      <c r="BB83">
        <v>3</v>
      </c>
      <c r="BC83">
        <v>1.10163934426229</v>
      </c>
      <c r="BD83" t="s">
        <v>244</v>
      </c>
      <c r="BE83">
        <v>3</v>
      </c>
      <c r="BF83">
        <v>1.7653061224489699</v>
      </c>
      <c r="BG83" t="s">
        <v>251</v>
      </c>
      <c r="BH83">
        <v>1</v>
      </c>
      <c r="BI83">
        <v>1.1971830985915399</v>
      </c>
      <c r="BJ83" t="s">
        <v>251</v>
      </c>
      <c r="BK83">
        <v>1</v>
      </c>
      <c r="BL83">
        <v>0.98039215686274495</v>
      </c>
      <c r="BM83" t="s">
        <v>185</v>
      </c>
      <c r="BN83">
        <v>3</v>
      </c>
      <c r="BO83">
        <v>0.95059076262083697</v>
      </c>
      <c r="BP83" t="s">
        <v>178</v>
      </c>
      <c r="BQ83">
        <v>1</v>
      </c>
      <c r="BR83">
        <v>1.0155038759689901</v>
      </c>
      <c r="BS83" t="s">
        <v>189</v>
      </c>
      <c r="BT83">
        <v>3</v>
      </c>
      <c r="BU83">
        <v>1.09122807017543</v>
      </c>
      <c r="BV83" t="s">
        <v>238</v>
      </c>
      <c r="BW83">
        <v>2</v>
      </c>
      <c r="BX83">
        <v>1.08205128205128</v>
      </c>
      <c r="BY83" t="s">
        <v>238</v>
      </c>
      <c r="BZ83">
        <v>2</v>
      </c>
      <c r="CA83">
        <v>1.0438388625592401</v>
      </c>
      <c r="CB83" t="s">
        <v>247</v>
      </c>
      <c r="CC83">
        <v>2</v>
      </c>
      <c r="CD83">
        <v>0.88</v>
      </c>
      <c r="CE83" t="s">
        <v>228</v>
      </c>
      <c r="CF83">
        <v>3</v>
      </c>
      <c r="CG83">
        <v>1.04419889502762</v>
      </c>
      <c r="CH83" t="s">
        <v>255</v>
      </c>
      <c r="CI83">
        <v>3</v>
      </c>
      <c r="CJ83">
        <v>2.75714285714285</v>
      </c>
      <c r="CK83" t="s">
        <v>256</v>
      </c>
      <c r="CL83">
        <v>3</v>
      </c>
      <c r="CM83">
        <v>0.93303571428571397</v>
      </c>
      <c r="CN83" t="s">
        <v>251</v>
      </c>
      <c r="CO83">
        <v>1</v>
      </c>
      <c r="CP83">
        <v>1.0556127703398499</v>
      </c>
      <c r="CQ83" t="s">
        <v>251</v>
      </c>
      <c r="CR83">
        <v>1</v>
      </c>
      <c r="CS83">
        <v>0.95414634146341404</v>
      </c>
      <c r="CT83" t="s">
        <v>195</v>
      </c>
      <c r="CU83">
        <v>2</v>
      </c>
      <c r="CV83">
        <v>1.17928286852589</v>
      </c>
      <c r="CW83" t="s">
        <v>204</v>
      </c>
      <c r="CX83">
        <v>2</v>
      </c>
      <c r="CY83">
        <v>0.986206896551724</v>
      </c>
      <c r="CZ83" t="s">
        <v>266</v>
      </c>
      <c r="DA83">
        <v>2</v>
      </c>
      <c r="DB83">
        <v>1.14578005115089</v>
      </c>
      <c r="DC83" t="s">
        <v>195</v>
      </c>
      <c r="DD83">
        <v>2</v>
      </c>
      <c r="DE83">
        <v>1.26004228329809</v>
      </c>
      <c r="DF83" t="s">
        <v>277</v>
      </c>
      <c r="DG83">
        <v>3</v>
      </c>
      <c r="DH83">
        <v>1.0141509433962199</v>
      </c>
    </row>
    <row r="84" spans="1:112" x14ac:dyDescent="0.4">
      <c r="A84">
        <v>82</v>
      </c>
      <c r="B84" t="s">
        <v>221</v>
      </c>
      <c r="C84">
        <v>2</v>
      </c>
      <c r="D84">
        <v>1.0735294117647001</v>
      </c>
      <c r="E84" t="s">
        <v>259</v>
      </c>
      <c r="F84">
        <v>3</v>
      </c>
      <c r="G84">
        <v>0.66328235445315498</v>
      </c>
      <c r="H84" t="s">
        <v>221</v>
      </c>
      <c r="I84">
        <v>2</v>
      </c>
      <c r="J84">
        <v>1.09739368998628</v>
      </c>
      <c r="K84" t="s">
        <v>172</v>
      </c>
      <c r="L84">
        <v>2</v>
      </c>
      <c r="M84">
        <v>1.01204819277108</v>
      </c>
      <c r="N84" t="s">
        <v>225</v>
      </c>
      <c r="O84">
        <v>3</v>
      </c>
      <c r="P84">
        <v>1.3593851282526099</v>
      </c>
      <c r="Q84" t="s">
        <v>183</v>
      </c>
      <c r="R84">
        <v>2</v>
      </c>
      <c r="S84">
        <v>0.95524338758662097</v>
      </c>
      <c r="T84" t="s">
        <v>172</v>
      </c>
      <c r="U84">
        <v>1</v>
      </c>
      <c r="V84">
        <v>1.0855263157894699</v>
      </c>
      <c r="W84" t="s">
        <v>230</v>
      </c>
      <c r="X84">
        <v>3</v>
      </c>
      <c r="Y84">
        <v>1.0404172099087301</v>
      </c>
      <c r="Z84" t="s">
        <v>172</v>
      </c>
      <c r="AA84">
        <v>1</v>
      </c>
      <c r="AB84">
        <v>0.97040690505548699</v>
      </c>
      <c r="AC84" t="s">
        <v>231</v>
      </c>
      <c r="AD84">
        <v>3</v>
      </c>
      <c r="AE84">
        <v>0.94424242424242399</v>
      </c>
      <c r="AF84" t="s">
        <v>238</v>
      </c>
      <c r="AG84">
        <v>3</v>
      </c>
      <c r="AH84">
        <v>1.1448692152917499</v>
      </c>
      <c r="AI84" t="s">
        <v>168</v>
      </c>
      <c r="AJ84">
        <v>1</v>
      </c>
      <c r="AK84">
        <v>1.0553633217992999</v>
      </c>
      <c r="AL84" t="s">
        <v>183</v>
      </c>
      <c r="AM84">
        <v>2</v>
      </c>
      <c r="AN84">
        <v>0.77127659574467999</v>
      </c>
      <c r="AO84" t="s">
        <v>238</v>
      </c>
      <c r="AP84">
        <v>3</v>
      </c>
      <c r="AQ84">
        <v>0.96467391304347805</v>
      </c>
      <c r="AR84" t="s">
        <v>183</v>
      </c>
      <c r="AS84">
        <v>3</v>
      </c>
      <c r="AT84">
        <v>0.86685962373371905</v>
      </c>
      <c r="AU84" t="s">
        <v>189</v>
      </c>
      <c r="AV84">
        <v>2</v>
      </c>
      <c r="AW84">
        <v>1.07692307692307</v>
      </c>
      <c r="AX84" t="s">
        <v>238</v>
      </c>
      <c r="AY84">
        <v>3</v>
      </c>
      <c r="AZ84">
        <v>1.0269360269360199</v>
      </c>
      <c r="BA84" t="s">
        <v>189</v>
      </c>
      <c r="BB84">
        <v>3</v>
      </c>
      <c r="BC84">
        <v>1.0619047619047599</v>
      </c>
      <c r="BD84" t="s">
        <v>185</v>
      </c>
      <c r="BE84">
        <v>3</v>
      </c>
      <c r="BF84">
        <v>0.98039215686274495</v>
      </c>
      <c r="BG84" t="s">
        <v>254</v>
      </c>
      <c r="BH84">
        <v>2</v>
      </c>
      <c r="BI84">
        <v>0.96</v>
      </c>
      <c r="BJ84" t="s">
        <v>254</v>
      </c>
      <c r="BK84">
        <v>2</v>
      </c>
      <c r="BL84">
        <v>1.0361111111111101</v>
      </c>
      <c r="BM84" t="s">
        <v>238</v>
      </c>
      <c r="BN84">
        <v>2</v>
      </c>
      <c r="BO84">
        <v>0.97356321839080395</v>
      </c>
      <c r="BP84" t="s">
        <v>185</v>
      </c>
      <c r="BQ84">
        <v>3</v>
      </c>
      <c r="BR84">
        <v>1.07683615819209</v>
      </c>
      <c r="BS84" t="s">
        <v>247</v>
      </c>
      <c r="BT84">
        <v>2</v>
      </c>
      <c r="BU84">
        <v>0.98224852071005897</v>
      </c>
      <c r="BV84" t="s">
        <v>189</v>
      </c>
      <c r="BW84">
        <v>3</v>
      </c>
      <c r="BX84">
        <v>1.0771704180064301</v>
      </c>
      <c r="BY84" t="s">
        <v>189</v>
      </c>
      <c r="BZ84">
        <v>3</v>
      </c>
      <c r="CA84">
        <v>1.4119402985074601</v>
      </c>
      <c r="CB84" t="s">
        <v>251</v>
      </c>
      <c r="CC84">
        <v>2</v>
      </c>
      <c r="CD84">
        <v>1.0042194092826999</v>
      </c>
      <c r="CE84" t="s">
        <v>174</v>
      </c>
      <c r="CF84">
        <v>1</v>
      </c>
      <c r="CG84">
        <v>0.89664804469273696</v>
      </c>
      <c r="CH84" t="s">
        <v>241</v>
      </c>
      <c r="CI84">
        <v>3</v>
      </c>
      <c r="CJ84">
        <v>1.0894308943089399</v>
      </c>
      <c r="CK84" t="s">
        <v>194</v>
      </c>
      <c r="CL84">
        <v>2</v>
      </c>
      <c r="CM84">
        <v>0.63248730964467004</v>
      </c>
      <c r="CN84" t="s">
        <v>256</v>
      </c>
      <c r="CO84">
        <v>3</v>
      </c>
      <c r="CP84">
        <v>0.98564593301435399</v>
      </c>
      <c r="CQ84" t="s">
        <v>254</v>
      </c>
      <c r="CR84">
        <v>3</v>
      </c>
      <c r="CS84">
        <v>1.3221153846153799</v>
      </c>
      <c r="CT84" t="s">
        <v>262</v>
      </c>
      <c r="CU84">
        <v>3</v>
      </c>
      <c r="CV84">
        <v>0.95221843003412898</v>
      </c>
      <c r="CW84" t="s">
        <v>277</v>
      </c>
      <c r="CX84">
        <v>3</v>
      </c>
      <c r="CY84">
        <v>1.1756756756756701</v>
      </c>
      <c r="CZ84" t="s">
        <v>272</v>
      </c>
      <c r="DA84">
        <v>2</v>
      </c>
      <c r="DB84">
        <v>1</v>
      </c>
      <c r="DC84" t="s">
        <v>262</v>
      </c>
      <c r="DD84">
        <v>3</v>
      </c>
      <c r="DE84">
        <v>1.0333333333333301</v>
      </c>
      <c r="DF84" t="s">
        <v>285</v>
      </c>
      <c r="DG84">
        <v>3</v>
      </c>
      <c r="DH84">
        <v>0.98377581120943902</v>
      </c>
    </row>
    <row r="85" spans="1:112" x14ac:dyDescent="0.4">
      <c r="A85">
        <v>83</v>
      </c>
      <c r="B85" t="s">
        <v>168</v>
      </c>
      <c r="C85">
        <v>1</v>
      </c>
      <c r="D85">
        <v>1.16923076923076</v>
      </c>
      <c r="E85" t="s">
        <v>241</v>
      </c>
      <c r="F85">
        <v>3</v>
      </c>
      <c r="G85">
        <v>0.90217391304347805</v>
      </c>
      <c r="H85" t="s">
        <v>168</v>
      </c>
      <c r="I85">
        <v>1</v>
      </c>
      <c r="J85">
        <v>0.57201646090534897</v>
      </c>
      <c r="K85" t="s">
        <v>174</v>
      </c>
      <c r="L85">
        <v>1</v>
      </c>
      <c r="M85">
        <v>1.17349397590361</v>
      </c>
      <c r="N85" t="s">
        <v>164</v>
      </c>
      <c r="O85">
        <v>1</v>
      </c>
      <c r="P85">
        <v>1.00804020100502</v>
      </c>
      <c r="Q85" t="s">
        <v>185</v>
      </c>
      <c r="R85">
        <v>2</v>
      </c>
      <c r="S85">
        <v>0.952380952380952</v>
      </c>
      <c r="T85" t="s">
        <v>231</v>
      </c>
      <c r="U85">
        <v>3</v>
      </c>
      <c r="V85">
        <v>0.89149560117301996</v>
      </c>
      <c r="W85" t="s">
        <v>172</v>
      </c>
      <c r="X85">
        <v>1</v>
      </c>
      <c r="Y85">
        <v>0.98303030303030303</v>
      </c>
      <c r="Z85" t="s">
        <v>231</v>
      </c>
      <c r="AA85">
        <v>3</v>
      </c>
      <c r="AB85">
        <v>1.2711864406779601</v>
      </c>
      <c r="AC85" t="s">
        <v>176</v>
      </c>
      <c r="AD85">
        <v>2</v>
      </c>
      <c r="AE85">
        <v>1.2328767123287601</v>
      </c>
      <c r="AF85" t="s">
        <v>189</v>
      </c>
      <c r="AG85">
        <v>3</v>
      </c>
      <c r="AH85">
        <v>1.4489112227805601</v>
      </c>
      <c r="AI85" t="s">
        <v>172</v>
      </c>
      <c r="AJ85">
        <v>2</v>
      </c>
      <c r="AK85">
        <v>1.1112454655380799</v>
      </c>
      <c r="AL85" t="s">
        <v>185</v>
      </c>
      <c r="AM85">
        <v>2</v>
      </c>
      <c r="AN85">
        <v>1.1512195121951201</v>
      </c>
      <c r="AO85" t="s">
        <v>259</v>
      </c>
      <c r="AP85">
        <v>2</v>
      </c>
      <c r="AQ85">
        <v>1.1309427880741301</v>
      </c>
      <c r="AR85" t="s">
        <v>185</v>
      </c>
      <c r="AS85">
        <v>2</v>
      </c>
      <c r="AT85">
        <v>0.95212765957446799</v>
      </c>
      <c r="AU85" t="s">
        <v>251</v>
      </c>
      <c r="AV85">
        <v>1</v>
      </c>
      <c r="AW85">
        <v>1.4120603015075299</v>
      </c>
      <c r="AX85" t="s">
        <v>189</v>
      </c>
      <c r="AY85">
        <v>2</v>
      </c>
      <c r="AZ85">
        <v>0.76923076923076905</v>
      </c>
      <c r="BA85" t="s">
        <v>251</v>
      </c>
      <c r="BB85">
        <v>1</v>
      </c>
      <c r="BC85">
        <v>1.0471698113207499</v>
      </c>
      <c r="BD85" t="s">
        <v>189</v>
      </c>
      <c r="BE85">
        <v>3</v>
      </c>
      <c r="BF85">
        <v>1.05829596412556</v>
      </c>
      <c r="BG85" t="s">
        <v>261</v>
      </c>
      <c r="BH85">
        <v>2</v>
      </c>
      <c r="BI85">
        <v>1.2870813397129099</v>
      </c>
      <c r="BJ85" t="s">
        <v>196</v>
      </c>
      <c r="BK85">
        <v>3</v>
      </c>
      <c r="BL85">
        <v>1.0188758850937301</v>
      </c>
      <c r="BM85" t="s">
        <v>189</v>
      </c>
      <c r="BN85">
        <v>3</v>
      </c>
      <c r="BO85">
        <v>1.05675146771037</v>
      </c>
      <c r="BP85" t="s">
        <v>238</v>
      </c>
      <c r="BQ85">
        <v>2</v>
      </c>
      <c r="BR85">
        <v>0.95749704840613903</v>
      </c>
      <c r="BS85" t="s">
        <v>249</v>
      </c>
      <c r="BT85">
        <v>3</v>
      </c>
      <c r="BU85">
        <v>1.17631578947368</v>
      </c>
      <c r="BV85" t="s">
        <v>247</v>
      </c>
      <c r="BW85">
        <v>2</v>
      </c>
      <c r="BX85">
        <v>1.17469879518072</v>
      </c>
      <c r="BY85" t="s">
        <v>251</v>
      </c>
      <c r="BZ85">
        <v>2</v>
      </c>
      <c r="CA85">
        <v>1.3747099767981401</v>
      </c>
      <c r="CB85" t="s">
        <v>254</v>
      </c>
      <c r="CC85">
        <v>3</v>
      </c>
      <c r="CD85">
        <v>0.81274900398406302</v>
      </c>
      <c r="CE85" t="s">
        <v>231</v>
      </c>
      <c r="CF85">
        <v>3</v>
      </c>
      <c r="CG85">
        <v>0.85238623751387299</v>
      </c>
      <c r="CH85" t="s">
        <v>189</v>
      </c>
      <c r="CI85">
        <v>3</v>
      </c>
      <c r="CJ85">
        <v>1.1000000000000001</v>
      </c>
      <c r="CK85" t="s">
        <v>195</v>
      </c>
      <c r="CL85">
        <v>2</v>
      </c>
      <c r="CM85">
        <v>0.90018484288354805</v>
      </c>
      <c r="CN85" t="s">
        <v>194</v>
      </c>
      <c r="CO85">
        <v>2</v>
      </c>
      <c r="CP85">
        <v>1.1781701444622701</v>
      </c>
      <c r="CQ85" t="s">
        <v>256</v>
      </c>
      <c r="CR85">
        <v>3</v>
      </c>
      <c r="CS85">
        <v>0.81262135922330003</v>
      </c>
      <c r="CT85" t="s">
        <v>265</v>
      </c>
      <c r="CU85">
        <v>3</v>
      </c>
      <c r="CV85">
        <v>1.4235500878734599</v>
      </c>
      <c r="CW85" t="s">
        <v>208</v>
      </c>
      <c r="CX85">
        <v>2</v>
      </c>
      <c r="CY85">
        <v>1.0768156424580999</v>
      </c>
      <c r="CZ85" t="s">
        <v>276</v>
      </c>
      <c r="DA85">
        <v>3</v>
      </c>
      <c r="DB85">
        <v>0.71799628942486005</v>
      </c>
      <c r="DC85" t="s">
        <v>197</v>
      </c>
      <c r="DD85">
        <v>1</v>
      </c>
      <c r="DE85">
        <v>1.397616468039</v>
      </c>
      <c r="DF85" t="s">
        <v>288</v>
      </c>
      <c r="DG85">
        <v>3</v>
      </c>
      <c r="DH85">
        <v>1.0192719486081301</v>
      </c>
    </row>
    <row r="86" spans="1:112" x14ac:dyDescent="0.4">
      <c r="A86">
        <v>84</v>
      </c>
      <c r="B86" t="s">
        <v>170</v>
      </c>
      <c r="C86">
        <v>1</v>
      </c>
      <c r="D86">
        <v>1.18646189800517</v>
      </c>
      <c r="E86" t="s">
        <v>189</v>
      </c>
      <c r="F86">
        <v>2</v>
      </c>
      <c r="G86">
        <v>0.63220005619555997</v>
      </c>
      <c r="H86" t="s">
        <v>170</v>
      </c>
      <c r="I86">
        <v>1</v>
      </c>
      <c r="J86">
        <v>0.49594827586206802</v>
      </c>
      <c r="K86" t="s">
        <v>176</v>
      </c>
      <c r="L86">
        <v>2</v>
      </c>
      <c r="M86">
        <v>1.0677361853832401</v>
      </c>
      <c r="N86" t="s">
        <v>228</v>
      </c>
      <c r="O86">
        <v>3</v>
      </c>
      <c r="P86">
        <v>1.27272727272727</v>
      </c>
      <c r="Q86" t="s">
        <v>189</v>
      </c>
      <c r="R86">
        <v>3</v>
      </c>
      <c r="S86">
        <v>1.0105263157894699</v>
      </c>
      <c r="T86" t="s">
        <v>176</v>
      </c>
      <c r="U86">
        <v>2</v>
      </c>
      <c r="V86">
        <v>1.1808972503617901</v>
      </c>
      <c r="W86" t="s">
        <v>176</v>
      </c>
      <c r="X86">
        <v>2</v>
      </c>
      <c r="Y86">
        <v>0.91911764705882304</v>
      </c>
      <c r="Z86" t="s">
        <v>176</v>
      </c>
      <c r="AA86">
        <v>2</v>
      </c>
      <c r="AB86">
        <v>1.2653333333333301</v>
      </c>
      <c r="AC86" t="s">
        <v>246</v>
      </c>
      <c r="AD86">
        <v>2</v>
      </c>
      <c r="AE86">
        <v>1.1016949152542299</v>
      </c>
      <c r="AF86" t="s">
        <v>247</v>
      </c>
      <c r="AG86">
        <v>2</v>
      </c>
      <c r="AH86">
        <v>1.4439461883408</v>
      </c>
      <c r="AI86" t="s">
        <v>231</v>
      </c>
      <c r="AJ86">
        <v>3</v>
      </c>
      <c r="AK86">
        <v>0.90909090909090895</v>
      </c>
      <c r="AL86" t="s">
        <v>238</v>
      </c>
      <c r="AM86">
        <v>3</v>
      </c>
      <c r="AN86">
        <v>1.26460481099656</v>
      </c>
      <c r="AO86" t="s">
        <v>189</v>
      </c>
      <c r="AP86">
        <v>2</v>
      </c>
      <c r="AQ86">
        <v>0.984076433121019</v>
      </c>
      <c r="AR86" t="s">
        <v>238</v>
      </c>
      <c r="AS86">
        <v>3</v>
      </c>
      <c r="AT86">
        <v>1.1225352112675999</v>
      </c>
      <c r="AU86" t="s">
        <v>254</v>
      </c>
      <c r="AV86">
        <v>2</v>
      </c>
      <c r="AW86">
        <v>1.01821493624772</v>
      </c>
      <c r="AX86" t="s">
        <v>251</v>
      </c>
      <c r="AY86">
        <v>1</v>
      </c>
      <c r="AZ86">
        <v>0.75444839857651202</v>
      </c>
      <c r="BA86" t="s">
        <v>254</v>
      </c>
      <c r="BB86">
        <v>2</v>
      </c>
      <c r="BC86">
        <v>0.96746203904555295</v>
      </c>
      <c r="BD86" t="s">
        <v>251</v>
      </c>
      <c r="BE86">
        <v>1</v>
      </c>
      <c r="BF86">
        <v>0.95945945945945899</v>
      </c>
      <c r="BG86" t="s">
        <v>195</v>
      </c>
      <c r="BH86">
        <v>1</v>
      </c>
      <c r="BI86">
        <v>1.02622572348569</v>
      </c>
      <c r="BJ86" t="s">
        <v>256</v>
      </c>
      <c r="BK86">
        <v>3</v>
      </c>
      <c r="BL86">
        <v>1.0274509803921501</v>
      </c>
      <c r="BM86" t="s">
        <v>251</v>
      </c>
      <c r="BN86">
        <v>1</v>
      </c>
      <c r="BO86">
        <v>0.872</v>
      </c>
      <c r="BP86" t="s">
        <v>189</v>
      </c>
      <c r="BQ86">
        <v>3</v>
      </c>
      <c r="BR86">
        <v>1.05555555555555</v>
      </c>
      <c r="BS86" t="s">
        <v>251</v>
      </c>
      <c r="BT86">
        <v>1</v>
      </c>
      <c r="BU86">
        <v>0.86981132075471701</v>
      </c>
      <c r="BV86" t="s">
        <v>251</v>
      </c>
      <c r="BW86">
        <v>1</v>
      </c>
      <c r="BX86">
        <v>0.934924078091106</v>
      </c>
      <c r="BY86" t="s">
        <v>254</v>
      </c>
      <c r="BZ86">
        <v>3</v>
      </c>
      <c r="CA86">
        <v>0.94007490636704105</v>
      </c>
      <c r="CB86" t="s">
        <v>256</v>
      </c>
      <c r="CC86">
        <v>3</v>
      </c>
      <c r="CD86">
        <v>0.94437577255871397</v>
      </c>
      <c r="CE86" t="s">
        <v>178</v>
      </c>
      <c r="CF86">
        <v>1</v>
      </c>
      <c r="CG86">
        <v>0.88429752066115697</v>
      </c>
      <c r="CH86" t="s">
        <v>247</v>
      </c>
      <c r="CI86">
        <v>2</v>
      </c>
      <c r="CJ86">
        <v>1.0696378830083499</v>
      </c>
      <c r="CK86" t="s">
        <v>262</v>
      </c>
      <c r="CL86">
        <v>3</v>
      </c>
      <c r="CM86">
        <v>0.85932721712538196</v>
      </c>
      <c r="CN86" t="s">
        <v>195</v>
      </c>
      <c r="CO86">
        <v>2</v>
      </c>
      <c r="CP86">
        <v>0.89938398357289495</v>
      </c>
      <c r="CQ86" t="s">
        <v>194</v>
      </c>
      <c r="CR86">
        <v>2</v>
      </c>
      <c r="CS86">
        <v>1.1416893732969999</v>
      </c>
      <c r="CT86" t="s">
        <v>197</v>
      </c>
      <c r="CU86">
        <v>1</v>
      </c>
      <c r="CV86">
        <v>1.12612612612612</v>
      </c>
      <c r="CW86" t="s">
        <v>299</v>
      </c>
      <c r="CX86">
        <v>3</v>
      </c>
      <c r="CY86">
        <v>1</v>
      </c>
      <c r="CZ86" t="s">
        <v>204</v>
      </c>
      <c r="DA86">
        <v>2</v>
      </c>
      <c r="DB86">
        <v>0.95104895104895104</v>
      </c>
      <c r="DC86" t="s">
        <v>264</v>
      </c>
      <c r="DD86">
        <v>1</v>
      </c>
      <c r="DE86">
        <v>1.2848920863309301</v>
      </c>
      <c r="DF86" t="s">
        <v>294</v>
      </c>
      <c r="DG86">
        <v>3</v>
      </c>
      <c r="DH86">
        <v>1.0036496350364901</v>
      </c>
    </row>
    <row r="87" spans="1:112" x14ac:dyDescent="0.4">
      <c r="A87">
        <v>85</v>
      </c>
      <c r="B87" t="s">
        <v>172</v>
      </c>
      <c r="C87">
        <v>1</v>
      </c>
      <c r="D87">
        <v>1.0246305418719199</v>
      </c>
      <c r="E87" t="s">
        <v>247</v>
      </c>
      <c r="F87">
        <v>2</v>
      </c>
      <c r="G87">
        <v>0.79479768786127103</v>
      </c>
      <c r="H87" t="s">
        <v>172</v>
      </c>
      <c r="I87">
        <v>2</v>
      </c>
      <c r="J87">
        <v>0.76615384615384596</v>
      </c>
      <c r="K87" t="s">
        <v>252</v>
      </c>
      <c r="L87">
        <v>3</v>
      </c>
      <c r="M87">
        <v>0.64583333333333304</v>
      </c>
      <c r="N87" t="s">
        <v>230</v>
      </c>
      <c r="O87">
        <v>2</v>
      </c>
      <c r="P87">
        <v>1.7208237986270001</v>
      </c>
      <c r="Q87" t="s">
        <v>247</v>
      </c>
      <c r="R87">
        <v>3</v>
      </c>
      <c r="S87">
        <v>1.6588235294117599</v>
      </c>
      <c r="T87" t="s">
        <v>246</v>
      </c>
      <c r="U87">
        <v>2</v>
      </c>
      <c r="V87">
        <v>0.88315217391304301</v>
      </c>
      <c r="W87" t="s">
        <v>246</v>
      </c>
      <c r="X87">
        <v>2</v>
      </c>
      <c r="Y87">
        <v>0.89230769230769202</v>
      </c>
      <c r="Z87" t="s">
        <v>183</v>
      </c>
      <c r="AA87">
        <v>2</v>
      </c>
      <c r="AB87">
        <v>0.95069608526407001</v>
      </c>
      <c r="AC87" t="s">
        <v>183</v>
      </c>
      <c r="AD87">
        <v>2</v>
      </c>
      <c r="AE87">
        <v>0.97892845329304301</v>
      </c>
      <c r="AF87" t="s">
        <v>249</v>
      </c>
      <c r="AG87">
        <v>2</v>
      </c>
      <c r="AH87">
        <v>0.65211330993927696</v>
      </c>
      <c r="AI87" t="s">
        <v>176</v>
      </c>
      <c r="AJ87">
        <v>2</v>
      </c>
      <c r="AK87">
        <v>0.93162393162393098</v>
      </c>
      <c r="AL87" t="s">
        <v>189</v>
      </c>
      <c r="AM87">
        <v>3</v>
      </c>
      <c r="AN87">
        <v>0.84408602150537604</v>
      </c>
      <c r="AO87" t="s">
        <v>254</v>
      </c>
      <c r="AP87">
        <v>2</v>
      </c>
      <c r="AQ87">
        <v>1.0371747211895901</v>
      </c>
      <c r="AR87" t="s">
        <v>189</v>
      </c>
      <c r="AS87">
        <v>2</v>
      </c>
      <c r="AT87">
        <v>0.82038834951456296</v>
      </c>
      <c r="AU87" t="s">
        <v>196</v>
      </c>
      <c r="AV87">
        <v>3</v>
      </c>
      <c r="AW87">
        <v>1.03950325825073</v>
      </c>
      <c r="AX87" t="s">
        <v>254</v>
      </c>
      <c r="AY87">
        <v>2</v>
      </c>
      <c r="AZ87">
        <v>0.82468694096601003</v>
      </c>
      <c r="BA87" t="s">
        <v>192</v>
      </c>
      <c r="BB87">
        <v>2</v>
      </c>
      <c r="BC87">
        <v>1.17342458166857</v>
      </c>
      <c r="BD87" t="s">
        <v>254</v>
      </c>
      <c r="BE87">
        <v>2</v>
      </c>
      <c r="BF87">
        <v>0.84080717488789203</v>
      </c>
      <c r="BG87" t="s">
        <v>262</v>
      </c>
      <c r="BH87">
        <v>3</v>
      </c>
      <c r="BI87">
        <v>1.0337078651685301</v>
      </c>
      <c r="BJ87" t="s">
        <v>261</v>
      </c>
      <c r="BK87">
        <v>2</v>
      </c>
      <c r="BL87">
        <v>1.1914498141263901</v>
      </c>
      <c r="BM87" t="s">
        <v>254</v>
      </c>
      <c r="BN87">
        <v>2</v>
      </c>
      <c r="BO87">
        <v>0.82037533512064298</v>
      </c>
      <c r="BP87" t="s">
        <v>247</v>
      </c>
      <c r="BQ87">
        <v>2</v>
      </c>
      <c r="BR87">
        <v>1.0562499999999999</v>
      </c>
      <c r="BS87" t="s">
        <v>254</v>
      </c>
      <c r="BT87">
        <v>2</v>
      </c>
      <c r="BU87">
        <v>0.91803278688524503</v>
      </c>
      <c r="BV87" t="s">
        <v>254</v>
      </c>
      <c r="BW87">
        <v>2</v>
      </c>
      <c r="BX87">
        <v>0.95357142857142796</v>
      </c>
      <c r="BY87" t="s">
        <v>256</v>
      </c>
      <c r="BZ87">
        <v>3</v>
      </c>
      <c r="CA87">
        <v>1.2257575757575701</v>
      </c>
      <c r="CB87" t="s">
        <v>262</v>
      </c>
      <c r="CC87">
        <v>3</v>
      </c>
      <c r="CD87">
        <v>0.87790697674418605</v>
      </c>
      <c r="CE87" t="s">
        <v>185</v>
      </c>
      <c r="CF87">
        <v>3</v>
      </c>
      <c r="CG87">
        <v>1.0641025641025601</v>
      </c>
      <c r="CH87" t="s">
        <v>251</v>
      </c>
      <c r="CI87">
        <v>2</v>
      </c>
      <c r="CJ87">
        <v>1.0365853658536499</v>
      </c>
      <c r="CK87" t="s">
        <v>274</v>
      </c>
      <c r="CL87">
        <v>3</v>
      </c>
      <c r="CM87">
        <v>1.20597652081109</v>
      </c>
      <c r="CN87" t="s">
        <v>262</v>
      </c>
      <c r="CO87">
        <v>3</v>
      </c>
      <c r="CP87">
        <v>0.97153024911032004</v>
      </c>
      <c r="CQ87" t="s">
        <v>195</v>
      </c>
      <c r="CR87">
        <v>2</v>
      </c>
      <c r="CS87">
        <v>1.1461187214611801</v>
      </c>
      <c r="CT87" t="s">
        <v>264</v>
      </c>
      <c r="CU87">
        <v>1</v>
      </c>
      <c r="CV87">
        <v>0.99249061326658305</v>
      </c>
      <c r="CW87" t="s">
        <v>281</v>
      </c>
      <c r="CX87">
        <v>2</v>
      </c>
      <c r="CY87">
        <v>1.06122448979591</v>
      </c>
      <c r="CZ87" t="s">
        <v>277</v>
      </c>
      <c r="DA87">
        <v>3</v>
      </c>
      <c r="DB87">
        <v>0.77777777777777701</v>
      </c>
      <c r="DC87" t="s">
        <v>280</v>
      </c>
      <c r="DD87">
        <v>3</v>
      </c>
      <c r="DE87">
        <v>1.1139817629179301</v>
      </c>
      <c r="DF87" t="s">
        <v>224</v>
      </c>
      <c r="DG87">
        <v>2</v>
      </c>
      <c r="DH87">
        <v>1.24775583482944</v>
      </c>
    </row>
    <row r="88" spans="1:112" x14ac:dyDescent="0.4">
      <c r="A88">
        <v>86</v>
      </c>
      <c r="B88" t="s">
        <v>174</v>
      </c>
      <c r="C88">
        <v>1</v>
      </c>
      <c r="D88">
        <v>1.2574850299401099</v>
      </c>
      <c r="E88" t="s">
        <v>249</v>
      </c>
      <c r="F88">
        <v>1</v>
      </c>
      <c r="G88">
        <v>0.86764706193771601</v>
      </c>
      <c r="H88" t="s">
        <v>174</v>
      </c>
      <c r="I88">
        <v>1</v>
      </c>
      <c r="J88">
        <v>0.57880055788005502</v>
      </c>
      <c r="K88" t="s">
        <v>178</v>
      </c>
      <c r="L88">
        <v>1</v>
      </c>
      <c r="M88">
        <v>0.92647058823529405</v>
      </c>
      <c r="N88" t="s">
        <v>221</v>
      </c>
      <c r="O88">
        <v>2</v>
      </c>
      <c r="P88">
        <v>1.24376731301939</v>
      </c>
      <c r="Q88" t="s">
        <v>249</v>
      </c>
      <c r="R88">
        <v>2</v>
      </c>
      <c r="S88">
        <v>0.71621628721694497</v>
      </c>
      <c r="T88" t="s">
        <v>183</v>
      </c>
      <c r="U88">
        <v>2</v>
      </c>
      <c r="V88">
        <v>1.083460474639</v>
      </c>
      <c r="W88" t="s">
        <v>183</v>
      </c>
      <c r="X88">
        <v>2</v>
      </c>
      <c r="Y88">
        <v>1.0689185260556699</v>
      </c>
      <c r="Z88" t="s">
        <v>185</v>
      </c>
      <c r="AA88">
        <v>2</v>
      </c>
      <c r="AB88">
        <v>1.1054766734279899</v>
      </c>
      <c r="AC88" t="s">
        <v>185</v>
      </c>
      <c r="AD88">
        <v>2</v>
      </c>
      <c r="AE88">
        <v>1.11467889908256</v>
      </c>
      <c r="AF88" t="s">
        <v>251</v>
      </c>
      <c r="AG88">
        <v>1</v>
      </c>
      <c r="AH88">
        <v>1.09121742234916</v>
      </c>
      <c r="AI88" t="s">
        <v>246</v>
      </c>
      <c r="AJ88">
        <v>2</v>
      </c>
      <c r="AK88">
        <v>0.72771084337349401</v>
      </c>
      <c r="AL88" t="s">
        <v>254</v>
      </c>
      <c r="AM88">
        <v>2</v>
      </c>
      <c r="AN88">
        <v>1.6059701492537299</v>
      </c>
      <c r="AO88" t="s">
        <v>196</v>
      </c>
      <c r="AP88">
        <v>3</v>
      </c>
      <c r="AQ88">
        <v>0.90301838730818196</v>
      </c>
      <c r="AR88" t="s">
        <v>251</v>
      </c>
      <c r="AS88">
        <v>1</v>
      </c>
      <c r="AT88">
        <v>0.69497799818397699</v>
      </c>
      <c r="AU88" t="s">
        <v>256</v>
      </c>
      <c r="AV88">
        <v>3</v>
      </c>
      <c r="AW88">
        <v>0.97455968688845396</v>
      </c>
      <c r="AX88" t="s">
        <v>256</v>
      </c>
      <c r="AY88">
        <v>3</v>
      </c>
      <c r="AZ88">
        <v>0.96385542168674698</v>
      </c>
      <c r="BA88" t="s">
        <v>256</v>
      </c>
      <c r="BB88">
        <v>3</v>
      </c>
      <c r="BC88">
        <v>0.93958333333333299</v>
      </c>
      <c r="BD88" t="s">
        <v>261</v>
      </c>
      <c r="BE88">
        <v>2</v>
      </c>
      <c r="BF88">
        <v>0.92580287929125105</v>
      </c>
      <c r="BG88" t="s">
        <v>197</v>
      </c>
      <c r="BH88">
        <v>1</v>
      </c>
      <c r="BI88">
        <v>0.89389067524115695</v>
      </c>
      <c r="BJ88" t="s">
        <v>195</v>
      </c>
      <c r="BK88">
        <v>1</v>
      </c>
      <c r="BL88">
        <v>0.61313494099538202</v>
      </c>
      <c r="BM88" t="s">
        <v>196</v>
      </c>
      <c r="BN88">
        <v>3</v>
      </c>
      <c r="BO88">
        <v>0.81248762220261705</v>
      </c>
      <c r="BP88" t="s">
        <v>251</v>
      </c>
      <c r="BQ88">
        <v>1</v>
      </c>
      <c r="BR88">
        <v>0.97247706422018299</v>
      </c>
      <c r="BS88" t="s">
        <v>196</v>
      </c>
      <c r="BT88">
        <v>3</v>
      </c>
      <c r="BU88">
        <v>1.13036981695928</v>
      </c>
      <c r="BV88" t="s">
        <v>196</v>
      </c>
      <c r="BW88">
        <v>3</v>
      </c>
      <c r="BX88">
        <v>0.61759984892833497</v>
      </c>
      <c r="BY88" t="s">
        <v>195</v>
      </c>
      <c r="BZ88">
        <v>2</v>
      </c>
      <c r="CA88">
        <v>1.1116138763197501</v>
      </c>
      <c r="CB88" t="s">
        <v>265</v>
      </c>
      <c r="CC88">
        <v>3</v>
      </c>
      <c r="CD88">
        <v>0.81888745148771003</v>
      </c>
      <c r="CE88" t="s">
        <v>238</v>
      </c>
      <c r="CF88">
        <v>2</v>
      </c>
      <c r="CG88">
        <v>1.01841196777905</v>
      </c>
      <c r="CH88" t="s">
        <v>254</v>
      </c>
      <c r="CI88">
        <v>3</v>
      </c>
      <c r="CJ88">
        <v>1.0877192982456101</v>
      </c>
      <c r="CK88" t="s">
        <v>280</v>
      </c>
      <c r="CL88">
        <v>3</v>
      </c>
      <c r="CM88">
        <v>0.93175074183976203</v>
      </c>
      <c r="CN88" t="s">
        <v>197</v>
      </c>
      <c r="CO88">
        <v>1</v>
      </c>
      <c r="CP88">
        <v>1.42011834319526</v>
      </c>
      <c r="CQ88" t="s">
        <v>262</v>
      </c>
      <c r="CR88">
        <v>3</v>
      </c>
      <c r="CS88">
        <v>1.0732600732600699</v>
      </c>
      <c r="CT88" t="s">
        <v>274</v>
      </c>
      <c r="CU88">
        <v>3</v>
      </c>
      <c r="CV88">
        <v>0.98609501738122796</v>
      </c>
      <c r="CW88" t="s">
        <v>285</v>
      </c>
      <c r="CX88">
        <v>3</v>
      </c>
      <c r="CY88">
        <v>0.92587209302325502</v>
      </c>
      <c r="CZ88" t="s">
        <v>281</v>
      </c>
      <c r="DA88">
        <v>2</v>
      </c>
      <c r="DB88">
        <v>1.04881656804733</v>
      </c>
      <c r="DC88" t="s">
        <v>272</v>
      </c>
      <c r="DD88">
        <v>2</v>
      </c>
      <c r="DE88">
        <v>1.0440881763526999</v>
      </c>
      <c r="DF88" t="s">
        <v>302</v>
      </c>
      <c r="DG88">
        <v>3</v>
      </c>
      <c r="DH88">
        <v>1.07133917396745</v>
      </c>
    </row>
    <row r="89" spans="1:112" x14ac:dyDescent="0.4">
      <c r="A89">
        <v>87</v>
      </c>
      <c r="B89" t="s">
        <v>231</v>
      </c>
      <c r="C89">
        <v>3</v>
      </c>
      <c r="D89">
        <v>0.88303571428571404</v>
      </c>
      <c r="E89" t="s">
        <v>273</v>
      </c>
      <c r="F89">
        <v>3</v>
      </c>
      <c r="G89">
        <v>0.74788946202580597</v>
      </c>
      <c r="H89" t="s">
        <v>231</v>
      </c>
      <c r="I89">
        <v>2</v>
      </c>
      <c r="J89">
        <v>0.65975609756097497</v>
      </c>
      <c r="K89" t="s">
        <v>183</v>
      </c>
      <c r="L89">
        <v>2</v>
      </c>
      <c r="M89">
        <v>0.96000488937782602</v>
      </c>
      <c r="N89" t="s">
        <v>168</v>
      </c>
      <c r="O89">
        <v>1</v>
      </c>
      <c r="P89">
        <v>1.7208904109589001</v>
      </c>
      <c r="Q89" t="s">
        <v>251</v>
      </c>
      <c r="R89">
        <v>1</v>
      </c>
      <c r="S89">
        <v>1.0478989494747299</v>
      </c>
      <c r="T89" t="s">
        <v>185</v>
      </c>
      <c r="U89">
        <v>2</v>
      </c>
      <c r="V89">
        <v>0.83750000000000002</v>
      </c>
      <c r="W89" t="s">
        <v>185</v>
      </c>
      <c r="X89">
        <v>2</v>
      </c>
      <c r="Y89">
        <v>0.98109452736318403</v>
      </c>
      <c r="Z89" t="s">
        <v>238</v>
      </c>
      <c r="AA89">
        <v>3</v>
      </c>
      <c r="AB89">
        <v>1.07560137457044</v>
      </c>
      <c r="AC89" t="s">
        <v>238</v>
      </c>
      <c r="AD89">
        <v>3</v>
      </c>
      <c r="AE89">
        <v>1.05857294994675</v>
      </c>
      <c r="AF89" t="s">
        <v>254</v>
      </c>
      <c r="AG89">
        <v>2</v>
      </c>
      <c r="AH89">
        <v>1.1911357340720199</v>
      </c>
      <c r="AI89" t="s">
        <v>183</v>
      </c>
      <c r="AJ89">
        <v>2</v>
      </c>
      <c r="AK89">
        <v>0.82637362637362599</v>
      </c>
      <c r="AL89" t="s">
        <v>196</v>
      </c>
      <c r="AM89">
        <v>2</v>
      </c>
      <c r="AN89">
        <v>0.916904761904761</v>
      </c>
      <c r="AO89" t="s">
        <v>192</v>
      </c>
      <c r="AP89">
        <v>2</v>
      </c>
      <c r="AQ89">
        <v>1.24012855114744</v>
      </c>
      <c r="AR89" t="s">
        <v>254</v>
      </c>
      <c r="AS89">
        <v>2</v>
      </c>
      <c r="AT89">
        <v>0.98387096774193505</v>
      </c>
      <c r="AU89" t="s">
        <v>261</v>
      </c>
      <c r="AV89">
        <v>2</v>
      </c>
      <c r="AW89">
        <v>1.03975535168195</v>
      </c>
      <c r="AX89" t="s">
        <v>261</v>
      </c>
      <c r="AY89">
        <v>2</v>
      </c>
      <c r="AZ89">
        <v>0.86666666666666603</v>
      </c>
      <c r="BA89" t="s">
        <v>261</v>
      </c>
      <c r="BB89">
        <v>2</v>
      </c>
      <c r="BC89">
        <v>1.0214932126696801</v>
      </c>
      <c r="BD89" t="s">
        <v>262</v>
      </c>
      <c r="BE89">
        <v>3</v>
      </c>
      <c r="BF89">
        <v>0.96739130434782605</v>
      </c>
      <c r="BG89" t="s">
        <v>266</v>
      </c>
      <c r="BH89">
        <v>2</v>
      </c>
      <c r="BI89">
        <v>1.05074971164936</v>
      </c>
      <c r="BJ89" t="s">
        <v>262</v>
      </c>
      <c r="BK89">
        <v>3</v>
      </c>
      <c r="BL89">
        <v>1.1630434782608601</v>
      </c>
      <c r="BM89" t="s">
        <v>192</v>
      </c>
      <c r="BN89">
        <v>2</v>
      </c>
      <c r="BO89">
        <v>1.0787914832877299</v>
      </c>
      <c r="BP89" t="s">
        <v>254</v>
      </c>
      <c r="BQ89">
        <v>2</v>
      </c>
      <c r="BR89">
        <v>0.99673202614378997</v>
      </c>
      <c r="BS89" t="s">
        <v>256</v>
      </c>
      <c r="BT89">
        <v>3</v>
      </c>
      <c r="BU89">
        <v>1.10332103321033</v>
      </c>
      <c r="BV89" t="s">
        <v>256</v>
      </c>
      <c r="BW89">
        <v>3</v>
      </c>
      <c r="BX89">
        <v>1.10367892976588</v>
      </c>
      <c r="BY89" t="s">
        <v>262</v>
      </c>
      <c r="BZ89">
        <v>3</v>
      </c>
      <c r="CA89">
        <v>0.73819742489270301</v>
      </c>
      <c r="CB89" t="s">
        <v>266</v>
      </c>
      <c r="CC89">
        <v>2</v>
      </c>
      <c r="CD89">
        <v>1.0915395284327301</v>
      </c>
      <c r="CE89" t="s">
        <v>241</v>
      </c>
      <c r="CF89">
        <v>3</v>
      </c>
      <c r="CG89">
        <v>1.03361344537815</v>
      </c>
      <c r="CH89" t="s">
        <v>256</v>
      </c>
      <c r="CI89">
        <v>3</v>
      </c>
      <c r="CJ89">
        <v>1.30232558139534</v>
      </c>
      <c r="CK89" t="s">
        <v>272</v>
      </c>
      <c r="CL89">
        <v>2</v>
      </c>
      <c r="CM89">
        <v>1.10212765957446</v>
      </c>
      <c r="CN89" t="s">
        <v>266</v>
      </c>
      <c r="CO89">
        <v>2</v>
      </c>
      <c r="CP89">
        <v>1.1821305841924299</v>
      </c>
      <c r="CQ89" t="s">
        <v>265</v>
      </c>
      <c r="CR89">
        <v>3</v>
      </c>
      <c r="CS89">
        <v>1.0106571936056801</v>
      </c>
      <c r="CT89" t="s">
        <v>272</v>
      </c>
      <c r="CU89">
        <v>2</v>
      </c>
      <c r="CV89">
        <v>1.0266159695817401</v>
      </c>
      <c r="CW89" t="s">
        <v>288</v>
      </c>
      <c r="CX89">
        <v>3</v>
      </c>
      <c r="CY89">
        <v>0.937037037037037</v>
      </c>
      <c r="CZ89" t="s">
        <v>288</v>
      </c>
      <c r="DA89">
        <v>3</v>
      </c>
      <c r="DB89">
        <v>0.86462450592885298</v>
      </c>
      <c r="DC89" t="s">
        <v>204</v>
      </c>
      <c r="DD89">
        <v>2</v>
      </c>
      <c r="DE89">
        <v>0.94301470588235203</v>
      </c>
      <c r="DF89" t="s">
        <v>309</v>
      </c>
      <c r="DG89">
        <v>3</v>
      </c>
      <c r="DH89">
        <v>1.0893665158371</v>
      </c>
    </row>
    <row r="90" spans="1:112" x14ac:dyDescent="0.4">
      <c r="A90">
        <v>88</v>
      </c>
      <c r="B90" t="s">
        <v>176</v>
      </c>
      <c r="C90">
        <v>2</v>
      </c>
      <c r="D90">
        <v>1.13506493506493</v>
      </c>
      <c r="E90" t="s">
        <v>251</v>
      </c>
      <c r="F90">
        <v>1</v>
      </c>
      <c r="G90">
        <v>0.87416363983941803</v>
      </c>
      <c r="H90" t="s">
        <v>176</v>
      </c>
      <c r="I90">
        <v>2</v>
      </c>
      <c r="J90">
        <v>0.76222826086956497</v>
      </c>
      <c r="K90" t="s">
        <v>185</v>
      </c>
      <c r="L90">
        <v>2</v>
      </c>
      <c r="M90">
        <v>1.1773399014778301</v>
      </c>
      <c r="N90" t="s">
        <v>170</v>
      </c>
      <c r="O90">
        <v>1</v>
      </c>
      <c r="P90">
        <v>1.49806949806949</v>
      </c>
      <c r="Q90" t="s">
        <v>254</v>
      </c>
      <c r="R90">
        <v>3</v>
      </c>
      <c r="S90">
        <v>1.2889733840304101</v>
      </c>
      <c r="T90" t="s">
        <v>238</v>
      </c>
      <c r="U90">
        <v>3</v>
      </c>
      <c r="V90">
        <v>1.2276422764227599</v>
      </c>
      <c r="W90" t="s">
        <v>238</v>
      </c>
      <c r="X90">
        <v>3</v>
      </c>
      <c r="Y90">
        <v>0.96357615894039705</v>
      </c>
      <c r="Z90" t="s">
        <v>189</v>
      </c>
      <c r="AA90">
        <v>3</v>
      </c>
      <c r="AB90">
        <v>1.3203342618384399</v>
      </c>
      <c r="AC90" t="s">
        <v>259</v>
      </c>
      <c r="AD90">
        <v>3</v>
      </c>
      <c r="AE90">
        <v>1.4266983016982999</v>
      </c>
      <c r="AF90" t="s">
        <v>196</v>
      </c>
      <c r="AG90">
        <v>2</v>
      </c>
      <c r="AH90">
        <v>1.14477090419418</v>
      </c>
      <c r="AI90" t="s">
        <v>185</v>
      </c>
      <c r="AJ90">
        <v>2</v>
      </c>
      <c r="AK90">
        <v>0.87606837606837595</v>
      </c>
      <c r="AL90" t="s">
        <v>192</v>
      </c>
      <c r="AM90">
        <v>2</v>
      </c>
      <c r="AN90">
        <v>1.1190467877094901</v>
      </c>
      <c r="AO90" t="s">
        <v>256</v>
      </c>
      <c r="AP90">
        <v>3</v>
      </c>
      <c r="AQ90">
        <v>0.97299999999999998</v>
      </c>
      <c r="AR90" t="s">
        <v>196</v>
      </c>
      <c r="AS90">
        <v>3</v>
      </c>
      <c r="AT90">
        <v>0.84683956838472896</v>
      </c>
      <c r="AU90" t="s">
        <v>262</v>
      </c>
      <c r="AV90">
        <v>3</v>
      </c>
      <c r="AW90">
        <v>1.234375</v>
      </c>
      <c r="AX90" t="s">
        <v>262</v>
      </c>
      <c r="AY90">
        <v>3</v>
      </c>
      <c r="AZ90">
        <v>0.873417721518987</v>
      </c>
      <c r="BA90" t="s">
        <v>262</v>
      </c>
      <c r="BB90">
        <v>3</v>
      </c>
      <c r="BC90">
        <v>1</v>
      </c>
      <c r="BD90" t="s">
        <v>265</v>
      </c>
      <c r="BE90">
        <v>2</v>
      </c>
      <c r="BF90">
        <v>0.75850340136054395</v>
      </c>
      <c r="BG90" t="s">
        <v>201</v>
      </c>
      <c r="BH90">
        <v>2</v>
      </c>
      <c r="BI90">
        <v>1.05893517617286</v>
      </c>
      <c r="BJ90" t="s">
        <v>197</v>
      </c>
      <c r="BK90">
        <v>1</v>
      </c>
      <c r="BL90">
        <v>1.03237410071942</v>
      </c>
      <c r="BM90" t="s">
        <v>256</v>
      </c>
      <c r="BN90">
        <v>3</v>
      </c>
      <c r="BO90">
        <v>0.97328244274809095</v>
      </c>
      <c r="BP90" t="s">
        <v>196</v>
      </c>
      <c r="BQ90">
        <v>3</v>
      </c>
      <c r="BR90">
        <v>0.83048218400992702</v>
      </c>
      <c r="BS90" t="s">
        <v>195</v>
      </c>
      <c r="BT90">
        <v>1</v>
      </c>
      <c r="BU90">
        <v>1.1917631917631899</v>
      </c>
      <c r="BV90" t="s">
        <v>195</v>
      </c>
      <c r="BW90">
        <v>1</v>
      </c>
      <c r="BX90">
        <v>0.99442044636428994</v>
      </c>
      <c r="BY90" t="s">
        <v>265</v>
      </c>
      <c r="BZ90">
        <v>3</v>
      </c>
      <c r="CA90">
        <v>0.88443935926773398</v>
      </c>
      <c r="CB90" t="s">
        <v>267</v>
      </c>
      <c r="CC90">
        <v>3</v>
      </c>
      <c r="CD90">
        <v>0.91566265060240903</v>
      </c>
      <c r="CE90" t="s">
        <v>189</v>
      </c>
      <c r="CF90">
        <v>3</v>
      </c>
      <c r="CG90">
        <v>0.95622119815668205</v>
      </c>
      <c r="CH90" t="s">
        <v>194</v>
      </c>
      <c r="CI90">
        <v>1</v>
      </c>
      <c r="CJ90">
        <v>0.95631067961164995</v>
      </c>
      <c r="CK90" t="s">
        <v>287</v>
      </c>
      <c r="CL90">
        <v>3</v>
      </c>
      <c r="CM90">
        <v>0.87467018469656899</v>
      </c>
      <c r="CN90" t="s">
        <v>284</v>
      </c>
      <c r="CO90">
        <v>3</v>
      </c>
      <c r="CP90">
        <v>1.18701007838745</v>
      </c>
      <c r="CQ90" t="s">
        <v>197</v>
      </c>
      <c r="CR90">
        <v>1</v>
      </c>
      <c r="CS90">
        <v>0.83250000000000002</v>
      </c>
      <c r="CT90" t="s">
        <v>204</v>
      </c>
      <c r="CU90">
        <v>3</v>
      </c>
      <c r="CV90">
        <v>0.96828046744574203</v>
      </c>
      <c r="CW90" t="s">
        <v>294</v>
      </c>
      <c r="CX90">
        <v>3</v>
      </c>
      <c r="CY90">
        <v>0.97535211267605604</v>
      </c>
      <c r="CZ90" t="s">
        <v>294</v>
      </c>
      <c r="DA90">
        <v>3</v>
      </c>
      <c r="DB90">
        <v>0.92960288808664204</v>
      </c>
      <c r="DC90" t="s">
        <v>284</v>
      </c>
      <c r="DD90">
        <v>3</v>
      </c>
      <c r="DE90">
        <v>1.59904534606205</v>
      </c>
      <c r="DF90" t="s">
        <v>229</v>
      </c>
      <c r="DG90">
        <v>1</v>
      </c>
      <c r="DH90">
        <v>1.17554240631163</v>
      </c>
    </row>
    <row r="91" spans="1:112" x14ac:dyDescent="0.4">
      <c r="A91">
        <v>89</v>
      </c>
      <c r="B91" t="s">
        <v>185</v>
      </c>
      <c r="C91">
        <v>2</v>
      </c>
      <c r="D91">
        <v>0.88888888888888795</v>
      </c>
      <c r="E91" t="s">
        <v>254</v>
      </c>
      <c r="F91">
        <v>3</v>
      </c>
      <c r="G91">
        <v>1.20600858369098</v>
      </c>
      <c r="H91" t="s">
        <v>246</v>
      </c>
      <c r="I91">
        <v>2</v>
      </c>
      <c r="J91">
        <v>0.63037974683544296</v>
      </c>
      <c r="K91" t="s">
        <v>259</v>
      </c>
      <c r="L91">
        <v>3</v>
      </c>
      <c r="M91">
        <v>0.62563775510204001</v>
      </c>
      <c r="N91" t="s">
        <v>172</v>
      </c>
      <c r="O91">
        <v>2</v>
      </c>
      <c r="P91">
        <v>1.0621693121693101</v>
      </c>
      <c r="Q91" t="s">
        <v>196</v>
      </c>
      <c r="R91">
        <v>2</v>
      </c>
      <c r="S91">
        <v>0.97185917078356499</v>
      </c>
      <c r="T91" t="s">
        <v>189</v>
      </c>
      <c r="U91">
        <v>3</v>
      </c>
      <c r="V91">
        <v>1.0208333333333299</v>
      </c>
      <c r="W91" t="s">
        <v>259</v>
      </c>
      <c r="X91">
        <v>3</v>
      </c>
      <c r="Y91">
        <v>0.83783016188582704</v>
      </c>
      <c r="Z91" t="s">
        <v>247</v>
      </c>
      <c r="AA91">
        <v>3</v>
      </c>
      <c r="AB91">
        <v>1.45746164574616</v>
      </c>
      <c r="AC91" t="s">
        <v>189</v>
      </c>
      <c r="AD91">
        <v>3</v>
      </c>
      <c r="AE91">
        <v>1.25949367088607</v>
      </c>
      <c r="AF91" t="s">
        <v>256</v>
      </c>
      <c r="AG91">
        <v>3</v>
      </c>
      <c r="AH91">
        <v>0.95486111111111105</v>
      </c>
      <c r="AI91" t="s">
        <v>238</v>
      </c>
      <c r="AJ91">
        <v>3</v>
      </c>
      <c r="AK91">
        <v>1.02284710017574</v>
      </c>
      <c r="AL91" t="s">
        <v>256</v>
      </c>
      <c r="AM91">
        <v>3</v>
      </c>
      <c r="AN91">
        <v>0.89285714285714202</v>
      </c>
      <c r="AO91" t="s">
        <v>261</v>
      </c>
      <c r="AP91">
        <v>2</v>
      </c>
      <c r="AQ91">
        <v>0.91996285979572801</v>
      </c>
      <c r="AR91" t="s">
        <v>256</v>
      </c>
      <c r="AS91">
        <v>3</v>
      </c>
      <c r="AT91">
        <v>1.05035971223021</v>
      </c>
      <c r="AU91" t="s">
        <v>266</v>
      </c>
      <c r="AV91">
        <v>2</v>
      </c>
      <c r="AW91">
        <v>1.10752688172043</v>
      </c>
      <c r="AX91" t="s">
        <v>266</v>
      </c>
      <c r="AY91">
        <v>2</v>
      </c>
      <c r="AZ91">
        <v>0.64951456310679601</v>
      </c>
      <c r="BA91" t="s">
        <v>266</v>
      </c>
      <c r="BB91">
        <v>2</v>
      </c>
      <c r="BC91">
        <v>1.0463378176382601</v>
      </c>
      <c r="BD91" t="s">
        <v>266</v>
      </c>
      <c r="BE91">
        <v>2</v>
      </c>
      <c r="BF91">
        <v>0.619285714285714</v>
      </c>
      <c r="BG91" t="s">
        <v>291</v>
      </c>
      <c r="BH91">
        <v>3</v>
      </c>
      <c r="BI91">
        <v>0.86341463414634101</v>
      </c>
      <c r="BJ91" t="s">
        <v>266</v>
      </c>
      <c r="BK91">
        <v>2</v>
      </c>
      <c r="BL91">
        <v>1.0537870472008699</v>
      </c>
      <c r="BM91" t="s">
        <v>195</v>
      </c>
      <c r="BN91">
        <v>1</v>
      </c>
      <c r="BO91">
        <v>1.0535564853556401</v>
      </c>
      <c r="BP91" t="s">
        <v>192</v>
      </c>
      <c r="BQ91">
        <v>2</v>
      </c>
      <c r="BR91">
        <v>1.1428539925463601</v>
      </c>
      <c r="BS91" t="s">
        <v>262</v>
      </c>
      <c r="BT91">
        <v>3</v>
      </c>
      <c r="BU91">
        <v>1.16422287390029</v>
      </c>
      <c r="BV91" t="s">
        <v>262</v>
      </c>
      <c r="BW91">
        <v>3</v>
      </c>
      <c r="BX91">
        <v>1.1738035264483599</v>
      </c>
      <c r="BY91" t="s">
        <v>266</v>
      </c>
      <c r="BZ91">
        <v>2</v>
      </c>
      <c r="CA91">
        <v>1.08421052631578</v>
      </c>
      <c r="CB91" t="s">
        <v>280</v>
      </c>
      <c r="CC91">
        <v>3</v>
      </c>
      <c r="CD91">
        <v>0.80367231638418002</v>
      </c>
      <c r="CE91" t="s">
        <v>247</v>
      </c>
      <c r="CF91">
        <v>2</v>
      </c>
      <c r="CG91">
        <v>1.01988636363636</v>
      </c>
      <c r="CH91" t="s">
        <v>195</v>
      </c>
      <c r="CI91">
        <v>2</v>
      </c>
      <c r="CJ91">
        <v>0.89273927392739205</v>
      </c>
      <c r="CK91" t="s">
        <v>204</v>
      </c>
      <c r="CL91">
        <v>3</v>
      </c>
      <c r="CM91">
        <v>1.1663947797716101</v>
      </c>
      <c r="CN91" t="s">
        <v>277</v>
      </c>
      <c r="CO91">
        <v>3</v>
      </c>
      <c r="CP91">
        <v>1.0206611570247901</v>
      </c>
      <c r="CQ91" t="s">
        <v>264</v>
      </c>
      <c r="CR91">
        <v>1</v>
      </c>
      <c r="CS91">
        <v>0.77198067632850198</v>
      </c>
      <c r="CT91" t="s">
        <v>277</v>
      </c>
      <c r="CU91">
        <v>3</v>
      </c>
      <c r="CV91">
        <v>0.94468085106382904</v>
      </c>
      <c r="CW91" t="s">
        <v>302</v>
      </c>
      <c r="CX91">
        <v>3</v>
      </c>
      <c r="CY91">
        <v>1.02992518703241</v>
      </c>
      <c r="CZ91" t="s">
        <v>302</v>
      </c>
      <c r="DA91">
        <v>3</v>
      </c>
      <c r="DB91">
        <v>0.98668280871670699</v>
      </c>
      <c r="DC91" t="s">
        <v>277</v>
      </c>
      <c r="DD91">
        <v>3</v>
      </c>
      <c r="DE91">
        <v>1.04433497536945</v>
      </c>
      <c r="DF91" t="s">
        <v>240</v>
      </c>
      <c r="DG91">
        <v>2</v>
      </c>
      <c r="DH91">
        <v>0.99887766554433199</v>
      </c>
    </row>
    <row r="92" spans="1:112" x14ac:dyDescent="0.4">
      <c r="A92">
        <v>90</v>
      </c>
      <c r="B92" t="s">
        <v>259</v>
      </c>
      <c r="C92">
        <v>2</v>
      </c>
      <c r="D92">
        <v>0.77453712920565398</v>
      </c>
      <c r="E92" t="s">
        <v>283</v>
      </c>
      <c r="F92">
        <v>3</v>
      </c>
      <c r="G92">
        <v>0.54822335025380697</v>
      </c>
      <c r="H92" t="s">
        <v>185</v>
      </c>
      <c r="I92">
        <v>2</v>
      </c>
      <c r="J92">
        <v>0.81200000000000006</v>
      </c>
      <c r="K92" t="s">
        <v>243</v>
      </c>
      <c r="L92">
        <v>1</v>
      </c>
      <c r="M92">
        <v>0.92903225806451595</v>
      </c>
      <c r="N92" t="s">
        <v>174</v>
      </c>
      <c r="O92">
        <v>1</v>
      </c>
      <c r="P92">
        <v>1.4229979466119</v>
      </c>
      <c r="Q92" t="s">
        <v>256</v>
      </c>
      <c r="R92">
        <v>2</v>
      </c>
      <c r="S92">
        <v>0.96651445966514404</v>
      </c>
      <c r="T92" t="s">
        <v>251</v>
      </c>
      <c r="U92">
        <v>1</v>
      </c>
      <c r="V92">
        <v>0.85147392290249402</v>
      </c>
      <c r="W92" t="s">
        <v>189</v>
      </c>
      <c r="X92">
        <v>3</v>
      </c>
      <c r="Y92">
        <v>0.91581632653061196</v>
      </c>
      <c r="Z92" t="s">
        <v>251</v>
      </c>
      <c r="AA92">
        <v>1</v>
      </c>
      <c r="AB92">
        <v>0.98987412980803002</v>
      </c>
      <c r="AC92" t="s">
        <v>247</v>
      </c>
      <c r="AD92">
        <v>2</v>
      </c>
      <c r="AE92">
        <v>1.06698564593301</v>
      </c>
      <c r="AF92" t="s">
        <v>261</v>
      </c>
      <c r="AG92">
        <v>2</v>
      </c>
      <c r="AH92">
        <v>1.10328328658637</v>
      </c>
      <c r="AI92" t="s">
        <v>189</v>
      </c>
      <c r="AJ92">
        <v>3</v>
      </c>
      <c r="AK92">
        <v>0.86011560693641598</v>
      </c>
      <c r="AL92" t="s">
        <v>261</v>
      </c>
      <c r="AM92">
        <v>2</v>
      </c>
      <c r="AN92">
        <v>0.83333333333333304</v>
      </c>
      <c r="AO92" t="s">
        <v>262</v>
      </c>
      <c r="AP92">
        <v>3</v>
      </c>
      <c r="AQ92">
        <v>1.3672566371681401</v>
      </c>
      <c r="AR92" t="s">
        <v>261</v>
      </c>
      <c r="AS92">
        <v>2</v>
      </c>
      <c r="AT92">
        <v>0.99010900282599901</v>
      </c>
      <c r="AU92" t="s">
        <v>291</v>
      </c>
      <c r="AV92">
        <v>3</v>
      </c>
      <c r="AW92">
        <v>1.36263736263736</v>
      </c>
      <c r="AX92" t="s">
        <v>201</v>
      </c>
      <c r="AY92">
        <v>2</v>
      </c>
      <c r="AZ92">
        <v>0.67528181765083795</v>
      </c>
      <c r="BA92" t="s">
        <v>201</v>
      </c>
      <c r="BB92">
        <v>2</v>
      </c>
      <c r="BC92">
        <v>1.53833845089305</v>
      </c>
      <c r="BD92" t="s">
        <v>201</v>
      </c>
      <c r="BE92">
        <v>2</v>
      </c>
      <c r="BF92">
        <v>0.57766157825194597</v>
      </c>
      <c r="BG92" t="s">
        <v>272</v>
      </c>
      <c r="BH92">
        <v>2</v>
      </c>
      <c r="BI92">
        <v>0.95975232198142402</v>
      </c>
      <c r="BJ92" t="s">
        <v>201</v>
      </c>
      <c r="BK92">
        <v>2</v>
      </c>
      <c r="BL92">
        <v>1.30736706650121</v>
      </c>
      <c r="BM92" t="s">
        <v>262</v>
      </c>
      <c r="BN92">
        <v>3</v>
      </c>
      <c r="BO92">
        <v>0.93769470404984401</v>
      </c>
      <c r="BP92" t="s">
        <v>256</v>
      </c>
      <c r="BQ92">
        <v>3</v>
      </c>
      <c r="BR92">
        <v>1.0627450980392099</v>
      </c>
      <c r="BS92" t="s">
        <v>266</v>
      </c>
      <c r="BT92">
        <v>2</v>
      </c>
      <c r="BU92">
        <v>0.95487804878048699</v>
      </c>
      <c r="BV92" t="s">
        <v>265</v>
      </c>
      <c r="BW92">
        <v>2</v>
      </c>
      <c r="BX92">
        <v>0.77896613190730801</v>
      </c>
      <c r="BY92" t="s">
        <v>264</v>
      </c>
      <c r="BZ92">
        <v>1</v>
      </c>
      <c r="CA92">
        <v>1.3578826237054</v>
      </c>
      <c r="CB92" t="s">
        <v>293</v>
      </c>
      <c r="CC92">
        <v>3</v>
      </c>
      <c r="CD92">
        <v>1.0356234096692101</v>
      </c>
      <c r="CE92" t="s">
        <v>251</v>
      </c>
      <c r="CF92">
        <v>2</v>
      </c>
      <c r="CG92">
        <v>1.03361344537815</v>
      </c>
      <c r="CH92" t="s">
        <v>262</v>
      </c>
      <c r="CI92">
        <v>3</v>
      </c>
      <c r="CJ92">
        <v>0.99695121951219501</v>
      </c>
      <c r="CK92" t="s">
        <v>284</v>
      </c>
      <c r="CL92">
        <v>3</v>
      </c>
      <c r="CM92">
        <v>0.92538860103626897</v>
      </c>
      <c r="CN92" t="s">
        <v>208</v>
      </c>
      <c r="CO92">
        <v>2</v>
      </c>
      <c r="CP92">
        <v>1.0027434842249601</v>
      </c>
      <c r="CQ92" t="s">
        <v>274</v>
      </c>
      <c r="CR92">
        <v>3</v>
      </c>
      <c r="CS92">
        <v>0.98967889908256801</v>
      </c>
      <c r="CT92" t="s">
        <v>281</v>
      </c>
      <c r="CU92">
        <v>2</v>
      </c>
      <c r="CV92">
        <v>0.95789473684210502</v>
      </c>
      <c r="CW92" t="s">
        <v>307</v>
      </c>
      <c r="CX92">
        <v>2</v>
      </c>
      <c r="CY92">
        <v>1.04218928164196</v>
      </c>
      <c r="CZ92" t="s">
        <v>309</v>
      </c>
      <c r="DA92">
        <v>3</v>
      </c>
      <c r="DB92">
        <v>1.1042183622828701</v>
      </c>
      <c r="DC92" t="s">
        <v>285</v>
      </c>
      <c r="DD92">
        <v>3</v>
      </c>
      <c r="DE92">
        <v>1.00593471810089</v>
      </c>
      <c r="DF92" t="s">
        <v>316</v>
      </c>
      <c r="DG92">
        <v>3</v>
      </c>
      <c r="DH92">
        <v>0.82621082621082598</v>
      </c>
    </row>
    <row r="93" spans="1:112" x14ac:dyDescent="0.4">
      <c r="A93">
        <v>91</v>
      </c>
      <c r="B93" t="s">
        <v>241</v>
      </c>
      <c r="C93">
        <v>3</v>
      </c>
      <c r="D93">
        <v>0.98571428571428499</v>
      </c>
      <c r="E93" t="s">
        <v>256</v>
      </c>
      <c r="F93">
        <v>3</v>
      </c>
      <c r="G93">
        <v>0.89763147330389403</v>
      </c>
      <c r="H93" t="s">
        <v>241</v>
      </c>
      <c r="I93">
        <v>3</v>
      </c>
      <c r="J93">
        <v>0.67871485943775101</v>
      </c>
      <c r="K93" t="s">
        <v>249</v>
      </c>
      <c r="L93">
        <v>1</v>
      </c>
      <c r="M93">
        <v>0.93717278013212302</v>
      </c>
      <c r="N93" t="s">
        <v>176</v>
      </c>
      <c r="O93">
        <v>2</v>
      </c>
      <c r="P93">
        <v>0.95158597662771205</v>
      </c>
      <c r="Q93" t="s">
        <v>261</v>
      </c>
      <c r="R93">
        <v>2</v>
      </c>
      <c r="S93">
        <v>1.0778410134018701</v>
      </c>
      <c r="T93" t="s">
        <v>254</v>
      </c>
      <c r="U93">
        <v>3</v>
      </c>
      <c r="V93">
        <v>0.82005899705014695</v>
      </c>
      <c r="W93" t="s">
        <v>247</v>
      </c>
      <c r="X93">
        <v>3</v>
      </c>
      <c r="Y93">
        <v>1.20504201680672</v>
      </c>
      <c r="Z93" t="s">
        <v>254</v>
      </c>
      <c r="AA93">
        <v>3</v>
      </c>
      <c r="AB93">
        <v>0.96031746031746001</v>
      </c>
      <c r="AC93" t="s">
        <v>251</v>
      </c>
      <c r="AD93">
        <v>1</v>
      </c>
      <c r="AE93">
        <v>1.19386232862115</v>
      </c>
      <c r="AF93" t="s">
        <v>262</v>
      </c>
      <c r="AG93">
        <v>3</v>
      </c>
      <c r="AH93">
        <v>1.0382978723404199</v>
      </c>
      <c r="AI93" t="s">
        <v>249</v>
      </c>
      <c r="AJ93">
        <v>2</v>
      </c>
      <c r="AK93">
        <v>0.39616037572528701</v>
      </c>
      <c r="AL93" t="s">
        <v>262</v>
      </c>
      <c r="AM93">
        <v>3</v>
      </c>
      <c r="AN93">
        <v>0.94560669456066904</v>
      </c>
      <c r="AO93" t="s">
        <v>291</v>
      </c>
      <c r="AP93">
        <v>3</v>
      </c>
      <c r="AQ93">
        <v>1.02659574468085</v>
      </c>
      <c r="AR93" t="s">
        <v>262</v>
      </c>
      <c r="AS93">
        <v>3</v>
      </c>
      <c r="AT93">
        <v>0.82847896440129398</v>
      </c>
      <c r="AU93" t="s">
        <v>279</v>
      </c>
      <c r="AV93">
        <v>2</v>
      </c>
      <c r="AW93">
        <v>1.2307692307692299</v>
      </c>
      <c r="AX93" t="s">
        <v>272</v>
      </c>
      <c r="AY93">
        <v>2</v>
      </c>
      <c r="AZ93">
        <v>1.0087719298245601</v>
      </c>
      <c r="BA93" t="s">
        <v>272</v>
      </c>
      <c r="BB93">
        <v>2</v>
      </c>
      <c r="BC93">
        <v>1.09565217391304</v>
      </c>
      <c r="BD93" t="s">
        <v>272</v>
      </c>
      <c r="BE93">
        <v>2</v>
      </c>
      <c r="BF93">
        <v>1.2817460317460301</v>
      </c>
      <c r="BG93" t="s">
        <v>276</v>
      </c>
      <c r="BH93">
        <v>3</v>
      </c>
      <c r="BI93">
        <v>0.96615720524017401</v>
      </c>
      <c r="BJ93" t="s">
        <v>280</v>
      </c>
      <c r="BK93">
        <v>3</v>
      </c>
      <c r="BL93">
        <v>0.73863636363636298</v>
      </c>
      <c r="BM93" t="s">
        <v>197</v>
      </c>
      <c r="BN93">
        <v>1</v>
      </c>
      <c r="BO93">
        <v>1.1777003484320501</v>
      </c>
      <c r="BP93" t="s">
        <v>195</v>
      </c>
      <c r="BQ93">
        <v>1</v>
      </c>
      <c r="BR93">
        <v>0.85452434777295705</v>
      </c>
      <c r="BS93" t="s">
        <v>264</v>
      </c>
      <c r="BT93">
        <v>1</v>
      </c>
      <c r="BU93">
        <v>0.92826086956521703</v>
      </c>
      <c r="BV93" t="s">
        <v>266</v>
      </c>
      <c r="BW93">
        <v>2</v>
      </c>
      <c r="BX93">
        <v>0.84929757343550405</v>
      </c>
      <c r="BY93" t="s">
        <v>293</v>
      </c>
      <c r="BZ93">
        <v>3</v>
      </c>
      <c r="CA93">
        <v>1.14410480349344</v>
      </c>
      <c r="CB93" t="s">
        <v>272</v>
      </c>
      <c r="CC93">
        <v>2</v>
      </c>
      <c r="CD93">
        <v>0.90047393364928896</v>
      </c>
      <c r="CE93" t="s">
        <v>254</v>
      </c>
      <c r="CF93">
        <v>3</v>
      </c>
      <c r="CG93">
        <v>0.89411764705882302</v>
      </c>
      <c r="CH93" t="s">
        <v>270</v>
      </c>
      <c r="CI93">
        <v>3</v>
      </c>
      <c r="CJ93">
        <v>1.0254237288135499</v>
      </c>
      <c r="CK93" t="s">
        <v>277</v>
      </c>
      <c r="CL93">
        <v>3</v>
      </c>
      <c r="CM93">
        <v>0.96031746031746001</v>
      </c>
      <c r="CN93" t="s">
        <v>294</v>
      </c>
      <c r="CO93">
        <v>3</v>
      </c>
      <c r="CP93">
        <v>0.81612090680100702</v>
      </c>
      <c r="CQ93" t="s">
        <v>280</v>
      </c>
      <c r="CR93">
        <v>3</v>
      </c>
      <c r="CS93">
        <v>0.89391796322489303</v>
      </c>
      <c r="CT93" t="s">
        <v>285</v>
      </c>
      <c r="CU93">
        <v>3</v>
      </c>
      <c r="CV93">
        <v>0.98285714285714199</v>
      </c>
      <c r="CW93" t="s">
        <v>240</v>
      </c>
      <c r="CX93">
        <v>2</v>
      </c>
      <c r="CY93">
        <v>0.892747701736465</v>
      </c>
      <c r="CZ93" t="s">
        <v>229</v>
      </c>
      <c r="DA93">
        <v>1</v>
      </c>
      <c r="DB93">
        <v>0.908203125</v>
      </c>
      <c r="DC93" t="s">
        <v>288</v>
      </c>
      <c r="DD93">
        <v>3</v>
      </c>
      <c r="DE93">
        <v>1.0674285714285701</v>
      </c>
      <c r="DF93" t="s">
        <v>320</v>
      </c>
      <c r="DG93">
        <v>3</v>
      </c>
      <c r="DH93">
        <v>1.22857142857142</v>
      </c>
    </row>
    <row r="94" spans="1:112" x14ac:dyDescent="0.4">
      <c r="A94">
        <v>92</v>
      </c>
      <c r="B94" t="s">
        <v>189</v>
      </c>
      <c r="C94">
        <v>2</v>
      </c>
      <c r="D94">
        <v>0.86733481585280403</v>
      </c>
      <c r="E94" t="s">
        <v>261</v>
      </c>
      <c r="F94">
        <v>2</v>
      </c>
      <c r="G94">
        <v>0.84876103674166903</v>
      </c>
      <c r="H94" t="s">
        <v>247</v>
      </c>
      <c r="I94">
        <v>2</v>
      </c>
      <c r="J94">
        <v>0.381818181818181</v>
      </c>
      <c r="K94" t="s">
        <v>251</v>
      </c>
      <c r="L94">
        <v>1</v>
      </c>
      <c r="M94">
        <v>1.31893855312279</v>
      </c>
      <c r="N94" t="s">
        <v>178</v>
      </c>
      <c r="O94">
        <v>1</v>
      </c>
      <c r="P94">
        <v>1.3333333333333299</v>
      </c>
      <c r="Q94" t="s">
        <v>262</v>
      </c>
      <c r="R94">
        <v>3</v>
      </c>
      <c r="S94">
        <v>1.16336633663366</v>
      </c>
      <c r="T94" t="s">
        <v>196</v>
      </c>
      <c r="U94">
        <v>2</v>
      </c>
      <c r="V94">
        <v>0.78387008558007798</v>
      </c>
      <c r="W94" t="s">
        <v>251</v>
      </c>
      <c r="X94">
        <v>1</v>
      </c>
      <c r="Y94">
        <v>0.99663606419510797</v>
      </c>
      <c r="Z94" t="s">
        <v>196</v>
      </c>
      <c r="AA94">
        <v>2</v>
      </c>
      <c r="AB94">
        <v>0.90707918917988695</v>
      </c>
      <c r="AC94" t="s">
        <v>254</v>
      </c>
      <c r="AD94">
        <v>2</v>
      </c>
      <c r="AE94">
        <v>1.49173553719008</v>
      </c>
      <c r="AF94" t="s">
        <v>266</v>
      </c>
      <c r="AG94">
        <v>2</v>
      </c>
      <c r="AH94">
        <v>1.1319942611190801</v>
      </c>
      <c r="AI94" t="s">
        <v>254</v>
      </c>
      <c r="AJ94">
        <v>2</v>
      </c>
      <c r="AK94">
        <v>0.77906976744185996</v>
      </c>
      <c r="AL94" t="s">
        <v>201</v>
      </c>
      <c r="AM94">
        <v>3</v>
      </c>
      <c r="AN94">
        <v>1.92166562073166</v>
      </c>
      <c r="AO94" t="s">
        <v>279</v>
      </c>
      <c r="AP94">
        <v>2</v>
      </c>
      <c r="AQ94">
        <v>1.1111111111111101</v>
      </c>
      <c r="AR94" t="s">
        <v>201</v>
      </c>
      <c r="AS94">
        <v>2</v>
      </c>
      <c r="AT94">
        <v>0.83064647894994803</v>
      </c>
      <c r="AU94" t="s">
        <v>272</v>
      </c>
      <c r="AV94">
        <v>2</v>
      </c>
      <c r="AW94">
        <v>1.1399999999999999</v>
      </c>
      <c r="AX94" t="s">
        <v>276</v>
      </c>
      <c r="AY94">
        <v>3</v>
      </c>
      <c r="AZ94">
        <v>0.83545105323145696</v>
      </c>
      <c r="BA94" t="s">
        <v>204</v>
      </c>
      <c r="BB94">
        <v>2</v>
      </c>
      <c r="BC94">
        <v>1.17879161528976</v>
      </c>
      <c r="BD94" t="s">
        <v>204</v>
      </c>
      <c r="BE94">
        <v>2</v>
      </c>
      <c r="BF94">
        <v>0.87552301255230103</v>
      </c>
      <c r="BG94" t="s">
        <v>204</v>
      </c>
      <c r="BH94">
        <v>2</v>
      </c>
      <c r="BI94">
        <v>0.97371565113500602</v>
      </c>
      <c r="BJ94" t="s">
        <v>291</v>
      </c>
      <c r="BK94">
        <v>3</v>
      </c>
      <c r="BL94">
        <v>1.08757062146892</v>
      </c>
      <c r="BM94" t="s">
        <v>266</v>
      </c>
      <c r="BN94">
        <v>2</v>
      </c>
      <c r="BO94">
        <v>1.0874999999999999</v>
      </c>
      <c r="BP94" t="s">
        <v>262</v>
      </c>
      <c r="BQ94">
        <v>3</v>
      </c>
      <c r="BR94">
        <v>1.1328903654485001</v>
      </c>
      <c r="BS94" t="s">
        <v>293</v>
      </c>
      <c r="BT94">
        <v>2</v>
      </c>
      <c r="BU94">
        <v>1.0318021201413401</v>
      </c>
      <c r="BV94" t="s">
        <v>264</v>
      </c>
      <c r="BW94">
        <v>1</v>
      </c>
      <c r="BX94">
        <v>1.0175644028102999</v>
      </c>
      <c r="BY94" t="s">
        <v>272</v>
      </c>
      <c r="BZ94">
        <v>2</v>
      </c>
      <c r="CA94">
        <v>1.01442307692307</v>
      </c>
      <c r="CB94" t="s">
        <v>276</v>
      </c>
      <c r="CC94">
        <v>3</v>
      </c>
      <c r="CD94">
        <v>1.2951511431640299</v>
      </c>
      <c r="CE94" t="s">
        <v>256</v>
      </c>
      <c r="CF94">
        <v>3</v>
      </c>
      <c r="CG94">
        <v>1.12565445026178</v>
      </c>
      <c r="CH94" t="s">
        <v>266</v>
      </c>
      <c r="CI94">
        <v>2</v>
      </c>
      <c r="CJ94">
        <v>1.77659574468085</v>
      </c>
      <c r="CK94" t="s">
        <v>285</v>
      </c>
      <c r="CL94">
        <v>3</v>
      </c>
      <c r="CM94">
        <v>0.86122448979591804</v>
      </c>
      <c r="CN94" t="s">
        <v>219</v>
      </c>
      <c r="CO94">
        <v>3</v>
      </c>
      <c r="CP94">
        <v>1.06798866855524</v>
      </c>
      <c r="CQ94" t="s">
        <v>272</v>
      </c>
      <c r="CR94">
        <v>2</v>
      </c>
      <c r="CS94">
        <v>1.0756646216768899</v>
      </c>
      <c r="CT94" t="s">
        <v>288</v>
      </c>
      <c r="CU94">
        <v>3</v>
      </c>
      <c r="CV94">
        <v>1.02079395085066</v>
      </c>
      <c r="CW94" t="s">
        <v>322</v>
      </c>
      <c r="CX94">
        <v>1</v>
      </c>
      <c r="CY94">
        <v>0.98272138228941597</v>
      </c>
      <c r="CZ94" t="s">
        <v>240</v>
      </c>
      <c r="DA94">
        <v>2</v>
      </c>
      <c r="DB94">
        <v>0.84210526315789402</v>
      </c>
      <c r="DC94" t="s">
        <v>294</v>
      </c>
      <c r="DD94">
        <v>3</v>
      </c>
      <c r="DE94">
        <v>1.06407766990291</v>
      </c>
      <c r="DF94" t="s">
        <v>322</v>
      </c>
      <c r="DG94">
        <v>1</v>
      </c>
      <c r="DH94">
        <v>1.0313901345291401</v>
      </c>
    </row>
    <row r="95" spans="1:112" x14ac:dyDescent="0.4">
      <c r="A95">
        <v>93</v>
      </c>
      <c r="B95" t="s">
        <v>247</v>
      </c>
      <c r="C95">
        <v>3</v>
      </c>
      <c r="D95">
        <v>0.89986996098829597</v>
      </c>
      <c r="E95" t="s">
        <v>262</v>
      </c>
      <c r="F95">
        <v>3</v>
      </c>
      <c r="G95">
        <v>0.77857142857142803</v>
      </c>
      <c r="H95" t="s">
        <v>249</v>
      </c>
      <c r="I95">
        <v>1</v>
      </c>
      <c r="J95">
        <v>0.32372883189887902</v>
      </c>
      <c r="K95" t="s">
        <v>196</v>
      </c>
      <c r="L95">
        <v>2</v>
      </c>
      <c r="M95">
        <v>1.58241025641025</v>
      </c>
      <c r="N95" t="s">
        <v>183</v>
      </c>
      <c r="O95">
        <v>2</v>
      </c>
      <c r="P95">
        <v>1.3541597697929599</v>
      </c>
      <c r="Q95" t="s">
        <v>197</v>
      </c>
      <c r="R95">
        <v>1</v>
      </c>
      <c r="S95">
        <v>1.42995169082125</v>
      </c>
      <c r="T95" t="s">
        <v>256</v>
      </c>
      <c r="U95">
        <v>2</v>
      </c>
      <c r="V95">
        <v>1.00314960629921</v>
      </c>
      <c r="W95" t="s">
        <v>254</v>
      </c>
      <c r="X95">
        <v>3</v>
      </c>
      <c r="Y95">
        <v>0.90647482014388403</v>
      </c>
      <c r="Z95" t="s">
        <v>256</v>
      </c>
      <c r="AA95">
        <v>2</v>
      </c>
      <c r="AB95">
        <v>0.89527027027026995</v>
      </c>
      <c r="AC95" t="s">
        <v>196</v>
      </c>
      <c r="AD95">
        <v>2</v>
      </c>
      <c r="AE95">
        <v>1.0894386058099601</v>
      </c>
      <c r="AF95" t="s">
        <v>201</v>
      </c>
      <c r="AG95">
        <v>3</v>
      </c>
      <c r="AH95">
        <v>1.23551838642233</v>
      </c>
      <c r="AI95" t="s">
        <v>196</v>
      </c>
      <c r="AJ95">
        <v>2</v>
      </c>
      <c r="AK95">
        <v>0.89439633317784495</v>
      </c>
      <c r="AL95" t="s">
        <v>297</v>
      </c>
      <c r="AM95">
        <v>3</v>
      </c>
      <c r="AN95">
        <v>0.86601307189542398</v>
      </c>
      <c r="AO95" t="s">
        <v>272</v>
      </c>
      <c r="AP95">
        <v>2</v>
      </c>
      <c r="AQ95">
        <v>1.1055618615209899</v>
      </c>
      <c r="AR95" t="s">
        <v>291</v>
      </c>
      <c r="AS95">
        <v>3</v>
      </c>
      <c r="AT95">
        <v>0.94300518134714995</v>
      </c>
      <c r="AU95" t="s">
        <v>301</v>
      </c>
      <c r="AV95">
        <v>3</v>
      </c>
      <c r="AW95">
        <v>1.06181818181818</v>
      </c>
      <c r="AX95" t="s">
        <v>292</v>
      </c>
      <c r="AY95">
        <v>3</v>
      </c>
      <c r="AZ95">
        <v>0.87132867132867098</v>
      </c>
      <c r="BA95" t="s">
        <v>301</v>
      </c>
      <c r="BB95">
        <v>3</v>
      </c>
      <c r="BC95">
        <v>1.14859437751004</v>
      </c>
      <c r="BD95" t="s">
        <v>286</v>
      </c>
      <c r="BE95">
        <v>3</v>
      </c>
      <c r="BF95">
        <v>1.1521739130434701</v>
      </c>
      <c r="BG95" t="s">
        <v>277</v>
      </c>
      <c r="BH95">
        <v>2</v>
      </c>
      <c r="BI95">
        <v>1.2462987886944801</v>
      </c>
      <c r="BJ95" t="s">
        <v>272</v>
      </c>
      <c r="BK95">
        <v>2</v>
      </c>
      <c r="BL95">
        <v>1.2</v>
      </c>
      <c r="BM95" t="s">
        <v>201</v>
      </c>
      <c r="BN95">
        <v>2</v>
      </c>
      <c r="BO95">
        <v>1.41227545962667</v>
      </c>
      <c r="BP95" t="s">
        <v>266</v>
      </c>
      <c r="BQ95">
        <v>2</v>
      </c>
      <c r="BR95">
        <v>1.57088122605363</v>
      </c>
      <c r="BS95" t="s">
        <v>272</v>
      </c>
      <c r="BT95">
        <v>2</v>
      </c>
      <c r="BU95">
        <v>0.98457583547557803</v>
      </c>
      <c r="BV95" t="s">
        <v>293</v>
      </c>
      <c r="BW95">
        <v>2</v>
      </c>
      <c r="BX95">
        <v>1.1763698630136901</v>
      </c>
      <c r="BY95" t="s">
        <v>276</v>
      </c>
      <c r="BZ95">
        <v>3</v>
      </c>
      <c r="CA95">
        <v>0.90510746154647403</v>
      </c>
      <c r="CB95" t="s">
        <v>204</v>
      </c>
      <c r="CC95">
        <v>2</v>
      </c>
      <c r="CD95">
        <v>0.89421157684630703</v>
      </c>
      <c r="CE95" t="s">
        <v>194</v>
      </c>
      <c r="CF95">
        <v>1</v>
      </c>
      <c r="CG95">
        <v>0.84983498349834896</v>
      </c>
      <c r="CH95" t="s">
        <v>264</v>
      </c>
      <c r="CI95">
        <v>1</v>
      </c>
      <c r="CJ95">
        <v>1.34272300469483</v>
      </c>
      <c r="CK95" t="s">
        <v>213</v>
      </c>
      <c r="CL95">
        <v>1</v>
      </c>
      <c r="CM95">
        <v>1.09963768115942</v>
      </c>
      <c r="CN95" t="s">
        <v>224</v>
      </c>
      <c r="CO95">
        <v>2</v>
      </c>
      <c r="CP95">
        <v>0.79475308641975295</v>
      </c>
      <c r="CQ95" t="s">
        <v>204</v>
      </c>
      <c r="CR95">
        <v>3</v>
      </c>
      <c r="CS95">
        <v>0.99501661129568097</v>
      </c>
      <c r="CT95" t="s">
        <v>294</v>
      </c>
      <c r="CU95">
        <v>3</v>
      </c>
      <c r="CV95">
        <v>0.93267651888341496</v>
      </c>
      <c r="CW95" t="s">
        <v>250</v>
      </c>
      <c r="CX95">
        <v>3</v>
      </c>
      <c r="CY95">
        <v>0.77376425855513298</v>
      </c>
      <c r="CZ95" t="s">
        <v>258</v>
      </c>
      <c r="DA95">
        <v>2</v>
      </c>
      <c r="DB95">
        <v>0.81233595800524905</v>
      </c>
      <c r="DC95" t="s">
        <v>224</v>
      </c>
      <c r="DD95">
        <v>2</v>
      </c>
      <c r="DE95">
        <v>1.10079051383399</v>
      </c>
      <c r="DF95" t="s">
        <v>328</v>
      </c>
      <c r="DG95">
        <v>3</v>
      </c>
      <c r="DH95">
        <v>0.78463792078202699</v>
      </c>
    </row>
    <row r="96" spans="1:112" x14ac:dyDescent="0.4">
      <c r="A96">
        <v>94</v>
      </c>
      <c r="B96" t="s">
        <v>249</v>
      </c>
      <c r="C96">
        <v>2</v>
      </c>
      <c r="D96">
        <v>1.0149254212519501</v>
      </c>
      <c r="E96" t="s">
        <v>270</v>
      </c>
      <c r="F96">
        <v>2</v>
      </c>
      <c r="G96">
        <v>0.48993202238757899</v>
      </c>
      <c r="H96" t="s">
        <v>251</v>
      </c>
      <c r="I96">
        <v>1</v>
      </c>
      <c r="J96">
        <v>0.54185118364222795</v>
      </c>
      <c r="K96" t="s">
        <v>271</v>
      </c>
      <c r="L96">
        <v>2</v>
      </c>
      <c r="M96">
        <v>0.93614457831325304</v>
      </c>
      <c r="N96" t="s">
        <v>185</v>
      </c>
      <c r="O96">
        <v>2</v>
      </c>
      <c r="P96">
        <v>1.31799163179916</v>
      </c>
      <c r="Q96" t="s">
        <v>201</v>
      </c>
      <c r="R96">
        <v>3</v>
      </c>
      <c r="S96">
        <v>0.97629599785119503</v>
      </c>
      <c r="T96" t="s">
        <v>261</v>
      </c>
      <c r="U96">
        <v>2</v>
      </c>
      <c r="V96">
        <v>1.12025208652699</v>
      </c>
      <c r="W96" t="s">
        <v>196</v>
      </c>
      <c r="X96">
        <v>2</v>
      </c>
      <c r="Y96">
        <v>0.89445601649958395</v>
      </c>
      <c r="Z96" t="s">
        <v>261</v>
      </c>
      <c r="AA96">
        <v>2</v>
      </c>
      <c r="AB96">
        <v>0.90825158684362295</v>
      </c>
      <c r="AC96" t="s">
        <v>271</v>
      </c>
      <c r="AD96">
        <v>2</v>
      </c>
      <c r="AE96">
        <v>0.98373983739837401</v>
      </c>
      <c r="AF96" t="s">
        <v>293</v>
      </c>
      <c r="AG96">
        <v>3</v>
      </c>
      <c r="AH96">
        <v>1.3063063063063001</v>
      </c>
      <c r="AI96" t="s">
        <v>271</v>
      </c>
      <c r="AJ96">
        <v>2</v>
      </c>
      <c r="AK96">
        <v>1.3092369477911601</v>
      </c>
      <c r="AL96" t="s">
        <v>291</v>
      </c>
      <c r="AM96">
        <v>3</v>
      </c>
      <c r="AN96">
        <v>0.98172323759791102</v>
      </c>
      <c r="AO96" t="s">
        <v>292</v>
      </c>
      <c r="AP96">
        <v>3</v>
      </c>
      <c r="AQ96">
        <v>0.96614268440145101</v>
      </c>
      <c r="AR96" t="s">
        <v>272</v>
      </c>
      <c r="AS96">
        <v>2</v>
      </c>
      <c r="AT96">
        <v>1.0266940451745299</v>
      </c>
      <c r="AU96" t="s">
        <v>220</v>
      </c>
      <c r="AV96">
        <v>2</v>
      </c>
      <c r="AW96">
        <v>0.96654719235364395</v>
      </c>
      <c r="AX96" t="s">
        <v>286</v>
      </c>
      <c r="AY96">
        <v>3</v>
      </c>
      <c r="AZ96">
        <v>0.81660470879801705</v>
      </c>
      <c r="BA96" t="s">
        <v>298</v>
      </c>
      <c r="BB96">
        <v>3</v>
      </c>
      <c r="BC96">
        <v>1.1722365038560401</v>
      </c>
      <c r="BD96" t="s">
        <v>281</v>
      </c>
      <c r="BE96">
        <v>2</v>
      </c>
      <c r="BF96">
        <v>1.39853300733496</v>
      </c>
      <c r="BG96" t="s">
        <v>286</v>
      </c>
      <c r="BH96">
        <v>3</v>
      </c>
      <c r="BI96">
        <v>1.16627358490566</v>
      </c>
      <c r="BJ96" t="s">
        <v>276</v>
      </c>
      <c r="BK96">
        <v>3</v>
      </c>
      <c r="BL96">
        <v>1.055330781848</v>
      </c>
      <c r="BM96" t="s">
        <v>280</v>
      </c>
      <c r="BN96">
        <v>3</v>
      </c>
      <c r="BO96">
        <v>0.93384615384615299</v>
      </c>
      <c r="BP96" t="s">
        <v>264</v>
      </c>
      <c r="BQ96">
        <v>1</v>
      </c>
      <c r="BR96">
        <v>0.98395721925133695</v>
      </c>
      <c r="BS96" t="s">
        <v>276</v>
      </c>
      <c r="BT96">
        <v>3</v>
      </c>
      <c r="BU96">
        <v>1.15383613390647</v>
      </c>
      <c r="BV96" t="s">
        <v>272</v>
      </c>
      <c r="BW96">
        <v>2</v>
      </c>
      <c r="BX96">
        <v>1.0861618798955599</v>
      </c>
      <c r="BY96" t="s">
        <v>306</v>
      </c>
      <c r="BZ96">
        <v>2</v>
      </c>
      <c r="CA96">
        <v>1.23522595596755</v>
      </c>
      <c r="CB96" t="s">
        <v>292</v>
      </c>
      <c r="CC96">
        <v>3</v>
      </c>
      <c r="CD96">
        <v>1.5454545454545401</v>
      </c>
      <c r="CE96" t="s">
        <v>195</v>
      </c>
      <c r="CF96">
        <v>2</v>
      </c>
      <c r="CG96">
        <v>1.13271028037383</v>
      </c>
      <c r="CH96" t="s">
        <v>274</v>
      </c>
      <c r="CI96">
        <v>3</v>
      </c>
      <c r="CJ96">
        <v>1.06841505131128</v>
      </c>
      <c r="CK96" t="s">
        <v>294</v>
      </c>
      <c r="CL96">
        <v>3</v>
      </c>
      <c r="CM96">
        <v>1.13105413105413</v>
      </c>
      <c r="CN96" t="s">
        <v>226</v>
      </c>
      <c r="CO96">
        <v>1</v>
      </c>
      <c r="CP96">
        <v>0.99015611876883503</v>
      </c>
      <c r="CQ96" t="s">
        <v>284</v>
      </c>
      <c r="CR96">
        <v>3</v>
      </c>
      <c r="CS96">
        <v>1.10849056603773</v>
      </c>
      <c r="CT96" t="s">
        <v>219</v>
      </c>
      <c r="CU96">
        <v>3</v>
      </c>
      <c r="CV96">
        <v>1.15568862275449</v>
      </c>
      <c r="CW96" t="s">
        <v>253</v>
      </c>
      <c r="CX96">
        <v>2</v>
      </c>
      <c r="CY96">
        <v>0.98918918918918897</v>
      </c>
      <c r="CZ96" t="s">
        <v>322</v>
      </c>
      <c r="DA96">
        <v>1</v>
      </c>
      <c r="DB96">
        <v>0.75604395604395602</v>
      </c>
      <c r="DC96" t="s">
        <v>226</v>
      </c>
      <c r="DD96">
        <v>1</v>
      </c>
      <c r="DE96">
        <v>1.15845855087227</v>
      </c>
      <c r="DF96" t="s">
        <v>334</v>
      </c>
      <c r="DG96">
        <v>3</v>
      </c>
      <c r="DH96">
        <v>1.0249632892804601</v>
      </c>
    </row>
    <row r="97" spans="1:112" x14ac:dyDescent="0.4">
      <c r="A97">
        <v>95</v>
      </c>
      <c r="B97" t="s">
        <v>273</v>
      </c>
      <c r="C97">
        <v>3</v>
      </c>
      <c r="D97">
        <v>0.95838065335025702</v>
      </c>
      <c r="E97" t="s">
        <v>305</v>
      </c>
      <c r="F97">
        <v>3</v>
      </c>
      <c r="G97">
        <v>0.48998159161710497</v>
      </c>
      <c r="H97" t="s">
        <v>254</v>
      </c>
      <c r="I97">
        <v>3</v>
      </c>
      <c r="J97">
        <v>0.69822064056939503</v>
      </c>
      <c r="K97" t="s">
        <v>256</v>
      </c>
      <c r="L97">
        <v>3</v>
      </c>
      <c r="M97">
        <v>1.02564102564102</v>
      </c>
      <c r="N97" t="s">
        <v>243</v>
      </c>
      <c r="O97">
        <v>1</v>
      </c>
      <c r="P97">
        <v>1.69444444444444</v>
      </c>
      <c r="Q97" t="s">
        <v>293</v>
      </c>
      <c r="R97">
        <v>2</v>
      </c>
      <c r="S97">
        <v>1.31078224101479</v>
      </c>
      <c r="T97" t="s">
        <v>262</v>
      </c>
      <c r="U97">
        <v>3</v>
      </c>
      <c r="V97">
        <v>0.927659574468085</v>
      </c>
      <c r="W97" t="s">
        <v>271</v>
      </c>
      <c r="X97">
        <v>2</v>
      </c>
      <c r="Y97">
        <v>1.2893401015228401</v>
      </c>
      <c r="Z97" t="s">
        <v>262</v>
      </c>
      <c r="AA97">
        <v>3</v>
      </c>
      <c r="AB97">
        <v>0.87654320987654299</v>
      </c>
      <c r="AC97" t="s">
        <v>256</v>
      </c>
      <c r="AD97">
        <v>3</v>
      </c>
      <c r="AE97">
        <v>1.08679245283018</v>
      </c>
      <c r="AF97" t="s">
        <v>297</v>
      </c>
      <c r="AG97">
        <v>3</v>
      </c>
      <c r="AH97">
        <v>0.97647058823529398</v>
      </c>
      <c r="AI97" t="s">
        <v>256</v>
      </c>
      <c r="AJ97">
        <v>3</v>
      </c>
      <c r="AK97">
        <v>1.0181818181818101</v>
      </c>
      <c r="AL97" t="s">
        <v>279</v>
      </c>
      <c r="AM97">
        <v>2</v>
      </c>
      <c r="AN97">
        <v>1.0609756097560901</v>
      </c>
      <c r="AO97" t="s">
        <v>284</v>
      </c>
      <c r="AP97">
        <v>3</v>
      </c>
      <c r="AQ97">
        <v>0.62868654311039396</v>
      </c>
      <c r="AR97" t="s">
        <v>292</v>
      </c>
      <c r="AS97">
        <v>3</v>
      </c>
      <c r="AT97">
        <v>0.77471839799749598</v>
      </c>
      <c r="AU97" t="s">
        <v>296</v>
      </c>
      <c r="AV97">
        <v>2</v>
      </c>
      <c r="AW97">
        <v>0.94977029096477705</v>
      </c>
      <c r="AX97" t="s">
        <v>301</v>
      </c>
      <c r="AY97">
        <v>3</v>
      </c>
      <c r="AZ97">
        <v>0.852739726027397</v>
      </c>
      <c r="BA97" t="s">
        <v>220</v>
      </c>
      <c r="BB97">
        <v>3</v>
      </c>
      <c r="BC97">
        <v>1.0787096774193501</v>
      </c>
      <c r="BD97" t="s">
        <v>220</v>
      </c>
      <c r="BE97">
        <v>3</v>
      </c>
      <c r="BF97">
        <v>1.0358851674641101</v>
      </c>
      <c r="BG97" t="s">
        <v>281</v>
      </c>
      <c r="BH97">
        <v>2</v>
      </c>
      <c r="BI97">
        <v>1.1153846153846101</v>
      </c>
      <c r="BJ97" t="s">
        <v>204</v>
      </c>
      <c r="BK97">
        <v>2</v>
      </c>
      <c r="BL97">
        <v>1.20736196319018</v>
      </c>
      <c r="BM97" t="s">
        <v>293</v>
      </c>
      <c r="BN97">
        <v>2</v>
      </c>
      <c r="BO97">
        <v>0.80327868852458995</v>
      </c>
      <c r="BP97" t="s">
        <v>293</v>
      </c>
      <c r="BQ97">
        <v>2</v>
      </c>
      <c r="BR97">
        <v>0.82507288629737596</v>
      </c>
      <c r="BS97" t="s">
        <v>204</v>
      </c>
      <c r="BT97">
        <v>2</v>
      </c>
      <c r="BU97">
        <v>0.96332046332046295</v>
      </c>
      <c r="BV97" t="s">
        <v>276</v>
      </c>
      <c r="BW97">
        <v>3</v>
      </c>
      <c r="BX97">
        <v>1.0838037179197699</v>
      </c>
      <c r="BY97" t="s">
        <v>292</v>
      </c>
      <c r="BZ97">
        <v>3</v>
      </c>
      <c r="CA97">
        <v>1.00456621004566</v>
      </c>
      <c r="CB97" t="s">
        <v>284</v>
      </c>
      <c r="CC97">
        <v>2</v>
      </c>
      <c r="CD97">
        <v>0.84674751929437697</v>
      </c>
      <c r="CE97" t="s">
        <v>262</v>
      </c>
      <c r="CF97">
        <v>3</v>
      </c>
      <c r="CG97">
        <v>1.0860927152317801</v>
      </c>
      <c r="CH97" t="s">
        <v>272</v>
      </c>
      <c r="CI97">
        <v>2</v>
      </c>
      <c r="CJ97">
        <v>1.13801452784503</v>
      </c>
      <c r="CK97" t="s">
        <v>302</v>
      </c>
      <c r="CL97">
        <v>3</v>
      </c>
      <c r="CM97">
        <v>1.2163616792249701</v>
      </c>
      <c r="CN97" t="s">
        <v>302</v>
      </c>
      <c r="CO97">
        <v>3</v>
      </c>
      <c r="CP97">
        <v>0.980530973451327</v>
      </c>
      <c r="CQ97" t="s">
        <v>277</v>
      </c>
      <c r="CR97">
        <v>3</v>
      </c>
      <c r="CS97">
        <v>0.95141700404858298</v>
      </c>
      <c r="CT97" t="s">
        <v>224</v>
      </c>
      <c r="CU97">
        <v>2</v>
      </c>
      <c r="CV97">
        <v>1.1902071563088501</v>
      </c>
      <c r="CW97" t="s">
        <v>328</v>
      </c>
      <c r="CX97">
        <v>3</v>
      </c>
      <c r="CY97">
        <v>0.956248821358334</v>
      </c>
      <c r="CZ97" t="s">
        <v>250</v>
      </c>
      <c r="DA97">
        <v>3</v>
      </c>
      <c r="DB97">
        <v>0.97788697788697698</v>
      </c>
      <c r="DC97" t="s">
        <v>302</v>
      </c>
      <c r="DD97">
        <v>3</v>
      </c>
      <c r="DE97">
        <v>0.98036809815950898</v>
      </c>
      <c r="DF97" t="s">
        <v>338</v>
      </c>
      <c r="DG97">
        <v>3</v>
      </c>
      <c r="DH97">
        <v>1.02225312934631</v>
      </c>
    </row>
    <row r="98" spans="1:112" x14ac:dyDescent="0.4">
      <c r="A98">
        <v>96</v>
      </c>
      <c r="B98" t="s">
        <v>251</v>
      </c>
      <c r="C98">
        <v>1</v>
      </c>
      <c r="D98">
        <v>1</v>
      </c>
      <c r="E98" t="s">
        <v>266</v>
      </c>
      <c r="F98">
        <v>2</v>
      </c>
      <c r="G98">
        <v>0.59226519337016503</v>
      </c>
      <c r="H98" t="s">
        <v>196</v>
      </c>
      <c r="I98">
        <v>2</v>
      </c>
      <c r="J98">
        <v>0.421296729729145</v>
      </c>
      <c r="K98" t="s">
        <v>261</v>
      </c>
      <c r="L98">
        <v>2</v>
      </c>
      <c r="M98">
        <v>0.86389337641357</v>
      </c>
      <c r="N98" t="s">
        <v>249</v>
      </c>
      <c r="O98">
        <v>1</v>
      </c>
      <c r="P98">
        <v>1.37802597738315</v>
      </c>
      <c r="Q98" t="s">
        <v>297</v>
      </c>
      <c r="R98">
        <v>3</v>
      </c>
      <c r="S98">
        <v>1.28865979381443</v>
      </c>
      <c r="T98" t="s">
        <v>266</v>
      </c>
      <c r="U98">
        <v>2</v>
      </c>
      <c r="V98">
        <v>0.90374331550802101</v>
      </c>
      <c r="W98" t="s">
        <v>256</v>
      </c>
      <c r="X98">
        <v>2</v>
      </c>
      <c r="Y98">
        <v>0.92935635792778604</v>
      </c>
      <c r="Z98" t="s">
        <v>266</v>
      </c>
      <c r="AA98">
        <v>2</v>
      </c>
      <c r="AB98">
        <v>1.0826873385012901</v>
      </c>
      <c r="AC98" t="s">
        <v>261</v>
      </c>
      <c r="AD98">
        <v>2</v>
      </c>
      <c r="AE98">
        <v>0.96267471410419303</v>
      </c>
      <c r="AF98" t="s">
        <v>291</v>
      </c>
      <c r="AG98">
        <v>3</v>
      </c>
      <c r="AH98">
        <v>1.1493902439024299</v>
      </c>
      <c r="AI98" t="s">
        <v>261</v>
      </c>
      <c r="AJ98">
        <v>2</v>
      </c>
      <c r="AK98">
        <v>0.96635262449528903</v>
      </c>
      <c r="AL98" t="s">
        <v>272</v>
      </c>
      <c r="AM98">
        <v>2</v>
      </c>
      <c r="AN98">
        <v>1.0426035502958499</v>
      </c>
      <c r="AO98" t="s">
        <v>301</v>
      </c>
      <c r="AP98">
        <v>3</v>
      </c>
      <c r="AQ98">
        <v>1.12380952380952</v>
      </c>
      <c r="AR98" t="s">
        <v>286</v>
      </c>
      <c r="AS98">
        <v>3</v>
      </c>
      <c r="AT98">
        <v>0.934306569343065</v>
      </c>
      <c r="AU98" t="s">
        <v>288</v>
      </c>
      <c r="AV98">
        <v>3</v>
      </c>
      <c r="AW98">
        <v>1.02650176678445</v>
      </c>
      <c r="AX98" t="s">
        <v>298</v>
      </c>
      <c r="AY98">
        <v>3</v>
      </c>
      <c r="AZ98">
        <v>0.90046296296296202</v>
      </c>
      <c r="BA98" t="s">
        <v>296</v>
      </c>
      <c r="BB98">
        <v>3</v>
      </c>
      <c r="BC98">
        <v>1.1452476572958501</v>
      </c>
      <c r="BD98" t="s">
        <v>296</v>
      </c>
      <c r="BE98">
        <v>3</v>
      </c>
      <c r="BF98">
        <v>1.8167738164815801</v>
      </c>
      <c r="BG98" t="s">
        <v>220</v>
      </c>
      <c r="BH98">
        <v>3</v>
      </c>
      <c r="BI98">
        <v>1.0023094688221701</v>
      </c>
      <c r="BJ98" t="s">
        <v>277</v>
      </c>
      <c r="BK98">
        <v>2</v>
      </c>
      <c r="BL98">
        <v>1.5172786177105799</v>
      </c>
      <c r="BM98" t="s">
        <v>291</v>
      </c>
      <c r="BN98">
        <v>3</v>
      </c>
      <c r="BO98">
        <v>1.0441558441558401</v>
      </c>
      <c r="BP98" t="s">
        <v>291</v>
      </c>
      <c r="BQ98">
        <v>3</v>
      </c>
      <c r="BR98">
        <v>1.318407960199</v>
      </c>
      <c r="BS98" t="s">
        <v>292</v>
      </c>
      <c r="BT98">
        <v>3</v>
      </c>
      <c r="BU98">
        <v>0.99583333333333302</v>
      </c>
      <c r="BV98" t="s">
        <v>204</v>
      </c>
      <c r="BW98">
        <v>2</v>
      </c>
      <c r="BX98">
        <v>1.17034068136272</v>
      </c>
      <c r="BY98" t="s">
        <v>284</v>
      </c>
      <c r="BZ98">
        <v>2</v>
      </c>
      <c r="CA98">
        <v>0.94380853277835497</v>
      </c>
      <c r="CB98" t="s">
        <v>285</v>
      </c>
      <c r="CC98">
        <v>3</v>
      </c>
      <c r="CD98">
        <v>0.83449235048678705</v>
      </c>
      <c r="CE98" t="s">
        <v>265</v>
      </c>
      <c r="CF98">
        <v>3</v>
      </c>
      <c r="CG98">
        <v>1.260663507109</v>
      </c>
      <c r="CH98" t="s">
        <v>204</v>
      </c>
      <c r="CI98">
        <v>2</v>
      </c>
      <c r="CJ98">
        <v>1.2678386763185101</v>
      </c>
      <c r="CK98" t="s">
        <v>229</v>
      </c>
      <c r="CL98">
        <v>1</v>
      </c>
      <c r="CM98">
        <v>0.952755905511811</v>
      </c>
      <c r="CN98" t="s">
        <v>229</v>
      </c>
      <c r="CO98">
        <v>1</v>
      </c>
      <c r="CP98">
        <v>1.37190082644628</v>
      </c>
      <c r="CQ98" t="s">
        <v>208</v>
      </c>
      <c r="CR98">
        <v>2</v>
      </c>
      <c r="CS98">
        <v>1.1203830369357</v>
      </c>
      <c r="CT98" t="s">
        <v>302</v>
      </c>
      <c r="CU98">
        <v>3</v>
      </c>
      <c r="CV98">
        <v>0.95023696682464398</v>
      </c>
      <c r="CW98" t="s">
        <v>257</v>
      </c>
      <c r="CX98">
        <v>1</v>
      </c>
      <c r="CY98">
        <v>1.0215686274509801</v>
      </c>
      <c r="CZ98" t="s">
        <v>253</v>
      </c>
      <c r="DA98">
        <v>2</v>
      </c>
      <c r="DB98">
        <v>1.10382513661202</v>
      </c>
      <c r="DC98" t="s">
        <v>309</v>
      </c>
      <c r="DD98">
        <v>3</v>
      </c>
      <c r="DE98">
        <v>0.99325842696629196</v>
      </c>
      <c r="DF98" t="s">
        <v>342</v>
      </c>
      <c r="DG98">
        <v>3</v>
      </c>
      <c r="DH98">
        <v>1.1299093655589101</v>
      </c>
    </row>
    <row r="99" spans="1:112" x14ac:dyDescent="0.4">
      <c r="A99">
        <v>97</v>
      </c>
      <c r="B99" t="s">
        <v>254</v>
      </c>
      <c r="C99">
        <v>3</v>
      </c>
      <c r="D99">
        <v>1</v>
      </c>
      <c r="E99" t="s">
        <v>201</v>
      </c>
      <c r="F99">
        <v>2</v>
      </c>
      <c r="G99">
        <v>0.68360660977402699</v>
      </c>
      <c r="H99" t="s">
        <v>256</v>
      </c>
      <c r="I99">
        <v>3</v>
      </c>
      <c r="J99">
        <v>0.93023255813953398</v>
      </c>
      <c r="K99" t="s">
        <v>195</v>
      </c>
      <c r="L99">
        <v>1</v>
      </c>
      <c r="M99">
        <v>0.958515761821366</v>
      </c>
      <c r="N99" t="s">
        <v>251</v>
      </c>
      <c r="O99">
        <v>1</v>
      </c>
      <c r="P99">
        <v>1.2233782129742901</v>
      </c>
      <c r="Q99" t="s">
        <v>279</v>
      </c>
      <c r="R99">
        <v>2</v>
      </c>
      <c r="S99">
        <v>1</v>
      </c>
      <c r="T99" t="s">
        <v>293</v>
      </c>
      <c r="U99">
        <v>2</v>
      </c>
      <c r="V99">
        <v>0.869354838709677</v>
      </c>
      <c r="W99" t="s">
        <v>261</v>
      </c>
      <c r="X99">
        <v>2</v>
      </c>
      <c r="Y99">
        <v>1.0539759768891499</v>
      </c>
      <c r="Z99" t="s">
        <v>293</v>
      </c>
      <c r="AA99">
        <v>2</v>
      </c>
      <c r="AB99">
        <v>1.12544169611307</v>
      </c>
      <c r="AC99" t="s">
        <v>262</v>
      </c>
      <c r="AD99">
        <v>3</v>
      </c>
      <c r="AE99">
        <v>1.10328638497652</v>
      </c>
      <c r="AF99" t="s">
        <v>272</v>
      </c>
      <c r="AG99">
        <v>2</v>
      </c>
      <c r="AH99">
        <v>1.1024691358024601</v>
      </c>
      <c r="AI99" t="s">
        <v>262</v>
      </c>
      <c r="AJ99">
        <v>3</v>
      </c>
      <c r="AK99">
        <v>0.97950819672131095</v>
      </c>
      <c r="AL99" t="s">
        <v>204</v>
      </c>
      <c r="AM99">
        <v>2</v>
      </c>
      <c r="AN99">
        <v>1.3212851405622399</v>
      </c>
      <c r="AO99" t="s">
        <v>281</v>
      </c>
      <c r="AP99">
        <v>2</v>
      </c>
      <c r="AQ99">
        <v>0.92073170731707299</v>
      </c>
      <c r="AR99" t="s">
        <v>312</v>
      </c>
      <c r="AS99">
        <v>2</v>
      </c>
      <c r="AT99">
        <v>1.1974110032362399</v>
      </c>
      <c r="AU99" t="s">
        <v>294</v>
      </c>
      <c r="AV99">
        <v>3</v>
      </c>
      <c r="AW99">
        <v>1.1837524177949701</v>
      </c>
      <c r="AX99" t="s">
        <v>220</v>
      </c>
      <c r="AY99">
        <v>2</v>
      </c>
      <c r="AZ99">
        <v>0.95797280593325096</v>
      </c>
      <c r="BA99" t="s">
        <v>288</v>
      </c>
      <c r="BB99">
        <v>3</v>
      </c>
      <c r="BC99">
        <v>1.09756097560975</v>
      </c>
      <c r="BD99" t="s">
        <v>288</v>
      </c>
      <c r="BE99">
        <v>3</v>
      </c>
      <c r="BF99">
        <v>1.3037037037037</v>
      </c>
      <c r="BG99" t="s">
        <v>294</v>
      </c>
      <c r="BH99">
        <v>3</v>
      </c>
      <c r="BI99">
        <v>0.89837398373983701</v>
      </c>
      <c r="BJ99" t="s">
        <v>286</v>
      </c>
      <c r="BK99">
        <v>3</v>
      </c>
      <c r="BL99">
        <v>1.31850353892821</v>
      </c>
      <c r="BM99" t="s">
        <v>272</v>
      </c>
      <c r="BN99">
        <v>2</v>
      </c>
      <c r="BO99">
        <v>1.0752688172042999</v>
      </c>
      <c r="BP99" t="s">
        <v>272</v>
      </c>
      <c r="BQ99">
        <v>2</v>
      </c>
      <c r="BR99">
        <v>0.97250000000000003</v>
      </c>
      <c r="BS99" t="s">
        <v>284</v>
      </c>
      <c r="BT99">
        <v>2</v>
      </c>
      <c r="BU99">
        <v>0.91796875</v>
      </c>
      <c r="BV99" t="s">
        <v>292</v>
      </c>
      <c r="BW99">
        <v>3</v>
      </c>
      <c r="BX99">
        <v>1.2217573221757301</v>
      </c>
      <c r="BY99" t="s">
        <v>208</v>
      </c>
      <c r="BZ99">
        <v>2</v>
      </c>
      <c r="CA99">
        <v>1.15300546448087</v>
      </c>
      <c r="CB99" t="s">
        <v>288</v>
      </c>
      <c r="CC99">
        <v>3</v>
      </c>
      <c r="CD99">
        <v>0.82378854625550602</v>
      </c>
      <c r="CE99" t="s">
        <v>266</v>
      </c>
      <c r="CF99">
        <v>2</v>
      </c>
      <c r="CG99">
        <v>1.1944091486658099</v>
      </c>
      <c r="CH99" t="s">
        <v>277</v>
      </c>
      <c r="CI99">
        <v>2</v>
      </c>
      <c r="CJ99">
        <v>0.78996865203761701</v>
      </c>
      <c r="CK99" t="s">
        <v>325</v>
      </c>
      <c r="CL99">
        <v>3</v>
      </c>
      <c r="CM99">
        <v>0.83832335329341301</v>
      </c>
      <c r="CN99" t="s">
        <v>240</v>
      </c>
      <c r="CO99">
        <v>1</v>
      </c>
      <c r="CP99">
        <v>0.93145654834761304</v>
      </c>
      <c r="CQ99" t="s">
        <v>299</v>
      </c>
      <c r="CR99">
        <v>3</v>
      </c>
      <c r="CS99">
        <v>0.83730158730158699</v>
      </c>
      <c r="CT99" t="s">
        <v>240</v>
      </c>
      <c r="CU99">
        <v>1</v>
      </c>
      <c r="CV99">
        <v>1.0722891566265</v>
      </c>
      <c r="CW99" t="s">
        <v>334</v>
      </c>
      <c r="CX99">
        <v>3</v>
      </c>
      <c r="CY99">
        <v>0.96031746031746001</v>
      </c>
      <c r="CZ99" t="s">
        <v>257</v>
      </c>
      <c r="DA99">
        <v>1</v>
      </c>
      <c r="DB99">
        <v>0.95585412667946201</v>
      </c>
      <c r="DC99" t="s">
        <v>229</v>
      </c>
      <c r="DD99">
        <v>1</v>
      </c>
      <c r="DE99">
        <v>1.09032258064516</v>
      </c>
      <c r="DF99" t="s">
        <v>348</v>
      </c>
      <c r="DG99">
        <v>3</v>
      </c>
      <c r="DH99">
        <v>1.0200729927007299</v>
      </c>
    </row>
    <row r="100" spans="1:112" x14ac:dyDescent="0.4">
      <c r="A100">
        <v>98</v>
      </c>
      <c r="B100" t="s">
        <v>283</v>
      </c>
      <c r="C100">
        <v>3</v>
      </c>
      <c r="D100">
        <v>0.63548113771553605</v>
      </c>
      <c r="E100" t="s">
        <v>297</v>
      </c>
      <c r="F100">
        <v>2</v>
      </c>
      <c r="G100">
        <v>0.795053003533568</v>
      </c>
      <c r="H100" t="s">
        <v>261</v>
      </c>
      <c r="I100">
        <v>2</v>
      </c>
      <c r="J100">
        <v>0.830872483221476</v>
      </c>
      <c r="K100" t="s">
        <v>265</v>
      </c>
      <c r="L100">
        <v>2</v>
      </c>
      <c r="M100">
        <v>1.3196480938416399</v>
      </c>
      <c r="N100" t="s">
        <v>196</v>
      </c>
      <c r="O100">
        <v>2</v>
      </c>
      <c r="P100">
        <v>1.38194466949692</v>
      </c>
      <c r="Q100" t="s">
        <v>272</v>
      </c>
      <c r="R100">
        <v>2</v>
      </c>
      <c r="S100">
        <v>0.90950744558991903</v>
      </c>
      <c r="T100" t="s">
        <v>297</v>
      </c>
      <c r="U100">
        <v>3</v>
      </c>
      <c r="V100">
        <v>0.84199999999999997</v>
      </c>
      <c r="W100" t="s">
        <v>262</v>
      </c>
      <c r="X100">
        <v>3</v>
      </c>
      <c r="Y100">
        <v>1.11467889908256</v>
      </c>
      <c r="Z100" t="s">
        <v>297</v>
      </c>
      <c r="AA100">
        <v>3</v>
      </c>
      <c r="AB100">
        <v>0.88048780487804801</v>
      </c>
      <c r="AC100" t="s">
        <v>266</v>
      </c>
      <c r="AD100">
        <v>2</v>
      </c>
      <c r="AE100">
        <v>1.6634844868734999</v>
      </c>
      <c r="AF100" t="s">
        <v>306</v>
      </c>
      <c r="AG100">
        <v>3</v>
      </c>
      <c r="AH100">
        <v>1.17077464788732</v>
      </c>
      <c r="AI100" t="s">
        <v>266</v>
      </c>
      <c r="AJ100">
        <v>2</v>
      </c>
      <c r="AK100">
        <v>1.1596958174904901</v>
      </c>
      <c r="AL100" t="s">
        <v>277</v>
      </c>
      <c r="AM100">
        <v>2</v>
      </c>
      <c r="AN100">
        <v>1.8777943368107299</v>
      </c>
      <c r="AO100" t="s">
        <v>220</v>
      </c>
      <c r="AP100">
        <v>2</v>
      </c>
      <c r="AQ100">
        <v>0.95343422584400395</v>
      </c>
      <c r="AR100" t="s">
        <v>208</v>
      </c>
      <c r="AS100">
        <v>2</v>
      </c>
      <c r="AT100">
        <v>1.5796703296703201</v>
      </c>
      <c r="AU100" t="s">
        <v>313</v>
      </c>
      <c r="AV100">
        <v>3</v>
      </c>
      <c r="AW100">
        <v>1.0931506849315</v>
      </c>
      <c r="AX100" t="s">
        <v>296</v>
      </c>
      <c r="AY100">
        <v>2</v>
      </c>
      <c r="AZ100">
        <v>0.96356014188971295</v>
      </c>
      <c r="BA100" t="s">
        <v>294</v>
      </c>
      <c r="BB100">
        <v>3</v>
      </c>
      <c r="BC100">
        <v>0.99802761341222801</v>
      </c>
      <c r="BD100" t="s">
        <v>294</v>
      </c>
      <c r="BE100">
        <v>3</v>
      </c>
      <c r="BF100">
        <v>0.97233201581027595</v>
      </c>
      <c r="BG100" t="s">
        <v>224</v>
      </c>
      <c r="BH100">
        <v>2</v>
      </c>
      <c r="BI100">
        <v>1.0925196850393699</v>
      </c>
      <c r="BJ100" t="s">
        <v>281</v>
      </c>
      <c r="BK100">
        <v>2</v>
      </c>
      <c r="BL100">
        <v>1.1293103448275801</v>
      </c>
      <c r="BM100" t="s">
        <v>204</v>
      </c>
      <c r="BN100">
        <v>2</v>
      </c>
      <c r="BO100">
        <v>1.0243902439024299</v>
      </c>
      <c r="BP100" t="s">
        <v>276</v>
      </c>
      <c r="BQ100">
        <v>3</v>
      </c>
      <c r="BR100">
        <v>0.99563375410686406</v>
      </c>
      <c r="BS100" t="s">
        <v>286</v>
      </c>
      <c r="BT100">
        <v>3</v>
      </c>
      <c r="BU100">
        <v>1.1599999999999999</v>
      </c>
      <c r="BV100" t="s">
        <v>284</v>
      </c>
      <c r="BW100">
        <v>2</v>
      </c>
      <c r="BX100">
        <v>0.81787234042553103</v>
      </c>
      <c r="BY100" t="s">
        <v>288</v>
      </c>
      <c r="BZ100">
        <v>3</v>
      </c>
      <c r="CA100">
        <v>0.95244755244755197</v>
      </c>
      <c r="CB100" t="s">
        <v>294</v>
      </c>
      <c r="CC100">
        <v>3</v>
      </c>
      <c r="CD100">
        <v>0.91666666666666596</v>
      </c>
      <c r="CE100" t="s">
        <v>293</v>
      </c>
      <c r="CF100">
        <v>3</v>
      </c>
      <c r="CG100">
        <v>1.27027027027027</v>
      </c>
      <c r="CH100" t="s">
        <v>285</v>
      </c>
      <c r="CI100">
        <v>3</v>
      </c>
      <c r="CJ100">
        <v>1.0068493150684901</v>
      </c>
      <c r="CK100" t="s">
        <v>235</v>
      </c>
      <c r="CL100">
        <v>1</v>
      </c>
      <c r="CM100">
        <v>0.62847579814624099</v>
      </c>
      <c r="CN100" t="s">
        <v>316</v>
      </c>
      <c r="CO100">
        <v>3</v>
      </c>
      <c r="CP100">
        <v>1.0034423407917299</v>
      </c>
      <c r="CQ100" t="s">
        <v>294</v>
      </c>
      <c r="CR100">
        <v>3</v>
      </c>
      <c r="CS100">
        <v>0.93981481481481399</v>
      </c>
      <c r="CT100" t="s">
        <v>332</v>
      </c>
      <c r="CU100">
        <v>3</v>
      </c>
      <c r="CV100">
        <v>1.02521008403361</v>
      </c>
      <c r="CW100" t="s">
        <v>338</v>
      </c>
      <c r="CX100">
        <v>3</v>
      </c>
      <c r="CY100">
        <v>1.0645695364238399</v>
      </c>
      <c r="CZ100" t="s">
        <v>334</v>
      </c>
      <c r="DA100">
        <v>3</v>
      </c>
      <c r="DB100">
        <v>0.91460055096418702</v>
      </c>
      <c r="DC100" t="s">
        <v>240</v>
      </c>
      <c r="DD100">
        <v>2</v>
      </c>
      <c r="DE100">
        <v>1.2105978260869501</v>
      </c>
      <c r="DF100" t="s">
        <v>341</v>
      </c>
      <c r="DG100">
        <v>3</v>
      </c>
      <c r="DH100">
        <v>1.0216718266253799</v>
      </c>
    </row>
    <row r="101" spans="1:112" x14ac:dyDescent="0.4">
      <c r="A101">
        <v>99</v>
      </c>
      <c r="B101" t="s">
        <v>271</v>
      </c>
      <c r="C101">
        <v>2</v>
      </c>
      <c r="D101">
        <v>1.32323232323232</v>
      </c>
      <c r="E101" t="s">
        <v>291</v>
      </c>
      <c r="F101">
        <v>3</v>
      </c>
      <c r="G101">
        <v>1.0186915887850401</v>
      </c>
      <c r="H101" t="s">
        <v>262</v>
      </c>
      <c r="I101">
        <v>3</v>
      </c>
      <c r="J101">
        <v>0.652293577981651</v>
      </c>
      <c r="K101" t="s">
        <v>197</v>
      </c>
      <c r="L101">
        <v>1</v>
      </c>
      <c r="M101">
        <v>0.96801346801346799</v>
      </c>
      <c r="N101" t="s">
        <v>271</v>
      </c>
      <c r="O101">
        <v>2</v>
      </c>
      <c r="P101">
        <v>1.24839124839124</v>
      </c>
      <c r="Q101" t="s">
        <v>319</v>
      </c>
      <c r="R101">
        <v>3</v>
      </c>
      <c r="S101">
        <v>0.87336775976054903</v>
      </c>
      <c r="T101" t="s">
        <v>279</v>
      </c>
      <c r="U101">
        <v>2</v>
      </c>
      <c r="V101">
        <v>0.98909090909090902</v>
      </c>
      <c r="W101" t="s">
        <v>270</v>
      </c>
      <c r="X101">
        <v>3</v>
      </c>
      <c r="Y101">
        <v>0.811328811856317</v>
      </c>
      <c r="Z101" t="s">
        <v>272</v>
      </c>
      <c r="AA101">
        <v>2</v>
      </c>
      <c r="AB101">
        <v>0.98069498069497996</v>
      </c>
      <c r="AC101" t="s">
        <v>201</v>
      </c>
      <c r="AD101">
        <v>3</v>
      </c>
      <c r="AE101">
        <v>1.5206657939031201</v>
      </c>
      <c r="AF101" t="s">
        <v>204</v>
      </c>
      <c r="AG101">
        <v>2</v>
      </c>
      <c r="AH101">
        <v>1.38055555555555</v>
      </c>
      <c r="AI101" t="s">
        <v>201</v>
      </c>
      <c r="AJ101">
        <v>3</v>
      </c>
      <c r="AK101">
        <v>0.89883203928595101</v>
      </c>
      <c r="AL101" t="s">
        <v>281</v>
      </c>
      <c r="AM101">
        <v>2</v>
      </c>
      <c r="AN101">
        <v>0.870488322717622</v>
      </c>
      <c r="AO101" t="s">
        <v>296</v>
      </c>
      <c r="AP101">
        <v>2</v>
      </c>
      <c r="AQ101">
        <v>0.86835384258184301</v>
      </c>
      <c r="AR101" t="s">
        <v>301</v>
      </c>
      <c r="AS101">
        <v>3</v>
      </c>
      <c r="AT101">
        <v>1.16525423728813</v>
      </c>
      <c r="AU101" t="s">
        <v>321</v>
      </c>
      <c r="AV101">
        <v>3</v>
      </c>
      <c r="AW101">
        <v>0.97021276595744599</v>
      </c>
      <c r="AX101" t="s">
        <v>294</v>
      </c>
      <c r="AY101">
        <v>3</v>
      </c>
      <c r="AZ101">
        <v>0.828431372549019</v>
      </c>
      <c r="BA101" t="s">
        <v>313</v>
      </c>
      <c r="BB101">
        <v>2</v>
      </c>
      <c r="BC101">
        <v>1.17086092715231</v>
      </c>
      <c r="BD101" t="s">
        <v>313</v>
      </c>
      <c r="BE101">
        <v>2</v>
      </c>
      <c r="BF101">
        <v>1.25791855203619</v>
      </c>
      <c r="BG101" t="s">
        <v>302</v>
      </c>
      <c r="BH101">
        <v>2</v>
      </c>
      <c r="BI101">
        <v>1.0065445026177999</v>
      </c>
      <c r="BJ101" t="s">
        <v>220</v>
      </c>
      <c r="BK101">
        <v>3</v>
      </c>
      <c r="BL101">
        <v>1.3306451612903201</v>
      </c>
      <c r="BM101" t="s">
        <v>292</v>
      </c>
      <c r="BN101">
        <v>3</v>
      </c>
      <c r="BO101">
        <v>0.83866666666666601</v>
      </c>
      <c r="BP101" t="s">
        <v>204</v>
      </c>
      <c r="BQ101">
        <v>2</v>
      </c>
      <c r="BR101">
        <v>1.0277777777777699</v>
      </c>
      <c r="BS101" t="s">
        <v>299</v>
      </c>
      <c r="BT101">
        <v>3</v>
      </c>
      <c r="BU101">
        <v>1.27519379844961</v>
      </c>
      <c r="BV101" t="s">
        <v>324</v>
      </c>
      <c r="BW101">
        <v>3</v>
      </c>
      <c r="BX101">
        <v>1.57392686804451</v>
      </c>
      <c r="BY101" t="s">
        <v>294</v>
      </c>
      <c r="BZ101">
        <v>3</v>
      </c>
      <c r="CA101">
        <v>0.99797160243407701</v>
      </c>
      <c r="CB101" t="s">
        <v>219</v>
      </c>
      <c r="CC101">
        <v>3</v>
      </c>
      <c r="CD101">
        <v>1.13876651982378</v>
      </c>
      <c r="CE101" t="s">
        <v>272</v>
      </c>
      <c r="CF101">
        <v>2</v>
      </c>
      <c r="CG101">
        <v>1.0868421052631501</v>
      </c>
      <c r="CH101" t="s">
        <v>224</v>
      </c>
      <c r="CI101">
        <v>2</v>
      </c>
      <c r="CJ101">
        <v>1.17592592592592</v>
      </c>
      <c r="CK101" t="s">
        <v>316</v>
      </c>
      <c r="CL101">
        <v>3</v>
      </c>
      <c r="CM101">
        <v>0.84941520467836196</v>
      </c>
      <c r="CN101" t="s">
        <v>111</v>
      </c>
      <c r="CO101">
        <v>2</v>
      </c>
      <c r="CP101">
        <v>0.78590078328981705</v>
      </c>
      <c r="CQ101" t="s">
        <v>219</v>
      </c>
      <c r="CR101">
        <v>3</v>
      </c>
      <c r="CS101">
        <v>0.88594164456233404</v>
      </c>
      <c r="CT101" t="s">
        <v>250</v>
      </c>
      <c r="CU101">
        <v>2</v>
      </c>
      <c r="CV101">
        <v>1.28292682926829</v>
      </c>
      <c r="CW101" t="s">
        <v>351</v>
      </c>
      <c r="CX101">
        <v>3</v>
      </c>
      <c r="CY101">
        <v>1.02414772727272</v>
      </c>
      <c r="CZ101" t="s">
        <v>338</v>
      </c>
      <c r="DA101">
        <v>3</v>
      </c>
      <c r="DB101">
        <v>1.1119751166407399</v>
      </c>
      <c r="DC101" t="s">
        <v>258</v>
      </c>
      <c r="DD101">
        <v>2</v>
      </c>
      <c r="DE101">
        <v>1.17932148626817</v>
      </c>
      <c r="DF101" t="s">
        <v>353</v>
      </c>
      <c r="DG101">
        <v>3</v>
      </c>
      <c r="DH101">
        <v>0.95752427184466005</v>
      </c>
    </row>
    <row r="102" spans="1:112" x14ac:dyDescent="0.4">
      <c r="A102">
        <v>100</v>
      </c>
      <c r="B102" t="s">
        <v>256</v>
      </c>
      <c r="C102">
        <v>3</v>
      </c>
      <c r="D102">
        <v>1.0440067057837299</v>
      </c>
      <c r="E102" t="s">
        <v>318</v>
      </c>
      <c r="F102">
        <v>3</v>
      </c>
      <c r="G102">
        <v>0.89075630252100801</v>
      </c>
      <c r="H102" t="s">
        <v>270</v>
      </c>
      <c r="I102">
        <v>2</v>
      </c>
      <c r="J102">
        <v>0.40383857836915099</v>
      </c>
      <c r="K102" t="s">
        <v>266</v>
      </c>
      <c r="L102">
        <v>2</v>
      </c>
      <c r="M102">
        <v>0.955696202531645</v>
      </c>
      <c r="N102" t="s">
        <v>192</v>
      </c>
      <c r="O102">
        <v>2</v>
      </c>
      <c r="P102">
        <v>1.6098024090666301</v>
      </c>
      <c r="Q102" t="s">
        <v>204</v>
      </c>
      <c r="R102">
        <v>2</v>
      </c>
      <c r="S102">
        <v>0.78284182305630001</v>
      </c>
      <c r="T102" t="s">
        <v>272</v>
      </c>
      <c r="U102">
        <v>2</v>
      </c>
      <c r="V102">
        <v>1.01133501259445</v>
      </c>
      <c r="W102" t="s">
        <v>266</v>
      </c>
      <c r="X102">
        <v>2</v>
      </c>
      <c r="Y102">
        <v>0.91597633136094603</v>
      </c>
      <c r="Z102" t="s">
        <v>306</v>
      </c>
      <c r="AA102">
        <v>3</v>
      </c>
      <c r="AB102">
        <v>1.1043165467625899</v>
      </c>
      <c r="AC102" t="s">
        <v>293</v>
      </c>
      <c r="AD102">
        <v>3</v>
      </c>
      <c r="AE102">
        <v>1.04552590266875</v>
      </c>
      <c r="AF102" t="s">
        <v>208</v>
      </c>
      <c r="AG102">
        <v>2</v>
      </c>
      <c r="AH102">
        <v>1.2362804878048701</v>
      </c>
      <c r="AI102" t="s">
        <v>297</v>
      </c>
      <c r="AJ102">
        <v>3</v>
      </c>
      <c r="AK102">
        <v>0.92168674698795106</v>
      </c>
      <c r="AL102" t="s">
        <v>220</v>
      </c>
      <c r="AM102">
        <v>2</v>
      </c>
      <c r="AN102">
        <v>1.03869407496977</v>
      </c>
      <c r="AO102" t="s">
        <v>294</v>
      </c>
      <c r="AP102">
        <v>3</v>
      </c>
      <c r="AQ102">
        <v>1.00807754442649</v>
      </c>
      <c r="AR102" t="s">
        <v>220</v>
      </c>
      <c r="AS102">
        <v>2</v>
      </c>
      <c r="AT102">
        <v>1.0219780219780199</v>
      </c>
      <c r="AU102" t="s">
        <v>224</v>
      </c>
      <c r="AV102">
        <v>2</v>
      </c>
      <c r="AW102">
        <v>1.02739726027397</v>
      </c>
      <c r="AX102" t="s">
        <v>313</v>
      </c>
      <c r="AY102">
        <v>3</v>
      </c>
      <c r="AZ102">
        <v>0.94611528822055102</v>
      </c>
      <c r="BA102" t="s">
        <v>224</v>
      </c>
      <c r="BB102">
        <v>2</v>
      </c>
      <c r="BC102">
        <v>1.1450381679389301</v>
      </c>
      <c r="BD102" t="s">
        <v>224</v>
      </c>
      <c r="BE102">
        <v>2</v>
      </c>
      <c r="BF102">
        <v>0.96761904761904705</v>
      </c>
      <c r="BG102" t="s">
        <v>229</v>
      </c>
      <c r="BH102">
        <v>1</v>
      </c>
      <c r="BI102">
        <v>1.1916167664670601</v>
      </c>
      <c r="BJ102" t="s">
        <v>224</v>
      </c>
      <c r="BK102">
        <v>2</v>
      </c>
      <c r="BL102">
        <v>1.2018018018018</v>
      </c>
      <c r="BM102" t="s">
        <v>286</v>
      </c>
      <c r="BN102">
        <v>3</v>
      </c>
      <c r="BO102">
        <v>0.88496932515337401</v>
      </c>
      <c r="BP102" t="s">
        <v>286</v>
      </c>
      <c r="BQ102">
        <v>3</v>
      </c>
      <c r="BR102">
        <v>1.0831889081455801</v>
      </c>
      <c r="BS102" t="s">
        <v>281</v>
      </c>
      <c r="BT102">
        <v>2</v>
      </c>
      <c r="BU102">
        <v>1.0251071647274901</v>
      </c>
      <c r="BV102" t="s">
        <v>286</v>
      </c>
      <c r="BW102">
        <v>3</v>
      </c>
      <c r="BX102">
        <v>1.01931034482758</v>
      </c>
      <c r="BY102" t="s">
        <v>219</v>
      </c>
      <c r="BZ102">
        <v>3</v>
      </c>
      <c r="CA102">
        <v>1.2472527472527399</v>
      </c>
      <c r="CB102" t="s">
        <v>224</v>
      </c>
      <c r="CC102">
        <v>2</v>
      </c>
      <c r="CD102">
        <v>0.79406631762652702</v>
      </c>
      <c r="CE102" t="s">
        <v>204</v>
      </c>
      <c r="CF102">
        <v>2</v>
      </c>
      <c r="CG102">
        <v>1.0792410714285701</v>
      </c>
      <c r="CH102" t="s">
        <v>226</v>
      </c>
      <c r="CI102">
        <v>1</v>
      </c>
      <c r="CJ102">
        <v>1.08332862443728</v>
      </c>
      <c r="CK102" t="s">
        <v>111</v>
      </c>
      <c r="CL102">
        <v>2</v>
      </c>
      <c r="CM102">
        <v>0.86848072562358203</v>
      </c>
      <c r="CN102" t="s">
        <v>322</v>
      </c>
      <c r="CO102">
        <v>1</v>
      </c>
      <c r="CP102">
        <v>1.1578947368421</v>
      </c>
      <c r="CQ102" t="s">
        <v>224</v>
      </c>
      <c r="CR102">
        <v>2</v>
      </c>
      <c r="CS102">
        <v>1.03106796116504</v>
      </c>
      <c r="CT102" t="s">
        <v>253</v>
      </c>
      <c r="CU102">
        <v>2</v>
      </c>
      <c r="CV102">
        <v>0.89228295819935599</v>
      </c>
      <c r="CW102" t="s">
        <v>352</v>
      </c>
      <c r="CX102">
        <v>2</v>
      </c>
      <c r="CY102">
        <v>0.88565697091273798</v>
      </c>
      <c r="CZ102" t="s">
        <v>342</v>
      </c>
      <c r="DA102">
        <v>3</v>
      </c>
      <c r="DB102">
        <v>1.0833333333333299</v>
      </c>
      <c r="DC102" t="s">
        <v>316</v>
      </c>
      <c r="DD102">
        <v>3</v>
      </c>
      <c r="DE102">
        <v>1.1680532445923399</v>
      </c>
      <c r="DF102" t="s">
        <v>351</v>
      </c>
      <c r="DG102">
        <v>3</v>
      </c>
      <c r="DH102">
        <v>1.0309859154929499</v>
      </c>
    </row>
    <row r="103" spans="1:112" x14ac:dyDescent="0.4">
      <c r="A103">
        <v>101</v>
      </c>
      <c r="B103" t="s">
        <v>261</v>
      </c>
      <c r="C103">
        <v>2</v>
      </c>
      <c r="D103">
        <v>0.93826830571886599</v>
      </c>
      <c r="E103" t="s">
        <v>279</v>
      </c>
      <c r="F103">
        <v>2</v>
      </c>
      <c r="G103">
        <v>1.06493506493506</v>
      </c>
      <c r="H103" t="s">
        <v>266</v>
      </c>
      <c r="I103">
        <v>2</v>
      </c>
      <c r="J103">
        <v>0.58955223880596996</v>
      </c>
      <c r="K103" t="s">
        <v>264</v>
      </c>
      <c r="L103">
        <v>1</v>
      </c>
      <c r="M103">
        <v>1.3618275607958701</v>
      </c>
      <c r="N103" t="s">
        <v>256</v>
      </c>
      <c r="O103">
        <v>3</v>
      </c>
      <c r="P103">
        <v>1.0265625</v>
      </c>
      <c r="Q103" t="s">
        <v>281</v>
      </c>
      <c r="R103">
        <v>2</v>
      </c>
      <c r="S103">
        <v>1.03687050359712</v>
      </c>
      <c r="T103" t="s">
        <v>319</v>
      </c>
      <c r="U103">
        <v>3</v>
      </c>
      <c r="V103">
        <v>1.0314088803524999</v>
      </c>
      <c r="W103" t="s">
        <v>293</v>
      </c>
      <c r="X103">
        <v>2</v>
      </c>
      <c r="Y103">
        <v>1.0500927643784701</v>
      </c>
      <c r="Z103" t="s">
        <v>204</v>
      </c>
      <c r="AA103">
        <v>2</v>
      </c>
      <c r="AB103">
        <v>1.15357142857142</v>
      </c>
      <c r="AC103" t="s">
        <v>297</v>
      </c>
      <c r="AD103">
        <v>3</v>
      </c>
      <c r="AE103">
        <v>0.94182825484764499</v>
      </c>
      <c r="AF103" t="s">
        <v>281</v>
      </c>
      <c r="AG103">
        <v>2</v>
      </c>
      <c r="AH103">
        <v>0.96392333709131905</v>
      </c>
      <c r="AI103" t="s">
        <v>291</v>
      </c>
      <c r="AJ103">
        <v>3</v>
      </c>
      <c r="AK103">
        <v>1.01591511936339</v>
      </c>
      <c r="AL103" t="s">
        <v>296</v>
      </c>
      <c r="AM103">
        <v>2</v>
      </c>
      <c r="AN103">
        <v>0.90350325152087196</v>
      </c>
      <c r="AO103" t="s">
        <v>313</v>
      </c>
      <c r="AP103">
        <v>3</v>
      </c>
      <c r="AQ103">
        <v>1.03305785123966</v>
      </c>
      <c r="AR103" t="s">
        <v>296</v>
      </c>
      <c r="AS103">
        <v>2</v>
      </c>
      <c r="AT103">
        <v>0.87299465240641705</v>
      </c>
      <c r="AU103" t="s">
        <v>302</v>
      </c>
      <c r="AV103">
        <v>2</v>
      </c>
      <c r="AW103">
        <v>1.28799149840595</v>
      </c>
      <c r="AX103" t="s">
        <v>321</v>
      </c>
      <c r="AY103">
        <v>3</v>
      </c>
      <c r="AZ103">
        <v>0.64473684210526305</v>
      </c>
      <c r="BA103" t="s">
        <v>302</v>
      </c>
      <c r="BB103">
        <v>2</v>
      </c>
      <c r="BC103">
        <v>0.88172043010752599</v>
      </c>
      <c r="BD103" t="s">
        <v>302</v>
      </c>
      <c r="BE103">
        <v>2</v>
      </c>
      <c r="BF103">
        <v>1.03523035230352</v>
      </c>
      <c r="BG103" t="s">
        <v>327</v>
      </c>
      <c r="BH103">
        <v>3</v>
      </c>
      <c r="BI103">
        <v>1.0331950207468801</v>
      </c>
      <c r="BJ103" t="s">
        <v>302</v>
      </c>
      <c r="BK103">
        <v>2</v>
      </c>
      <c r="BL103">
        <v>1.5084525357607199</v>
      </c>
      <c r="BM103" t="s">
        <v>299</v>
      </c>
      <c r="BN103">
        <v>3</v>
      </c>
      <c r="BO103">
        <v>0.83333333333333304</v>
      </c>
      <c r="BP103" t="s">
        <v>281</v>
      </c>
      <c r="BQ103">
        <v>2</v>
      </c>
      <c r="BR103">
        <v>1.3032721468475601</v>
      </c>
      <c r="BS103" t="s">
        <v>294</v>
      </c>
      <c r="BT103">
        <v>3</v>
      </c>
      <c r="BU103">
        <v>1.05704099821746</v>
      </c>
      <c r="BV103" t="s">
        <v>208</v>
      </c>
      <c r="BW103">
        <v>2</v>
      </c>
      <c r="BX103">
        <v>1.00136798905608</v>
      </c>
      <c r="BY103" t="s">
        <v>224</v>
      </c>
      <c r="BZ103">
        <v>2</v>
      </c>
      <c r="CA103">
        <v>0.924193548387096</v>
      </c>
      <c r="CB103" t="s">
        <v>226</v>
      </c>
      <c r="CC103">
        <v>1</v>
      </c>
      <c r="CD103">
        <v>0.85764177745687398</v>
      </c>
      <c r="CE103" t="s">
        <v>284</v>
      </c>
      <c r="CF103">
        <v>2</v>
      </c>
      <c r="CG103">
        <v>1.6276041666666601</v>
      </c>
      <c r="CH103" t="s">
        <v>302</v>
      </c>
      <c r="CI103">
        <v>2</v>
      </c>
      <c r="CJ103">
        <v>1.13569682151589</v>
      </c>
      <c r="CK103" t="s">
        <v>332</v>
      </c>
      <c r="CL103">
        <v>3</v>
      </c>
      <c r="CM103">
        <v>0.83291139240506296</v>
      </c>
      <c r="CN103" t="s">
        <v>332</v>
      </c>
      <c r="CO103">
        <v>3</v>
      </c>
      <c r="CP103">
        <v>0.92857142857142805</v>
      </c>
      <c r="CQ103" t="s">
        <v>226</v>
      </c>
      <c r="CR103">
        <v>1</v>
      </c>
      <c r="CS103">
        <v>1.1368642957825501</v>
      </c>
      <c r="CT103" t="s">
        <v>328</v>
      </c>
      <c r="CU103">
        <v>2</v>
      </c>
      <c r="CV103">
        <v>1.0322589615951501</v>
      </c>
      <c r="CW103" t="s">
        <v>275</v>
      </c>
      <c r="CX103">
        <v>2</v>
      </c>
      <c r="CY103">
        <v>1.08006042296072</v>
      </c>
      <c r="CZ103" t="s">
        <v>346</v>
      </c>
      <c r="DA103">
        <v>3</v>
      </c>
      <c r="DB103">
        <v>0.88157894736842102</v>
      </c>
      <c r="DC103" t="s">
        <v>322</v>
      </c>
      <c r="DD103">
        <v>1</v>
      </c>
      <c r="DE103">
        <v>0.97238372093023195</v>
      </c>
      <c r="DF103" t="s">
        <v>358</v>
      </c>
      <c r="DG103">
        <v>3</v>
      </c>
      <c r="DH103">
        <v>1.1411901983663899</v>
      </c>
    </row>
    <row r="104" spans="1:112" x14ac:dyDescent="0.4">
      <c r="A104">
        <v>102</v>
      </c>
      <c r="B104" t="s">
        <v>262</v>
      </c>
      <c r="C104">
        <v>2</v>
      </c>
      <c r="D104">
        <v>0.89743589743589702</v>
      </c>
      <c r="E104" t="s">
        <v>272</v>
      </c>
      <c r="F104">
        <v>2</v>
      </c>
      <c r="G104">
        <v>0.91249999999999998</v>
      </c>
      <c r="H104" t="s">
        <v>201</v>
      </c>
      <c r="I104">
        <v>2</v>
      </c>
      <c r="J104">
        <v>0.52272302225546996</v>
      </c>
      <c r="K104" t="s">
        <v>293</v>
      </c>
      <c r="L104">
        <v>3</v>
      </c>
      <c r="M104">
        <v>0.93516209476309198</v>
      </c>
      <c r="N104" t="s">
        <v>261</v>
      </c>
      <c r="O104">
        <v>2</v>
      </c>
      <c r="P104">
        <v>1.2732585320243099</v>
      </c>
      <c r="Q104" t="s">
        <v>220</v>
      </c>
      <c r="R104">
        <v>2</v>
      </c>
      <c r="S104">
        <v>1.0546163849154699</v>
      </c>
      <c r="T104" t="s">
        <v>204</v>
      </c>
      <c r="U104">
        <v>2</v>
      </c>
      <c r="V104">
        <v>0.89554794520547898</v>
      </c>
      <c r="W104" t="s">
        <v>297</v>
      </c>
      <c r="X104">
        <v>3</v>
      </c>
      <c r="Y104">
        <v>0.97387173396674498</v>
      </c>
      <c r="Z104" t="s">
        <v>277</v>
      </c>
      <c r="AA104">
        <v>3</v>
      </c>
      <c r="AB104">
        <v>1.27768014059753</v>
      </c>
      <c r="AC104" t="s">
        <v>279</v>
      </c>
      <c r="AD104">
        <v>2</v>
      </c>
      <c r="AE104">
        <v>0.97526501766784401</v>
      </c>
      <c r="AF104" t="s">
        <v>220</v>
      </c>
      <c r="AG104">
        <v>2</v>
      </c>
      <c r="AH104">
        <v>1.0076169749727899</v>
      </c>
      <c r="AI104" t="s">
        <v>279</v>
      </c>
      <c r="AJ104">
        <v>2</v>
      </c>
      <c r="AK104">
        <v>0.93181818181818099</v>
      </c>
      <c r="AL104" t="s">
        <v>288</v>
      </c>
      <c r="AM104">
        <v>3</v>
      </c>
      <c r="AN104">
        <v>1.47708333333333</v>
      </c>
      <c r="AO104" t="s">
        <v>321</v>
      </c>
      <c r="AP104">
        <v>3</v>
      </c>
      <c r="AQ104">
        <v>0.818965517241379</v>
      </c>
      <c r="AR104" t="s">
        <v>294</v>
      </c>
      <c r="AS104">
        <v>3</v>
      </c>
      <c r="AT104">
        <v>0.82852564102564097</v>
      </c>
      <c r="AU104" t="s">
        <v>307</v>
      </c>
      <c r="AV104">
        <v>2</v>
      </c>
      <c r="AW104">
        <v>1.2390109890109799</v>
      </c>
      <c r="AX104" t="s">
        <v>224</v>
      </c>
      <c r="AY104">
        <v>2</v>
      </c>
      <c r="AZ104">
        <v>0.76416666666666599</v>
      </c>
      <c r="BA104" t="s">
        <v>307</v>
      </c>
      <c r="BB104">
        <v>2</v>
      </c>
      <c r="BC104">
        <v>1.1368876080691599</v>
      </c>
      <c r="BD104" t="s">
        <v>307</v>
      </c>
      <c r="BE104">
        <v>2</v>
      </c>
      <c r="BF104">
        <v>1.4765525982256</v>
      </c>
      <c r="BG104" t="s">
        <v>258</v>
      </c>
      <c r="BH104">
        <v>1</v>
      </c>
      <c r="BI104">
        <v>1.04424778761061</v>
      </c>
      <c r="BJ104" t="s">
        <v>229</v>
      </c>
      <c r="BK104">
        <v>1</v>
      </c>
      <c r="BL104">
        <v>0.90703517587939697</v>
      </c>
      <c r="BM104" t="s">
        <v>281</v>
      </c>
      <c r="BN104">
        <v>2</v>
      </c>
      <c r="BO104">
        <v>0.86953504510756396</v>
      </c>
      <c r="BP104" t="s">
        <v>224</v>
      </c>
      <c r="BQ104">
        <v>2</v>
      </c>
      <c r="BR104">
        <v>0.90625</v>
      </c>
      <c r="BS104" t="s">
        <v>224</v>
      </c>
      <c r="BT104">
        <v>2</v>
      </c>
      <c r="BU104">
        <v>1.0598911070780399</v>
      </c>
      <c r="BV104" t="s">
        <v>281</v>
      </c>
      <c r="BW104">
        <v>2</v>
      </c>
      <c r="BX104">
        <v>1.2568697729988001</v>
      </c>
      <c r="BY104" t="s">
        <v>226</v>
      </c>
      <c r="BZ104">
        <v>1</v>
      </c>
      <c r="CA104">
        <v>0.77837712358809197</v>
      </c>
      <c r="CB104" t="s">
        <v>302</v>
      </c>
      <c r="CC104">
        <v>2</v>
      </c>
      <c r="CD104">
        <v>0.93642785065590295</v>
      </c>
      <c r="CE104" t="s">
        <v>277</v>
      </c>
      <c r="CF104">
        <v>2</v>
      </c>
      <c r="CG104">
        <v>1</v>
      </c>
      <c r="CH104" t="s">
        <v>229</v>
      </c>
      <c r="CI104">
        <v>1</v>
      </c>
      <c r="CJ104">
        <v>1.3510638297872299</v>
      </c>
      <c r="CK104" t="s">
        <v>328</v>
      </c>
      <c r="CL104">
        <v>2</v>
      </c>
      <c r="CM104">
        <v>0.87451507391160999</v>
      </c>
      <c r="CN104" t="s">
        <v>328</v>
      </c>
      <c r="CO104">
        <v>2</v>
      </c>
      <c r="CP104">
        <v>0.92376534261138499</v>
      </c>
      <c r="CQ104" t="s">
        <v>302</v>
      </c>
      <c r="CR104">
        <v>3</v>
      </c>
      <c r="CS104">
        <v>0.76173285198555896</v>
      </c>
      <c r="CT104" t="s">
        <v>257</v>
      </c>
      <c r="CU104">
        <v>1</v>
      </c>
      <c r="CV104">
        <v>1.0240963855421601</v>
      </c>
      <c r="CW104" t="s">
        <v>359</v>
      </c>
      <c r="CX104">
        <v>3</v>
      </c>
      <c r="CY104">
        <v>1.0562248995983901</v>
      </c>
      <c r="CZ104" t="s">
        <v>351</v>
      </c>
      <c r="DA104">
        <v>3</v>
      </c>
      <c r="DB104">
        <v>0.91539528432732298</v>
      </c>
      <c r="DC104" t="s">
        <v>250</v>
      </c>
      <c r="DD104">
        <v>3</v>
      </c>
      <c r="DE104">
        <v>1.0502512562813999</v>
      </c>
      <c r="DF104" t="s">
        <v>352</v>
      </c>
      <c r="DG104">
        <v>2</v>
      </c>
      <c r="DH104">
        <v>1.13122171945701</v>
      </c>
    </row>
    <row r="105" spans="1:112" x14ac:dyDescent="0.4">
      <c r="A105">
        <v>103</v>
      </c>
      <c r="B105" t="s">
        <v>305</v>
      </c>
      <c r="C105">
        <v>2</v>
      </c>
      <c r="D105">
        <v>0.95053502927518596</v>
      </c>
      <c r="E105" t="s">
        <v>276</v>
      </c>
      <c r="F105">
        <v>3</v>
      </c>
      <c r="G105">
        <v>0.77081904239264598</v>
      </c>
      <c r="H105" t="s">
        <v>297</v>
      </c>
      <c r="I105">
        <v>2</v>
      </c>
      <c r="J105">
        <v>0.371111111111111</v>
      </c>
      <c r="K105" t="s">
        <v>279</v>
      </c>
      <c r="L105">
        <v>2</v>
      </c>
      <c r="M105">
        <v>0.77210884353741405</v>
      </c>
      <c r="N105" t="s">
        <v>195</v>
      </c>
      <c r="O105">
        <v>1</v>
      </c>
      <c r="P105">
        <v>1.68952837729816</v>
      </c>
      <c r="Q105" t="s">
        <v>211</v>
      </c>
      <c r="R105">
        <v>2</v>
      </c>
      <c r="S105">
        <v>1.0067114093959699</v>
      </c>
      <c r="T105" t="s">
        <v>277</v>
      </c>
      <c r="U105">
        <v>3</v>
      </c>
      <c r="V105">
        <v>1.29790026246719</v>
      </c>
      <c r="W105" t="s">
        <v>279</v>
      </c>
      <c r="X105">
        <v>2</v>
      </c>
      <c r="Y105">
        <v>0.95588235294117596</v>
      </c>
      <c r="Z105" t="s">
        <v>208</v>
      </c>
      <c r="AA105">
        <v>2</v>
      </c>
      <c r="AB105">
        <v>1.1771523178807899</v>
      </c>
      <c r="AC105" t="s">
        <v>272</v>
      </c>
      <c r="AD105">
        <v>2</v>
      </c>
      <c r="AE105">
        <v>1.0629921259842501</v>
      </c>
      <c r="AF105" t="s">
        <v>288</v>
      </c>
      <c r="AG105">
        <v>3</v>
      </c>
      <c r="AH105">
        <v>1.1183355006501901</v>
      </c>
      <c r="AI105" t="s">
        <v>272</v>
      </c>
      <c r="AJ105">
        <v>2</v>
      </c>
      <c r="AK105">
        <v>0.94624860022396395</v>
      </c>
      <c r="AL105" t="s">
        <v>294</v>
      </c>
      <c r="AM105">
        <v>2</v>
      </c>
      <c r="AN105">
        <v>0.80704041720990805</v>
      </c>
      <c r="AO105" t="s">
        <v>224</v>
      </c>
      <c r="AP105">
        <v>2</v>
      </c>
      <c r="AQ105">
        <v>1.2314487632508799</v>
      </c>
      <c r="AR105" t="s">
        <v>313</v>
      </c>
      <c r="AS105">
        <v>3</v>
      </c>
      <c r="AT105">
        <v>1.1679999999999999</v>
      </c>
      <c r="AU105" t="s">
        <v>229</v>
      </c>
      <c r="AV105">
        <v>1</v>
      </c>
      <c r="AW105">
        <v>1.09197651663405</v>
      </c>
      <c r="AX105" t="s">
        <v>302</v>
      </c>
      <c r="AY105">
        <v>2</v>
      </c>
      <c r="AZ105">
        <v>0.69059405940593999</v>
      </c>
      <c r="BA105" t="s">
        <v>229</v>
      </c>
      <c r="BB105">
        <v>1</v>
      </c>
      <c r="BC105">
        <v>1.01210653753026</v>
      </c>
      <c r="BD105" t="s">
        <v>229</v>
      </c>
      <c r="BE105">
        <v>1</v>
      </c>
      <c r="BF105">
        <v>0.799043062200956</v>
      </c>
      <c r="BG105" t="s">
        <v>339</v>
      </c>
      <c r="BH105">
        <v>2</v>
      </c>
      <c r="BI105">
        <v>1.01932367149758</v>
      </c>
      <c r="BJ105" t="s">
        <v>327</v>
      </c>
      <c r="BK105">
        <v>3</v>
      </c>
      <c r="BL105">
        <v>0.97389558232931694</v>
      </c>
      <c r="BM105" t="s">
        <v>294</v>
      </c>
      <c r="BN105">
        <v>3</v>
      </c>
      <c r="BO105">
        <v>0.94377510040160595</v>
      </c>
      <c r="BP105" t="s">
        <v>302</v>
      </c>
      <c r="BQ105">
        <v>2</v>
      </c>
      <c r="BR105">
        <v>1.1635687732341999</v>
      </c>
      <c r="BS105" t="s">
        <v>302</v>
      </c>
      <c r="BT105">
        <v>2</v>
      </c>
      <c r="BU105">
        <v>0.86581469648562304</v>
      </c>
      <c r="BV105" t="s">
        <v>294</v>
      </c>
      <c r="BW105">
        <v>3</v>
      </c>
      <c r="BX105">
        <v>0.83136593591905505</v>
      </c>
      <c r="BY105" t="s">
        <v>302</v>
      </c>
      <c r="BZ105">
        <v>2</v>
      </c>
      <c r="CA105">
        <v>1.1261363636363599</v>
      </c>
      <c r="CB105" t="s">
        <v>309</v>
      </c>
      <c r="CC105">
        <v>3</v>
      </c>
      <c r="CD105">
        <v>0.92899408284023599</v>
      </c>
      <c r="CE105" t="s">
        <v>286</v>
      </c>
      <c r="CF105">
        <v>3</v>
      </c>
      <c r="CG105">
        <v>1.1572327044025099</v>
      </c>
      <c r="CH105" t="s">
        <v>325</v>
      </c>
      <c r="CI105">
        <v>3</v>
      </c>
      <c r="CJ105">
        <v>1.00602409638554</v>
      </c>
      <c r="CK105" t="s">
        <v>257</v>
      </c>
      <c r="CL105">
        <v>1</v>
      </c>
      <c r="CM105">
        <v>0.92393736017896999</v>
      </c>
      <c r="CN105" t="s">
        <v>257</v>
      </c>
      <c r="CO105">
        <v>1</v>
      </c>
      <c r="CP105">
        <v>1.20823244552058</v>
      </c>
      <c r="CQ105" t="s">
        <v>240</v>
      </c>
      <c r="CR105">
        <v>1</v>
      </c>
      <c r="CS105">
        <v>1.19973718791064</v>
      </c>
      <c r="CT105" t="s">
        <v>334</v>
      </c>
      <c r="CU105">
        <v>3</v>
      </c>
      <c r="CV105">
        <v>0.85423728813559296</v>
      </c>
      <c r="CW105" t="s">
        <v>278</v>
      </c>
      <c r="CX105">
        <v>1</v>
      </c>
      <c r="CY105">
        <v>0.92209856915739197</v>
      </c>
      <c r="CZ105" t="s">
        <v>275</v>
      </c>
      <c r="DA105">
        <v>2</v>
      </c>
      <c r="DB105">
        <v>0.98181818181818103</v>
      </c>
      <c r="DC105" t="s">
        <v>328</v>
      </c>
      <c r="DD105">
        <v>3</v>
      </c>
      <c r="DE105">
        <v>1.0768233640481</v>
      </c>
      <c r="DF105" t="s">
        <v>275</v>
      </c>
      <c r="DG105">
        <v>2</v>
      </c>
      <c r="DH105">
        <v>1.02272727272727</v>
      </c>
    </row>
    <row r="106" spans="1:112" x14ac:dyDescent="0.4">
      <c r="A106">
        <v>104</v>
      </c>
      <c r="B106" t="s">
        <v>266</v>
      </c>
      <c r="C106">
        <v>2</v>
      </c>
      <c r="D106">
        <v>0.97732181425485898</v>
      </c>
      <c r="E106" t="s">
        <v>204</v>
      </c>
      <c r="F106">
        <v>3</v>
      </c>
      <c r="G106">
        <v>0.92172211350293498</v>
      </c>
      <c r="H106" t="s">
        <v>291</v>
      </c>
      <c r="I106">
        <v>3</v>
      </c>
      <c r="J106">
        <v>0.43669724770642199</v>
      </c>
      <c r="K106" t="s">
        <v>272</v>
      </c>
      <c r="L106">
        <v>2</v>
      </c>
      <c r="M106">
        <v>1.0049019607843099</v>
      </c>
      <c r="N106" t="s">
        <v>197</v>
      </c>
      <c r="O106">
        <v>1</v>
      </c>
      <c r="P106">
        <v>1.8</v>
      </c>
      <c r="Q106" t="s">
        <v>294</v>
      </c>
      <c r="R106">
        <v>2</v>
      </c>
      <c r="S106">
        <v>1.17044228694714</v>
      </c>
      <c r="T106" t="s">
        <v>281</v>
      </c>
      <c r="U106">
        <v>2</v>
      </c>
      <c r="V106">
        <v>0.920208152645273</v>
      </c>
      <c r="W106" t="s">
        <v>272</v>
      </c>
      <c r="X106">
        <v>2</v>
      </c>
      <c r="Y106">
        <v>0.96762141967621396</v>
      </c>
      <c r="Z106" t="s">
        <v>281</v>
      </c>
      <c r="AA106">
        <v>2</v>
      </c>
      <c r="AB106">
        <v>0.87222222222222201</v>
      </c>
      <c r="AC106" t="s">
        <v>306</v>
      </c>
      <c r="AD106">
        <v>3</v>
      </c>
      <c r="AE106">
        <v>0.925081433224755</v>
      </c>
      <c r="AF106" t="s">
        <v>218</v>
      </c>
      <c r="AG106">
        <v>3</v>
      </c>
      <c r="AH106">
        <v>1.03045133224578</v>
      </c>
      <c r="AI106" t="s">
        <v>306</v>
      </c>
      <c r="AJ106">
        <v>3</v>
      </c>
      <c r="AK106">
        <v>1.3624060150375901</v>
      </c>
      <c r="AL106" t="s">
        <v>313</v>
      </c>
      <c r="AM106">
        <v>3</v>
      </c>
      <c r="AN106">
        <v>1.0151006711409301</v>
      </c>
      <c r="AO106" t="s">
        <v>302</v>
      </c>
      <c r="AP106">
        <v>2</v>
      </c>
      <c r="AQ106">
        <v>1.0549618320610601</v>
      </c>
      <c r="AR106" t="s">
        <v>224</v>
      </c>
      <c r="AS106">
        <v>2</v>
      </c>
      <c r="AT106">
        <v>0.83787661406025804</v>
      </c>
      <c r="AU106" t="s">
        <v>327</v>
      </c>
      <c r="AV106">
        <v>3</v>
      </c>
      <c r="AW106">
        <v>1.0903614457831301</v>
      </c>
      <c r="AX106" t="s">
        <v>307</v>
      </c>
      <c r="AY106">
        <v>2</v>
      </c>
      <c r="AZ106">
        <v>0.76940133037694003</v>
      </c>
      <c r="BA106" t="s">
        <v>327</v>
      </c>
      <c r="BB106">
        <v>3</v>
      </c>
      <c r="BC106">
        <v>1.00444444444444</v>
      </c>
      <c r="BD106" t="s">
        <v>327</v>
      </c>
      <c r="BE106">
        <v>3</v>
      </c>
      <c r="BF106">
        <v>1.0663716814159201</v>
      </c>
      <c r="BG106" t="s">
        <v>111</v>
      </c>
      <c r="BH106">
        <v>2</v>
      </c>
      <c r="BI106">
        <v>1.2390832114199499</v>
      </c>
      <c r="BJ106" t="s">
        <v>258</v>
      </c>
      <c r="BK106">
        <v>1</v>
      </c>
      <c r="BL106">
        <v>1.16525423728813</v>
      </c>
      <c r="BM106" t="s">
        <v>224</v>
      </c>
      <c r="BN106">
        <v>2</v>
      </c>
      <c r="BO106">
        <v>0.91154422788605605</v>
      </c>
      <c r="BP106" t="s">
        <v>309</v>
      </c>
      <c r="BQ106">
        <v>3</v>
      </c>
      <c r="BR106">
        <v>1.0358490566037699</v>
      </c>
      <c r="BS106" t="s">
        <v>309</v>
      </c>
      <c r="BT106">
        <v>3</v>
      </c>
      <c r="BU106">
        <v>1.0052367941712199</v>
      </c>
      <c r="BV106" t="s">
        <v>224</v>
      </c>
      <c r="BW106">
        <v>2</v>
      </c>
      <c r="BX106">
        <v>1.0616438356164299</v>
      </c>
      <c r="BY106" t="s">
        <v>309</v>
      </c>
      <c r="BZ106">
        <v>3</v>
      </c>
      <c r="CA106">
        <v>1.03300733496332</v>
      </c>
      <c r="CB106" t="s">
        <v>229</v>
      </c>
      <c r="CC106">
        <v>1</v>
      </c>
      <c r="CD106">
        <v>0.76829268292682895</v>
      </c>
      <c r="CE106" t="s">
        <v>288</v>
      </c>
      <c r="CF106">
        <v>3</v>
      </c>
      <c r="CG106">
        <v>1.19429590017825</v>
      </c>
      <c r="CH106" t="s">
        <v>235</v>
      </c>
      <c r="CI106">
        <v>1</v>
      </c>
      <c r="CJ106">
        <v>0.90864428588138901</v>
      </c>
      <c r="CK106" t="s">
        <v>338</v>
      </c>
      <c r="CL106">
        <v>3</v>
      </c>
      <c r="CM106">
        <v>0.83137829912023398</v>
      </c>
      <c r="CN106" t="s">
        <v>338</v>
      </c>
      <c r="CO106">
        <v>3</v>
      </c>
      <c r="CP106">
        <v>1.2610229276895899</v>
      </c>
      <c r="CQ106" t="s">
        <v>258</v>
      </c>
      <c r="CR106">
        <v>2</v>
      </c>
      <c r="CS106">
        <v>1.01271860095389</v>
      </c>
      <c r="CT106" t="s">
        <v>338</v>
      </c>
      <c r="CU106">
        <v>3</v>
      </c>
      <c r="CV106">
        <v>1.0504347826086899</v>
      </c>
      <c r="CW106" t="s">
        <v>362</v>
      </c>
      <c r="CX106">
        <v>3</v>
      </c>
      <c r="CY106">
        <v>1.0145560407569101</v>
      </c>
      <c r="CZ106" t="s">
        <v>359</v>
      </c>
      <c r="DA106">
        <v>3</v>
      </c>
      <c r="DB106">
        <v>0.94043092522179905</v>
      </c>
      <c r="DC106" t="s">
        <v>334</v>
      </c>
      <c r="DD106">
        <v>3</v>
      </c>
      <c r="DE106">
        <v>1.0256024096385501</v>
      </c>
      <c r="DF106" t="s">
        <v>359</v>
      </c>
      <c r="DG106">
        <v>3</v>
      </c>
      <c r="DH106">
        <v>1.03489932885906</v>
      </c>
    </row>
    <row r="107" spans="1:112" x14ac:dyDescent="0.4">
      <c r="A107">
        <v>105</v>
      </c>
      <c r="B107" t="s">
        <v>201</v>
      </c>
      <c r="C107">
        <v>2</v>
      </c>
      <c r="D107">
        <v>1.11147820526484</v>
      </c>
      <c r="E107" t="s">
        <v>330</v>
      </c>
      <c r="F107">
        <v>2</v>
      </c>
      <c r="G107">
        <v>0.82637362637362599</v>
      </c>
      <c r="H107" t="s">
        <v>318</v>
      </c>
      <c r="I107">
        <v>3</v>
      </c>
      <c r="J107">
        <v>0.490566037735849</v>
      </c>
      <c r="K107" t="s">
        <v>276</v>
      </c>
      <c r="L107">
        <v>3</v>
      </c>
      <c r="M107">
        <v>0.78769942377797797</v>
      </c>
      <c r="N107" t="s">
        <v>266</v>
      </c>
      <c r="O107">
        <v>2</v>
      </c>
      <c r="P107">
        <v>2.90066225165562</v>
      </c>
      <c r="Q107" t="s">
        <v>304</v>
      </c>
      <c r="R107">
        <v>2</v>
      </c>
      <c r="S107">
        <v>1.1253405994550401</v>
      </c>
      <c r="T107" t="s">
        <v>220</v>
      </c>
      <c r="U107">
        <v>2</v>
      </c>
      <c r="V107">
        <v>1.1627620221948201</v>
      </c>
      <c r="W107" t="s">
        <v>319</v>
      </c>
      <c r="X107">
        <v>3</v>
      </c>
      <c r="Y107">
        <v>1.1796837915799401</v>
      </c>
      <c r="Z107" t="s">
        <v>220</v>
      </c>
      <c r="AA107">
        <v>2</v>
      </c>
      <c r="AB107">
        <v>0.94226579520697096</v>
      </c>
      <c r="AC107" t="s">
        <v>204</v>
      </c>
      <c r="AD107">
        <v>2</v>
      </c>
      <c r="AE107">
        <v>1.1145510835913299</v>
      </c>
      <c r="AF107" t="s">
        <v>294</v>
      </c>
      <c r="AG107">
        <v>2</v>
      </c>
      <c r="AH107">
        <v>1.14039408866995</v>
      </c>
      <c r="AI107" t="s">
        <v>284</v>
      </c>
      <c r="AJ107">
        <v>3</v>
      </c>
      <c r="AK107">
        <v>1.3221654363051201</v>
      </c>
      <c r="AL107" t="s">
        <v>224</v>
      </c>
      <c r="AM107">
        <v>2</v>
      </c>
      <c r="AN107">
        <v>1.1076320939334601</v>
      </c>
      <c r="AO107" t="s">
        <v>307</v>
      </c>
      <c r="AP107">
        <v>2</v>
      </c>
      <c r="AQ107">
        <v>0.87395833333333295</v>
      </c>
      <c r="AR107" t="s">
        <v>302</v>
      </c>
      <c r="AS107">
        <v>2</v>
      </c>
      <c r="AT107">
        <v>0.68089725036179405</v>
      </c>
      <c r="AU107" t="s">
        <v>258</v>
      </c>
      <c r="AV107">
        <v>1</v>
      </c>
      <c r="AW107">
        <v>1.38053097345132</v>
      </c>
      <c r="AX107" t="s">
        <v>327</v>
      </c>
      <c r="AY107">
        <v>3</v>
      </c>
      <c r="AZ107">
        <v>1.24309392265193</v>
      </c>
      <c r="BA107" t="s">
        <v>258</v>
      </c>
      <c r="BB107">
        <v>1</v>
      </c>
      <c r="BC107">
        <v>1.03813559322033</v>
      </c>
      <c r="BD107" t="s">
        <v>258</v>
      </c>
      <c r="BE107">
        <v>1</v>
      </c>
      <c r="BF107">
        <v>0.92244897959183603</v>
      </c>
      <c r="BG107" t="s">
        <v>332</v>
      </c>
      <c r="BH107">
        <v>3</v>
      </c>
      <c r="BI107">
        <v>0.93857493857493801</v>
      </c>
      <c r="BJ107" t="s">
        <v>339</v>
      </c>
      <c r="BK107">
        <v>2</v>
      </c>
      <c r="BL107">
        <v>1.3459715639810399</v>
      </c>
      <c r="BM107" t="s">
        <v>226</v>
      </c>
      <c r="BN107">
        <v>1</v>
      </c>
      <c r="BO107">
        <v>1.14898972602739</v>
      </c>
      <c r="BP107" t="s">
        <v>229</v>
      </c>
      <c r="BQ107">
        <v>1</v>
      </c>
      <c r="BR107">
        <v>1.24011299435028</v>
      </c>
      <c r="BS107" t="s">
        <v>229</v>
      </c>
      <c r="BT107">
        <v>1</v>
      </c>
      <c r="BU107">
        <v>0.95671981776765302</v>
      </c>
      <c r="BV107" t="s">
        <v>302</v>
      </c>
      <c r="BW107">
        <v>2</v>
      </c>
      <c r="BX107">
        <v>0.81180811808118003</v>
      </c>
      <c r="BY107" t="s">
        <v>229</v>
      </c>
      <c r="BZ107">
        <v>1</v>
      </c>
      <c r="CA107">
        <v>0.87234042553191404</v>
      </c>
      <c r="CB107" t="s">
        <v>325</v>
      </c>
      <c r="CC107">
        <v>3</v>
      </c>
      <c r="CD107">
        <v>0.78959810874704495</v>
      </c>
      <c r="CE107" t="s">
        <v>224</v>
      </c>
      <c r="CF107">
        <v>2</v>
      </c>
      <c r="CG107">
        <v>1.1868131868131799</v>
      </c>
      <c r="CH107" t="s">
        <v>316</v>
      </c>
      <c r="CI107">
        <v>2</v>
      </c>
      <c r="CJ107">
        <v>0.93061224489795902</v>
      </c>
      <c r="CK107" t="s">
        <v>348</v>
      </c>
      <c r="CL107">
        <v>3</v>
      </c>
      <c r="CM107">
        <v>0.83735909822866295</v>
      </c>
      <c r="CN107" t="s">
        <v>341</v>
      </c>
      <c r="CO107">
        <v>3</v>
      </c>
      <c r="CP107">
        <v>1.15422885572139</v>
      </c>
      <c r="CQ107" t="s">
        <v>316</v>
      </c>
      <c r="CR107">
        <v>3</v>
      </c>
      <c r="CS107">
        <v>0.96912521440823296</v>
      </c>
      <c r="CT107" t="s">
        <v>353</v>
      </c>
      <c r="CU107">
        <v>2</v>
      </c>
      <c r="CV107">
        <v>1.4809160305343501</v>
      </c>
      <c r="CW107" t="s">
        <v>361</v>
      </c>
      <c r="CX107">
        <v>1</v>
      </c>
      <c r="CY107">
        <v>0.98316897538968695</v>
      </c>
      <c r="CZ107" t="s">
        <v>278</v>
      </c>
      <c r="DA107">
        <v>1</v>
      </c>
      <c r="DB107">
        <v>0.80172413793103403</v>
      </c>
      <c r="DC107" t="s">
        <v>338</v>
      </c>
      <c r="DD107">
        <v>3</v>
      </c>
      <c r="DE107">
        <v>1.0055944055943999</v>
      </c>
      <c r="DF107" t="s">
        <v>278</v>
      </c>
      <c r="DG107">
        <v>1</v>
      </c>
      <c r="DH107">
        <v>0.97935779816513702</v>
      </c>
    </row>
    <row r="108" spans="1:112" x14ac:dyDescent="0.4">
      <c r="A108">
        <v>106</v>
      </c>
      <c r="B108" t="s">
        <v>297</v>
      </c>
      <c r="C108">
        <v>3</v>
      </c>
      <c r="D108">
        <v>1.0017699115044201</v>
      </c>
      <c r="E108" t="s">
        <v>286</v>
      </c>
      <c r="F108">
        <v>3</v>
      </c>
      <c r="G108">
        <v>0.87057220708446803</v>
      </c>
      <c r="H108" t="s">
        <v>272</v>
      </c>
      <c r="I108">
        <v>2</v>
      </c>
      <c r="J108">
        <v>0.69863013698630105</v>
      </c>
      <c r="K108" t="s">
        <v>208</v>
      </c>
      <c r="L108">
        <v>2</v>
      </c>
      <c r="M108">
        <v>0.87656250000000002</v>
      </c>
      <c r="N108" t="s">
        <v>279</v>
      </c>
      <c r="O108">
        <v>2</v>
      </c>
      <c r="P108">
        <v>1.2114537444933899</v>
      </c>
      <c r="Q108" t="s">
        <v>336</v>
      </c>
      <c r="R108">
        <v>2</v>
      </c>
      <c r="S108">
        <v>0.95117845117845101</v>
      </c>
      <c r="T108" t="s">
        <v>294</v>
      </c>
      <c r="U108">
        <v>2</v>
      </c>
      <c r="V108">
        <v>0.85806451612903201</v>
      </c>
      <c r="W108" t="s">
        <v>204</v>
      </c>
      <c r="X108">
        <v>2</v>
      </c>
      <c r="Y108">
        <v>1.07074569789674</v>
      </c>
      <c r="Z108" t="s">
        <v>294</v>
      </c>
      <c r="AA108">
        <v>2</v>
      </c>
      <c r="AB108">
        <v>0.94431279620853004</v>
      </c>
      <c r="AC108" t="s">
        <v>277</v>
      </c>
      <c r="AD108">
        <v>2</v>
      </c>
      <c r="AE108">
        <v>1.0398899587345201</v>
      </c>
      <c r="AF108" t="s">
        <v>336</v>
      </c>
      <c r="AG108">
        <v>3</v>
      </c>
      <c r="AH108">
        <v>0.99255121042830496</v>
      </c>
      <c r="AI108" t="s">
        <v>277</v>
      </c>
      <c r="AJ108">
        <v>2</v>
      </c>
      <c r="AK108">
        <v>1.0633914421552999</v>
      </c>
      <c r="AL108" t="s">
        <v>302</v>
      </c>
      <c r="AM108">
        <v>2</v>
      </c>
      <c r="AN108">
        <v>1.1491228070175401</v>
      </c>
      <c r="AO108" t="s">
        <v>325</v>
      </c>
      <c r="AP108">
        <v>3</v>
      </c>
      <c r="AQ108">
        <v>0.78973105134474297</v>
      </c>
      <c r="AR108" t="s">
        <v>307</v>
      </c>
      <c r="AS108">
        <v>2</v>
      </c>
      <c r="AT108">
        <v>0.86769964243146602</v>
      </c>
      <c r="AU108" t="s">
        <v>111</v>
      </c>
      <c r="AV108">
        <v>2</v>
      </c>
      <c r="AW108">
        <v>1.1883536775130501</v>
      </c>
      <c r="AX108" t="s">
        <v>332</v>
      </c>
      <c r="AY108">
        <v>3</v>
      </c>
      <c r="AZ108">
        <v>0.79300291545189505</v>
      </c>
      <c r="BA108" t="s">
        <v>339</v>
      </c>
      <c r="BB108">
        <v>2</v>
      </c>
      <c r="BC108">
        <v>1.22535211267605</v>
      </c>
      <c r="BD108" t="s">
        <v>332</v>
      </c>
      <c r="BE108">
        <v>3</v>
      </c>
      <c r="BF108">
        <v>1.0598958333333299</v>
      </c>
      <c r="BG108" t="s">
        <v>337</v>
      </c>
      <c r="BH108">
        <v>2</v>
      </c>
      <c r="BI108">
        <v>0.95201793470331397</v>
      </c>
      <c r="BJ108" t="s">
        <v>332</v>
      </c>
      <c r="BK108">
        <v>3</v>
      </c>
      <c r="BL108">
        <v>1.7565445026177999</v>
      </c>
      <c r="BM108" t="s">
        <v>302</v>
      </c>
      <c r="BN108">
        <v>2</v>
      </c>
      <c r="BO108">
        <v>0.92758620689655102</v>
      </c>
      <c r="BP108" t="s">
        <v>327</v>
      </c>
      <c r="BQ108">
        <v>2</v>
      </c>
      <c r="BR108">
        <v>1.1344537815125999</v>
      </c>
      <c r="BS108" t="s">
        <v>327</v>
      </c>
      <c r="BT108">
        <v>2</v>
      </c>
      <c r="BU108">
        <v>1.18518518518518</v>
      </c>
      <c r="BV108" t="s">
        <v>309</v>
      </c>
      <c r="BW108">
        <v>3</v>
      </c>
      <c r="BX108">
        <v>0.92638731596828905</v>
      </c>
      <c r="BY108" t="s">
        <v>239</v>
      </c>
      <c r="BZ108">
        <v>2</v>
      </c>
      <c r="CA108">
        <v>1.1406896551724099</v>
      </c>
      <c r="CB108" t="s">
        <v>239</v>
      </c>
      <c r="CC108">
        <v>2</v>
      </c>
      <c r="CD108">
        <v>0.880290205562273</v>
      </c>
      <c r="CE108" t="s">
        <v>226</v>
      </c>
      <c r="CF108">
        <v>1</v>
      </c>
      <c r="CG108">
        <v>0.971659696739538</v>
      </c>
      <c r="CH108" t="s">
        <v>111</v>
      </c>
      <c r="CI108">
        <v>2</v>
      </c>
      <c r="CJ108">
        <v>0.74117647058823499</v>
      </c>
      <c r="CK108" t="s">
        <v>341</v>
      </c>
      <c r="CL108">
        <v>3</v>
      </c>
      <c r="CM108">
        <v>0.94366197183098499</v>
      </c>
      <c r="CN108" t="s">
        <v>346</v>
      </c>
      <c r="CO108">
        <v>3</v>
      </c>
      <c r="CP108">
        <v>1.08346709470304</v>
      </c>
      <c r="CQ108" t="s">
        <v>111</v>
      </c>
      <c r="CR108">
        <v>2</v>
      </c>
      <c r="CS108">
        <v>0.67940199335548102</v>
      </c>
      <c r="CT108" t="s">
        <v>351</v>
      </c>
      <c r="CU108">
        <v>3</v>
      </c>
      <c r="CV108">
        <v>1.0618401206636501</v>
      </c>
      <c r="CW108" t="s">
        <v>364</v>
      </c>
      <c r="CX108">
        <v>3</v>
      </c>
      <c r="CY108">
        <v>1.00416088765603</v>
      </c>
      <c r="CZ108" t="s">
        <v>362</v>
      </c>
      <c r="DA108">
        <v>3</v>
      </c>
      <c r="DB108">
        <v>1.0846484935437499</v>
      </c>
      <c r="DC108" t="s">
        <v>342</v>
      </c>
      <c r="DD108">
        <v>3</v>
      </c>
      <c r="DE108">
        <v>1.15734265734265</v>
      </c>
      <c r="DF108" t="s">
        <v>362</v>
      </c>
      <c r="DG108">
        <v>3</v>
      </c>
      <c r="DH108">
        <v>0.97099236641221298</v>
      </c>
    </row>
    <row r="109" spans="1:112" x14ac:dyDescent="0.4">
      <c r="A109">
        <v>107</v>
      </c>
      <c r="B109" t="s">
        <v>279</v>
      </c>
      <c r="C109">
        <v>2</v>
      </c>
      <c r="D109">
        <v>1.2270916334661299</v>
      </c>
      <c r="E109" t="s">
        <v>281</v>
      </c>
      <c r="F109">
        <v>2</v>
      </c>
      <c r="G109">
        <v>0.65721819380355895</v>
      </c>
      <c r="H109" t="s">
        <v>204</v>
      </c>
      <c r="I109">
        <v>3</v>
      </c>
      <c r="J109">
        <v>0.69426751592356595</v>
      </c>
      <c r="K109" t="s">
        <v>281</v>
      </c>
      <c r="L109">
        <v>2</v>
      </c>
      <c r="M109">
        <v>0.97110552763819002</v>
      </c>
      <c r="N109" t="s">
        <v>272</v>
      </c>
      <c r="O109">
        <v>2</v>
      </c>
      <c r="P109">
        <v>1.41951219512195</v>
      </c>
      <c r="Q109" t="s">
        <v>313</v>
      </c>
      <c r="R109">
        <v>2</v>
      </c>
      <c r="S109">
        <v>1.06698564593301</v>
      </c>
      <c r="T109" t="s">
        <v>304</v>
      </c>
      <c r="U109">
        <v>2</v>
      </c>
      <c r="V109">
        <v>1.2893462469733601</v>
      </c>
      <c r="W109" t="s">
        <v>277</v>
      </c>
      <c r="X109">
        <v>3</v>
      </c>
      <c r="Y109">
        <v>1.1506572295247699</v>
      </c>
      <c r="Z109" t="s">
        <v>219</v>
      </c>
      <c r="AA109">
        <v>3</v>
      </c>
      <c r="AB109">
        <v>0.83526011560693603</v>
      </c>
      <c r="AC109" t="s">
        <v>208</v>
      </c>
      <c r="AD109">
        <v>2</v>
      </c>
      <c r="AE109">
        <v>0.92264416315049202</v>
      </c>
      <c r="AF109" t="s">
        <v>313</v>
      </c>
      <c r="AG109">
        <v>3</v>
      </c>
      <c r="AH109">
        <v>1.0155709342560499</v>
      </c>
      <c r="AI109" t="s">
        <v>312</v>
      </c>
      <c r="AJ109">
        <v>2</v>
      </c>
      <c r="AK109">
        <v>1.3</v>
      </c>
      <c r="AL109" t="s">
        <v>307</v>
      </c>
      <c r="AM109">
        <v>2</v>
      </c>
      <c r="AN109">
        <v>1.3370473537604399</v>
      </c>
      <c r="AO109" t="s">
        <v>327</v>
      </c>
      <c r="AP109">
        <v>3</v>
      </c>
      <c r="AQ109">
        <v>1.08222811671087</v>
      </c>
      <c r="AR109" t="s">
        <v>327</v>
      </c>
      <c r="AS109">
        <v>3</v>
      </c>
      <c r="AT109">
        <v>0.81372549019607798</v>
      </c>
      <c r="AU109" t="s">
        <v>337</v>
      </c>
      <c r="AV109">
        <v>2</v>
      </c>
      <c r="AW109">
        <v>1.1879997724468701</v>
      </c>
      <c r="AX109" t="s">
        <v>337</v>
      </c>
      <c r="AY109">
        <v>2</v>
      </c>
      <c r="AZ109">
        <v>0.65589137113415896</v>
      </c>
      <c r="BA109" t="s">
        <v>111</v>
      </c>
      <c r="BB109">
        <v>2</v>
      </c>
      <c r="BC109">
        <v>0.91091481785812101</v>
      </c>
      <c r="BD109" t="s">
        <v>337</v>
      </c>
      <c r="BE109">
        <v>2</v>
      </c>
      <c r="BF109">
        <v>0.93396295636313997</v>
      </c>
      <c r="BG109" t="s">
        <v>340</v>
      </c>
      <c r="BH109">
        <v>3</v>
      </c>
      <c r="BI109">
        <v>1.11803278688524</v>
      </c>
      <c r="BJ109" t="s">
        <v>340</v>
      </c>
      <c r="BK109">
        <v>3</v>
      </c>
      <c r="BL109">
        <v>0.94134897360703795</v>
      </c>
      <c r="BM109" t="s">
        <v>309</v>
      </c>
      <c r="BN109">
        <v>3</v>
      </c>
      <c r="BO109">
        <v>0.94474153297682695</v>
      </c>
      <c r="BP109" t="s">
        <v>332</v>
      </c>
      <c r="BQ109">
        <v>3</v>
      </c>
      <c r="BR109">
        <v>1.03805496828752</v>
      </c>
      <c r="BS109" t="s">
        <v>332</v>
      </c>
      <c r="BT109">
        <v>3</v>
      </c>
      <c r="BU109">
        <v>0.85132382892057001</v>
      </c>
      <c r="BV109" t="s">
        <v>229</v>
      </c>
      <c r="BW109">
        <v>1</v>
      </c>
      <c r="BX109">
        <v>0.89523809523809506</v>
      </c>
      <c r="BY109" t="s">
        <v>111</v>
      </c>
      <c r="BZ109">
        <v>2</v>
      </c>
      <c r="CA109">
        <v>0.86832740213523096</v>
      </c>
      <c r="CB109" t="s">
        <v>111</v>
      </c>
      <c r="CC109">
        <v>2</v>
      </c>
      <c r="CD109">
        <v>0.83606557377049096</v>
      </c>
      <c r="CE109" t="s">
        <v>302</v>
      </c>
      <c r="CF109">
        <v>2</v>
      </c>
      <c r="CG109">
        <v>0.881465517241379</v>
      </c>
      <c r="CH109" t="s">
        <v>332</v>
      </c>
      <c r="CI109">
        <v>3</v>
      </c>
      <c r="CJ109">
        <v>1.60569105691056</v>
      </c>
      <c r="CK109" t="s">
        <v>351</v>
      </c>
      <c r="CL109">
        <v>3</v>
      </c>
      <c r="CM109">
        <v>0.88030467899891096</v>
      </c>
      <c r="CN109" t="s">
        <v>351</v>
      </c>
      <c r="CO109">
        <v>3</v>
      </c>
      <c r="CP109">
        <v>0.79357231149567298</v>
      </c>
      <c r="CQ109" t="s">
        <v>332</v>
      </c>
      <c r="CR109">
        <v>3</v>
      </c>
      <c r="CS109">
        <v>0.97381342062193099</v>
      </c>
      <c r="CT109" t="s">
        <v>352</v>
      </c>
      <c r="CU109">
        <v>2</v>
      </c>
      <c r="CV109">
        <v>1.03209109730848</v>
      </c>
      <c r="CW109" t="s">
        <v>366</v>
      </c>
      <c r="CX109">
        <v>3</v>
      </c>
      <c r="CY109">
        <v>0.946930280957336</v>
      </c>
      <c r="CZ109" t="s">
        <v>364</v>
      </c>
      <c r="DA109">
        <v>3</v>
      </c>
      <c r="DB109">
        <v>0.88674033149171205</v>
      </c>
      <c r="DC109" t="s">
        <v>346</v>
      </c>
      <c r="DD109">
        <v>3</v>
      </c>
      <c r="DE109">
        <v>1.1426202321724701</v>
      </c>
      <c r="DF109" t="s">
        <v>361</v>
      </c>
      <c r="DG109">
        <v>1</v>
      </c>
      <c r="DH109">
        <v>1.21116138763197</v>
      </c>
    </row>
    <row r="110" spans="1:112" x14ac:dyDescent="0.4">
      <c r="A110">
        <v>108</v>
      </c>
      <c r="B110" t="s">
        <v>272</v>
      </c>
      <c r="C110">
        <v>2</v>
      </c>
      <c r="D110">
        <v>1.09965635738831</v>
      </c>
      <c r="E110" t="s">
        <v>220</v>
      </c>
      <c r="F110">
        <v>2</v>
      </c>
      <c r="G110">
        <v>0.91071428571428503</v>
      </c>
      <c r="H110" t="s">
        <v>330</v>
      </c>
      <c r="I110">
        <v>2</v>
      </c>
      <c r="J110">
        <v>0.253324468085106</v>
      </c>
      <c r="K110" t="s">
        <v>220</v>
      </c>
      <c r="L110">
        <v>2</v>
      </c>
      <c r="M110">
        <v>0.82270408163265296</v>
      </c>
      <c r="N110" t="s">
        <v>204</v>
      </c>
      <c r="O110">
        <v>3</v>
      </c>
      <c r="P110">
        <v>1.33214285714285</v>
      </c>
      <c r="Q110" t="s">
        <v>224</v>
      </c>
      <c r="R110">
        <v>2</v>
      </c>
      <c r="S110">
        <v>0.84032476319350402</v>
      </c>
      <c r="T110" t="s">
        <v>219</v>
      </c>
      <c r="U110">
        <v>3</v>
      </c>
      <c r="V110">
        <v>0.97041420118343102</v>
      </c>
      <c r="W110" t="s">
        <v>208</v>
      </c>
      <c r="X110">
        <v>2</v>
      </c>
      <c r="Y110">
        <v>1.15047619047619</v>
      </c>
      <c r="Z110" t="s">
        <v>336</v>
      </c>
      <c r="AA110">
        <v>2</v>
      </c>
      <c r="AB110">
        <v>1.0087873462214401</v>
      </c>
      <c r="AC110" t="s">
        <v>281</v>
      </c>
      <c r="AD110">
        <v>2</v>
      </c>
      <c r="AE110">
        <v>0.94161358811040297</v>
      </c>
      <c r="AF110" t="s">
        <v>224</v>
      </c>
      <c r="AG110">
        <v>2</v>
      </c>
      <c r="AH110">
        <v>1.2431332655137299</v>
      </c>
      <c r="AI110" t="s">
        <v>281</v>
      </c>
      <c r="AJ110">
        <v>2</v>
      </c>
      <c r="AK110">
        <v>1.1017543859649099</v>
      </c>
      <c r="AL110" t="s">
        <v>315</v>
      </c>
      <c r="AM110">
        <v>2</v>
      </c>
      <c r="AN110">
        <v>1.4163934426229501</v>
      </c>
      <c r="AO110" t="s">
        <v>258</v>
      </c>
      <c r="AP110">
        <v>1</v>
      </c>
      <c r="AQ110">
        <v>0.77620396600566499</v>
      </c>
      <c r="AR110" t="s">
        <v>258</v>
      </c>
      <c r="AS110">
        <v>1</v>
      </c>
      <c r="AT110">
        <v>0.82481751824817495</v>
      </c>
      <c r="AU110" t="s">
        <v>340</v>
      </c>
      <c r="AV110">
        <v>2</v>
      </c>
      <c r="AW110">
        <v>1.0978723404255299</v>
      </c>
      <c r="AX110" t="s">
        <v>340</v>
      </c>
      <c r="AY110">
        <v>2</v>
      </c>
      <c r="AZ110">
        <v>0.71317829457364301</v>
      </c>
      <c r="BA110" t="s">
        <v>337</v>
      </c>
      <c r="BB110">
        <v>2</v>
      </c>
      <c r="BC110">
        <v>0.87063773088997498</v>
      </c>
      <c r="BD110" t="s">
        <v>340</v>
      </c>
      <c r="BE110">
        <v>3</v>
      </c>
      <c r="BF110">
        <v>0.871428571428571</v>
      </c>
      <c r="BG110" t="s">
        <v>345</v>
      </c>
      <c r="BH110">
        <v>3</v>
      </c>
      <c r="BI110">
        <v>0.78372093023255796</v>
      </c>
      <c r="BJ110" t="s">
        <v>328</v>
      </c>
      <c r="BK110">
        <v>3</v>
      </c>
      <c r="BL110">
        <v>1.1736210822491899</v>
      </c>
      <c r="BM110" t="s">
        <v>229</v>
      </c>
      <c r="BN110">
        <v>1</v>
      </c>
      <c r="BO110">
        <v>0.980609418282548</v>
      </c>
      <c r="BP110" t="s">
        <v>345</v>
      </c>
      <c r="BQ110">
        <v>3</v>
      </c>
      <c r="BR110">
        <v>0.93933054393305404</v>
      </c>
      <c r="BS110" t="s">
        <v>345</v>
      </c>
      <c r="BT110">
        <v>3</v>
      </c>
      <c r="BU110">
        <v>1.0467706013363001</v>
      </c>
      <c r="BV110" t="s">
        <v>239</v>
      </c>
      <c r="BW110">
        <v>1</v>
      </c>
      <c r="BX110">
        <v>1.6919486581096801</v>
      </c>
      <c r="BY110" t="s">
        <v>245</v>
      </c>
      <c r="BZ110">
        <v>1</v>
      </c>
      <c r="CA110">
        <v>1.0155279503105501</v>
      </c>
      <c r="CB110" t="s">
        <v>332</v>
      </c>
      <c r="CC110">
        <v>3</v>
      </c>
      <c r="CD110">
        <v>1.0109649122807001</v>
      </c>
      <c r="CE110" t="s">
        <v>229</v>
      </c>
      <c r="CF110">
        <v>1</v>
      </c>
      <c r="CG110">
        <v>1.11904761904761</v>
      </c>
      <c r="CH110" t="s">
        <v>250</v>
      </c>
      <c r="CI110">
        <v>2</v>
      </c>
      <c r="CJ110">
        <v>1.5984916035072001</v>
      </c>
      <c r="CK110" t="s">
        <v>352</v>
      </c>
      <c r="CL110">
        <v>2</v>
      </c>
      <c r="CM110">
        <v>1.1854199683042701</v>
      </c>
      <c r="CN110" t="s">
        <v>352</v>
      </c>
      <c r="CO110">
        <v>2</v>
      </c>
      <c r="CP110">
        <v>0.82352941176470495</v>
      </c>
      <c r="CQ110" t="s">
        <v>253</v>
      </c>
      <c r="CR110">
        <v>2</v>
      </c>
      <c r="CS110">
        <v>0.88226950354609901</v>
      </c>
      <c r="CT110" t="s">
        <v>275</v>
      </c>
      <c r="CU110">
        <v>2</v>
      </c>
      <c r="CV110">
        <v>1.0247678018575801</v>
      </c>
      <c r="CW110" t="s">
        <v>303</v>
      </c>
      <c r="CX110">
        <v>3</v>
      </c>
      <c r="CY110">
        <v>1.00178890876565</v>
      </c>
      <c r="CZ110" t="s">
        <v>366</v>
      </c>
      <c r="DA110">
        <v>3</v>
      </c>
      <c r="DB110">
        <v>1.09450549450549</v>
      </c>
      <c r="DC110" t="s">
        <v>351</v>
      </c>
      <c r="DD110">
        <v>3</v>
      </c>
      <c r="DE110">
        <v>1.0757575757575699</v>
      </c>
      <c r="DF110" t="s">
        <v>364</v>
      </c>
      <c r="DG110">
        <v>3</v>
      </c>
      <c r="DH110">
        <v>1.12181303116147</v>
      </c>
    </row>
    <row r="111" spans="1:112" x14ac:dyDescent="0.4">
      <c r="A111">
        <v>109</v>
      </c>
      <c r="B111" t="s">
        <v>204</v>
      </c>
      <c r="C111">
        <v>2</v>
      </c>
      <c r="D111">
        <v>1.0261044176706799</v>
      </c>
      <c r="E111" t="s">
        <v>290</v>
      </c>
      <c r="F111">
        <v>3</v>
      </c>
      <c r="G111">
        <v>0.76161415460308401</v>
      </c>
      <c r="H111" t="s">
        <v>208</v>
      </c>
      <c r="I111">
        <v>2</v>
      </c>
      <c r="J111">
        <v>0.92086330935251803</v>
      </c>
      <c r="K111" t="s">
        <v>294</v>
      </c>
      <c r="L111">
        <v>2</v>
      </c>
      <c r="M111">
        <v>0.80113636363636298</v>
      </c>
      <c r="N111" t="s">
        <v>281</v>
      </c>
      <c r="O111">
        <v>2</v>
      </c>
      <c r="P111">
        <v>1.4385510996119</v>
      </c>
      <c r="Q111" t="s">
        <v>302</v>
      </c>
      <c r="R111">
        <v>2</v>
      </c>
      <c r="S111">
        <v>0.84501347708894803</v>
      </c>
      <c r="T111" t="s">
        <v>336</v>
      </c>
      <c r="U111">
        <v>2</v>
      </c>
      <c r="V111">
        <v>0.913274336283185</v>
      </c>
      <c r="W111" t="s">
        <v>281</v>
      </c>
      <c r="X111">
        <v>2</v>
      </c>
      <c r="Y111">
        <v>1.01790763430725</v>
      </c>
      <c r="Z111" t="s">
        <v>313</v>
      </c>
      <c r="AA111">
        <v>2</v>
      </c>
      <c r="AB111">
        <v>0.99267399267399203</v>
      </c>
      <c r="AC111" t="s">
        <v>220</v>
      </c>
      <c r="AD111">
        <v>2</v>
      </c>
      <c r="AE111">
        <v>1.06242774566474</v>
      </c>
      <c r="AF111" t="s">
        <v>350</v>
      </c>
      <c r="AG111">
        <v>3</v>
      </c>
      <c r="AH111">
        <v>0.78348214285714202</v>
      </c>
      <c r="AI111" t="s">
        <v>220</v>
      </c>
      <c r="AJ111">
        <v>2</v>
      </c>
      <c r="AK111">
        <v>0.89308855291576605</v>
      </c>
      <c r="AL111" t="s">
        <v>327</v>
      </c>
      <c r="AM111">
        <v>2</v>
      </c>
      <c r="AN111">
        <v>0.901913875598086</v>
      </c>
      <c r="AO111" t="s">
        <v>111</v>
      </c>
      <c r="AP111">
        <v>2</v>
      </c>
      <c r="AQ111">
        <v>0.91818931981610197</v>
      </c>
      <c r="AR111" t="s">
        <v>111</v>
      </c>
      <c r="AS111">
        <v>2</v>
      </c>
      <c r="AT111">
        <v>0.74256002054178905</v>
      </c>
      <c r="AU111" t="s">
        <v>328</v>
      </c>
      <c r="AV111">
        <v>3</v>
      </c>
      <c r="AW111">
        <v>1.1445490045451601</v>
      </c>
      <c r="AX111" t="s">
        <v>345</v>
      </c>
      <c r="AY111">
        <v>3</v>
      </c>
      <c r="AZ111">
        <v>1.4877384196185199</v>
      </c>
      <c r="BA111" t="s">
        <v>328</v>
      </c>
      <c r="BB111">
        <v>3</v>
      </c>
      <c r="BC111">
        <v>1.0991210479956499</v>
      </c>
      <c r="BD111" t="s">
        <v>345</v>
      </c>
      <c r="BE111">
        <v>3</v>
      </c>
      <c r="BF111">
        <v>0.990783410138248</v>
      </c>
      <c r="BG111" t="s">
        <v>328</v>
      </c>
      <c r="BH111">
        <v>3</v>
      </c>
      <c r="BI111">
        <v>0.938132687493196</v>
      </c>
      <c r="BJ111" t="s">
        <v>347</v>
      </c>
      <c r="BK111">
        <v>3</v>
      </c>
      <c r="BL111">
        <v>1.57271095152603</v>
      </c>
      <c r="BM111" t="s">
        <v>327</v>
      </c>
      <c r="BN111">
        <v>2</v>
      </c>
      <c r="BO111">
        <v>0.98144329896907201</v>
      </c>
      <c r="BP111" t="s">
        <v>354</v>
      </c>
      <c r="BQ111">
        <v>3</v>
      </c>
      <c r="BR111">
        <v>0.91900311526479705</v>
      </c>
      <c r="BS111" t="s">
        <v>328</v>
      </c>
      <c r="BT111">
        <v>2</v>
      </c>
      <c r="BU111">
        <v>1.16304729777215</v>
      </c>
      <c r="BV111" t="s">
        <v>111</v>
      </c>
      <c r="BW111">
        <v>2</v>
      </c>
      <c r="BX111">
        <v>0.95578231292517002</v>
      </c>
      <c r="BY111" t="s">
        <v>332</v>
      </c>
      <c r="BZ111">
        <v>3</v>
      </c>
      <c r="CA111">
        <v>1.0857142857142801</v>
      </c>
      <c r="CB111" t="s">
        <v>337</v>
      </c>
      <c r="CC111">
        <v>3</v>
      </c>
      <c r="CD111">
        <v>0.46037735849056599</v>
      </c>
      <c r="CE111" t="s">
        <v>240</v>
      </c>
      <c r="CF111">
        <v>1</v>
      </c>
      <c r="CG111">
        <v>1.1529411764705799</v>
      </c>
      <c r="CH111" t="s">
        <v>337</v>
      </c>
      <c r="CI111">
        <v>3</v>
      </c>
      <c r="CJ111">
        <v>1.04602510460251</v>
      </c>
      <c r="CK111" t="s">
        <v>355</v>
      </c>
      <c r="CL111">
        <v>3</v>
      </c>
      <c r="CM111">
        <v>0.92238267148014397</v>
      </c>
      <c r="CN111" t="s">
        <v>355</v>
      </c>
      <c r="CO111">
        <v>3</v>
      </c>
      <c r="CP111">
        <v>0.86692759295499</v>
      </c>
      <c r="CQ111" t="s">
        <v>328</v>
      </c>
      <c r="CR111">
        <v>2</v>
      </c>
      <c r="CS111">
        <v>0.75242200414303895</v>
      </c>
      <c r="CT111" t="s">
        <v>359</v>
      </c>
      <c r="CU111">
        <v>3</v>
      </c>
      <c r="CV111">
        <v>1.0260989010988999</v>
      </c>
      <c r="CW111" t="s">
        <v>289</v>
      </c>
      <c r="CX111">
        <v>2</v>
      </c>
      <c r="CY111">
        <v>0.97597254004576595</v>
      </c>
      <c r="CZ111" t="s">
        <v>303</v>
      </c>
      <c r="DA111">
        <v>3</v>
      </c>
      <c r="DB111">
        <v>0.87321428571428505</v>
      </c>
      <c r="DC111" t="s">
        <v>275</v>
      </c>
      <c r="DD111">
        <v>2</v>
      </c>
      <c r="DE111">
        <v>1.002849002849</v>
      </c>
      <c r="DF111" t="s">
        <v>366</v>
      </c>
      <c r="DG111">
        <v>3</v>
      </c>
      <c r="DH111">
        <v>1.04615384615384</v>
      </c>
    </row>
    <row r="112" spans="1:112" x14ac:dyDescent="0.4">
      <c r="A112">
        <v>110</v>
      </c>
      <c r="B112" t="s">
        <v>330</v>
      </c>
      <c r="C112">
        <v>2</v>
      </c>
      <c r="D112">
        <v>0.73092369477911601</v>
      </c>
      <c r="E112" t="s">
        <v>288</v>
      </c>
      <c r="F112">
        <v>3</v>
      </c>
      <c r="G112">
        <v>0.79615384615384599</v>
      </c>
      <c r="H112" t="s">
        <v>281</v>
      </c>
      <c r="I112">
        <v>2</v>
      </c>
      <c r="J112">
        <v>0.79839518555667</v>
      </c>
      <c r="K112" t="s">
        <v>304</v>
      </c>
      <c r="L112">
        <v>3</v>
      </c>
      <c r="M112">
        <v>0.96870554765291605</v>
      </c>
      <c r="N112" t="s">
        <v>220</v>
      </c>
      <c r="O112">
        <v>2</v>
      </c>
      <c r="P112">
        <v>1.1922480620155</v>
      </c>
      <c r="Q112" t="s">
        <v>307</v>
      </c>
      <c r="R112">
        <v>2</v>
      </c>
      <c r="S112">
        <v>1.04810126582278</v>
      </c>
      <c r="T112" t="s">
        <v>313</v>
      </c>
      <c r="U112">
        <v>2</v>
      </c>
      <c r="V112">
        <v>0.80269058295964102</v>
      </c>
      <c r="W112" t="s">
        <v>220</v>
      </c>
      <c r="X112">
        <v>2</v>
      </c>
      <c r="Y112">
        <v>0.97348886532343504</v>
      </c>
      <c r="Z112" t="s">
        <v>224</v>
      </c>
      <c r="AA112">
        <v>2</v>
      </c>
      <c r="AB112">
        <v>0.82929292929292897</v>
      </c>
      <c r="AC112" t="s">
        <v>288</v>
      </c>
      <c r="AD112">
        <v>3</v>
      </c>
      <c r="AE112">
        <v>0.88901734104046204</v>
      </c>
      <c r="AF112" t="s">
        <v>302</v>
      </c>
      <c r="AG112">
        <v>2</v>
      </c>
      <c r="AH112">
        <v>1.5838068181818099</v>
      </c>
      <c r="AI112" t="s">
        <v>218</v>
      </c>
      <c r="AJ112">
        <v>3</v>
      </c>
      <c r="AK112">
        <v>0.72189973614775704</v>
      </c>
      <c r="AL112" t="s">
        <v>258</v>
      </c>
      <c r="AM112">
        <v>1</v>
      </c>
      <c r="AN112">
        <v>1.02023121387283</v>
      </c>
      <c r="AO112" t="s">
        <v>340</v>
      </c>
      <c r="AP112">
        <v>2</v>
      </c>
      <c r="AQ112">
        <v>0.87169811320754698</v>
      </c>
      <c r="AR112" t="s">
        <v>332</v>
      </c>
      <c r="AS112">
        <v>3</v>
      </c>
      <c r="AT112">
        <v>0.94276094276094202</v>
      </c>
      <c r="AU112" t="s">
        <v>263</v>
      </c>
      <c r="AV112">
        <v>1</v>
      </c>
      <c r="AW112">
        <v>1.45588235294117</v>
      </c>
      <c r="AX112" t="s">
        <v>354</v>
      </c>
      <c r="AY112">
        <v>3</v>
      </c>
      <c r="AZ112">
        <v>0.84818481848184801</v>
      </c>
      <c r="BA112" t="s">
        <v>263</v>
      </c>
      <c r="BB112">
        <v>2</v>
      </c>
      <c r="BC112">
        <v>0.88535031847133705</v>
      </c>
      <c r="BD112" t="s">
        <v>328</v>
      </c>
      <c r="BE112">
        <v>3</v>
      </c>
      <c r="BF112">
        <v>1.25317146364752</v>
      </c>
      <c r="BG112" t="s">
        <v>263</v>
      </c>
      <c r="BH112">
        <v>2</v>
      </c>
      <c r="BI112">
        <v>1.1956521739130399</v>
      </c>
      <c r="BJ112" t="s">
        <v>263</v>
      </c>
      <c r="BK112">
        <v>2</v>
      </c>
      <c r="BL112">
        <v>1.0909090909090899</v>
      </c>
      <c r="BM112" t="s">
        <v>332</v>
      </c>
      <c r="BN112">
        <v>3</v>
      </c>
      <c r="BO112">
        <v>0.70491803278688503</v>
      </c>
      <c r="BP112" t="s">
        <v>328</v>
      </c>
      <c r="BQ112">
        <v>2</v>
      </c>
      <c r="BR112">
        <v>1.0222227543763001</v>
      </c>
      <c r="BS112" t="s">
        <v>263</v>
      </c>
      <c r="BT112">
        <v>2</v>
      </c>
      <c r="BU112">
        <v>1.28008752735229</v>
      </c>
      <c r="BV112" t="s">
        <v>332</v>
      </c>
      <c r="BW112">
        <v>3</v>
      </c>
      <c r="BX112">
        <v>1.0047846889952099</v>
      </c>
      <c r="BY112" t="s">
        <v>354</v>
      </c>
      <c r="BZ112">
        <v>3</v>
      </c>
      <c r="CA112">
        <v>1.3125</v>
      </c>
      <c r="CB112" t="s">
        <v>328</v>
      </c>
      <c r="CC112">
        <v>2</v>
      </c>
      <c r="CD112">
        <v>0.85887597876056898</v>
      </c>
      <c r="CE112" t="s">
        <v>325</v>
      </c>
      <c r="CF112">
        <v>3</v>
      </c>
      <c r="CG112">
        <v>0.99401197604790403</v>
      </c>
      <c r="CH112" t="s">
        <v>354</v>
      </c>
      <c r="CI112">
        <v>3</v>
      </c>
      <c r="CJ112">
        <v>1.15135834411384</v>
      </c>
      <c r="CK112" t="s">
        <v>275</v>
      </c>
      <c r="CL112">
        <v>2</v>
      </c>
      <c r="CM112">
        <v>0.95634920634920595</v>
      </c>
      <c r="CN112" t="s">
        <v>275</v>
      </c>
      <c r="CO112">
        <v>2</v>
      </c>
      <c r="CP112">
        <v>0.92254495159059402</v>
      </c>
      <c r="CQ112" t="s">
        <v>338</v>
      </c>
      <c r="CR112">
        <v>3</v>
      </c>
      <c r="CS112">
        <v>0.80419580419580405</v>
      </c>
      <c r="CT112" t="s">
        <v>278</v>
      </c>
      <c r="CU112">
        <v>1</v>
      </c>
      <c r="CV112">
        <v>1.0715502555366201</v>
      </c>
      <c r="CW112" t="s">
        <v>374</v>
      </c>
      <c r="CX112">
        <v>2</v>
      </c>
      <c r="CY112">
        <v>1.00788643533123</v>
      </c>
      <c r="CZ112" t="s">
        <v>289</v>
      </c>
      <c r="DA112">
        <v>2</v>
      </c>
      <c r="DB112">
        <v>0.94841735052754905</v>
      </c>
      <c r="DC112" t="s">
        <v>359</v>
      </c>
      <c r="DD112">
        <v>3</v>
      </c>
      <c r="DE112">
        <v>1.0040431266846299</v>
      </c>
      <c r="DF112" t="s">
        <v>303</v>
      </c>
      <c r="DG112">
        <v>3</v>
      </c>
      <c r="DH112">
        <v>0.96421471172962203</v>
      </c>
    </row>
    <row r="113" spans="1:112" x14ac:dyDescent="0.4">
      <c r="A113">
        <v>111</v>
      </c>
      <c r="B113" t="s">
        <v>286</v>
      </c>
      <c r="C113">
        <v>3</v>
      </c>
      <c r="D113">
        <v>1.0922619047619</v>
      </c>
      <c r="E113" t="s">
        <v>294</v>
      </c>
      <c r="F113">
        <v>2</v>
      </c>
      <c r="G113">
        <v>1.11165048543689</v>
      </c>
      <c r="H113" t="s">
        <v>220</v>
      </c>
      <c r="I113">
        <v>2</v>
      </c>
      <c r="J113">
        <v>1.2810457516339799</v>
      </c>
      <c r="K113" t="s">
        <v>336</v>
      </c>
      <c r="L113">
        <v>3</v>
      </c>
      <c r="M113">
        <v>1.0674373795761001</v>
      </c>
      <c r="N113" t="s">
        <v>294</v>
      </c>
      <c r="O113">
        <v>2</v>
      </c>
      <c r="P113">
        <v>1.3148936170212699</v>
      </c>
      <c r="Q113" t="s">
        <v>227</v>
      </c>
      <c r="R113">
        <v>2</v>
      </c>
      <c r="S113">
        <v>0.97199999999999998</v>
      </c>
      <c r="T113" t="s">
        <v>224</v>
      </c>
      <c r="U113">
        <v>2</v>
      </c>
      <c r="V113">
        <v>0.82769726247987097</v>
      </c>
      <c r="W113" t="s">
        <v>294</v>
      </c>
      <c r="X113">
        <v>2</v>
      </c>
      <c r="Y113">
        <v>0.90655209452201901</v>
      </c>
      <c r="Z113" t="s">
        <v>302</v>
      </c>
      <c r="AA113">
        <v>2</v>
      </c>
      <c r="AB113">
        <v>0.902061855670103</v>
      </c>
      <c r="AC113" t="s">
        <v>294</v>
      </c>
      <c r="AD113">
        <v>2</v>
      </c>
      <c r="AE113">
        <v>1.0188205771643599</v>
      </c>
      <c r="AF113" t="s">
        <v>307</v>
      </c>
      <c r="AG113">
        <v>2</v>
      </c>
      <c r="AH113">
        <v>1.0909090909090899</v>
      </c>
      <c r="AI113" t="s">
        <v>294</v>
      </c>
      <c r="AJ113">
        <v>2</v>
      </c>
      <c r="AK113">
        <v>0.82829373650107996</v>
      </c>
      <c r="AL113" t="s">
        <v>111</v>
      </c>
      <c r="AM113">
        <v>2</v>
      </c>
      <c r="AN113">
        <v>0.81331134589940701</v>
      </c>
      <c r="AO113" t="s">
        <v>328</v>
      </c>
      <c r="AP113">
        <v>3</v>
      </c>
      <c r="AQ113">
        <v>1.04579854398881</v>
      </c>
      <c r="AR113" t="s">
        <v>337</v>
      </c>
      <c r="AS113">
        <v>2</v>
      </c>
      <c r="AT113">
        <v>0.77399460892705496</v>
      </c>
      <c r="AU113" t="s">
        <v>334</v>
      </c>
      <c r="AV113">
        <v>3</v>
      </c>
      <c r="AW113">
        <v>1.00630914826498</v>
      </c>
      <c r="AX113" t="s">
        <v>328</v>
      </c>
      <c r="AY113">
        <v>3</v>
      </c>
      <c r="AZ113">
        <v>0.99481701064563599</v>
      </c>
      <c r="BA113" t="s">
        <v>356</v>
      </c>
      <c r="BB113">
        <v>3</v>
      </c>
      <c r="BC113">
        <v>1.1090909090909</v>
      </c>
      <c r="BD113" t="s">
        <v>347</v>
      </c>
      <c r="BE113">
        <v>3</v>
      </c>
      <c r="BF113">
        <v>0.84126984126984095</v>
      </c>
      <c r="BG113" t="s">
        <v>356</v>
      </c>
      <c r="BH113">
        <v>3</v>
      </c>
      <c r="BI113">
        <v>0.99270072992700698</v>
      </c>
      <c r="BJ113" t="s">
        <v>356</v>
      </c>
      <c r="BK113">
        <v>3</v>
      </c>
      <c r="BL113">
        <v>0.95220588235294101</v>
      </c>
      <c r="BM113" t="s">
        <v>340</v>
      </c>
      <c r="BN113">
        <v>3</v>
      </c>
      <c r="BO113">
        <v>0.83956386292834895</v>
      </c>
      <c r="BP113" t="s">
        <v>263</v>
      </c>
      <c r="BQ113">
        <v>2</v>
      </c>
      <c r="BR113">
        <v>1.0627906976744099</v>
      </c>
      <c r="BS113" t="s">
        <v>334</v>
      </c>
      <c r="BT113">
        <v>3</v>
      </c>
      <c r="BU113">
        <v>0.90190735694822799</v>
      </c>
      <c r="BV113" t="s">
        <v>354</v>
      </c>
      <c r="BW113">
        <v>3</v>
      </c>
      <c r="BX113">
        <v>1.26732673267326</v>
      </c>
      <c r="BY113" t="s">
        <v>328</v>
      </c>
      <c r="BZ113">
        <v>2</v>
      </c>
      <c r="CA113">
        <v>1.0464147683353699</v>
      </c>
      <c r="CB113" t="s">
        <v>338</v>
      </c>
      <c r="CC113">
        <v>2</v>
      </c>
      <c r="CD113">
        <v>0.83440860215053703</v>
      </c>
      <c r="CE113" t="s">
        <v>239</v>
      </c>
      <c r="CF113">
        <v>2</v>
      </c>
      <c r="CG113">
        <v>0.88736263736263699</v>
      </c>
      <c r="CH113" t="s">
        <v>328</v>
      </c>
      <c r="CI113">
        <v>2</v>
      </c>
      <c r="CJ113">
        <v>1.2499947176030499</v>
      </c>
      <c r="CK113" t="s">
        <v>359</v>
      </c>
      <c r="CL113">
        <v>3</v>
      </c>
      <c r="CM113">
        <v>1.07692307692307</v>
      </c>
      <c r="CN113" t="s">
        <v>359</v>
      </c>
      <c r="CO113">
        <v>3</v>
      </c>
      <c r="CP113">
        <v>0.915024630541871</v>
      </c>
      <c r="CQ113" t="s">
        <v>351</v>
      </c>
      <c r="CR113">
        <v>3</v>
      </c>
      <c r="CS113">
        <v>1.0327102803738299</v>
      </c>
      <c r="CT113" t="s">
        <v>361</v>
      </c>
      <c r="CU113">
        <v>1</v>
      </c>
      <c r="CV113">
        <v>0.912928690234179</v>
      </c>
      <c r="CW113" t="s">
        <v>380</v>
      </c>
      <c r="CX113">
        <v>3</v>
      </c>
      <c r="CY113">
        <v>0.96685082872928096</v>
      </c>
      <c r="CZ113" t="s">
        <v>374</v>
      </c>
      <c r="DA113">
        <v>2</v>
      </c>
      <c r="DB113">
        <v>0.96870109546165795</v>
      </c>
      <c r="DC113" t="s">
        <v>278</v>
      </c>
      <c r="DD113">
        <v>1</v>
      </c>
      <c r="DE113">
        <v>0.93763440860214997</v>
      </c>
      <c r="DF113" t="s">
        <v>289</v>
      </c>
      <c r="DG113">
        <v>2</v>
      </c>
      <c r="DH113">
        <v>1.0525657071339101</v>
      </c>
    </row>
    <row r="114" spans="1:112" x14ac:dyDescent="0.4">
      <c r="A114">
        <v>112</v>
      </c>
      <c r="B114" t="s">
        <v>208</v>
      </c>
      <c r="C114">
        <v>2</v>
      </c>
      <c r="D114">
        <v>1.0042283298097201</v>
      </c>
      <c r="E114" t="s">
        <v>304</v>
      </c>
      <c r="F114">
        <v>3</v>
      </c>
      <c r="G114">
        <v>1.1029585798816499</v>
      </c>
      <c r="H114" t="s">
        <v>288</v>
      </c>
      <c r="I114">
        <v>3</v>
      </c>
      <c r="J114">
        <v>0.52294685990338097</v>
      </c>
      <c r="K114" t="s">
        <v>313</v>
      </c>
      <c r="L114">
        <v>2</v>
      </c>
      <c r="M114">
        <v>1.1779141104294399</v>
      </c>
      <c r="N114" t="s">
        <v>304</v>
      </c>
      <c r="O114">
        <v>3</v>
      </c>
      <c r="P114">
        <v>1.0778267254038101</v>
      </c>
      <c r="Q114" t="s">
        <v>229</v>
      </c>
      <c r="R114">
        <v>2</v>
      </c>
      <c r="S114">
        <v>1.2621359223300901</v>
      </c>
      <c r="T114" t="s">
        <v>302</v>
      </c>
      <c r="U114">
        <v>2</v>
      </c>
      <c r="V114">
        <v>0.80861244019138701</v>
      </c>
      <c r="W114" t="s">
        <v>219</v>
      </c>
      <c r="X114">
        <v>3</v>
      </c>
      <c r="Y114">
        <v>1.0548780487804801</v>
      </c>
      <c r="Z114" t="s">
        <v>307</v>
      </c>
      <c r="AA114">
        <v>2</v>
      </c>
      <c r="AB114">
        <v>1.2911725955204201</v>
      </c>
      <c r="AC114" t="s">
        <v>336</v>
      </c>
      <c r="AD114">
        <v>3</v>
      </c>
      <c r="AE114">
        <v>0.93554006968641101</v>
      </c>
      <c r="AF114" t="s">
        <v>227</v>
      </c>
      <c r="AG114">
        <v>2</v>
      </c>
      <c r="AH114">
        <v>1.4361001317522999</v>
      </c>
      <c r="AI114" t="s">
        <v>336</v>
      </c>
      <c r="AJ114">
        <v>3</v>
      </c>
      <c r="AK114">
        <v>0.80300187617260699</v>
      </c>
      <c r="AL114" t="s">
        <v>340</v>
      </c>
      <c r="AM114">
        <v>3</v>
      </c>
      <c r="AN114">
        <v>0.84126984126984095</v>
      </c>
      <c r="AO114" t="s">
        <v>347</v>
      </c>
      <c r="AP114">
        <v>3</v>
      </c>
      <c r="AQ114">
        <v>0.88531468531468505</v>
      </c>
      <c r="AR114" t="s">
        <v>340</v>
      </c>
      <c r="AS114">
        <v>2</v>
      </c>
      <c r="AT114">
        <v>0.81385281385281305</v>
      </c>
      <c r="AU114" t="s">
        <v>342</v>
      </c>
      <c r="AV114">
        <v>3</v>
      </c>
      <c r="AW114">
        <v>1.1111111111111101</v>
      </c>
      <c r="AX114" t="s">
        <v>347</v>
      </c>
      <c r="AY114">
        <v>3</v>
      </c>
      <c r="AZ114">
        <v>0.78157503714710197</v>
      </c>
      <c r="BA114" t="s">
        <v>358</v>
      </c>
      <c r="BB114">
        <v>2</v>
      </c>
      <c r="BC114">
        <v>1.12445414847161</v>
      </c>
      <c r="BD114" t="s">
        <v>263</v>
      </c>
      <c r="BE114">
        <v>2</v>
      </c>
      <c r="BF114">
        <v>0.99280575539568305</v>
      </c>
      <c r="BG114" t="s">
        <v>358</v>
      </c>
      <c r="BH114">
        <v>2</v>
      </c>
      <c r="BI114">
        <v>0.93867334167709604</v>
      </c>
      <c r="BJ114" t="s">
        <v>358</v>
      </c>
      <c r="BK114">
        <v>2</v>
      </c>
      <c r="BL114">
        <v>0.86</v>
      </c>
      <c r="BM114" t="s">
        <v>345</v>
      </c>
      <c r="BN114">
        <v>3</v>
      </c>
      <c r="BO114">
        <v>0.96370967741935398</v>
      </c>
      <c r="BP114" t="s">
        <v>356</v>
      </c>
      <c r="BQ114">
        <v>3</v>
      </c>
      <c r="BR114">
        <v>0.86071428571428499</v>
      </c>
      <c r="BS114" t="s">
        <v>358</v>
      </c>
      <c r="BT114">
        <v>2</v>
      </c>
      <c r="BU114">
        <v>1.2004008016032</v>
      </c>
      <c r="BV114" t="s">
        <v>328</v>
      </c>
      <c r="BW114">
        <v>2</v>
      </c>
      <c r="BX114">
        <v>1.10746872922835</v>
      </c>
      <c r="BY114" t="s">
        <v>342</v>
      </c>
      <c r="BZ114">
        <v>3</v>
      </c>
      <c r="CA114">
        <v>1.0880000000000001</v>
      </c>
      <c r="CB114" t="s">
        <v>342</v>
      </c>
      <c r="CC114">
        <v>3</v>
      </c>
      <c r="CD114">
        <v>0.77205882352941102</v>
      </c>
      <c r="CE114" t="s">
        <v>316</v>
      </c>
      <c r="CF114">
        <v>2</v>
      </c>
      <c r="CG114">
        <v>0.866745283018867</v>
      </c>
      <c r="CH114" t="s">
        <v>338</v>
      </c>
      <c r="CI114">
        <v>2</v>
      </c>
      <c r="CJ114">
        <v>1.0133729569093599</v>
      </c>
      <c r="CK114" t="s">
        <v>278</v>
      </c>
      <c r="CL114">
        <v>1</v>
      </c>
      <c r="CM114">
        <v>1.03896103896103</v>
      </c>
      <c r="CN114" t="s">
        <v>278</v>
      </c>
      <c r="CO114">
        <v>1</v>
      </c>
      <c r="CP114">
        <v>1.01979166666666</v>
      </c>
      <c r="CQ114" t="s">
        <v>352</v>
      </c>
      <c r="CR114">
        <v>2</v>
      </c>
      <c r="CS114">
        <v>1.0454545454545401</v>
      </c>
      <c r="CT114" t="s">
        <v>364</v>
      </c>
      <c r="CU114">
        <v>3</v>
      </c>
      <c r="CV114">
        <v>0.95118733509234799</v>
      </c>
      <c r="CW114" t="s">
        <v>381</v>
      </c>
      <c r="CX114">
        <v>2</v>
      </c>
      <c r="CY114">
        <v>1.1686046511627901</v>
      </c>
      <c r="CZ114" t="s">
        <v>375</v>
      </c>
      <c r="DA114">
        <v>3</v>
      </c>
      <c r="DB114">
        <v>0.933544303797468</v>
      </c>
      <c r="DC114" t="s">
        <v>362</v>
      </c>
      <c r="DD114">
        <v>3</v>
      </c>
      <c r="DE114">
        <v>0.86640211640211595</v>
      </c>
      <c r="DF114" t="s">
        <v>374</v>
      </c>
      <c r="DG114">
        <v>2</v>
      </c>
      <c r="DH114">
        <v>1.11247803163444</v>
      </c>
    </row>
    <row r="115" spans="1:112" x14ac:dyDescent="0.4">
      <c r="A115">
        <v>113</v>
      </c>
      <c r="B115" t="s">
        <v>281</v>
      </c>
      <c r="C115">
        <v>2</v>
      </c>
      <c r="D115">
        <v>0.95709779179810694</v>
      </c>
      <c r="E115" t="s">
        <v>219</v>
      </c>
      <c r="F115">
        <v>3</v>
      </c>
      <c r="G115">
        <v>0.85462555066079204</v>
      </c>
      <c r="H115" t="s">
        <v>294</v>
      </c>
      <c r="I115">
        <v>2</v>
      </c>
      <c r="J115">
        <v>0.76855895196506496</v>
      </c>
      <c r="K115" t="s">
        <v>224</v>
      </c>
      <c r="L115">
        <v>2</v>
      </c>
      <c r="M115">
        <v>1.0579710144927501</v>
      </c>
      <c r="N115" t="s">
        <v>336</v>
      </c>
      <c r="O115">
        <v>3</v>
      </c>
      <c r="P115">
        <v>1.0722021660649801</v>
      </c>
      <c r="Q115" t="s">
        <v>315</v>
      </c>
      <c r="R115">
        <v>2</v>
      </c>
      <c r="S115">
        <v>1.4584425799685301</v>
      </c>
      <c r="T115" t="s">
        <v>307</v>
      </c>
      <c r="U115">
        <v>2</v>
      </c>
      <c r="V115">
        <v>0.98550724637681097</v>
      </c>
      <c r="W115" t="s">
        <v>336</v>
      </c>
      <c r="X115">
        <v>2</v>
      </c>
      <c r="Y115">
        <v>1.1027131782945701</v>
      </c>
      <c r="Z115" t="s">
        <v>229</v>
      </c>
      <c r="AA115">
        <v>2</v>
      </c>
      <c r="AB115">
        <v>1.0327868852458999</v>
      </c>
      <c r="AC115" t="s">
        <v>313</v>
      </c>
      <c r="AD115">
        <v>3</v>
      </c>
      <c r="AE115">
        <v>1.0664206642066401</v>
      </c>
      <c r="AF115" t="s">
        <v>327</v>
      </c>
      <c r="AG115">
        <v>2</v>
      </c>
      <c r="AH115">
        <v>0.91407678244972501</v>
      </c>
      <c r="AI115" t="s">
        <v>313</v>
      </c>
      <c r="AJ115">
        <v>3</v>
      </c>
      <c r="AK115">
        <v>1.0153321976149901</v>
      </c>
      <c r="AL115" t="s">
        <v>328</v>
      </c>
      <c r="AM115">
        <v>3</v>
      </c>
      <c r="AN115">
        <v>1.2024828131955001</v>
      </c>
      <c r="AO115" t="s">
        <v>356</v>
      </c>
      <c r="AP115">
        <v>3</v>
      </c>
      <c r="AQ115">
        <v>0.81218274111675104</v>
      </c>
      <c r="AR115" t="s">
        <v>354</v>
      </c>
      <c r="AS115">
        <v>3</v>
      </c>
      <c r="AT115">
        <v>0.78142857142857103</v>
      </c>
      <c r="AU115" t="s">
        <v>358</v>
      </c>
      <c r="AV115">
        <v>2</v>
      </c>
      <c r="AW115">
        <v>1.16525423728813</v>
      </c>
      <c r="AX115" t="s">
        <v>263</v>
      </c>
      <c r="AY115">
        <v>1</v>
      </c>
      <c r="AZ115">
        <v>0.95151515151515098</v>
      </c>
      <c r="BA115" t="s">
        <v>352</v>
      </c>
      <c r="BB115">
        <v>2</v>
      </c>
      <c r="BC115">
        <v>1.0252256334730501</v>
      </c>
      <c r="BD115" t="s">
        <v>356</v>
      </c>
      <c r="BE115">
        <v>3</v>
      </c>
      <c r="BF115">
        <v>1.1229508196721301</v>
      </c>
      <c r="BG115" t="s">
        <v>352</v>
      </c>
      <c r="BH115">
        <v>2</v>
      </c>
      <c r="BI115">
        <v>1.1040327293980099</v>
      </c>
      <c r="BJ115" t="s">
        <v>352</v>
      </c>
      <c r="BK115">
        <v>2</v>
      </c>
      <c r="BL115">
        <v>1.14790894653255</v>
      </c>
      <c r="BM115" t="s">
        <v>328</v>
      </c>
      <c r="BN115">
        <v>2</v>
      </c>
      <c r="BO115">
        <v>1.0321057834898599</v>
      </c>
      <c r="BP115" t="s">
        <v>348</v>
      </c>
      <c r="BQ115">
        <v>3</v>
      </c>
      <c r="BR115">
        <v>1.27296587926509</v>
      </c>
      <c r="BS115" t="s">
        <v>352</v>
      </c>
      <c r="BT115">
        <v>2</v>
      </c>
      <c r="BU115">
        <v>1.06132010472647</v>
      </c>
      <c r="BV115" t="s">
        <v>334</v>
      </c>
      <c r="BW115">
        <v>3</v>
      </c>
      <c r="BX115">
        <v>1.9577039274924399</v>
      </c>
      <c r="BY115" t="s">
        <v>348</v>
      </c>
      <c r="BZ115">
        <v>3</v>
      </c>
      <c r="CA115">
        <v>0.95550061804697095</v>
      </c>
      <c r="CB115" t="s">
        <v>348</v>
      </c>
      <c r="CC115">
        <v>3</v>
      </c>
      <c r="CD115">
        <v>0.80465717981888696</v>
      </c>
      <c r="CE115" t="s">
        <v>111</v>
      </c>
      <c r="CF115">
        <v>2</v>
      </c>
      <c r="CG115">
        <v>1.1666666666666601</v>
      </c>
      <c r="CH115" t="s">
        <v>348</v>
      </c>
      <c r="CI115">
        <v>3</v>
      </c>
      <c r="CJ115">
        <v>0.96728971962616805</v>
      </c>
      <c r="CK115" t="s">
        <v>363</v>
      </c>
      <c r="CL115">
        <v>3</v>
      </c>
      <c r="CM115">
        <v>0.73106060606060597</v>
      </c>
      <c r="CN115" t="s">
        <v>363</v>
      </c>
      <c r="CO115">
        <v>3</v>
      </c>
      <c r="CP115">
        <v>0.84628670120898097</v>
      </c>
      <c r="CQ115" t="s">
        <v>275</v>
      </c>
      <c r="CR115">
        <v>2</v>
      </c>
      <c r="CS115">
        <v>0.96851574212893499</v>
      </c>
      <c r="CT115" t="s">
        <v>366</v>
      </c>
      <c r="CU115">
        <v>3</v>
      </c>
      <c r="CV115">
        <v>1.05720572057205</v>
      </c>
      <c r="CW115" t="s">
        <v>383</v>
      </c>
      <c r="CX115">
        <v>3</v>
      </c>
      <c r="CY115">
        <v>0.98133333333333295</v>
      </c>
      <c r="CZ115" t="s">
        <v>380</v>
      </c>
      <c r="DA115">
        <v>3</v>
      </c>
      <c r="DB115">
        <v>0.88</v>
      </c>
      <c r="DC115" t="s">
        <v>361</v>
      </c>
      <c r="DD115">
        <v>1</v>
      </c>
      <c r="DE115">
        <v>1.06632784354091</v>
      </c>
      <c r="DF115" t="s">
        <v>380</v>
      </c>
      <c r="DG115">
        <v>3</v>
      </c>
      <c r="DH115">
        <v>1.02666666666666</v>
      </c>
    </row>
    <row r="116" spans="1:112" x14ac:dyDescent="0.4">
      <c r="A116">
        <v>114</v>
      </c>
      <c r="B116" t="s">
        <v>220</v>
      </c>
      <c r="C116">
        <v>2</v>
      </c>
      <c r="D116">
        <v>0.86934023285899098</v>
      </c>
      <c r="E116" t="s">
        <v>336</v>
      </c>
      <c r="F116">
        <v>3</v>
      </c>
      <c r="G116">
        <v>1</v>
      </c>
      <c r="H116" t="s">
        <v>219</v>
      </c>
      <c r="I116">
        <v>3</v>
      </c>
      <c r="J116">
        <v>0.51288659793814395</v>
      </c>
      <c r="K116" t="s">
        <v>302</v>
      </c>
      <c r="L116">
        <v>2</v>
      </c>
      <c r="M116">
        <v>1.1220095693779899</v>
      </c>
      <c r="N116" t="s">
        <v>313</v>
      </c>
      <c r="O116">
        <v>2</v>
      </c>
      <c r="P116">
        <v>1.0885416666666601</v>
      </c>
      <c r="Q116" t="s">
        <v>360</v>
      </c>
      <c r="R116">
        <v>3</v>
      </c>
      <c r="S116">
        <v>1.75578406169665</v>
      </c>
      <c r="T116" t="s">
        <v>229</v>
      </c>
      <c r="U116">
        <v>2</v>
      </c>
      <c r="V116">
        <v>0.94230769230769196</v>
      </c>
      <c r="W116" t="s">
        <v>313</v>
      </c>
      <c r="X116">
        <v>2</v>
      </c>
      <c r="Y116">
        <v>1.0167597765363099</v>
      </c>
      <c r="Z116" t="s">
        <v>327</v>
      </c>
      <c r="AA116">
        <v>2</v>
      </c>
      <c r="AB116">
        <v>0.96251228529976096</v>
      </c>
      <c r="AC116" t="s">
        <v>224</v>
      </c>
      <c r="AD116">
        <v>2</v>
      </c>
      <c r="AE116">
        <v>1.1973203410475</v>
      </c>
      <c r="AF116" t="s">
        <v>339</v>
      </c>
      <c r="AG116">
        <v>3</v>
      </c>
      <c r="AH116">
        <v>1.0738742706154301</v>
      </c>
      <c r="AI116" t="s">
        <v>224</v>
      </c>
      <c r="AJ116">
        <v>2</v>
      </c>
      <c r="AK116">
        <v>0.83633387888707</v>
      </c>
      <c r="AL116" t="s">
        <v>347</v>
      </c>
      <c r="AM116">
        <v>3</v>
      </c>
      <c r="AN116">
        <v>1.0561299852289501</v>
      </c>
      <c r="AO116" t="s">
        <v>342</v>
      </c>
      <c r="AP116">
        <v>3</v>
      </c>
      <c r="AQ116">
        <v>1.39772727272727</v>
      </c>
      <c r="AR116" t="s">
        <v>328</v>
      </c>
      <c r="AS116">
        <v>3</v>
      </c>
      <c r="AT116">
        <v>0.92153855229779902</v>
      </c>
      <c r="AU116" t="s">
        <v>352</v>
      </c>
      <c r="AV116">
        <v>2</v>
      </c>
      <c r="AW116">
        <v>0.99814224386814898</v>
      </c>
      <c r="AX116" t="s">
        <v>334</v>
      </c>
      <c r="AY116">
        <v>3</v>
      </c>
      <c r="AZ116">
        <v>0.82445141065830696</v>
      </c>
      <c r="BA116" t="s">
        <v>275</v>
      </c>
      <c r="BB116">
        <v>2</v>
      </c>
      <c r="BC116">
        <v>1.0856353591160199</v>
      </c>
      <c r="BD116" t="s">
        <v>358</v>
      </c>
      <c r="BE116">
        <v>2</v>
      </c>
      <c r="BF116">
        <v>0.77572815533980499</v>
      </c>
      <c r="BG116" t="s">
        <v>275</v>
      </c>
      <c r="BH116">
        <v>2</v>
      </c>
      <c r="BI116">
        <v>1.04318181818181</v>
      </c>
      <c r="BJ116" t="s">
        <v>275</v>
      </c>
      <c r="BK116">
        <v>2</v>
      </c>
      <c r="BL116">
        <v>1.2287581699346399</v>
      </c>
      <c r="BM116" t="s">
        <v>356</v>
      </c>
      <c r="BN116">
        <v>3</v>
      </c>
      <c r="BO116">
        <v>0.86486486486486402</v>
      </c>
      <c r="BP116" t="s">
        <v>358</v>
      </c>
      <c r="BQ116">
        <v>2</v>
      </c>
      <c r="BR116">
        <v>0.96332046332046295</v>
      </c>
      <c r="BS116" t="s">
        <v>359</v>
      </c>
      <c r="BT116">
        <v>3</v>
      </c>
      <c r="BU116">
        <v>1.01036269430051</v>
      </c>
      <c r="BV116" t="s">
        <v>342</v>
      </c>
      <c r="BW116">
        <v>3</v>
      </c>
      <c r="BX116">
        <v>0.93984962406015005</v>
      </c>
      <c r="BY116" t="s">
        <v>352</v>
      </c>
      <c r="BZ116">
        <v>2</v>
      </c>
      <c r="CA116">
        <v>0.99530259305289304</v>
      </c>
      <c r="CB116" t="s">
        <v>352</v>
      </c>
      <c r="CC116">
        <v>2</v>
      </c>
      <c r="CD116">
        <v>0.89796825396825397</v>
      </c>
      <c r="CE116" t="s">
        <v>332</v>
      </c>
      <c r="CF116">
        <v>3</v>
      </c>
      <c r="CG116">
        <v>1.0672451193058501</v>
      </c>
      <c r="CH116" t="s">
        <v>351</v>
      </c>
      <c r="CI116">
        <v>3</v>
      </c>
      <c r="CJ116">
        <v>1.17070063694267</v>
      </c>
      <c r="CK116" t="s">
        <v>364</v>
      </c>
      <c r="CL116">
        <v>3</v>
      </c>
      <c r="CM116">
        <v>0.85283018867924498</v>
      </c>
      <c r="CN116" t="s">
        <v>364</v>
      </c>
      <c r="CO116">
        <v>3</v>
      </c>
      <c r="CP116">
        <v>0.91371681415929196</v>
      </c>
      <c r="CQ116" t="s">
        <v>359</v>
      </c>
      <c r="CR116">
        <v>3</v>
      </c>
      <c r="CS116">
        <v>0.97981157469717295</v>
      </c>
      <c r="CT116" t="s">
        <v>303</v>
      </c>
      <c r="CU116">
        <v>3</v>
      </c>
      <c r="CV116">
        <v>0.85736196319018398</v>
      </c>
      <c r="CW116" t="s">
        <v>386</v>
      </c>
      <c r="CX116">
        <v>3</v>
      </c>
      <c r="CY116">
        <v>0.947236180904522</v>
      </c>
      <c r="CZ116" t="s">
        <v>381</v>
      </c>
      <c r="DA116">
        <v>2</v>
      </c>
      <c r="DB116">
        <v>1.09452736318407</v>
      </c>
      <c r="DC116" t="s">
        <v>364</v>
      </c>
      <c r="DD116">
        <v>3</v>
      </c>
      <c r="DE116">
        <v>1.0996884735202399</v>
      </c>
      <c r="DF116" t="s">
        <v>381</v>
      </c>
      <c r="DG116">
        <v>2</v>
      </c>
      <c r="DH116">
        <v>1.1327014218009399</v>
      </c>
    </row>
    <row r="117" spans="1:112" x14ac:dyDescent="0.4">
      <c r="A117">
        <v>115</v>
      </c>
      <c r="B117" t="s">
        <v>290</v>
      </c>
      <c r="C117">
        <v>2</v>
      </c>
      <c r="D117">
        <v>1.1985711045588501</v>
      </c>
      <c r="E117" t="s">
        <v>313</v>
      </c>
      <c r="F117">
        <v>2</v>
      </c>
      <c r="G117">
        <v>0.80736196319018405</v>
      </c>
      <c r="H117" t="s">
        <v>336</v>
      </c>
      <c r="I117">
        <v>3</v>
      </c>
      <c r="J117">
        <v>0.81093749999999998</v>
      </c>
      <c r="K117" t="s">
        <v>307</v>
      </c>
      <c r="L117">
        <v>2</v>
      </c>
      <c r="M117">
        <v>0.94481605351170495</v>
      </c>
      <c r="N117" t="s">
        <v>224</v>
      </c>
      <c r="O117">
        <v>2</v>
      </c>
      <c r="P117">
        <v>1.8405977584059701</v>
      </c>
      <c r="Q117" t="s">
        <v>232</v>
      </c>
      <c r="R117">
        <v>1</v>
      </c>
      <c r="S117">
        <v>0.96126760563380198</v>
      </c>
      <c r="T117" t="s">
        <v>315</v>
      </c>
      <c r="U117">
        <v>2</v>
      </c>
      <c r="V117">
        <v>1.3483146067415701</v>
      </c>
      <c r="W117" t="s">
        <v>224</v>
      </c>
      <c r="X117">
        <v>2</v>
      </c>
      <c r="Y117">
        <v>0.96303501945525205</v>
      </c>
      <c r="Z117" t="s">
        <v>258</v>
      </c>
      <c r="AA117">
        <v>1</v>
      </c>
      <c r="AB117">
        <v>0.94615384615384601</v>
      </c>
      <c r="AC117" t="s">
        <v>302</v>
      </c>
      <c r="AD117">
        <v>2</v>
      </c>
      <c r="AE117">
        <v>1.00571428571428</v>
      </c>
      <c r="AF117" t="s">
        <v>111</v>
      </c>
      <c r="AG117">
        <v>2</v>
      </c>
      <c r="AH117">
        <v>1.2340774506880201</v>
      </c>
      <c r="AI117" t="s">
        <v>302</v>
      </c>
      <c r="AJ117">
        <v>2</v>
      </c>
      <c r="AK117">
        <v>1.0224215246636701</v>
      </c>
      <c r="AL117" t="s">
        <v>356</v>
      </c>
      <c r="AM117">
        <v>3</v>
      </c>
      <c r="AN117">
        <v>1.2160493827160399</v>
      </c>
      <c r="AO117" t="s">
        <v>358</v>
      </c>
      <c r="AP117">
        <v>2</v>
      </c>
      <c r="AQ117">
        <v>0.97326203208556095</v>
      </c>
      <c r="AR117" t="s">
        <v>347</v>
      </c>
      <c r="AS117">
        <v>3</v>
      </c>
      <c r="AT117">
        <v>0.80884676145339596</v>
      </c>
      <c r="AU117" t="s">
        <v>275</v>
      </c>
      <c r="AV117">
        <v>2</v>
      </c>
      <c r="AW117">
        <v>0.98952879581151798</v>
      </c>
      <c r="AX117" t="s">
        <v>342</v>
      </c>
      <c r="AY117">
        <v>3</v>
      </c>
      <c r="AZ117">
        <v>0.69333333333333302</v>
      </c>
      <c r="BA117" t="s">
        <v>359</v>
      </c>
      <c r="BB117">
        <v>3</v>
      </c>
      <c r="BC117">
        <v>1.06944444444444</v>
      </c>
      <c r="BD117" t="s">
        <v>352</v>
      </c>
      <c r="BE117">
        <v>2</v>
      </c>
      <c r="BF117">
        <v>0.94533868650778996</v>
      </c>
      <c r="BG117" t="s">
        <v>359</v>
      </c>
      <c r="BH117">
        <v>3</v>
      </c>
      <c r="BI117">
        <v>1.07846410684474</v>
      </c>
      <c r="BJ117" t="s">
        <v>359</v>
      </c>
      <c r="BK117">
        <v>3</v>
      </c>
      <c r="BL117">
        <v>1.19040247678018</v>
      </c>
      <c r="BM117" t="s">
        <v>348</v>
      </c>
      <c r="BN117">
        <v>3</v>
      </c>
      <c r="BO117">
        <v>1.25535420098846</v>
      </c>
      <c r="BP117" t="s">
        <v>352</v>
      </c>
      <c r="BQ117">
        <v>2</v>
      </c>
      <c r="BR117">
        <v>1.0519678190910999</v>
      </c>
      <c r="BS117" t="s">
        <v>278</v>
      </c>
      <c r="BT117">
        <v>1</v>
      </c>
      <c r="BU117">
        <v>1.15625</v>
      </c>
      <c r="BV117" t="s">
        <v>348</v>
      </c>
      <c r="BW117">
        <v>3</v>
      </c>
      <c r="BX117">
        <v>1.0630749014454599</v>
      </c>
      <c r="BY117" t="s">
        <v>355</v>
      </c>
      <c r="BZ117">
        <v>3</v>
      </c>
      <c r="CA117">
        <v>1.0587084148727901</v>
      </c>
      <c r="CB117" t="s">
        <v>355</v>
      </c>
      <c r="CC117">
        <v>3</v>
      </c>
      <c r="CD117">
        <v>0.84103512014787396</v>
      </c>
      <c r="CE117" t="s">
        <v>253</v>
      </c>
      <c r="CF117">
        <v>2</v>
      </c>
      <c r="CG117">
        <v>1.2490774907749</v>
      </c>
      <c r="CH117" t="s">
        <v>352</v>
      </c>
      <c r="CI117">
        <v>2</v>
      </c>
      <c r="CJ117">
        <v>1.0307089186540299</v>
      </c>
      <c r="CK117" t="s">
        <v>366</v>
      </c>
      <c r="CL117">
        <v>3</v>
      </c>
      <c r="CM117">
        <v>0.88530465949820702</v>
      </c>
      <c r="CN117" t="s">
        <v>366</v>
      </c>
      <c r="CO117">
        <v>3</v>
      </c>
      <c r="CP117">
        <v>0.81781376518218596</v>
      </c>
      <c r="CQ117" t="s">
        <v>278</v>
      </c>
      <c r="CR117">
        <v>1</v>
      </c>
      <c r="CS117">
        <v>1.1991828396322699</v>
      </c>
      <c r="CT117" t="s">
        <v>289</v>
      </c>
      <c r="CU117">
        <v>2</v>
      </c>
      <c r="CV117">
        <v>1.13506493506493</v>
      </c>
      <c r="CW117" t="s">
        <v>390</v>
      </c>
      <c r="CX117">
        <v>2</v>
      </c>
      <c r="CY117">
        <v>1.1753986332574</v>
      </c>
      <c r="CZ117" t="s">
        <v>383</v>
      </c>
      <c r="DA117">
        <v>3</v>
      </c>
      <c r="DB117">
        <v>1.1385869565217299</v>
      </c>
      <c r="DC117" t="s">
        <v>366</v>
      </c>
      <c r="DD117">
        <v>3</v>
      </c>
      <c r="DE117">
        <v>0.91365461847389495</v>
      </c>
      <c r="DF117" t="s">
        <v>383</v>
      </c>
      <c r="DG117">
        <v>3</v>
      </c>
      <c r="DH117">
        <v>1.0875912408759101</v>
      </c>
    </row>
    <row r="118" spans="1:112" x14ac:dyDescent="0.4">
      <c r="A118">
        <v>116</v>
      </c>
      <c r="B118" t="s">
        <v>294</v>
      </c>
      <c r="C118">
        <v>2</v>
      </c>
      <c r="D118">
        <v>1.16647791619479</v>
      </c>
      <c r="E118" t="s">
        <v>307</v>
      </c>
      <c r="F118">
        <v>2</v>
      </c>
      <c r="G118">
        <v>0.89142857142857101</v>
      </c>
      <c r="H118" t="s">
        <v>313</v>
      </c>
      <c r="I118">
        <v>2</v>
      </c>
      <c r="J118">
        <v>0.74316109422492405</v>
      </c>
      <c r="K118" t="s">
        <v>227</v>
      </c>
      <c r="L118">
        <v>2</v>
      </c>
      <c r="M118">
        <v>0.80451127819548796</v>
      </c>
      <c r="N118" t="s">
        <v>302</v>
      </c>
      <c r="O118">
        <v>2</v>
      </c>
      <c r="P118">
        <v>1.5820895522388001</v>
      </c>
      <c r="Q118" t="s">
        <v>327</v>
      </c>
      <c r="R118">
        <v>2</v>
      </c>
      <c r="S118">
        <v>1.01977066034005</v>
      </c>
      <c r="T118" t="s">
        <v>232</v>
      </c>
      <c r="U118">
        <v>1</v>
      </c>
      <c r="V118">
        <v>1.5641025641025601</v>
      </c>
      <c r="W118" t="s">
        <v>302</v>
      </c>
      <c r="X118">
        <v>2</v>
      </c>
      <c r="Y118">
        <v>1.5305719921104499</v>
      </c>
      <c r="Z118" t="s">
        <v>316</v>
      </c>
      <c r="AA118">
        <v>3</v>
      </c>
      <c r="AB118">
        <v>2.30846774193548</v>
      </c>
      <c r="AC118" t="s">
        <v>229</v>
      </c>
      <c r="AD118">
        <v>1</v>
      </c>
      <c r="AE118">
        <v>1.7047619047619</v>
      </c>
      <c r="AF118" t="s">
        <v>328</v>
      </c>
      <c r="AG118">
        <v>3</v>
      </c>
      <c r="AH118">
        <v>1.0287751391887201</v>
      </c>
      <c r="AI118" t="s">
        <v>307</v>
      </c>
      <c r="AJ118">
        <v>2</v>
      </c>
      <c r="AK118">
        <v>0.85476190476190395</v>
      </c>
      <c r="AL118" t="s">
        <v>334</v>
      </c>
      <c r="AM118">
        <v>3</v>
      </c>
      <c r="AN118">
        <v>1.0835380835380799</v>
      </c>
      <c r="AO118" t="s">
        <v>352</v>
      </c>
      <c r="AP118">
        <v>2</v>
      </c>
      <c r="AQ118">
        <v>0.94946313792658898</v>
      </c>
      <c r="AR118" t="s">
        <v>263</v>
      </c>
      <c r="AS118">
        <v>1</v>
      </c>
      <c r="AT118">
        <v>0.68136272545090104</v>
      </c>
      <c r="AU118" t="s">
        <v>359</v>
      </c>
      <c r="AV118">
        <v>3</v>
      </c>
      <c r="AW118">
        <v>1.0811359026369101</v>
      </c>
      <c r="AX118" t="s">
        <v>358</v>
      </c>
      <c r="AY118">
        <v>2</v>
      </c>
      <c r="AZ118">
        <v>0.66618181818181799</v>
      </c>
      <c r="BA118" t="s">
        <v>278</v>
      </c>
      <c r="BB118">
        <v>1</v>
      </c>
      <c r="BC118">
        <v>1.0933333333333299</v>
      </c>
      <c r="BD118" t="s">
        <v>275</v>
      </c>
      <c r="BE118">
        <v>2</v>
      </c>
      <c r="BF118">
        <v>1.11959287531806</v>
      </c>
      <c r="BG118" t="s">
        <v>278</v>
      </c>
      <c r="BH118">
        <v>1</v>
      </c>
      <c r="BI118">
        <v>1.22284644194756</v>
      </c>
      <c r="BJ118" t="s">
        <v>278</v>
      </c>
      <c r="BK118">
        <v>1</v>
      </c>
      <c r="BL118">
        <v>0.82082695252679905</v>
      </c>
      <c r="BM118" t="s">
        <v>351</v>
      </c>
      <c r="BN118">
        <v>3</v>
      </c>
      <c r="BO118">
        <v>0.84262295081967198</v>
      </c>
      <c r="BP118" t="s">
        <v>275</v>
      </c>
      <c r="BQ118">
        <v>2</v>
      </c>
      <c r="BR118">
        <v>1.3150442477876101</v>
      </c>
      <c r="BS118" t="s">
        <v>368</v>
      </c>
      <c r="BT118">
        <v>3</v>
      </c>
      <c r="BU118">
        <v>2.3037037037036998</v>
      </c>
      <c r="BV118" t="s">
        <v>353</v>
      </c>
      <c r="BW118">
        <v>3</v>
      </c>
      <c r="BX118">
        <v>1.97358490566037</v>
      </c>
      <c r="BY118" t="s">
        <v>359</v>
      </c>
      <c r="BZ118">
        <v>3</v>
      </c>
      <c r="CA118">
        <v>1.05026455026455</v>
      </c>
      <c r="CB118" t="s">
        <v>359</v>
      </c>
      <c r="CC118">
        <v>3</v>
      </c>
      <c r="CD118">
        <v>0.93954659949622099</v>
      </c>
      <c r="CE118" t="s">
        <v>337</v>
      </c>
      <c r="CF118">
        <v>3</v>
      </c>
      <c r="CG118">
        <v>1.0883424408014499</v>
      </c>
      <c r="CH118" t="s">
        <v>275</v>
      </c>
      <c r="CI118">
        <v>2</v>
      </c>
      <c r="CJ118">
        <v>1.0558659217877</v>
      </c>
      <c r="CK118" t="s">
        <v>303</v>
      </c>
      <c r="CL118">
        <v>3</v>
      </c>
      <c r="CM118">
        <v>1.2478813559322</v>
      </c>
      <c r="CN118" t="s">
        <v>303</v>
      </c>
      <c r="CO118">
        <v>3</v>
      </c>
      <c r="CP118">
        <v>1.16808149405772</v>
      </c>
      <c r="CQ118" t="s">
        <v>364</v>
      </c>
      <c r="CR118">
        <v>3</v>
      </c>
      <c r="CS118">
        <v>0.917675544794188</v>
      </c>
      <c r="CT118" t="s">
        <v>374</v>
      </c>
      <c r="CU118">
        <v>2</v>
      </c>
      <c r="CV118">
        <v>1.1281138790035501</v>
      </c>
      <c r="CW118" t="s">
        <v>393</v>
      </c>
      <c r="CX118">
        <v>3</v>
      </c>
      <c r="CY118">
        <v>1.00847457627118</v>
      </c>
      <c r="CZ118" t="s">
        <v>386</v>
      </c>
      <c r="DA118">
        <v>3</v>
      </c>
      <c r="DB118">
        <v>0.95490716180371304</v>
      </c>
      <c r="DC118" t="s">
        <v>303</v>
      </c>
      <c r="DD118">
        <v>3</v>
      </c>
      <c r="DE118">
        <v>1.02862985685071</v>
      </c>
      <c r="DF118" t="s">
        <v>386</v>
      </c>
      <c r="DG118">
        <v>3</v>
      </c>
      <c r="DH118">
        <v>1.0526315789473599</v>
      </c>
    </row>
    <row r="119" spans="1:112" x14ac:dyDescent="0.4">
      <c r="A119">
        <v>117</v>
      </c>
      <c r="B119" t="s">
        <v>304</v>
      </c>
      <c r="C119">
        <v>2</v>
      </c>
      <c r="D119">
        <v>1.12817089452603</v>
      </c>
      <c r="E119" t="s">
        <v>229</v>
      </c>
      <c r="F119">
        <v>1</v>
      </c>
      <c r="G119">
        <v>0.83132530120481896</v>
      </c>
      <c r="H119" t="s">
        <v>224</v>
      </c>
      <c r="I119">
        <v>2</v>
      </c>
      <c r="J119">
        <v>0.80402542372881303</v>
      </c>
      <c r="K119" t="s">
        <v>229</v>
      </c>
      <c r="L119">
        <v>1</v>
      </c>
      <c r="M119">
        <v>1.3927855711422801</v>
      </c>
      <c r="N119" t="s">
        <v>307</v>
      </c>
      <c r="O119">
        <v>2</v>
      </c>
      <c r="P119">
        <v>1.3982300884955701</v>
      </c>
      <c r="Q119" t="s">
        <v>258</v>
      </c>
      <c r="R119">
        <v>1</v>
      </c>
      <c r="S119">
        <v>0.89492753623188404</v>
      </c>
      <c r="T119" t="s">
        <v>327</v>
      </c>
      <c r="U119">
        <v>2</v>
      </c>
      <c r="V119">
        <v>1.0323768902675401</v>
      </c>
      <c r="W119" t="s">
        <v>307</v>
      </c>
      <c r="X119">
        <v>2</v>
      </c>
      <c r="Y119">
        <v>0.93014705882352899</v>
      </c>
      <c r="Z119" t="s">
        <v>339</v>
      </c>
      <c r="AA119">
        <v>2</v>
      </c>
      <c r="AB119">
        <v>1.2180183946488199</v>
      </c>
      <c r="AC119" t="s">
        <v>327</v>
      </c>
      <c r="AD119">
        <v>2</v>
      </c>
      <c r="AE119">
        <v>1.03729456384323</v>
      </c>
      <c r="AF119" t="s">
        <v>347</v>
      </c>
      <c r="AG119">
        <v>3</v>
      </c>
      <c r="AH119">
        <v>1.00852272727272</v>
      </c>
      <c r="AI119" t="s">
        <v>360</v>
      </c>
      <c r="AJ119">
        <v>2</v>
      </c>
      <c r="AK119">
        <v>1.1170212765957399</v>
      </c>
      <c r="AL119" t="s">
        <v>342</v>
      </c>
      <c r="AM119">
        <v>2</v>
      </c>
      <c r="AN119">
        <v>0.83280757097791802</v>
      </c>
      <c r="AO119" t="s">
        <v>275</v>
      </c>
      <c r="AP119">
        <v>2</v>
      </c>
      <c r="AQ119">
        <v>0.98449612403100695</v>
      </c>
      <c r="AR119" t="s">
        <v>356</v>
      </c>
      <c r="AS119">
        <v>3</v>
      </c>
      <c r="AT119">
        <v>0.63437500000000002</v>
      </c>
      <c r="AU119" t="s">
        <v>278</v>
      </c>
      <c r="AV119">
        <v>1</v>
      </c>
      <c r="AW119">
        <v>1.00199600798403</v>
      </c>
      <c r="AX119" t="s">
        <v>352</v>
      </c>
      <c r="AY119">
        <v>2</v>
      </c>
      <c r="AZ119">
        <v>0.66603787821625204</v>
      </c>
      <c r="BA119" t="s">
        <v>365</v>
      </c>
      <c r="BB119">
        <v>2</v>
      </c>
      <c r="BC119">
        <v>1.00445192615367</v>
      </c>
      <c r="BD119" t="s">
        <v>359</v>
      </c>
      <c r="BE119">
        <v>3</v>
      </c>
      <c r="BF119">
        <v>1.1113172541743901</v>
      </c>
      <c r="BG119" t="s">
        <v>365</v>
      </c>
      <c r="BH119">
        <v>2</v>
      </c>
      <c r="BI119">
        <v>1.19241325786973</v>
      </c>
      <c r="BJ119" t="s">
        <v>372</v>
      </c>
      <c r="BK119">
        <v>3</v>
      </c>
      <c r="BL119">
        <v>1.21130551816958</v>
      </c>
      <c r="BM119" t="s">
        <v>358</v>
      </c>
      <c r="BN119">
        <v>2</v>
      </c>
      <c r="BO119">
        <v>0.80310077519379797</v>
      </c>
      <c r="BP119" t="s">
        <v>359</v>
      </c>
      <c r="BQ119">
        <v>3</v>
      </c>
      <c r="BR119">
        <v>1.0293333333333301</v>
      </c>
      <c r="BS119" t="s">
        <v>372</v>
      </c>
      <c r="BT119">
        <v>3</v>
      </c>
      <c r="BU119">
        <v>0.946938775510204</v>
      </c>
      <c r="BV119" t="s">
        <v>358</v>
      </c>
      <c r="BW119">
        <v>2</v>
      </c>
      <c r="BX119">
        <v>1.07178631051752</v>
      </c>
      <c r="BY119" t="s">
        <v>278</v>
      </c>
      <c r="BZ119">
        <v>1</v>
      </c>
      <c r="CA119">
        <v>1.0792838874680299</v>
      </c>
      <c r="CB119" t="s">
        <v>278</v>
      </c>
      <c r="CC119">
        <v>1</v>
      </c>
      <c r="CD119">
        <v>1.09004739336492</v>
      </c>
      <c r="CE119" t="s">
        <v>328</v>
      </c>
      <c r="CF119">
        <v>2</v>
      </c>
      <c r="CG119">
        <v>0.95774562379844097</v>
      </c>
      <c r="CH119" t="s">
        <v>359</v>
      </c>
      <c r="CI119">
        <v>3</v>
      </c>
      <c r="CJ119">
        <v>1.06798866855524</v>
      </c>
      <c r="CK119" t="s">
        <v>289</v>
      </c>
      <c r="CL119">
        <v>2</v>
      </c>
      <c r="CM119">
        <v>0.94444444444444398</v>
      </c>
      <c r="CN119" t="s">
        <v>289</v>
      </c>
      <c r="CO119">
        <v>2</v>
      </c>
      <c r="CP119">
        <v>0.85294117647058798</v>
      </c>
      <c r="CQ119" t="s">
        <v>366</v>
      </c>
      <c r="CR119">
        <v>3</v>
      </c>
      <c r="CS119">
        <v>0.9</v>
      </c>
      <c r="CT119" t="s">
        <v>381</v>
      </c>
      <c r="CU119">
        <v>2</v>
      </c>
      <c r="CV119">
        <v>1.1911423864175801</v>
      </c>
      <c r="CW119" t="s">
        <v>395</v>
      </c>
      <c r="CX119">
        <v>1</v>
      </c>
      <c r="CY119">
        <v>0.88840262582056895</v>
      </c>
      <c r="CZ119" t="s">
        <v>390</v>
      </c>
      <c r="DA119">
        <v>2</v>
      </c>
      <c r="DB119">
        <v>1.0891472868217</v>
      </c>
      <c r="DC119" t="s">
        <v>289</v>
      </c>
      <c r="DD119">
        <v>2</v>
      </c>
      <c r="DE119">
        <v>0.98763906056860296</v>
      </c>
      <c r="DF119" t="s">
        <v>390</v>
      </c>
      <c r="DG119">
        <v>2</v>
      </c>
      <c r="DH119">
        <v>1.0429104477611899</v>
      </c>
    </row>
    <row r="120" spans="1:112" x14ac:dyDescent="0.4">
      <c r="A120">
        <v>118</v>
      </c>
      <c r="B120" t="s">
        <v>219</v>
      </c>
      <c r="C120">
        <v>2</v>
      </c>
      <c r="D120">
        <v>1.1435768261964701</v>
      </c>
      <c r="E120" t="s">
        <v>315</v>
      </c>
      <c r="F120">
        <v>2</v>
      </c>
      <c r="G120">
        <v>0.92337164750957801</v>
      </c>
      <c r="H120" t="s">
        <v>302</v>
      </c>
      <c r="I120">
        <v>2</v>
      </c>
      <c r="J120">
        <v>0.54285714285714204</v>
      </c>
      <c r="K120" t="s">
        <v>315</v>
      </c>
      <c r="L120">
        <v>2</v>
      </c>
      <c r="M120">
        <v>1.6119704902427401</v>
      </c>
      <c r="N120" t="s">
        <v>227</v>
      </c>
      <c r="O120">
        <v>2</v>
      </c>
      <c r="P120">
        <v>1.1682242990654199</v>
      </c>
      <c r="Q120" t="s">
        <v>339</v>
      </c>
      <c r="R120">
        <v>2</v>
      </c>
      <c r="S120">
        <v>1.0050563982886001</v>
      </c>
      <c r="T120" t="s">
        <v>258</v>
      </c>
      <c r="U120">
        <v>1</v>
      </c>
      <c r="V120">
        <v>0.65506072874493904</v>
      </c>
      <c r="W120" t="s">
        <v>229</v>
      </c>
      <c r="X120">
        <v>2</v>
      </c>
      <c r="Y120">
        <v>1.24489795918367</v>
      </c>
      <c r="Z120" t="s">
        <v>111</v>
      </c>
      <c r="AA120">
        <v>2</v>
      </c>
      <c r="AB120">
        <v>0.66246154853066297</v>
      </c>
      <c r="AC120" t="s">
        <v>258</v>
      </c>
      <c r="AD120">
        <v>1</v>
      </c>
      <c r="AE120">
        <v>1.3048780487804801</v>
      </c>
      <c r="AF120" t="s">
        <v>263</v>
      </c>
      <c r="AG120">
        <v>1</v>
      </c>
      <c r="AH120">
        <v>1.2309090909090901</v>
      </c>
      <c r="AI120" t="s">
        <v>327</v>
      </c>
      <c r="AJ120">
        <v>2</v>
      </c>
      <c r="AK120">
        <v>1.07179487179487</v>
      </c>
      <c r="AL120" t="s">
        <v>358</v>
      </c>
      <c r="AM120">
        <v>2</v>
      </c>
      <c r="AN120">
        <v>0.98421052631578898</v>
      </c>
      <c r="AO120" t="s">
        <v>359</v>
      </c>
      <c r="AP120">
        <v>3</v>
      </c>
      <c r="AQ120">
        <v>1.0794979079497899</v>
      </c>
      <c r="AR120" t="s">
        <v>334</v>
      </c>
      <c r="AS120">
        <v>3</v>
      </c>
      <c r="AT120">
        <v>0.875690607734806</v>
      </c>
      <c r="AU120" t="s">
        <v>368</v>
      </c>
      <c r="AV120">
        <v>2</v>
      </c>
      <c r="AW120">
        <v>1.0724637681159399</v>
      </c>
      <c r="AX120" t="s">
        <v>275</v>
      </c>
      <c r="AY120">
        <v>2</v>
      </c>
      <c r="AZ120">
        <v>0.95767195767195701</v>
      </c>
      <c r="BA120" t="s">
        <v>369</v>
      </c>
      <c r="BB120">
        <v>3</v>
      </c>
      <c r="BC120">
        <v>1.0944</v>
      </c>
      <c r="BD120" t="s">
        <v>278</v>
      </c>
      <c r="BE120">
        <v>1</v>
      </c>
      <c r="BF120">
        <v>1.08536585365853</v>
      </c>
      <c r="BG120" t="s">
        <v>367</v>
      </c>
      <c r="BH120">
        <v>2</v>
      </c>
      <c r="BI120">
        <v>1.0732196589769301</v>
      </c>
      <c r="BJ120" t="s">
        <v>365</v>
      </c>
      <c r="BK120">
        <v>2</v>
      </c>
      <c r="BL120">
        <v>0.808140457821379</v>
      </c>
      <c r="BM120" t="s">
        <v>352</v>
      </c>
      <c r="BN120">
        <v>2</v>
      </c>
      <c r="BO120">
        <v>1.27255118981737</v>
      </c>
      <c r="BP120" t="s">
        <v>278</v>
      </c>
      <c r="BQ120">
        <v>1</v>
      </c>
      <c r="BR120">
        <v>1.04234527687296</v>
      </c>
      <c r="BS120" t="s">
        <v>365</v>
      </c>
      <c r="BT120">
        <v>3</v>
      </c>
      <c r="BU120">
        <v>1.2399876258239499</v>
      </c>
      <c r="BV120" t="s">
        <v>352</v>
      </c>
      <c r="BW120">
        <v>2</v>
      </c>
      <c r="BX120">
        <v>1.0272872846879599</v>
      </c>
      <c r="BY120" t="s">
        <v>372</v>
      </c>
      <c r="BZ120">
        <v>3</v>
      </c>
      <c r="CA120">
        <v>1.08465608465608</v>
      </c>
      <c r="CB120" t="s">
        <v>365</v>
      </c>
      <c r="CC120">
        <v>3</v>
      </c>
      <c r="CD120">
        <v>0.66313755591434798</v>
      </c>
      <c r="CE120" t="s">
        <v>334</v>
      </c>
      <c r="CF120">
        <v>3</v>
      </c>
      <c r="CG120">
        <v>0.91866028708133896</v>
      </c>
      <c r="CH120" t="s">
        <v>278</v>
      </c>
      <c r="CI120">
        <v>1</v>
      </c>
      <c r="CJ120">
        <v>1.0335570469798601</v>
      </c>
      <c r="CK120" t="s">
        <v>374</v>
      </c>
      <c r="CL120">
        <v>2</v>
      </c>
      <c r="CM120">
        <v>0.91486486486486396</v>
      </c>
      <c r="CN120" t="s">
        <v>373</v>
      </c>
      <c r="CO120">
        <v>3</v>
      </c>
      <c r="CP120">
        <v>1.01327433628318</v>
      </c>
      <c r="CQ120" t="s">
        <v>303</v>
      </c>
      <c r="CR120">
        <v>3</v>
      </c>
      <c r="CS120">
        <v>0.94767441860465096</v>
      </c>
      <c r="CT120" t="s">
        <v>383</v>
      </c>
      <c r="CU120">
        <v>3</v>
      </c>
      <c r="CV120">
        <v>1.0053619302949</v>
      </c>
      <c r="CW120" t="s">
        <v>396</v>
      </c>
      <c r="CX120">
        <v>1</v>
      </c>
      <c r="CY120">
        <v>1.03070175438596</v>
      </c>
      <c r="CZ120" t="s">
        <v>393</v>
      </c>
      <c r="DA120">
        <v>3</v>
      </c>
      <c r="DB120">
        <v>0.98039215686274495</v>
      </c>
      <c r="DC120" t="s">
        <v>374</v>
      </c>
      <c r="DD120">
        <v>2</v>
      </c>
      <c r="DE120">
        <v>0.91922455573505601</v>
      </c>
      <c r="DF120" t="s">
        <v>393</v>
      </c>
      <c r="DG120">
        <v>3</v>
      </c>
      <c r="DH120">
        <v>1.06591865357643</v>
      </c>
    </row>
    <row r="121" spans="1:112" x14ac:dyDescent="0.4">
      <c r="A121">
        <v>119</v>
      </c>
      <c r="B121" t="s">
        <v>336</v>
      </c>
      <c r="C121">
        <v>3</v>
      </c>
      <c r="D121">
        <v>1.0094637223974701</v>
      </c>
      <c r="E121" t="s">
        <v>232</v>
      </c>
      <c r="F121">
        <v>1</v>
      </c>
      <c r="G121">
        <v>0.96577946768060796</v>
      </c>
      <c r="H121" t="s">
        <v>307</v>
      </c>
      <c r="I121">
        <v>2</v>
      </c>
      <c r="J121">
        <v>0.76666666666666605</v>
      </c>
      <c r="K121" t="s">
        <v>232</v>
      </c>
      <c r="L121">
        <v>1</v>
      </c>
      <c r="M121">
        <v>1.29768786127167</v>
      </c>
      <c r="N121" t="s">
        <v>229</v>
      </c>
      <c r="O121">
        <v>1</v>
      </c>
      <c r="P121">
        <v>1.4820143884892001</v>
      </c>
      <c r="Q121" t="s">
        <v>111</v>
      </c>
      <c r="R121">
        <v>2</v>
      </c>
      <c r="S121">
        <v>0.910921028685024</v>
      </c>
      <c r="T121" t="s">
        <v>339</v>
      </c>
      <c r="U121">
        <v>2</v>
      </c>
      <c r="V121">
        <v>0.94678792569659398</v>
      </c>
      <c r="W121" t="s">
        <v>360</v>
      </c>
      <c r="X121">
        <v>3</v>
      </c>
      <c r="Y121">
        <v>1.1185344827586201</v>
      </c>
      <c r="Z121" t="s">
        <v>245</v>
      </c>
      <c r="AA121">
        <v>1</v>
      </c>
      <c r="AB121">
        <v>1.05439330543933</v>
      </c>
      <c r="AC121" t="s">
        <v>339</v>
      </c>
      <c r="AD121">
        <v>3</v>
      </c>
      <c r="AE121">
        <v>1.5587781019392399</v>
      </c>
      <c r="AF121" t="s">
        <v>356</v>
      </c>
      <c r="AG121">
        <v>3</v>
      </c>
      <c r="AH121">
        <v>1.04126984126984</v>
      </c>
      <c r="AI121" t="s">
        <v>258</v>
      </c>
      <c r="AJ121">
        <v>1</v>
      </c>
      <c r="AK121">
        <v>0.99425287356321801</v>
      </c>
      <c r="AL121" t="s">
        <v>352</v>
      </c>
      <c r="AM121">
        <v>2</v>
      </c>
      <c r="AN121">
        <v>1.2752659886793301</v>
      </c>
      <c r="AO121" t="s">
        <v>278</v>
      </c>
      <c r="AP121">
        <v>1</v>
      </c>
      <c r="AQ121">
        <v>0.75544388609715196</v>
      </c>
      <c r="AR121" t="s">
        <v>342</v>
      </c>
      <c r="AS121">
        <v>3</v>
      </c>
      <c r="AT121">
        <v>0.73170731707317005</v>
      </c>
      <c r="AU121" t="s">
        <v>365</v>
      </c>
      <c r="AV121">
        <v>2</v>
      </c>
      <c r="AW121">
        <v>1.1821274860203199</v>
      </c>
      <c r="AX121" t="s">
        <v>359</v>
      </c>
      <c r="AY121">
        <v>3</v>
      </c>
      <c r="AZ121">
        <v>0.94559099437148197</v>
      </c>
      <c r="BA121" t="s">
        <v>364</v>
      </c>
      <c r="BB121">
        <v>3</v>
      </c>
      <c r="BC121">
        <v>0.89389920424403102</v>
      </c>
      <c r="BD121" t="s">
        <v>365</v>
      </c>
      <c r="BE121">
        <v>2</v>
      </c>
      <c r="BF121">
        <v>0.73171373564730802</v>
      </c>
      <c r="BG121" t="s">
        <v>364</v>
      </c>
      <c r="BH121">
        <v>3</v>
      </c>
      <c r="BI121">
        <v>1.25426356589147</v>
      </c>
      <c r="BJ121" t="s">
        <v>367</v>
      </c>
      <c r="BK121">
        <v>2</v>
      </c>
      <c r="BL121">
        <v>0.96074766355140095</v>
      </c>
      <c r="BM121" t="s">
        <v>355</v>
      </c>
      <c r="BN121">
        <v>3</v>
      </c>
      <c r="BO121">
        <v>0.92495126705652997</v>
      </c>
      <c r="BP121" t="s">
        <v>368</v>
      </c>
      <c r="BQ121">
        <v>3</v>
      </c>
      <c r="BR121">
        <v>1.3235294117647001</v>
      </c>
      <c r="BS121" t="s">
        <v>367</v>
      </c>
      <c r="BT121">
        <v>2</v>
      </c>
      <c r="BU121">
        <v>1.0261233019853699</v>
      </c>
      <c r="BV121" t="s">
        <v>359</v>
      </c>
      <c r="BW121">
        <v>3</v>
      </c>
      <c r="BX121">
        <v>0.96923076923076901</v>
      </c>
      <c r="BY121" t="s">
        <v>365</v>
      </c>
      <c r="BZ121">
        <v>3</v>
      </c>
      <c r="CA121">
        <v>0.80000423495532103</v>
      </c>
      <c r="CB121" t="s">
        <v>363</v>
      </c>
      <c r="CC121">
        <v>3</v>
      </c>
      <c r="CD121">
        <v>0.98632218844984798</v>
      </c>
      <c r="CE121" t="s">
        <v>338</v>
      </c>
      <c r="CF121">
        <v>2</v>
      </c>
      <c r="CG121">
        <v>0.86726804123711299</v>
      </c>
      <c r="CH121" t="s">
        <v>363</v>
      </c>
      <c r="CI121">
        <v>3</v>
      </c>
      <c r="CJ121">
        <v>1.13793103448275</v>
      </c>
      <c r="CK121" t="s">
        <v>380</v>
      </c>
      <c r="CL121">
        <v>3</v>
      </c>
      <c r="CM121">
        <v>1.1089743589743499</v>
      </c>
      <c r="CN121" t="s">
        <v>374</v>
      </c>
      <c r="CO121">
        <v>2</v>
      </c>
      <c r="CP121">
        <v>0.97488921713441601</v>
      </c>
      <c r="CQ121" t="s">
        <v>289</v>
      </c>
      <c r="CR121">
        <v>2</v>
      </c>
      <c r="CS121">
        <v>0.66379310344827502</v>
      </c>
      <c r="CT121" t="s">
        <v>386</v>
      </c>
      <c r="CU121">
        <v>3</v>
      </c>
      <c r="CV121">
        <v>1.0310880829015501</v>
      </c>
      <c r="CW121" t="s">
        <v>397</v>
      </c>
      <c r="CX121">
        <v>3</v>
      </c>
      <c r="CY121">
        <v>1.16858237547892</v>
      </c>
      <c r="CZ121" t="s">
        <v>395</v>
      </c>
      <c r="DA121">
        <v>1</v>
      </c>
      <c r="DB121">
        <v>1.0689655172413699</v>
      </c>
      <c r="DC121" t="s">
        <v>380</v>
      </c>
      <c r="DD121">
        <v>3</v>
      </c>
      <c r="DE121">
        <v>0.97402597402597402</v>
      </c>
      <c r="DF121" t="s">
        <v>395</v>
      </c>
      <c r="DG121">
        <v>1</v>
      </c>
      <c r="DH121">
        <v>1.24025974025974</v>
      </c>
    </row>
    <row r="122" spans="1:112" x14ac:dyDescent="0.4">
      <c r="A122">
        <v>120</v>
      </c>
      <c r="B122" t="s">
        <v>313</v>
      </c>
      <c r="C122">
        <v>2</v>
      </c>
      <c r="D122">
        <v>1.00493218249075</v>
      </c>
      <c r="E122" t="s">
        <v>327</v>
      </c>
      <c r="F122">
        <v>2</v>
      </c>
      <c r="G122">
        <v>0.89227738911906496</v>
      </c>
      <c r="H122" t="s">
        <v>227</v>
      </c>
      <c r="I122">
        <v>2</v>
      </c>
      <c r="J122">
        <v>0.844444444444444</v>
      </c>
      <c r="K122" t="s">
        <v>327</v>
      </c>
      <c r="L122">
        <v>2</v>
      </c>
      <c r="M122">
        <v>1.1886970172684399</v>
      </c>
      <c r="N122" t="s">
        <v>315</v>
      </c>
      <c r="O122">
        <v>2</v>
      </c>
      <c r="P122">
        <v>1.1261533918948801</v>
      </c>
      <c r="Q122" t="s">
        <v>245</v>
      </c>
      <c r="R122">
        <v>1</v>
      </c>
      <c r="S122">
        <v>1.2213541666666601</v>
      </c>
      <c r="T122" t="s">
        <v>111</v>
      </c>
      <c r="U122">
        <v>2</v>
      </c>
      <c r="V122">
        <v>1.03112128849818</v>
      </c>
      <c r="W122" t="s">
        <v>327</v>
      </c>
      <c r="X122">
        <v>2</v>
      </c>
      <c r="Y122">
        <v>1.0031455399061</v>
      </c>
      <c r="Z122" t="s">
        <v>253</v>
      </c>
      <c r="AA122">
        <v>2</v>
      </c>
      <c r="AB122">
        <v>1.4814814814814801</v>
      </c>
      <c r="AC122" t="s">
        <v>111</v>
      </c>
      <c r="AD122">
        <v>2</v>
      </c>
      <c r="AE122">
        <v>1.15953268950527</v>
      </c>
      <c r="AF122" t="s">
        <v>334</v>
      </c>
      <c r="AG122">
        <v>3</v>
      </c>
      <c r="AH122">
        <v>1.4055555555555499</v>
      </c>
      <c r="AI122" t="s">
        <v>339</v>
      </c>
      <c r="AJ122">
        <v>3</v>
      </c>
      <c r="AK122">
        <v>1.25907320073815</v>
      </c>
      <c r="AL122" t="s">
        <v>275</v>
      </c>
      <c r="AM122">
        <v>2</v>
      </c>
      <c r="AN122">
        <v>0.97974683544303798</v>
      </c>
      <c r="AO122" t="s">
        <v>368</v>
      </c>
      <c r="AP122">
        <v>2</v>
      </c>
      <c r="AQ122">
        <v>0.78443113772454998</v>
      </c>
      <c r="AR122" t="s">
        <v>358</v>
      </c>
      <c r="AS122">
        <v>2</v>
      </c>
      <c r="AT122">
        <v>0.64835164835164805</v>
      </c>
      <c r="AU122" t="s">
        <v>371</v>
      </c>
      <c r="AV122">
        <v>3</v>
      </c>
      <c r="AW122">
        <v>1.3802149178255301</v>
      </c>
      <c r="AX122" t="s">
        <v>278</v>
      </c>
      <c r="AY122">
        <v>1</v>
      </c>
      <c r="AZ122">
        <v>0.89641434262948205</v>
      </c>
      <c r="BA122" t="s">
        <v>303</v>
      </c>
      <c r="BB122">
        <v>2</v>
      </c>
      <c r="BC122">
        <v>0.77617460488119505</v>
      </c>
      <c r="BD122" t="s">
        <v>367</v>
      </c>
      <c r="BE122">
        <v>2</v>
      </c>
      <c r="BF122">
        <v>1.0010040160642499</v>
      </c>
      <c r="BG122" t="s">
        <v>366</v>
      </c>
      <c r="BH122">
        <v>3</v>
      </c>
      <c r="BI122">
        <v>1.06666666666666</v>
      </c>
      <c r="BJ122" t="s">
        <v>364</v>
      </c>
      <c r="BK122">
        <v>3</v>
      </c>
      <c r="BL122">
        <v>1.19406674907292</v>
      </c>
      <c r="BM122" t="s">
        <v>275</v>
      </c>
      <c r="BN122">
        <v>2</v>
      </c>
      <c r="BO122">
        <v>1.00177304964539</v>
      </c>
      <c r="BP122" t="s">
        <v>372</v>
      </c>
      <c r="BQ122">
        <v>3</v>
      </c>
      <c r="BR122">
        <v>1.0337552742616001</v>
      </c>
      <c r="BS122" t="s">
        <v>364</v>
      </c>
      <c r="BT122">
        <v>3</v>
      </c>
      <c r="BU122">
        <v>1.0887573964496999</v>
      </c>
      <c r="BV122" t="s">
        <v>278</v>
      </c>
      <c r="BW122">
        <v>1</v>
      </c>
      <c r="BX122">
        <v>1.05675675675675</v>
      </c>
      <c r="BY122" t="s">
        <v>367</v>
      </c>
      <c r="BZ122">
        <v>2</v>
      </c>
      <c r="CA122">
        <v>1.4125874125874101</v>
      </c>
      <c r="CB122" t="s">
        <v>364</v>
      </c>
      <c r="CC122">
        <v>3</v>
      </c>
      <c r="CD122">
        <v>0.84039087947882696</v>
      </c>
      <c r="CE122" t="s">
        <v>348</v>
      </c>
      <c r="CF122">
        <v>3</v>
      </c>
      <c r="CG122">
        <v>1.0321543408360101</v>
      </c>
      <c r="CH122" t="s">
        <v>364</v>
      </c>
      <c r="CI122">
        <v>3</v>
      </c>
      <c r="CJ122">
        <v>1.17777777777777</v>
      </c>
      <c r="CK122" t="s">
        <v>381</v>
      </c>
      <c r="CL122">
        <v>2</v>
      </c>
      <c r="CM122">
        <v>0.78229774831100796</v>
      </c>
      <c r="CN122" t="s">
        <v>381</v>
      </c>
      <c r="CO122">
        <v>2</v>
      </c>
      <c r="CP122">
        <v>0.91063810213773899</v>
      </c>
      <c r="CQ122" t="s">
        <v>373</v>
      </c>
      <c r="CR122">
        <v>3</v>
      </c>
      <c r="CS122">
        <v>1.0043668122270699</v>
      </c>
      <c r="CT122" t="s">
        <v>390</v>
      </c>
      <c r="CU122">
        <v>2</v>
      </c>
      <c r="CV122">
        <v>1.1256410256410201</v>
      </c>
      <c r="CW122" t="s">
        <v>329</v>
      </c>
      <c r="CX122">
        <v>2</v>
      </c>
      <c r="CY122">
        <v>1.0395136778115499</v>
      </c>
      <c r="CZ122" t="s">
        <v>396</v>
      </c>
      <c r="DA122">
        <v>1</v>
      </c>
      <c r="DB122">
        <v>1.1106382978723399</v>
      </c>
      <c r="DC122" t="s">
        <v>381</v>
      </c>
      <c r="DD122">
        <v>2</v>
      </c>
      <c r="DE122">
        <v>0.96682551319648002</v>
      </c>
      <c r="DF122" t="s">
        <v>396</v>
      </c>
      <c r="DG122">
        <v>1</v>
      </c>
      <c r="DH122">
        <v>1.0445344129554599</v>
      </c>
    </row>
    <row r="123" spans="1:112" x14ac:dyDescent="0.4">
      <c r="A123">
        <v>121</v>
      </c>
      <c r="B123" t="s">
        <v>229</v>
      </c>
      <c r="C123">
        <v>1</v>
      </c>
      <c r="D123">
        <v>0.78917342799188595</v>
      </c>
      <c r="E123" t="s">
        <v>239</v>
      </c>
      <c r="F123">
        <v>2</v>
      </c>
      <c r="G123">
        <v>0.92605989232839803</v>
      </c>
      <c r="H123" t="s">
        <v>229</v>
      </c>
      <c r="I123">
        <v>1</v>
      </c>
      <c r="J123">
        <v>0.48212560386473402</v>
      </c>
      <c r="K123" t="s">
        <v>239</v>
      </c>
      <c r="L123">
        <v>2</v>
      </c>
      <c r="M123">
        <v>0.91616676664666996</v>
      </c>
      <c r="N123" t="s">
        <v>232</v>
      </c>
      <c r="O123">
        <v>1</v>
      </c>
      <c r="P123">
        <v>1.5812917594654701</v>
      </c>
      <c r="Q123" t="s">
        <v>248</v>
      </c>
      <c r="R123">
        <v>1</v>
      </c>
      <c r="S123">
        <v>1.05098072941942</v>
      </c>
      <c r="T123" t="s">
        <v>245</v>
      </c>
      <c r="U123">
        <v>1</v>
      </c>
      <c r="V123">
        <v>1.00106609808102</v>
      </c>
      <c r="W123" t="s">
        <v>258</v>
      </c>
      <c r="X123">
        <v>1</v>
      </c>
      <c r="Y123">
        <v>1.60692212608158</v>
      </c>
      <c r="Z123" t="s">
        <v>328</v>
      </c>
      <c r="AA123">
        <v>2</v>
      </c>
      <c r="AB123">
        <v>1.00437363323961</v>
      </c>
      <c r="AC123" t="s">
        <v>245</v>
      </c>
      <c r="AD123">
        <v>1</v>
      </c>
      <c r="AE123">
        <v>1.48412698412698</v>
      </c>
      <c r="AF123" t="s">
        <v>342</v>
      </c>
      <c r="AG123">
        <v>2</v>
      </c>
      <c r="AH123">
        <v>1.1825095057034201</v>
      </c>
      <c r="AI123" t="s">
        <v>111</v>
      </c>
      <c r="AJ123">
        <v>2</v>
      </c>
      <c r="AK123">
        <v>0.90016397687062999</v>
      </c>
      <c r="AL123" t="s">
        <v>359</v>
      </c>
      <c r="AM123">
        <v>3</v>
      </c>
      <c r="AN123">
        <v>0.98556701030927796</v>
      </c>
      <c r="AO123" t="s">
        <v>372</v>
      </c>
      <c r="AP123">
        <v>3</v>
      </c>
      <c r="AQ123">
        <v>0.89863013698630101</v>
      </c>
      <c r="AR123" t="s">
        <v>352</v>
      </c>
      <c r="AS123">
        <v>2</v>
      </c>
      <c r="AT123">
        <v>0.77266114484123105</v>
      </c>
      <c r="AU123" t="s">
        <v>369</v>
      </c>
      <c r="AV123">
        <v>3</v>
      </c>
      <c r="AW123">
        <v>1.15151515151515</v>
      </c>
      <c r="AX123" t="s">
        <v>368</v>
      </c>
      <c r="AY123">
        <v>2</v>
      </c>
      <c r="AZ123">
        <v>0.80630630630630595</v>
      </c>
      <c r="BA123" t="s">
        <v>289</v>
      </c>
      <c r="BB123">
        <v>2</v>
      </c>
      <c r="BC123">
        <v>1.10585585585585</v>
      </c>
      <c r="BD123" t="s">
        <v>369</v>
      </c>
      <c r="BE123">
        <v>3</v>
      </c>
      <c r="BF123">
        <v>1.3918128654970701</v>
      </c>
      <c r="BG123" t="s">
        <v>289</v>
      </c>
      <c r="BH123">
        <v>2</v>
      </c>
      <c r="BI123">
        <v>1.4540059347181</v>
      </c>
      <c r="BJ123" t="s">
        <v>366</v>
      </c>
      <c r="BK123">
        <v>3</v>
      </c>
      <c r="BL123">
        <v>1.1479591836734599</v>
      </c>
      <c r="BM123" t="s">
        <v>359</v>
      </c>
      <c r="BN123">
        <v>3</v>
      </c>
      <c r="BO123">
        <v>0.97529258777633199</v>
      </c>
      <c r="BP123" t="s">
        <v>365</v>
      </c>
      <c r="BQ123">
        <v>3</v>
      </c>
      <c r="BR123">
        <v>0.89589817933739802</v>
      </c>
      <c r="BS123" t="s">
        <v>366</v>
      </c>
      <c r="BT123">
        <v>3</v>
      </c>
      <c r="BU123">
        <v>1.2555803571428501</v>
      </c>
      <c r="BV123" t="s">
        <v>372</v>
      </c>
      <c r="BW123">
        <v>3</v>
      </c>
      <c r="BX123">
        <v>1.22198275862068</v>
      </c>
      <c r="BY123" t="s">
        <v>364</v>
      </c>
      <c r="BZ123">
        <v>3</v>
      </c>
      <c r="CA123">
        <v>1.31196581196581</v>
      </c>
      <c r="CB123" t="s">
        <v>366</v>
      </c>
      <c r="CC123">
        <v>3</v>
      </c>
      <c r="CD123">
        <v>0.91020408163265298</v>
      </c>
      <c r="CE123" t="s">
        <v>351</v>
      </c>
      <c r="CF123">
        <v>3</v>
      </c>
      <c r="CG123">
        <v>1.13768115942028</v>
      </c>
      <c r="CH123" t="s">
        <v>366</v>
      </c>
      <c r="CI123">
        <v>3</v>
      </c>
      <c r="CJ123">
        <v>1.28571428571428</v>
      </c>
      <c r="CK123" t="s">
        <v>382</v>
      </c>
      <c r="CL123">
        <v>3</v>
      </c>
      <c r="CM123">
        <v>0.79022082018927398</v>
      </c>
      <c r="CN123" t="s">
        <v>383</v>
      </c>
      <c r="CO123">
        <v>3</v>
      </c>
      <c r="CP123">
        <v>0.98898071625344297</v>
      </c>
      <c r="CQ123" t="s">
        <v>374</v>
      </c>
      <c r="CR123">
        <v>2</v>
      </c>
      <c r="CS123">
        <v>0.851515151515151</v>
      </c>
      <c r="CT123" t="s">
        <v>393</v>
      </c>
      <c r="CU123">
        <v>3</v>
      </c>
      <c r="CV123">
        <v>1.0172413793103401</v>
      </c>
      <c r="CW123" t="s">
        <v>404</v>
      </c>
      <c r="CX123">
        <v>1</v>
      </c>
      <c r="CY123">
        <v>1.15384615384615</v>
      </c>
      <c r="CZ123" t="s">
        <v>397</v>
      </c>
      <c r="DA123">
        <v>3</v>
      </c>
      <c r="DB123">
        <v>0.96721311475409799</v>
      </c>
      <c r="DC123" t="s">
        <v>383</v>
      </c>
      <c r="DD123">
        <v>3</v>
      </c>
      <c r="DE123">
        <v>0.98090692124104994</v>
      </c>
      <c r="DF123" t="s">
        <v>397</v>
      </c>
      <c r="DG123">
        <v>3</v>
      </c>
      <c r="DH123">
        <v>0.98926380368098099</v>
      </c>
    </row>
    <row r="124" spans="1:112" x14ac:dyDescent="0.4">
      <c r="A124">
        <v>122</v>
      </c>
      <c r="B124" t="s">
        <v>232</v>
      </c>
      <c r="C124">
        <v>1</v>
      </c>
      <c r="D124">
        <v>0.90378006872852201</v>
      </c>
      <c r="E124" t="s">
        <v>258</v>
      </c>
      <c r="F124">
        <v>1</v>
      </c>
      <c r="G124">
        <v>0.65560165975103701</v>
      </c>
      <c r="H124" t="s">
        <v>315</v>
      </c>
      <c r="I124">
        <v>2</v>
      </c>
      <c r="J124">
        <v>0.61177840867729405</v>
      </c>
      <c r="K124" t="s">
        <v>258</v>
      </c>
      <c r="L124">
        <v>1</v>
      </c>
      <c r="M124">
        <v>0.93333333333333302</v>
      </c>
      <c r="N124" t="s">
        <v>327</v>
      </c>
      <c r="O124">
        <v>2</v>
      </c>
      <c r="P124">
        <v>1.0687797147385101</v>
      </c>
      <c r="Q124" t="s">
        <v>253</v>
      </c>
      <c r="R124">
        <v>2</v>
      </c>
      <c r="S124">
        <v>0.755859375</v>
      </c>
      <c r="T124" t="s">
        <v>253</v>
      </c>
      <c r="U124">
        <v>2</v>
      </c>
      <c r="V124">
        <v>0.84496124031007702</v>
      </c>
      <c r="W124" t="s">
        <v>339</v>
      </c>
      <c r="X124">
        <v>2</v>
      </c>
      <c r="Y124">
        <v>0.97772327815246196</v>
      </c>
      <c r="Z124" t="s">
        <v>347</v>
      </c>
      <c r="AA124">
        <v>3</v>
      </c>
      <c r="AB124">
        <v>1.1083333333333301</v>
      </c>
      <c r="AC124" t="s">
        <v>328</v>
      </c>
      <c r="AD124">
        <v>3</v>
      </c>
      <c r="AE124">
        <v>0.91249351995852701</v>
      </c>
      <c r="AF124" t="s">
        <v>379</v>
      </c>
      <c r="AG124">
        <v>3</v>
      </c>
      <c r="AH124">
        <v>1.24302788844621</v>
      </c>
      <c r="AI124" t="s">
        <v>328</v>
      </c>
      <c r="AJ124">
        <v>3</v>
      </c>
      <c r="AK124">
        <v>1.11654747770384</v>
      </c>
      <c r="AL124" t="s">
        <v>278</v>
      </c>
      <c r="AM124">
        <v>1</v>
      </c>
      <c r="AN124">
        <v>1.0815217391304299</v>
      </c>
      <c r="AO124" t="s">
        <v>365</v>
      </c>
      <c r="AP124">
        <v>2</v>
      </c>
      <c r="AQ124">
        <v>0.81242303702432195</v>
      </c>
      <c r="AR124" t="s">
        <v>275</v>
      </c>
      <c r="AS124">
        <v>2</v>
      </c>
      <c r="AT124">
        <v>1.0026246719160099</v>
      </c>
      <c r="AU124" t="s">
        <v>364</v>
      </c>
      <c r="AV124">
        <v>2</v>
      </c>
      <c r="AW124">
        <v>1.2230576441102701</v>
      </c>
      <c r="AX124" t="s">
        <v>372</v>
      </c>
      <c r="AY124">
        <v>3</v>
      </c>
      <c r="AZ124">
        <v>0.87752161383285299</v>
      </c>
      <c r="BA124" t="s">
        <v>295</v>
      </c>
      <c r="BB124">
        <v>1</v>
      </c>
      <c r="BC124">
        <v>1.20746887966804</v>
      </c>
      <c r="BD124" t="s">
        <v>364</v>
      </c>
      <c r="BE124">
        <v>3</v>
      </c>
      <c r="BF124">
        <v>0.95697329376854601</v>
      </c>
      <c r="BG124" t="s">
        <v>377</v>
      </c>
      <c r="BH124">
        <v>3</v>
      </c>
      <c r="BI124">
        <v>1.08210526315789</v>
      </c>
      <c r="BJ124" t="s">
        <v>376</v>
      </c>
      <c r="BK124">
        <v>2</v>
      </c>
      <c r="BL124">
        <v>1.11411992263056</v>
      </c>
      <c r="BM124" t="s">
        <v>278</v>
      </c>
      <c r="BN124">
        <v>1</v>
      </c>
      <c r="BO124">
        <v>1.1455223880597001</v>
      </c>
      <c r="BP124" t="s">
        <v>367</v>
      </c>
      <c r="BQ124">
        <v>2</v>
      </c>
      <c r="BR124">
        <v>0.99068322981366397</v>
      </c>
      <c r="BS124" t="s">
        <v>289</v>
      </c>
      <c r="BT124">
        <v>2</v>
      </c>
      <c r="BU124">
        <v>0.95736434108527102</v>
      </c>
      <c r="BV124" t="s">
        <v>365</v>
      </c>
      <c r="BW124">
        <v>3</v>
      </c>
      <c r="BX124">
        <v>0.90630997159745097</v>
      </c>
      <c r="BY124" t="s">
        <v>366</v>
      </c>
      <c r="BZ124">
        <v>3</v>
      </c>
      <c r="CA124">
        <v>1.11363636363636</v>
      </c>
      <c r="CB124" t="s">
        <v>303</v>
      </c>
      <c r="CC124">
        <v>3</v>
      </c>
      <c r="CD124">
        <v>0.84057971014492705</v>
      </c>
      <c r="CE124" t="s">
        <v>352</v>
      </c>
      <c r="CF124">
        <v>2</v>
      </c>
      <c r="CG124">
        <v>1.08216078625468</v>
      </c>
      <c r="CH124" t="s">
        <v>303</v>
      </c>
      <c r="CI124">
        <v>3</v>
      </c>
      <c r="CJ124">
        <v>1.03964757709251</v>
      </c>
      <c r="CK124" t="s">
        <v>383</v>
      </c>
      <c r="CL124">
        <v>3</v>
      </c>
      <c r="CM124">
        <v>0.81756756756756699</v>
      </c>
      <c r="CN124" t="s">
        <v>385</v>
      </c>
      <c r="CO124">
        <v>2</v>
      </c>
      <c r="CP124">
        <v>1.5089722675367001</v>
      </c>
      <c r="CQ124" t="s">
        <v>381</v>
      </c>
      <c r="CR124">
        <v>2</v>
      </c>
      <c r="CS124">
        <v>0.90443237782548302</v>
      </c>
      <c r="CT124" t="s">
        <v>395</v>
      </c>
      <c r="CU124">
        <v>1</v>
      </c>
      <c r="CV124">
        <v>0.91400000000000003</v>
      </c>
      <c r="CW124" t="s">
        <v>407</v>
      </c>
      <c r="CX124">
        <v>3</v>
      </c>
      <c r="CY124">
        <v>1.0845070422535199</v>
      </c>
      <c r="CZ124" t="s">
        <v>402</v>
      </c>
      <c r="DA124">
        <v>2</v>
      </c>
      <c r="DB124">
        <v>1.0693877551020401</v>
      </c>
      <c r="DC124" t="s">
        <v>386</v>
      </c>
      <c r="DD124">
        <v>3</v>
      </c>
      <c r="DE124">
        <v>1.00277777777777</v>
      </c>
      <c r="DF124" t="s">
        <v>329</v>
      </c>
      <c r="DG124">
        <v>2</v>
      </c>
      <c r="DH124">
        <v>1.03598484848484</v>
      </c>
    </row>
    <row r="125" spans="1:112" x14ac:dyDescent="0.4">
      <c r="A125">
        <v>123</v>
      </c>
      <c r="B125" t="s">
        <v>327</v>
      </c>
      <c r="C125">
        <v>2</v>
      </c>
      <c r="D125">
        <v>1.08221544341945</v>
      </c>
      <c r="E125" t="s">
        <v>339</v>
      </c>
      <c r="F125">
        <v>3</v>
      </c>
      <c r="G125">
        <v>1.1257035647279501</v>
      </c>
      <c r="H125" t="s">
        <v>360</v>
      </c>
      <c r="I125">
        <v>2</v>
      </c>
      <c r="J125">
        <v>0.519869352204681</v>
      </c>
      <c r="K125" t="s">
        <v>111</v>
      </c>
      <c r="L125">
        <v>2</v>
      </c>
      <c r="M125">
        <v>1.1263185481229101</v>
      </c>
      <c r="N125" t="s">
        <v>239</v>
      </c>
      <c r="O125">
        <v>2</v>
      </c>
      <c r="P125">
        <v>2.0644950073661801</v>
      </c>
      <c r="Q125" t="s">
        <v>370</v>
      </c>
      <c r="R125">
        <v>2</v>
      </c>
      <c r="S125">
        <v>1.1370786516853899</v>
      </c>
      <c r="T125" t="s">
        <v>328</v>
      </c>
      <c r="U125">
        <v>2</v>
      </c>
      <c r="V125">
        <v>0.97900971333807096</v>
      </c>
      <c r="W125" t="s">
        <v>111</v>
      </c>
      <c r="X125">
        <v>2</v>
      </c>
      <c r="Y125">
        <v>0.91091470049036405</v>
      </c>
      <c r="Z125" t="s">
        <v>338</v>
      </c>
      <c r="AA125">
        <v>3</v>
      </c>
      <c r="AB125">
        <v>1.30067753158762</v>
      </c>
      <c r="AC125" t="s">
        <v>347</v>
      </c>
      <c r="AD125">
        <v>3</v>
      </c>
      <c r="AE125">
        <v>1.0586466165413499</v>
      </c>
      <c r="AF125" t="s">
        <v>358</v>
      </c>
      <c r="AG125">
        <v>2</v>
      </c>
      <c r="AH125">
        <v>1.34230769230769</v>
      </c>
      <c r="AI125" t="s">
        <v>347</v>
      </c>
      <c r="AJ125">
        <v>3</v>
      </c>
      <c r="AK125">
        <v>0.953521126760563</v>
      </c>
      <c r="AL125" t="s">
        <v>368</v>
      </c>
      <c r="AM125">
        <v>3</v>
      </c>
      <c r="AN125">
        <v>0.87894736842105203</v>
      </c>
      <c r="AO125" t="s">
        <v>367</v>
      </c>
      <c r="AP125">
        <v>2</v>
      </c>
      <c r="AQ125">
        <v>0.75771901314817502</v>
      </c>
      <c r="AR125" t="s">
        <v>359</v>
      </c>
      <c r="AS125">
        <v>3</v>
      </c>
      <c r="AT125">
        <v>0.95542635658914699</v>
      </c>
      <c r="AU125" t="s">
        <v>366</v>
      </c>
      <c r="AV125">
        <v>3</v>
      </c>
      <c r="AW125">
        <v>1.1139817629179301</v>
      </c>
      <c r="AX125" t="s">
        <v>365</v>
      </c>
      <c r="AY125">
        <v>2</v>
      </c>
      <c r="AZ125">
        <v>0.65261485382240703</v>
      </c>
      <c r="BA125" t="s">
        <v>377</v>
      </c>
      <c r="BB125">
        <v>3</v>
      </c>
      <c r="BC125">
        <v>0.92827586206896495</v>
      </c>
      <c r="BD125" t="s">
        <v>289</v>
      </c>
      <c r="BE125">
        <v>2</v>
      </c>
      <c r="BF125">
        <v>1.3727087576374699</v>
      </c>
      <c r="BG125" t="s">
        <v>374</v>
      </c>
      <c r="BH125">
        <v>2</v>
      </c>
      <c r="BI125">
        <v>0.87123287671232796</v>
      </c>
      <c r="BJ125" t="s">
        <v>289</v>
      </c>
      <c r="BK125">
        <v>2</v>
      </c>
      <c r="BL125">
        <v>1.12244897959183</v>
      </c>
      <c r="BM125" t="s">
        <v>372</v>
      </c>
      <c r="BN125">
        <v>3</v>
      </c>
      <c r="BO125">
        <v>1.0533333333333299</v>
      </c>
      <c r="BP125" t="s">
        <v>364</v>
      </c>
      <c r="BQ125">
        <v>3</v>
      </c>
      <c r="BR125">
        <v>0.91598915989159801</v>
      </c>
      <c r="BS125" t="s">
        <v>373</v>
      </c>
      <c r="BT125">
        <v>3</v>
      </c>
      <c r="BU125">
        <v>0.91111111111111098</v>
      </c>
      <c r="BV125" t="s">
        <v>367</v>
      </c>
      <c r="BW125">
        <v>2</v>
      </c>
      <c r="BX125">
        <v>1.16496945010183</v>
      </c>
      <c r="BY125" t="s">
        <v>303</v>
      </c>
      <c r="BZ125">
        <v>3</v>
      </c>
      <c r="CA125">
        <v>0.92884615384615299</v>
      </c>
      <c r="CB125" t="s">
        <v>289</v>
      </c>
      <c r="CC125">
        <v>2</v>
      </c>
      <c r="CD125">
        <v>1.0540540540540499</v>
      </c>
      <c r="CE125" t="s">
        <v>359</v>
      </c>
      <c r="CF125">
        <v>3</v>
      </c>
      <c r="CG125">
        <v>0.94638069705093797</v>
      </c>
      <c r="CH125" t="s">
        <v>289</v>
      </c>
      <c r="CI125">
        <v>2</v>
      </c>
      <c r="CJ125">
        <v>1.0034843205574899</v>
      </c>
      <c r="CK125" t="s">
        <v>385</v>
      </c>
      <c r="CL125">
        <v>2</v>
      </c>
      <c r="CM125">
        <v>0.75772558714462301</v>
      </c>
      <c r="CN125" t="s">
        <v>386</v>
      </c>
      <c r="CO125">
        <v>3</v>
      </c>
      <c r="CP125">
        <v>1.02054794520547</v>
      </c>
      <c r="CQ125" t="s">
        <v>382</v>
      </c>
      <c r="CR125">
        <v>3</v>
      </c>
      <c r="CS125">
        <v>1.0114122681883</v>
      </c>
      <c r="CT125" t="s">
        <v>396</v>
      </c>
      <c r="CU125">
        <v>1</v>
      </c>
      <c r="CV125">
        <v>0.97854077253218796</v>
      </c>
      <c r="CW125" t="s">
        <v>408</v>
      </c>
      <c r="CX125">
        <v>3</v>
      </c>
      <c r="CY125">
        <v>0.97580645161290303</v>
      </c>
      <c r="CZ125" t="s">
        <v>329</v>
      </c>
      <c r="DA125">
        <v>2</v>
      </c>
      <c r="DB125">
        <v>1.0545808966861501</v>
      </c>
      <c r="DC125" t="s">
        <v>390</v>
      </c>
      <c r="DD125">
        <v>2</v>
      </c>
      <c r="DE125">
        <v>0.95373665480426995</v>
      </c>
      <c r="DF125" t="s">
        <v>333</v>
      </c>
      <c r="DG125">
        <v>1</v>
      </c>
      <c r="DH125">
        <v>1.0689655172413699</v>
      </c>
    </row>
    <row r="126" spans="1:112" x14ac:dyDescent="0.4">
      <c r="A126">
        <v>124</v>
      </c>
      <c r="B126" t="s">
        <v>239</v>
      </c>
      <c r="C126">
        <v>2</v>
      </c>
      <c r="D126">
        <v>1.2734868773433301</v>
      </c>
      <c r="E126" t="s">
        <v>245</v>
      </c>
      <c r="F126">
        <v>1</v>
      </c>
      <c r="G126">
        <v>0.73696145124716494</v>
      </c>
      <c r="H126" t="s">
        <v>232</v>
      </c>
      <c r="I126">
        <v>1</v>
      </c>
      <c r="J126">
        <v>0.54488188976377905</v>
      </c>
      <c r="K126" t="s">
        <v>245</v>
      </c>
      <c r="L126">
        <v>1</v>
      </c>
      <c r="M126">
        <v>1.0621468926553601</v>
      </c>
      <c r="N126" t="s">
        <v>258</v>
      </c>
      <c r="O126">
        <v>1</v>
      </c>
      <c r="P126">
        <v>1.1596638655462099</v>
      </c>
      <c r="Q126" t="s">
        <v>328</v>
      </c>
      <c r="R126">
        <v>2</v>
      </c>
      <c r="S126">
        <v>0.97275995575221197</v>
      </c>
      <c r="T126" t="s">
        <v>378</v>
      </c>
      <c r="U126">
        <v>3</v>
      </c>
      <c r="V126">
        <v>0.92</v>
      </c>
      <c r="W126" t="s">
        <v>245</v>
      </c>
      <c r="X126">
        <v>1</v>
      </c>
      <c r="Y126">
        <v>1.27263045793397</v>
      </c>
      <c r="Z126" t="s">
        <v>342</v>
      </c>
      <c r="AA126">
        <v>2</v>
      </c>
      <c r="AB126">
        <v>0.66323907455012798</v>
      </c>
      <c r="AC126" t="s">
        <v>356</v>
      </c>
      <c r="AD126">
        <v>3</v>
      </c>
      <c r="AE126">
        <v>1.0161290322580601</v>
      </c>
      <c r="AF126" t="s">
        <v>352</v>
      </c>
      <c r="AG126">
        <v>2</v>
      </c>
      <c r="AH126">
        <v>1.1090589270008699</v>
      </c>
      <c r="AI126" t="s">
        <v>356</v>
      </c>
      <c r="AJ126">
        <v>3</v>
      </c>
      <c r="AK126">
        <v>0.98780487804878003</v>
      </c>
      <c r="AL126" t="s">
        <v>372</v>
      </c>
      <c r="AM126">
        <v>3</v>
      </c>
      <c r="AN126">
        <v>0.83811710677382301</v>
      </c>
      <c r="AO126" t="s">
        <v>369</v>
      </c>
      <c r="AP126">
        <v>3</v>
      </c>
      <c r="AQ126">
        <v>1.23563218390804</v>
      </c>
      <c r="AR126" t="s">
        <v>278</v>
      </c>
      <c r="AS126">
        <v>1</v>
      </c>
      <c r="AT126">
        <v>1.11086474501108</v>
      </c>
      <c r="AU126" t="s">
        <v>303</v>
      </c>
      <c r="AV126">
        <v>2</v>
      </c>
      <c r="AW126">
        <v>1.0321955806299901</v>
      </c>
      <c r="AX126" t="s">
        <v>369</v>
      </c>
      <c r="AY126">
        <v>3</v>
      </c>
      <c r="AZ126">
        <v>0.91374269005847897</v>
      </c>
      <c r="BA126" t="s">
        <v>374</v>
      </c>
      <c r="BB126">
        <v>2</v>
      </c>
      <c r="BC126">
        <v>1.2364793213149501</v>
      </c>
      <c r="BD126" t="s">
        <v>377</v>
      </c>
      <c r="BE126">
        <v>3</v>
      </c>
      <c r="BF126">
        <v>1.4115898959881099</v>
      </c>
      <c r="BG126" t="s">
        <v>381</v>
      </c>
      <c r="BH126">
        <v>2</v>
      </c>
      <c r="BI126">
        <v>0.874711330143085</v>
      </c>
      <c r="BJ126" t="s">
        <v>377</v>
      </c>
      <c r="BK126">
        <v>3</v>
      </c>
      <c r="BL126">
        <v>1.11867704280155</v>
      </c>
      <c r="BM126" t="s">
        <v>365</v>
      </c>
      <c r="BN126">
        <v>3</v>
      </c>
      <c r="BO126">
        <v>0.92138760116288199</v>
      </c>
      <c r="BP126" t="s">
        <v>366</v>
      </c>
      <c r="BQ126">
        <v>3</v>
      </c>
      <c r="BR126">
        <v>1.08869987849331</v>
      </c>
      <c r="BS126" t="s">
        <v>374</v>
      </c>
      <c r="BT126">
        <v>2</v>
      </c>
      <c r="BU126">
        <v>0.90152565880721203</v>
      </c>
      <c r="BV126" t="s">
        <v>364</v>
      </c>
      <c r="BW126">
        <v>3</v>
      </c>
      <c r="BX126">
        <v>0.95380434782608603</v>
      </c>
      <c r="BY126" t="s">
        <v>289</v>
      </c>
      <c r="BZ126">
        <v>2</v>
      </c>
      <c r="CA126">
        <v>1.16143497757847</v>
      </c>
      <c r="CB126" t="s">
        <v>373</v>
      </c>
      <c r="CC126">
        <v>3</v>
      </c>
      <c r="CD126">
        <v>0.81818181818181801</v>
      </c>
      <c r="CE126" t="s">
        <v>278</v>
      </c>
      <c r="CF126">
        <v>1</v>
      </c>
      <c r="CG126">
        <v>0.97173913043478199</v>
      </c>
      <c r="CH126" t="s">
        <v>373</v>
      </c>
      <c r="CI126">
        <v>3</v>
      </c>
      <c r="CJ126">
        <v>1.13466334164588</v>
      </c>
      <c r="CK126" t="s">
        <v>392</v>
      </c>
      <c r="CL126">
        <v>2</v>
      </c>
      <c r="CM126">
        <v>0.73478260869565204</v>
      </c>
      <c r="CN126" t="s">
        <v>393</v>
      </c>
      <c r="CO126">
        <v>3</v>
      </c>
      <c r="CP126">
        <v>1.05037037037037</v>
      </c>
      <c r="CQ126" t="s">
        <v>383</v>
      </c>
      <c r="CR126">
        <v>3</v>
      </c>
      <c r="CS126">
        <v>1.03899721448467</v>
      </c>
      <c r="CT126" t="s">
        <v>397</v>
      </c>
      <c r="CU126">
        <v>3</v>
      </c>
      <c r="CV126">
        <v>1.10010537407797</v>
      </c>
      <c r="CW126" t="s">
        <v>411</v>
      </c>
      <c r="CX126">
        <v>1</v>
      </c>
      <c r="CY126">
        <v>0.99038461538461497</v>
      </c>
      <c r="CZ126" t="s">
        <v>407</v>
      </c>
      <c r="DA126">
        <v>3</v>
      </c>
      <c r="DB126">
        <v>1.07792207792207</v>
      </c>
      <c r="DC126" t="s">
        <v>395</v>
      </c>
      <c r="DD126">
        <v>1</v>
      </c>
      <c r="DE126">
        <v>1.06451612903225</v>
      </c>
      <c r="DF126" t="s">
        <v>407</v>
      </c>
      <c r="DG126">
        <v>3</v>
      </c>
      <c r="DH126">
        <v>1.1452145214521401</v>
      </c>
    </row>
    <row r="127" spans="1:112" x14ac:dyDescent="0.4">
      <c r="A127">
        <v>125</v>
      </c>
      <c r="B127" t="s">
        <v>339</v>
      </c>
      <c r="C127">
        <v>2</v>
      </c>
      <c r="D127">
        <v>0.96951061065396205</v>
      </c>
      <c r="E127" t="s">
        <v>357</v>
      </c>
      <c r="F127">
        <v>2</v>
      </c>
      <c r="G127">
        <v>0.62743091095189296</v>
      </c>
      <c r="H127" t="s">
        <v>327</v>
      </c>
      <c r="I127">
        <v>2</v>
      </c>
      <c r="J127">
        <v>0.60611250666057703</v>
      </c>
      <c r="K127" t="s">
        <v>250</v>
      </c>
      <c r="L127">
        <v>2</v>
      </c>
      <c r="M127">
        <v>1.2973959078552</v>
      </c>
      <c r="N127" t="s">
        <v>111</v>
      </c>
      <c r="O127">
        <v>2</v>
      </c>
      <c r="P127">
        <v>1.38504643902817</v>
      </c>
      <c r="Q127" t="s">
        <v>347</v>
      </c>
      <c r="R127">
        <v>3</v>
      </c>
      <c r="S127">
        <v>1.2978003384094701</v>
      </c>
      <c r="T127" t="s">
        <v>342</v>
      </c>
      <c r="U127">
        <v>2</v>
      </c>
      <c r="V127">
        <v>0.89195402298850501</v>
      </c>
      <c r="W127" t="s">
        <v>253</v>
      </c>
      <c r="X127">
        <v>2</v>
      </c>
      <c r="Y127">
        <v>1.07339449541284</v>
      </c>
      <c r="Z127" t="s">
        <v>358</v>
      </c>
      <c r="AA127">
        <v>2</v>
      </c>
      <c r="AB127">
        <v>0.93660968660968602</v>
      </c>
      <c r="AC127" t="s">
        <v>334</v>
      </c>
      <c r="AD127">
        <v>3</v>
      </c>
      <c r="AE127">
        <v>1.1612903225806399</v>
      </c>
      <c r="AF127" t="s">
        <v>275</v>
      </c>
      <c r="AG127">
        <v>2</v>
      </c>
      <c r="AH127">
        <v>1.0358851674641101</v>
      </c>
      <c r="AI127" t="s">
        <v>334</v>
      </c>
      <c r="AJ127">
        <v>3</v>
      </c>
      <c r="AK127">
        <v>0.80434782608695599</v>
      </c>
      <c r="AL127" t="s">
        <v>365</v>
      </c>
      <c r="AM127">
        <v>2</v>
      </c>
      <c r="AN127">
        <v>0.86735843194117102</v>
      </c>
      <c r="AO127" t="s">
        <v>364</v>
      </c>
      <c r="AP127">
        <v>2</v>
      </c>
      <c r="AQ127">
        <v>0.88571428571428501</v>
      </c>
      <c r="AR127" t="s">
        <v>368</v>
      </c>
      <c r="AS127">
        <v>2</v>
      </c>
      <c r="AT127">
        <v>0.79007633587786197</v>
      </c>
      <c r="AU127" t="s">
        <v>289</v>
      </c>
      <c r="AV127">
        <v>2</v>
      </c>
      <c r="AW127">
        <v>0.98</v>
      </c>
      <c r="AX127" t="s">
        <v>364</v>
      </c>
      <c r="AY127">
        <v>2</v>
      </c>
      <c r="AZ127">
        <v>0.77254098360655699</v>
      </c>
      <c r="BA127" t="s">
        <v>381</v>
      </c>
      <c r="BB127">
        <v>2</v>
      </c>
      <c r="BC127">
        <v>1.4694927154642701</v>
      </c>
      <c r="BD127" t="s">
        <v>374</v>
      </c>
      <c r="BE127">
        <v>2</v>
      </c>
      <c r="BF127">
        <v>1.2521440823327601</v>
      </c>
      <c r="BG127" t="s">
        <v>389</v>
      </c>
      <c r="BH127">
        <v>2</v>
      </c>
      <c r="BI127">
        <v>1.05107084019769</v>
      </c>
      <c r="BJ127" t="s">
        <v>373</v>
      </c>
      <c r="BK127">
        <v>3</v>
      </c>
      <c r="BL127">
        <v>1.36363636363636</v>
      </c>
      <c r="BM127" t="s">
        <v>367</v>
      </c>
      <c r="BN127">
        <v>2</v>
      </c>
      <c r="BO127">
        <v>0.93968871595330705</v>
      </c>
      <c r="BP127" t="s">
        <v>289</v>
      </c>
      <c r="BQ127">
        <v>2</v>
      </c>
      <c r="BR127">
        <v>1.20560747663551</v>
      </c>
      <c r="BS127" t="s">
        <v>381</v>
      </c>
      <c r="BT127">
        <v>2</v>
      </c>
      <c r="BU127">
        <v>1.0669140703662101</v>
      </c>
      <c r="BV127" t="s">
        <v>366</v>
      </c>
      <c r="BW127">
        <v>3</v>
      </c>
      <c r="BX127">
        <v>0.97777777777777697</v>
      </c>
      <c r="BY127" t="s">
        <v>373</v>
      </c>
      <c r="BZ127">
        <v>3</v>
      </c>
      <c r="CA127">
        <v>0.92957746478873204</v>
      </c>
      <c r="CB127" t="s">
        <v>374</v>
      </c>
      <c r="CC127">
        <v>2</v>
      </c>
      <c r="CD127">
        <v>1.0359712230215801</v>
      </c>
      <c r="CE127" t="s">
        <v>363</v>
      </c>
      <c r="CF127">
        <v>3</v>
      </c>
      <c r="CG127">
        <v>1.07241910631741</v>
      </c>
      <c r="CH127" t="s">
        <v>374</v>
      </c>
      <c r="CI127">
        <v>2</v>
      </c>
      <c r="CJ127">
        <v>1.1195158850226901</v>
      </c>
      <c r="CK127" t="s">
        <v>386</v>
      </c>
      <c r="CL127">
        <v>3</v>
      </c>
      <c r="CM127">
        <v>0.71103896103896103</v>
      </c>
      <c r="CN127" t="s">
        <v>395</v>
      </c>
      <c r="CO127">
        <v>1</v>
      </c>
      <c r="CP127">
        <v>0.87850467289719603</v>
      </c>
      <c r="CQ127" t="s">
        <v>386</v>
      </c>
      <c r="CR127">
        <v>3</v>
      </c>
      <c r="CS127">
        <v>0.86353467561521202</v>
      </c>
      <c r="CT127" t="s">
        <v>329</v>
      </c>
      <c r="CU127">
        <v>2</v>
      </c>
      <c r="CV127">
        <v>0.965753424657534</v>
      </c>
      <c r="CW127" t="s">
        <v>417</v>
      </c>
      <c r="CX127">
        <v>3</v>
      </c>
      <c r="CY127">
        <v>1.27556512378902</v>
      </c>
      <c r="CZ127" t="s">
        <v>408</v>
      </c>
      <c r="DA127">
        <v>3</v>
      </c>
      <c r="DB127">
        <v>0.93904958677685901</v>
      </c>
      <c r="DC127" t="s">
        <v>396</v>
      </c>
      <c r="DD127">
        <v>1</v>
      </c>
      <c r="DE127">
        <v>0.94636015325670497</v>
      </c>
      <c r="DF127" t="s">
        <v>408</v>
      </c>
      <c r="DG127">
        <v>3</v>
      </c>
      <c r="DH127">
        <v>1.09717514124293</v>
      </c>
    </row>
    <row r="128" spans="1:112" x14ac:dyDescent="0.4">
      <c r="A128">
        <v>126</v>
      </c>
      <c r="B128" t="s">
        <v>245</v>
      </c>
      <c r="C128">
        <v>1</v>
      </c>
      <c r="D128">
        <v>0.94432548179871501</v>
      </c>
      <c r="E128" t="s">
        <v>253</v>
      </c>
      <c r="F128">
        <v>2</v>
      </c>
      <c r="G128">
        <v>0.84304932735425997</v>
      </c>
      <c r="H128" t="s">
        <v>239</v>
      </c>
      <c r="I128">
        <v>2</v>
      </c>
      <c r="J128">
        <v>0.60568625669906395</v>
      </c>
      <c r="K128" t="s">
        <v>357</v>
      </c>
      <c r="L128">
        <v>2</v>
      </c>
      <c r="M128">
        <v>0.88541666666666596</v>
      </c>
      <c r="N128" t="s">
        <v>245</v>
      </c>
      <c r="O128">
        <v>1</v>
      </c>
      <c r="P128">
        <v>1.63404255319148</v>
      </c>
      <c r="Q128" t="s">
        <v>342</v>
      </c>
      <c r="R128">
        <v>2</v>
      </c>
      <c r="S128">
        <v>0.88775510204081598</v>
      </c>
      <c r="T128" t="s">
        <v>379</v>
      </c>
      <c r="U128">
        <v>3</v>
      </c>
      <c r="V128">
        <v>1.00456621004566</v>
      </c>
      <c r="W128" t="s">
        <v>370</v>
      </c>
      <c r="X128">
        <v>2</v>
      </c>
      <c r="Y128">
        <v>0.461409395973154</v>
      </c>
      <c r="Z128" t="s">
        <v>352</v>
      </c>
      <c r="AA128">
        <v>2</v>
      </c>
      <c r="AB128">
        <v>1.0513069817882601</v>
      </c>
      <c r="AC128" t="s">
        <v>338</v>
      </c>
      <c r="AD128">
        <v>3</v>
      </c>
      <c r="AE128">
        <v>1.1633112769252401</v>
      </c>
      <c r="AF128" t="s">
        <v>359</v>
      </c>
      <c r="AG128">
        <v>3</v>
      </c>
      <c r="AH128">
        <v>1.0210526315789401</v>
      </c>
      <c r="AI128" t="s">
        <v>342</v>
      </c>
      <c r="AJ128">
        <v>2</v>
      </c>
      <c r="AK128">
        <v>1.0192926045016</v>
      </c>
      <c r="AL128" t="s">
        <v>367</v>
      </c>
      <c r="AM128">
        <v>2</v>
      </c>
      <c r="AN128">
        <v>0.82811353070712002</v>
      </c>
      <c r="AO128" t="s">
        <v>366</v>
      </c>
      <c r="AP128">
        <v>3</v>
      </c>
      <c r="AQ128">
        <v>0.99771949828962303</v>
      </c>
      <c r="AR128" t="s">
        <v>365</v>
      </c>
      <c r="AS128">
        <v>2</v>
      </c>
      <c r="AT128">
        <v>0.85588697305688999</v>
      </c>
      <c r="AU128" t="s">
        <v>377</v>
      </c>
      <c r="AV128">
        <v>3</v>
      </c>
      <c r="AW128">
        <v>1.23267326732673</v>
      </c>
      <c r="AX128" t="s">
        <v>366</v>
      </c>
      <c r="AY128">
        <v>3</v>
      </c>
      <c r="AZ128">
        <v>0.834924965893588</v>
      </c>
      <c r="BA128" t="s">
        <v>384</v>
      </c>
      <c r="BB128">
        <v>2</v>
      </c>
      <c r="BC128">
        <v>1.0346394094264599</v>
      </c>
      <c r="BD128" t="s">
        <v>381</v>
      </c>
      <c r="BE128">
        <v>2</v>
      </c>
      <c r="BF128">
        <v>1.0034521065016599</v>
      </c>
      <c r="BG128" t="s">
        <v>390</v>
      </c>
      <c r="BH128">
        <v>2</v>
      </c>
      <c r="BI128">
        <v>1.0304878048780399</v>
      </c>
      <c r="BJ128" t="s">
        <v>374</v>
      </c>
      <c r="BK128">
        <v>2</v>
      </c>
      <c r="BL128">
        <v>1.17767295597484</v>
      </c>
      <c r="BM128" t="s">
        <v>364</v>
      </c>
      <c r="BN128">
        <v>3</v>
      </c>
      <c r="BO128">
        <v>0.76397515527950299</v>
      </c>
      <c r="BP128" t="s">
        <v>373</v>
      </c>
      <c r="BQ128">
        <v>3</v>
      </c>
      <c r="BR128">
        <v>0.86872586872586799</v>
      </c>
      <c r="BS128" t="s">
        <v>382</v>
      </c>
      <c r="BT128">
        <v>3</v>
      </c>
      <c r="BU128">
        <v>0.84190476190476105</v>
      </c>
      <c r="BV128" t="s">
        <v>303</v>
      </c>
      <c r="BW128">
        <v>3</v>
      </c>
      <c r="BX128">
        <v>0.873949579831932</v>
      </c>
      <c r="BY128" t="s">
        <v>374</v>
      </c>
      <c r="BZ128">
        <v>2</v>
      </c>
      <c r="CA128">
        <v>0.99144079885877301</v>
      </c>
      <c r="CB128" t="s">
        <v>381</v>
      </c>
      <c r="CC128">
        <v>2</v>
      </c>
      <c r="CD128">
        <v>0.96017795532957995</v>
      </c>
      <c r="CE128" t="s">
        <v>364</v>
      </c>
      <c r="CF128">
        <v>3</v>
      </c>
      <c r="CG128">
        <v>1.16279069767441</v>
      </c>
      <c r="CH128" t="s">
        <v>381</v>
      </c>
      <c r="CI128">
        <v>2</v>
      </c>
      <c r="CJ128">
        <v>1.22692906259312</v>
      </c>
      <c r="CK128" t="s">
        <v>393</v>
      </c>
      <c r="CL128">
        <v>3</v>
      </c>
      <c r="CM128">
        <v>0.86984536082474195</v>
      </c>
      <c r="CN128" t="s">
        <v>396</v>
      </c>
      <c r="CO128">
        <v>1</v>
      </c>
      <c r="CP128">
        <v>1.00757575757575</v>
      </c>
      <c r="CQ128" t="s">
        <v>393</v>
      </c>
      <c r="CR128">
        <v>3</v>
      </c>
      <c r="CS128">
        <v>0.98166431593794001</v>
      </c>
      <c r="CT128" t="s">
        <v>404</v>
      </c>
      <c r="CU128">
        <v>1</v>
      </c>
      <c r="CV128">
        <v>1.07422969187675</v>
      </c>
      <c r="CW128" t="s">
        <v>418</v>
      </c>
      <c r="CX128">
        <v>2</v>
      </c>
      <c r="CY128">
        <v>1.1174652241112799</v>
      </c>
      <c r="CZ128" t="s">
        <v>414</v>
      </c>
      <c r="DA128">
        <v>3</v>
      </c>
      <c r="DB128">
        <v>1.24515235457063</v>
      </c>
      <c r="DC128" t="s">
        <v>397</v>
      </c>
      <c r="DD128">
        <v>3</v>
      </c>
      <c r="DE128">
        <v>1.10508474576271</v>
      </c>
      <c r="DF128" t="s">
        <v>414</v>
      </c>
      <c r="DG128">
        <v>3</v>
      </c>
      <c r="DH128">
        <v>1.01982378854625</v>
      </c>
    </row>
    <row r="129" spans="1:112" x14ac:dyDescent="0.4">
      <c r="A129">
        <v>127</v>
      </c>
      <c r="B129" t="s">
        <v>357</v>
      </c>
      <c r="C129">
        <v>2</v>
      </c>
      <c r="D129">
        <v>0.92870722433459996</v>
      </c>
      <c r="E129" t="s">
        <v>328</v>
      </c>
      <c r="F129">
        <v>2</v>
      </c>
      <c r="G129">
        <v>0.89896961583708501</v>
      </c>
      <c r="H129" t="s">
        <v>258</v>
      </c>
      <c r="I129">
        <v>1</v>
      </c>
      <c r="J129">
        <v>0.806962025316455</v>
      </c>
      <c r="K129" t="s">
        <v>253</v>
      </c>
      <c r="L129">
        <v>2</v>
      </c>
      <c r="M129">
        <v>1.1378205128205101</v>
      </c>
      <c r="N129" t="s">
        <v>248</v>
      </c>
      <c r="O129">
        <v>1</v>
      </c>
      <c r="P129">
        <v>1.0944178885728999</v>
      </c>
      <c r="Q129" t="s">
        <v>379</v>
      </c>
      <c r="R129">
        <v>3</v>
      </c>
      <c r="S129">
        <v>1.2126245847176</v>
      </c>
      <c r="T129" t="s">
        <v>358</v>
      </c>
      <c r="U129">
        <v>2</v>
      </c>
      <c r="V129">
        <v>0.8</v>
      </c>
      <c r="W129" t="s">
        <v>328</v>
      </c>
      <c r="X129">
        <v>2</v>
      </c>
      <c r="Y129">
        <v>0.92953247507501602</v>
      </c>
      <c r="Z129" t="s">
        <v>275</v>
      </c>
      <c r="AA129">
        <v>2</v>
      </c>
      <c r="AB129">
        <v>0.99014778325123098</v>
      </c>
      <c r="AC129" t="s">
        <v>342</v>
      </c>
      <c r="AD129">
        <v>2</v>
      </c>
      <c r="AE129">
        <v>1.0193798449612399</v>
      </c>
      <c r="AF129" t="s">
        <v>278</v>
      </c>
      <c r="AG129">
        <v>1</v>
      </c>
      <c r="AH129">
        <v>0.95025728987993097</v>
      </c>
      <c r="AI129" t="s">
        <v>394</v>
      </c>
      <c r="AJ129">
        <v>3</v>
      </c>
      <c r="AK129">
        <v>0.450555426085605</v>
      </c>
      <c r="AL129" t="s">
        <v>369</v>
      </c>
      <c r="AM129">
        <v>3</v>
      </c>
      <c r="AN129">
        <v>1.01162790697674</v>
      </c>
      <c r="AO129" t="s">
        <v>303</v>
      </c>
      <c r="AP129">
        <v>2</v>
      </c>
      <c r="AQ129">
        <v>0.72382435070551299</v>
      </c>
      <c r="AR129" t="s">
        <v>364</v>
      </c>
      <c r="AS129">
        <v>2</v>
      </c>
      <c r="AT129">
        <v>0.85806451612903201</v>
      </c>
      <c r="AU129" t="s">
        <v>373</v>
      </c>
      <c r="AV129">
        <v>2</v>
      </c>
      <c r="AW129">
        <v>1.2884990253411299</v>
      </c>
      <c r="AX129" t="s">
        <v>303</v>
      </c>
      <c r="AY129">
        <v>2</v>
      </c>
      <c r="AZ129">
        <v>0.84728624264397701</v>
      </c>
      <c r="BA129" t="s">
        <v>389</v>
      </c>
      <c r="BB129">
        <v>2</v>
      </c>
      <c r="BC129">
        <v>1.02090592334494</v>
      </c>
      <c r="BD129" t="s">
        <v>389</v>
      </c>
      <c r="BE129">
        <v>2</v>
      </c>
      <c r="BF129">
        <v>1.0358361774744</v>
      </c>
      <c r="BG129" t="s">
        <v>395</v>
      </c>
      <c r="BH129">
        <v>1</v>
      </c>
      <c r="BI129">
        <v>1.08507670850767</v>
      </c>
      <c r="BJ129" t="s">
        <v>381</v>
      </c>
      <c r="BK129">
        <v>2</v>
      </c>
      <c r="BL129">
        <v>1.07885031504742</v>
      </c>
      <c r="BM129" t="s">
        <v>366</v>
      </c>
      <c r="BN129">
        <v>3</v>
      </c>
      <c r="BO129">
        <v>0.91444444444444395</v>
      </c>
      <c r="BP129" t="s">
        <v>374</v>
      </c>
      <c r="BQ129">
        <v>2</v>
      </c>
      <c r="BR129">
        <v>0.96133333333333304</v>
      </c>
      <c r="BS129" t="s">
        <v>395</v>
      </c>
      <c r="BT129">
        <v>1</v>
      </c>
      <c r="BU129">
        <v>0.86096938775510201</v>
      </c>
      <c r="BV129" t="s">
        <v>289</v>
      </c>
      <c r="BW129">
        <v>2</v>
      </c>
      <c r="BX129">
        <v>0.90283400809716596</v>
      </c>
      <c r="BY129" t="s">
        <v>381</v>
      </c>
      <c r="BZ129">
        <v>2</v>
      </c>
      <c r="CA129">
        <v>1.1460501123782501</v>
      </c>
      <c r="CB129" t="s">
        <v>383</v>
      </c>
      <c r="CC129">
        <v>3</v>
      </c>
      <c r="CD129">
        <v>0.81848739495798295</v>
      </c>
      <c r="CE129" t="s">
        <v>366</v>
      </c>
      <c r="CF129">
        <v>3</v>
      </c>
      <c r="CG129">
        <v>0.97309417040358703</v>
      </c>
      <c r="CH129" t="s">
        <v>383</v>
      </c>
      <c r="CI129">
        <v>3</v>
      </c>
      <c r="CJ129">
        <v>0.90612244897959104</v>
      </c>
      <c r="CK129" t="s">
        <v>395</v>
      </c>
      <c r="CL129">
        <v>1</v>
      </c>
      <c r="CM129">
        <v>1.0573122529644201</v>
      </c>
      <c r="CN129" t="s">
        <v>397</v>
      </c>
      <c r="CO129">
        <v>3</v>
      </c>
      <c r="CP129">
        <v>0.95169946332736999</v>
      </c>
      <c r="CQ129" t="s">
        <v>395</v>
      </c>
      <c r="CR129">
        <v>1</v>
      </c>
      <c r="CS129">
        <v>1.0638297872340401</v>
      </c>
      <c r="CT129" t="s">
        <v>333</v>
      </c>
      <c r="CU129">
        <v>1</v>
      </c>
      <c r="CV129">
        <v>1.1107266435986101</v>
      </c>
      <c r="CW129" t="s">
        <v>131</v>
      </c>
      <c r="CX129">
        <v>1</v>
      </c>
      <c r="CY129">
        <v>0.92576419213973804</v>
      </c>
      <c r="CZ129" t="s">
        <v>411</v>
      </c>
      <c r="DA129">
        <v>1</v>
      </c>
      <c r="DB129">
        <v>1.1067961165048501</v>
      </c>
      <c r="DC129" t="s">
        <v>329</v>
      </c>
      <c r="DD129">
        <v>2</v>
      </c>
      <c r="DE129">
        <v>0.97597042513863197</v>
      </c>
      <c r="DF129" t="s">
        <v>417</v>
      </c>
      <c r="DG129">
        <v>3</v>
      </c>
      <c r="DH129">
        <v>0.93694581280788103</v>
      </c>
    </row>
    <row r="130" spans="1:112" x14ac:dyDescent="0.4">
      <c r="A130">
        <v>128</v>
      </c>
      <c r="B130" t="s">
        <v>253</v>
      </c>
      <c r="C130">
        <v>2</v>
      </c>
      <c r="D130">
        <v>0.93894736842105198</v>
      </c>
      <c r="E130" t="s">
        <v>388</v>
      </c>
      <c r="F130">
        <v>3</v>
      </c>
      <c r="G130">
        <v>0.91</v>
      </c>
      <c r="H130" t="s">
        <v>111</v>
      </c>
      <c r="I130">
        <v>2</v>
      </c>
      <c r="J130">
        <v>0.790351255717614</v>
      </c>
      <c r="K130" t="s">
        <v>337</v>
      </c>
      <c r="L130">
        <v>1</v>
      </c>
      <c r="M130">
        <v>1.0743253816532199</v>
      </c>
      <c r="N130" t="s">
        <v>357</v>
      </c>
      <c r="O130">
        <v>2</v>
      </c>
      <c r="P130">
        <v>1.9</v>
      </c>
      <c r="Q130" t="s">
        <v>358</v>
      </c>
      <c r="R130">
        <v>2</v>
      </c>
      <c r="S130">
        <v>1.36663105413105</v>
      </c>
      <c r="T130" t="s">
        <v>352</v>
      </c>
      <c r="U130">
        <v>2</v>
      </c>
      <c r="V130">
        <v>0.94197825115447598</v>
      </c>
      <c r="W130" t="s">
        <v>338</v>
      </c>
      <c r="X130">
        <v>3</v>
      </c>
      <c r="Y130">
        <v>1.44777306468716</v>
      </c>
      <c r="Z130" t="s">
        <v>359</v>
      </c>
      <c r="AA130">
        <v>2</v>
      </c>
      <c r="AB130">
        <v>0.99791666666666601</v>
      </c>
      <c r="AC130" t="s">
        <v>358</v>
      </c>
      <c r="AD130">
        <v>2</v>
      </c>
      <c r="AE130">
        <v>0.98859315589353602</v>
      </c>
      <c r="AF130" t="s">
        <v>368</v>
      </c>
      <c r="AG130">
        <v>3</v>
      </c>
      <c r="AH130">
        <v>0.95833333333333304</v>
      </c>
      <c r="AI130" t="s">
        <v>358</v>
      </c>
      <c r="AJ130">
        <v>2</v>
      </c>
      <c r="AK130">
        <v>1.08882521489971</v>
      </c>
      <c r="AL130" t="s">
        <v>364</v>
      </c>
      <c r="AM130">
        <v>2</v>
      </c>
      <c r="AN130">
        <v>0.78592814371257402</v>
      </c>
      <c r="AO130" t="s">
        <v>289</v>
      </c>
      <c r="AP130">
        <v>2</v>
      </c>
      <c r="AQ130">
        <v>0.92351816443594603</v>
      </c>
      <c r="AR130" t="s">
        <v>366</v>
      </c>
      <c r="AS130">
        <v>3</v>
      </c>
      <c r="AT130">
        <v>0.752</v>
      </c>
      <c r="AU130" t="s">
        <v>374</v>
      </c>
      <c r="AV130">
        <v>2</v>
      </c>
      <c r="AW130">
        <v>1.1931243680485299</v>
      </c>
      <c r="AX130" t="s">
        <v>289</v>
      </c>
      <c r="AY130">
        <v>2</v>
      </c>
      <c r="AZ130">
        <v>0.90612244897959104</v>
      </c>
      <c r="BA130" t="s">
        <v>386</v>
      </c>
      <c r="BB130">
        <v>3</v>
      </c>
      <c r="BC130">
        <v>0.94827586206896497</v>
      </c>
      <c r="BD130" t="s">
        <v>386</v>
      </c>
      <c r="BE130">
        <v>3</v>
      </c>
      <c r="BF130">
        <v>1.52272727272727</v>
      </c>
      <c r="BG130" t="s">
        <v>401</v>
      </c>
      <c r="BH130">
        <v>3</v>
      </c>
      <c r="BI130">
        <v>0.94019471488177997</v>
      </c>
      <c r="BJ130" t="s">
        <v>383</v>
      </c>
      <c r="BK130">
        <v>2</v>
      </c>
      <c r="BL130">
        <v>1.28292682926829</v>
      </c>
      <c r="BM130" t="s">
        <v>289</v>
      </c>
      <c r="BN130">
        <v>2</v>
      </c>
      <c r="BO130">
        <v>0.972727272727272</v>
      </c>
      <c r="BP130" t="s">
        <v>381</v>
      </c>
      <c r="BQ130">
        <v>2</v>
      </c>
      <c r="BR130">
        <v>1</v>
      </c>
      <c r="BS130" t="s">
        <v>308</v>
      </c>
      <c r="BT130">
        <v>2</v>
      </c>
      <c r="BU130">
        <v>1.1281138790035501</v>
      </c>
      <c r="BV130" t="s">
        <v>373</v>
      </c>
      <c r="BW130">
        <v>3</v>
      </c>
      <c r="BX130">
        <v>1.0390243902439</v>
      </c>
      <c r="BY130" t="s">
        <v>387</v>
      </c>
      <c r="BZ130">
        <v>2</v>
      </c>
      <c r="CA130">
        <v>1.15887850467289</v>
      </c>
      <c r="CB130" t="s">
        <v>395</v>
      </c>
      <c r="CC130">
        <v>1</v>
      </c>
      <c r="CD130">
        <v>0.90361445783132499</v>
      </c>
      <c r="CE130" t="s">
        <v>303</v>
      </c>
      <c r="CF130">
        <v>3</v>
      </c>
      <c r="CG130">
        <v>1.11822660098522</v>
      </c>
      <c r="CH130" t="s">
        <v>386</v>
      </c>
      <c r="CI130">
        <v>2</v>
      </c>
      <c r="CJ130">
        <v>1.12820512820512</v>
      </c>
      <c r="CK130" t="s">
        <v>396</v>
      </c>
      <c r="CL130">
        <v>1</v>
      </c>
      <c r="CM130">
        <v>0.90721649484536004</v>
      </c>
      <c r="CN130" t="s">
        <v>329</v>
      </c>
      <c r="CO130">
        <v>2</v>
      </c>
      <c r="CP130">
        <v>0.93414211438474803</v>
      </c>
      <c r="CQ130" t="s">
        <v>396</v>
      </c>
      <c r="CR130">
        <v>1</v>
      </c>
      <c r="CS130">
        <v>0.87593984962406002</v>
      </c>
      <c r="CT130" t="s">
        <v>407</v>
      </c>
      <c r="CU130">
        <v>3</v>
      </c>
      <c r="CV130">
        <v>0.87346221441124705</v>
      </c>
      <c r="CW130" t="s">
        <v>343</v>
      </c>
      <c r="CX130">
        <v>1</v>
      </c>
      <c r="CY130">
        <v>1.0679245283018799</v>
      </c>
      <c r="CZ130" t="s">
        <v>417</v>
      </c>
      <c r="DA130">
        <v>3</v>
      </c>
      <c r="DB130">
        <v>0.80675105485232002</v>
      </c>
      <c r="DC130" t="s">
        <v>333</v>
      </c>
      <c r="DD130">
        <v>1</v>
      </c>
      <c r="DE130">
        <v>1.02010050251256</v>
      </c>
      <c r="DF130" t="s">
        <v>418</v>
      </c>
      <c r="DG130">
        <v>2</v>
      </c>
      <c r="DH130">
        <v>1.12187958883994</v>
      </c>
    </row>
    <row r="131" spans="1:112" x14ac:dyDescent="0.4">
      <c r="A131">
        <v>129</v>
      </c>
      <c r="B131" t="s">
        <v>328</v>
      </c>
      <c r="C131">
        <v>3</v>
      </c>
      <c r="D131">
        <v>0.95269565217391305</v>
      </c>
      <c r="E131" t="s">
        <v>391</v>
      </c>
      <c r="F131">
        <v>2</v>
      </c>
      <c r="G131">
        <v>0.67123287671232801</v>
      </c>
      <c r="H131" t="s">
        <v>245</v>
      </c>
      <c r="I131">
        <v>1</v>
      </c>
      <c r="J131">
        <v>0.68076923076923002</v>
      </c>
      <c r="K131" t="s">
        <v>370</v>
      </c>
      <c r="L131">
        <v>2</v>
      </c>
      <c r="M131">
        <v>1.0130718954248299</v>
      </c>
      <c r="N131" t="s">
        <v>253</v>
      </c>
      <c r="O131">
        <v>2</v>
      </c>
      <c r="P131">
        <v>1.44225352112676</v>
      </c>
      <c r="Q131" t="s">
        <v>352</v>
      </c>
      <c r="R131">
        <v>2</v>
      </c>
      <c r="S131">
        <v>0.96150678554803504</v>
      </c>
      <c r="T131" t="s">
        <v>275</v>
      </c>
      <c r="U131">
        <v>2</v>
      </c>
      <c r="V131">
        <v>1.0022779043280099</v>
      </c>
      <c r="W131" t="s">
        <v>342</v>
      </c>
      <c r="X131">
        <v>2</v>
      </c>
      <c r="Y131">
        <v>1.00257731958762</v>
      </c>
      <c r="Z131" t="s">
        <v>278</v>
      </c>
      <c r="AA131">
        <v>1</v>
      </c>
      <c r="AB131">
        <v>0.88948787061994605</v>
      </c>
      <c r="AC131" t="s">
        <v>352</v>
      </c>
      <c r="AD131">
        <v>2</v>
      </c>
      <c r="AE131">
        <v>1.2942055276918101</v>
      </c>
      <c r="AF131" t="s">
        <v>372</v>
      </c>
      <c r="AG131">
        <v>3</v>
      </c>
      <c r="AH131">
        <v>1.04314159292035</v>
      </c>
      <c r="AI131" t="s">
        <v>352</v>
      </c>
      <c r="AJ131">
        <v>2</v>
      </c>
      <c r="AK131">
        <v>1.0551397700237899</v>
      </c>
      <c r="AL131" t="s">
        <v>366</v>
      </c>
      <c r="AM131">
        <v>3</v>
      </c>
      <c r="AN131">
        <v>0.696031746031746</v>
      </c>
      <c r="AO131" t="s">
        <v>295</v>
      </c>
      <c r="AP131">
        <v>1</v>
      </c>
      <c r="AQ131">
        <v>0.96875</v>
      </c>
      <c r="AR131" t="s">
        <v>303</v>
      </c>
      <c r="AS131">
        <v>2</v>
      </c>
      <c r="AT131">
        <v>0.90770202451264803</v>
      </c>
      <c r="AU131" t="s">
        <v>375</v>
      </c>
      <c r="AV131">
        <v>3</v>
      </c>
      <c r="AW131">
        <v>1.6910935738444099</v>
      </c>
      <c r="AX131" t="s">
        <v>295</v>
      </c>
      <c r="AY131">
        <v>1</v>
      </c>
      <c r="AZ131">
        <v>0.82817869415807499</v>
      </c>
      <c r="BA131" t="s">
        <v>390</v>
      </c>
      <c r="BB131">
        <v>2</v>
      </c>
      <c r="BC131">
        <v>0.99348534201954397</v>
      </c>
      <c r="BD131" t="s">
        <v>390</v>
      </c>
      <c r="BE131">
        <v>2</v>
      </c>
      <c r="BF131">
        <v>1.0754098360655699</v>
      </c>
      <c r="BG131" t="s">
        <v>403</v>
      </c>
      <c r="BH131">
        <v>3</v>
      </c>
      <c r="BI131">
        <v>0.93777777777777704</v>
      </c>
      <c r="BJ131" t="s">
        <v>386</v>
      </c>
      <c r="BK131">
        <v>3</v>
      </c>
      <c r="BL131">
        <v>1.3203342618384399</v>
      </c>
      <c r="BM131" t="s">
        <v>373</v>
      </c>
      <c r="BN131">
        <v>3</v>
      </c>
      <c r="BO131">
        <v>1.0156862745098001</v>
      </c>
      <c r="BP131" t="s">
        <v>395</v>
      </c>
      <c r="BQ131">
        <v>1</v>
      </c>
      <c r="BR131">
        <v>1.15124816446402</v>
      </c>
      <c r="BS131" t="s">
        <v>396</v>
      </c>
      <c r="BT131">
        <v>1</v>
      </c>
      <c r="BU131">
        <v>1.18777292576419</v>
      </c>
      <c r="BV131" t="s">
        <v>374</v>
      </c>
      <c r="BW131">
        <v>2</v>
      </c>
      <c r="BX131">
        <v>1.0784615384615299</v>
      </c>
      <c r="BY131" t="s">
        <v>386</v>
      </c>
      <c r="BZ131">
        <v>2</v>
      </c>
      <c r="CA131">
        <v>1.31066176470588</v>
      </c>
      <c r="CB131" t="s">
        <v>308</v>
      </c>
      <c r="CC131">
        <v>2</v>
      </c>
      <c r="CD131">
        <v>0.94758064516129004</v>
      </c>
      <c r="CE131" t="s">
        <v>289</v>
      </c>
      <c r="CF131">
        <v>2</v>
      </c>
      <c r="CG131">
        <v>1.05128205128205</v>
      </c>
      <c r="CH131" t="s">
        <v>395</v>
      </c>
      <c r="CI131">
        <v>1</v>
      </c>
      <c r="CJ131">
        <v>1.012</v>
      </c>
      <c r="CK131" t="s">
        <v>397</v>
      </c>
      <c r="CL131">
        <v>3</v>
      </c>
      <c r="CM131">
        <v>0.978984238178634</v>
      </c>
      <c r="CN131" t="s">
        <v>404</v>
      </c>
      <c r="CO131">
        <v>1</v>
      </c>
      <c r="CP131">
        <v>0.86758620689655097</v>
      </c>
      <c r="CQ131" t="s">
        <v>397</v>
      </c>
      <c r="CR131">
        <v>3</v>
      </c>
      <c r="CS131">
        <v>0.891917293233082</v>
      </c>
      <c r="CT131" t="s">
        <v>408</v>
      </c>
      <c r="CU131">
        <v>2</v>
      </c>
      <c r="CV131">
        <v>1.0475184794086501</v>
      </c>
      <c r="CW131" t="s">
        <v>423</v>
      </c>
      <c r="CX131">
        <v>2</v>
      </c>
      <c r="CY131">
        <v>0.69487750556792804</v>
      </c>
      <c r="CZ131" t="s">
        <v>418</v>
      </c>
      <c r="DA131">
        <v>2</v>
      </c>
      <c r="DB131">
        <v>0.97372060857538001</v>
      </c>
      <c r="DC131" t="s">
        <v>407</v>
      </c>
      <c r="DD131">
        <v>3</v>
      </c>
      <c r="DE131">
        <v>1.0430292598967199</v>
      </c>
      <c r="DF131" t="s">
        <v>420</v>
      </c>
      <c r="DG131">
        <v>1</v>
      </c>
      <c r="DH131">
        <v>1.18978102189781</v>
      </c>
    </row>
    <row r="132" spans="1:112" x14ac:dyDescent="0.4">
      <c r="A132">
        <v>130</v>
      </c>
      <c r="B132" t="s">
        <v>257</v>
      </c>
      <c r="C132">
        <v>1</v>
      </c>
      <c r="D132">
        <v>1.25925925925925</v>
      </c>
      <c r="E132" t="s">
        <v>342</v>
      </c>
      <c r="F132">
        <v>2</v>
      </c>
      <c r="G132">
        <v>0.58767123287671197</v>
      </c>
      <c r="H132" t="s">
        <v>357</v>
      </c>
      <c r="I132">
        <v>2</v>
      </c>
      <c r="J132">
        <v>0.62642740619902104</v>
      </c>
      <c r="K132" t="s">
        <v>328</v>
      </c>
      <c r="L132">
        <v>2</v>
      </c>
      <c r="M132">
        <v>0.783662498006788</v>
      </c>
      <c r="N132" t="s">
        <v>337</v>
      </c>
      <c r="O132">
        <v>1</v>
      </c>
      <c r="P132">
        <v>1.6540879747605199</v>
      </c>
      <c r="Q132" t="s">
        <v>275</v>
      </c>
      <c r="R132">
        <v>2</v>
      </c>
      <c r="S132">
        <v>1.1057934508816101</v>
      </c>
      <c r="T132" t="s">
        <v>359</v>
      </c>
      <c r="U132">
        <v>2</v>
      </c>
      <c r="V132">
        <v>0.934333958724202</v>
      </c>
      <c r="W132" t="s">
        <v>379</v>
      </c>
      <c r="X132">
        <v>3</v>
      </c>
      <c r="Y132">
        <v>1.0636363636363599</v>
      </c>
      <c r="Z132" t="s">
        <v>368</v>
      </c>
      <c r="AA132">
        <v>2</v>
      </c>
      <c r="AB132">
        <v>1.1739130434782601</v>
      </c>
      <c r="AC132" t="s">
        <v>275</v>
      </c>
      <c r="AD132">
        <v>2</v>
      </c>
      <c r="AE132">
        <v>1.0398009950248699</v>
      </c>
      <c r="AF132" t="s">
        <v>365</v>
      </c>
      <c r="AG132">
        <v>2</v>
      </c>
      <c r="AH132">
        <v>0.99897596723095095</v>
      </c>
      <c r="AI132" t="s">
        <v>275</v>
      </c>
      <c r="AJ132">
        <v>2</v>
      </c>
      <c r="AK132">
        <v>0.91224018475750501</v>
      </c>
      <c r="AL132" t="s">
        <v>376</v>
      </c>
      <c r="AM132">
        <v>2</v>
      </c>
      <c r="AN132">
        <v>1.14838709677419</v>
      </c>
      <c r="AO132" t="s">
        <v>377</v>
      </c>
      <c r="AP132">
        <v>3</v>
      </c>
      <c r="AQ132">
        <v>1.0745614035087701</v>
      </c>
      <c r="AR132" t="s">
        <v>289</v>
      </c>
      <c r="AS132">
        <v>2</v>
      </c>
      <c r="AT132">
        <v>1.0351966873706</v>
      </c>
      <c r="AU132" t="s">
        <v>381</v>
      </c>
      <c r="AV132">
        <v>2</v>
      </c>
      <c r="AW132">
        <v>0.92195783503883599</v>
      </c>
      <c r="AX132" t="s">
        <v>377</v>
      </c>
      <c r="AY132">
        <v>3</v>
      </c>
      <c r="AZ132">
        <v>0.97054886211512703</v>
      </c>
      <c r="BA132" t="s">
        <v>395</v>
      </c>
      <c r="BB132">
        <v>1</v>
      </c>
      <c r="BC132">
        <v>1.0126782884310599</v>
      </c>
      <c r="BD132" t="s">
        <v>395</v>
      </c>
      <c r="BE132">
        <v>1</v>
      </c>
      <c r="BF132">
        <v>1.1220657276995301</v>
      </c>
      <c r="BG132" t="s">
        <v>396</v>
      </c>
      <c r="BH132">
        <v>1</v>
      </c>
      <c r="BI132">
        <v>1.1391304347825999</v>
      </c>
      <c r="BJ132" t="s">
        <v>390</v>
      </c>
      <c r="BK132">
        <v>2</v>
      </c>
      <c r="BL132">
        <v>1.44970414201183</v>
      </c>
      <c r="BM132" t="s">
        <v>374</v>
      </c>
      <c r="BN132">
        <v>2</v>
      </c>
      <c r="BO132">
        <v>1.00133511348464</v>
      </c>
      <c r="BP132" t="s">
        <v>396</v>
      </c>
      <c r="BQ132">
        <v>1</v>
      </c>
      <c r="BR132">
        <v>1.01327433628318</v>
      </c>
      <c r="BS132" t="s">
        <v>410</v>
      </c>
      <c r="BT132">
        <v>3</v>
      </c>
      <c r="BU132">
        <v>1.18148148148148</v>
      </c>
      <c r="BV132" t="s">
        <v>381</v>
      </c>
      <c r="BW132">
        <v>2</v>
      </c>
      <c r="BX132">
        <v>1.29565615984037</v>
      </c>
      <c r="BY132" t="s">
        <v>395</v>
      </c>
      <c r="BZ132">
        <v>1</v>
      </c>
      <c r="CA132">
        <v>1.11409395973154</v>
      </c>
      <c r="CB132" t="s">
        <v>396</v>
      </c>
      <c r="CC132">
        <v>1</v>
      </c>
      <c r="CD132">
        <v>0.85511363636363602</v>
      </c>
      <c r="CE132" t="s">
        <v>374</v>
      </c>
      <c r="CF132">
        <v>2</v>
      </c>
      <c r="CG132">
        <v>0.91805555555555496</v>
      </c>
      <c r="CH132" t="s">
        <v>396</v>
      </c>
      <c r="CI132">
        <v>1</v>
      </c>
      <c r="CJ132">
        <v>1.07777777777777</v>
      </c>
      <c r="CK132" t="s">
        <v>402</v>
      </c>
      <c r="CL132">
        <v>2</v>
      </c>
      <c r="CM132">
        <v>1.3232161874334301</v>
      </c>
      <c r="CN132" t="s">
        <v>333</v>
      </c>
      <c r="CO132">
        <v>1</v>
      </c>
      <c r="CP132">
        <v>1.0381282495667199</v>
      </c>
      <c r="CQ132" t="s">
        <v>402</v>
      </c>
      <c r="CR132">
        <v>2</v>
      </c>
      <c r="CS132">
        <v>0.94150417827298005</v>
      </c>
      <c r="CT132" t="s">
        <v>417</v>
      </c>
      <c r="CU132">
        <v>3</v>
      </c>
      <c r="CV132">
        <v>0.99785177228786204</v>
      </c>
      <c r="CW132" t="s">
        <v>431</v>
      </c>
      <c r="CX132">
        <v>2</v>
      </c>
      <c r="CY132">
        <v>0.99621928166351603</v>
      </c>
      <c r="CZ132" t="s">
        <v>131</v>
      </c>
      <c r="DA132">
        <v>1</v>
      </c>
      <c r="DB132">
        <v>1.09198113207547</v>
      </c>
      <c r="DC132" t="s">
        <v>408</v>
      </c>
      <c r="DD132">
        <v>3</v>
      </c>
      <c r="DE132">
        <v>0.97359735973597294</v>
      </c>
      <c r="DF132" t="s">
        <v>422</v>
      </c>
      <c r="DG132">
        <v>3</v>
      </c>
      <c r="DH132">
        <v>0.91963109354413697</v>
      </c>
    </row>
    <row r="133" spans="1:112" x14ac:dyDescent="0.4">
      <c r="A133">
        <v>131</v>
      </c>
      <c r="B133" t="s">
        <v>388</v>
      </c>
      <c r="C133">
        <v>3</v>
      </c>
      <c r="D133">
        <v>0.96385542168674698</v>
      </c>
      <c r="E133" t="s">
        <v>358</v>
      </c>
      <c r="F133">
        <v>2</v>
      </c>
      <c r="G133">
        <v>0.60383147791196201</v>
      </c>
      <c r="H133" t="s">
        <v>253</v>
      </c>
      <c r="I133">
        <v>2</v>
      </c>
      <c r="J133">
        <v>0.82978723404255295</v>
      </c>
      <c r="K133" t="s">
        <v>257</v>
      </c>
      <c r="L133">
        <v>1</v>
      </c>
      <c r="M133">
        <v>1.2016129032258001</v>
      </c>
      <c r="N133" t="s">
        <v>370</v>
      </c>
      <c r="O133">
        <v>2</v>
      </c>
      <c r="P133">
        <v>1.43548387096774</v>
      </c>
      <c r="Q133" t="s">
        <v>359</v>
      </c>
      <c r="R133">
        <v>2</v>
      </c>
      <c r="S133">
        <v>0.97262773722627704</v>
      </c>
      <c r="T133" t="s">
        <v>278</v>
      </c>
      <c r="U133">
        <v>1</v>
      </c>
      <c r="V133">
        <v>1.01754385964912</v>
      </c>
      <c r="W133" t="s">
        <v>358</v>
      </c>
      <c r="X133">
        <v>2</v>
      </c>
      <c r="Y133">
        <v>0.76221498371335505</v>
      </c>
      <c r="Z133" t="s">
        <v>372</v>
      </c>
      <c r="AA133">
        <v>2</v>
      </c>
      <c r="AB133">
        <v>0.97890295358649704</v>
      </c>
      <c r="AC133" t="s">
        <v>359</v>
      </c>
      <c r="AD133">
        <v>3</v>
      </c>
      <c r="AE133">
        <v>0.99164926931106401</v>
      </c>
      <c r="AF133" t="s">
        <v>367</v>
      </c>
      <c r="AG133">
        <v>2</v>
      </c>
      <c r="AH133">
        <v>1.12220457045093</v>
      </c>
      <c r="AI133" t="s">
        <v>359</v>
      </c>
      <c r="AJ133">
        <v>3</v>
      </c>
      <c r="AK133">
        <v>1</v>
      </c>
      <c r="AL133" t="s">
        <v>303</v>
      </c>
      <c r="AM133">
        <v>2</v>
      </c>
      <c r="AN133">
        <v>0.95228794314558296</v>
      </c>
      <c r="AO133" t="s">
        <v>373</v>
      </c>
      <c r="AP133">
        <v>2</v>
      </c>
      <c r="AQ133">
        <v>0.77139364303178404</v>
      </c>
      <c r="AR133" t="s">
        <v>377</v>
      </c>
      <c r="AS133">
        <v>3</v>
      </c>
      <c r="AT133">
        <v>0.82448979591836702</v>
      </c>
      <c r="AU133" t="s">
        <v>389</v>
      </c>
      <c r="AV133">
        <v>2</v>
      </c>
      <c r="AW133">
        <v>0.98846787479406895</v>
      </c>
      <c r="AX133" t="s">
        <v>374</v>
      </c>
      <c r="AY133">
        <v>2</v>
      </c>
      <c r="AZ133">
        <v>0.79915254237288103</v>
      </c>
      <c r="BA133" t="s">
        <v>403</v>
      </c>
      <c r="BB133">
        <v>3</v>
      </c>
      <c r="BC133">
        <v>1.09820485744456</v>
      </c>
      <c r="BD133" t="s">
        <v>401</v>
      </c>
      <c r="BE133">
        <v>3</v>
      </c>
      <c r="BF133">
        <v>0.97162162162162102</v>
      </c>
      <c r="BG133" t="s">
        <v>397</v>
      </c>
      <c r="BH133">
        <v>2</v>
      </c>
      <c r="BI133">
        <v>0.99</v>
      </c>
      <c r="BJ133" t="s">
        <v>395</v>
      </c>
      <c r="BK133">
        <v>1</v>
      </c>
      <c r="BL133">
        <v>0.93958868894601499</v>
      </c>
      <c r="BM133" t="s">
        <v>381</v>
      </c>
      <c r="BN133">
        <v>2</v>
      </c>
      <c r="BO133">
        <v>0.87697256385998101</v>
      </c>
      <c r="BP133" t="s">
        <v>397</v>
      </c>
      <c r="BQ133">
        <v>2</v>
      </c>
      <c r="BR133">
        <v>1.1575456053067901</v>
      </c>
      <c r="BS133" t="s">
        <v>402</v>
      </c>
      <c r="BT133">
        <v>2</v>
      </c>
      <c r="BU133">
        <v>0.29608645472668099</v>
      </c>
      <c r="BV133" t="s">
        <v>395</v>
      </c>
      <c r="BW133">
        <v>1</v>
      </c>
      <c r="BX133">
        <v>0.88296296296296295</v>
      </c>
      <c r="BY133" t="s">
        <v>308</v>
      </c>
      <c r="BZ133">
        <v>2</v>
      </c>
      <c r="CA133">
        <v>1.0081300813008101</v>
      </c>
      <c r="CB133" t="s">
        <v>397</v>
      </c>
      <c r="CC133">
        <v>2</v>
      </c>
      <c r="CD133">
        <v>0.98166666666666602</v>
      </c>
      <c r="CE133" t="s">
        <v>381</v>
      </c>
      <c r="CF133">
        <v>2</v>
      </c>
      <c r="CG133">
        <v>0.85671463963537997</v>
      </c>
      <c r="CH133" t="s">
        <v>397</v>
      </c>
      <c r="CI133">
        <v>2</v>
      </c>
      <c r="CJ133">
        <v>1.01061946902654</v>
      </c>
      <c r="CK133" t="s">
        <v>404</v>
      </c>
      <c r="CL133">
        <v>1</v>
      </c>
      <c r="CM133">
        <v>0.86722488038277501</v>
      </c>
      <c r="CN133" t="s">
        <v>407</v>
      </c>
      <c r="CO133">
        <v>3</v>
      </c>
      <c r="CP133">
        <v>0.866300366300366</v>
      </c>
      <c r="CQ133" t="s">
        <v>329</v>
      </c>
      <c r="CR133">
        <v>2</v>
      </c>
      <c r="CS133">
        <v>0.94805194805194803</v>
      </c>
      <c r="CT133" t="s">
        <v>418</v>
      </c>
      <c r="CU133">
        <v>2</v>
      </c>
      <c r="CV133">
        <v>1.0302547770700601</v>
      </c>
      <c r="CW133" t="s">
        <v>434</v>
      </c>
      <c r="CX133">
        <v>3</v>
      </c>
      <c r="CY133">
        <v>0.96897038081805298</v>
      </c>
      <c r="CZ133" t="s">
        <v>343</v>
      </c>
      <c r="DA133">
        <v>1</v>
      </c>
      <c r="DB133">
        <v>1.00942285041224</v>
      </c>
      <c r="DC133" t="s">
        <v>414</v>
      </c>
      <c r="DD133">
        <v>3</v>
      </c>
      <c r="DE133">
        <v>1.01001112347052</v>
      </c>
      <c r="DF133" t="s">
        <v>423</v>
      </c>
      <c r="DG133">
        <v>2</v>
      </c>
      <c r="DH133">
        <v>1.0058139534883701</v>
      </c>
    </row>
    <row r="134" spans="1:112" x14ac:dyDescent="0.4">
      <c r="A134">
        <v>132</v>
      </c>
      <c r="B134" t="s">
        <v>399</v>
      </c>
      <c r="C134">
        <v>3</v>
      </c>
      <c r="D134">
        <v>0.76176176176176102</v>
      </c>
      <c r="E134" t="s">
        <v>352</v>
      </c>
      <c r="F134">
        <v>2</v>
      </c>
      <c r="G134">
        <v>0.85999797782346399</v>
      </c>
      <c r="H134" t="s">
        <v>328</v>
      </c>
      <c r="I134">
        <v>2</v>
      </c>
      <c r="J134">
        <v>0.99047855418424602</v>
      </c>
      <c r="K134" t="s">
        <v>263</v>
      </c>
      <c r="L134">
        <v>1</v>
      </c>
      <c r="M134">
        <v>0.94389438943894299</v>
      </c>
      <c r="N134" t="s">
        <v>328</v>
      </c>
      <c r="O134">
        <v>2</v>
      </c>
      <c r="P134">
        <v>1.2613220161618499</v>
      </c>
      <c r="Q134" t="s">
        <v>278</v>
      </c>
      <c r="R134">
        <v>1</v>
      </c>
      <c r="S134">
        <v>1.1058201058201</v>
      </c>
      <c r="T134" t="s">
        <v>368</v>
      </c>
      <c r="U134">
        <v>2</v>
      </c>
      <c r="V134">
        <v>0.80645161290322498</v>
      </c>
      <c r="W134" t="s">
        <v>352</v>
      </c>
      <c r="X134">
        <v>2</v>
      </c>
      <c r="Y134">
        <v>1.0572072428243799</v>
      </c>
      <c r="Z134" t="s">
        <v>365</v>
      </c>
      <c r="AA134">
        <v>2</v>
      </c>
      <c r="AB134">
        <v>0.93193144372119696</v>
      </c>
      <c r="AC134" t="s">
        <v>278</v>
      </c>
      <c r="AD134">
        <v>1</v>
      </c>
      <c r="AE134">
        <v>0.88333333333333297</v>
      </c>
      <c r="AF134" t="s">
        <v>364</v>
      </c>
      <c r="AG134">
        <v>2</v>
      </c>
      <c r="AH134">
        <v>1.24090121317157</v>
      </c>
      <c r="AI134" t="s">
        <v>278</v>
      </c>
      <c r="AJ134">
        <v>1</v>
      </c>
      <c r="AK134">
        <v>0.99638989169674996</v>
      </c>
      <c r="AL134" t="s">
        <v>289</v>
      </c>
      <c r="AM134">
        <v>2</v>
      </c>
      <c r="AN134">
        <v>1.0828157349896399</v>
      </c>
      <c r="AO134" t="s">
        <v>374</v>
      </c>
      <c r="AP134">
        <v>2</v>
      </c>
      <c r="AQ134">
        <v>1.07561436672967</v>
      </c>
      <c r="AR134" t="s">
        <v>373</v>
      </c>
      <c r="AS134">
        <v>2</v>
      </c>
      <c r="AT134">
        <v>0.812995245641838</v>
      </c>
      <c r="AU134" t="s">
        <v>406</v>
      </c>
      <c r="AV134">
        <v>3</v>
      </c>
      <c r="AW134">
        <v>1.2167949146871799</v>
      </c>
      <c r="AX134" t="s">
        <v>381</v>
      </c>
      <c r="AY134">
        <v>2</v>
      </c>
      <c r="AZ134">
        <v>0.84648301684942495</v>
      </c>
      <c r="BA134" t="s">
        <v>396</v>
      </c>
      <c r="BB134">
        <v>1</v>
      </c>
      <c r="BC134">
        <v>1.00416666666666</v>
      </c>
      <c r="BD134" t="s">
        <v>403</v>
      </c>
      <c r="BE134">
        <v>3</v>
      </c>
      <c r="BF134">
        <v>1.0817307692307601</v>
      </c>
      <c r="BG134" t="s">
        <v>310</v>
      </c>
      <c r="BH134">
        <v>2</v>
      </c>
      <c r="BI134">
        <v>1.0298769771528899</v>
      </c>
      <c r="BJ134" t="s">
        <v>401</v>
      </c>
      <c r="BK134">
        <v>3</v>
      </c>
      <c r="BL134">
        <v>0.92751479289940797</v>
      </c>
      <c r="BM134" t="s">
        <v>382</v>
      </c>
      <c r="BN134">
        <v>3</v>
      </c>
      <c r="BO134">
        <v>0.71833648393194705</v>
      </c>
      <c r="BP134" t="s">
        <v>410</v>
      </c>
      <c r="BQ134">
        <v>3</v>
      </c>
      <c r="BR134">
        <v>0.77697841726618699</v>
      </c>
      <c r="BS134" t="s">
        <v>409</v>
      </c>
      <c r="BT134">
        <v>3</v>
      </c>
      <c r="BU134">
        <v>1.24291497975708</v>
      </c>
      <c r="BV134" t="s">
        <v>396</v>
      </c>
      <c r="BW134">
        <v>1</v>
      </c>
      <c r="BX134">
        <v>1.02941176470588</v>
      </c>
      <c r="BY134" t="s">
        <v>396</v>
      </c>
      <c r="BZ134">
        <v>1</v>
      </c>
      <c r="CA134">
        <v>1.25714285714285</v>
      </c>
      <c r="CB134" t="s">
        <v>412</v>
      </c>
      <c r="CC134">
        <v>3</v>
      </c>
      <c r="CD134">
        <v>0.84021739130434703</v>
      </c>
      <c r="CE134" t="s">
        <v>383</v>
      </c>
      <c r="CF134">
        <v>3</v>
      </c>
      <c r="CG134">
        <v>1.00616016427104</v>
      </c>
      <c r="CH134" t="s">
        <v>412</v>
      </c>
      <c r="CI134">
        <v>3</v>
      </c>
      <c r="CJ134">
        <v>0.965753424657534</v>
      </c>
      <c r="CK134" t="s">
        <v>408</v>
      </c>
      <c r="CL134">
        <v>2</v>
      </c>
      <c r="CM134">
        <v>1.03343465045592</v>
      </c>
      <c r="CN134" t="s">
        <v>408</v>
      </c>
      <c r="CO134">
        <v>2</v>
      </c>
      <c r="CP134">
        <v>0.957843137254902</v>
      </c>
      <c r="CQ134" t="s">
        <v>404</v>
      </c>
      <c r="CR134">
        <v>1</v>
      </c>
      <c r="CS134">
        <v>1.13513513513513</v>
      </c>
      <c r="CT134" t="s">
        <v>420</v>
      </c>
      <c r="CU134">
        <v>1</v>
      </c>
      <c r="CV134">
        <v>1.0530612244897899</v>
      </c>
      <c r="CW134" t="s">
        <v>433</v>
      </c>
      <c r="CX134">
        <v>1</v>
      </c>
      <c r="CY134">
        <v>1.0366624525916499</v>
      </c>
      <c r="CZ134" t="s">
        <v>423</v>
      </c>
      <c r="DA134">
        <v>2</v>
      </c>
      <c r="DB134">
        <v>1.0064102564102499</v>
      </c>
      <c r="DC134" t="s">
        <v>417</v>
      </c>
      <c r="DD134">
        <v>3</v>
      </c>
      <c r="DE134">
        <v>1.0617154811715399</v>
      </c>
      <c r="DF134" t="s">
        <v>431</v>
      </c>
      <c r="DG134">
        <v>2</v>
      </c>
      <c r="DH134">
        <v>1.0445344129554599</v>
      </c>
    </row>
    <row r="135" spans="1:112" x14ac:dyDescent="0.4">
      <c r="A135">
        <v>133</v>
      </c>
      <c r="B135" t="s">
        <v>338</v>
      </c>
      <c r="C135">
        <v>3</v>
      </c>
      <c r="D135">
        <v>1.1134447975680499</v>
      </c>
      <c r="E135" t="s">
        <v>400</v>
      </c>
      <c r="F135">
        <v>3</v>
      </c>
      <c r="G135">
        <v>0.52222222222222203</v>
      </c>
      <c r="H135" t="s">
        <v>388</v>
      </c>
      <c r="I135">
        <v>3</v>
      </c>
      <c r="J135">
        <v>0.40659340659340598</v>
      </c>
      <c r="K135" t="s">
        <v>342</v>
      </c>
      <c r="L135">
        <v>2</v>
      </c>
      <c r="M135">
        <v>1.40425531914893</v>
      </c>
      <c r="N135" t="s">
        <v>257</v>
      </c>
      <c r="O135">
        <v>1</v>
      </c>
      <c r="P135">
        <v>1.5838926174496599</v>
      </c>
      <c r="Q135" t="s">
        <v>368</v>
      </c>
      <c r="R135">
        <v>2</v>
      </c>
      <c r="S135">
        <v>0.97567954220314701</v>
      </c>
      <c r="T135" t="s">
        <v>372</v>
      </c>
      <c r="U135">
        <v>2</v>
      </c>
      <c r="V135">
        <v>1.0469432314410401</v>
      </c>
      <c r="W135" t="s">
        <v>275</v>
      </c>
      <c r="X135">
        <v>2</v>
      </c>
      <c r="Y135">
        <v>0.92272727272727195</v>
      </c>
      <c r="Z135" t="s">
        <v>367</v>
      </c>
      <c r="AA135">
        <v>2</v>
      </c>
      <c r="AB135">
        <v>1.0146503376445</v>
      </c>
      <c r="AC135" t="s">
        <v>368</v>
      </c>
      <c r="AD135">
        <v>3</v>
      </c>
      <c r="AE135">
        <v>1.25925925925925</v>
      </c>
      <c r="AF135" t="s">
        <v>366</v>
      </c>
      <c r="AG135">
        <v>3</v>
      </c>
      <c r="AH135">
        <v>1.06865284974093</v>
      </c>
      <c r="AI135" t="s">
        <v>368</v>
      </c>
      <c r="AJ135">
        <v>3</v>
      </c>
      <c r="AK135">
        <v>0.97186700767263401</v>
      </c>
      <c r="AL135" t="s">
        <v>377</v>
      </c>
      <c r="AM135">
        <v>2</v>
      </c>
      <c r="AN135">
        <v>0.96746817538896701</v>
      </c>
      <c r="AO135" t="s">
        <v>381</v>
      </c>
      <c r="AP135">
        <v>2</v>
      </c>
      <c r="AQ135">
        <v>1.3066125394677399</v>
      </c>
      <c r="AR135" t="s">
        <v>374</v>
      </c>
      <c r="AS135">
        <v>2</v>
      </c>
      <c r="AT135">
        <v>0.86906854130052702</v>
      </c>
      <c r="AU135" t="s">
        <v>386</v>
      </c>
      <c r="AV135">
        <v>3</v>
      </c>
      <c r="AW135">
        <v>1.0444444444444401</v>
      </c>
      <c r="AX135" t="s">
        <v>389</v>
      </c>
      <c r="AY135">
        <v>2</v>
      </c>
      <c r="AZ135">
        <v>0.956666666666666</v>
      </c>
      <c r="BA135" t="s">
        <v>397</v>
      </c>
      <c r="BB135">
        <v>2</v>
      </c>
      <c r="BC135">
        <v>1.07073954983922</v>
      </c>
      <c r="BD135" t="s">
        <v>396</v>
      </c>
      <c r="BE135">
        <v>1</v>
      </c>
      <c r="BF135">
        <v>0.95435684647302899</v>
      </c>
      <c r="BG135" t="s">
        <v>410</v>
      </c>
      <c r="BH135">
        <v>3</v>
      </c>
      <c r="BI135">
        <v>1.3852040816326501</v>
      </c>
      <c r="BJ135" t="s">
        <v>403</v>
      </c>
      <c r="BK135">
        <v>3</v>
      </c>
      <c r="BL135">
        <v>1.1800947867298499</v>
      </c>
      <c r="BM135" t="s">
        <v>395</v>
      </c>
      <c r="BN135">
        <v>1</v>
      </c>
      <c r="BO135">
        <v>0.93160054719562202</v>
      </c>
      <c r="BP135" t="s">
        <v>412</v>
      </c>
      <c r="BQ135">
        <v>3</v>
      </c>
      <c r="BR135">
        <v>0.93237250554323703</v>
      </c>
      <c r="BS135" t="s">
        <v>329</v>
      </c>
      <c r="BT135">
        <v>2</v>
      </c>
      <c r="BU135">
        <v>0.96153846153846101</v>
      </c>
      <c r="BV135" t="s">
        <v>410</v>
      </c>
      <c r="BW135">
        <v>3</v>
      </c>
      <c r="BX135">
        <v>1.00313479623824</v>
      </c>
      <c r="BY135" t="s">
        <v>397</v>
      </c>
      <c r="BZ135">
        <v>2</v>
      </c>
      <c r="CA135">
        <v>0.96</v>
      </c>
      <c r="CB135" t="s">
        <v>409</v>
      </c>
      <c r="CC135">
        <v>3</v>
      </c>
      <c r="CD135">
        <v>1.24416796267496</v>
      </c>
      <c r="CE135" t="s">
        <v>386</v>
      </c>
      <c r="CF135">
        <v>2</v>
      </c>
      <c r="CG135">
        <v>1.0224719101123501</v>
      </c>
      <c r="CH135" t="s">
        <v>402</v>
      </c>
      <c r="CI135">
        <v>2</v>
      </c>
      <c r="CJ135">
        <v>0.82767739092111003</v>
      </c>
      <c r="CK135" t="s">
        <v>335</v>
      </c>
      <c r="CL135">
        <v>3</v>
      </c>
      <c r="CM135">
        <v>0.875</v>
      </c>
      <c r="CN135" t="s">
        <v>335</v>
      </c>
      <c r="CO135">
        <v>3</v>
      </c>
      <c r="CP135">
        <v>1.0714285714285701</v>
      </c>
      <c r="CQ135" t="s">
        <v>333</v>
      </c>
      <c r="CR135">
        <v>1</v>
      </c>
      <c r="CS135">
        <v>0.96494156928213604</v>
      </c>
      <c r="CT135" t="s">
        <v>131</v>
      </c>
      <c r="CU135">
        <v>1</v>
      </c>
      <c r="CV135">
        <v>0.92338709677419295</v>
      </c>
      <c r="CW135" t="s">
        <v>436</v>
      </c>
      <c r="CX135">
        <v>3</v>
      </c>
      <c r="CY135">
        <v>1.06181015452538</v>
      </c>
      <c r="CZ135" t="s">
        <v>427</v>
      </c>
      <c r="DA135">
        <v>2</v>
      </c>
      <c r="DB135">
        <v>1.00664451827242</v>
      </c>
      <c r="DC135" t="s">
        <v>418</v>
      </c>
      <c r="DD135">
        <v>2</v>
      </c>
      <c r="DE135">
        <v>0.96732954545454497</v>
      </c>
      <c r="DF135" t="s">
        <v>434</v>
      </c>
      <c r="DG135">
        <v>3</v>
      </c>
      <c r="DH135">
        <v>1.12616822429906</v>
      </c>
    </row>
    <row r="136" spans="1:112" x14ac:dyDescent="0.4">
      <c r="A136">
        <v>134</v>
      </c>
      <c r="B136" t="s">
        <v>342</v>
      </c>
      <c r="C136">
        <v>2</v>
      </c>
      <c r="D136">
        <v>0.90796019900497504</v>
      </c>
      <c r="E136" t="s">
        <v>275</v>
      </c>
      <c r="F136">
        <v>2</v>
      </c>
      <c r="G136">
        <v>0.95196506550218296</v>
      </c>
      <c r="H136" t="s">
        <v>263</v>
      </c>
      <c r="I136">
        <v>1</v>
      </c>
      <c r="J136">
        <v>0.72749099639855896</v>
      </c>
      <c r="K136" t="s">
        <v>268</v>
      </c>
      <c r="L136">
        <v>2</v>
      </c>
      <c r="M136">
        <v>1.1036269430051799</v>
      </c>
      <c r="N136" t="s">
        <v>263</v>
      </c>
      <c r="O136">
        <v>1</v>
      </c>
      <c r="P136">
        <v>1.42657342657342</v>
      </c>
      <c r="Q136" t="s">
        <v>372</v>
      </c>
      <c r="R136">
        <v>2</v>
      </c>
      <c r="S136">
        <v>0.85607476635514002</v>
      </c>
      <c r="T136" t="s">
        <v>282</v>
      </c>
      <c r="U136">
        <v>1</v>
      </c>
      <c r="V136">
        <v>0.99184782608695599</v>
      </c>
      <c r="W136" t="s">
        <v>359</v>
      </c>
      <c r="X136">
        <v>2</v>
      </c>
      <c r="Y136">
        <v>0.96385542168674698</v>
      </c>
      <c r="Z136" t="s">
        <v>371</v>
      </c>
      <c r="AA136">
        <v>3</v>
      </c>
      <c r="AB136">
        <v>0.93422479219371102</v>
      </c>
      <c r="AC136" t="s">
        <v>372</v>
      </c>
      <c r="AD136">
        <v>3</v>
      </c>
      <c r="AE136">
        <v>0.97413793103448199</v>
      </c>
      <c r="AF136" t="s">
        <v>303</v>
      </c>
      <c r="AG136">
        <v>2</v>
      </c>
      <c r="AH136">
        <v>1.01904198324051</v>
      </c>
      <c r="AI136" t="s">
        <v>372</v>
      </c>
      <c r="AJ136">
        <v>3</v>
      </c>
      <c r="AK136">
        <v>0.92364793213149499</v>
      </c>
      <c r="AL136" t="s">
        <v>374</v>
      </c>
      <c r="AM136">
        <v>2</v>
      </c>
      <c r="AN136">
        <v>1.1575492341356599</v>
      </c>
      <c r="AO136" t="s">
        <v>384</v>
      </c>
      <c r="AP136">
        <v>3</v>
      </c>
      <c r="AQ136">
        <v>1.21687136393018</v>
      </c>
      <c r="AR136" t="s">
        <v>375</v>
      </c>
      <c r="AS136">
        <v>3</v>
      </c>
      <c r="AT136">
        <v>0.83679245283018799</v>
      </c>
      <c r="AU136" t="s">
        <v>390</v>
      </c>
      <c r="AV136">
        <v>2</v>
      </c>
      <c r="AW136">
        <v>1.15465444287729</v>
      </c>
      <c r="AX136" t="s">
        <v>386</v>
      </c>
      <c r="AY136">
        <v>3</v>
      </c>
      <c r="AZ136">
        <v>0.98723404255319103</v>
      </c>
      <c r="BA136" t="s">
        <v>310</v>
      </c>
      <c r="BB136">
        <v>2</v>
      </c>
      <c r="BC136">
        <v>1.10093896713615</v>
      </c>
      <c r="BD136" t="s">
        <v>397</v>
      </c>
      <c r="BE136">
        <v>2</v>
      </c>
      <c r="BF136">
        <v>1.001001001001</v>
      </c>
      <c r="BG136" t="s">
        <v>412</v>
      </c>
      <c r="BH136">
        <v>3</v>
      </c>
      <c r="BI136">
        <v>1.2196467991169899</v>
      </c>
      <c r="BJ136" t="s">
        <v>396</v>
      </c>
      <c r="BK136">
        <v>1</v>
      </c>
      <c r="BL136">
        <v>0.95801526717557195</v>
      </c>
      <c r="BM136" t="s">
        <v>396</v>
      </c>
      <c r="BN136">
        <v>1</v>
      </c>
      <c r="BO136">
        <v>0.90039840637450197</v>
      </c>
      <c r="BP136" t="s">
        <v>402</v>
      </c>
      <c r="BQ136">
        <v>2</v>
      </c>
      <c r="BR136">
        <v>0.340174173745449</v>
      </c>
      <c r="BS136" t="s">
        <v>404</v>
      </c>
      <c r="BT136">
        <v>1</v>
      </c>
      <c r="BU136">
        <v>0.88188976377952699</v>
      </c>
      <c r="BV136" t="s">
        <v>329</v>
      </c>
      <c r="BW136">
        <v>2</v>
      </c>
      <c r="BX136">
        <v>1.0831999999999999</v>
      </c>
      <c r="BY136" t="s">
        <v>410</v>
      </c>
      <c r="BZ136">
        <v>3</v>
      </c>
      <c r="CA136">
        <v>1.98125</v>
      </c>
      <c r="CB136" t="s">
        <v>329</v>
      </c>
      <c r="CC136">
        <v>2</v>
      </c>
      <c r="CD136">
        <v>1.08970588235294</v>
      </c>
      <c r="CE136" t="s">
        <v>395</v>
      </c>
      <c r="CF136">
        <v>1</v>
      </c>
      <c r="CG136">
        <v>0.83333333333333304</v>
      </c>
      <c r="CH136" t="s">
        <v>404</v>
      </c>
      <c r="CI136">
        <v>1</v>
      </c>
      <c r="CJ136">
        <v>1.11466666666666</v>
      </c>
      <c r="CK136" t="s">
        <v>417</v>
      </c>
      <c r="CL136">
        <v>3</v>
      </c>
      <c r="CM136">
        <v>0.8</v>
      </c>
      <c r="CN136" t="s">
        <v>417</v>
      </c>
      <c r="CO136">
        <v>3</v>
      </c>
      <c r="CP136">
        <v>1.0673076923076901</v>
      </c>
      <c r="CQ136" t="s">
        <v>407</v>
      </c>
      <c r="CR136">
        <v>3</v>
      </c>
      <c r="CS136">
        <v>1.2029598308667999</v>
      </c>
      <c r="CT136" t="s">
        <v>343</v>
      </c>
      <c r="CU136">
        <v>1</v>
      </c>
      <c r="CV136">
        <v>1.03515625</v>
      </c>
      <c r="CW136" t="s">
        <v>440</v>
      </c>
      <c r="CX136">
        <v>2</v>
      </c>
      <c r="CY136">
        <v>1.01209677419354</v>
      </c>
      <c r="CZ136" t="s">
        <v>431</v>
      </c>
      <c r="DA136">
        <v>2</v>
      </c>
      <c r="DB136">
        <v>0.91271347248576795</v>
      </c>
      <c r="DC136" t="s">
        <v>343</v>
      </c>
      <c r="DD136">
        <v>1</v>
      </c>
      <c r="DE136">
        <v>1.14235705950991</v>
      </c>
      <c r="DF136" t="s">
        <v>433</v>
      </c>
      <c r="DG136">
        <v>1</v>
      </c>
      <c r="DH136">
        <v>1.0588865096359701</v>
      </c>
    </row>
    <row r="137" spans="1:112" x14ac:dyDescent="0.4">
      <c r="A137">
        <v>135</v>
      </c>
      <c r="B137" t="s">
        <v>352</v>
      </c>
      <c r="C137">
        <v>2</v>
      </c>
      <c r="D137">
        <v>1.01783815306507</v>
      </c>
      <c r="E137" t="s">
        <v>359</v>
      </c>
      <c r="F137">
        <v>2</v>
      </c>
      <c r="G137">
        <v>0.85814606741572996</v>
      </c>
      <c r="H137" t="s">
        <v>338</v>
      </c>
      <c r="I137">
        <v>2</v>
      </c>
      <c r="J137">
        <v>0.41693613581244898</v>
      </c>
      <c r="K137" t="s">
        <v>352</v>
      </c>
      <c r="L137">
        <v>2</v>
      </c>
      <c r="M137">
        <v>1.2289241004989899</v>
      </c>
      <c r="N137" t="s">
        <v>342</v>
      </c>
      <c r="O137">
        <v>2</v>
      </c>
      <c r="P137">
        <v>1.2373737373737299</v>
      </c>
      <c r="Q137" t="s">
        <v>282</v>
      </c>
      <c r="R137">
        <v>1</v>
      </c>
      <c r="S137">
        <v>1.00272479564032</v>
      </c>
      <c r="T137" t="s">
        <v>365</v>
      </c>
      <c r="U137">
        <v>2</v>
      </c>
      <c r="V137">
        <v>0.904299406908873</v>
      </c>
      <c r="W137" t="s">
        <v>278</v>
      </c>
      <c r="X137">
        <v>1</v>
      </c>
      <c r="Y137">
        <v>1.16300940438871</v>
      </c>
      <c r="Z137" t="s">
        <v>364</v>
      </c>
      <c r="AA137">
        <v>2</v>
      </c>
      <c r="AB137">
        <v>0.90460526315789402</v>
      </c>
      <c r="AC137" t="s">
        <v>365</v>
      </c>
      <c r="AD137">
        <v>2</v>
      </c>
      <c r="AE137">
        <v>1.0483356928630301</v>
      </c>
      <c r="AF137" t="s">
        <v>289</v>
      </c>
      <c r="AG137">
        <v>2</v>
      </c>
      <c r="AH137">
        <v>1.22706422018348</v>
      </c>
      <c r="AI137" t="s">
        <v>365</v>
      </c>
      <c r="AJ137">
        <v>2</v>
      </c>
      <c r="AK137">
        <v>0.98974276836339103</v>
      </c>
      <c r="AL137" t="s">
        <v>375</v>
      </c>
      <c r="AM137">
        <v>2</v>
      </c>
      <c r="AN137">
        <v>1.4038876889848799</v>
      </c>
      <c r="AO137" t="s">
        <v>389</v>
      </c>
      <c r="AP137">
        <v>2</v>
      </c>
      <c r="AQ137">
        <v>1.2816091954022899</v>
      </c>
      <c r="AR137" t="s">
        <v>381</v>
      </c>
      <c r="AS137">
        <v>2</v>
      </c>
      <c r="AT137">
        <v>1.0080089479280201</v>
      </c>
      <c r="AU137" t="s">
        <v>395</v>
      </c>
      <c r="AV137">
        <v>1</v>
      </c>
      <c r="AW137">
        <v>1.0695035460992901</v>
      </c>
      <c r="AX137" t="s">
        <v>390</v>
      </c>
      <c r="AY137">
        <v>2</v>
      </c>
      <c r="AZ137">
        <v>0.93751908630061598</v>
      </c>
      <c r="BA137" t="s">
        <v>323</v>
      </c>
      <c r="BB137">
        <v>2</v>
      </c>
      <c r="BC137">
        <v>1.3045045045045001</v>
      </c>
      <c r="BD137" t="s">
        <v>310</v>
      </c>
      <c r="BE137">
        <v>2</v>
      </c>
      <c r="BF137">
        <v>1.21321961620469</v>
      </c>
      <c r="BG137" t="s">
        <v>402</v>
      </c>
      <c r="BH137">
        <v>2</v>
      </c>
      <c r="BI137">
        <v>1.66553303529798</v>
      </c>
      <c r="BJ137" t="s">
        <v>397</v>
      </c>
      <c r="BK137">
        <v>2</v>
      </c>
      <c r="BL137">
        <v>1.2888888888888801</v>
      </c>
      <c r="BM137" t="s">
        <v>310</v>
      </c>
      <c r="BN137">
        <v>2</v>
      </c>
      <c r="BO137">
        <v>1.08961593172119</v>
      </c>
      <c r="BP137" t="s">
        <v>409</v>
      </c>
      <c r="BQ137">
        <v>3</v>
      </c>
      <c r="BR137">
        <v>1.0061099796334001</v>
      </c>
      <c r="BS137" t="s">
        <v>333</v>
      </c>
      <c r="BT137">
        <v>1</v>
      </c>
      <c r="BU137">
        <v>0.89925925925925898</v>
      </c>
      <c r="BV137" t="s">
        <v>404</v>
      </c>
      <c r="BW137">
        <v>1</v>
      </c>
      <c r="BX137">
        <v>1.11755952380952</v>
      </c>
      <c r="BY137" t="s">
        <v>329</v>
      </c>
      <c r="BZ137">
        <v>2</v>
      </c>
      <c r="CA137">
        <v>1.0044313146233299</v>
      </c>
      <c r="CB137" t="s">
        <v>404</v>
      </c>
      <c r="CC137">
        <v>1</v>
      </c>
      <c r="CD137">
        <v>0.98358974358974305</v>
      </c>
      <c r="CE137" t="s">
        <v>308</v>
      </c>
      <c r="CF137">
        <v>2</v>
      </c>
      <c r="CG137">
        <v>1.28936170212765</v>
      </c>
      <c r="CH137" t="s">
        <v>407</v>
      </c>
      <c r="CI137">
        <v>3</v>
      </c>
      <c r="CJ137">
        <v>1.4954128440366901</v>
      </c>
      <c r="CK137" t="s">
        <v>418</v>
      </c>
      <c r="CL137">
        <v>2</v>
      </c>
      <c r="CM137">
        <v>1.0014727540500701</v>
      </c>
      <c r="CN137" t="s">
        <v>418</v>
      </c>
      <c r="CO137">
        <v>2</v>
      </c>
      <c r="CP137">
        <v>0.97647058823529398</v>
      </c>
      <c r="CQ137" t="s">
        <v>408</v>
      </c>
      <c r="CR137">
        <v>2</v>
      </c>
      <c r="CS137">
        <v>0.969293756397134</v>
      </c>
      <c r="CT137" t="s">
        <v>423</v>
      </c>
      <c r="CU137">
        <v>2</v>
      </c>
      <c r="CV137">
        <v>0.762308998302207</v>
      </c>
      <c r="CW137" t="s">
        <v>441</v>
      </c>
      <c r="CX137">
        <v>2</v>
      </c>
      <c r="CY137">
        <v>1.1160058737151199</v>
      </c>
      <c r="CZ137" t="s">
        <v>434</v>
      </c>
      <c r="DA137">
        <v>3</v>
      </c>
      <c r="DB137">
        <v>0.90393013100436603</v>
      </c>
      <c r="DC137" t="s">
        <v>423</v>
      </c>
      <c r="DD137">
        <v>2</v>
      </c>
      <c r="DE137">
        <v>1.09554140127388</v>
      </c>
      <c r="DF137" t="s">
        <v>436</v>
      </c>
      <c r="DG137">
        <v>3</v>
      </c>
      <c r="DH137">
        <v>1.1463414634146301</v>
      </c>
    </row>
    <row r="138" spans="1:112" x14ac:dyDescent="0.4">
      <c r="A138">
        <v>136</v>
      </c>
      <c r="B138" t="s">
        <v>275</v>
      </c>
      <c r="C138">
        <v>2</v>
      </c>
      <c r="D138">
        <v>0.92338709677419295</v>
      </c>
      <c r="E138" t="s">
        <v>278</v>
      </c>
      <c r="F138">
        <v>1</v>
      </c>
      <c r="G138">
        <v>0.992503748125937</v>
      </c>
      <c r="H138" t="s">
        <v>342</v>
      </c>
      <c r="I138">
        <v>2</v>
      </c>
      <c r="J138">
        <v>0.65734265734265696</v>
      </c>
      <c r="K138" t="s">
        <v>405</v>
      </c>
      <c r="L138">
        <v>2</v>
      </c>
      <c r="M138">
        <v>0.87872559095580605</v>
      </c>
      <c r="N138" t="s">
        <v>358</v>
      </c>
      <c r="O138">
        <v>2</v>
      </c>
      <c r="P138">
        <v>1.7647428511574299</v>
      </c>
      <c r="Q138" t="s">
        <v>365</v>
      </c>
      <c r="R138">
        <v>2</v>
      </c>
      <c r="S138">
        <v>1.12770695571159</v>
      </c>
      <c r="T138" t="s">
        <v>364</v>
      </c>
      <c r="U138">
        <v>2</v>
      </c>
      <c r="V138">
        <v>0.78497409326424805</v>
      </c>
      <c r="W138" t="s">
        <v>368</v>
      </c>
      <c r="X138">
        <v>2</v>
      </c>
      <c r="Y138">
        <v>1.0036363636363601</v>
      </c>
      <c r="Z138" t="s">
        <v>366</v>
      </c>
      <c r="AA138">
        <v>3</v>
      </c>
      <c r="AB138">
        <v>0.97074468085106302</v>
      </c>
      <c r="AC138" t="s">
        <v>367</v>
      </c>
      <c r="AD138">
        <v>2</v>
      </c>
      <c r="AE138">
        <v>0.92306824591088499</v>
      </c>
      <c r="AF138" t="s">
        <v>398</v>
      </c>
      <c r="AG138">
        <v>2</v>
      </c>
      <c r="AH138">
        <v>1.7879543151379</v>
      </c>
      <c r="AI138" t="s">
        <v>364</v>
      </c>
      <c r="AJ138">
        <v>2</v>
      </c>
      <c r="AK138">
        <v>0.93296089385474801</v>
      </c>
      <c r="AL138" t="s">
        <v>381</v>
      </c>
      <c r="AM138">
        <v>2</v>
      </c>
      <c r="AN138">
        <v>1.5327286302923</v>
      </c>
      <c r="AO138" t="s">
        <v>386</v>
      </c>
      <c r="AP138">
        <v>3</v>
      </c>
      <c r="AQ138">
        <v>0.82542372881355897</v>
      </c>
      <c r="AR138" t="s">
        <v>389</v>
      </c>
      <c r="AS138">
        <v>2</v>
      </c>
      <c r="AT138">
        <v>0.907324364723467</v>
      </c>
      <c r="AU138" t="s">
        <v>403</v>
      </c>
      <c r="AV138">
        <v>3</v>
      </c>
      <c r="AW138">
        <v>1.1741293532338299</v>
      </c>
      <c r="AX138" t="s">
        <v>395</v>
      </c>
      <c r="AY138">
        <v>1</v>
      </c>
      <c r="AZ138">
        <v>0.83687002652519804</v>
      </c>
      <c r="BA138" t="s">
        <v>410</v>
      </c>
      <c r="BB138">
        <v>3</v>
      </c>
      <c r="BC138">
        <v>0.98425196850393704</v>
      </c>
      <c r="BD138" t="s">
        <v>410</v>
      </c>
      <c r="BE138">
        <v>3</v>
      </c>
      <c r="BF138">
        <v>1.0453333333333299</v>
      </c>
      <c r="BG138" t="s">
        <v>409</v>
      </c>
      <c r="BH138">
        <v>3</v>
      </c>
      <c r="BI138">
        <v>1.23309352517985</v>
      </c>
      <c r="BJ138" t="s">
        <v>310</v>
      </c>
      <c r="BK138">
        <v>2</v>
      </c>
      <c r="BL138">
        <v>1.1996587030716701</v>
      </c>
      <c r="BM138" t="s">
        <v>410</v>
      </c>
      <c r="BN138">
        <v>3</v>
      </c>
      <c r="BO138">
        <v>0.955983493810178</v>
      </c>
      <c r="BP138" t="s">
        <v>329</v>
      </c>
      <c r="BQ138">
        <v>2</v>
      </c>
      <c r="BR138">
        <v>1.04838709677419</v>
      </c>
      <c r="BS138" t="s">
        <v>407</v>
      </c>
      <c r="BT138">
        <v>3</v>
      </c>
      <c r="BU138">
        <v>1.0701754385964899</v>
      </c>
      <c r="BV138" t="s">
        <v>333</v>
      </c>
      <c r="BW138">
        <v>1</v>
      </c>
      <c r="BX138">
        <v>1.0016474464579901</v>
      </c>
      <c r="BY138" t="s">
        <v>404</v>
      </c>
      <c r="BZ138">
        <v>1</v>
      </c>
      <c r="CA138">
        <v>1.2982689747003899</v>
      </c>
      <c r="CB138" t="s">
        <v>407</v>
      </c>
      <c r="CC138">
        <v>3</v>
      </c>
      <c r="CD138">
        <v>0.79377431906614704</v>
      </c>
      <c r="CE138" t="s">
        <v>396</v>
      </c>
      <c r="CF138">
        <v>1</v>
      </c>
      <c r="CG138">
        <v>0.89700996677740796</v>
      </c>
      <c r="CH138" t="s">
        <v>408</v>
      </c>
      <c r="CI138">
        <v>3</v>
      </c>
      <c r="CJ138">
        <v>0.86200873362445396</v>
      </c>
      <c r="CK138" t="s">
        <v>420</v>
      </c>
      <c r="CL138">
        <v>1</v>
      </c>
      <c r="CM138">
        <v>0.78803418803418801</v>
      </c>
      <c r="CN138" t="s">
        <v>419</v>
      </c>
      <c r="CO138">
        <v>1</v>
      </c>
      <c r="CP138">
        <v>1.2826086956521701</v>
      </c>
      <c r="CQ138" t="s">
        <v>335</v>
      </c>
      <c r="CR138">
        <v>3</v>
      </c>
      <c r="CS138">
        <v>1.37333333333333</v>
      </c>
      <c r="CT138" t="s">
        <v>424</v>
      </c>
      <c r="CU138">
        <v>1</v>
      </c>
      <c r="CV138">
        <v>1.18734177215189</v>
      </c>
      <c r="CW138" t="s">
        <v>446</v>
      </c>
      <c r="CX138">
        <v>3</v>
      </c>
      <c r="CY138">
        <v>0.94680851063829696</v>
      </c>
      <c r="CZ138" t="s">
        <v>433</v>
      </c>
      <c r="DA138">
        <v>1</v>
      </c>
      <c r="DB138">
        <v>1.0756097560975599</v>
      </c>
      <c r="DC138" t="s">
        <v>427</v>
      </c>
      <c r="DD138">
        <v>2</v>
      </c>
      <c r="DE138">
        <v>0.96809680968096801</v>
      </c>
      <c r="DF138" t="s">
        <v>440</v>
      </c>
      <c r="DG138">
        <v>2</v>
      </c>
      <c r="DH138">
        <v>1.12406015037593</v>
      </c>
    </row>
    <row r="139" spans="1:112" x14ac:dyDescent="0.4">
      <c r="A139">
        <v>137</v>
      </c>
      <c r="B139" t="s">
        <v>359</v>
      </c>
      <c r="C139">
        <v>2</v>
      </c>
      <c r="D139">
        <v>0.91282051282051202</v>
      </c>
      <c r="E139" t="s">
        <v>372</v>
      </c>
      <c r="F139">
        <v>3</v>
      </c>
      <c r="G139">
        <v>0.75367047308319701</v>
      </c>
      <c r="H139" t="s">
        <v>358</v>
      </c>
      <c r="I139">
        <v>2</v>
      </c>
      <c r="J139">
        <v>0.323908794788273</v>
      </c>
      <c r="K139" t="s">
        <v>275</v>
      </c>
      <c r="L139">
        <v>2</v>
      </c>
      <c r="M139">
        <v>1.1086350974930299</v>
      </c>
      <c r="N139" t="s">
        <v>268</v>
      </c>
      <c r="O139">
        <v>2</v>
      </c>
      <c r="P139">
        <v>1.3239436619718301</v>
      </c>
      <c r="Q139" t="s">
        <v>367</v>
      </c>
      <c r="R139">
        <v>2</v>
      </c>
      <c r="S139">
        <v>1.6224567844577</v>
      </c>
      <c r="T139" t="s">
        <v>366</v>
      </c>
      <c r="U139">
        <v>3</v>
      </c>
      <c r="V139">
        <v>0.85215053763440796</v>
      </c>
      <c r="W139" t="s">
        <v>372</v>
      </c>
      <c r="X139">
        <v>2</v>
      </c>
      <c r="Y139">
        <v>0.98852971845672499</v>
      </c>
      <c r="Z139" t="s">
        <v>303</v>
      </c>
      <c r="AA139">
        <v>2</v>
      </c>
      <c r="AB139">
        <v>1.1004160789008799</v>
      </c>
      <c r="AC139" t="s">
        <v>371</v>
      </c>
      <c r="AD139">
        <v>3</v>
      </c>
      <c r="AE139">
        <v>0.80154738878143095</v>
      </c>
      <c r="AF139" t="s">
        <v>377</v>
      </c>
      <c r="AG139">
        <v>2</v>
      </c>
      <c r="AH139">
        <v>1.0108564535585001</v>
      </c>
      <c r="AI139" t="s">
        <v>366</v>
      </c>
      <c r="AJ139">
        <v>3</v>
      </c>
      <c r="AK139">
        <v>1.52727272727272</v>
      </c>
      <c r="AL139" t="s">
        <v>384</v>
      </c>
      <c r="AM139">
        <v>3</v>
      </c>
      <c r="AN139">
        <v>1.0595890410958899</v>
      </c>
      <c r="AO139" t="s">
        <v>308</v>
      </c>
      <c r="AP139">
        <v>2</v>
      </c>
      <c r="AQ139">
        <v>1.3223684210526301</v>
      </c>
      <c r="AR139" t="s">
        <v>406</v>
      </c>
      <c r="AS139">
        <v>3</v>
      </c>
      <c r="AT139">
        <v>0.88171091445427696</v>
      </c>
      <c r="AU139" t="s">
        <v>396</v>
      </c>
      <c r="AV139">
        <v>1</v>
      </c>
      <c r="AW139">
        <v>0.89347079037800603</v>
      </c>
      <c r="AX139" t="s">
        <v>396</v>
      </c>
      <c r="AY139">
        <v>1</v>
      </c>
      <c r="AZ139">
        <v>0.92307692307692302</v>
      </c>
      <c r="BA139" t="s">
        <v>402</v>
      </c>
      <c r="BB139">
        <v>2</v>
      </c>
      <c r="BC139">
        <v>0.85108428880178699</v>
      </c>
      <c r="BD139" t="s">
        <v>412</v>
      </c>
      <c r="BE139">
        <v>3</v>
      </c>
      <c r="BF139">
        <v>0.97314715359828097</v>
      </c>
      <c r="BG139" t="s">
        <v>329</v>
      </c>
      <c r="BH139">
        <v>2</v>
      </c>
      <c r="BI139">
        <v>1.0416666666666601</v>
      </c>
      <c r="BJ139" t="s">
        <v>410</v>
      </c>
      <c r="BK139">
        <v>3</v>
      </c>
      <c r="BL139">
        <v>1.33885819521178</v>
      </c>
      <c r="BM139" t="s">
        <v>412</v>
      </c>
      <c r="BN139">
        <v>3</v>
      </c>
      <c r="BO139">
        <v>0.85904761904761895</v>
      </c>
      <c r="BP139" t="s">
        <v>404</v>
      </c>
      <c r="BQ139">
        <v>1</v>
      </c>
      <c r="BR139">
        <v>1.0524861878453</v>
      </c>
      <c r="BS139" t="s">
        <v>408</v>
      </c>
      <c r="BT139">
        <v>3</v>
      </c>
      <c r="BU139">
        <v>1.1251360174102201</v>
      </c>
      <c r="BV139" t="s">
        <v>407</v>
      </c>
      <c r="BW139">
        <v>3</v>
      </c>
      <c r="BX139">
        <v>0.91803278688524503</v>
      </c>
      <c r="BY139" t="s">
        <v>333</v>
      </c>
      <c r="BZ139">
        <v>1</v>
      </c>
      <c r="CA139">
        <v>1.1513157894736801</v>
      </c>
      <c r="CB139" t="s">
        <v>408</v>
      </c>
      <c r="CC139">
        <v>3</v>
      </c>
      <c r="CD139">
        <v>0.74806201550387597</v>
      </c>
      <c r="CE139" t="s">
        <v>397</v>
      </c>
      <c r="CF139">
        <v>2</v>
      </c>
      <c r="CG139">
        <v>0.95925297113752095</v>
      </c>
      <c r="CH139" t="s">
        <v>417</v>
      </c>
      <c r="CI139">
        <v>2</v>
      </c>
      <c r="CJ139">
        <v>0.92125984251968496</v>
      </c>
      <c r="CK139" t="s">
        <v>421</v>
      </c>
      <c r="CL139">
        <v>3</v>
      </c>
      <c r="CM139">
        <v>1.0376811594202899</v>
      </c>
      <c r="CN139" t="s">
        <v>420</v>
      </c>
      <c r="CO139">
        <v>1</v>
      </c>
      <c r="CP139">
        <v>1.1019522776572599</v>
      </c>
      <c r="CQ139" t="s">
        <v>417</v>
      </c>
      <c r="CR139">
        <v>3</v>
      </c>
      <c r="CS139">
        <v>0.93193193193193102</v>
      </c>
      <c r="CT139" t="s">
        <v>431</v>
      </c>
      <c r="CU139">
        <v>2</v>
      </c>
      <c r="CV139">
        <v>1.0862422997946599</v>
      </c>
      <c r="CW139" t="s">
        <v>457</v>
      </c>
      <c r="CX139">
        <v>1</v>
      </c>
      <c r="CY139">
        <v>0.89809630459126499</v>
      </c>
      <c r="CZ139" t="s">
        <v>436</v>
      </c>
      <c r="DA139">
        <v>3</v>
      </c>
      <c r="DB139">
        <v>1.29521829521829</v>
      </c>
      <c r="DC139" t="s">
        <v>431</v>
      </c>
      <c r="DD139">
        <v>2</v>
      </c>
      <c r="DE139">
        <v>1.0270270270270201</v>
      </c>
      <c r="DF139" t="s">
        <v>441</v>
      </c>
      <c r="DG139">
        <v>2</v>
      </c>
      <c r="DH139">
        <v>1.03164556962025</v>
      </c>
    </row>
    <row r="140" spans="1:112" x14ac:dyDescent="0.4">
      <c r="A140">
        <v>138</v>
      </c>
      <c r="B140" t="s">
        <v>278</v>
      </c>
      <c r="C140">
        <v>1</v>
      </c>
      <c r="D140">
        <v>1.00300751879699</v>
      </c>
      <c r="E140" t="s">
        <v>282</v>
      </c>
      <c r="F140">
        <v>1</v>
      </c>
      <c r="G140">
        <v>0.97857142857142798</v>
      </c>
      <c r="H140" t="s">
        <v>352</v>
      </c>
      <c r="I140">
        <v>2</v>
      </c>
      <c r="J140">
        <v>0.89532468550378097</v>
      </c>
      <c r="K140" t="s">
        <v>359</v>
      </c>
      <c r="L140">
        <v>2</v>
      </c>
      <c r="M140">
        <v>0.91481481481481397</v>
      </c>
      <c r="N140" t="s">
        <v>352</v>
      </c>
      <c r="O140">
        <v>2</v>
      </c>
      <c r="P140">
        <v>0.99469297620743602</v>
      </c>
      <c r="Q140" t="s">
        <v>364</v>
      </c>
      <c r="R140">
        <v>2</v>
      </c>
      <c r="S140">
        <v>1.0873239436619699</v>
      </c>
      <c r="T140" t="s">
        <v>376</v>
      </c>
      <c r="U140">
        <v>2</v>
      </c>
      <c r="V140">
        <v>1.0977739321953901</v>
      </c>
      <c r="W140" t="s">
        <v>365</v>
      </c>
      <c r="X140">
        <v>2</v>
      </c>
      <c r="Y140">
        <v>1.1878737010985401</v>
      </c>
      <c r="Z140" t="s">
        <v>289</v>
      </c>
      <c r="AA140">
        <v>2</v>
      </c>
      <c r="AB140">
        <v>0.89591836734693797</v>
      </c>
      <c r="AC140" t="s">
        <v>364</v>
      </c>
      <c r="AD140">
        <v>2</v>
      </c>
      <c r="AE140">
        <v>1.0490909090909</v>
      </c>
      <c r="AF140" t="s">
        <v>374</v>
      </c>
      <c r="AG140">
        <v>2</v>
      </c>
      <c r="AH140">
        <v>0.98116760828625205</v>
      </c>
      <c r="AI140" t="s">
        <v>303</v>
      </c>
      <c r="AJ140">
        <v>2</v>
      </c>
      <c r="AK140">
        <v>0.88130865349717402</v>
      </c>
      <c r="AL140" t="s">
        <v>389</v>
      </c>
      <c r="AM140">
        <v>2</v>
      </c>
      <c r="AN140">
        <v>0.884745762711864</v>
      </c>
      <c r="AO140" t="s">
        <v>396</v>
      </c>
      <c r="AP140">
        <v>1</v>
      </c>
      <c r="AQ140">
        <v>0.84210526315789402</v>
      </c>
      <c r="AR140" t="s">
        <v>395</v>
      </c>
      <c r="AS140">
        <v>1</v>
      </c>
      <c r="AT140">
        <v>0.80756013745704402</v>
      </c>
      <c r="AU140" t="s">
        <v>397</v>
      </c>
      <c r="AV140">
        <v>2</v>
      </c>
      <c r="AW140">
        <v>1.0910746812386101</v>
      </c>
      <c r="AX140" t="s">
        <v>397</v>
      </c>
      <c r="AY140">
        <v>2</v>
      </c>
      <c r="AZ140">
        <v>0.77879799666110106</v>
      </c>
      <c r="BA140" t="s">
        <v>409</v>
      </c>
      <c r="BB140">
        <v>3</v>
      </c>
      <c r="BC140">
        <v>1.0130890052356001</v>
      </c>
      <c r="BD140" t="s">
        <v>402</v>
      </c>
      <c r="BE140">
        <v>2</v>
      </c>
      <c r="BF140">
        <v>0.78465594232528102</v>
      </c>
      <c r="BG140" t="s">
        <v>404</v>
      </c>
      <c r="BH140">
        <v>1</v>
      </c>
      <c r="BI140">
        <v>1.07152682255845</v>
      </c>
      <c r="BJ140" t="s">
        <v>409</v>
      </c>
      <c r="BK140">
        <v>3</v>
      </c>
      <c r="BL140">
        <v>1.3138856476079299</v>
      </c>
      <c r="BM140" t="s">
        <v>402</v>
      </c>
      <c r="BN140">
        <v>2</v>
      </c>
      <c r="BO140">
        <v>0.68922425986740898</v>
      </c>
      <c r="BP140" t="s">
        <v>333</v>
      </c>
      <c r="BQ140">
        <v>1</v>
      </c>
      <c r="BR140">
        <v>0.93490304709141203</v>
      </c>
      <c r="BS140" t="s">
        <v>418</v>
      </c>
      <c r="BT140">
        <v>2</v>
      </c>
      <c r="BU140">
        <v>0.985611510791366</v>
      </c>
      <c r="BV140" t="s">
        <v>408</v>
      </c>
      <c r="BW140">
        <v>3</v>
      </c>
      <c r="BX140">
        <v>1.2920696324951599</v>
      </c>
      <c r="BY140" t="s">
        <v>407</v>
      </c>
      <c r="BZ140">
        <v>3</v>
      </c>
      <c r="CA140">
        <v>1.1473214285714199</v>
      </c>
      <c r="CB140" t="s">
        <v>417</v>
      </c>
      <c r="CC140">
        <v>2</v>
      </c>
      <c r="CD140">
        <v>0.793193717277486</v>
      </c>
      <c r="CE140" t="s">
        <v>404</v>
      </c>
      <c r="CF140">
        <v>1</v>
      </c>
      <c r="CG140">
        <v>0.78206465067778896</v>
      </c>
      <c r="CH140" t="s">
        <v>418</v>
      </c>
      <c r="CI140">
        <v>2</v>
      </c>
      <c r="CJ140">
        <v>1.22342342342342</v>
      </c>
      <c r="CK140" t="s">
        <v>343</v>
      </c>
      <c r="CL140">
        <v>1</v>
      </c>
      <c r="CM140">
        <v>0.77403846153846101</v>
      </c>
      <c r="CN140" t="s">
        <v>343</v>
      </c>
      <c r="CO140">
        <v>1</v>
      </c>
      <c r="CP140">
        <v>0.95279503105590002</v>
      </c>
      <c r="CQ140" t="s">
        <v>418</v>
      </c>
      <c r="CR140">
        <v>2</v>
      </c>
      <c r="CS140">
        <v>0.94578313253012003</v>
      </c>
      <c r="CT140" t="s">
        <v>433</v>
      </c>
      <c r="CU140">
        <v>1</v>
      </c>
      <c r="CV140">
        <v>1.0421607378129101</v>
      </c>
      <c r="CW140" t="s">
        <v>452</v>
      </c>
      <c r="CX140">
        <v>2</v>
      </c>
      <c r="CY140">
        <v>0.92417739628039997</v>
      </c>
      <c r="CZ140" t="s">
        <v>440</v>
      </c>
      <c r="DA140">
        <v>2</v>
      </c>
      <c r="DB140">
        <v>0.94820717131474097</v>
      </c>
      <c r="DC140" t="s">
        <v>433</v>
      </c>
      <c r="DD140">
        <v>1</v>
      </c>
      <c r="DE140">
        <v>1.0589569160997701</v>
      </c>
      <c r="DF140" t="s">
        <v>446</v>
      </c>
      <c r="DG140">
        <v>3</v>
      </c>
      <c r="DH140">
        <v>1</v>
      </c>
    </row>
    <row r="141" spans="1:112" x14ac:dyDescent="0.4">
      <c r="A141">
        <v>139</v>
      </c>
      <c r="B141" t="s">
        <v>372</v>
      </c>
      <c r="C141">
        <v>3</v>
      </c>
      <c r="D141">
        <v>1.6110381077529501</v>
      </c>
      <c r="E141" t="s">
        <v>365</v>
      </c>
      <c r="F141">
        <v>2</v>
      </c>
      <c r="G141">
        <v>0.76190500482066603</v>
      </c>
      <c r="H141" t="s">
        <v>275</v>
      </c>
      <c r="I141">
        <v>2</v>
      </c>
      <c r="J141">
        <v>0.82339449541284404</v>
      </c>
      <c r="K141" t="s">
        <v>278</v>
      </c>
      <c r="L141">
        <v>1</v>
      </c>
      <c r="M141">
        <v>0.86175942549371598</v>
      </c>
      <c r="N141" t="s">
        <v>275</v>
      </c>
      <c r="O141">
        <v>2</v>
      </c>
      <c r="P141">
        <v>0.99748743718592903</v>
      </c>
      <c r="Q141" t="s">
        <v>376</v>
      </c>
      <c r="R141">
        <v>2</v>
      </c>
      <c r="S141">
        <v>1.07975199592322</v>
      </c>
      <c r="T141" t="s">
        <v>289</v>
      </c>
      <c r="U141">
        <v>2</v>
      </c>
      <c r="V141">
        <v>0.87445255474452499</v>
      </c>
      <c r="W141" t="s">
        <v>367</v>
      </c>
      <c r="X141">
        <v>2</v>
      </c>
      <c r="Y141">
        <v>1.0469742360695</v>
      </c>
      <c r="Z141" t="s">
        <v>377</v>
      </c>
      <c r="AA141">
        <v>2</v>
      </c>
      <c r="AB141">
        <v>0.87398373983739797</v>
      </c>
      <c r="AC141" t="s">
        <v>366</v>
      </c>
      <c r="AD141">
        <v>3</v>
      </c>
      <c r="AE141">
        <v>1.0575342465753399</v>
      </c>
      <c r="AF141" t="s">
        <v>381</v>
      </c>
      <c r="AG141">
        <v>2</v>
      </c>
      <c r="AH141">
        <v>1.0139928322968199</v>
      </c>
      <c r="AI141" t="s">
        <v>289</v>
      </c>
      <c r="AJ141">
        <v>2</v>
      </c>
      <c r="AK141">
        <v>0.90280373831775695</v>
      </c>
      <c r="AL141" t="s">
        <v>387</v>
      </c>
      <c r="AM141">
        <v>2</v>
      </c>
      <c r="AN141">
        <v>1.48467966573816</v>
      </c>
      <c r="AO141" t="s">
        <v>397</v>
      </c>
      <c r="AP141">
        <v>2</v>
      </c>
      <c r="AQ141">
        <v>1.0035211267605599</v>
      </c>
      <c r="AR141" t="s">
        <v>401</v>
      </c>
      <c r="AS141">
        <v>3</v>
      </c>
      <c r="AT141">
        <v>0.84293193717277404</v>
      </c>
      <c r="AU141" t="s">
        <v>310</v>
      </c>
      <c r="AV141">
        <v>2</v>
      </c>
      <c r="AW141">
        <v>0.99353448275862</v>
      </c>
      <c r="AX141" t="s">
        <v>310</v>
      </c>
      <c r="AY141">
        <v>2</v>
      </c>
      <c r="AZ141">
        <v>0.92407809110629002</v>
      </c>
      <c r="BA141" t="s">
        <v>329</v>
      </c>
      <c r="BB141">
        <v>2</v>
      </c>
      <c r="BC141">
        <v>1.10394265232974</v>
      </c>
      <c r="BD141" t="s">
        <v>409</v>
      </c>
      <c r="BE141">
        <v>3</v>
      </c>
      <c r="BF141">
        <v>0.89793281653746704</v>
      </c>
      <c r="BG141" t="s">
        <v>333</v>
      </c>
      <c r="BH141">
        <v>1</v>
      </c>
      <c r="BI141">
        <v>0.94960212201591498</v>
      </c>
      <c r="BJ141" t="s">
        <v>329</v>
      </c>
      <c r="BK141">
        <v>2</v>
      </c>
      <c r="BL141">
        <v>1.1107692307692301</v>
      </c>
      <c r="BM141" t="s">
        <v>404</v>
      </c>
      <c r="BN141">
        <v>1</v>
      </c>
      <c r="BO141">
        <v>0.96404793608521899</v>
      </c>
      <c r="BP141" t="s">
        <v>407</v>
      </c>
      <c r="BQ141">
        <v>3</v>
      </c>
      <c r="BR141">
        <v>0.95198329853862196</v>
      </c>
      <c r="BS141" t="s">
        <v>420</v>
      </c>
      <c r="BT141">
        <v>1</v>
      </c>
      <c r="BU141">
        <v>0.99795081967213095</v>
      </c>
      <c r="BV141" t="s">
        <v>417</v>
      </c>
      <c r="BW141">
        <v>2</v>
      </c>
      <c r="BX141">
        <v>1.05047318611987</v>
      </c>
      <c r="BY141" t="s">
        <v>408</v>
      </c>
      <c r="BZ141">
        <v>3</v>
      </c>
      <c r="CA141">
        <v>1.9311377245508901</v>
      </c>
      <c r="CB141" t="s">
        <v>418</v>
      </c>
      <c r="CC141">
        <v>2</v>
      </c>
      <c r="CD141">
        <v>0.82005141388174796</v>
      </c>
      <c r="CE141" t="s">
        <v>407</v>
      </c>
      <c r="CF141">
        <v>3</v>
      </c>
      <c r="CG141">
        <v>1.0686274509803899</v>
      </c>
      <c r="CH141" t="s">
        <v>419</v>
      </c>
      <c r="CI141">
        <v>1</v>
      </c>
      <c r="CJ141">
        <v>0.93803786574870895</v>
      </c>
      <c r="CK141" t="s">
        <v>423</v>
      </c>
      <c r="CL141">
        <v>2</v>
      </c>
      <c r="CM141">
        <v>1.0071867822478999</v>
      </c>
      <c r="CN141" t="s">
        <v>423</v>
      </c>
      <c r="CO141">
        <v>2</v>
      </c>
      <c r="CP141">
        <v>0.93747241430042605</v>
      </c>
      <c r="CQ141" t="s">
        <v>419</v>
      </c>
      <c r="CR141">
        <v>1</v>
      </c>
      <c r="CS141">
        <v>0.69915254237288105</v>
      </c>
      <c r="CT141" t="s">
        <v>436</v>
      </c>
      <c r="CU141">
        <v>3</v>
      </c>
      <c r="CV141">
        <v>1.1468354430379699</v>
      </c>
      <c r="CW141" t="s">
        <v>454</v>
      </c>
      <c r="CX141">
        <v>2</v>
      </c>
      <c r="CY141">
        <v>0.84942084942084894</v>
      </c>
      <c r="CZ141" t="s">
        <v>447</v>
      </c>
      <c r="DA141">
        <v>3</v>
      </c>
      <c r="DB141">
        <v>0.97773279352226705</v>
      </c>
      <c r="DC141" t="s">
        <v>440</v>
      </c>
      <c r="DD141">
        <v>2</v>
      </c>
      <c r="DE141">
        <v>1.1176470588235199</v>
      </c>
      <c r="DF141" t="s">
        <v>458</v>
      </c>
      <c r="DG141">
        <v>1</v>
      </c>
      <c r="DH141">
        <v>1.16700201207243</v>
      </c>
    </row>
    <row r="142" spans="1:112" x14ac:dyDescent="0.4">
      <c r="A142">
        <v>140</v>
      </c>
      <c r="B142" t="s">
        <v>282</v>
      </c>
      <c r="C142">
        <v>1</v>
      </c>
      <c r="D142">
        <v>1.3125</v>
      </c>
      <c r="E142" t="s">
        <v>415</v>
      </c>
      <c r="F142">
        <v>3</v>
      </c>
      <c r="G142">
        <v>0.88938053097345104</v>
      </c>
      <c r="H142" t="s">
        <v>359</v>
      </c>
      <c r="I142">
        <v>2</v>
      </c>
      <c r="J142">
        <v>0.88379705400982</v>
      </c>
      <c r="K142" t="s">
        <v>372</v>
      </c>
      <c r="L142">
        <v>3</v>
      </c>
      <c r="M142">
        <v>1.06321839080459</v>
      </c>
      <c r="N142" t="s">
        <v>359</v>
      </c>
      <c r="O142">
        <v>2</v>
      </c>
      <c r="P142">
        <v>1.1093117408906801</v>
      </c>
      <c r="Q142" t="s">
        <v>289</v>
      </c>
      <c r="R142">
        <v>2</v>
      </c>
      <c r="S142">
        <v>1.22321428571428</v>
      </c>
      <c r="T142" t="s">
        <v>374</v>
      </c>
      <c r="U142">
        <v>2</v>
      </c>
      <c r="V142">
        <v>0.76923076923076905</v>
      </c>
      <c r="W142" t="s">
        <v>364</v>
      </c>
      <c r="X142">
        <v>2</v>
      </c>
      <c r="Y142">
        <v>1.0033003300329999</v>
      </c>
      <c r="Z142" t="s">
        <v>374</v>
      </c>
      <c r="AA142">
        <v>2</v>
      </c>
      <c r="AB142">
        <v>0.94803149606299197</v>
      </c>
      <c r="AC142" t="s">
        <v>303</v>
      </c>
      <c r="AD142">
        <v>2</v>
      </c>
      <c r="AE142">
        <v>1.01942260045244</v>
      </c>
      <c r="AF142" t="s">
        <v>384</v>
      </c>
      <c r="AG142">
        <v>3</v>
      </c>
      <c r="AH142">
        <v>1.09810387469084</v>
      </c>
      <c r="AI142" t="s">
        <v>398</v>
      </c>
      <c r="AJ142">
        <v>2</v>
      </c>
      <c r="AK142">
        <v>1.26628370098039</v>
      </c>
      <c r="AL142" t="s">
        <v>386</v>
      </c>
      <c r="AM142">
        <v>3</v>
      </c>
      <c r="AN142">
        <v>0.929133858267716</v>
      </c>
      <c r="AO142" t="s">
        <v>310</v>
      </c>
      <c r="AP142">
        <v>2</v>
      </c>
      <c r="AQ142">
        <v>1.12745098039215</v>
      </c>
      <c r="AR142" t="s">
        <v>396</v>
      </c>
      <c r="AS142">
        <v>1</v>
      </c>
      <c r="AT142">
        <v>0.90937500000000004</v>
      </c>
      <c r="AU142" t="s">
        <v>323</v>
      </c>
      <c r="AV142">
        <v>2</v>
      </c>
      <c r="AW142">
        <v>1.1276948590381399</v>
      </c>
      <c r="AX142" t="s">
        <v>323</v>
      </c>
      <c r="AY142">
        <v>2</v>
      </c>
      <c r="AZ142">
        <v>0.81617647058823495</v>
      </c>
      <c r="BA142" t="s">
        <v>404</v>
      </c>
      <c r="BB142">
        <v>1</v>
      </c>
      <c r="BC142">
        <v>1.0828313253012001</v>
      </c>
      <c r="BD142" t="s">
        <v>329</v>
      </c>
      <c r="BE142">
        <v>2</v>
      </c>
      <c r="BF142">
        <v>1.01298701298701</v>
      </c>
      <c r="BG142" t="s">
        <v>407</v>
      </c>
      <c r="BH142">
        <v>3</v>
      </c>
      <c r="BI142">
        <v>1.3254716981132</v>
      </c>
      <c r="BJ142" t="s">
        <v>404</v>
      </c>
      <c r="BK142">
        <v>1</v>
      </c>
      <c r="BL142">
        <v>0.96405648267008903</v>
      </c>
      <c r="BM142" t="s">
        <v>333</v>
      </c>
      <c r="BN142">
        <v>1</v>
      </c>
      <c r="BO142">
        <v>0.93281653746769999</v>
      </c>
      <c r="BP142" t="s">
        <v>408</v>
      </c>
      <c r="BQ142">
        <v>3</v>
      </c>
      <c r="BR142">
        <v>1.0466970387243699</v>
      </c>
      <c r="BS142" t="s">
        <v>421</v>
      </c>
      <c r="BT142">
        <v>3</v>
      </c>
      <c r="BU142">
        <v>0.96458155918556898</v>
      </c>
      <c r="BV142" t="s">
        <v>418</v>
      </c>
      <c r="BW142">
        <v>2</v>
      </c>
      <c r="BX142">
        <v>1.2554744525547401</v>
      </c>
      <c r="BY142" t="s">
        <v>417</v>
      </c>
      <c r="BZ142">
        <v>2</v>
      </c>
      <c r="CA142">
        <v>1.1471471471471399</v>
      </c>
      <c r="CB142" t="s">
        <v>419</v>
      </c>
      <c r="CC142">
        <v>1</v>
      </c>
      <c r="CD142">
        <v>0.90467937608318805</v>
      </c>
      <c r="CE142" t="s">
        <v>408</v>
      </c>
      <c r="CF142">
        <v>3</v>
      </c>
      <c r="CG142">
        <v>1.18652849740932</v>
      </c>
      <c r="CH142" t="s">
        <v>421</v>
      </c>
      <c r="CI142">
        <v>3</v>
      </c>
      <c r="CJ142">
        <v>1.0470409711684301</v>
      </c>
      <c r="CK142" t="s">
        <v>430</v>
      </c>
      <c r="CL142">
        <v>3</v>
      </c>
      <c r="CM142">
        <v>0.97905445840813798</v>
      </c>
      <c r="CN142" t="s">
        <v>424</v>
      </c>
      <c r="CO142">
        <v>1</v>
      </c>
      <c r="CP142">
        <v>0.76534546576187501</v>
      </c>
      <c r="CQ142" t="s">
        <v>420</v>
      </c>
      <c r="CR142">
        <v>1</v>
      </c>
      <c r="CS142">
        <v>0.964566929133858</v>
      </c>
      <c r="CT142" t="s">
        <v>440</v>
      </c>
      <c r="CU142">
        <v>2</v>
      </c>
      <c r="CV142">
        <v>0.95019157088122597</v>
      </c>
      <c r="CW142" t="s">
        <v>456</v>
      </c>
      <c r="CX142">
        <v>2</v>
      </c>
      <c r="CY142">
        <v>0.69538461538461505</v>
      </c>
      <c r="CZ142" t="s">
        <v>441</v>
      </c>
      <c r="DA142">
        <v>2</v>
      </c>
      <c r="DB142">
        <v>0.83947368421052604</v>
      </c>
      <c r="DC142" t="s">
        <v>447</v>
      </c>
      <c r="DD142">
        <v>3</v>
      </c>
      <c r="DE142">
        <v>1.0724637681159399</v>
      </c>
      <c r="DF142" t="s">
        <v>452</v>
      </c>
      <c r="DG142">
        <v>2</v>
      </c>
      <c r="DH142">
        <v>1.1082706766917201</v>
      </c>
    </row>
    <row r="143" spans="1:112" x14ac:dyDescent="0.4">
      <c r="A143">
        <v>141</v>
      </c>
      <c r="B143" t="s">
        <v>365</v>
      </c>
      <c r="C143">
        <v>2</v>
      </c>
      <c r="D143">
        <v>1.2564076269828499</v>
      </c>
      <c r="E143" t="s">
        <v>369</v>
      </c>
      <c r="F143">
        <v>3</v>
      </c>
      <c r="G143">
        <v>1.00358422939068</v>
      </c>
      <c r="H143" t="s">
        <v>278</v>
      </c>
      <c r="I143">
        <v>1</v>
      </c>
      <c r="J143">
        <v>0.841389728096676</v>
      </c>
      <c r="K143" t="s">
        <v>282</v>
      </c>
      <c r="L143">
        <v>1</v>
      </c>
      <c r="M143">
        <v>0.89743589743589702</v>
      </c>
      <c r="N143" t="s">
        <v>278</v>
      </c>
      <c r="O143">
        <v>1</v>
      </c>
      <c r="P143">
        <v>1.1812499999999999</v>
      </c>
      <c r="Q143" t="s">
        <v>374</v>
      </c>
      <c r="R143">
        <v>2</v>
      </c>
      <c r="S143">
        <v>0.99236641221374</v>
      </c>
      <c r="T143" t="s">
        <v>375</v>
      </c>
      <c r="U143">
        <v>2</v>
      </c>
      <c r="V143">
        <v>0.82529335071707899</v>
      </c>
      <c r="W143" t="s">
        <v>366</v>
      </c>
      <c r="X143">
        <v>3</v>
      </c>
      <c r="Y143">
        <v>1.18611987381703</v>
      </c>
      <c r="Z143" t="s">
        <v>381</v>
      </c>
      <c r="AA143">
        <v>2</v>
      </c>
      <c r="AB143">
        <v>0.93087073758560601</v>
      </c>
      <c r="AC143" t="s">
        <v>289</v>
      </c>
      <c r="AD143">
        <v>2</v>
      </c>
      <c r="AE143">
        <v>0.993166287015945</v>
      </c>
      <c r="AF143" t="s">
        <v>389</v>
      </c>
      <c r="AG143">
        <v>2</v>
      </c>
      <c r="AH143">
        <v>1.15469613259668</v>
      </c>
      <c r="AI143" t="s">
        <v>377</v>
      </c>
      <c r="AJ143">
        <v>2</v>
      </c>
      <c r="AK143">
        <v>0.84367541766109699</v>
      </c>
      <c r="AL143" t="s">
        <v>395</v>
      </c>
      <c r="AM143">
        <v>1</v>
      </c>
      <c r="AN143">
        <v>1.27551020408163</v>
      </c>
      <c r="AO143" t="s">
        <v>314</v>
      </c>
      <c r="AP143">
        <v>2</v>
      </c>
      <c r="AQ143">
        <v>0.84065833026848102</v>
      </c>
      <c r="AR143" t="s">
        <v>310</v>
      </c>
      <c r="AS143">
        <v>2</v>
      </c>
      <c r="AT143">
        <v>1.0086956521739101</v>
      </c>
      <c r="AU143" t="s">
        <v>410</v>
      </c>
      <c r="AV143">
        <v>3</v>
      </c>
      <c r="AW143">
        <v>1.01453488372093</v>
      </c>
      <c r="AX143" t="s">
        <v>410</v>
      </c>
      <c r="AY143">
        <v>3</v>
      </c>
      <c r="AZ143">
        <v>1.0916905444125999</v>
      </c>
      <c r="BA143" t="s">
        <v>333</v>
      </c>
      <c r="BB143">
        <v>1</v>
      </c>
      <c r="BC143">
        <v>1.2307692307692299</v>
      </c>
      <c r="BD143" t="s">
        <v>404</v>
      </c>
      <c r="BE143">
        <v>1</v>
      </c>
      <c r="BF143">
        <v>1.01112656467315</v>
      </c>
      <c r="BG143" t="s">
        <v>417</v>
      </c>
      <c r="BH143">
        <v>2</v>
      </c>
      <c r="BI143">
        <v>1.01315789473684</v>
      </c>
      <c r="BJ143" t="s">
        <v>333</v>
      </c>
      <c r="BK143">
        <v>1</v>
      </c>
      <c r="BL143">
        <v>1.0810055865921699</v>
      </c>
      <c r="BM143" t="s">
        <v>407</v>
      </c>
      <c r="BN143">
        <v>3</v>
      </c>
      <c r="BO143">
        <v>0.62943495400788396</v>
      </c>
      <c r="BP143" t="s">
        <v>418</v>
      </c>
      <c r="BQ143">
        <v>2</v>
      </c>
      <c r="BR143">
        <v>0.97788944723617999</v>
      </c>
      <c r="BS143" t="s">
        <v>435</v>
      </c>
      <c r="BT143">
        <v>3</v>
      </c>
      <c r="BU143">
        <v>1.0592991913746601</v>
      </c>
      <c r="BV143" t="s">
        <v>419</v>
      </c>
      <c r="BW143">
        <v>1</v>
      </c>
      <c r="BX143">
        <v>0.92679558011049701</v>
      </c>
      <c r="BY143" t="s">
        <v>418</v>
      </c>
      <c r="BZ143">
        <v>2</v>
      </c>
      <c r="CA143">
        <v>1.29235880398671</v>
      </c>
      <c r="CB143" t="s">
        <v>343</v>
      </c>
      <c r="CC143">
        <v>1</v>
      </c>
      <c r="CD143">
        <v>1.0195035460992901</v>
      </c>
      <c r="CE143" t="s">
        <v>335</v>
      </c>
      <c r="CF143">
        <v>2</v>
      </c>
      <c r="CG143">
        <v>1.21161825726141</v>
      </c>
      <c r="CH143" t="s">
        <v>343</v>
      </c>
      <c r="CI143">
        <v>1</v>
      </c>
      <c r="CJ143">
        <v>1.2264150943396199</v>
      </c>
      <c r="CK143" t="s">
        <v>433</v>
      </c>
      <c r="CL143">
        <v>1</v>
      </c>
      <c r="CM143">
        <v>0.94391408114558395</v>
      </c>
      <c r="CN143" t="s">
        <v>426</v>
      </c>
      <c r="CO143">
        <v>1</v>
      </c>
      <c r="CP143">
        <v>1.02694610778443</v>
      </c>
      <c r="CQ143" t="s">
        <v>343</v>
      </c>
      <c r="CR143">
        <v>1</v>
      </c>
      <c r="CS143">
        <v>1.00130378096479</v>
      </c>
      <c r="CT143" t="s">
        <v>441</v>
      </c>
      <c r="CU143">
        <v>2</v>
      </c>
      <c r="CV143">
        <v>1.12561983471074</v>
      </c>
      <c r="CW143" t="s">
        <v>460</v>
      </c>
      <c r="CX143">
        <v>3</v>
      </c>
      <c r="CY143">
        <v>0.97569866342648803</v>
      </c>
      <c r="CZ143" t="s">
        <v>446</v>
      </c>
      <c r="DA143">
        <v>3</v>
      </c>
      <c r="DB143">
        <v>0.95880149812733995</v>
      </c>
      <c r="DC143" t="s">
        <v>441</v>
      </c>
      <c r="DD143">
        <v>2</v>
      </c>
      <c r="DE143">
        <v>0.99059561128526596</v>
      </c>
      <c r="DF143" t="s">
        <v>454</v>
      </c>
      <c r="DG143">
        <v>2</v>
      </c>
      <c r="DH143">
        <v>1.34575569358178</v>
      </c>
    </row>
    <row r="144" spans="1:112" x14ac:dyDescent="0.4">
      <c r="A144">
        <v>142</v>
      </c>
      <c r="B144" t="s">
        <v>415</v>
      </c>
      <c r="C144">
        <v>3</v>
      </c>
      <c r="D144">
        <v>0.91497975708502</v>
      </c>
      <c r="E144" t="s">
        <v>364</v>
      </c>
      <c r="F144">
        <v>2</v>
      </c>
      <c r="G144">
        <v>0.84634146341463401</v>
      </c>
      <c r="H144" t="s">
        <v>368</v>
      </c>
      <c r="I144">
        <v>2</v>
      </c>
      <c r="J144">
        <v>0.423208191126279</v>
      </c>
      <c r="K144" t="s">
        <v>365</v>
      </c>
      <c r="L144">
        <v>2</v>
      </c>
      <c r="M144">
        <v>0.92041931005851096</v>
      </c>
      <c r="N144" t="s">
        <v>368</v>
      </c>
      <c r="O144">
        <v>2</v>
      </c>
      <c r="P144">
        <v>1.1807432432432401</v>
      </c>
      <c r="Q144" t="s">
        <v>381</v>
      </c>
      <c r="R144">
        <v>2</v>
      </c>
      <c r="S144">
        <v>0.96612516152852101</v>
      </c>
      <c r="T144" t="s">
        <v>381</v>
      </c>
      <c r="U144">
        <v>2</v>
      </c>
      <c r="V144">
        <v>0.91881150281838098</v>
      </c>
      <c r="W144" t="s">
        <v>303</v>
      </c>
      <c r="X144">
        <v>2</v>
      </c>
      <c r="Y144">
        <v>1.00645446085566</v>
      </c>
      <c r="Z144" t="s">
        <v>384</v>
      </c>
      <c r="AA144">
        <v>3</v>
      </c>
      <c r="AB144">
        <v>0.99134377576257204</v>
      </c>
      <c r="AC144" t="s">
        <v>377</v>
      </c>
      <c r="AD144">
        <v>2</v>
      </c>
      <c r="AE144">
        <v>0.96395348837209305</v>
      </c>
      <c r="AF144" t="s">
        <v>387</v>
      </c>
      <c r="AG144">
        <v>2</v>
      </c>
      <c r="AH144">
        <v>0.88188976377952699</v>
      </c>
      <c r="AI144" t="s">
        <v>374</v>
      </c>
      <c r="AJ144">
        <v>2</v>
      </c>
      <c r="AK144">
        <v>0.87715930902111305</v>
      </c>
      <c r="AL144" t="s">
        <v>308</v>
      </c>
      <c r="AM144">
        <v>2</v>
      </c>
      <c r="AN144">
        <v>0.86956521739130399</v>
      </c>
      <c r="AO144" t="s">
        <v>323</v>
      </c>
      <c r="AP144">
        <v>2</v>
      </c>
      <c r="AQ144">
        <v>0.95462478184991195</v>
      </c>
      <c r="AR144" t="s">
        <v>314</v>
      </c>
      <c r="AS144">
        <v>2</v>
      </c>
      <c r="AT144">
        <v>0.47460716759633897</v>
      </c>
      <c r="AU144" t="s">
        <v>412</v>
      </c>
      <c r="AV144">
        <v>3</v>
      </c>
      <c r="AW144">
        <v>1.1566390041493699</v>
      </c>
      <c r="AX144" t="s">
        <v>402</v>
      </c>
      <c r="AY144">
        <v>1</v>
      </c>
      <c r="AZ144">
        <v>0.57510019855377004</v>
      </c>
      <c r="BA144" t="s">
        <v>407</v>
      </c>
      <c r="BB144">
        <v>3</v>
      </c>
      <c r="BC144">
        <v>0.99248120300751796</v>
      </c>
      <c r="BD144" t="s">
        <v>333</v>
      </c>
      <c r="BE144">
        <v>1</v>
      </c>
      <c r="BF144">
        <v>1.0959302325581299</v>
      </c>
      <c r="BG144" t="s">
        <v>418</v>
      </c>
      <c r="BH144">
        <v>2</v>
      </c>
      <c r="BI144">
        <v>1.0350241545893699</v>
      </c>
      <c r="BJ144" t="s">
        <v>407</v>
      </c>
      <c r="BK144">
        <v>3</v>
      </c>
      <c r="BL144">
        <v>1.35409252669039</v>
      </c>
      <c r="BM144" t="s">
        <v>417</v>
      </c>
      <c r="BN144">
        <v>2</v>
      </c>
      <c r="BO144">
        <v>1.14089347079037</v>
      </c>
      <c r="BP144" t="s">
        <v>421</v>
      </c>
      <c r="BQ144">
        <v>3</v>
      </c>
      <c r="BR144">
        <v>1.0143709753415999</v>
      </c>
      <c r="BS144" t="s">
        <v>343</v>
      </c>
      <c r="BT144">
        <v>1</v>
      </c>
      <c r="BU144">
        <v>1.05792682926829</v>
      </c>
      <c r="BV144" t="s">
        <v>420</v>
      </c>
      <c r="BW144">
        <v>1</v>
      </c>
      <c r="BX144">
        <v>1.11498973305954</v>
      </c>
      <c r="BY144" t="s">
        <v>419</v>
      </c>
      <c r="BZ144">
        <v>1</v>
      </c>
      <c r="CA144">
        <v>0.85991058122205599</v>
      </c>
      <c r="CB144" t="s">
        <v>423</v>
      </c>
      <c r="CC144">
        <v>3</v>
      </c>
      <c r="CD144">
        <v>1.1769447047797501</v>
      </c>
      <c r="CE144" t="s">
        <v>417</v>
      </c>
      <c r="CF144">
        <v>2</v>
      </c>
      <c r="CG144">
        <v>0.83828382838283799</v>
      </c>
      <c r="CH144" t="s">
        <v>423</v>
      </c>
      <c r="CI144">
        <v>3</v>
      </c>
      <c r="CJ144">
        <v>1.2900358422939</v>
      </c>
      <c r="CK144" t="s">
        <v>436</v>
      </c>
      <c r="CL144">
        <v>3</v>
      </c>
      <c r="CM144">
        <v>0.97714285714285698</v>
      </c>
      <c r="CN144" t="s">
        <v>430</v>
      </c>
      <c r="CO144">
        <v>3</v>
      </c>
      <c r="CP144">
        <v>1.0977995110024401</v>
      </c>
      <c r="CQ144" t="s">
        <v>423</v>
      </c>
      <c r="CR144">
        <v>2</v>
      </c>
      <c r="CS144">
        <v>1.15544569993722</v>
      </c>
      <c r="CT144" t="s">
        <v>446</v>
      </c>
      <c r="CU144">
        <v>3</v>
      </c>
      <c r="CV144">
        <v>1.05223880597014</v>
      </c>
      <c r="CW144" t="s">
        <v>464</v>
      </c>
      <c r="CX144">
        <v>3</v>
      </c>
      <c r="CY144">
        <v>1.3410553410553401</v>
      </c>
      <c r="CZ144" t="s">
        <v>457</v>
      </c>
      <c r="DA144">
        <v>1</v>
      </c>
      <c r="DB144">
        <v>0.99875311720698201</v>
      </c>
      <c r="DC144" t="s">
        <v>446</v>
      </c>
      <c r="DD144">
        <v>3</v>
      </c>
      <c r="DE144">
        <v>1.01953125</v>
      </c>
      <c r="DF144" t="s">
        <v>456</v>
      </c>
      <c r="DG144">
        <v>2</v>
      </c>
      <c r="DH144">
        <v>1.1116279069767401</v>
      </c>
    </row>
    <row r="145" spans="1:112" x14ac:dyDescent="0.4">
      <c r="A145">
        <v>143</v>
      </c>
      <c r="B145" t="s">
        <v>364</v>
      </c>
      <c r="C145">
        <v>2</v>
      </c>
      <c r="D145">
        <v>0.82</v>
      </c>
      <c r="E145" t="s">
        <v>366</v>
      </c>
      <c r="F145">
        <v>3</v>
      </c>
      <c r="G145">
        <v>0.84567126725219499</v>
      </c>
      <c r="H145" t="s">
        <v>372</v>
      </c>
      <c r="I145">
        <v>3</v>
      </c>
      <c r="J145">
        <v>0.75324675324675305</v>
      </c>
      <c r="K145" t="s">
        <v>367</v>
      </c>
      <c r="L145">
        <v>2</v>
      </c>
      <c r="M145">
        <v>1.5635917030567601</v>
      </c>
      <c r="N145" t="s">
        <v>372</v>
      </c>
      <c r="O145">
        <v>3</v>
      </c>
      <c r="P145">
        <v>1.4459459459459401</v>
      </c>
      <c r="Q145" t="s">
        <v>389</v>
      </c>
      <c r="R145">
        <v>2</v>
      </c>
      <c r="S145">
        <v>0.98805460750853202</v>
      </c>
      <c r="T145" t="s">
        <v>384</v>
      </c>
      <c r="U145">
        <v>3</v>
      </c>
      <c r="V145">
        <v>0.97466063348416199</v>
      </c>
      <c r="W145" t="s">
        <v>289</v>
      </c>
      <c r="X145">
        <v>2</v>
      </c>
      <c r="Y145">
        <v>0.81803005008347196</v>
      </c>
      <c r="Z145" t="s">
        <v>389</v>
      </c>
      <c r="AA145">
        <v>2</v>
      </c>
      <c r="AB145">
        <v>0.95667870036100999</v>
      </c>
      <c r="AC145" t="s">
        <v>381</v>
      </c>
      <c r="AD145">
        <v>2</v>
      </c>
      <c r="AE145">
        <v>0.97277621122789004</v>
      </c>
      <c r="AF145" t="s">
        <v>390</v>
      </c>
      <c r="AG145">
        <v>3</v>
      </c>
      <c r="AH145">
        <v>1.57531130268199</v>
      </c>
      <c r="AI145" t="s">
        <v>375</v>
      </c>
      <c r="AJ145">
        <v>2</v>
      </c>
      <c r="AK145">
        <v>0.83725135623869795</v>
      </c>
      <c r="AL145" t="s">
        <v>403</v>
      </c>
      <c r="AM145">
        <v>3</v>
      </c>
      <c r="AN145">
        <v>1.252</v>
      </c>
      <c r="AO145" t="s">
        <v>410</v>
      </c>
      <c r="AP145">
        <v>3</v>
      </c>
      <c r="AQ145">
        <v>0.98663697104676995</v>
      </c>
      <c r="AR145" t="s">
        <v>323</v>
      </c>
      <c r="AS145">
        <v>2</v>
      </c>
      <c r="AT145">
        <v>1.10237659963436</v>
      </c>
      <c r="AU145" t="s">
        <v>402</v>
      </c>
      <c r="AV145">
        <v>1</v>
      </c>
      <c r="AW145">
        <v>1.31542010752092</v>
      </c>
      <c r="AX145" t="s">
        <v>329</v>
      </c>
      <c r="AY145">
        <v>2</v>
      </c>
      <c r="AZ145">
        <v>1.0528301886792399</v>
      </c>
      <c r="BA145" t="s">
        <v>408</v>
      </c>
      <c r="BB145">
        <v>3</v>
      </c>
      <c r="BC145">
        <v>0.98281417830289997</v>
      </c>
      <c r="BD145" t="s">
        <v>407</v>
      </c>
      <c r="BE145">
        <v>3</v>
      </c>
      <c r="BF145">
        <v>1.0707070707070701</v>
      </c>
      <c r="BG145" t="s">
        <v>419</v>
      </c>
      <c r="BH145">
        <v>1</v>
      </c>
      <c r="BI145">
        <v>1.0787207872078699</v>
      </c>
      <c r="BJ145" t="s">
        <v>417</v>
      </c>
      <c r="BK145">
        <v>2</v>
      </c>
      <c r="BL145">
        <v>1.2597402597402501</v>
      </c>
      <c r="BM145" t="s">
        <v>418</v>
      </c>
      <c r="BN145">
        <v>2</v>
      </c>
      <c r="BO145">
        <v>0.88209219858155996</v>
      </c>
      <c r="BP145" t="s">
        <v>435</v>
      </c>
      <c r="BQ145">
        <v>3</v>
      </c>
      <c r="BR145">
        <v>0.98278145695364205</v>
      </c>
      <c r="BS145" t="s">
        <v>423</v>
      </c>
      <c r="BT145">
        <v>3</v>
      </c>
      <c r="BU145">
        <v>0.80416989271098305</v>
      </c>
      <c r="BV145" t="s">
        <v>421</v>
      </c>
      <c r="BW145">
        <v>3</v>
      </c>
      <c r="BX145">
        <v>1.24407078935751</v>
      </c>
      <c r="BY145" t="s">
        <v>435</v>
      </c>
      <c r="BZ145">
        <v>3</v>
      </c>
      <c r="CA145">
        <v>1.3826998689384</v>
      </c>
      <c r="CB145" t="s">
        <v>424</v>
      </c>
      <c r="CC145">
        <v>2</v>
      </c>
      <c r="CD145">
        <v>1.0268500114047301</v>
      </c>
      <c r="CE145" t="s">
        <v>418</v>
      </c>
      <c r="CF145">
        <v>2</v>
      </c>
      <c r="CG145">
        <v>0.86990595611285204</v>
      </c>
      <c r="CH145" t="s">
        <v>424</v>
      </c>
      <c r="CI145">
        <v>2</v>
      </c>
      <c r="CJ145">
        <v>1.18057799875699</v>
      </c>
      <c r="CK145" t="s">
        <v>440</v>
      </c>
      <c r="CL145">
        <v>2</v>
      </c>
      <c r="CM145">
        <v>1.05570291777188</v>
      </c>
      <c r="CN145" t="s">
        <v>433</v>
      </c>
      <c r="CO145">
        <v>1</v>
      </c>
      <c r="CP145">
        <v>1.0480404551200999</v>
      </c>
      <c r="CQ145" t="s">
        <v>426</v>
      </c>
      <c r="CR145">
        <v>1</v>
      </c>
      <c r="CS145">
        <v>0.59620991253644295</v>
      </c>
      <c r="CT145" t="s">
        <v>457</v>
      </c>
      <c r="CU145">
        <v>1</v>
      </c>
      <c r="CV145">
        <v>1.0746089049338099</v>
      </c>
      <c r="CW145" t="s">
        <v>463</v>
      </c>
      <c r="CX145">
        <v>1</v>
      </c>
      <c r="CY145">
        <v>0.94274809160305295</v>
      </c>
      <c r="CZ145" t="s">
        <v>452</v>
      </c>
      <c r="DA145">
        <v>2</v>
      </c>
      <c r="DB145">
        <v>1.07739938080495</v>
      </c>
      <c r="DC145" t="s">
        <v>458</v>
      </c>
      <c r="DD145">
        <v>1</v>
      </c>
      <c r="DE145">
        <v>0.92037037037036995</v>
      </c>
      <c r="DF145" t="s">
        <v>460</v>
      </c>
      <c r="DG145">
        <v>3</v>
      </c>
      <c r="DH145">
        <v>0.96090794451450101</v>
      </c>
    </row>
    <row r="146" spans="1:112" x14ac:dyDescent="0.4">
      <c r="A146">
        <v>144</v>
      </c>
      <c r="B146" t="s">
        <v>366</v>
      </c>
      <c r="C146">
        <v>3</v>
      </c>
      <c r="D146">
        <v>1.0770270270270199</v>
      </c>
      <c r="E146" t="s">
        <v>376</v>
      </c>
      <c r="F146">
        <v>2</v>
      </c>
      <c r="G146">
        <v>0.96451612903225803</v>
      </c>
      <c r="H146" t="s">
        <v>365</v>
      </c>
      <c r="I146">
        <v>2</v>
      </c>
      <c r="J146">
        <v>0.51607222962432298</v>
      </c>
      <c r="K146" t="s">
        <v>369</v>
      </c>
      <c r="L146">
        <v>3</v>
      </c>
      <c r="M146">
        <v>1.2129629629629599</v>
      </c>
      <c r="N146" t="s">
        <v>282</v>
      </c>
      <c r="O146">
        <v>1</v>
      </c>
      <c r="P146">
        <v>1.04857142857142</v>
      </c>
      <c r="Q146" t="s">
        <v>387</v>
      </c>
      <c r="R146">
        <v>2</v>
      </c>
      <c r="S146">
        <v>1.22977346278317</v>
      </c>
      <c r="T146" t="s">
        <v>389</v>
      </c>
      <c r="U146">
        <v>2</v>
      </c>
      <c r="V146">
        <v>1</v>
      </c>
      <c r="W146" t="s">
        <v>377</v>
      </c>
      <c r="X146">
        <v>2</v>
      </c>
      <c r="Y146">
        <v>0.99393939393939301</v>
      </c>
      <c r="Z146" t="s">
        <v>387</v>
      </c>
      <c r="AA146">
        <v>2</v>
      </c>
      <c r="AB146">
        <v>1.0437956204379499</v>
      </c>
      <c r="AC146" t="s">
        <v>384</v>
      </c>
      <c r="AD146">
        <v>3</v>
      </c>
      <c r="AE146">
        <v>1.0087318087318</v>
      </c>
      <c r="AF146" t="s">
        <v>395</v>
      </c>
      <c r="AG146">
        <v>1</v>
      </c>
      <c r="AH146">
        <v>1.21879021879021</v>
      </c>
      <c r="AI146" t="s">
        <v>381</v>
      </c>
      <c r="AJ146">
        <v>2</v>
      </c>
      <c r="AK146">
        <v>0.93975934925543803</v>
      </c>
      <c r="AL146" t="s">
        <v>396</v>
      </c>
      <c r="AM146">
        <v>1</v>
      </c>
      <c r="AN146">
        <v>1.12426035502958</v>
      </c>
      <c r="AO146" t="s">
        <v>402</v>
      </c>
      <c r="AP146">
        <v>1</v>
      </c>
      <c r="AQ146">
        <v>1.0667497960251799</v>
      </c>
      <c r="AR146" t="s">
        <v>410</v>
      </c>
      <c r="AS146">
        <v>3</v>
      </c>
      <c r="AT146">
        <v>0.77652370203160204</v>
      </c>
      <c r="AU146" t="s">
        <v>409</v>
      </c>
      <c r="AV146">
        <v>2</v>
      </c>
      <c r="AW146">
        <v>1.07420357420357</v>
      </c>
      <c r="AX146" t="s">
        <v>404</v>
      </c>
      <c r="AY146">
        <v>1</v>
      </c>
      <c r="AZ146">
        <v>0.78394332939787403</v>
      </c>
      <c r="BA146" t="s">
        <v>416</v>
      </c>
      <c r="BB146">
        <v>1</v>
      </c>
      <c r="BC146">
        <v>1.39963167587476</v>
      </c>
      <c r="BD146" t="s">
        <v>417</v>
      </c>
      <c r="BE146">
        <v>2</v>
      </c>
      <c r="BF146">
        <v>0.90118577075098805</v>
      </c>
      <c r="BG146" t="s">
        <v>428</v>
      </c>
      <c r="BH146">
        <v>3</v>
      </c>
      <c r="BI146">
        <v>1.21333333333333</v>
      </c>
      <c r="BJ146" t="s">
        <v>418</v>
      </c>
      <c r="BK146">
        <v>2</v>
      </c>
      <c r="BL146">
        <v>1.31621936989498</v>
      </c>
      <c r="BM146" t="s">
        <v>421</v>
      </c>
      <c r="BN146">
        <v>3</v>
      </c>
      <c r="BO146">
        <v>1.0182719603374499</v>
      </c>
      <c r="BP146" t="s">
        <v>343</v>
      </c>
      <c r="BQ146">
        <v>1</v>
      </c>
      <c r="BR146">
        <v>1.2227399813606701</v>
      </c>
      <c r="BS146" t="s">
        <v>424</v>
      </c>
      <c r="BT146">
        <v>2</v>
      </c>
      <c r="BU146">
        <v>1.0720242608036299</v>
      </c>
      <c r="BV146" t="s">
        <v>435</v>
      </c>
      <c r="BW146">
        <v>3</v>
      </c>
      <c r="BX146">
        <v>0.97073791348600502</v>
      </c>
      <c r="BY146" t="s">
        <v>343</v>
      </c>
      <c r="BZ146">
        <v>1</v>
      </c>
      <c r="CA146">
        <v>0.967409948542024</v>
      </c>
      <c r="CB146" t="s">
        <v>426</v>
      </c>
      <c r="CC146">
        <v>1</v>
      </c>
      <c r="CD146">
        <v>0.88185654008438796</v>
      </c>
      <c r="CE146" t="s">
        <v>419</v>
      </c>
      <c r="CF146">
        <v>1</v>
      </c>
      <c r="CG146">
        <v>1.1130268199233699</v>
      </c>
      <c r="CH146" t="s">
        <v>430</v>
      </c>
      <c r="CI146">
        <v>3</v>
      </c>
      <c r="CJ146">
        <v>1.1928897772701299</v>
      </c>
      <c r="CK146" t="s">
        <v>441</v>
      </c>
      <c r="CL146">
        <v>2</v>
      </c>
      <c r="CM146">
        <v>0.73684210526315697</v>
      </c>
      <c r="CN146" t="s">
        <v>436</v>
      </c>
      <c r="CO146">
        <v>3</v>
      </c>
      <c r="CP146">
        <v>0.93567251461988299</v>
      </c>
      <c r="CQ146" t="s">
        <v>433</v>
      </c>
      <c r="CR146">
        <v>1</v>
      </c>
      <c r="CS146">
        <v>0.91556091676718898</v>
      </c>
      <c r="CT146" t="s">
        <v>452</v>
      </c>
      <c r="CU146">
        <v>2</v>
      </c>
      <c r="CV146">
        <v>1.0401785714285701</v>
      </c>
      <c r="CW146" t="s">
        <v>466</v>
      </c>
      <c r="CX146">
        <v>3</v>
      </c>
      <c r="CY146">
        <v>0.82515337423312796</v>
      </c>
      <c r="CZ146" t="s">
        <v>454</v>
      </c>
      <c r="DA146">
        <v>2</v>
      </c>
      <c r="DB146">
        <v>1.03977272727272</v>
      </c>
      <c r="DC146" t="s">
        <v>457</v>
      </c>
      <c r="DD146">
        <v>1</v>
      </c>
      <c r="DE146">
        <v>1.1835205992509299</v>
      </c>
      <c r="DF146" t="s">
        <v>473</v>
      </c>
      <c r="DG146">
        <v>3</v>
      </c>
      <c r="DH146">
        <v>1.1768488745980701</v>
      </c>
    </row>
    <row r="147" spans="1:112" x14ac:dyDescent="0.4">
      <c r="A147">
        <v>145</v>
      </c>
      <c r="B147" t="s">
        <v>376</v>
      </c>
      <c r="C147">
        <v>2</v>
      </c>
      <c r="D147">
        <v>1.1118313023939099</v>
      </c>
      <c r="E147" t="s">
        <v>289</v>
      </c>
      <c r="F147">
        <v>2</v>
      </c>
      <c r="G147">
        <v>0.92896174863387904</v>
      </c>
      <c r="H147" t="s">
        <v>367</v>
      </c>
      <c r="I147">
        <v>2</v>
      </c>
      <c r="J147">
        <v>0.65137777777777695</v>
      </c>
      <c r="K147" t="s">
        <v>364</v>
      </c>
      <c r="L147">
        <v>2</v>
      </c>
      <c r="M147">
        <v>1.17737789203084</v>
      </c>
      <c r="N147" t="s">
        <v>365</v>
      </c>
      <c r="O147">
        <v>2</v>
      </c>
      <c r="P147">
        <v>1.86089224046796</v>
      </c>
      <c r="Q147" t="s">
        <v>395</v>
      </c>
      <c r="R147">
        <v>1</v>
      </c>
      <c r="S147">
        <v>1.1854166666666599</v>
      </c>
      <c r="T147" t="s">
        <v>387</v>
      </c>
      <c r="U147">
        <v>2</v>
      </c>
      <c r="V147">
        <v>1.34649122807017</v>
      </c>
      <c r="W147" t="s">
        <v>374</v>
      </c>
      <c r="X147">
        <v>2</v>
      </c>
      <c r="Y147">
        <v>1.05833333333333</v>
      </c>
      <c r="Z147" t="s">
        <v>390</v>
      </c>
      <c r="AA147">
        <v>3</v>
      </c>
      <c r="AB147">
        <v>1.0907662557408699</v>
      </c>
      <c r="AC147" t="s">
        <v>389</v>
      </c>
      <c r="AD147">
        <v>2</v>
      </c>
      <c r="AE147">
        <v>1.0245283018867899</v>
      </c>
      <c r="AF147" t="s">
        <v>308</v>
      </c>
      <c r="AG147">
        <v>2</v>
      </c>
      <c r="AH147">
        <v>1.0596627756160799</v>
      </c>
      <c r="AI147" t="s">
        <v>384</v>
      </c>
      <c r="AJ147">
        <v>3</v>
      </c>
      <c r="AK147">
        <v>1.0960960960960899</v>
      </c>
      <c r="AL147" t="s">
        <v>397</v>
      </c>
      <c r="AM147">
        <v>2</v>
      </c>
      <c r="AN147">
        <v>1.0327272727272701</v>
      </c>
      <c r="AO147" t="s">
        <v>329</v>
      </c>
      <c r="AP147">
        <v>2</v>
      </c>
      <c r="AQ147">
        <v>0.93346774193548299</v>
      </c>
      <c r="AR147" t="s">
        <v>402</v>
      </c>
      <c r="AS147">
        <v>1</v>
      </c>
      <c r="AT147">
        <v>0.69434543136830396</v>
      </c>
      <c r="AU147" t="s">
        <v>329</v>
      </c>
      <c r="AV147">
        <v>2</v>
      </c>
      <c r="AW147">
        <v>1.0621242484969899</v>
      </c>
      <c r="AX147" t="s">
        <v>333</v>
      </c>
      <c r="AY147">
        <v>1</v>
      </c>
      <c r="AZ147">
        <v>0.85736196319018398</v>
      </c>
      <c r="BA147" t="s">
        <v>418</v>
      </c>
      <c r="BB147">
        <v>2</v>
      </c>
      <c r="BC147">
        <v>0.98458376156217797</v>
      </c>
      <c r="BD147" t="s">
        <v>418</v>
      </c>
      <c r="BE147">
        <v>2</v>
      </c>
      <c r="BF147">
        <v>0.86430062630480098</v>
      </c>
      <c r="BG147" t="s">
        <v>343</v>
      </c>
      <c r="BH147">
        <v>1</v>
      </c>
      <c r="BI147">
        <v>0.91199018301291701</v>
      </c>
      <c r="BJ147" t="s">
        <v>428</v>
      </c>
      <c r="BK147">
        <v>3</v>
      </c>
      <c r="BL147">
        <v>1.3598901098901099</v>
      </c>
      <c r="BM147" t="s">
        <v>343</v>
      </c>
      <c r="BN147">
        <v>1</v>
      </c>
      <c r="BO147">
        <v>0.99819524810687099</v>
      </c>
      <c r="BP147" t="s">
        <v>423</v>
      </c>
      <c r="BQ147">
        <v>3</v>
      </c>
      <c r="BR147">
        <v>1.03514998855049</v>
      </c>
      <c r="BS147" t="s">
        <v>430</v>
      </c>
      <c r="BT147">
        <v>3</v>
      </c>
      <c r="BU147">
        <v>1.0454096742349399</v>
      </c>
      <c r="BV147" t="s">
        <v>343</v>
      </c>
      <c r="BW147">
        <v>1</v>
      </c>
      <c r="BX147">
        <v>0.84005763688760804</v>
      </c>
      <c r="BY147" t="s">
        <v>423</v>
      </c>
      <c r="BZ147">
        <v>3</v>
      </c>
      <c r="CA147">
        <v>1.0831021181565901</v>
      </c>
      <c r="CB147" t="s">
        <v>433</v>
      </c>
      <c r="CC147">
        <v>1</v>
      </c>
      <c r="CD147">
        <v>0.94476190476190403</v>
      </c>
      <c r="CE147" t="s">
        <v>343</v>
      </c>
      <c r="CF147">
        <v>1</v>
      </c>
      <c r="CG147">
        <v>0.73739130434782596</v>
      </c>
      <c r="CH147" t="s">
        <v>433</v>
      </c>
      <c r="CI147">
        <v>1</v>
      </c>
      <c r="CJ147">
        <v>0.95881006864988505</v>
      </c>
      <c r="CK147" t="s">
        <v>446</v>
      </c>
      <c r="CL147">
        <v>3</v>
      </c>
      <c r="CM147">
        <v>0.96206373292867897</v>
      </c>
      <c r="CN147" t="s">
        <v>440</v>
      </c>
      <c r="CO147">
        <v>2</v>
      </c>
      <c r="CP147">
        <v>0.75376884422110502</v>
      </c>
      <c r="CQ147" t="s">
        <v>440</v>
      </c>
      <c r="CR147">
        <v>2</v>
      </c>
      <c r="CS147">
        <v>0.87</v>
      </c>
      <c r="CT147" t="s">
        <v>454</v>
      </c>
      <c r="CU147">
        <v>2</v>
      </c>
      <c r="CV147">
        <v>0.971857410881801</v>
      </c>
      <c r="CW147" t="s">
        <v>465</v>
      </c>
      <c r="CX147">
        <v>3</v>
      </c>
      <c r="CY147">
        <v>1.0221932114882499</v>
      </c>
      <c r="CZ147" t="s">
        <v>456</v>
      </c>
      <c r="DA147">
        <v>2</v>
      </c>
      <c r="DB147">
        <v>1.0044247787610601</v>
      </c>
      <c r="DC147" t="s">
        <v>452</v>
      </c>
      <c r="DD147">
        <v>2</v>
      </c>
      <c r="DE147">
        <v>0.95545977011494199</v>
      </c>
      <c r="DF147" t="s">
        <v>463</v>
      </c>
      <c r="DG147">
        <v>1</v>
      </c>
      <c r="DH147">
        <v>1.3135135135135101</v>
      </c>
    </row>
    <row r="148" spans="1:112" x14ac:dyDescent="0.4">
      <c r="A148">
        <v>146</v>
      </c>
      <c r="B148" t="s">
        <v>289</v>
      </c>
      <c r="C148">
        <v>2</v>
      </c>
      <c r="D148">
        <v>1.1037394451145901</v>
      </c>
      <c r="E148" t="s">
        <v>295</v>
      </c>
      <c r="F148">
        <v>1</v>
      </c>
      <c r="G148">
        <v>0.98525798525798503</v>
      </c>
      <c r="H148" t="s">
        <v>364</v>
      </c>
      <c r="I148">
        <v>2</v>
      </c>
      <c r="J148">
        <v>0.56051873198847202</v>
      </c>
      <c r="K148" t="s">
        <v>376</v>
      </c>
      <c r="L148">
        <v>2</v>
      </c>
      <c r="M148">
        <v>0.95387025060630504</v>
      </c>
      <c r="N148" t="s">
        <v>367</v>
      </c>
      <c r="O148">
        <v>2</v>
      </c>
      <c r="P148">
        <v>1.1410368301623299</v>
      </c>
      <c r="Q148" t="s">
        <v>308</v>
      </c>
      <c r="R148">
        <v>2</v>
      </c>
      <c r="S148">
        <v>1.0341880341880301</v>
      </c>
      <c r="T148" t="s">
        <v>390</v>
      </c>
      <c r="U148">
        <v>3</v>
      </c>
      <c r="V148">
        <v>0.90546197039305698</v>
      </c>
      <c r="W148" t="s">
        <v>375</v>
      </c>
      <c r="X148">
        <v>2</v>
      </c>
      <c r="Y148">
        <v>1.0173775671406</v>
      </c>
      <c r="Z148" t="s">
        <v>395</v>
      </c>
      <c r="AA148">
        <v>1</v>
      </c>
      <c r="AB148">
        <v>1.0141065830721001</v>
      </c>
      <c r="AC148" t="s">
        <v>387</v>
      </c>
      <c r="AD148">
        <v>2</v>
      </c>
      <c r="AE148">
        <v>1.3321678321678301</v>
      </c>
      <c r="AF148" t="s">
        <v>396</v>
      </c>
      <c r="AG148">
        <v>1</v>
      </c>
      <c r="AH148">
        <v>1.11724137931034</v>
      </c>
      <c r="AI148" t="s">
        <v>389</v>
      </c>
      <c r="AJ148">
        <v>2</v>
      </c>
      <c r="AK148">
        <v>0.94098883572567704</v>
      </c>
      <c r="AL148" t="s">
        <v>310</v>
      </c>
      <c r="AM148">
        <v>2</v>
      </c>
      <c r="AN148">
        <v>1.07368421052631</v>
      </c>
      <c r="AO148" t="s">
        <v>404</v>
      </c>
      <c r="AP148">
        <v>1</v>
      </c>
      <c r="AQ148">
        <v>0.95555555555555505</v>
      </c>
      <c r="AR148" t="s">
        <v>329</v>
      </c>
      <c r="AS148">
        <v>2</v>
      </c>
      <c r="AT148">
        <v>1.07775377969762</v>
      </c>
      <c r="AU148" t="s">
        <v>404</v>
      </c>
      <c r="AV148">
        <v>1</v>
      </c>
      <c r="AW148">
        <v>1.0431034482758601</v>
      </c>
      <c r="AX148" t="s">
        <v>407</v>
      </c>
      <c r="AY148">
        <v>2</v>
      </c>
      <c r="AZ148">
        <v>0.76730769230769202</v>
      </c>
      <c r="BA148" t="s">
        <v>428</v>
      </c>
      <c r="BB148">
        <v>3</v>
      </c>
      <c r="BC148">
        <v>0.98059244126659795</v>
      </c>
      <c r="BD148" t="s">
        <v>428</v>
      </c>
      <c r="BE148">
        <v>3</v>
      </c>
      <c r="BF148">
        <v>1.25</v>
      </c>
      <c r="BG148" t="s">
        <v>423</v>
      </c>
      <c r="BH148">
        <v>3</v>
      </c>
      <c r="BI148">
        <v>1.10270208381039</v>
      </c>
      <c r="BJ148" t="s">
        <v>435</v>
      </c>
      <c r="BK148">
        <v>3</v>
      </c>
      <c r="BL148">
        <v>1.32450331125827</v>
      </c>
      <c r="BM148" t="s">
        <v>423</v>
      </c>
      <c r="BN148">
        <v>3</v>
      </c>
      <c r="BO148">
        <v>1.11780892045818</v>
      </c>
      <c r="BP148" t="s">
        <v>424</v>
      </c>
      <c r="BQ148">
        <v>2</v>
      </c>
      <c r="BR148">
        <v>1.10796521395394</v>
      </c>
      <c r="BS148" t="s">
        <v>455</v>
      </c>
      <c r="BT148">
        <v>1</v>
      </c>
      <c r="BU148">
        <v>0.95252461098761498</v>
      </c>
      <c r="BV148" t="s">
        <v>423</v>
      </c>
      <c r="BW148">
        <v>3</v>
      </c>
      <c r="BX148">
        <v>1.0162299704284401</v>
      </c>
      <c r="BY148" t="s">
        <v>424</v>
      </c>
      <c r="BZ148">
        <v>2</v>
      </c>
      <c r="CA148">
        <v>1.13865390323538</v>
      </c>
      <c r="CB148" t="s">
        <v>440</v>
      </c>
      <c r="CC148">
        <v>2</v>
      </c>
      <c r="CD148">
        <v>1.02424242424242</v>
      </c>
      <c r="CE148" t="s">
        <v>423</v>
      </c>
      <c r="CF148">
        <v>3</v>
      </c>
      <c r="CG148">
        <v>1.1108456760630601</v>
      </c>
      <c r="CH148" t="s">
        <v>440</v>
      </c>
      <c r="CI148">
        <v>2</v>
      </c>
      <c r="CJ148">
        <v>1.25249169435215</v>
      </c>
      <c r="CK148" t="s">
        <v>452</v>
      </c>
      <c r="CL148">
        <v>2</v>
      </c>
      <c r="CM148">
        <v>0.79171894604767801</v>
      </c>
      <c r="CN148" t="s">
        <v>441</v>
      </c>
      <c r="CO148">
        <v>2</v>
      </c>
      <c r="CP148">
        <v>1.1111111111111101</v>
      </c>
      <c r="CQ148" t="s">
        <v>441</v>
      </c>
      <c r="CR148">
        <v>2</v>
      </c>
      <c r="CS148">
        <v>1.0803571428571399</v>
      </c>
      <c r="CT148" t="s">
        <v>460</v>
      </c>
      <c r="CU148">
        <v>3</v>
      </c>
      <c r="CV148">
        <v>1.0274656679151</v>
      </c>
      <c r="CW148" t="s">
        <v>467</v>
      </c>
      <c r="CX148">
        <v>2</v>
      </c>
      <c r="CY148">
        <v>1.12616822429906</v>
      </c>
      <c r="CZ148" t="s">
        <v>460</v>
      </c>
      <c r="DA148">
        <v>3</v>
      </c>
      <c r="DB148">
        <v>0.97633872976338698</v>
      </c>
      <c r="DC148" t="s">
        <v>454</v>
      </c>
      <c r="DD148">
        <v>2</v>
      </c>
      <c r="DE148">
        <v>1.0557377049180301</v>
      </c>
      <c r="DF148" t="s">
        <v>480</v>
      </c>
      <c r="DG148">
        <v>2</v>
      </c>
      <c r="DH148">
        <v>1.02403204272363</v>
      </c>
    </row>
    <row r="149" spans="1:112" x14ac:dyDescent="0.4">
      <c r="A149">
        <v>147</v>
      </c>
      <c r="B149" t="s">
        <v>295</v>
      </c>
      <c r="C149">
        <v>1</v>
      </c>
      <c r="D149">
        <v>1.0571428571428501</v>
      </c>
      <c r="E149" t="s">
        <v>398</v>
      </c>
      <c r="F149">
        <v>2</v>
      </c>
      <c r="G149">
        <v>0.86943344709897596</v>
      </c>
      <c r="H149" t="s">
        <v>366</v>
      </c>
      <c r="I149">
        <v>3</v>
      </c>
      <c r="J149">
        <v>0.666172106824925</v>
      </c>
      <c r="K149" t="s">
        <v>303</v>
      </c>
      <c r="L149">
        <v>2</v>
      </c>
      <c r="M149">
        <v>1.7665325879465501</v>
      </c>
      <c r="N149" t="s">
        <v>364</v>
      </c>
      <c r="O149">
        <v>2</v>
      </c>
      <c r="P149">
        <v>1.5502183406113501</v>
      </c>
      <c r="Q149" t="s">
        <v>396</v>
      </c>
      <c r="R149">
        <v>1</v>
      </c>
      <c r="S149">
        <v>1.39462809917355</v>
      </c>
      <c r="T149" t="s">
        <v>395</v>
      </c>
      <c r="U149">
        <v>1</v>
      </c>
      <c r="V149">
        <v>1.2653778558875199</v>
      </c>
      <c r="W149" t="s">
        <v>381</v>
      </c>
      <c r="X149">
        <v>2</v>
      </c>
      <c r="Y149">
        <v>0.87150106059975796</v>
      </c>
      <c r="Z149" t="s">
        <v>308</v>
      </c>
      <c r="AA149">
        <v>2</v>
      </c>
      <c r="AB149">
        <v>1.04</v>
      </c>
      <c r="AC149" t="s">
        <v>390</v>
      </c>
      <c r="AD149">
        <v>3</v>
      </c>
      <c r="AE149">
        <v>0.92542936288088595</v>
      </c>
      <c r="AF149" t="s">
        <v>397</v>
      </c>
      <c r="AG149">
        <v>2</v>
      </c>
      <c r="AH149">
        <v>1.15409836065573</v>
      </c>
      <c r="AI149" t="s">
        <v>387</v>
      </c>
      <c r="AJ149">
        <v>2</v>
      </c>
      <c r="AK149">
        <v>1.06845238095238</v>
      </c>
      <c r="AL149" t="s">
        <v>314</v>
      </c>
      <c r="AM149">
        <v>2</v>
      </c>
      <c r="AN149">
        <v>1.0152783396085501</v>
      </c>
      <c r="AO149" t="s">
        <v>333</v>
      </c>
      <c r="AP149">
        <v>1</v>
      </c>
      <c r="AQ149">
        <v>0.97609561752988006</v>
      </c>
      <c r="AR149" t="s">
        <v>404</v>
      </c>
      <c r="AS149">
        <v>1</v>
      </c>
      <c r="AT149">
        <v>0.78682170542635599</v>
      </c>
      <c r="AU149" t="s">
        <v>333</v>
      </c>
      <c r="AV149">
        <v>1</v>
      </c>
      <c r="AW149">
        <v>0.905555555555555</v>
      </c>
      <c r="AX149" t="s">
        <v>408</v>
      </c>
      <c r="AY149">
        <v>2</v>
      </c>
      <c r="AZ149">
        <v>0.75691056910569099</v>
      </c>
      <c r="BA149" t="s">
        <v>343</v>
      </c>
      <c r="BB149">
        <v>1</v>
      </c>
      <c r="BC149">
        <v>1.3784649254478101</v>
      </c>
      <c r="BD149" t="s">
        <v>343</v>
      </c>
      <c r="BE149">
        <v>1</v>
      </c>
      <c r="BF149">
        <v>1.3754446460980001</v>
      </c>
      <c r="BG149" t="s">
        <v>438</v>
      </c>
      <c r="BH149">
        <v>3</v>
      </c>
      <c r="BI149">
        <v>1.08792497069167</v>
      </c>
      <c r="BJ149" t="s">
        <v>343</v>
      </c>
      <c r="BK149">
        <v>1</v>
      </c>
      <c r="BL149">
        <v>0.77762345009187295</v>
      </c>
      <c r="BM149" t="s">
        <v>426</v>
      </c>
      <c r="BN149">
        <v>1</v>
      </c>
      <c r="BO149">
        <v>1.0383141762452099</v>
      </c>
      <c r="BP149" t="s">
        <v>455</v>
      </c>
      <c r="BQ149">
        <v>1</v>
      </c>
      <c r="BR149">
        <v>1.13970322113644</v>
      </c>
      <c r="BS149" t="s">
        <v>433</v>
      </c>
      <c r="BT149">
        <v>1</v>
      </c>
      <c r="BU149">
        <v>0.99887640449438198</v>
      </c>
      <c r="BV149" t="s">
        <v>424</v>
      </c>
      <c r="BW149">
        <v>2</v>
      </c>
      <c r="BX149">
        <v>1.12122472751476</v>
      </c>
      <c r="BY149" t="s">
        <v>431</v>
      </c>
      <c r="BZ149">
        <v>2</v>
      </c>
      <c r="CA149">
        <v>1.15573770491803</v>
      </c>
      <c r="CB149" t="s">
        <v>448</v>
      </c>
      <c r="CC149">
        <v>2</v>
      </c>
      <c r="CD149">
        <v>1.2173913043478199</v>
      </c>
      <c r="CE149" t="s">
        <v>426</v>
      </c>
      <c r="CF149">
        <v>1</v>
      </c>
      <c r="CG149">
        <v>1.23444976076555</v>
      </c>
      <c r="CH149" t="s">
        <v>462</v>
      </c>
      <c r="CI149">
        <v>3</v>
      </c>
      <c r="CJ149">
        <v>1.9020771513353101</v>
      </c>
      <c r="CK149" t="s">
        <v>456</v>
      </c>
      <c r="CL149">
        <v>2</v>
      </c>
      <c r="CM149">
        <v>1.03125</v>
      </c>
      <c r="CN149" t="s">
        <v>444</v>
      </c>
      <c r="CO149">
        <v>1</v>
      </c>
      <c r="CP149">
        <v>1.2179775280898799</v>
      </c>
      <c r="CQ149" t="s">
        <v>446</v>
      </c>
      <c r="CR149">
        <v>3</v>
      </c>
      <c r="CS149">
        <v>0.878688524590163</v>
      </c>
      <c r="CT149" t="s">
        <v>463</v>
      </c>
      <c r="CU149">
        <v>1</v>
      </c>
      <c r="CV149">
        <v>0.98867924528301798</v>
      </c>
      <c r="CW149" t="s">
        <v>472</v>
      </c>
      <c r="CX149">
        <v>3</v>
      </c>
      <c r="CY149">
        <v>1.1336254107338399</v>
      </c>
      <c r="CZ149" t="s">
        <v>463</v>
      </c>
      <c r="DA149">
        <v>1</v>
      </c>
      <c r="DB149">
        <v>1.1012145748987801</v>
      </c>
      <c r="DC149" t="s">
        <v>456</v>
      </c>
      <c r="DD149">
        <v>2</v>
      </c>
      <c r="DE149">
        <v>0.94713656387665202</v>
      </c>
      <c r="DF149" t="s">
        <v>472</v>
      </c>
      <c r="DG149">
        <v>3</v>
      </c>
      <c r="DH149">
        <v>1.10537190082644</v>
      </c>
    </row>
    <row r="150" spans="1:112" x14ac:dyDescent="0.4">
      <c r="A150">
        <v>148</v>
      </c>
      <c r="B150" t="s">
        <v>398</v>
      </c>
      <c r="C150">
        <v>2</v>
      </c>
      <c r="D150">
        <v>0.96020239624570602</v>
      </c>
      <c r="E150" t="s">
        <v>377</v>
      </c>
      <c r="F150">
        <v>2</v>
      </c>
      <c r="G150">
        <v>0.57999782888513196</v>
      </c>
      <c r="H150" t="s">
        <v>376</v>
      </c>
      <c r="I150">
        <v>2</v>
      </c>
      <c r="J150">
        <v>0.79751783051940195</v>
      </c>
      <c r="K150" t="s">
        <v>289</v>
      </c>
      <c r="L150">
        <v>2</v>
      </c>
      <c r="M150">
        <v>0.72190201729106596</v>
      </c>
      <c r="N150" t="s">
        <v>376</v>
      </c>
      <c r="O150">
        <v>2</v>
      </c>
      <c r="P150">
        <v>1.2473118279569799</v>
      </c>
      <c r="Q150" t="s">
        <v>397</v>
      </c>
      <c r="R150">
        <v>2</v>
      </c>
      <c r="S150">
        <v>0.89474331638510696</v>
      </c>
      <c r="T150" t="s">
        <v>308</v>
      </c>
      <c r="U150">
        <v>2</v>
      </c>
      <c r="V150">
        <v>0.81227863046044801</v>
      </c>
      <c r="W150" t="s">
        <v>389</v>
      </c>
      <c r="X150">
        <v>2</v>
      </c>
      <c r="Y150">
        <v>0.95682210708117399</v>
      </c>
      <c r="Z150" t="s">
        <v>396</v>
      </c>
      <c r="AA150">
        <v>1</v>
      </c>
      <c r="AB150">
        <v>1.00757575757575</v>
      </c>
      <c r="AC150" t="s">
        <v>395</v>
      </c>
      <c r="AD150">
        <v>1</v>
      </c>
      <c r="AE150">
        <v>1.2009273570324499</v>
      </c>
      <c r="AF150" t="s">
        <v>310</v>
      </c>
      <c r="AG150">
        <v>2</v>
      </c>
      <c r="AH150">
        <v>1.02122015915119</v>
      </c>
      <c r="AI150" t="s">
        <v>386</v>
      </c>
      <c r="AJ150">
        <v>3</v>
      </c>
      <c r="AK150">
        <v>1.19248826291079</v>
      </c>
      <c r="AL150" t="s">
        <v>323</v>
      </c>
      <c r="AM150">
        <v>2</v>
      </c>
      <c r="AN150">
        <v>1.01957295373665</v>
      </c>
      <c r="AO150" t="s">
        <v>407</v>
      </c>
      <c r="AP150">
        <v>2</v>
      </c>
      <c r="AQ150">
        <v>0.84011220196353398</v>
      </c>
      <c r="AR150" t="s">
        <v>333</v>
      </c>
      <c r="AS150">
        <v>1</v>
      </c>
      <c r="AT150">
        <v>0.97959183673469297</v>
      </c>
      <c r="AU150" t="s">
        <v>407</v>
      </c>
      <c r="AV150">
        <v>2</v>
      </c>
      <c r="AW150">
        <v>1.25</v>
      </c>
      <c r="AX150" t="s">
        <v>416</v>
      </c>
      <c r="AY150">
        <v>1</v>
      </c>
      <c r="AZ150">
        <v>0.85646687697160795</v>
      </c>
      <c r="BA150" t="s">
        <v>423</v>
      </c>
      <c r="BB150">
        <v>3</v>
      </c>
      <c r="BC150">
        <v>0.88902401945880205</v>
      </c>
      <c r="BD150" t="s">
        <v>423</v>
      </c>
      <c r="BE150">
        <v>3</v>
      </c>
      <c r="BF150">
        <v>0.99566803465572196</v>
      </c>
      <c r="BG150" t="s">
        <v>424</v>
      </c>
      <c r="BH150">
        <v>2</v>
      </c>
      <c r="BI150">
        <v>1.4339602980253201</v>
      </c>
      <c r="BJ150" t="s">
        <v>423</v>
      </c>
      <c r="BK150">
        <v>3</v>
      </c>
      <c r="BL150">
        <v>1.62257294154293</v>
      </c>
      <c r="BM150" t="s">
        <v>430</v>
      </c>
      <c r="BN150">
        <v>3</v>
      </c>
      <c r="BO150">
        <v>1.15991237677984</v>
      </c>
      <c r="BP150" t="s">
        <v>433</v>
      </c>
      <c r="BQ150">
        <v>1</v>
      </c>
      <c r="BR150">
        <v>1.0880195599022</v>
      </c>
      <c r="BS150" t="s">
        <v>440</v>
      </c>
      <c r="BT150">
        <v>2</v>
      </c>
      <c r="BU150">
        <v>1.0225641025640999</v>
      </c>
      <c r="BV150" t="s">
        <v>430</v>
      </c>
      <c r="BW150">
        <v>3</v>
      </c>
      <c r="BX150">
        <v>1.1416430594900799</v>
      </c>
      <c r="BY150" t="s">
        <v>455</v>
      </c>
      <c r="BZ150">
        <v>1</v>
      </c>
      <c r="CA150">
        <v>1.1458333333333299</v>
      </c>
      <c r="CB150" t="s">
        <v>452</v>
      </c>
      <c r="CC150">
        <v>2</v>
      </c>
      <c r="CD150">
        <v>0.86635944700460799</v>
      </c>
      <c r="CE150" t="s">
        <v>430</v>
      </c>
      <c r="CF150">
        <v>3</v>
      </c>
      <c r="CG150">
        <v>1.0408678852727</v>
      </c>
      <c r="CH150" t="s">
        <v>441</v>
      </c>
      <c r="CI150">
        <v>1</v>
      </c>
      <c r="CJ150">
        <v>1.0523076923076899</v>
      </c>
      <c r="CK150" t="s">
        <v>460</v>
      </c>
      <c r="CL150">
        <v>3</v>
      </c>
      <c r="CM150">
        <v>0.84413145539906098</v>
      </c>
      <c r="CN150" t="s">
        <v>446</v>
      </c>
      <c r="CO150">
        <v>3</v>
      </c>
      <c r="CP150">
        <v>0.96214511041009398</v>
      </c>
      <c r="CQ150" t="s">
        <v>452</v>
      </c>
      <c r="CR150">
        <v>2</v>
      </c>
      <c r="CS150">
        <v>1.1089108910890999</v>
      </c>
      <c r="CT150" t="s">
        <v>466</v>
      </c>
      <c r="CU150">
        <v>3</v>
      </c>
      <c r="CV150">
        <v>1.0124223602484399</v>
      </c>
      <c r="CW150" t="s">
        <v>484</v>
      </c>
      <c r="CX150">
        <v>2</v>
      </c>
      <c r="CY150">
        <v>0.91639871382636595</v>
      </c>
      <c r="CZ150" t="s">
        <v>465</v>
      </c>
      <c r="DA150">
        <v>3</v>
      </c>
      <c r="DB150">
        <v>0.96807151979565698</v>
      </c>
      <c r="DC150" t="s">
        <v>460</v>
      </c>
      <c r="DD150">
        <v>3</v>
      </c>
      <c r="DE150">
        <v>1.0114795918367301</v>
      </c>
      <c r="DF150" t="s">
        <v>484</v>
      </c>
      <c r="DG150">
        <v>2</v>
      </c>
      <c r="DH150">
        <v>0.90259740259740195</v>
      </c>
    </row>
    <row r="151" spans="1:112" x14ac:dyDescent="0.4">
      <c r="A151">
        <v>149</v>
      </c>
      <c r="B151" t="s">
        <v>377</v>
      </c>
      <c r="C151">
        <v>2</v>
      </c>
      <c r="D151">
        <v>1.0572370146904499</v>
      </c>
      <c r="E151" t="s">
        <v>375</v>
      </c>
      <c r="F151">
        <v>2</v>
      </c>
      <c r="G151">
        <v>0.72478386167146902</v>
      </c>
      <c r="H151" t="s">
        <v>289</v>
      </c>
      <c r="I151">
        <v>2</v>
      </c>
      <c r="J151">
        <v>0.81647058823529395</v>
      </c>
      <c r="K151" t="s">
        <v>377</v>
      </c>
      <c r="L151">
        <v>2</v>
      </c>
      <c r="M151">
        <v>1.7698504027617901</v>
      </c>
      <c r="N151" t="s">
        <v>289</v>
      </c>
      <c r="O151">
        <v>2</v>
      </c>
      <c r="P151">
        <v>1.11776447105788</v>
      </c>
      <c r="Q151" t="s">
        <v>310</v>
      </c>
      <c r="R151">
        <v>2</v>
      </c>
      <c r="S151">
        <v>1.09253731343283</v>
      </c>
      <c r="T151" t="s">
        <v>396</v>
      </c>
      <c r="U151">
        <v>1</v>
      </c>
      <c r="V151">
        <v>0.99629629629629601</v>
      </c>
      <c r="W151" t="s">
        <v>387</v>
      </c>
      <c r="X151">
        <v>2</v>
      </c>
      <c r="Y151">
        <v>0.89250814332247497</v>
      </c>
      <c r="Z151" t="s">
        <v>397</v>
      </c>
      <c r="AA151">
        <v>2</v>
      </c>
      <c r="AB151">
        <v>1.0133630289532201</v>
      </c>
      <c r="AC151" t="s">
        <v>308</v>
      </c>
      <c r="AD151">
        <v>2</v>
      </c>
      <c r="AE151">
        <v>0.98846153846153795</v>
      </c>
      <c r="AF151" t="s">
        <v>323</v>
      </c>
      <c r="AG151">
        <v>2</v>
      </c>
      <c r="AH151">
        <v>1.02150537634408</v>
      </c>
      <c r="AI151" t="s">
        <v>390</v>
      </c>
      <c r="AJ151">
        <v>3</v>
      </c>
      <c r="AK151">
        <v>1.1925970966025601</v>
      </c>
      <c r="AL151" t="s">
        <v>410</v>
      </c>
      <c r="AM151">
        <v>3</v>
      </c>
      <c r="AN151">
        <v>1.2201086956521701</v>
      </c>
      <c r="AO151" t="s">
        <v>408</v>
      </c>
      <c r="AP151">
        <v>2</v>
      </c>
      <c r="AQ151">
        <v>0.82668711656441696</v>
      </c>
      <c r="AR151" t="s">
        <v>407</v>
      </c>
      <c r="AS151">
        <v>2</v>
      </c>
      <c r="AT151">
        <v>0.69449081803004997</v>
      </c>
      <c r="AU151" t="s">
        <v>408</v>
      </c>
      <c r="AV151">
        <v>2</v>
      </c>
      <c r="AW151">
        <v>1.22509960159362</v>
      </c>
      <c r="AX151" t="s">
        <v>429</v>
      </c>
      <c r="AY151">
        <v>3</v>
      </c>
      <c r="AZ151">
        <v>0.80212340360055301</v>
      </c>
      <c r="BA151" t="s">
        <v>438</v>
      </c>
      <c r="BB151">
        <v>3</v>
      </c>
      <c r="BC151">
        <v>1.1415662650602401</v>
      </c>
      <c r="BD151" t="s">
        <v>438</v>
      </c>
      <c r="BE151">
        <v>3</v>
      </c>
      <c r="BF151">
        <v>1.1253298153034299</v>
      </c>
      <c r="BG151" t="s">
        <v>431</v>
      </c>
      <c r="BH151">
        <v>2</v>
      </c>
      <c r="BI151">
        <v>1.1452380952380901</v>
      </c>
      <c r="BJ151" t="s">
        <v>438</v>
      </c>
      <c r="BK151">
        <v>3</v>
      </c>
      <c r="BL151">
        <v>1.47629310344827</v>
      </c>
      <c r="BM151" t="s">
        <v>455</v>
      </c>
      <c r="BN151">
        <v>1</v>
      </c>
      <c r="BO151">
        <v>0.928817547693083</v>
      </c>
      <c r="BP151" t="s">
        <v>440</v>
      </c>
      <c r="BQ151">
        <v>2</v>
      </c>
      <c r="BR151">
        <v>0.98784194528875302</v>
      </c>
      <c r="BS151" t="s">
        <v>448</v>
      </c>
      <c r="BT151">
        <v>2</v>
      </c>
      <c r="BU151">
        <v>0.99654576856649302</v>
      </c>
      <c r="BV151" t="s">
        <v>455</v>
      </c>
      <c r="BW151">
        <v>1</v>
      </c>
      <c r="BX151">
        <v>1.0001666944490699</v>
      </c>
      <c r="BY151" t="s">
        <v>433</v>
      </c>
      <c r="BZ151">
        <v>1</v>
      </c>
      <c r="CA151">
        <v>1.18376550169109</v>
      </c>
      <c r="CB151" t="s">
        <v>456</v>
      </c>
      <c r="CC151">
        <v>2</v>
      </c>
      <c r="CD151">
        <v>1.03004291845493</v>
      </c>
      <c r="CE151" t="s">
        <v>433</v>
      </c>
      <c r="CF151">
        <v>1</v>
      </c>
      <c r="CG151">
        <v>0.88104838709677402</v>
      </c>
      <c r="CH151" t="s">
        <v>446</v>
      </c>
      <c r="CI151">
        <v>3</v>
      </c>
      <c r="CJ151">
        <v>1.04107424960505</v>
      </c>
      <c r="CK151" t="s">
        <v>464</v>
      </c>
      <c r="CL151">
        <v>3</v>
      </c>
      <c r="CM151">
        <v>0.72636262513904304</v>
      </c>
      <c r="CN151" t="s">
        <v>452</v>
      </c>
      <c r="CO151">
        <v>2</v>
      </c>
      <c r="CP151">
        <v>0.96038034865293098</v>
      </c>
      <c r="CQ151" t="s">
        <v>454</v>
      </c>
      <c r="CR151">
        <v>2</v>
      </c>
      <c r="CS151">
        <v>0.91896551724137898</v>
      </c>
      <c r="CT151" t="s">
        <v>465</v>
      </c>
      <c r="CU151">
        <v>2</v>
      </c>
      <c r="CV151">
        <v>0.97455470737913397</v>
      </c>
      <c r="CW151" t="s">
        <v>481</v>
      </c>
      <c r="CX151">
        <v>1</v>
      </c>
      <c r="CY151">
        <v>1.1334622823984499</v>
      </c>
      <c r="CZ151" t="s">
        <v>467</v>
      </c>
      <c r="DA151">
        <v>2</v>
      </c>
      <c r="DB151">
        <v>1.07053941908713</v>
      </c>
      <c r="DC151" t="s">
        <v>463</v>
      </c>
      <c r="DD151">
        <v>1</v>
      </c>
      <c r="DE151">
        <v>1.0202205882352899</v>
      </c>
      <c r="DF151" t="s">
        <v>481</v>
      </c>
      <c r="DG151">
        <v>1</v>
      </c>
      <c r="DH151">
        <v>1.1645390070921899</v>
      </c>
    </row>
    <row r="152" spans="1:112" x14ac:dyDescent="0.4">
      <c r="A152">
        <v>150</v>
      </c>
      <c r="B152" t="s">
        <v>375</v>
      </c>
      <c r="C152">
        <v>2</v>
      </c>
      <c r="D152">
        <v>1.07098765432098</v>
      </c>
      <c r="E152" t="s">
        <v>381</v>
      </c>
      <c r="F152">
        <v>2</v>
      </c>
      <c r="G152">
        <v>0.91406070903623304</v>
      </c>
      <c r="H152" t="s">
        <v>375</v>
      </c>
      <c r="I152">
        <v>2</v>
      </c>
      <c r="J152">
        <v>0.749502982107355</v>
      </c>
      <c r="K152" t="s">
        <v>374</v>
      </c>
      <c r="L152">
        <v>2</v>
      </c>
      <c r="M152">
        <v>1.08053691275167</v>
      </c>
      <c r="N152" t="s">
        <v>398</v>
      </c>
      <c r="O152">
        <v>2</v>
      </c>
      <c r="P152">
        <v>1.1441581843861099</v>
      </c>
      <c r="Q152" t="s">
        <v>450</v>
      </c>
      <c r="R152">
        <v>3</v>
      </c>
      <c r="S152">
        <v>0.93276901528530498</v>
      </c>
      <c r="T152" t="s">
        <v>397</v>
      </c>
      <c r="U152">
        <v>2</v>
      </c>
      <c r="V152">
        <v>1.02767975803125</v>
      </c>
      <c r="W152" t="s">
        <v>390</v>
      </c>
      <c r="X152">
        <v>3</v>
      </c>
      <c r="Y152">
        <v>0.93291239147592697</v>
      </c>
      <c r="Z152" t="s">
        <v>310</v>
      </c>
      <c r="AA152">
        <v>2</v>
      </c>
      <c r="AB152">
        <v>1.04314720812182</v>
      </c>
      <c r="AC152" t="s">
        <v>396</v>
      </c>
      <c r="AD152">
        <v>1</v>
      </c>
      <c r="AE152">
        <v>1.09022556390977</v>
      </c>
      <c r="AF152" t="s">
        <v>402</v>
      </c>
      <c r="AG152">
        <v>1</v>
      </c>
      <c r="AH152">
        <v>1.0524026309542001</v>
      </c>
      <c r="AI152" t="s">
        <v>308</v>
      </c>
      <c r="AJ152">
        <v>2</v>
      </c>
      <c r="AK152">
        <v>1.0697674418604599</v>
      </c>
      <c r="AL152" t="s">
        <v>402</v>
      </c>
      <c r="AM152">
        <v>1</v>
      </c>
      <c r="AN152">
        <v>0.81913789117504798</v>
      </c>
      <c r="AO152" t="s">
        <v>416</v>
      </c>
      <c r="AP152">
        <v>1</v>
      </c>
      <c r="AQ152">
        <v>0.86695652173912996</v>
      </c>
      <c r="AR152" t="s">
        <v>408</v>
      </c>
      <c r="AS152">
        <v>2</v>
      </c>
      <c r="AT152">
        <v>0.93135435992578797</v>
      </c>
      <c r="AU152" t="s">
        <v>416</v>
      </c>
      <c r="AV152">
        <v>1</v>
      </c>
      <c r="AW152">
        <v>0.953383458646616</v>
      </c>
      <c r="AX152" t="s">
        <v>417</v>
      </c>
      <c r="AY152">
        <v>2</v>
      </c>
      <c r="AZ152">
        <v>1.0614754098360599</v>
      </c>
      <c r="BA152" t="s">
        <v>424</v>
      </c>
      <c r="BB152">
        <v>2</v>
      </c>
      <c r="BC152">
        <v>0.98564810152079696</v>
      </c>
      <c r="BD152" t="s">
        <v>424</v>
      </c>
      <c r="BE152">
        <v>2</v>
      </c>
      <c r="BF152">
        <v>0.98058550043427095</v>
      </c>
      <c r="BG152" t="s">
        <v>453</v>
      </c>
      <c r="BH152">
        <v>2</v>
      </c>
      <c r="BI152">
        <v>1.4295676429567601</v>
      </c>
      <c r="BJ152" t="s">
        <v>424</v>
      </c>
      <c r="BK152">
        <v>2</v>
      </c>
      <c r="BL152">
        <v>1.0931981687377299</v>
      </c>
      <c r="BM152" t="s">
        <v>433</v>
      </c>
      <c r="BN152">
        <v>1</v>
      </c>
      <c r="BO152">
        <v>1.0086313193588099</v>
      </c>
      <c r="BP152" t="s">
        <v>446</v>
      </c>
      <c r="BQ152">
        <v>3</v>
      </c>
      <c r="BR152">
        <v>1.21139240506329</v>
      </c>
      <c r="BS152" t="s">
        <v>446</v>
      </c>
      <c r="BT152">
        <v>3</v>
      </c>
      <c r="BU152">
        <v>1.0188087774294601</v>
      </c>
      <c r="BV152" t="s">
        <v>433</v>
      </c>
      <c r="BW152">
        <v>1</v>
      </c>
      <c r="BX152">
        <v>0.99775028121484799</v>
      </c>
      <c r="BY152" t="s">
        <v>436</v>
      </c>
      <c r="BZ152">
        <v>3</v>
      </c>
      <c r="CA152">
        <v>0.854599406528189</v>
      </c>
      <c r="CB152" t="s">
        <v>464</v>
      </c>
      <c r="CC152">
        <v>3</v>
      </c>
      <c r="CD152">
        <v>0.86529725459213902</v>
      </c>
      <c r="CE152" t="s">
        <v>440</v>
      </c>
      <c r="CF152">
        <v>2</v>
      </c>
      <c r="CG152">
        <v>0.890532544378698</v>
      </c>
      <c r="CH152" t="s">
        <v>452</v>
      </c>
      <c r="CI152">
        <v>2</v>
      </c>
      <c r="CJ152">
        <v>1.4334532374100699</v>
      </c>
      <c r="CK152" t="s">
        <v>467</v>
      </c>
      <c r="CL152">
        <v>2</v>
      </c>
      <c r="CM152">
        <v>1.0380622837370199</v>
      </c>
      <c r="CN152" t="s">
        <v>459</v>
      </c>
      <c r="CO152">
        <v>2</v>
      </c>
      <c r="CP152">
        <v>1.03459119496855</v>
      </c>
      <c r="CQ152" t="s">
        <v>460</v>
      </c>
      <c r="CR152">
        <v>3</v>
      </c>
      <c r="CS152">
        <v>0.97563946406820901</v>
      </c>
      <c r="CT152" t="s">
        <v>467</v>
      </c>
      <c r="CU152">
        <v>2</v>
      </c>
      <c r="CV152">
        <v>1.03381642512077</v>
      </c>
      <c r="CW152" t="s">
        <v>483</v>
      </c>
      <c r="CX152">
        <v>1</v>
      </c>
      <c r="CY152">
        <v>0.88732394366197098</v>
      </c>
      <c r="CZ152" t="s">
        <v>471</v>
      </c>
      <c r="DA152">
        <v>3</v>
      </c>
      <c r="DB152">
        <v>0.680851063829787</v>
      </c>
      <c r="DC152" t="s">
        <v>465</v>
      </c>
      <c r="DD152">
        <v>3</v>
      </c>
      <c r="DE152">
        <v>1.03562005277044</v>
      </c>
      <c r="DF152" t="s">
        <v>483</v>
      </c>
      <c r="DG152">
        <v>1</v>
      </c>
      <c r="DH152">
        <v>1.0814132104454599</v>
      </c>
    </row>
    <row r="153" spans="1:112" x14ac:dyDescent="0.4">
      <c r="A153">
        <v>151</v>
      </c>
      <c r="B153" t="s">
        <v>381</v>
      </c>
      <c r="C153">
        <v>2</v>
      </c>
      <c r="D153">
        <v>1.0105198610070101</v>
      </c>
      <c r="E153" t="s">
        <v>389</v>
      </c>
      <c r="F153">
        <v>2</v>
      </c>
      <c r="G153">
        <v>0.876595744680851</v>
      </c>
      <c r="H153" t="s">
        <v>381</v>
      </c>
      <c r="I153">
        <v>2</v>
      </c>
      <c r="J153">
        <v>0.616812227074235</v>
      </c>
      <c r="K153" t="s">
        <v>375</v>
      </c>
      <c r="L153">
        <v>2</v>
      </c>
      <c r="M153">
        <v>1.49071618037135</v>
      </c>
      <c r="N153" t="s">
        <v>374</v>
      </c>
      <c r="O153">
        <v>2</v>
      </c>
      <c r="P153">
        <v>1.2204968944099299</v>
      </c>
      <c r="Q153" t="s">
        <v>323</v>
      </c>
      <c r="R153">
        <v>2</v>
      </c>
      <c r="S153">
        <v>1.0646950092421399</v>
      </c>
      <c r="T153" t="s">
        <v>310</v>
      </c>
      <c r="U153">
        <v>2</v>
      </c>
      <c r="V153">
        <v>0.93169398907103795</v>
      </c>
      <c r="W153" t="s">
        <v>308</v>
      </c>
      <c r="X153">
        <v>2</v>
      </c>
      <c r="Y153">
        <v>1.0901162790697601</v>
      </c>
      <c r="Z153" t="s">
        <v>323</v>
      </c>
      <c r="AA153">
        <v>2</v>
      </c>
      <c r="AB153">
        <v>1.03053435114503</v>
      </c>
      <c r="AC153" t="s">
        <v>397</v>
      </c>
      <c r="AD153">
        <v>2</v>
      </c>
      <c r="AE153">
        <v>1.0054945054944999</v>
      </c>
      <c r="AF153" t="s">
        <v>409</v>
      </c>
      <c r="AG153">
        <v>2</v>
      </c>
      <c r="AH153">
        <v>1.2866793329111199</v>
      </c>
      <c r="AI153" t="s">
        <v>396</v>
      </c>
      <c r="AJ153">
        <v>1</v>
      </c>
      <c r="AK153">
        <v>1.0432098765432001</v>
      </c>
      <c r="AL153" t="s">
        <v>329</v>
      </c>
      <c r="AM153">
        <v>2</v>
      </c>
      <c r="AN153">
        <v>0.98412698412698396</v>
      </c>
      <c r="AO153" t="s">
        <v>335</v>
      </c>
      <c r="AP153">
        <v>3</v>
      </c>
      <c r="AQ153">
        <v>1.19928825622775</v>
      </c>
      <c r="AR153" t="s">
        <v>416</v>
      </c>
      <c r="AS153">
        <v>1</v>
      </c>
      <c r="AT153">
        <v>1.33400200601805</v>
      </c>
      <c r="AU153" t="s">
        <v>418</v>
      </c>
      <c r="AV153">
        <v>2</v>
      </c>
      <c r="AW153">
        <v>0.99605522682445702</v>
      </c>
      <c r="AX153" t="s">
        <v>418</v>
      </c>
      <c r="AY153">
        <v>2</v>
      </c>
      <c r="AZ153">
        <v>0.963366336633663</v>
      </c>
      <c r="BA153" t="s">
        <v>451</v>
      </c>
      <c r="BB153">
        <v>3</v>
      </c>
      <c r="BC153">
        <v>1.1967545638945201</v>
      </c>
      <c r="BD153" t="s">
        <v>431</v>
      </c>
      <c r="BE153">
        <v>2</v>
      </c>
      <c r="BF153">
        <v>0.96551724137931005</v>
      </c>
      <c r="BG153" t="s">
        <v>455</v>
      </c>
      <c r="BH153">
        <v>1</v>
      </c>
      <c r="BI153">
        <v>1.2956659410251301</v>
      </c>
      <c r="BJ153" t="s">
        <v>455</v>
      </c>
      <c r="BK153">
        <v>1</v>
      </c>
      <c r="BL153">
        <v>0.90873682602718797</v>
      </c>
      <c r="BM153" t="s">
        <v>440</v>
      </c>
      <c r="BN153">
        <v>2</v>
      </c>
      <c r="BO153">
        <v>0.87733333333333297</v>
      </c>
      <c r="BP153" t="s">
        <v>452</v>
      </c>
      <c r="BQ153">
        <v>2</v>
      </c>
      <c r="BR153">
        <v>0.97477064220183396</v>
      </c>
      <c r="BS153" t="s">
        <v>457</v>
      </c>
      <c r="BT153">
        <v>1</v>
      </c>
      <c r="BU153">
        <v>0.94587945879458701</v>
      </c>
      <c r="BV153" t="s">
        <v>440</v>
      </c>
      <c r="BW153">
        <v>2</v>
      </c>
      <c r="BX153">
        <v>1.0932798395185499</v>
      </c>
      <c r="BY153" t="s">
        <v>440</v>
      </c>
      <c r="BZ153">
        <v>2</v>
      </c>
      <c r="CA153">
        <v>1.5137614678899001</v>
      </c>
      <c r="CB153" t="s">
        <v>463</v>
      </c>
      <c r="CC153">
        <v>1</v>
      </c>
      <c r="CD153">
        <v>0.96631823461091704</v>
      </c>
      <c r="CE153" t="s">
        <v>441</v>
      </c>
      <c r="CF153">
        <v>1</v>
      </c>
      <c r="CG153">
        <v>0.84745762711864403</v>
      </c>
      <c r="CH153" t="s">
        <v>454</v>
      </c>
      <c r="CI153">
        <v>2</v>
      </c>
      <c r="CJ153">
        <v>1.48672566371681</v>
      </c>
      <c r="CK153" t="s">
        <v>476</v>
      </c>
      <c r="CL153">
        <v>3</v>
      </c>
      <c r="CM153">
        <v>0.79406631762652702</v>
      </c>
      <c r="CN153" t="s">
        <v>460</v>
      </c>
      <c r="CO153">
        <v>3</v>
      </c>
      <c r="CP153">
        <v>0.91323692992213501</v>
      </c>
      <c r="CQ153" t="s">
        <v>464</v>
      </c>
      <c r="CR153">
        <v>3</v>
      </c>
      <c r="CS153">
        <v>0.89167767503302497</v>
      </c>
      <c r="CT153" t="s">
        <v>472</v>
      </c>
      <c r="CU153">
        <v>3</v>
      </c>
      <c r="CV153">
        <v>1.16157760814249</v>
      </c>
      <c r="CW153" t="s">
        <v>486</v>
      </c>
      <c r="CX153">
        <v>3</v>
      </c>
      <c r="CY153">
        <v>0.89395348837209299</v>
      </c>
      <c r="CZ153" t="s">
        <v>472</v>
      </c>
      <c r="DA153">
        <v>3</v>
      </c>
      <c r="DB153">
        <v>0.87536231884057902</v>
      </c>
      <c r="DC153" t="s">
        <v>467</v>
      </c>
      <c r="DD153">
        <v>2</v>
      </c>
      <c r="DE153">
        <v>0.81782945736434098</v>
      </c>
      <c r="DF153" t="s">
        <v>492</v>
      </c>
      <c r="DG153">
        <v>3</v>
      </c>
      <c r="DH153">
        <v>0.98345153664302598</v>
      </c>
    </row>
    <row r="154" spans="1:112" x14ac:dyDescent="0.4">
      <c r="A154">
        <v>152</v>
      </c>
      <c r="B154" t="s">
        <v>300</v>
      </c>
      <c r="C154">
        <v>1</v>
      </c>
      <c r="D154">
        <v>1.39240506329113</v>
      </c>
      <c r="E154" t="s">
        <v>387</v>
      </c>
      <c r="F154">
        <v>2</v>
      </c>
      <c r="G154">
        <v>0.877470355731225</v>
      </c>
      <c r="H154" t="s">
        <v>389</v>
      </c>
      <c r="I154">
        <v>2</v>
      </c>
      <c r="J154">
        <v>0.67961165048543604</v>
      </c>
      <c r="K154" t="s">
        <v>381</v>
      </c>
      <c r="L154">
        <v>2</v>
      </c>
      <c r="M154">
        <v>1.18938053097345</v>
      </c>
      <c r="N154" t="s">
        <v>375</v>
      </c>
      <c r="O154">
        <v>2</v>
      </c>
      <c r="P154">
        <v>1.6512455516014199</v>
      </c>
      <c r="Q154" t="s">
        <v>402</v>
      </c>
      <c r="R154">
        <v>1</v>
      </c>
      <c r="S154">
        <v>0.84090668201020502</v>
      </c>
      <c r="T154" t="s">
        <v>450</v>
      </c>
      <c r="U154">
        <v>3</v>
      </c>
      <c r="V154">
        <v>0.85578115819024603</v>
      </c>
      <c r="W154" t="s">
        <v>396</v>
      </c>
      <c r="X154">
        <v>1</v>
      </c>
      <c r="Y154">
        <v>0.98141263940520396</v>
      </c>
      <c r="Z154" t="s">
        <v>329</v>
      </c>
      <c r="AA154">
        <v>2</v>
      </c>
      <c r="AB154">
        <v>0.87615526802218102</v>
      </c>
      <c r="AC154" t="s">
        <v>310</v>
      </c>
      <c r="AD154">
        <v>2</v>
      </c>
      <c r="AE154">
        <v>0.91727493917274905</v>
      </c>
      <c r="AF154" t="s">
        <v>329</v>
      </c>
      <c r="AG154">
        <v>2</v>
      </c>
      <c r="AH154">
        <v>1.0658682634730501</v>
      </c>
      <c r="AI154" t="s">
        <v>310</v>
      </c>
      <c r="AJ154">
        <v>2</v>
      </c>
      <c r="AK154">
        <v>0.98701298701298701</v>
      </c>
      <c r="AL154" t="s">
        <v>404</v>
      </c>
      <c r="AM154">
        <v>1</v>
      </c>
      <c r="AN154">
        <v>1.02857142857142</v>
      </c>
      <c r="AO154" t="s">
        <v>429</v>
      </c>
      <c r="AP154">
        <v>3</v>
      </c>
      <c r="AQ154">
        <v>0.92385261797026497</v>
      </c>
      <c r="AR154" t="s">
        <v>335</v>
      </c>
      <c r="AS154">
        <v>3</v>
      </c>
      <c r="AT154">
        <v>1.4480712166172101</v>
      </c>
      <c r="AU154" t="s">
        <v>428</v>
      </c>
      <c r="AV154">
        <v>2</v>
      </c>
      <c r="AW154">
        <v>1.0056818181818099</v>
      </c>
      <c r="AX154" t="s">
        <v>428</v>
      </c>
      <c r="AY154">
        <v>2</v>
      </c>
      <c r="AZ154">
        <v>0.92184557438794701</v>
      </c>
      <c r="BA154" t="s">
        <v>453</v>
      </c>
      <c r="BB154">
        <v>2</v>
      </c>
      <c r="BC154">
        <v>0.93403298350824504</v>
      </c>
      <c r="BD154" t="s">
        <v>425</v>
      </c>
      <c r="BE154">
        <v>1</v>
      </c>
      <c r="BF154">
        <v>0.99794661190965095</v>
      </c>
      <c r="BG154" t="s">
        <v>433</v>
      </c>
      <c r="BH154">
        <v>1</v>
      </c>
      <c r="BI154">
        <v>1.23088023088023</v>
      </c>
      <c r="BJ154" t="s">
        <v>433</v>
      </c>
      <c r="BK154">
        <v>1</v>
      </c>
      <c r="BL154">
        <v>0.950762016412661</v>
      </c>
      <c r="BM154" t="s">
        <v>448</v>
      </c>
      <c r="BN154">
        <v>2</v>
      </c>
      <c r="BO154">
        <v>1.1198501872659099</v>
      </c>
      <c r="BP154" t="s">
        <v>456</v>
      </c>
      <c r="BQ154">
        <v>2</v>
      </c>
      <c r="BR154">
        <v>1.0547195622434999</v>
      </c>
      <c r="BS154" t="s">
        <v>452</v>
      </c>
      <c r="BT154">
        <v>2</v>
      </c>
      <c r="BU154">
        <v>0.81764705882352895</v>
      </c>
      <c r="BV154" t="s">
        <v>448</v>
      </c>
      <c r="BW154">
        <v>2</v>
      </c>
      <c r="BX154">
        <v>0.99653379549393395</v>
      </c>
      <c r="BY154" t="s">
        <v>448</v>
      </c>
      <c r="BZ154">
        <v>2</v>
      </c>
      <c r="CA154">
        <v>1.2</v>
      </c>
      <c r="CB154" t="s">
        <v>467</v>
      </c>
      <c r="CC154">
        <v>2</v>
      </c>
      <c r="CD154">
        <v>1.0087719298245601</v>
      </c>
      <c r="CE154" t="s">
        <v>446</v>
      </c>
      <c r="CF154">
        <v>3</v>
      </c>
      <c r="CG154">
        <v>0.98139534883720903</v>
      </c>
      <c r="CH154" t="s">
        <v>456</v>
      </c>
      <c r="CI154">
        <v>2</v>
      </c>
      <c r="CJ154">
        <v>1.11304347826086</v>
      </c>
      <c r="CK154" t="s">
        <v>472</v>
      </c>
      <c r="CL154">
        <v>3</v>
      </c>
      <c r="CM154">
        <v>1.6853035143769901</v>
      </c>
      <c r="CN154" t="s">
        <v>463</v>
      </c>
      <c r="CO154">
        <v>1</v>
      </c>
      <c r="CP154">
        <v>1.08719052744886</v>
      </c>
      <c r="CQ154" t="s">
        <v>463</v>
      </c>
      <c r="CR154">
        <v>1</v>
      </c>
      <c r="CS154">
        <v>1.04950495049504</v>
      </c>
      <c r="CT154" t="s">
        <v>481</v>
      </c>
      <c r="CU154">
        <v>1</v>
      </c>
      <c r="CV154">
        <v>1.2398081534772101</v>
      </c>
      <c r="CW154" t="s">
        <v>488</v>
      </c>
      <c r="CX154">
        <v>3</v>
      </c>
      <c r="CY154">
        <v>1.04567699836867</v>
      </c>
      <c r="CZ154" t="s">
        <v>484</v>
      </c>
      <c r="DA154">
        <v>2</v>
      </c>
      <c r="DB154">
        <v>1.2163742690058399</v>
      </c>
      <c r="DC154" t="s">
        <v>472</v>
      </c>
      <c r="DD154">
        <v>3</v>
      </c>
      <c r="DE154">
        <v>1.0684326710816701</v>
      </c>
      <c r="DF154" t="s">
        <v>486</v>
      </c>
      <c r="DG154">
        <v>3</v>
      </c>
      <c r="DH154">
        <v>1.0126874279123399</v>
      </c>
    </row>
    <row r="155" spans="1:112" x14ac:dyDescent="0.4">
      <c r="A155">
        <v>153</v>
      </c>
      <c r="B155" t="s">
        <v>389</v>
      </c>
      <c r="C155">
        <v>2</v>
      </c>
      <c r="D155">
        <v>0.91085271317829397</v>
      </c>
      <c r="E155" t="s">
        <v>395</v>
      </c>
      <c r="F155">
        <v>1</v>
      </c>
      <c r="G155">
        <v>0.85878962536022996</v>
      </c>
      <c r="H155" t="s">
        <v>387</v>
      </c>
      <c r="I155">
        <v>2</v>
      </c>
      <c r="J155">
        <v>0.65765765765765705</v>
      </c>
      <c r="K155" t="s">
        <v>300</v>
      </c>
      <c r="L155">
        <v>2</v>
      </c>
      <c r="M155">
        <v>0.85749385749385698</v>
      </c>
      <c r="N155" t="s">
        <v>381</v>
      </c>
      <c r="O155">
        <v>2</v>
      </c>
      <c r="P155">
        <v>1.08932593307593</v>
      </c>
      <c r="Q155" t="s">
        <v>409</v>
      </c>
      <c r="R155">
        <v>3</v>
      </c>
      <c r="S155">
        <v>1.23406720741599</v>
      </c>
      <c r="T155" t="s">
        <v>323</v>
      </c>
      <c r="U155">
        <v>2</v>
      </c>
      <c r="V155">
        <v>0.9375</v>
      </c>
      <c r="W155" t="s">
        <v>397</v>
      </c>
      <c r="X155">
        <v>2</v>
      </c>
      <c r="Y155">
        <v>1.00111482720178</v>
      </c>
      <c r="Z155" t="s">
        <v>407</v>
      </c>
      <c r="AA155">
        <v>2</v>
      </c>
      <c r="AB155">
        <v>1.0623003194888101</v>
      </c>
      <c r="AC155" t="s">
        <v>314</v>
      </c>
      <c r="AD155">
        <v>2</v>
      </c>
      <c r="AE155">
        <v>0.83158242727005505</v>
      </c>
      <c r="AF155" t="s">
        <v>407</v>
      </c>
      <c r="AG155">
        <v>2</v>
      </c>
      <c r="AH155">
        <v>1.3742857142857099</v>
      </c>
      <c r="AI155" t="s">
        <v>323</v>
      </c>
      <c r="AJ155">
        <v>2</v>
      </c>
      <c r="AK155">
        <v>0.98596491228070104</v>
      </c>
      <c r="AL155" t="s">
        <v>333</v>
      </c>
      <c r="AM155">
        <v>1</v>
      </c>
      <c r="AN155">
        <v>0.96291560102301699</v>
      </c>
      <c r="AO155" t="s">
        <v>418</v>
      </c>
      <c r="AP155">
        <v>2</v>
      </c>
      <c r="AQ155">
        <v>1.27</v>
      </c>
      <c r="AR155" t="s">
        <v>418</v>
      </c>
      <c r="AS155">
        <v>2</v>
      </c>
      <c r="AT155">
        <v>0.99803149606299202</v>
      </c>
      <c r="AU155" t="s">
        <v>343</v>
      </c>
      <c r="AV155">
        <v>1</v>
      </c>
      <c r="AW155">
        <v>1.0223207003425501</v>
      </c>
      <c r="AX155" t="s">
        <v>343</v>
      </c>
      <c r="AY155">
        <v>1</v>
      </c>
      <c r="AZ155">
        <v>1.0630002925298501</v>
      </c>
      <c r="BA155" t="s">
        <v>455</v>
      </c>
      <c r="BB155">
        <v>1</v>
      </c>
      <c r="BC155">
        <v>0.98183146169999003</v>
      </c>
      <c r="BD155" t="s">
        <v>451</v>
      </c>
      <c r="BE155">
        <v>3</v>
      </c>
      <c r="BF155">
        <v>1.1322033898305</v>
      </c>
      <c r="BG155" t="s">
        <v>440</v>
      </c>
      <c r="BH155">
        <v>2</v>
      </c>
      <c r="BI155">
        <v>1.06532663316582</v>
      </c>
      <c r="BJ155" t="s">
        <v>440</v>
      </c>
      <c r="BK155">
        <v>2</v>
      </c>
      <c r="BL155">
        <v>1.3266509433962199</v>
      </c>
      <c r="BM155" t="s">
        <v>446</v>
      </c>
      <c r="BN155">
        <v>3</v>
      </c>
      <c r="BO155">
        <v>1.1285714285714199</v>
      </c>
      <c r="BP155" t="s">
        <v>463</v>
      </c>
      <c r="BQ155">
        <v>1</v>
      </c>
      <c r="BR155">
        <v>0.99823633156966396</v>
      </c>
      <c r="BS155" t="s">
        <v>456</v>
      </c>
      <c r="BT155">
        <v>2</v>
      </c>
      <c r="BU155">
        <v>1.14656290531776</v>
      </c>
      <c r="BV155" t="s">
        <v>446</v>
      </c>
      <c r="BW155">
        <v>3</v>
      </c>
      <c r="BX155">
        <v>1.3538461538461499</v>
      </c>
      <c r="BY155" t="s">
        <v>457</v>
      </c>
      <c r="BZ155">
        <v>1</v>
      </c>
      <c r="CA155">
        <v>1.31524547803617</v>
      </c>
      <c r="CB155" t="s">
        <v>471</v>
      </c>
      <c r="CC155">
        <v>2</v>
      </c>
      <c r="CD155">
        <v>0.86136071887034604</v>
      </c>
      <c r="CE155" t="s">
        <v>452</v>
      </c>
      <c r="CF155">
        <v>2</v>
      </c>
      <c r="CG155">
        <v>0.98581560283687897</v>
      </c>
      <c r="CH155" t="s">
        <v>463</v>
      </c>
      <c r="CI155">
        <v>1</v>
      </c>
      <c r="CJ155">
        <v>1.1209039548022599</v>
      </c>
      <c r="CK155" t="s">
        <v>481</v>
      </c>
      <c r="CL155">
        <v>1</v>
      </c>
      <c r="CM155">
        <v>0.91582491582491499</v>
      </c>
      <c r="CN155" t="s">
        <v>465</v>
      </c>
      <c r="CO155">
        <v>2</v>
      </c>
      <c r="CP155">
        <v>0.95</v>
      </c>
      <c r="CQ155" t="s">
        <v>465</v>
      </c>
      <c r="CR155">
        <v>2</v>
      </c>
      <c r="CS155">
        <v>0.98496240601503704</v>
      </c>
      <c r="CT155" t="s">
        <v>483</v>
      </c>
      <c r="CU155">
        <v>1</v>
      </c>
      <c r="CV155">
        <v>1.04411764705882</v>
      </c>
      <c r="CW155" t="s">
        <v>493</v>
      </c>
      <c r="CX155">
        <v>2</v>
      </c>
      <c r="CY155">
        <v>0.90833333333333299</v>
      </c>
      <c r="CZ155" t="s">
        <v>481</v>
      </c>
      <c r="DA155">
        <v>1</v>
      </c>
      <c r="DB155">
        <v>1.09726962457337</v>
      </c>
      <c r="DC155" t="s">
        <v>484</v>
      </c>
      <c r="DD155">
        <v>2</v>
      </c>
      <c r="DE155">
        <v>1.18461538461538</v>
      </c>
      <c r="DF155" t="s">
        <v>488</v>
      </c>
      <c r="DG155">
        <v>3</v>
      </c>
      <c r="DH155">
        <v>1.0328124999999999</v>
      </c>
    </row>
    <row r="156" spans="1:112" x14ac:dyDescent="0.4">
      <c r="A156">
        <v>154</v>
      </c>
      <c r="B156" t="s">
        <v>387</v>
      </c>
      <c r="C156">
        <v>2</v>
      </c>
      <c r="D156">
        <v>1.1605504587155899</v>
      </c>
      <c r="E156" t="s">
        <v>308</v>
      </c>
      <c r="F156">
        <v>2</v>
      </c>
      <c r="G156">
        <v>0.66890982503364704</v>
      </c>
      <c r="H156" t="s">
        <v>390</v>
      </c>
      <c r="I156">
        <v>2</v>
      </c>
      <c r="J156">
        <v>0.391677255400254</v>
      </c>
      <c r="K156" t="s">
        <v>389</v>
      </c>
      <c r="L156">
        <v>2</v>
      </c>
      <c r="M156">
        <v>0.90595238095238095</v>
      </c>
      <c r="N156" t="s">
        <v>300</v>
      </c>
      <c r="O156">
        <v>2</v>
      </c>
      <c r="P156">
        <v>1.55444126074498</v>
      </c>
      <c r="Q156" t="s">
        <v>329</v>
      </c>
      <c r="R156">
        <v>2</v>
      </c>
      <c r="S156">
        <v>1.0622710622710601</v>
      </c>
      <c r="T156" t="s">
        <v>402</v>
      </c>
      <c r="U156">
        <v>1</v>
      </c>
      <c r="V156">
        <v>0.98648804379141397</v>
      </c>
      <c r="W156" t="s">
        <v>310</v>
      </c>
      <c r="X156">
        <v>2</v>
      </c>
      <c r="Y156">
        <v>1.15542521994134</v>
      </c>
      <c r="Z156" t="s">
        <v>408</v>
      </c>
      <c r="AA156">
        <v>2</v>
      </c>
      <c r="AB156">
        <v>0.85373134328358202</v>
      </c>
      <c r="AC156" t="s">
        <v>323</v>
      </c>
      <c r="AD156">
        <v>2</v>
      </c>
      <c r="AE156">
        <v>1.0333333333333301</v>
      </c>
      <c r="AF156" t="s">
        <v>408</v>
      </c>
      <c r="AG156">
        <v>2</v>
      </c>
      <c r="AH156">
        <v>0.97846889952153104</v>
      </c>
      <c r="AI156" t="s">
        <v>410</v>
      </c>
      <c r="AJ156">
        <v>3</v>
      </c>
      <c r="AK156">
        <v>0.99459459459459398</v>
      </c>
      <c r="AL156" t="s">
        <v>407</v>
      </c>
      <c r="AM156">
        <v>2</v>
      </c>
      <c r="AN156">
        <v>0.83003492433061699</v>
      </c>
      <c r="AO156" t="s">
        <v>428</v>
      </c>
      <c r="AP156">
        <v>2</v>
      </c>
      <c r="AQ156">
        <v>0.94915254237288105</v>
      </c>
      <c r="AR156" t="s">
        <v>420</v>
      </c>
      <c r="AS156">
        <v>1</v>
      </c>
      <c r="AT156">
        <v>1.23684210526315</v>
      </c>
      <c r="AU156" t="s">
        <v>423</v>
      </c>
      <c r="AV156">
        <v>2</v>
      </c>
      <c r="AW156">
        <v>1.0348932676518801</v>
      </c>
      <c r="AX156" t="s">
        <v>423</v>
      </c>
      <c r="AY156">
        <v>2</v>
      </c>
      <c r="AZ156">
        <v>0.78278460928203097</v>
      </c>
      <c r="BA156" t="s">
        <v>433</v>
      </c>
      <c r="BB156">
        <v>1</v>
      </c>
      <c r="BC156">
        <v>0.93017127799736499</v>
      </c>
      <c r="BD156" t="s">
        <v>453</v>
      </c>
      <c r="BE156">
        <v>2</v>
      </c>
      <c r="BF156">
        <v>1.15088282504012</v>
      </c>
      <c r="BG156" t="s">
        <v>447</v>
      </c>
      <c r="BH156">
        <v>3</v>
      </c>
      <c r="BI156">
        <v>0.97830802603036804</v>
      </c>
      <c r="BJ156" t="s">
        <v>447</v>
      </c>
      <c r="BK156">
        <v>3</v>
      </c>
      <c r="BL156">
        <v>1.31263858093126</v>
      </c>
      <c r="BM156" t="s">
        <v>452</v>
      </c>
      <c r="BN156">
        <v>2</v>
      </c>
      <c r="BO156">
        <v>0.979775280898876</v>
      </c>
      <c r="BP156" t="s">
        <v>478</v>
      </c>
      <c r="BQ156">
        <v>3</v>
      </c>
      <c r="BR156">
        <v>1.2858851674641101</v>
      </c>
      <c r="BS156" t="s">
        <v>463</v>
      </c>
      <c r="BT156">
        <v>1</v>
      </c>
      <c r="BU156">
        <v>0.87544169611307399</v>
      </c>
      <c r="BV156" t="s">
        <v>475</v>
      </c>
      <c r="BW156">
        <v>3</v>
      </c>
      <c r="BX156">
        <v>1.1256038647342901</v>
      </c>
      <c r="BY156" t="s">
        <v>452</v>
      </c>
      <c r="BZ156">
        <v>2</v>
      </c>
      <c r="CA156">
        <v>0.97894736842105201</v>
      </c>
      <c r="CB156" t="s">
        <v>472</v>
      </c>
      <c r="CC156">
        <v>3</v>
      </c>
      <c r="CD156">
        <v>0.95192307692307598</v>
      </c>
      <c r="CE156" t="s">
        <v>456</v>
      </c>
      <c r="CF156">
        <v>2</v>
      </c>
      <c r="CG156">
        <v>0.95833333333333304</v>
      </c>
      <c r="CH156" t="s">
        <v>467</v>
      </c>
      <c r="CI156">
        <v>2</v>
      </c>
      <c r="CJ156">
        <v>1.21428571428571</v>
      </c>
      <c r="CK156" t="s">
        <v>483</v>
      </c>
      <c r="CL156">
        <v>1</v>
      </c>
      <c r="CM156">
        <v>0.96363636363636296</v>
      </c>
      <c r="CN156" t="s">
        <v>467</v>
      </c>
      <c r="CO156">
        <v>2</v>
      </c>
      <c r="CP156">
        <v>0.86</v>
      </c>
      <c r="CQ156" t="s">
        <v>467</v>
      </c>
      <c r="CR156">
        <v>2</v>
      </c>
      <c r="CS156">
        <v>0.80232558139534804</v>
      </c>
      <c r="CT156" t="s">
        <v>486</v>
      </c>
      <c r="CU156">
        <v>3</v>
      </c>
      <c r="CV156">
        <v>0.990783410138248</v>
      </c>
      <c r="CW156" t="s">
        <v>496</v>
      </c>
      <c r="CX156">
        <v>3</v>
      </c>
      <c r="CY156">
        <v>1.5633802816901401</v>
      </c>
      <c r="CZ156" t="s">
        <v>483</v>
      </c>
      <c r="DA156">
        <v>1</v>
      </c>
      <c r="DB156">
        <v>1.17460317460317</v>
      </c>
      <c r="DC156" t="s">
        <v>481</v>
      </c>
      <c r="DD156">
        <v>1</v>
      </c>
      <c r="DE156">
        <v>1.0964230171072999</v>
      </c>
      <c r="DF156" t="s">
        <v>493</v>
      </c>
      <c r="DG156">
        <v>2</v>
      </c>
      <c r="DH156">
        <v>1.4170616113743999</v>
      </c>
    </row>
    <row r="157" spans="1:112" x14ac:dyDescent="0.4">
      <c r="A157">
        <v>155</v>
      </c>
      <c r="B157" t="s">
        <v>390</v>
      </c>
      <c r="C157">
        <v>2</v>
      </c>
      <c r="D157">
        <v>1.1165570830842699</v>
      </c>
      <c r="E157" t="s">
        <v>403</v>
      </c>
      <c r="F157">
        <v>3</v>
      </c>
      <c r="G157">
        <v>0.66952380952380897</v>
      </c>
      <c r="H157" t="s">
        <v>395</v>
      </c>
      <c r="I157">
        <v>1</v>
      </c>
      <c r="J157">
        <v>0.60067114093959695</v>
      </c>
      <c r="K157" t="s">
        <v>387</v>
      </c>
      <c r="L157">
        <v>2</v>
      </c>
      <c r="M157">
        <v>1.0753424657534201</v>
      </c>
      <c r="N157" t="s">
        <v>389</v>
      </c>
      <c r="O157">
        <v>2</v>
      </c>
      <c r="P157">
        <v>1.5400788436268</v>
      </c>
      <c r="Q157" t="s">
        <v>333</v>
      </c>
      <c r="R157">
        <v>1</v>
      </c>
      <c r="S157">
        <v>1.1470588235294099</v>
      </c>
      <c r="T157" t="s">
        <v>409</v>
      </c>
      <c r="U157">
        <v>3</v>
      </c>
      <c r="V157">
        <v>1.0669014084507</v>
      </c>
      <c r="W157" t="s">
        <v>323</v>
      </c>
      <c r="X157">
        <v>2</v>
      </c>
      <c r="Y157">
        <v>0.97037037037036999</v>
      </c>
      <c r="Z157" t="s">
        <v>335</v>
      </c>
      <c r="AA157">
        <v>3</v>
      </c>
      <c r="AB157">
        <v>0.80668604651162701</v>
      </c>
      <c r="AC157" t="s">
        <v>329</v>
      </c>
      <c r="AD157">
        <v>2</v>
      </c>
      <c r="AE157">
        <v>1.05696202531645</v>
      </c>
      <c r="AF157" t="s">
        <v>416</v>
      </c>
      <c r="AG157">
        <v>1</v>
      </c>
      <c r="AH157">
        <v>0.94926568758344398</v>
      </c>
      <c r="AI157" t="s">
        <v>329</v>
      </c>
      <c r="AJ157">
        <v>2</v>
      </c>
      <c r="AK157">
        <v>0.94382022471910099</v>
      </c>
      <c r="AL157" t="s">
        <v>408</v>
      </c>
      <c r="AM157">
        <v>2</v>
      </c>
      <c r="AN157">
        <v>0.83482714468629904</v>
      </c>
      <c r="AO157" t="s">
        <v>343</v>
      </c>
      <c r="AP157">
        <v>1</v>
      </c>
      <c r="AQ157">
        <v>0.91924704834038695</v>
      </c>
      <c r="AR157" t="s">
        <v>428</v>
      </c>
      <c r="AS157">
        <v>2</v>
      </c>
      <c r="AT157">
        <v>0.94285714285714195</v>
      </c>
      <c r="AU157" t="s">
        <v>438</v>
      </c>
      <c r="AV157">
        <v>3</v>
      </c>
      <c r="AW157">
        <v>1.1401734104046199</v>
      </c>
      <c r="AX157" t="s">
        <v>438</v>
      </c>
      <c r="AY157">
        <v>3</v>
      </c>
      <c r="AZ157">
        <v>0.84157160963244604</v>
      </c>
      <c r="BA157" t="s">
        <v>440</v>
      </c>
      <c r="BB157">
        <v>2</v>
      </c>
      <c r="BC157">
        <v>0.91683168316831598</v>
      </c>
      <c r="BD157" t="s">
        <v>455</v>
      </c>
      <c r="BE157">
        <v>1</v>
      </c>
      <c r="BF157">
        <v>0.93974335131113995</v>
      </c>
      <c r="BG157" t="s">
        <v>462</v>
      </c>
      <c r="BH157">
        <v>3</v>
      </c>
      <c r="BI157">
        <v>1.3035143769968001</v>
      </c>
      <c r="BJ157" t="s">
        <v>448</v>
      </c>
      <c r="BK157">
        <v>2</v>
      </c>
      <c r="BL157">
        <v>1.12421052631578</v>
      </c>
      <c r="BM157" t="s">
        <v>474</v>
      </c>
      <c r="BN157">
        <v>2</v>
      </c>
      <c r="BO157">
        <v>1.6096797175944</v>
      </c>
      <c r="BP157" t="s">
        <v>467</v>
      </c>
      <c r="BQ157">
        <v>2</v>
      </c>
      <c r="BR157">
        <v>1.0465116279069699</v>
      </c>
      <c r="BS157" t="s">
        <v>467</v>
      </c>
      <c r="BT157">
        <v>2</v>
      </c>
      <c r="BU157">
        <v>0.89777777777777701</v>
      </c>
      <c r="BV157" t="s">
        <v>457</v>
      </c>
      <c r="BW157">
        <v>1</v>
      </c>
      <c r="BX157">
        <v>1.00650195058517</v>
      </c>
      <c r="BY157" t="s">
        <v>456</v>
      </c>
      <c r="BZ157">
        <v>2</v>
      </c>
      <c r="CA157">
        <v>1.0130434782608599</v>
      </c>
      <c r="CB157" t="s">
        <v>481</v>
      </c>
      <c r="CC157">
        <v>1</v>
      </c>
      <c r="CD157">
        <v>0.79435957696827197</v>
      </c>
      <c r="CE157" t="s">
        <v>464</v>
      </c>
      <c r="CF157">
        <v>3</v>
      </c>
      <c r="CG157">
        <v>1.3056379821958399</v>
      </c>
      <c r="CH157" t="s">
        <v>471</v>
      </c>
      <c r="CI157">
        <v>2</v>
      </c>
      <c r="CJ157">
        <v>0.76821192052980103</v>
      </c>
      <c r="CK157" t="s">
        <v>486</v>
      </c>
      <c r="CL157">
        <v>3</v>
      </c>
      <c r="CM157">
        <v>1.0321100917431101</v>
      </c>
      <c r="CN157" t="s">
        <v>471</v>
      </c>
      <c r="CO157">
        <v>2</v>
      </c>
      <c r="CP157">
        <v>0.79102844638949599</v>
      </c>
      <c r="CQ157" t="s">
        <v>471</v>
      </c>
      <c r="CR157">
        <v>2</v>
      </c>
      <c r="CS157">
        <v>0.88658367911479896</v>
      </c>
      <c r="CT157" t="s">
        <v>488</v>
      </c>
      <c r="CU157">
        <v>2</v>
      </c>
      <c r="CV157">
        <v>1.0354729729729699</v>
      </c>
      <c r="CW157" t="s">
        <v>497</v>
      </c>
      <c r="CX157">
        <v>3</v>
      </c>
      <c r="CY157">
        <v>1.07324364723467</v>
      </c>
      <c r="CZ157" t="s">
        <v>492</v>
      </c>
      <c r="DA157">
        <v>3</v>
      </c>
      <c r="DB157">
        <v>0.88228941684665196</v>
      </c>
      <c r="DC157" t="s">
        <v>483</v>
      </c>
      <c r="DD157">
        <v>1</v>
      </c>
      <c r="DE157">
        <v>0.97747747747747704</v>
      </c>
      <c r="DF157" t="s">
        <v>491</v>
      </c>
      <c r="DG157">
        <v>1</v>
      </c>
      <c r="DH157">
        <v>1.09385113268608</v>
      </c>
    </row>
    <row r="158" spans="1:112" x14ac:dyDescent="0.4">
      <c r="A158">
        <v>156</v>
      </c>
      <c r="B158" t="s">
        <v>395</v>
      </c>
      <c r="C158">
        <v>1</v>
      </c>
      <c r="D158">
        <v>1.07931570762052</v>
      </c>
      <c r="E158" t="s">
        <v>396</v>
      </c>
      <c r="F158">
        <v>1</v>
      </c>
      <c r="G158">
        <v>0.84097035040431201</v>
      </c>
      <c r="H158" t="s">
        <v>308</v>
      </c>
      <c r="I158">
        <v>2</v>
      </c>
      <c r="J158">
        <v>0.76156941649899401</v>
      </c>
      <c r="K158" t="s">
        <v>395</v>
      </c>
      <c r="L158">
        <v>1</v>
      </c>
      <c r="M158">
        <v>0.92178770949720601</v>
      </c>
      <c r="N158" t="s">
        <v>387</v>
      </c>
      <c r="O158">
        <v>2</v>
      </c>
      <c r="P158">
        <v>1.18089171974522</v>
      </c>
      <c r="Q158" t="s">
        <v>407</v>
      </c>
      <c r="R158">
        <v>2</v>
      </c>
      <c r="S158">
        <v>1.07838983050847</v>
      </c>
      <c r="T158" t="s">
        <v>329</v>
      </c>
      <c r="U158">
        <v>2</v>
      </c>
      <c r="V158">
        <v>0.93103448275862</v>
      </c>
      <c r="W158" t="s">
        <v>329</v>
      </c>
      <c r="X158">
        <v>2</v>
      </c>
      <c r="Y158">
        <v>1.00185185185185</v>
      </c>
      <c r="Z158" t="s">
        <v>417</v>
      </c>
      <c r="AA158">
        <v>3</v>
      </c>
      <c r="AB158">
        <v>1.3902147971360299</v>
      </c>
      <c r="AC158" t="s">
        <v>407</v>
      </c>
      <c r="AD158">
        <v>2</v>
      </c>
      <c r="AE158">
        <v>1.0526315789473599</v>
      </c>
      <c r="AF158" t="s">
        <v>335</v>
      </c>
      <c r="AG158">
        <v>3</v>
      </c>
      <c r="AH158">
        <v>0.93048973143759794</v>
      </c>
      <c r="AI158" t="s">
        <v>407</v>
      </c>
      <c r="AJ158">
        <v>2</v>
      </c>
      <c r="AK158">
        <v>0.89293139293139201</v>
      </c>
      <c r="AL158" t="s">
        <v>416</v>
      </c>
      <c r="AM158">
        <v>1</v>
      </c>
      <c r="AN158">
        <v>1.0141093474426801</v>
      </c>
      <c r="AO158" t="s">
        <v>423</v>
      </c>
      <c r="AP158">
        <v>2</v>
      </c>
      <c r="AQ158">
        <v>0.95965552021103195</v>
      </c>
      <c r="AR158" t="s">
        <v>343</v>
      </c>
      <c r="AS158">
        <v>1</v>
      </c>
      <c r="AT158">
        <v>1.1142008966436401</v>
      </c>
      <c r="AU158" t="s">
        <v>424</v>
      </c>
      <c r="AV158">
        <v>1</v>
      </c>
      <c r="AW158">
        <v>1.2018165390651001</v>
      </c>
      <c r="AX158" t="s">
        <v>424</v>
      </c>
      <c r="AY158">
        <v>1</v>
      </c>
      <c r="AZ158">
        <v>0.78573972223321298</v>
      </c>
      <c r="BA158" t="s">
        <v>448</v>
      </c>
      <c r="BB158">
        <v>2</v>
      </c>
      <c r="BC158">
        <v>0.95631067961164995</v>
      </c>
      <c r="BD158" t="s">
        <v>433</v>
      </c>
      <c r="BE158">
        <v>1</v>
      </c>
      <c r="BF158">
        <v>0.98158640226628802</v>
      </c>
      <c r="BG158" t="s">
        <v>448</v>
      </c>
      <c r="BH158">
        <v>2</v>
      </c>
      <c r="BI158">
        <v>1.02813852813852</v>
      </c>
      <c r="BJ158" t="s">
        <v>446</v>
      </c>
      <c r="BK158">
        <v>3</v>
      </c>
      <c r="BL158">
        <v>1.14754098360655</v>
      </c>
      <c r="BM158" t="s">
        <v>456</v>
      </c>
      <c r="BN158">
        <v>2</v>
      </c>
      <c r="BO158">
        <v>0.98517520215633403</v>
      </c>
      <c r="BP158" t="s">
        <v>471</v>
      </c>
      <c r="BQ158">
        <v>2</v>
      </c>
      <c r="BR158">
        <v>1.19</v>
      </c>
      <c r="BS158" t="s">
        <v>471</v>
      </c>
      <c r="BT158">
        <v>2</v>
      </c>
      <c r="BU158">
        <v>0.88130252100840301</v>
      </c>
      <c r="BV158" t="s">
        <v>452</v>
      </c>
      <c r="BW158">
        <v>2</v>
      </c>
      <c r="BX158">
        <v>0.95683453237409999</v>
      </c>
      <c r="BY158" t="s">
        <v>463</v>
      </c>
      <c r="BZ158">
        <v>1</v>
      </c>
      <c r="CA158">
        <v>0.99307958477508596</v>
      </c>
      <c r="CB158" t="s">
        <v>483</v>
      </c>
      <c r="CC158">
        <v>1</v>
      </c>
      <c r="CD158">
        <v>1.20977011494252</v>
      </c>
      <c r="CE158" t="s">
        <v>463</v>
      </c>
      <c r="CF158">
        <v>1</v>
      </c>
      <c r="CG158">
        <v>1.06370192307692</v>
      </c>
      <c r="CH158" t="s">
        <v>476</v>
      </c>
      <c r="CI158">
        <v>3</v>
      </c>
      <c r="CJ158">
        <v>1.05524861878453</v>
      </c>
      <c r="CK158" t="s">
        <v>488</v>
      </c>
      <c r="CL158">
        <v>2</v>
      </c>
      <c r="CM158">
        <v>0.83928571428571397</v>
      </c>
      <c r="CN158" t="s">
        <v>472</v>
      </c>
      <c r="CO158">
        <v>3</v>
      </c>
      <c r="CP158">
        <v>0.913744075829383</v>
      </c>
      <c r="CQ158" t="s">
        <v>472</v>
      </c>
      <c r="CR158">
        <v>3</v>
      </c>
      <c r="CS158">
        <v>0.81535269709543501</v>
      </c>
      <c r="CT158" t="s">
        <v>490</v>
      </c>
      <c r="CU158">
        <v>3</v>
      </c>
      <c r="CV158">
        <v>1.0281690140844999</v>
      </c>
      <c r="CW158" t="s">
        <v>498</v>
      </c>
      <c r="CX158">
        <v>3</v>
      </c>
      <c r="CY158">
        <v>0.74791666666666601</v>
      </c>
      <c r="CZ158" t="s">
        <v>486</v>
      </c>
      <c r="DA158">
        <v>3</v>
      </c>
      <c r="DB158">
        <v>0.91155046826222597</v>
      </c>
      <c r="DC158" t="s">
        <v>486</v>
      </c>
      <c r="DD158">
        <v>3</v>
      </c>
      <c r="DE158">
        <v>0.98972602739726001</v>
      </c>
      <c r="DF158" t="s">
        <v>497</v>
      </c>
      <c r="DG158">
        <v>3</v>
      </c>
      <c r="DH158">
        <v>1.0366412213740399</v>
      </c>
    </row>
    <row r="159" spans="1:112" x14ac:dyDescent="0.4">
      <c r="A159">
        <v>157</v>
      </c>
      <c r="B159" t="s">
        <v>308</v>
      </c>
      <c r="C159">
        <v>2</v>
      </c>
      <c r="D159">
        <v>0.78458289334741205</v>
      </c>
      <c r="E159" t="s">
        <v>397</v>
      </c>
      <c r="F159">
        <v>2</v>
      </c>
      <c r="G159">
        <v>1.05616949927596</v>
      </c>
      <c r="H159" t="s">
        <v>396</v>
      </c>
      <c r="I159">
        <v>1</v>
      </c>
      <c r="J159">
        <v>0.44551282051281998</v>
      </c>
      <c r="K159" t="s">
        <v>308</v>
      </c>
      <c r="L159">
        <v>2</v>
      </c>
      <c r="M159">
        <v>1.3949801849405501</v>
      </c>
      <c r="N159" t="s">
        <v>395</v>
      </c>
      <c r="O159">
        <v>1</v>
      </c>
      <c r="P159">
        <v>1.4545454545454499</v>
      </c>
      <c r="Q159" t="s">
        <v>408</v>
      </c>
      <c r="R159">
        <v>2</v>
      </c>
      <c r="S159">
        <v>1.1435185185185099</v>
      </c>
      <c r="T159" t="s">
        <v>333</v>
      </c>
      <c r="U159">
        <v>1</v>
      </c>
      <c r="V159">
        <v>0.987179487179487</v>
      </c>
      <c r="W159" t="s">
        <v>333</v>
      </c>
      <c r="X159">
        <v>1</v>
      </c>
      <c r="Y159">
        <v>1.1584415584415499</v>
      </c>
      <c r="Z159" t="s">
        <v>428</v>
      </c>
      <c r="AA159">
        <v>2</v>
      </c>
      <c r="AB159">
        <v>1.1990798088833801</v>
      </c>
      <c r="AC159" t="s">
        <v>408</v>
      </c>
      <c r="AD159">
        <v>2</v>
      </c>
      <c r="AE159">
        <v>0.97435897435897401</v>
      </c>
      <c r="AF159" t="s">
        <v>418</v>
      </c>
      <c r="AG159">
        <v>2</v>
      </c>
      <c r="AH159">
        <v>1.09678953626634</v>
      </c>
      <c r="AI159" t="s">
        <v>408</v>
      </c>
      <c r="AJ159">
        <v>2</v>
      </c>
      <c r="AK159">
        <v>0.95476772616136896</v>
      </c>
      <c r="AL159" t="s">
        <v>417</v>
      </c>
      <c r="AM159">
        <v>3</v>
      </c>
      <c r="AN159">
        <v>1.6497890295358599</v>
      </c>
      <c r="AO159" t="s">
        <v>438</v>
      </c>
      <c r="AP159">
        <v>3</v>
      </c>
      <c r="AQ159">
        <v>0.86282722513089005</v>
      </c>
      <c r="AR159" t="s">
        <v>423</v>
      </c>
      <c r="AS159">
        <v>2</v>
      </c>
      <c r="AT159">
        <v>0.98471986417656998</v>
      </c>
      <c r="AU159" t="s">
        <v>431</v>
      </c>
      <c r="AV159">
        <v>2</v>
      </c>
      <c r="AW159">
        <v>1.06395348837209</v>
      </c>
      <c r="AX159" t="s">
        <v>431</v>
      </c>
      <c r="AY159">
        <v>2</v>
      </c>
      <c r="AZ159">
        <v>1.19125683060109</v>
      </c>
      <c r="BA159" t="s">
        <v>469</v>
      </c>
      <c r="BB159">
        <v>2</v>
      </c>
      <c r="BC159">
        <v>0.88558139534883695</v>
      </c>
      <c r="BD159" t="s">
        <v>440</v>
      </c>
      <c r="BE159">
        <v>2</v>
      </c>
      <c r="BF159">
        <v>0.85961123110151105</v>
      </c>
      <c r="BG159" t="s">
        <v>446</v>
      </c>
      <c r="BH159">
        <v>3</v>
      </c>
      <c r="BI159">
        <v>1.2224448897795499</v>
      </c>
      <c r="BJ159" t="s">
        <v>452</v>
      </c>
      <c r="BK159">
        <v>2</v>
      </c>
      <c r="BL159">
        <v>1.04705882352941</v>
      </c>
      <c r="BM159" t="s">
        <v>468</v>
      </c>
      <c r="BN159">
        <v>2</v>
      </c>
      <c r="BO159">
        <v>1.34729796727813</v>
      </c>
      <c r="BP159" t="s">
        <v>472</v>
      </c>
      <c r="BQ159">
        <v>3</v>
      </c>
      <c r="BR159">
        <v>0.88439306358381498</v>
      </c>
      <c r="BS159" t="s">
        <v>472</v>
      </c>
      <c r="BT159">
        <v>3</v>
      </c>
      <c r="BU159">
        <v>1.1552287581699301</v>
      </c>
      <c r="BV159" t="s">
        <v>456</v>
      </c>
      <c r="BW159">
        <v>2</v>
      </c>
      <c r="BX159">
        <v>1.3009049773755601</v>
      </c>
      <c r="BY159" t="s">
        <v>467</v>
      </c>
      <c r="BZ159">
        <v>2</v>
      </c>
      <c r="CA159">
        <v>1.1343283582089501</v>
      </c>
      <c r="CB159" t="s">
        <v>486</v>
      </c>
      <c r="CC159">
        <v>3</v>
      </c>
      <c r="CD159">
        <v>0.99454297407912595</v>
      </c>
      <c r="CE159" t="s">
        <v>467</v>
      </c>
      <c r="CF159">
        <v>2</v>
      </c>
      <c r="CG159">
        <v>1.03478260869565</v>
      </c>
      <c r="CH159" t="s">
        <v>472</v>
      </c>
      <c r="CI159">
        <v>3</v>
      </c>
      <c r="CJ159">
        <v>0.964560862865947</v>
      </c>
      <c r="CK159" t="s">
        <v>493</v>
      </c>
      <c r="CL159">
        <v>2</v>
      </c>
      <c r="CM159">
        <v>1.04975922953451</v>
      </c>
      <c r="CN159" t="s">
        <v>477</v>
      </c>
      <c r="CO159">
        <v>3</v>
      </c>
      <c r="CP159">
        <v>0.88310394052845598</v>
      </c>
      <c r="CQ159" t="s">
        <v>481</v>
      </c>
      <c r="CR159">
        <v>1</v>
      </c>
      <c r="CS159">
        <v>0.81764705882352895</v>
      </c>
      <c r="CT159" t="s">
        <v>493</v>
      </c>
      <c r="CU159">
        <v>2</v>
      </c>
      <c r="CV159">
        <v>0.95808383233532901</v>
      </c>
      <c r="CW159" t="s">
        <v>500</v>
      </c>
      <c r="CX159">
        <v>2</v>
      </c>
      <c r="CY159">
        <v>0.87577639751552705</v>
      </c>
      <c r="CZ159" t="s">
        <v>488</v>
      </c>
      <c r="DA159">
        <v>3</v>
      </c>
      <c r="DB159">
        <v>1.0499219968798701</v>
      </c>
      <c r="DC159" t="s">
        <v>488</v>
      </c>
      <c r="DD159">
        <v>3</v>
      </c>
      <c r="DE159">
        <v>0.95096582466567603</v>
      </c>
      <c r="DF159" t="s">
        <v>500</v>
      </c>
      <c r="DG159">
        <v>2</v>
      </c>
      <c r="DH159">
        <v>1.1455223880597001</v>
      </c>
    </row>
    <row r="160" spans="1:112" x14ac:dyDescent="0.4">
      <c r="A160">
        <v>158</v>
      </c>
      <c r="B160" t="s">
        <v>396</v>
      </c>
      <c r="C160">
        <v>1</v>
      </c>
      <c r="D160">
        <v>1.20846905537459</v>
      </c>
      <c r="E160" t="s">
        <v>461</v>
      </c>
      <c r="F160">
        <v>3</v>
      </c>
      <c r="G160">
        <v>0.79021756391932596</v>
      </c>
      <c r="H160" t="s">
        <v>310</v>
      </c>
      <c r="I160">
        <v>2</v>
      </c>
      <c r="J160">
        <v>0.679640718562874</v>
      </c>
      <c r="K160" t="s">
        <v>396</v>
      </c>
      <c r="L160">
        <v>1</v>
      </c>
      <c r="M160">
        <v>0.85467625899280497</v>
      </c>
      <c r="N160" t="s">
        <v>308</v>
      </c>
      <c r="O160">
        <v>2</v>
      </c>
      <c r="P160">
        <v>1.55113636363636</v>
      </c>
      <c r="Q160" t="s">
        <v>416</v>
      </c>
      <c r="R160">
        <v>1</v>
      </c>
      <c r="S160">
        <v>0.92198581560283599</v>
      </c>
      <c r="T160" t="s">
        <v>407</v>
      </c>
      <c r="U160">
        <v>2</v>
      </c>
      <c r="V160">
        <v>0.73379174852652196</v>
      </c>
      <c r="W160" t="s">
        <v>407</v>
      </c>
      <c r="X160">
        <v>2</v>
      </c>
      <c r="Y160">
        <v>0.838018741633199</v>
      </c>
      <c r="Z160" t="s">
        <v>421</v>
      </c>
      <c r="AA160">
        <v>3</v>
      </c>
      <c r="AB160">
        <v>0.91947750612297496</v>
      </c>
      <c r="AC160" t="s">
        <v>416</v>
      </c>
      <c r="AD160">
        <v>1</v>
      </c>
      <c r="AE160">
        <v>0.963963963963964</v>
      </c>
      <c r="AF160" t="s">
        <v>420</v>
      </c>
      <c r="AG160">
        <v>1</v>
      </c>
      <c r="AH160">
        <v>1.1876876876876801</v>
      </c>
      <c r="AI160" t="s">
        <v>416</v>
      </c>
      <c r="AJ160">
        <v>1</v>
      </c>
      <c r="AK160">
        <v>0.797468354430379</v>
      </c>
      <c r="AL160" t="s">
        <v>418</v>
      </c>
      <c r="AM160">
        <v>2</v>
      </c>
      <c r="AN160">
        <v>0.986436498150431</v>
      </c>
      <c r="AO160" t="s">
        <v>424</v>
      </c>
      <c r="AP160">
        <v>1</v>
      </c>
      <c r="AQ160">
        <v>0.99879602299207704</v>
      </c>
      <c r="AR160" t="s">
        <v>438</v>
      </c>
      <c r="AS160">
        <v>3</v>
      </c>
      <c r="AT160">
        <v>0.83980582524271796</v>
      </c>
      <c r="AU160" t="s">
        <v>425</v>
      </c>
      <c r="AV160">
        <v>1</v>
      </c>
      <c r="AW160">
        <v>1.2547993019197199</v>
      </c>
      <c r="AX160" t="s">
        <v>453</v>
      </c>
      <c r="AY160">
        <v>3</v>
      </c>
      <c r="AZ160">
        <v>1.0570522979397701</v>
      </c>
      <c r="BA160" t="s">
        <v>446</v>
      </c>
      <c r="BB160">
        <v>3</v>
      </c>
      <c r="BC160">
        <v>1.0234375</v>
      </c>
      <c r="BD160" t="s">
        <v>445</v>
      </c>
      <c r="BE160">
        <v>2</v>
      </c>
      <c r="BF160">
        <v>0.92083333333333295</v>
      </c>
      <c r="BG160" t="s">
        <v>452</v>
      </c>
      <c r="BH160">
        <v>2</v>
      </c>
      <c r="BI160">
        <v>1.04551045510455</v>
      </c>
      <c r="BJ160" t="s">
        <v>456</v>
      </c>
      <c r="BK160">
        <v>2</v>
      </c>
      <c r="BL160">
        <v>1.1415384615384601</v>
      </c>
      <c r="BM160" t="s">
        <v>463</v>
      </c>
      <c r="BN160">
        <v>1</v>
      </c>
      <c r="BO160">
        <v>1.0216216216216201</v>
      </c>
      <c r="BP160" t="s">
        <v>485</v>
      </c>
      <c r="BQ160">
        <v>2</v>
      </c>
      <c r="BR160">
        <v>1.07046070460704</v>
      </c>
      <c r="BS160" t="s">
        <v>485</v>
      </c>
      <c r="BT160">
        <v>2</v>
      </c>
      <c r="BU160">
        <v>1.12025316455696</v>
      </c>
      <c r="BV160" t="s">
        <v>463</v>
      </c>
      <c r="BW160">
        <v>1</v>
      </c>
      <c r="BX160">
        <v>0.87487386478304696</v>
      </c>
      <c r="BY160" t="s">
        <v>472</v>
      </c>
      <c r="BZ160">
        <v>3</v>
      </c>
      <c r="CA160">
        <v>0.96</v>
      </c>
      <c r="CB160" t="s">
        <v>488</v>
      </c>
      <c r="CC160">
        <v>3</v>
      </c>
      <c r="CD160">
        <v>1.0082191780821901</v>
      </c>
      <c r="CE160" t="s">
        <v>471</v>
      </c>
      <c r="CF160">
        <v>2</v>
      </c>
      <c r="CG160">
        <v>1.1251862891207101</v>
      </c>
      <c r="CH160" t="s">
        <v>477</v>
      </c>
      <c r="CI160">
        <v>3</v>
      </c>
      <c r="CJ160">
        <v>0.96410433672790996</v>
      </c>
      <c r="CK160" t="s">
        <v>496</v>
      </c>
      <c r="CL160">
        <v>3</v>
      </c>
      <c r="CM160">
        <v>0.77818181818181797</v>
      </c>
      <c r="CN160" t="s">
        <v>481</v>
      </c>
      <c r="CO160">
        <v>1</v>
      </c>
      <c r="CP160">
        <v>0.9375</v>
      </c>
      <c r="CQ160" t="s">
        <v>483</v>
      </c>
      <c r="CR160">
        <v>1</v>
      </c>
      <c r="CS160">
        <v>0.80104712041884796</v>
      </c>
      <c r="CT160" t="s">
        <v>496</v>
      </c>
      <c r="CU160">
        <v>3</v>
      </c>
      <c r="CV160">
        <v>1.1613958560523401</v>
      </c>
      <c r="CW160" t="s">
        <v>499</v>
      </c>
      <c r="CX160">
        <v>2</v>
      </c>
      <c r="CY160">
        <v>1.0502512562813999</v>
      </c>
      <c r="CZ160" t="s">
        <v>493</v>
      </c>
      <c r="DA160">
        <v>2</v>
      </c>
      <c r="DB160">
        <v>1.0137614678899001</v>
      </c>
      <c r="DC160" t="s">
        <v>490</v>
      </c>
      <c r="DD160">
        <v>3</v>
      </c>
      <c r="DE160">
        <v>0.97520661157024702</v>
      </c>
      <c r="DF160" t="s">
        <v>501</v>
      </c>
      <c r="DG160">
        <v>3</v>
      </c>
      <c r="DH160">
        <v>1.04585152838427</v>
      </c>
    </row>
    <row r="161" spans="1:112" x14ac:dyDescent="0.4">
      <c r="A161">
        <v>159</v>
      </c>
      <c r="B161" t="s">
        <v>397</v>
      </c>
      <c r="C161">
        <v>2</v>
      </c>
      <c r="D161">
        <v>1.0091330346670699</v>
      </c>
      <c r="E161" t="s">
        <v>310</v>
      </c>
      <c r="F161">
        <v>2</v>
      </c>
      <c r="G161">
        <v>0.70020964360587001</v>
      </c>
      <c r="H161" t="s">
        <v>450</v>
      </c>
      <c r="I161">
        <v>2</v>
      </c>
      <c r="J161">
        <v>0.73347591404419998</v>
      </c>
      <c r="K161" t="s">
        <v>397</v>
      </c>
      <c r="L161">
        <v>2</v>
      </c>
      <c r="M161">
        <v>0.85423391435334595</v>
      </c>
      <c r="N161" t="s">
        <v>396</v>
      </c>
      <c r="O161">
        <v>1</v>
      </c>
      <c r="P161">
        <v>1.62962962962962</v>
      </c>
      <c r="Q161" t="s">
        <v>335</v>
      </c>
      <c r="R161">
        <v>3</v>
      </c>
      <c r="S161">
        <v>1.1428571428571399</v>
      </c>
      <c r="T161" t="s">
        <v>408</v>
      </c>
      <c r="U161">
        <v>2</v>
      </c>
      <c r="V161">
        <v>0.78542510121457398</v>
      </c>
      <c r="W161" t="s">
        <v>408</v>
      </c>
      <c r="X161">
        <v>2</v>
      </c>
      <c r="Y161">
        <v>1.0360824742268</v>
      </c>
      <c r="Z161" t="s">
        <v>343</v>
      </c>
      <c r="AA161">
        <v>1</v>
      </c>
      <c r="AB161">
        <v>0.84226190476190399</v>
      </c>
      <c r="AC161" t="s">
        <v>417</v>
      </c>
      <c r="AD161">
        <v>3</v>
      </c>
      <c r="AE161">
        <v>1.02145922746781</v>
      </c>
      <c r="AF161" t="s">
        <v>428</v>
      </c>
      <c r="AG161">
        <v>3</v>
      </c>
      <c r="AH161">
        <v>0.77787381158167601</v>
      </c>
      <c r="AI161" t="s">
        <v>335</v>
      </c>
      <c r="AJ161">
        <v>3</v>
      </c>
      <c r="AK161">
        <v>0.86417657045840401</v>
      </c>
      <c r="AL161" t="s">
        <v>428</v>
      </c>
      <c r="AM161">
        <v>3</v>
      </c>
      <c r="AN161">
        <v>0.95469255663430397</v>
      </c>
      <c r="AO161" t="s">
        <v>431</v>
      </c>
      <c r="AP161">
        <v>2</v>
      </c>
      <c r="AQ161">
        <v>0.97105263157894695</v>
      </c>
      <c r="AR161" t="s">
        <v>424</v>
      </c>
      <c r="AS161">
        <v>1</v>
      </c>
      <c r="AT161">
        <v>0.81770813080841398</v>
      </c>
      <c r="AU161" t="s">
        <v>453</v>
      </c>
      <c r="AV161">
        <v>3</v>
      </c>
      <c r="AW161">
        <v>0.90142857142857102</v>
      </c>
      <c r="AX161" t="s">
        <v>455</v>
      </c>
      <c r="AY161">
        <v>1</v>
      </c>
      <c r="AZ161">
        <v>0.89800770681315001</v>
      </c>
      <c r="BA161" t="s">
        <v>470</v>
      </c>
      <c r="BB161">
        <v>2</v>
      </c>
      <c r="BC161">
        <v>1.2952213427147401</v>
      </c>
      <c r="BD161" t="s">
        <v>448</v>
      </c>
      <c r="BE161">
        <v>2</v>
      </c>
      <c r="BF161">
        <v>1.1725888324872999</v>
      </c>
      <c r="BG161" t="s">
        <v>474</v>
      </c>
      <c r="BH161">
        <v>3</v>
      </c>
      <c r="BI161">
        <v>0.94280053652953899</v>
      </c>
      <c r="BJ161" t="s">
        <v>460</v>
      </c>
      <c r="BK161">
        <v>3</v>
      </c>
      <c r="BL161">
        <v>1.4238410596026401</v>
      </c>
      <c r="BM161" t="s">
        <v>478</v>
      </c>
      <c r="BN161">
        <v>3</v>
      </c>
      <c r="BO161">
        <v>1.10728476821192</v>
      </c>
      <c r="BP161" t="s">
        <v>481</v>
      </c>
      <c r="BQ161">
        <v>1</v>
      </c>
      <c r="BR161">
        <v>1.1342857142857099</v>
      </c>
      <c r="BS161" t="s">
        <v>481</v>
      </c>
      <c r="BT161">
        <v>1</v>
      </c>
      <c r="BU161">
        <v>1.05037783375314</v>
      </c>
      <c r="BV161" t="s">
        <v>467</v>
      </c>
      <c r="BW161">
        <v>2</v>
      </c>
      <c r="BX161">
        <v>0.99504950495049505</v>
      </c>
      <c r="BY161" t="s">
        <v>481</v>
      </c>
      <c r="BZ161">
        <v>1</v>
      </c>
      <c r="CA161">
        <v>1.14844804318488</v>
      </c>
      <c r="CB161" t="s">
        <v>491</v>
      </c>
      <c r="CC161">
        <v>1</v>
      </c>
      <c r="CD161">
        <v>0.91073326248671604</v>
      </c>
      <c r="CE161" t="s">
        <v>472</v>
      </c>
      <c r="CF161">
        <v>3</v>
      </c>
      <c r="CG161">
        <v>1.0925925925925899</v>
      </c>
      <c r="CH161" t="s">
        <v>481</v>
      </c>
      <c r="CI161">
        <v>1</v>
      </c>
      <c r="CJ161">
        <v>0.98671096345514897</v>
      </c>
      <c r="CK161" t="s">
        <v>497</v>
      </c>
      <c r="CL161">
        <v>3</v>
      </c>
      <c r="CM161">
        <v>0.85667396061269097</v>
      </c>
      <c r="CN161" t="s">
        <v>483</v>
      </c>
      <c r="CO161">
        <v>1</v>
      </c>
      <c r="CP161">
        <v>0.961006289308176</v>
      </c>
      <c r="CQ161" t="s">
        <v>486</v>
      </c>
      <c r="CR161">
        <v>3</v>
      </c>
      <c r="CS161">
        <v>1.06372549019607</v>
      </c>
      <c r="CT161" t="s">
        <v>497</v>
      </c>
      <c r="CU161">
        <v>3</v>
      </c>
      <c r="CV161">
        <v>1.0213740458015199</v>
      </c>
      <c r="CW161" t="s">
        <v>501</v>
      </c>
      <c r="CX161">
        <v>3</v>
      </c>
      <c r="CY161">
        <v>1.0879345603271899</v>
      </c>
      <c r="CZ161" t="s">
        <v>497</v>
      </c>
      <c r="DA161">
        <v>3</v>
      </c>
      <c r="DB161">
        <v>0.91782729805013896</v>
      </c>
      <c r="DC161" t="s">
        <v>493</v>
      </c>
      <c r="DD161">
        <v>2</v>
      </c>
      <c r="DE161">
        <v>0.95475113122171895</v>
      </c>
      <c r="DF161" t="s">
        <v>502</v>
      </c>
      <c r="DG161">
        <v>2</v>
      </c>
      <c r="DH161">
        <v>1.0146082337317299</v>
      </c>
    </row>
    <row r="162" spans="1:112" x14ac:dyDescent="0.4">
      <c r="A162">
        <v>160</v>
      </c>
      <c r="B162" t="s">
        <v>310</v>
      </c>
      <c r="C162">
        <v>2</v>
      </c>
      <c r="D162">
        <v>1.125</v>
      </c>
      <c r="E162" t="s">
        <v>450</v>
      </c>
      <c r="F162">
        <v>2</v>
      </c>
      <c r="G162">
        <v>0.73036298720618797</v>
      </c>
      <c r="H162" t="s">
        <v>323</v>
      </c>
      <c r="I162">
        <v>2</v>
      </c>
      <c r="J162">
        <v>0.77272727272727204</v>
      </c>
      <c r="K162" t="s">
        <v>310</v>
      </c>
      <c r="L162">
        <v>2</v>
      </c>
      <c r="M162">
        <v>1.3215859030837001</v>
      </c>
      <c r="N162" t="s">
        <v>397</v>
      </c>
      <c r="O162">
        <v>2</v>
      </c>
      <c r="P162">
        <v>1.5359133419403499</v>
      </c>
      <c r="Q162" t="s">
        <v>417</v>
      </c>
      <c r="R162">
        <v>3</v>
      </c>
      <c r="S162">
        <v>1.0889292196007201</v>
      </c>
      <c r="T162" t="s">
        <v>416</v>
      </c>
      <c r="U162">
        <v>1</v>
      </c>
      <c r="V162">
        <v>1.05128205128205</v>
      </c>
      <c r="W162" t="s">
        <v>416</v>
      </c>
      <c r="X162">
        <v>1</v>
      </c>
      <c r="Y162">
        <v>0.94390243902438997</v>
      </c>
      <c r="Z162" t="s">
        <v>423</v>
      </c>
      <c r="AA162">
        <v>3</v>
      </c>
      <c r="AB162">
        <v>0.85210322195704002</v>
      </c>
      <c r="AC162" t="s">
        <v>418</v>
      </c>
      <c r="AD162">
        <v>2</v>
      </c>
      <c r="AE162">
        <v>0.94113697403759999</v>
      </c>
      <c r="AF162" t="s">
        <v>435</v>
      </c>
      <c r="AG162">
        <v>3</v>
      </c>
      <c r="AH162">
        <v>1.14925373134328</v>
      </c>
      <c r="AI162" t="s">
        <v>418</v>
      </c>
      <c r="AJ162">
        <v>2</v>
      </c>
      <c r="AK162">
        <v>0.87922810060711099</v>
      </c>
      <c r="AL162" t="s">
        <v>435</v>
      </c>
      <c r="AM162">
        <v>3</v>
      </c>
      <c r="AN162">
        <v>0.86991869918699105</v>
      </c>
      <c r="AO162" t="s">
        <v>451</v>
      </c>
      <c r="AP162">
        <v>2</v>
      </c>
      <c r="AQ162">
        <v>0.78933680104031201</v>
      </c>
      <c r="AR162" t="s">
        <v>451</v>
      </c>
      <c r="AS162">
        <v>2</v>
      </c>
      <c r="AT162">
        <v>1.09225700164744</v>
      </c>
      <c r="AU162" t="s">
        <v>455</v>
      </c>
      <c r="AV162">
        <v>1</v>
      </c>
      <c r="AW162">
        <v>1.2550936406668001</v>
      </c>
      <c r="AX162" t="s">
        <v>433</v>
      </c>
      <c r="AY162">
        <v>1</v>
      </c>
      <c r="AZ162">
        <v>0.87644341801385595</v>
      </c>
      <c r="BA162" t="s">
        <v>457</v>
      </c>
      <c r="BB162">
        <v>1</v>
      </c>
      <c r="BC162">
        <v>0.95137157107231896</v>
      </c>
      <c r="BD162" t="s">
        <v>446</v>
      </c>
      <c r="BE162">
        <v>3</v>
      </c>
      <c r="BF162">
        <v>0.95229007633587703</v>
      </c>
      <c r="BG162" t="s">
        <v>456</v>
      </c>
      <c r="BH162">
        <v>2</v>
      </c>
      <c r="BI162">
        <v>1.0690789473684199</v>
      </c>
      <c r="BJ162" t="s">
        <v>468</v>
      </c>
      <c r="BK162">
        <v>2</v>
      </c>
      <c r="BL162">
        <v>0.56546117185309697</v>
      </c>
      <c r="BM162" t="s">
        <v>467</v>
      </c>
      <c r="BN162">
        <v>2</v>
      </c>
      <c r="BO162">
        <v>1</v>
      </c>
      <c r="BP162" t="s">
        <v>483</v>
      </c>
      <c r="BQ162">
        <v>1</v>
      </c>
      <c r="BR162">
        <v>1.1153846153846101</v>
      </c>
      <c r="BS162" t="s">
        <v>483</v>
      </c>
      <c r="BT162">
        <v>1</v>
      </c>
      <c r="BU162">
        <v>0.94344827586206803</v>
      </c>
      <c r="BV162" t="s">
        <v>471</v>
      </c>
      <c r="BW162">
        <v>2</v>
      </c>
      <c r="BX162">
        <v>1.1072705601907</v>
      </c>
      <c r="BY162" t="s">
        <v>483</v>
      </c>
      <c r="BZ162">
        <v>1</v>
      </c>
      <c r="CA162">
        <v>1.07407407407407</v>
      </c>
      <c r="CB162" t="s">
        <v>494</v>
      </c>
      <c r="CC162">
        <v>2</v>
      </c>
      <c r="CD162">
        <v>0.75845410628019305</v>
      </c>
      <c r="CE162" t="s">
        <v>481</v>
      </c>
      <c r="CF162">
        <v>1</v>
      </c>
      <c r="CG162">
        <v>0.890532544378698</v>
      </c>
      <c r="CH162" t="s">
        <v>483</v>
      </c>
      <c r="CI162">
        <v>1</v>
      </c>
      <c r="CJ162">
        <v>1.05633802816901</v>
      </c>
      <c r="CK162" t="s">
        <v>498</v>
      </c>
      <c r="CL162">
        <v>3</v>
      </c>
      <c r="CM162">
        <v>0.89591836734693797</v>
      </c>
      <c r="CN162" t="s">
        <v>486</v>
      </c>
      <c r="CO162">
        <v>3</v>
      </c>
      <c r="CP162">
        <v>0.90666666666666595</v>
      </c>
      <c r="CQ162" t="s">
        <v>488</v>
      </c>
      <c r="CR162">
        <v>2</v>
      </c>
      <c r="CS162">
        <v>0.89561270801815396</v>
      </c>
      <c r="CT162" t="s">
        <v>498</v>
      </c>
      <c r="CU162">
        <v>3</v>
      </c>
      <c r="CV162">
        <v>1.0278372591006399</v>
      </c>
      <c r="CW162" t="s">
        <v>502</v>
      </c>
      <c r="CX162">
        <v>2</v>
      </c>
      <c r="CY162">
        <v>1.06674612634088</v>
      </c>
      <c r="CZ162" t="s">
        <v>498</v>
      </c>
      <c r="DA162">
        <v>3</v>
      </c>
      <c r="DB162">
        <v>1.00278551532033</v>
      </c>
      <c r="DC162" t="s">
        <v>497</v>
      </c>
      <c r="DD162">
        <v>3</v>
      </c>
      <c r="DE162">
        <v>0.993930197268588</v>
      </c>
      <c r="DF162" t="s">
        <v>503</v>
      </c>
      <c r="DG162">
        <v>1</v>
      </c>
      <c r="DH162">
        <v>1.1428571428571399</v>
      </c>
    </row>
    <row r="163" spans="1:112" x14ac:dyDescent="0.4">
      <c r="A163">
        <v>161</v>
      </c>
      <c r="B163" t="s">
        <v>450</v>
      </c>
      <c r="C163">
        <v>2</v>
      </c>
      <c r="D163">
        <v>1.09590381088241</v>
      </c>
      <c r="E163" t="s">
        <v>323</v>
      </c>
      <c r="F163">
        <v>2</v>
      </c>
      <c r="G163">
        <v>0.88235294117647001</v>
      </c>
      <c r="H163" t="s">
        <v>402</v>
      </c>
      <c r="I163">
        <v>1</v>
      </c>
      <c r="J163">
        <v>0.44000025580790503</v>
      </c>
      <c r="K163" t="s">
        <v>450</v>
      </c>
      <c r="L163">
        <v>2</v>
      </c>
      <c r="M163">
        <v>0.95334629269647297</v>
      </c>
      <c r="N163" t="s">
        <v>310</v>
      </c>
      <c r="O163">
        <v>2</v>
      </c>
      <c r="P163">
        <v>1.11666666666666</v>
      </c>
      <c r="Q163" t="s">
        <v>428</v>
      </c>
      <c r="R163">
        <v>2</v>
      </c>
      <c r="S163">
        <v>0.98986608758595696</v>
      </c>
      <c r="T163" t="s">
        <v>417</v>
      </c>
      <c r="U163">
        <v>3</v>
      </c>
      <c r="V163">
        <v>1.02</v>
      </c>
      <c r="W163" t="s">
        <v>335</v>
      </c>
      <c r="X163">
        <v>3</v>
      </c>
      <c r="Y163">
        <v>1.0284005979073201</v>
      </c>
      <c r="Z163" t="s">
        <v>431</v>
      </c>
      <c r="AA163">
        <v>2</v>
      </c>
      <c r="AB163">
        <v>1.13618677042801</v>
      </c>
      <c r="AC163" t="s">
        <v>428</v>
      </c>
      <c r="AD163">
        <v>3</v>
      </c>
      <c r="AE163">
        <v>1.0244982290436799</v>
      </c>
      <c r="AF163" t="s">
        <v>343</v>
      </c>
      <c r="AG163">
        <v>1</v>
      </c>
      <c r="AH163">
        <v>1.0266283524904201</v>
      </c>
      <c r="AI163" t="s">
        <v>428</v>
      </c>
      <c r="AJ163">
        <v>3</v>
      </c>
      <c r="AK163">
        <v>1.1444444444444399</v>
      </c>
      <c r="AL163" t="s">
        <v>343</v>
      </c>
      <c r="AM163">
        <v>1</v>
      </c>
      <c r="AN163">
        <v>1.00814103643815</v>
      </c>
      <c r="AO163" t="s">
        <v>453</v>
      </c>
      <c r="AP163">
        <v>3</v>
      </c>
      <c r="AQ163">
        <v>1.5388127853881199</v>
      </c>
      <c r="AR163" t="s">
        <v>453</v>
      </c>
      <c r="AS163">
        <v>3</v>
      </c>
      <c r="AT163">
        <v>1.03857566765578</v>
      </c>
      <c r="AU163" t="s">
        <v>433</v>
      </c>
      <c r="AV163">
        <v>1</v>
      </c>
      <c r="AW163">
        <v>1.0573870573870501</v>
      </c>
      <c r="AX163" t="s">
        <v>436</v>
      </c>
      <c r="AY163">
        <v>3</v>
      </c>
      <c r="AZ163">
        <v>0.77699530516431903</v>
      </c>
      <c r="BA163" t="s">
        <v>452</v>
      </c>
      <c r="BB163">
        <v>2</v>
      </c>
      <c r="BC163">
        <v>1.25</v>
      </c>
      <c r="BD163" t="s">
        <v>470</v>
      </c>
      <c r="BE163">
        <v>2</v>
      </c>
      <c r="BF163">
        <v>1.7022408329560801</v>
      </c>
      <c r="BG163" t="s">
        <v>460</v>
      </c>
      <c r="BH163">
        <v>3</v>
      </c>
      <c r="BI163">
        <v>1.0413793103448199</v>
      </c>
      <c r="BJ163" t="s">
        <v>478</v>
      </c>
      <c r="BK163">
        <v>3</v>
      </c>
      <c r="BL163">
        <v>1.2157809983896899</v>
      </c>
      <c r="BM163" t="s">
        <v>471</v>
      </c>
      <c r="BN163">
        <v>2</v>
      </c>
      <c r="BO163">
        <v>0.93786635404454799</v>
      </c>
      <c r="BP163" t="s">
        <v>486</v>
      </c>
      <c r="BQ163">
        <v>3</v>
      </c>
      <c r="BR163">
        <v>1.04339622641509</v>
      </c>
      <c r="BS163" t="s">
        <v>486</v>
      </c>
      <c r="BT163">
        <v>3</v>
      </c>
      <c r="BU163">
        <v>1.03074141048824</v>
      </c>
      <c r="BV163" t="s">
        <v>472</v>
      </c>
      <c r="BW163">
        <v>3</v>
      </c>
      <c r="BX163">
        <v>0.91937765205091904</v>
      </c>
      <c r="BY163" t="s">
        <v>486</v>
      </c>
      <c r="BZ163">
        <v>3</v>
      </c>
      <c r="CA163">
        <v>0.904938271604938</v>
      </c>
      <c r="CB163" t="s">
        <v>496</v>
      </c>
      <c r="CC163">
        <v>3</v>
      </c>
      <c r="CD163">
        <v>0.84895259095920605</v>
      </c>
      <c r="CE163" t="s">
        <v>486</v>
      </c>
      <c r="CF163">
        <v>3</v>
      </c>
      <c r="CG163">
        <v>1.1796982167352501</v>
      </c>
      <c r="CH163" t="s">
        <v>486</v>
      </c>
      <c r="CI163">
        <v>3</v>
      </c>
      <c r="CJ163">
        <v>1.2674418604651101</v>
      </c>
      <c r="CK163" t="s">
        <v>499</v>
      </c>
      <c r="CL163">
        <v>2</v>
      </c>
      <c r="CM163">
        <v>0.78559999999999997</v>
      </c>
      <c r="CN163" t="s">
        <v>488</v>
      </c>
      <c r="CO163">
        <v>2</v>
      </c>
      <c r="CP163">
        <v>0.93758865248226897</v>
      </c>
      <c r="CQ163" t="s">
        <v>491</v>
      </c>
      <c r="CR163">
        <v>1</v>
      </c>
      <c r="CS163">
        <v>1.1372549019607801</v>
      </c>
      <c r="CT163" t="s">
        <v>500</v>
      </c>
      <c r="CU163">
        <v>2</v>
      </c>
      <c r="CV163">
        <v>0.98320610687022902</v>
      </c>
      <c r="CW163" t="s">
        <v>503</v>
      </c>
      <c r="CX163">
        <v>1</v>
      </c>
      <c r="CY163">
        <v>1.1407624633430999</v>
      </c>
      <c r="CZ163" t="s">
        <v>500</v>
      </c>
      <c r="DA163">
        <v>2</v>
      </c>
      <c r="DB163">
        <v>0.930851063829787</v>
      </c>
      <c r="DC163" t="s">
        <v>498</v>
      </c>
      <c r="DD163">
        <v>3</v>
      </c>
      <c r="DE163">
        <v>1.0916666666666599</v>
      </c>
      <c r="DF163" t="s">
        <v>506</v>
      </c>
      <c r="DG163">
        <v>3</v>
      </c>
      <c r="DH163">
        <v>1.02086677367576</v>
      </c>
    </row>
    <row r="164" spans="1:112" x14ac:dyDescent="0.4">
      <c r="A164">
        <v>162</v>
      </c>
      <c r="B164" t="s">
        <v>314</v>
      </c>
      <c r="C164">
        <v>3</v>
      </c>
      <c r="D164">
        <v>1.0498015481043801</v>
      </c>
      <c r="E164" t="s">
        <v>329</v>
      </c>
      <c r="F164">
        <v>2</v>
      </c>
      <c r="G164">
        <v>0.89197080291970798</v>
      </c>
      <c r="H164" t="s">
        <v>409</v>
      </c>
      <c r="I164">
        <v>3</v>
      </c>
      <c r="J164">
        <v>0.49734684032802701</v>
      </c>
      <c r="K164" t="s">
        <v>317</v>
      </c>
      <c r="L164">
        <v>2</v>
      </c>
      <c r="M164">
        <v>1.3958333333333299</v>
      </c>
      <c r="N164" t="s">
        <v>450</v>
      </c>
      <c r="O164">
        <v>2</v>
      </c>
      <c r="P164">
        <v>1.1958199825225699</v>
      </c>
      <c r="Q164" t="s">
        <v>421</v>
      </c>
      <c r="R164">
        <v>3</v>
      </c>
      <c r="S164">
        <v>0.99598393574297095</v>
      </c>
      <c r="T164" t="s">
        <v>428</v>
      </c>
      <c r="U164">
        <v>2</v>
      </c>
      <c r="V164">
        <v>1</v>
      </c>
      <c r="W164" t="s">
        <v>417</v>
      </c>
      <c r="X164">
        <v>3</v>
      </c>
      <c r="Y164">
        <v>1.36928104575163</v>
      </c>
      <c r="Z164" t="s">
        <v>482</v>
      </c>
      <c r="AA164">
        <v>2</v>
      </c>
      <c r="AB164">
        <v>1.05688622754491</v>
      </c>
      <c r="AC164" t="s">
        <v>435</v>
      </c>
      <c r="AD164">
        <v>3</v>
      </c>
      <c r="AE164">
        <v>0.99834437086092698</v>
      </c>
      <c r="AF164" t="s">
        <v>423</v>
      </c>
      <c r="AG164">
        <v>2</v>
      </c>
      <c r="AH164">
        <v>1.10182546406839</v>
      </c>
      <c r="AI164" t="s">
        <v>435</v>
      </c>
      <c r="AJ164">
        <v>3</v>
      </c>
      <c r="AK164">
        <v>0.88744588744588704</v>
      </c>
      <c r="AL164" t="s">
        <v>423</v>
      </c>
      <c r="AM164">
        <v>2</v>
      </c>
      <c r="AN164">
        <v>0.95459931861946301</v>
      </c>
      <c r="AO164" t="s">
        <v>455</v>
      </c>
      <c r="AP164">
        <v>1</v>
      </c>
      <c r="AQ164">
        <v>0.85555797259082</v>
      </c>
      <c r="AR164" t="s">
        <v>455</v>
      </c>
      <c r="AS164">
        <v>1</v>
      </c>
      <c r="AT164">
        <v>0.82362912111195796</v>
      </c>
      <c r="AU164" t="s">
        <v>436</v>
      </c>
      <c r="AV164">
        <v>3</v>
      </c>
      <c r="AW164">
        <v>1.2067988668555201</v>
      </c>
      <c r="AX164" t="s">
        <v>440</v>
      </c>
      <c r="AY164">
        <v>2</v>
      </c>
      <c r="AZ164">
        <v>0.75655430711610405</v>
      </c>
      <c r="BA164" t="s">
        <v>456</v>
      </c>
      <c r="BB164">
        <v>2</v>
      </c>
      <c r="BC164">
        <v>1.0311284046692599</v>
      </c>
      <c r="BD164" t="s">
        <v>457</v>
      </c>
      <c r="BE164">
        <v>1</v>
      </c>
      <c r="BF164">
        <v>1.0314547837483601</v>
      </c>
      <c r="BG164" t="s">
        <v>468</v>
      </c>
      <c r="BH164">
        <v>2</v>
      </c>
      <c r="BI164">
        <v>0.97094983894626996</v>
      </c>
      <c r="BJ164" t="s">
        <v>467</v>
      </c>
      <c r="BK164">
        <v>2</v>
      </c>
      <c r="BL164">
        <v>0.97727272727272696</v>
      </c>
      <c r="BM164" t="s">
        <v>472</v>
      </c>
      <c r="BN164">
        <v>3</v>
      </c>
      <c r="BO164">
        <v>0.97602256699576795</v>
      </c>
      <c r="BP164" t="s">
        <v>495</v>
      </c>
      <c r="BQ164">
        <v>3</v>
      </c>
      <c r="BR164">
        <v>0.98646034816247496</v>
      </c>
      <c r="BS164" t="s">
        <v>495</v>
      </c>
      <c r="BT164">
        <v>3</v>
      </c>
      <c r="BU164">
        <v>0.82352941176470495</v>
      </c>
      <c r="BV164" t="s">
        <v>485</v>
      </c>
      <c r="BW164">
        <v>2</v>
      </c>
      <c r="BX164">
        <v>2.0847457627118602</v>
      </c>
      <c r="BY164" t="s">
        <v>495</v>
      </c>
      <c r="BZ164">
        <v>3</v>
      </c>
      <c r="CA164">
        <v>1.3007968127489999</v>
      </c>
      <c r="CB164" t="s">
        <v>497</v>
      </c>
      <c r="CC164">
        <v>3</v>
      </c>
      <c r="CD164">
        <v>1.2904148783977101</v>
      </c>
      <c r="CE164" t="s">
        <v>488</v>
      </c>
      <c r="CF164">
        <v>3</v>
      </c>
      <c r="CG164">
        <v>0.95244565217391297</v>
      </c>
      <c r="CH164" t="s">
        <v>488</v>
      </c>
      <c r="CI164">
        <v>3</v>
      </c>
      <c r="CJ164">
        <v>1.1982881597717501</v>
      </c>
      <c r="CK164" t="s">
        <v>502</v>
      </c>
      <c r="CL164">
        <v>3</v>
      </c>
      <c r="CM164">
        <v>1.36492220650636</v>
      </c>
      <c r="CN164" t="s">
        <v>491</v>
      </c>
      <c r="CO164">
        <v>1</v>
      </c>
      <c r="CP164">
        <v>1.27627627627627</v>
      </c>
      <c r="CQ164" t="s">
        <v>494</v>
      </c>
      <c r="CR164">
        <v>2</v>
      </c>
      <c r="CS164">
        <v>0.80174563591022396</v>
      </c>
      <c r="CT164" t="s">
        <v>499</v>
      </c>
      <c r="CU164">
        <v>2</v>
      </c>
      <c r="CV164">
        <v>1.0679785330948099</v>
      </c>
      <c r="CW164" t="s">
        <v>506</v>
      </c>
      <c r="CX164">
        <v>3</v>
      </c>
      <c r="CY164">
        <v>1.0128617363343999</v>
      </c>
      <c r="CZ164" t="s">
        <v>499</v>
      </c>
      <c r="DA164">
        <v>2</v>
      </c>
      <c r="DB164">
        <v>1.2376395534290201</v>
      </c>
      <c r="DC164" t="s">
        <v>500</v>
      </c>
      <c r="DD164">
        <v>2</v>
      </c>
      <c r="DE164">
        <v>1.0209523809523799</v>
      </c>
      <c r="DF164" t="s">
        <v>510</v>
      </c>
      <c r="DG164">
        <v>2</v>
      </c>
      <c r="DH164">
        <v>1.05555555555555</v>
      </c>
    </row>
    <row r="165" spans="1:112" x14ac:dyDescent="0.4">
      <c r="A165">
        <v>163</v>
      </c>
      <c r="B165" t="s">
        <v>323</v>
      </c>
      <c r="C165">
        <v>2</v>
      </c>
      <c r="D165">
        <v>1.08720930232558</v>
      </c>
      <c r="E165" t="s">
        <v>335</v>
      </c>
      <c r="F165">
        <v>3</v>
      </c>
      <c r="G165">
        <v>0.63003901170351095</v>
      </c>
      <c r="H165" t="s">
        <v>329</v>
      </c>
      <c r="I165">
        <v>2</v>
      </c>
      <c r="J165">
        <v>0.94926350245499103</v>
      </c>
      <c r="K165" t="s">
        <v>323</v>
      </c>
      <c r="L165">
        <v>2</v>
      </c>
      <c r="M165">
        <v>0.95686274509803904</v>
      </c>
      <c r="N165" t="s">
        <v>323</v>
      </c>
      <c r="O165">
        <v>2</v>
      </c>
      <c r="P165">
        <v>1.1086065573770401</v>
      </c>
      <c r="Q165" t="s">
        <v>343</v>
      </c>
      <c r="R165">
        <v>1</v>
      </c>
      <c r="S165">
        <v>1.1059602649006599</v>
      </c>
      <c r="T165" t="s">
        <v>343</v>
      </c>
      <c r="U165">
        <v>1</v>
      </c>
      <c r="V165">
        <v>0.984038818913896</v>
      </c>
      <c r="W165" t="s">
        <v>428</v>
      </c>
      <c r="X165">
        <v>2</v>
      </c>
      <c r="Y165">
        <v>1.0330895795246799</v>
      </c>
      <c r="Z165" t="s">
        <v>453</v>
      </c>
      <c r="AA165">
        <v>3</v>
      </c>
      <c r="AB165">
        <v>1.0709677419354799</v>
      </c>
      <c r="AC165" t="s">
        <v>343</v>
      </c>
      <c r="AD165">
        <v>1</v>
      </c>
      <c r="AE165">
        <v>1.0176678445229601</v>
      </c>
      <c r="AF165" t="s">
        <v>431</v>
      </c>
      <c r="AG165">
        <v>2</v>
      </c>
      <c r="AH165">
        <v>1.1666666666666601</v>
      </c>
      <c r="AI165" t="s">
        <v>343</v>
      </c>
      <c r="AJ165">
        <v>1</v>
      </c>
      <c r="AK165">
        <v>0.83089195745474898</v>
      </c>
      <c r="AL165" t="s">
        <v>431</v>
      </c>
      <c r="AM165">
        <v>2</v>
      </c>
      <c r="AN165">
        <v>1.03825136612021</v>
      </c>
      <c r="AO165" t="s">
        <v>433</v>
      </c>
      <c r="AP165">
        <v>1</v>
      </c>
      <c r="AQ165">
        <v>0.92481977342945398</v>
      </c>
      <c r="AR165" t="s">
        <v>433</v>
      </c>
      <c r="AS165">
        <v>1</v>
      </c>
      <c r="AT165">
        <v>0.91202672605790602</v>
      </c>
      <c r="AU165" t="s">
        <v>440</v>
      </c>
      <c r="AV165">
        <v>2</v>
      </c>
      <c r="AW165">
        <v>1.1866666666666601</v>
      </c>
      <c r="AX165" t="s">
        <v>447</v>
      </c>
      <c r="AY165">
        <v>3</v>
      </c>
      <c r="AZ165">
        <v>0.85281385281385202</v>
      </c>
      <c r="BA165" t="s">
        <v>468</v>
      </c>
      <c r="BB165">
        <v>2</v>
      </c>
      <c r="BC165">
        <v>0.82283087312632597</v>
      </c>
      <c r="BD165" t="s">
        <v>452</v>
      </c>
      <c r="BE165">
        <v>2</v>
      </c>
      <c r="BF165">
        <v>1.2703125</v>
      </c>
      <c r="BG165" t="s">
        <v>478</v>
      </c>
      <c r="BH165">
        <v>3</v>
      </c>
      <c r="BI165">
        <v>1.00485436893203</v>
      </c>
      <c r="BJ165" t="s">
        <v>471</v>
      </c>
      <c r="BK165">
        <v>2</v>
      </c>
      <c r="BL165">
        <v>1.0662499999999999</v>
      </c>
      <c r="BM165" t="s">
        <v>485</v>
      </c>
      <c r="BN165">
        <v>2</v>
      </c>
      <c r="BO165">
        <v>0.814569536423841</v>
      </c>
      <c r="BP165" t="s">
        <v>488</v>
      </c>
      <c r="BQ165">
        <v>3</v>
      </c>
      <c r="BR165">
        <v>0.92647058823529405</v>
      </c>
      <c r="BS165" t="s">
        <v>488</v>
      </c>
      <c r="BT165">
        <v>3</v>
      </c>
      <c r="BU165">
        <v>1.0116402116402099</v>
      </c>
      <c r="BV165" t="s">
        <v>481</v>
      </c>
      <c r="BW165">
        <v>1</v>
      </c>
      <c r="BX165">
        <v>0.888489208633093</v>
      </c>
      <c r="BY165" t="s">
        <v>488</v>
      </c>
      <c r="BZ165">
        <v>3</v>
      </c>
      <c r="CA165">
        <v>1.2146422628951701</v>
      </c>
      <c r="CB165" t="s">
        <v>498</v>
      </c>
      <c r="CC165">
        <v>3</v>
      </c>
      <c r="CD165">
        <v>0.92352941176470504</v>
      </c>
      <c r="CE165" t="s">
        <v>491</v>
      </c>
      <c r="CF165">
        <v>1</v>
      </c>
      <c r="CG165">
        <v>1.20770128354725</v>
      </c>
      <c r="CH165" t="s">
        <v>491</v>
      </c>
      <c r="CI165">
        <v>1</v>
      </c>
      <c r="CJ165">
        <v>1.0869565217391299</v>
      </c>
      <c r="CK165" t="s">
        <v>503</v>
      </c>
      <c r="CL165">
        <v>1</v>
      </c>
      <c r="CM165">
        <v>0.88944099378881902</v>
      </c>
      <c r="CN165" t="s">
        <v>494</v>
      </c>
      <c r="CO165">
        <v>2</v>
      </c>
      <c r="CP165">
        <v>1.00501253132832</v>
      </c>
      <c r="CQ165" t="s">
        <v>496</v>
      </c>
      <c r="CR165">
        <v>3</v>
      </c>
      <c r="CS165">
        <v>1.1128640776698999</v>
      </c>
      <c r="CT165" t="s">
        <v>501</v>
      </c>
      <c r="CU165">
        <v>2</v>
      </c>
      <c r="CV165">
        <v>1.00513874614594</v>
      </c>
      <c r="CW165" t="s">
        <v>508</v>
      </c>
      <c r="CX165">
        <v>3</v>
      </c>
      <c r="CY165">
        <v>0.91607396870554703</v>
      </c>
      <c r="CZ165" t="s">
        <v>501</v>
      </c>
      <c r="DA165">
        <v>3</v>
      </c>
      <c r="DB165">
        <v>0.88533834586466098</v>
      </c>
      <c r="DC165" t="s">
        <v>501</v>
      </c>
      <c r="DD165">
        <v>3</v>
      </c>
      <c r="DE165">
        <v>0.97239915074309902</v>
      </c>
      <c r="DF165" t="s">
        <v>513</v>
      </c>
      <c r="DG165">
        <v>2</v>
      </c>
      <c r="DH165">
        <v>1.2127659574467999</v>
      </c>
    </row>
    <row r="166" spans="1:112" x14ac:dyDescent="0.4">
      <c r="A166">
        <v>164</v>
      </c>
      <c r="B166" t="s">
        <v>409</v>
      </c>
      <c r="C166">
        <v>3</v>
      </c>
      <c r="D166">
        <v>1.32167381974248</v>
      </c>
      <c r="E166" t="s">
        <v>417</v>
      </c>
      <c r="F166">
        <v>3</v>
      </c>
      <c r="G166">
        <v>0.95412844036697197</v>
      </c>
      <c r="H166" t="s">
        <v>407</v>
      </c>
      <c r="I166">
        <v>2</v>
      </c>
      <c r="J166">
        <v>0.45873015873015799</v>
      </c>
      <c r="K166" t="s">
        <v>402</v>
      </c>
      <c r="L166">
        <v>1</v>
      </c>
      <c r="M166">
        <v>0.99383735859111899</v>
      </c>
      <c r="N166" t="s">
        <v>402</v>
      </c>
      <c r="O166">
        <v>1</v>
      </c>
      <c r="P166">
        <v>1.6097604968483801</v>
      </c>
      <c r="Q166" t="s">
        <v>423</v>
      </c>
      <c r="R166">
        <v>3</v>
      </c>
      <c r="S166">
        <v>1.11476690684955</v>
      </c>
      <c r="T166" t="s">
        <v>423</v>
      </c>
      <c r="U166">
        <v>3</v>
      </c>
      <c r="V166">
        <v>0.97796121797367797</v>
      </c>
      <c r="W166" t="s">
        <v>343</v>
      </c>
      <c r="X166">
        <v>1</v>
      </c>
      <c r="Y166">
        <v>1.02230522273747</v>
      </c>
      <c r="Z166" t="s">
        <v>455</v>
      </c>
      <c r="AA166">
        <v>1</v>
      </c>
      <c r="AB166">
        <v>1.1456056641526799</v>
      </c>
      <c r="AC166" t="s">
        <v>423</v>
      </c>
      <c r="AD166">
        <v>2</v>
      </c>
      <c r="AE166">
        <v>1.13636761487965</v>
      </c>
      <c r="AF166" t="s">
        <v>482</v>
      </c>
      <c r="AG166">
        <v>2</v>
      </c>
      <c r="AH166">
        <v>1.4338919925512099</v>
      </c>
      <c r="AI166" t="s">
        <v>423</v>
      </c>
      <c r="AJ166">
        <v>2</v>
      </c>
      <c r="AK166">
        <v>0.943865781195386</v>
      </c>
      <c r="AL166" t="s">
        <v>451</v>
      </c>
      <c r="AM166">
        <v>2</v>
      </c>
      <c r="AN166">
        <v>0.94471744471744401</v>
      </c>
      <c r="AO166" t="s">
        <v>440</v>
      </c>
      <c r="AP166">
        <v>2</v>
      </c>
      <c r="AQ166">
        <v>1.0922509225092201</v>
      </c>
      <c r="AR166" t="s">
        <v>436</v>
      </c>
      <c r="AS166">
        <v>3</v>
      </c>
      <c r="AT166">
        <v>0.78619153674832898</v>
      </c>
      <c r="AU166" t="s">
        <v>448</v>
      </c>
      <c r="AV166">
        <v>2</v>
      </c>
      <c r="AW166">
        <v>0.95069337442218704</v>
      </c>
      <c r="AX166" t="s">
        <v>448</v>
      </c>
      <c r="AY166">
        <v>2</v>
      </c>
      <c r="AZ166">
        <v>0.66774716369529896</v>
      </c>
      <c r="BA166" t="s">
        <v>463</v>
      </c>
      <c r="BB166">
        <v>1</v>
      </c>
      <c r="BC166">
        <v>1.17328519855595</v>
      </c>
      <c r="BD166" t="s">
        <v>456</v>
      </c>
      <c r="BE166">
        <v>2</v>
      </c>
      <c r="BF166">
        <v>1.14716981132075</v>
      </c>
      <c r="BG166" t="s">
        <v>467</v>
      </c>
      <c r="BH166">
        <v>2</v>
      </c>
      <c r="BI166">
        <v>1.0526315789473599</v>
      </c>
      <c r="BJ166" t="s">
        <v>472</v>
      </c>
      <c r="BK166">
        <v>2</v>
      </c>
      <c r="BL166">
        <v>0.89182389937106898</v>
      </c>
      <c r="BM166" t="s">
        <v>481</v>
      </c>
      <c r="BN166">
        <v>1</v>
      </c>
      <c r="BO166">
        <v>0.91623036649214595</v>
      </c>
      <c r="BP166" t="s">
        <v>493</v>
      </c>
      <c r="BQ166">
        <v>2</v>
      </c>
      <c r="BR166">
        <v>1.32882011605415</v>
      </c>
      <c r="BS166" t="s">
        <v>491</v>
      </c>
      <c r="BT166">
        <v>1</v>
      </c>
      <c r="BU166">
        <v>0.92708333333333304</v>
      </c>
      <c r="BV166" t="s">
        <v>483</v>
      </c>
      <c r="BW166">
        <v>1</v>
      </c>
      <c r="BX166">
        <v>0.94736842105263097</v>
      </c>
      <c r="BY166" t="s">
        <v>493</v>
      </c>
      <c r="BZ166">
        <v>2</v>
      </c>
      <c r="CA166">
        <v>1.1172161172161099</v>
      </c>
      <c r="CB166" t="s">
        <v>500</v>
      </c>
      <c r="CC166">
        <v>2</v>
      </c>
      <c r="CD166">
        <v>1.14961636828644</v>
      </c>
      <c r="CE166" t="s">
        <v>494</v>
      </c>
      <c r="CF166">
        <v>2</v>
      </c>
      <c r="CG166">
        <v>1.0074309978768501</v>
      </c>
      <c r="CH166" t="s">
        <v>494</v>
      </c>
      <c r="CI166">
        <v>2</v>
      </c>
      <c r="CJ166">
        <v>1.1633298208640599</v>
      </c>
      <c r="CK166" t="s">
        <v>506</v>
      </c>
      <c r="CL166">
        <v>3</v>
      </c>
      <c r="CM166">
        <v>1.0531757754800499</v>
      </c>
      <c r="CN166" t="s">
        <v>496</v>
      </c>
      <c r="CO166">
        <v>3</v>
      </c>
      <c r="CP166">
        <v>0.96261682242990598</v>
      </c>
      <c r="CQ166" t="s">
        <v>497</v>
      </c>
      <c r="CR166">
        <v>3</v>
      </c>
      <c r="CS166">
        <v>0.88274932614555202</v>
      </c>
      <c r="CT166" t="s">
        <v>502</v>
      </c>
      <c r="CU166">
        <v>3</v>
      </c>
      <c r="CV166">
        <v>1.11866666666666</v>
      </c>
      <c r="CW166" t="s">
        <v>510</v>
      </c>
      <c r="CX166">
        <v>2</v>
      </c>
      <c r="CY166">
        <v>1.0373831775700899</v>
      </c>
      <c r="CZ166" t="s">
        <v>502</v>
      </c>
      <c r="DA166">
        <v>2</v>
      </c>
      <c r="DB166">
        <v>0.814525139664804</v>
      </c>
      <c r="DC166" t="s">
        <v>502</v>
      </c>
      <c r="DD166">
        <v>2</v>
      </c>
      <c r="DE166">
        <v>1.0329218106995799</v>
      </c>
      <c r="DF166" t="s">
        <v>517</v>
      </c>
      <c r="DG166">
        <v>1</v>
      </c>
      <c r="DH166">
        <v>1.1520737327188899</v>
      </c>
    </row>
    <row r="167" spans="1:112" x14ac:dyDescent="0.4">
      <c r="A167">
        <v>165</v>
      </c>
      <c r="B167" t="s">
        <v>329</v>
      </c>
      <c r="C167">
        <v>2</v>
      </c>
      <c r="D167">
        <v>1.19964973730297</v>
      </c>
      <c r="E167" t="s">
        <v>420</v>
      </c>
      <c r="F167">
        <v>1</v>
      </c>
      <c r="G167">
        <v>0.59450549450549395</v>
      </c>
      <c r="H167" t="s">
        <v>408</v>
      </c>
      <c r="I167">
        <v>2</v>
      </c>
      <c r="J167">
        <v>0.67</v>
      </c>
      <c r="K167" t="s">
        <v>329</v>
      </c>
      <c r="L167">
        <v>2</v>
      </c>
      <c r="M167">
        <v>0.85862068965517202</v>
      </c>
      <c r="N167" t="s">
        <v>329</v>
      </c>
      <c r="O167">
        <v>2</v>
      </c>
      <c r="P167">
        <v>1.0963855421686699</v>
      </c>
      <c r="Q167" t="s">
        <v>431</v>
      </c>
      <c r="R167">
        <v>2</v>
      </c>
      <c r="S167">
        <v>0.91439688715953304</v>
      </c>
      <c r="T167" t="s">
        <v>431</v>
      </c>
      <c r="U167">
        <v>2</v>
      </c>
      <c r="V167">
        <v>1.0680851063829699</v>
      </c>
      <c r="W167" t="s">
        <v>423</v>
      </c>
      <c r="X167">
        <v>3</v>
      </c>
      <c r="Y167">
        <v>1.06768593725115</v>
      </c>
      <c r="Z167" t="s">
        <v>433</v>
      </c>
      <c r="AA167">
        <v>1</v>
      </c>
      <c r="AB167">
        <v>1.0470446320868501</v>
      </c>
      <c r="AC167" t="s">
        <v>431</v>
      </c>
      <c r="AD167">
        <v>2</v>
      </c>
      <c r="AE167">
        <v>1.06849315068493</v>
      </c>
      <c r="AF167" t="s">
        <v>453</v>
      </c>
      <c r="AG167">
        <v>3</v>
      </c>
      <c r="AH167">
        <v>1.0539956803455699</v>
      </c>
      <c r="AI167" t="s">
        <v>453</v>
      </c>
      <c r="AJ167">
        <v>3</v>
      </c>
      <c r="AK167">
        <v>0.91598360655737698</v>
      </c>
      <c r="AL167" t="s">
        <v>453</v>
      </c>
      <c r="AM167">
        <v>3</v>
      </c>
      <c r="AN167">
        <v>0.97986577181208001</v>
      </c>
      <c r="AO167" t="s">
        <v>448</v>
      </c>
      <c r="AP167">
        <v>2</v>
      </c>
      <c r="AQ167">
        <v>1.2456140350877101</v>
      </c>
      <c r="AR167" t="s">
        <v>440</v>
      </c>
      <c r="AS167">
        <v>2</v>
      </c>
      <c r="AT167">
        <v>0.76013513513513498</v>
      </c>
      <c r="AU167" t="s">
        <v>469</v>
      </c>
      <c r="AV167">
        <v>1</v>
      </c>
      <c r="AW167">
        <v>1.2426470588235199</v>
      </c>
      <c r="AX167" t="s">
        <v>446</v>
      </c>
      <c r="AY167">
        <v>3</v>
      </c>
      <c r="AZ167">
        <v>0.91921005385996402</v>
      </c>
      <c r="BA167" t="s">
        <v>467</v>
      </c>
      <c r="BB167">
        <v>2</v>
      </c>
      <c r="BC167">
        <v>1.11293859649122</v>
      </c>
      <c r="BD167" t="s">
        <v>468</v>
      </c>
      <c r="BE167">
        <v>2</v>
      </c>
      <c r="BF167">
        <v>0.91676255701432097</v>
      </c>
      <c r="BG167" t="s">
        <v>471</v>
      </c>
      <c r="BH167">
        <v>2</v>
      </c>
      <c r="BI167">
        <v>0.98522167487684698</v>
      </c>
      <c r="BJ167" t="s">
        <v>485</v>
      </c>
      <c r="BK167">
        <v>3</v>
      </c>
      <c r="BL167">
        <v>1.2410958904109499</v>
      </c>
      <c r="BM167" t="s">
        <v>483</v>
      </c>
      <c r="BN167">
        <v>1</v>
      </c>
      <c r="BO167">
        <v>0.92989985693848298</v>
      </c>
      <c r="BP167" t="s">
        <v>491</v>
      </c>
      <c r="BQ167">
        <v>1</v>
      </c>
      <c r="BR167">
        <v>1.02857142857142</v>
      </c>
      <c r="BS167" t="s">
        <v>494</v>
      </c>
      <c r="BT167">
        <v>2</v>
      </c>
      <c r="BU167">
        <v>1.0962601326455399</v>
      </c>
      <c r="BV167" t="s">
        <v>486</v>
      </c>
      <c r="BW167">
        <v>3</v>
      </c>
      <c r="BX167">
        <v>1.42105263157894</v>
      </c>
      <c r="BY167" t="s">
        <v>491</v>
      </c>
      <c r="BZ167">
        <v>1</v>
      </c>
      <c r="CA167">
        <v>0.88356807511737001</v>
      </c>
      <c r="CB167" t="s">
        <v>499</v>
      </c>
      <c r="CC167">
        <v>2</v>
      </c>
      <c r="CD167">
        <v>0.84603174603174602</v>
      </c>
      <c r="CE167" t="s">
        <v>496</v>
      </c>
      <c r="CF167">
        <v>3</v>
      </c>
      <c r="CG167">
        <v>1.0883116883116799</v>
      </c>
      <c r="CH167" t="s">
        <v>496</v>
      </c>
      <c r="CI167">
        <v>3</v>
      </c>
      <c r="CJ167">
        <v>1.3126491646778</v>
      </c>
      <c r="CK167" t="s">
        <v>508</v>
      </c>
      <c r="CL167">
        <v>3</v>
      </c>
      <c r="CM167">
        <v>0.90616246498599395</v>
      </c>
      <c r="CN167" t="s">
        <v>497</v>
      </c>
      <c r="CO167">
        <v>3</v>
      </c>
      <c r="CP167">
        <v>0.94763729246487804</v>
      </c>
      <c r="CQ167" t="s">
        <v>500</v>
      </c>
      <c r="CR167">
        <v>2</v>
      </c>
      <c r="CS167">
        <v>0.86184210526315697</v>
      </c>
      <c r="CT167" t="s">
        <v>503</v>
      </c>
      <c r="CU167">
        <v>1</v>
      </c>
      <c r="CV167">
        <v>1.1481481481481399</v>
      </c>
      <c r="CW167" t="s">
        <v>511</v>
      </c>
      <c r="CX167">
        <v>3</v>
      </c>
      <c r="CY167">
        <v>0.85057471264367801</v>
      </c>
      <c r="CZ167" t="s">
        <v>503</v>
      </c>
      <c r="DA167">
        <v>1</v>
      </c>
      <c r="DB167">
        <v>1.08226221079691</v>
      </c>
      <c r="DC167" t="s">
        <v>503</v>
      </c>
      <c r="DD167">
        <v>1</v>
      </c>
      <c r="DE167">
        <v>1.11401425178147</v>
      </c>
      <c r="DF167" t="s">
        <v>518</v>
      </c>
      <c r="DG167">
        <v>2</v>
      </c>
      <c r="DH167">
        <v>1.1057692307692299</v>
      </c>
    </row>
    <row r="168" spans="1:112" x14ac:dyDescent="0.4">
      <c r="A168">
        <v>166</v>
      </c>
      <c r="B168" t="s">
        <v>335</v>
      </c>
      <c r="C168">
        <v>2</v>
      </c>
      <c r="D168">
        <v>1.26480263157894</v>
      </c>
      <c r="E168" t="s">
        <v>422</v>
      </c>
      <c r="F168">
        <v>3</v>
      </c>
      <c r="G168">
        <v>0.6</v>
      </c>
      <c r="H168" t="s">
        <v>417</v>
      </c>
      <c r="I168">
        <v>3</v>
      </c>
      <c r="J168">
        <v>0.58846153846153804</v>
      </c>
      <c r="K168" t="s">
        <v>404</v>
      </c>
      <c r="L168">
        <v>1</v>
      </c>
      <c r="M168">
        <v>0.75</v>
      </c>
      <c r="N168" t="s">
        <v>404</v>
      </c>
      <c r="O168">
        <v>1</v>
      </c>
      <c r="P168">
        <v>1.77715355805243</v>
      </c>
      <c r="Q168" t="s">
        <v>451</v>
      </c>
      <c r="R168">
        <v>3</v>
      </c>
      <c r="S168">
        <v>1.1938775510204001</v>
      </c>
      <c r="T168" t="s">
        <v>482</v>
      </c>
      <c r="U168">
        <v>2</v>
      </c>
      <c r="V168">
        <v>1.00852272727272</v>
      </c>
      <c r="W168" t="s">
        <v>431</v>
      </c>
      <c r="X168">
        <v>2</v>
      </c>
      <c r="Y168">
        <v>1.02390438247011</v>
      </c>
      <c r="Z168" t="s">
        <v>436</v>
      </c>
      <c r="AA168">
        <v>3</v>
      </c>
      <c r="AB168">
        <v>1.0314465408805</v>
      </c>
      <c r="AC168" t="s">
        <v>453</v>
      </c>
      <c r="AD168">
        <v>3</v>
      </c>
      <c r="AE168">
        <v>0.92971887550200805</v>
      </c>
      <c r="AF168" t="s">
        <v>455</v>
      </c>
      <c r="AG168">
        <v>1</v>
      </c>
      <c r="AH168">
        <v>1.06324671445639</v>
      </c>
      <c r="AI168" t="s">
        <v>455</v>
      </c>
      <c r="AJ168">
        <v>1</v>
      </c>
      <c r="AK168">
        <v>0.95449118617880402</v>
      </c>
      <c r="AL168" t="s">
        <v>455</v>
      </c>
      <c r="AM168">
        <v>1</v>
      </c>
      <c r="AN168">
        <v>1.0147156206312999</v>
      </c>
      <c r="AO168" t="s">
        <v>457</v>
      </c>
      <c r="AP168">
        <v>1</v>
      </c>
      <c r="AQ168">
        <v>1.1449704142011801</v>
      </c>
      <c r="AR168" t="s">
        <v>447</v>
      </c>
      <c r="AS168">
        <v>3</v>
      </c>
      <c r="AT168">
        <v>0.95871559633027503</v>
      </c>
      <c r="AU168" t="s">
        <v>470</v>
      </c>
      <c r="AV168">
        <v>2</v>
      </c>
      <c r="AW168">
        <v>0.99823659625558103</v>
      </c>
      <c r="AX168" t="s">
        <v>470</v>
      </c>
      <c r="AY168">
        <v>2</v>
      </c>
      <c r="AZ168">
        <v>0.76922498684507201</v>
      </c>
      <c r="BA168" t="s">
        <v>471</v>
      </c>
      <c r="BB168">
        <v>2</v>
      </c>
      <c r="BC168">
        <v>0.97619047619047605</v>
      </c>
      <c r="BD168" t="s">
        <v>478</v>
      </c>
      <c r="BE168">
        <v>3</v>
      </c>
      <c r="BF168">
        <v>0.99356913183279705</v>
      </c>
      <c r="BG168" t="s">
        <v>472</v>
      </c>
      <c r="BH168">
        <v>2</v>
      </c>
      <c r="BI168">
        <v>1.0258064516129</v>
      </c>
      <c r="BJ168" t="s">
        <v>481</v>
      </c>
      <c r="BK168">
        <v>1</v>
      </c>
      <c r="BL168">
        <v>0.94554455445544505</v>
      </c>
      <c r="BM168" t="s">
        <v>486</v>
      </c>
      <c r="BN168">
        <v>3</v>
      </c>
      <c r="BO168">
        <v>1.00378787878787</v>
      </c>
      <c r="BP168" t="s">
        <v>494</v>
      </c>
      <c r="BQ168">
        <v>2</v>
      </c>
      <c r="BR168">
        <v>0.97951818099792398</v>
      </c>
      <c r="BS168" t="s">
        <v>497</v>
      </c>
      <c r="BT168">
        <v>3</v>
      </c>
      <c r="BU168">
        <v>1.26168224299065</v>
      </c>
      <c r="BV168" t="s">
        <v>488</v>
      </c>
      <c r="BW168">
        <v>3</v>
      </c>
      <c r="BX168">
        <v>1.2573221757322099</v>
      </c>
      <c r="BY168" t="s">
        <v>494</v>
      </c>
      <c r="BZ168">
        <v>2</v>
      </c>
      <c r="CA168">
        <v>0.60763209393346296</v>
      </c>
      <c r="CB168" t="s">
        <v>501</v>
      </c>
      <c r="CC168">
        <v>2</v>
      </c>
      <c r="CD168">
        <v>0.96516129032258002</v>
      </c>
      <c r="CE168" t="s">
        <v>497</v>
      </c>
      <c r="CF168">
        <v>3</v>
      </c>
      <c r="CG168">
        <v>0.89800443458979995</v>
      </c>
      <c r="CH168" t="s">
        <v>497</v>
      </c>
      <c r="CI168">
        <v>3</v>
      </c>
      <c r="CJ168">
        <v>1.12839506172839</v>
      </c>
      <c r="CK168" t="s">
        <v>510</v>
      </c>
      <c r="CL168">
        <v>2</v>
      </c>
      <c r="CM168">
        <v>0.82307692307692304</v>
      </c>
      <c r="CN168" t="s">
        <v>498</v>
      </c>
      <c r="CO168">
        <v>3</v>
      </c>
      <c r="CP168">
        <v>1.4259681093394001</v>
      </c>
      <c r="CQ168" t="s">
        <v>499</v>
      </c>
      <c r="CR168">
        <v>2</v>
      </c>
      <c r="CS168">
        <v>1.06883365200764</v>
      </c>
      <c r="CT168" t="s">
        <v>509</v>
      </c>
      <c r="CU168">
        <v>3</v>
      </c>
      <c r="CV168">
        <v>0.77142857142857102</v>
      </c>
      <c r="CW168" t="s">
        <v>517</v>
      </c>
      <c r="CX168">
        <v>1</v>
      </c>
      <c r="CY168">
        <v>1.01142857142857</v>
      </c>
      <c r="CZ168" t="s">
        <v>506</v>
      </c>
      <c r="DA168">
        <v>3</v>
      </c>
      <c r="DB168">
        <v>1.01428571428571</v>
      </c>
      <c r="DC168" t="s">
        <v>506</v>
      </c>
      <c r="DD168">
        <v>3</v>
      </c>
      <c r="DE168">
        <v>0.97496087636932705</v>
      </c>
      <c r="DF168" t="s">
        <v>523</v>
      </c>
      <c r="DG168">
        <v>3</v>
      </c>
      <c r="DH168">
        <v>0.95734597156398105</v>
      </c>
    </row>
    <row r="169" spans="1:112" x14ac:dyDescent="0.4">
      <c r="A169">
        <v>167</v>
      </c>
      <c r="B169" t="s">
        <v>417</v>
      </c>
      <c r="C169">
        <v>3</v>
      </c>
      <c r="D169">
        <v>0.95614035087719296</v>
      </c>
      <c r="E169" t="s">
        <v>428</v>
      </c>
      <c r="F169">
        <v>3</v>
      </c>
      <c r="G169">
        <v>0.96391437308868499</v>
      </c>
      <c r="H169" t="s">
        <v>420</v>
      </c>
      <c r="I169">
        <v>1</v>
      </c>
      <c r="J169">
        <v>0.76524953789279104</v>
      </c>
      <c r="K169" t="s">
        <v>333</v>
      </c>
      <c r="L169">
        <v>1</v>
      </c>
      <c r="M169">
        <v>1.12293853073463</v>
      </c>
      <c r="N169" t="s">
        <v>407</v>
      </c>
      <c r="O169">
        <v>2</v>
      </c>
      <c r="P169">
        <v>1.5838926174496599</v>
      </c>
      <c r="Q169" t="s">
        <v>482</v>
      </c>
      <c r="R169">
        <v>2</v>
      </c>
      <c r="S169">
        <v>1.2350877192982399</v>
      </c>
      <c r="T169" t="s">
        <v>487</v>
      </c>
      <c r="U169">
        <v>2</v>
      </c>
      <c r="V169">
        <v>0.94786729857819896</v>
      </c>
      <c r="W169" t="s">
        <v>425</v>
      </c>
      <c r="X169">
        <v>1</v>
      </c>
      <c r="Y169">
        <v>1.40418118466898</v>
      </c>
      <c r="Z169" t="s">
        <v>440</v>
      </c>
      <c r="AA169">
        <v>2</v>
      </c>
      <c r="AB169">
        <v>1.02910958904109</v>
      </c>
      <c r="AC169" t="s">
        <v>455</v>
      </c>
      <c r="AD169">
        <v>1</v>
      </c>
      <c r="AE169">
        <v>0.89963724304715798</v>
      </c>
      <c r="AF169" t="s">
        <v>433</v>
      </c>
      <c r="AG169">
        <v>1</v>
      </c>
      <c r="AH169">
        <v>0.973856209150326</v>
      </c>
      <c r="AI169" t="s">
        <v>433</v>
      </c>
      <c r="AJ169">
        <v>1</v>
      </c>
      <c r="AK169">
        <v>1.0536912751677801</v>
      </c>
      <c r="AL169" t="s">
        <v>433</v>
      </c>
      <c r="AM169">
        <v>1</v>
      </c>
      <c r="AN169">
        <v>1.0307855626326901</v>
      </c>
      <c r="AO169" t="s">
        <v>452</v>
      </c>
      <c r="AP169">
        <v>2</v>
      </c>
      <c r="AQ169">
        <v>0.87316421895861096</v>
      </c>
      <c r="AR169" t="s">
        <v>444</v>
      </c>
      <c r="AS169">
        <v>1</v>
      </c>
      <c r="AT169">
        <v>1.1262022554773601</v>
      </c>
      <c r="AU169" t="s">
        <v>457</v>
      </c>
      <c r="AV169">
        <v>1</v>
      </c>
      <c r="AW169">
        <v>1.22132253711201</v>
      </c>
      <c r="AX169" t="s">
        <v>452</v>
      </c>
      <c r="AY169">
        <v>2</v>
      </c>
      <c r="AZ169">
        <v>0.95344506517690797</v>
      </c>
      <c r="BA169" t="s">
        <v>472</v>
      </c>
      <c r="BB169">
        <v>2</v>
      </c>
      <c r="BC169">
        <v>1.3</v>
      </c>
      <c r="BD169" t="s">
        <v>471</v>
      </c>
      <c r="BE169">
        <v>2</v>
      </c>
      <c r="BF169">
        <v>0.79219512195121899</v>
      </c>
      <c r="BG169" t="s">
        <v>485</v>
      </c>
      <c r="BH169">
        <v>3</v>
      </c>
      <c r="BI169">
        <v>1.1060606060606</v>
      </c>
      <c r="BJ169" t="s">
        <v>483</v>
      </c>
      <c r="BK169">
        <v>1</v>
      </c>
      <c r="BL169">
        <v>0.96546961325966796</v>
      </c>
      <c r="BM169" t="s">
        <v>495</v>
      </c>
      <c r="BN169">
        <v>3</v>
      </c>
      <c r="BO169">
        <v>1.0444444444444401</v>
      </c>
      <c r="BP169" t="s">
        <v>497</v>
      </c>
      <c r="BQ169">
        <v>3</v>
      </c>
      <c r="BR169">
        <v>1.1322751322751301</v>
      </c>
      <c r="BS169" t="s">
        <v>498</v>
      </c>
      <c r="BT169">
        <v>3</v>
      </c>
      <c r="BU169">
        <v>0.97109826589595305</v>
      </c>
      <c r="BV169" t="s">
        <v>491</v>
      </c>
      <c r="BW169">
        <v>1</v>
      </c>
      <c r="BX169">
        <v>0.797752808988764</v>
      </c>
      <c r="BY169" t="s">
        <v>496</v>
      </c>
      <c r="BZ169">
        <v>3</v>
      </c>
      <c r="CA169">
        <v>1.0055432372505499</v>
      </c>
      <c r="CB169" t="s">
        <v>502</v>
      </c>
      <c r="CC169">
        <v>2</v>
      </c>
      <c r="CD169">
        <v>1.06623586429725</v>
      </c>
      <c r="CE169" t="s">
        <v>498</v>
      </c>
      <c r="CF169">
        <v>3</v>
      </c>
      <c r="CG169">
        <v>1.0987261146496801</v>
      </c>
      <c r="CH169" t="s">
        <v>498</v>
      </c>
      <c r="CI169">
        <v>3</v>
      </c>
      <c r="CJ169">
        <v>1.4202898550724601</v>
      </c>
      <c r="CK169" t="s">
        <v>511</v>
      </c>
      <c r="CL169">
        <v>3</v>
      </c>
      <c r="CM169">
        <v>0.980416156670746</v>
      </c>
      <c r="CN169" t="s">
        <v>500</v>
      </c>
      <c r="CO169">
        <v>2</v>
      </c>
      <c r="CP169">
        <v>1.08262108262108</v>
      </c>
      <c r="CQ169" t="s">
        <v>501</v>
      </c>
      <c r="CR169">
        <v>2</v>
      </c>
      <c r="CS169">
        <v>0.94834307992202704</v>
      </c>
      <c r="CT169" t="s">
        <v>506</v>
      </c>
      <c r="CU169">
        <v>3</v>
      </c>
      <c r="CV169">
        <v>1.02980132450331</v>
      </c>
      <c r="CW169" t="s">
        <v>518</v>
      </c>
      <c r="CX169">
        <v>2</v>
      </c>
      <c r="CY169">
        <v>0.98597626752966505</v>
      </c>
      <c r="CZ169" t="s">
        <v>508</v>
      </c>
      <c r="DA169">
        <v>3</v>
      </c>
      <c r="DB169">
        <v>0.92546583850931596</v>
      </c>
      <c r="DC169" t="s">
        <v>510</v>
      </c>
      <c r="DD169">
        <v>2</v>
      </c>
      <c r="DE169">
        <v>1.0341997264021801</v>
      </c>
      <c r="DF169" t="s">
        <v>527</v>
      </c>
      <c r="DG169">
        <v>2</v>
      </c>
      <c r="DH169">
        <v>1.08978873239436</v>
      </c>
    </row>
    <row r="170" spans="1:112" x14ac:dyDescent="0.4">
      <c r="A170">
        <v>168</v>
      </c>
      <c r="B170" t="s">
        <v>422</v>
      </c>
      <c r="C170">
        <v>2</v>
      </c>
      <c r="D170">
        <v>1.1284722222222201</v>
      </c>
      <c r="E170" t="s">
        <v>421</v>
      </c>
      <c r="F170">
        <v>3</v>
      </c>
      <c r="G170">
        <v>0.98003492895133704</v>
      </c>
      <c r="H170" t="s">
        <v>428</v>
      </c>
      <c r="I170">
        <v>3</v>
      </c>
      <c r="J170">
        <v>0.83026649746192804</v>
      </c>
      <c r="K170" t="s">
        <v>407</v>
      </c>
      <c r="L170">
        <v>2</v>
      </c>
      <c r="M170">
        <v>1.0311418685121101</v>
      </c>
      <c r="N170" t="s">
        <v>408</v>
      </c>
      <c r="O170">
        <v>2</v>
      </c>
      <c r="P170">
        <v>1.51898734177215</v>
      </c>
      <c r="Q170" t="s">
        <v>487</v>
      </c>
      <c r="R170">
        <v>2</v>
      </c>
      <c r="S170">
        <v>0.91739130434782601</v>
      </c>
      <c r="T170" t="s">
        <v>453</v>
      </c>
      <c r="U170">
        <v>3</v>
      </c>
      <c r="V170">
        <v>1.1205128205128201</v>
      </c>
      <c r="W170" t="s">
        <v>482</v>
      </c>
      <c r="X170">
        <v>2</v>
      </c>
      <c r="Y170">
        <v>0.94084507042253496</v>
      </c>
      <c r="Z170" t="s">
        <v>445</v>
      </c>
      <c r="AA170">
        <v>2</v>
      </c>
      <c r="AB170">
        <v>1.16791979949874</v>
      </c>
      <c r="AC170" t="s">
        <v>436</v>
      </c>
      <c r="AD170">
        <v>3</v>
      </c>
      <c r="AE170">
        <v>1.1951219512195099</v>
      </c>
      <c r="AF170" t="s">
        <v>436</v>
      </c>
      <c r="AG170">
        <v>3</v>
      </c>
      <c r="AH170">
        <v>1.00340136054421</v>
      </c>
      <c r="AI170" t="s">
        <v>436</v>
      </c>
      <c r="AJ170">
        <v>3</v>
      </c>
      <c r="AK170">
        <v>0.86610169491525402</v>
      </c>
      <c r="AL170" t="s">
        <v>436</v>
      </c>
      <c r="AM170">
        <v>3</v>
      </c>
      <c r="AN170">
        <v>1.07632093933463</v>
      </c>
      <c r="AO170" t="s">
        <v>474</v>
      </c>
      <c r="AP170">
        <v>2</v>
      </c>
      <c r="AQ170">
        <v>0.84807676848633395</v>
      </c>
      <c r="AR170" t="s">
        <v>446</v>
      </c>
      <c r="AS170">
        <v>3</v>
      </c>
      <c r="AT170">
        <v>0.75085324232081896</v>
      </c>
      <c r="AU170" t="s">
        <v>452</v>
      </c>
      <c r="AV170">
        <v>2</v>
      </c>
      <c r="AW170">
        <v>0.88032786885245895</v>
      </c>
      <c r="AX170" t="s">
        <v>474</v>
      </c>
      <c r="AY170">
        <v>2</v>
      </c>
      <c r="AZ170">
        <v>0.57814624969797301</v>
      </c>
      <c r="BA170" t="s">
        <v>485</v>
      </c>
      <c r="BB170">
        <v>3</v>
      </c>
      <c r="BC170">
        <v>0.98850574712643602</v>
      </c>
      <c r="BD170" t="s">
        <v>472</v>
      </c>
      <c r="BE170">
        <v>2</v>
      </c>
      <c r="BF170">
        <v>0.87669683257918496</v>
      </c>
      <c r="BG170" t="s">
        <v>489</v>
      </c>
      <c r="BH170">
        <v>3</v>
      </c>
      <c r="BI170">
        <v>1.11050583657587</v>
      </c>
      <c r="BJ170" t="s">
        <v>486</v>
      </c>
      <c r="BK170">
        <v>3</v>
      </c>
      <c r="BL170">
        <v>0.92469352014010497</v>
      </c>
      <c r="BM170" t="s">
        <v>488</v>
      </c>
      <c r="BN170">
        <v>3</v>
      </c>
      <c r="BO170">
        <v>1.0625</v>
      </c>
      <c r="BP170" t="s">
        <v>498</v>
      </c>
      <c r="BQ170">
        <v>3</v>
      </c>
      <c r="BR170">
        <v>0.91292875989445899</v>
      </c>
      <c r="BS170" t="s">
        <v>505</v>
      </c>
      <c r="BT170">
        <v>3</v>
      </c>
      <c r="BU170">
        <v>0.97277676950998104</v>
      </c>
      <c r="BV170" t="s">
        <v>494</v>
      </c>
      <c r="BW170">
        <v>2</v>
      </c>
      <c r="BX170">
        <v>0.85875136543147601</v>
      </c>
      <c r="BY170" t="s">
        <v>497</v>
      </c>
      <c r="BZ170">
        <v>3</v>
      </c>
      <c r="CA170">
        <v>1.0753846153846101</v>
      </c>
      <c r="CB170" t="s">
        <v>503</v>
      </c>
      <c r="CC170">
        <v>1</v>
      </c>
      <c r="CD170">
        <v>0.936221419975932</v>
      </c>
      <c r="CE170" t="s">
        <v>499</v>
      </c>
      <c r="CF170">
        <v>2</v>
      </c>
      <c r="CG170">
        <v>0.962476547842401</v>
      </c>
      <c r="CH170" t="s">
        <v>499</v>
      </c>
      <c r="CI170">
        <v>2</v>
      </c>
      <c r="CJ170">
        <v>1.21832358674463</v>
      </c>
      <c r="CK170" t="s">
        <v>516</v>
      </c>
      <c r="CL170">
        <v>3</v>
      </c>
      <c r="CM170">
        <v>0.63741935483870904</v>
      </c>
      <c r="CN170" t="s">
        <v>499</v>
      </c>
      <c r="CO170">
        <v>2</v>
      </c>
      <c r="CP170">
        <v>1.0651731160896101</v>
      </c>
      <c r="CQ170" t="s">
        <v>502</v>
      </c>
      <c r="CR170">
        <v>3</v>
      </c>
      <c r="CS170">
        <v>0.85421412300683297</v>
      </c>
      <c r="CT170" t="s">
        <v>508</v>
      </c>
      <c r="CU170">
        <v>3</v>
      </c>
      <c r="CV170">
        <v>1.0158959537572201</v>
      </c>
      <c r="CW170" t="s">
        <v>519</v>
      </c>
      <c r="CX170">
        <v>1</v>
      </c>
      <c r="CY170">
        <v>0.86538461538461497</v>
      </c>
      <c r="CZ170" t="s">
        <v>510</v>
      </c>
      <c r="DA170">
        <v>2</v>
      </c>
      <c r="DB170">
        <v>0.94079794079793999</v>
      </c>
      <c r="DC170" t="s">
        <v>511</v>
      </c>
      <c r="DD170">
        <v>3</v>
      </c>
      <c r="DE170">
        <v>0.75764705882352901</v>
      </c>
      <c r="DF170" t="s">
        <v>532</v>
      </c>
      <c r="DG170">
        <v>3</v>
      </c>
      <c r="DH170">
        <v>1.09987029831387</v>
      </c>
    </row>
    <row r="171" spans="1:112" x14ac:dyDescent="0.4">
      <c r="A171">
        <v>169</v>
      </c>
      <c r="B171" t="s">
        <v>428</v>
      </c>
      <c r="C171">
        <v>2</v>
      </c>
      <c r="D171">
        <v>0.97321428571428503</v>
      </c>
      <c r="E171" t="s">
        <v>435</v>
      </c>
      <c r="F171">
        <v>3</v>
      </c>
      <c r="G171">
        <v>0.87804878048780399</v>
      </c>
      <c r="H171" t="s">
        <v>421</v>
      </c>
      <c r="I171">
        <v>3</v>
      </c>
      <c r="J171">
        <v>0.82220242193511806</v>
      </c>
      <c r="K171" t="s">
        <v>408</v>
      </c>
      <c r="L171">
        <v>2</v>
      </c>
      <c r="M171">
        <v>0.96472184531885996</v>
      </c>
      <c r="N171" t="s">
        <v>420</v>
      </c>
      <c r="O171">
        <v>1</v>
      </c>
      <c r="P171">
        <v>1.1607843137254901</v>
      </c>
      <c r="Q171" t="s">
        <v>432</v>
      </c>
      <c r="R171">
        <v>1</v>
      </c>
      <c r="S171">
        <v>1.3592233009708701</v>
      </c>
      <c r="T171" t="s">
        <v>455</v>
      </c>
      <c r="U171">
        <v>1</v>
      </c>
      <c r="V171">
        <v>1.0355968548963499</v>
      </c>
      <c r="W171" t="s">
        <v>453</v>
      </c>
      <c r="X171">
        <v>3</v>
      </c>
      <c r="Y171">
        <v>1.06407322654462</v>
      </c>
      <c r="Z171" t="s">
        <v>448</v>
      </c>
      <c r="AA171">
        <v>2</v>
      </c>
      <c r="AB171">
        <v>1.07020872865275</v>
      </c>
      <c r="AC171" t="s">
        <v>440</v>
      </c>
      <c r="AD171">
        <v>2</v>
      </c>
      <c r="AE171">
        <v>1.3810316139767</v>
      </c>
      <c r="AF171" t="s">
        <v>440</v>
      </c>
      <c r="AG171">
        <v>2</v>
      </c>
      <c r="AH171">
        <v>1.25903614457831</v>
      </c>
      <c r="AI171" t="s">
        <v>440</v>
      </c>
      <c r="AJ171">
        <v>2</v>
      </c>
      <c r="AK171">
        <v>1.11961722488038</v>
      </c>
      <c r="AL171" t="s">
        <v>440</v>
      </c>
      <c r="AM171">
        <v>2</v>
      </c>
      <c r="AN171">
        <v>1.15811965811965</v>
      </c>
      <c r="AO171" t="s">
        <v>456</v>
      </c>
      <c r="AP171">
        <v>2</v>
      </c>
      <c r="AQ171">
        <v>0.86593059936908501</v>
      </c>
      <c r="AR171" t="s">
        <v>457</v>
      </c>
      <c r="AS171">
        <v>1</v>
      </c>
      <c r="AT171">
        <v>0.95736434108527102</v>
      </c>
      <c r="AU171" t="s">
        <v>474</v>
      </c>
      <c r="AV171">
        <v>2</v>
      </c>
      <c r="AW171">
        <v>1.2192245334691201</v>
      </c>
      <c r="AX171" t="s">
        <v>456</v>
      </c>
      <c r="AY171">
        <v>2</v>
      </c>
      <c r="AZ171">
        <v>0.96074766355140095</v>
      </c>
      <c r="BA171" t="s">
        <v>481</v>
      </c>
      <c r="BB171">
        <v>1</v>
      </c>
      <c r="BC171">
        <v>0.91129032258064502</v>
      </c>
      <c r="BD171" t="s">
        <v>485</v>
      </c>
      <c r="BE171">
        <v>3</v>
      </c>
      <c r="BF171">
        <v>1.53488372093023</v>
      </c>
      <c r="BG171" t="s">
        <v>481</v>
      </c>
      <c r="BH171">
        <v>1</v>
      </c>
      <c r="BI171">
        <v>1.2023809523809501</v>
      </c>
      <c r="BJ171" t="s">
        <v>488</v>
      </c>
      <c r="BK171">
        <v>3</v>
      </c>
      <c r="BL171">
        <v>1.1970074812967499</v>
      </c>
      <c r="BM171" t="s">
        <v>494</v>
      </c>
      <c r="BN171">
        <v>2</v>
      </c>
      <c r="BO171">
        <v>1.2800877800877799</v>
      </c>
      <c r="BP171" t="s">
        <v>505</v>
      </c>
      <c r="BQ171">
        <v>3</v>
      </c>
      <c r="BR171">
        <v>1.0782778864970599</v>
      </c>
      <c r="BS171" t="s">
        <v>499</v>
      </c>
      <c r="BT171">
        <v>2</v>
      </c>
      <c r="BU171">
        <v>0.92170818505338004</v>
      </c>
      <c r="BV171" t="s">
        <v>497</v>
      </c>
      <c r="BW171">
        <v>3</v>
      </c>
      <c r="BX171">
        <v>1.2037037037036999</v>
      </c>
      <c r="BY171" t="s">
        <v>498</v>
      </c>
      <c r="BZ171">
        <v>3</v>
      </c>
      <c r="CA171">
        <v>1.0303030303030301</v>
      </c>
      <c r="CB171" t="s">
        <v>506</v>
      </c>
      <c r="CC171">
        <v>3</v>
      </c>
      <c r="CD171">
        <v>0.98389458272327901</v>
      </c>
      <c r="CE171" t="s">
        <v>501</v>
      </c>
      <c r="CF171">
        <v>2</v>
      </c>
      <c r="CG171">
        <v>1.0534759358288699</v>
      </c>
      <c r="CH171" t="s">
        <v>502</v>
      </c>
      <c r="CI171">
        <v>2</v>
      </c>
      <c r="CJ171">
        <v>1.1384863123993501</v>
      </c>
      <c r="CK171" t="s">
        <v>517</v>
      </c>
      <c r="CL171">
        <v>1</v>
      </c>
      <c r="CM171">
        <v>0.88534694148054804</v>
      </c>
      <c r="CN171" t="s">
        <v>501</v>
      </c>
      <c r="CO171">
        <v>2</v>
      </c>
      <c r="CP171">
        <v>0.93272727272727196</v>
      </c>
      <c r="CQ171" t="s">
        <v>503</v>
      </c>
      <c r="CR171">
        <v>1</v>
      </c>
      <c r="CS171">
        <v>0.84255319148936103</v>
      </c>
      <c r="CT171" t="s">
        <v>510</v>
      </c>
      <c r="CU171">
        <v>2</v>
      </c>
      <c r="CV171">
        <v>1.1452599388379201</v>
      </c>
      <c r="CW171" t="s">
        <v>523</v>
      </c>
      <c r="CX171">
        <v>3</v>
      </c>
      <c r="CY171">
        <v>1.07528824642918</v>
      </c>
      <c r="CZ171" t="s">
        <v>513</v>
      </c>
      <c r="DA171">
        <v>2</v>
      </c>
      <c r="DB171">
        <v>0.97021276595744599</v>
      </c>
      <c r="DC171" t="s">
        <v>513</v>
      </c>
      <c r="DD171">
        <v>2</v>
      </c>
      <c r="DE171">
        <v>1.03070175438596</v>
      </c>
      <c r="DF171" t="s">
        <v>534</v>
      </c>
      <c r="DG171">
        <v>2</v>
      </c>
      <c r="DH171">
        <v>1.21634615384615</v>
      </c>
    </row>
    <row r="172" spans="1:112" x14ac:dyDescent="0.4">
      <c r="A172">
        <v>170</v>
      </c>
      <c r="B172" t="s">
        <v>421</v>
      </c>
      <c r="C172">
        <v>3</v>
      </c>
      <c r="D172">
        <v>1.00731678061652</v>
      </c>
      <c r="E172" t="s">
        <v>423</v>
      </c>
      <c r="F172">
        <v>2</v>
      </c>
      <c r="G172">
        <v>0.66666666666666596</v>
      </c>
      <c r="H172" t="s">
        <v>423</v>
      </c>
      <c r="I172">
        <v>2</v>
      </c>
      <c r="J172">
        <v>0.44537346711259701</v>
      </c>
      <c r="K172" t="s">
        <v>420</v>
      </c>
      <c r="L172">
        <v>1</v>
      </c>
      <c r="M172">
        <v>1.23188405797101</v>
      </c>
      <c r="N172" t="s">
        <v>428</v>
      </c>
      <c r="O172">
        <v>3</v>
      </c>
      <c r="P172">
        <v>0.90456703224750301</v>
      </c>
      <c r="Q172" t="s">
        <v>453</v>
      </c>
      <c r="R172">
        <v>3</v>
      </c>
      <c r="S172">
        <v>1.0833333333333299</v>
      </c>
      <c r="T172" t="s">
        <v>433</v>
      </c>
      <c r="U172">
        <v>1</v>
      </c>
      <c r="V172">
        <v>1.1109756097560901</v>
      </c>
      <c r="W172" t="s">
        <v>455</v>
      </c>
      <c r="X172">
        <v>1</v>
      </c>
      <c r="Y172">
        <v>0.89688017669795606</v>
      </c>
      <c r="Z172" t="s">
        <v>469</v>
      </c>
      <c r="AA172">
        <v>1</v>
      </c>
      <c r="AB172">
        <v>0.86610878661087798</v>
      </c>
      <c r="AC172" t="s">
        <v>445</v>
      </c>
      <c r="AD172">
        <v>2</v>
      </c>
      <c r="AE172">
        <v>1.30901287553648</v>
      </c>
      <c r="AF172" t="s">
        <v>448</v>
      </c>
      <c r="AG172">
        <v>2</v>
      </c>
      <c r="AH172">
        <v>1.24184261036468</v>
      </c>
      <c r="AI172" t="s">
        <v>448</v>
      </c>
      <c r="AJ172">
        <v>2</v>
      </c>
      <c r="AK172">
        <v>0.884080370942813</v>
      </c>
      <c r="AL172" t="s">
        <v>448</v>
      </c>
      <c r="AM172">
        <v>2</v>
      </c>
      <c r="AN172">
        <v>0.99650349650349601</v>
      </c>
      <c r="AO172" t="s">
        <v>478</v>
      </c>
      <c r="AP172">
        <v>3</v>
      </c>
      <c r="AQ172">
        <v>0.88888888888888795</v>
      </c>
      <c r="AR172" t="s">
        <v>452</v>
      </c>
      <c r="AS172">
        <v>2</v>
      </c>
      <c r="AT172">
        <v>0.932721712538226</v>
      </c>
      <c r="AU172" t="s">
        <v>456</v>
      </c>
      <c r="AV172">
        <v>2</v>
      </c>
      <c r="AW172">
        <v>1.07971745711402</v>
      </c>
      <c r="AX172" t="s">
        <v>468</v>
      </c>
      <c r="AY172">
        <v>2</v>
      </c>
      <c r="AZ172">
        <v>0.56735486376286304</v>
      </c>
      <c r="BA172" t="s">
        <v>483</v>
      </c>
      <c r="BB172">
        <v>1</v>
      </c>
      <c r="BC172">
        <v>1.1658456486042601</v>
      </c>
      <c r="BD172" t="s">
        <v>481</v>
      </c>
      <c r="BE172">
        <v>1</v>
      </c>
      <c r="BF172">
        <v>0.99115044247787598</v>
      </c>
      <c r="BG172" t="s">
        <v>495</v>
      </c>
      <c r="BH172">
        <v>3</v>
      </c>
      <c r="BI172">
        <v>0.82848545636910698</v>
      </c>
      <c r="BJ172" t="s">
        <v>493</v>
      </c>
      <c r="BK172">
        <v>2</v>
      </c>
      <c r="BL172">
        <v>1.0521885521885499</v>
      </c>
      <c r="BM172" t="s">
        <v>497</v>
      </c>
      <c r="BN172">
        <v>3</v>
      </c>
      <c r="BO172">
        <v>1.00265251989389</v>
      </c>
      <c r="BP172" t="s">
        <v>499</v>
      </c>
      <c r="BQ172">
        <v>2</v>
      </c>
      <c r="BR172">
        <v>1.09551656920077</v>
      </c>
      <c r="BS172" t="s">
        <v>502</v>
      </c>
      <c r="BT172">
        <v>2</v>
      </c>
      <c r="BU172">
        <v>1.0335820895522301</v>
      </c>
      <c r="BV172" t="s">
        <v>498</v>
      </c>
      <c r="BW172">
        <v>3</v>
      </c>
      <c r="BX172">
        <v>0.98214285714285698</v>
      </c>
      <c r="BY172" t="s">
        <v>500</v>
      </c>
      <c r="BZ172">
        <v>2</v>
      </c>
      <c r="CA172">
        <v>0.98117942283563298</v>
      </c>
      <c r="CB172" t="s">
        <v>515</v>
      </c>
      <c r="CC172">
        <v>2</v>
      </c>
      <c r="CD172">
        <v>0.77703826955074795</v>
      </c>
      <c r="CE172" t="s">
        <v>502</v>
      </c>
      <c r="CF172">
        <v>2</v>
      </c>
      <c r="CG172">
        <v>0.94090909090909003</v>
      </c>
      <c r="CH172" t="s">
        <v>503</v>
      </c>
      <c r="CI172">
        <v>1</v>
      </c>
      <c r="CJ172">
        <v>1.0320512820512799</v>
      </c>
      <c r="CK172" t="s">
        <v>518</v>
      </c>
      <c r="CL172">
        <v>2</v>
      </c>
      <c r="CM172">
        <v>0.790874524714828</v>
      </c>
      <c r="CN172" t="s">
        <v>502</v>
      </c>
      <c r="CO172">
        <v>3</v>
      </c>
      <c r="CP172">
        <v>0.90984455958549204</v>
      </c>
      <c r="CQ172" t="s">
        <v>506</v>
      </c>
      <c r="CR172">
        <v>3</v>
      </c>
      <c r="CS172">
        <v>0.94374999999999998</v>
      </c>
      <c r="CT172" t="s">
        <v>517</v>
      </c>
      <c r="CU172">
        <v>1</v>
      </c>
      <c r="CV172">
        <v>1.0162601626016201</v>
      </c>
      <c r="CW172" t="s">
        <v>527</v>
      </c>
      <c r="CX172">
        <v>2</v>
      </c>
      <c r="CY172">
        <v>1.0667870036100999</v>
      </c>
      <c r="CZ172" t="s">
        <v>517</v>
      </c>
      <c r="DA172">
        <v>1</v>
      </c>
      <c r="DB172">
        <v>1.0124293785310701</v>
      </c>
      <c r="DC172" t="s">
        <v>517</v>
      </c>
      <c r="DD172">
        <v>1</v>
      </c>
      <c r="DE172">
        <v>0.96875</v>
      </c>
      <c r="DF172" t="s">
        <v>537</v>
      </c>
      <c r="DG172">
        <v>2</v>
      </c>
      <c r="DH172">
        <v>1.0192307692307601</v>
      </c>
    </row>
    <row r="173" spans="1:112" x14ac:dyDescent="0.4">
      <c r="A173">
        <v>171</v>
      </c>
      <c r="B173" t="s">
        <v>349</v>
      </c>
      <c r="C173">
        <v>2</v>
      </c>
      <c r="D173">
        <v>1.0595794392523299</v>
      </c>
      <c r="E173" t="s">
        <v>431</v>
      </c>
      <c r="F173">
        <v>2</v>
      </c>
      <c r="G173">
        <v>0.969465648854961</v>
      </c>
      <c r="H173" t="s">
        <v>431</v>
      </c>
      <c r="I173">
        <v>2</v>
      </c>
      <c r="J173">
        <v>0.80314960629921195</v>
      </c>
      <c r="K173" t="s">
        <v>428</v>
      </c>
      <c r="L173">
        <v>3</v>
      </c>
      <c r="M173">
        <v>1.1671761559036999</v>
      </c>
      <c r="N173" t="s">
        <v>343</v>
      </c>
      <c r="O173">
        <v>1</v>
      </c>
      <c r="P173">
        <v>1.1035230079128999</v>
      </c>
      <c r="Q173" t="s">
        <v>455</v>
      </c>
      <c r="R173">
        <v>1</v>
      </c>
      <c r="S173">
        <v>1.2714714168862999</v>
      </c>
      <c r="T173" t="s">
        <v>440</v>
      </c>
      <c r="U173">
        <v>2</v>
      </c>
      <c r="V173">
        <v>0.9296875</v>
      </c>
      <c r="W173" t="s">
        <v>440</v>
      </c>
      <c r="X173">
        <v>2</v>
      </c>
      <c r="Y173">
        <v>0.98151260504201598</v>
      </c>
      <c r="Z173" t="s">
        <v>457</v>
      </c>
      <c r="AA173">
        <v>1</v>
      </c>
      <c r="AB173">
        <v>1.0396039603960301</v>
      </c>
      <c r="AC173" t="s">
        <v>448</v>
      </c>
      <c r="AD173">
        <v>2</v>
      </c>
      <c r="AE173">
        <v>0.92375886524822604</v>
      </c>
      <c r="AF173" t="s">
        <v>469</v>
      </c>
      <c r="AG173">
        <v>2</v>
      </c>
      <c r="AH173">
        <v>1.71698113207547</v>
      </c>
      <c r="AI173" t="s">
        <v>446</v>
      </c>
      <c r="AJ173">
        <v>3</v>
      </c>
      <c r="AK173">
        <v>0.909266409266409</v>
      </c>
      <c r="AL173" t="s">
        <v>474</v>
      </c>
      <c r="AM173">
        <v>2</v>
      </c>
      <c r="AN173">
        <v>0.97196297648187902</v>
      </c>
      <c r="AO173" t="s">
        <v>466</v>
      </c>
      <c r="AP173">
        <v>3</v>
      </c>
      <c r="AQ173">
        <v>0.88235294117647001</v>
      </c>
      <c r="AR173" t="s">
        <v>474</v>
      </c>
      <c r="AS173">
        <v>2</v>
      </c>
      <c r="AT173">
        <v>0.672335762912325</v>
      </c>
      <c r="AU173" t="s">
        <v>468</v>
      </c>
      <c r="AV173">
        <v>2</v>
      </c>
      <c r="AW173">
        <v>1.13863976359094</v>
      </c>
      <c r="AX173" t="s">
        <v>463</v>
      </c>
      <c r="AY173">
        <v>1</v>
      </c>
      <c r="AZ173">
        <v>0.85758513931888503</v>
      </c>
      <c r="BA173" t="s">
        <v>488</v>
      </c>
      <c r="BB173">
        <v>3</v>
      </c>
      <c r="BC173">
        <v>0.97297297297297303</v>
      </c>
      <c r="BD173" t="s">
        <v>486</v>
      </c>
      <c r="BE173">
        <v>3</v>
      </c>
      <c r="BF173">
        <v>0.53364269141531295</v>
      </c>
      <c r="BG173" t="s">
        <v>488</v>
      </c>
      <c r="BH173">
        <v>3</v>
      </c>
      <c r="BI173">
        <v>1.0024999999999999</v>
      </c>
      <c r="BJ173" t="s">
        <v>494</v>
      </c>
      <c r="BK173">
        <v>2</v>
      </c>
      <c r="BL173">
        <v>1.0554675118858901</v>
      </c>
      <c r="BM173" t="s">
        <v>498</v>
      </c>
      <c r="BN173">
        <v>3</v>
      </c>
      <c r="BO173">
        <v>0.97179487179487101</v>
      </c>
      <c r="BP173" t="s">
        <v>501</v>
      </c>
      <c r="BQ173">
        <v>3</v>
      </c>
      <c r="BR173">
        <v>1.5290322580645099</v>
      </c>
      <c r="BS173" t="s">
        <v>503</v>
      </c>
      <c r="BT173">
        <v>1</v>
      </c>
      <c r="BU173">
        <v>1.0050377833753099</v>
      </c>
      <c r="BV173" t="s">
        <v>499</v>
      </c>
      <c r="BW173">
        <v>2</v>
      </c>
      <c r="BX173">
        <v>1.0501930501930501</v>
      </c>
      <c r="BY173" t="s">
        <v>499</v>
      </c>
      <c r="BZ173">
        <v>2</v>
      </c>
      <c r="CA173">
        <v>1.15808823529411</v>
      </c>
      <c r="CB173" t="s">
        <v>513</v>
      </c>
      <c r="CC173">
        <v>2</v>
      </c>
      <c r="CD173">
        <v>1.19358974358974</v>
      </c>
      <c r="CE173" t="s">
        <v>503</v>
      </c>
      <c r="CF173">
        <v>1</v>
      </c>
      <c r="CG173">
        <v>1.0025706940874</v>
      </c>
      <c r="CH173" t="s">
        <v>506</v>
      </c>
      <c r="CI173">
        <v>3</v>
      </c>
      <c r="CJ173">
        <v>1.18150087260034</v>
      </c>
      <c r="CK173" t="s">
        <v>526</v>
      </c>
      <c r="CL173">
        <v>1</v>
      </c>
      <c r="CM173">
        <v>0.84264538198403605</v>
      </c>
      <c r="CN173" t="s">
        <v>503</v>
      </c>
      <c r="CO173">
        <v>1</v>
      </c>
      <c r="CP173">
        <v>0.98463687150837897</v>
      </c>
      <c r="CQ173" t="s">
        <v>508</v>
      </c>
      <c r="CR173">
        <v>3</v>
      </c>
      <c r="CS173">
        <v>1.0712074303405501</v>
      </c>
      <c r="CT173" t="s">
        <v>518</v>
      </c>
      <c r="CU173">
        <v>2</v>
      </c>
      <c r="CV173">
        <v>1.11686746987951</v>
      </c>
      <c r="CW173" t="s">
        <v>528</v>
      </c>
      <c r="CX173">
        <v>2</v>
      </c>
      <c r="CY173">
        <v>0.94363929146537795</v>
      </c>
      <c r="CZ173" t="s">
        <v>518</v>
      </c>
      <c r="DA173">
        <v>2</v>
      </c>
      <c r="DB173">
        <v>1.04704595185995</v>
      </c>
      <c r="DC173" t="s">
        <v>518</v>
      </c>
      <c r="DD173">
        <v>2</v>
      </c>
      <c r="DE173">
        <v>1.08672936259143</v>
      </c>
      <c r="DF173" t="s">
        <v>552</v>
      </c>
      <c r="DG173" t="s">
        <v>547</v>
      </c>
      <c r="DH173">
        <v>0.98689489168226796</v>
      </c>
    </row>
    <row r="174" spans="1:112" x14ac:dyDescent="0.4">
      <c r="A174">
        <v>172</v>
      </c>
      <c r="B174" t="s">
        <v>423</v>
      </c>
      <c r="C174">
        <v>2</v>
      </c>
      <c r="D174">
        <v>1.1752374713396601</v>
      </c>
      <c r="E174" t="s">
        <v>451</v>
      </c>
      <c r="F174">
        <v>2</v>
      </c>
      <c r="G174">
        <v>0.50885558583106205</v>
      </c>
      <c r="H174" t="s">
        <v>482</v>
      </c>
      <c r="I174">
        <v>2</v>
      </c>
      <c r="J174">
        <v>0.64521739130434697</v>
      </c>
      <c r="K174" t="s">
        <v>343</v>
      </c>
      <c r="L174">
        <v>1</v>
      </c>
      <c r="M174">
        <v>0.72784299339691805</v>
      </c>
      <c r="N174" t="s">
        <v>431</v>
      </c>
      <c r="O174">
        <v>2</v>
      </c>
      <c r="P174">
        <v>1.2862862862862801</v>
      </c>
      <c r="Q174" t="s">
        <v>433</v>
      </c>
      <c r="R174">
        <v>1</v>
      </c>
      <c r="S174">
        <v>1.30365659777424</v>
      </c>
      <c r="T174" t="s">
        <v>445</v>
      </c>
      <c r="U174">
        <v>2</v>
      </c>
      <c r="V174">
        <v>0.930291508238276</v>
      </c>
      <c r="W174" t="s">
        <v>445</v>
      </c>
      <c r="X174">
        <v>2</v>
      </c>
      <c r="Y174">
        <v>1.0871934604904601</v>
      </c>
      <c r="Z174" t="s">
        <v>456</v>
      </c>
      <c r="AA174">
        <v>2</v>
      </c>
      <c r="AB174">
        <v>1.0218750000000001</v>
      </c>
      <c r="AC174" t="s">
        <v>444</v>
      </c>
      <c r="AD174">
        <v>1</v>
      </c>
      <c r="AE174">
        <v>0.926925498838994</v>
      </c>
      <c r="AF174" t="s">
        <v>446</v>
      </c>
      <c r="AG174">
        <v>3</v>
      </c>
      <c r="AH174">
        <v>0.99233716475095701</v>
      </c>
      <c r="AI174" t="s">
        <v>457</v>
      </c>
      <c r="AJ174">
        <v>1</v>
      </c>
      <c r="AK174">
        <v>1.2098408104196801</v>
      </c>
      <c r="AL174" t="s">
        <v>456</v>
      </c>
      <c r="AM174">
        <v>2</v>
      </c>
      <c r="AN174">
        <v>1.19172932330827</v>
      </c>
      <c r="AO174" t="s">
        <v>472</v>
      </c>
      <c r="AP174">
        <v>2</v>
      </c>
      <c r="AQ174">
        <v>0.86746987951807197</v>
      </c>
      <c r="AR174" t="s">
        <v>456</v>
      </c>
      <c r="AS174">
        <v>2</v>
      </c>
      <c r="AT174">
        <v>0.90255009107468098</v>
      </c>
      <c r="AU174" t="s">
        <v>463</v>
      </c>
      <c r="AV174">
        <v>1</v>
      </c>
      <c r="AW174">
        <v>1.11379310344827</v>
      </c>
      <c r="AX174" t="s">
        <v>478</v>
      </c>
      <c r="AY174">
        <v>3</v>
      </c>
      <c r="AZ174">
        <v>0.705955334987593</v>
      </c>
      <c r="BA174" t="s">
        <v>490</v>
      </c>
      <c r="BB174">
        <v>3</v>
      </c>
      <c r="BC174">
        <v>1.0270551508844901</v>
      </c>
      <c r="BD174" t="s">
        <v>495</v>
      </c>
      <c r="BE174">
        <v>3</v>
      </c>
      <c r="BF174">
        <v>0.89017857142857104</v>
      </c>
      <c r="BG174" t="s">
        <v>490</v>
      </c>
      <c r="BH174">
        <v>3</v>
      </c>
      <c r="BI174">
        <v>1.1346153846153799</v>
      </c>
      <c r="BJ174" t="s">
        <v>498</v>
      </c>
      <c r="BK174">
        <v>3</v>
      </c>
      <c r="BL174">
        <v>1.23028391167192</v>
      </c>
      <c r="BM174" t="s">
        <v>499</v>
      </c>
      <c r="BN174">
        <v>2</v>
      </c>
      <c r="BO174">
        <v>0.939560439560439</v>
      </c>
      <c r="BP174" t="s">
        <v>502</v>
      </c>
      <c r="BQ174">
        <v>2</v>
      </c>
      <c r="BR174">
        <v>1.0190114068441001</v>
      </c>
      <c r="BS174" t="s">
        <v>506</v>
      </c>
      <c r="BT174">
        <v>3</v>
      </c>
      <c r="BU174">
        <v>0.94718309859154903</v>
      </c>
      <c r="BV174" t="s">
        <v>502</v>
      </c>
      <c r="BW174">
        <v>2</v>
      </c>
      <c r="BX174">
        <v>0.97653429602887998</v>
      </c>
      <c r="BY174" t="s">
        <v>502</v>
      </c>
      <c r="BZ174">
        <v>2</v>
      </c>
      <c r="CA174">
        <v>1.1441774491682</v>
      </c>
      <c r="CB174" t="s">
        <v>518</v>
      </c>
      <c r="CC174">
        <v>1</v>
      </c>
      <c r="CD174">
        <v>0.68561382947553395</v>
      </c>
      <c r="CE174" t="s">
        <v>506</v>
      </c>
      <c r="CF174">
        <v>3</v>
      </c>
      <c r="CG174">
        <v>0.85267857142857095</v>
      </c>
      <c r="CH174" t="s">
        <v>515</v>
      </c>
      <c r="CI174">
        <v>2</v>
      </c>
      <c r="CJ174">
        <v>1.3181818181818099</v>
      </c>
      <c r="CK174" t="s">
        <v>523</v>
      </c>
      <c r="CL174">
        <v>3</v>
      </c>
      <c r="CM174">
        <v>1.0104029304029301</v>
      </c>
      <c r="CN174" t="s">
        <v>506</v>
      </c>
      <c r="CO174">
        <v>3</v>
      </c>
      <c r="CP174">
        <v>0.89761570827489401</v>
      </c>
      <c r="CQ174" t="s">
        <v>510</v>
      </c>
      <c r="CR174">
        <v>2</v>
      </c>
      <c r="CS174">
        <v>0.925035360678925</v>
      </c>
      <c r="CT174" t="s">
        <v>519</v>
      </c>
      <c r="CU174">
        <v>1</v>
      </c>
      <c r="CV174">
        <v>1.0340909090909001</v>
      </c>
      <c r="CW174" t="s">
        <v>532</v>
      </c>
      <c r="CX174">
        <v>3</v>
      </c>
      <c r="CY174">
        <v>0.87285223367697595</v>
      </c>
      <c r="CZ174" t="s">
        <v>519</v>
      </c>
      <c r="DA174">
        <v>1</v>
      </c>
      <c r="DB174">
        <v>1.1936507936507901</v>
      </c>
      <c r="DC174" t="s">
        <v>527</v>
      </c>
      <c r="DD174">
        <v>2</v>
      </c>
      <c r="DE174">
        <v>0.99300699300699302</v>
      </c>
      <c r="DF174" t="s">
        <v>553</v>
      </c>
      <c r="DG174" t="s">
        <v>547</v>
      </c>
      <c r="DH174">
        <v>0.78017241379310298</v>
      </c>
    </row>
    <row r="175" spans="1:112" x14ac:dyDescent="0.4">
      <c r="A175">
        <v>173</v>
      </c>
      <c r="B175" t="s">
        <v>431</v>
      </c>
      <c r="C175">
        <v>2</v>
      </c>
      <c r="D175">
        <v>0.94244604316546698</v>
      </c>
      <c r="E175" t="s">
        <v>482</v>
      </c>
      <c r="F175">
        <v>2</v>
      </c>
      <c r="G175">
        <v>0.78337874659400497</v>
      </c>
      <c r="H175" t="s">
        <v>432</v>
      </c>
      <c r="I175">
        <v>1</v>
      </c>
      <c r="J175">
        <v>0.70085470085470003</v>
      </c>
      <c r="K175" t="s">
        <v>423</v>
      </c>
      <c r="L175">
        <v>2</v>
      </c>
      <c r="M175">
        <v>0.93351063829787195</v>
      </c>
      <c r="N175" t="s">
        <v>482</v>
      </c>
      <c r="O175">
        <v>2</v>
      </c>
      <c r="P175">
        <v>1.50395778364116</v>
      </c>
      <c r="Q175" t="s">
        <v>440</v>
      </c>
      <c r="R175">
        <v>2</v>
      </c>
      <c r="S175">
        <v>0.96240601503759304</v>
      </c>
      <c r="T175" t="s">
        <v>448</v>
      </c>
      <c r="U175">
        <v>2</v>
      </c>
      <c r="V175">
        <v>1.0041322314049499</v>
      </c>
      <c r="W175" t="s">
        <v>448</v>
      </c>
      <c r="X175">
        <v>2</v>
      </c>
      <c r="Y175">
        <v>1.0843621399176899</v>
      </c>
      <c r="Z175" t="s">
        <v>468</v>
      </c>
      <c r="AA175">
        <v>2</v>
      </c>
      <c r="AB175">
        <v>1.0611090678195401</v>
      </c>
      <c r="AC175" t="s">
        <v>446</v>
      </c>
      <c r="AD175">
        <v>3</v>
      </c>
      <c r="AE175">
        <v>0.87290969899665505</v>
      </c>
      <c r="AF175" t="s">
        <v>457</v>
      </c>
      <c r="AG175">
        <v>1</v>
      </c>
      <c r="AH175">
        <v>1.0985691573926799</v>
      </c>
      <c r="AI175" t="s">
        <v>474</v>
      </c>
      <c r="AJ175">
        <v>2</v>
      </c>
      <c r="AK175">
        <v>0.89539728856707101</v>
      </c>
      <c r="AL175" t="s">
        <v>478</v>
      </c>
      <c r="AM175">
        <v>3</v>
      </c>
      <c r="AN175">
        <v>1.15657311669128</v>
      </c>
      <c r="AO175" t="s">
        <v>485</v>
      </c>
      <c r="AP175">
        <v>3</v>
      </c>
      <c r="AQ175">
        <v>1.16973125884016</v>
      </c>
      <c r="AR175" t="s">
        <v>468</v>
      </c>
      <c r="AS175">
        <v>2</v>
      </c>
      <c r="AT175">
        <v>0.85822797619423996</v>
      </c>
      <c r="AU175" t="s">
        <v>478</v>
      </c>
      <c r="AV175">
        <v>3</v>
      </c>
      <c r="AW175">
        <v>0.95724465558194705</v>
      </c>
      <c r="AX175" t="s">
        <v>485</v>
      </c>
      <c r="AY175">
        <v>3</v>
      </c>
      <c r="AZ175">
        <v>1.0151691948658099</v>
      </c>
      <c r="BA175" t="s">
        <v>491</v>
      </c>
      <c r="BB175">
        <v>1</v>
      </c>
      <c r="BC175">
        <v>1.16785714285714</v>
      </c>
      <c r="BD175" t="s">
        <v>488</v>
      </c>
      <c r="BE175">
        <v>3</v>
      </c>
      <c r="BF175">
        <v>0.92592592592592504</v>
      </c>
      <c r="BG175" t="s">
        <v>507</v>
      </c>
      <c r="BH175">
        <v>3</v>
      </c>
      <c r="BI175">
        <v>1.00611932687404</v>
      </c>
      <c r="BJ175" t="s">
        <v>505</v>
      </c>
      <c r="BK175">
        <v>3</v>
      </c>
      <c r="BL175">
        <v>1.12280701754385</v>
      </c>
      <c r="BM175" t="s">
        <v>501</v>
      </c>
      <c r="BN175">
        <v>3</v>
      </c>
      <c r="BO175">
        <v>1.1698113207547101</v>
      </c>
      <c r="BP175" t="s">
        <v>503</v>
      </c>
      <c r="BQ175">
        <v>1</v>
      </c>
      <c r="BR175">
        <v>1.11204481792717</v>
      </c>
      <c r="BS175" t="s">
        <v>515</v>
      </c>
      <c r="BT175">
        <v>2</v>
      </c>
      <c r="BU175">
        <v>0.98342541436464004</v>
      </c>
      <c r="BV175" t="s">
        <v>503</v>
      </c>
      <c r="BW175">
        <v>1</v>
      </c>
      <c r="BX175">
        <v>0.87092731829573899</v>
      </c>
      <c r="BY175" t="s">
        <v>503</v>
      </c>
      <c r="BZ175">
        <v>1</v>
      </c>
      <c r="CA175">
        <v>1.1956834532374101</v>
      </c>
      <c r="CB175" t="s">
        <v>530</v>
      </c>
      <c r="CC175">
        <v>3</v>
      </c>
      <c r="CD175">
        <v>0.82558139534883701</v>
      </c>
      <c r="CE175" t="s">
        <v>515</v>
      </c>
      <c r="CF175">
        <v>2</v>
      </c>
      <c r="CG175">
        <v>1.0835117773019201</v>
      </c>
      <c r="CH175" t="s">
        <v>508</v>
      </c>
      <c r="CI175">
        <v>3</v>
      </c>
      <c r="CJ175">
        <v>0.99304589707927604</v>
      </c>
      <c r="CK175" t="s">
        <v>527</v>
      </c>
      <c r="CL175">
        <v>2</v>
      </c>
      <c r="CM175">
        <v>0.91012838801711804</v>
      </c>
      <c r="CN175" t="s">
        <v>508</v>
      </c>
      <c r="CO175">
        <v>3</v>
      </c>
      <c r="CP175">
        <v>0.99845440494590398</v>
      </c>
      <c r="CQ175" t="s">
        <v>517</v>
      </c>
      <c r="CR175">
        <v>1</v>
      </c>
      <c r="CS175">
        <v>0.92075713827398098</v>
      </c>
      <c r="CT175" t="s">
        <v>522</v>
      </c>
      <c r="CU175">
        <v>3</v>
      </c>
      <c r="CV175">
        <v>1.4365671641791</v>
      </c>
      <c r="CW175" t="s">
        <v>534</v>
      </c>
      <c r="CX175">
        <v>2</v>
      </c>
      <c r="CY175">
        <v>1.02967032967032</v>
      </c>
      <c r="CZ175" t="s">
        <v>527</v>
      </c>
      <c r="DA175">
        <v>2</v>
      </c>
      <c r="DB175">
        <v>0.96785109983079498</v>
      </c>
      <c r="DC175" t="s">
        <v>528</v>
      </c>
      <c r="DD175">
        <v>2</v>
      </c>
      <c r="DE175">
        <v>1.25133689839572</v>
      </c>
      <c r="DF175" t="s">
        <v>554</v>
      </c>
      <c r="DG175" t="s">
        <v>547</v>
      </c>
      <c r="DH175">
        <v>0.79549718574108796</v>
      </c>
    </row>
    <row r="176" spans="1:112" x14ac:dyDescent="0.4">
      <c r="A176">
        <v>174</v>
      </c>
      <c r="B176" t="s">
        <v>451</v>
      </c>
      <c r="C176">
        <v>2</v>
      </c>
      <c r="D176">
        <v>0.97997329773030695</v>
      </c>
      <c r="E176" t="s">
        <v>432</v>
      </c>
      <c r="F176">
        <v>1</v>
      </c>
      <c r="G176">
        <v>0.65</v>
      </c>
      <c r="H176" t="s">
        <v>453</v>
      </c>
      <c r="I176">
        <v>2</v>
      </c>
      <c r="J176">
        <v>0.625</v>
      </c>
      <c r="K176" t="s">
        <v>431</v>
      </c>
      <c r="L176">
        <v>2</v>
      </c>
      <c r="M176">
        <v>0.97941176470588198</v>
      </c>
      <c r="N176" t="s">
        <v>432</v>
      </c>
      <c r="O176">
        <v>1</v>
      </c>
      <c r="P176">
        <v>1.20327102803738</v>
      </c>
      <c r="Q176" t="s">
        <v>448</v>
      </c>
      <c r="R176">
        <v>2</v>
      </c>
      <c r="S176">
        <v>1.36723163841807</v>
      </c>
      <c r="T176" t="s">
        <v>458</v>
      </c>
      <c r="U176">
        <v>1</v>
      </c>
      <c r="V176">
        <v>1.1924686192468601</v>
      </c>
      <c r="W176" t="s">
        <v>469</v>
      </c>
      <c r="X176">
        <v>1</v>
      </c>
      <c r="Y176">
        <v>1.0391304347826</v>
      </c>
      <c r="Z176" t="s">
        <v>463</v>
      </c>
      <c r="AA176">
        <v>1</v>
      </c>
      <c r="AB176">
        <v>0.93717277486910999</v>
      </c>
      <c r="AC176" t="s">
        <v>457</v>
      </c>
      <c r="AD176">
        <v>1</v>
      </c>
      <c r="AE176">
        <v>0.99841269841269797</v>
      </c>
      <c r="AF176" t="s">
        <v>474</v>
      </c>
      <c r="AG176">
        <v>2</v>
      </c>
      <c r="AH176">
        <v>1.1831684116307299</v>
      </c>
      <c r="AI176" t="s">
        <v>456</v>
      </c>
      <c r="AJ176">
        <v>2</v>
      </c>
      <c r="AK176">
        <v>0.92201039861351797</v>
      </c>
      <c r="AL176" t="s">
        <v>466</v>
      </c>
      <c r="AM176">
        <v>3</v>
      </c>
      <c r="AN176">
        <v>0.88650306748466201</v>
      </c>
      <c r="AO176" t="s">
        <v>481</v>
      </c>
      <c r="AP176">
        <v>1</v>
      </c>
      <c r="AQ176">
        <v>0.92894056847545203</v>
      </c>
      <c r="AR176" t="s">
        <v>478</v>
      </c>
      <c r="AS176">
        <v>3</v>
      </c>
      <c r="AT176">
        <v>1.20977011494252</v>
      </c>
      <c r="AU176" t="s">
        <v>472</v>
      </c>
      <c r="AV176">
        <v>2</v>
      </c>
      <c r="AW176">
        <v>2.0744680851063801</v>
      </c>
      <c r="AX176" t="s">
        <v>481</v>
      </c>
      <c r="AY176">
        <v>1</v>
      </c>
      <c r="AZ176">
        <v>0.94296577946768001</v>
      </c>
      <c r="BA176" t="s">
        <v>494</v>
      </c>
      <c r="BB176">
        <v>2</v>
      </c>
      <c r="BC176">
        <v>0.79021253235040301</v>
      </c>
      <c r="BD176" t="s">
        <v>490</v>
      </c>
      <c r="BE176">
        <v>3</v>
      </c>
      <c r="BF176">
        <v>1.2644376899695999</v>
      </c>
      <c r="BG176" t="s">
        <v>494</v>
      </c>
      <c r="BH176">
        <v>2</v>
      </c>
      <c r="BI176">
        <v>0.78168477225081001</v>
      </c>
      <c r="BJ176" t="s">
        <v>499</v>
      </c>
      <c r="BK176">
        <v>2</v>
      </c>
      <c r="BL176">
        <v>0.93653516295025696</v>
      </c>
      <c r="BM176" t="s">
        <v>502</v>
      </c>
      <c r="BN176">
        <v>2</v>
      </c>
      <c r="BO176">
        <v>0.97769516728624495</v>
      </c>
      <c r="BP176" t="s">
        <v>506</v>
      </c>
      <c r="BQ176">
        <v>3</v>
      </c>
      <c r="BR176">
        <v>1.04411764705882</v>
      </c>
      <c r="BS176" t="s">
        <v>510</v>
      </c>
      <c r="BT176">
        <v>2</v>
      </c>
      <c r="BU176">
        <v>1.16363636363636</v>
      </c>
      <c r="BV176" t="s">
        <v>506</v>
      </c>
      <c r="BW176">
        <v>3</v>
      </c>
      <c r="BX176">
        <v>1.0724907063197</v>
      </c>
      <c r="BY176" t="s">
        <v>506</v>
      </c>
      <c r="BZ176">
        <v>3</v>
      </c>
      <c r="CA176">
        <v>1.18370883882149</v>
      </c>
      <c r="CB176" t="s">
        <v>533</v>
      </c>
      <c r="CC176">
        <v>3</v>
      </c>
      <c r="CD176">
        <v>0.826315789473684</v>
      </c>
      <c r="CE176" t="s">
        <v>508</v>
      </c>
      <c r="CF176">
        <v>3</v>
      </c>
      <c r="CG176">
        <v>1.01697312588401</v>
      </c>
      <c r="CH176" t="s">
        <v>511</v>
      </c>
      <c r="CI176">
        <v>3</v>
      </c>
      <c r="CJ176">
        <v>0.92108229988725998</v>
      </c>
      <c r="CK176" t="s">
        <v>532</v>
      </c>
      <c r="CL176">
        <v>2</v>
      </c>
      <c r="CM176">
        <v>0.93449781659388598</v>
      </c>
      <c r="CN176" t="s">
        <v>510</v>
      </c>
      <c r="CO176">
        <v>2</v>
      </c>
      <c r="CP176">
        <v>0.94392523364485903</v>
      </c>
      <c r="CQ176" t="s">
        <v>518</v>
      </c>
      <c r="CR176">
        <v>2</v>
      </c>
      <c r="CS176">
        <v>0.79807692307692302</v>
      </c>
      <c r="CT176" t="s">
        <v>523</v>
      </c>
      <c r="CU176">
        <v>3</v>
      </c>
      <c r="CV176">
        <v>1.1890730509515</v>
      </c>
      <c r="CW176" t="s">
        <v>537</v>
      </c>
      <c r="CX176">
        <v>2</v>
      </c>
      <c r="CY176">
        <v>1.2357414448669199</v>
      </c>
      <c r="CZ176" t="s">
        <v>528</v>
      </c>
      <c r="DA176">
        <v>2</v>
      </c>
      <c r="DB176">
        <v>0.79778156996587002</v>
      </c>
      <c r="DC176" t="s">
        <v>532</v>
      </c>
      <c r="DD176">
        <v>3</v>
      </c>
      <c r="DE176">
        <v>1.0590659340659301</v>
      </c>
      <c r="DF176" t="s">
        <v>555</v>
      </c>
      <c r="DG176" t="s">
        <v>547</v>
      </c>
      <c r="DH176">
        <v>0.96688741721854299</v>
      </c>
    </row>
    <row r="177" spans="1:112" x14ac:dyDescent="0.4">
      <c r="A177">
        <v>175</v>
      </c>
      <c r="B177" t="s">
        <v>482</v>
      </c>
      <c r="C177">
        <v>2</v>
      </c>
      <c r="D177">
        <v>0.88115246098439304</v>
      </c>
      <c r="E177" t="s">
        <v>453</v>
      </c>
      <c r="F177">
        <v>2</v>
      </c>
      <c r="G177">
        <v>0.86792452830188604</v>
      </c>
      <c r="H177" t="s">
        <v>455</v>
      </c>
      <c r="I177">
        <v>1</v>
      </c>
      <c r="J177">
        <v>0.49270225187656302</v>
      </c>
      <c r="K177" t="s">
        <v>482</v>
      </c>
      <c r="L177">
        <v>2</v>
      </c>
      <c r="M177">
        <v>1.0215633423180499</v>
      </c>
      <c r="N177" t="s">
        <v>437</v>
      </c>
      <c r="O177">
        <v>1</v>
      </c>
      <c r="P177">
        <v>1.83719785300015</v>
      </c>
      <c r="Q177" t="s">
        <v>458</v>
      </c>
      <c r="R177">
        <v>1</v>
      </c>
      <c r="S177">
        <v>1.15598548972188</v>
      </c>
      <c r="T177" t="s">
        <v>456</v>
      </c>
      <c r="U177">
        <v>2</v>
      </c>
      <c r="V177">
        <v>1.10615384615384</v>
      </c>
      <c r="W177" t="s">
        <v>457</v>
      </c>
      <c r="X177">
        <v>1</v>
      </c>
      <c r="Y177">
        <v>0.99019607843137203</v>
      </c>
      <c r="Z177" t="s">
        <v>478</v>
      </c>
      <c r="AA177">
        <v>3</v>
      </c>
      <c r="AB177">
        <v>1.0287859824780901</v>
      </c>
      <c r="AC177" t="s">
        <v>474</v>
      </c>
      <c r="AD177">
        <v>2</v>
      </c>
      <c r="AE177">
        <v>0.98058217730143304</v>
      </c>
      <c r="AF177" t="s">
        <v>456</v>
      </c>
      <c r="AG177">
        <v>2</v>
      </c>
      <c r="AH177">
        <v>0.94901315789473595</v>
      </c>
      <c r="AI177" t="s">
        <v>459</v>
      </c>
      <c r="AJ177">
        <v>2</v>
      </c>
      <c r="AK177">
        <v>1.0222222222222199</v>
      </c>
      <c r="AL177" t="s">
        <v>472</v>
      </c>
      <c r="AM177">
        <v>2</v>
      </c>
      <c r="AN177">
        <v>0.86729362591431503</v>
      </c>
      <c r="AO177" t="s">
        <v>488</v>
      </c>
      <c r="AP177">
        <v>2</v>
      </c>
      <c r="AQ177">
        <v>0.97378277153558002</v>
      </c>
      <c r="AR177" t="s">
        <v>472</v>
      </c>
      <c r="AS177">
        <v>2</v>
      </c>
      <c r="AT177">
        <v>0.91388888888888797</v>
      </c>
      <c r="AU177" t="s">
        <v>485</v>
      </c>
      <c r="AV177">
        <v>3</v>
      </c>
      <c r="AW177">
        <v>1.1335978835978799</v>
      </c>
      <c r="AX177" t="s">
        <v>488</v>
      </c>
      <c r="AY177">
        <v>2</v>
      </c>
      <c r="AZ177">
        <v>1.0136986301369799</v>
      </c>
      <c r="BA177" t="s">
        <v>498</v>
      </c>
      <c r="BB177">
        <v>3</v>
      </c>
      <c r="BC177">
        <v>1.0050761421319701</v>
      </c>
      <c r="BD177" t="s">
        <v>491</v>
      </c>
      <c r="BE177">
        <v>1</v>
      </c>
      <c r="BF177">
        <v>1.0122324159021401</v>
      </c>
      <c r="BG177" t="s">
        <v>498</v>
      </c>
      <c r="BH177">
        <v>3</v>
      </c>
      <c r="BI177">
        <v>0.92151162790697605</v>
      </c>
      <c r="BJ177" t="s">
        <v>501</v>
      </c>
      <c r="BK177">
        <v>2</v>
      </c>
      <c r="BL177">
        <v>0.97785977859778594</v>
      </c>
      <c r="BM177" t="s">
        <v>503</v>
      </c>
      <c r="BN177">
        <v>1</v>
      </c>
      <c r="BO177">
        <v>0.96617050067658905</v>
      </c>
      <c r="BP177" t="s">
        <v>515</v>
      </c>
      <c r="BQ177">
        <v>2</v>
      </c>
      <c r="BR177">
        <v>1.01305970149253</v>
      </c>
      <c r="BS177" t="s">
        <v>511</v>
      </c>
      <c r="BT177">
        <v>3</v>
      </c>
      <c r="BU177">
        <v>0.97499999999999998</v>
      </c>
      <c r="BV177" t="s">
        <v>515</v>
      </c>
      <c r="BW177">
        <v>2</v>
      </c>
      <c r="BX177">
        <v>1.3014981273408199</v>
      </c>
      <c r="BY177" t="s">
        <v>521</v>
      </c>
      <c r="BZ177">
        <v>3</v>
      </c>
      <c r="CA177">
        <v>1.0122217670353599</v>
      </c>
      <c r="CB177" t="s">
        <v>523</v>
      </c>
      <c r="CC177">
        <v>3</v>
      </c>
      <c r="CD177">
        <v>0.91652001759788804</v>
      </c>
      <c r="CE177" t="s">
        <v>511</v>
      </c>
      <c r="CF177">
        <v>3</v>
      </c>
      <c r="CG177">
        <v>1.03019744483159</v>
      </c>
      <c r="CH177" t="s">
        <v>517</v>
      </c>
      <c r="CI177">
        <v>1</v>
      </c>
      <c r="CJ177">
        <v>1.0537011173184301</v>
      </c>
      <c r="CK177" t="s">
        <v>534</v>
      </c>
      <c r="CL177">
        <v>2</v>
      </c>
      <c r="CM177">
        <v>0.94673123486682798</v>
      </c>
      <c r="CN177" t="s">
        <v>511</v>
      </c>
      <c r="CO177">
        <v>3</v>
      </c>
      <c r="CP177">
        <v>0.81398252184769004</v>
      </c>
      <c r="CQ177" t="s">
        <v>527</v>
      </c>
      <c r="CR177">
        <v>2</v>
      </c>
      <c r="CS177">
        <v>0.95527728085867603</v>
      </c>
      <c r="CT177" t="s">
        <v>527</v>
      </c>
      <c r="CU177">
        <v>2</v>
      </c>
      <c r="CV177">
        <v>1.03745318352059</v>
      </c>
      <c r="CW177" t="s">
        <v>556</v>
      </c>
      <c r="CX177" t="s">
        <v>547</v>
      </c>
      <c r="CY177">
        <v>0.93964110929853095</v>
      </c>
      <c r="CZ177" t="s">
        <v>532</v>
      </c>
      <c r="DA177">
        <v>3</v>
      </c>
      <c r="DB177">
        <v>0.95538057742782101</v>
      </c>
      <c r="DC177" t="s">
        <v>534</v>
      </c>
      <c r="DD177">
        <v>2</v>
      </c>
      <c r="DE177">
        <v>1.0097087378640699</v>
      </c>
      <c r="DF177" t="s">
        <v>557</v>
      </c>
      <c r="DG177" t="s">
        <v>547</v>
      </c>
      <c r="DH177">
        <v>0.98507462686567104</v>
      </c>
    </row>
    <row r="178" spans="1:112" x14ac:dyDescent="0.4">
      <c r="A178">
        <v>176</v>
      </c>
      <c r="B178" t="s">
        <v>432</v>
      </c>
      <c r="C178">
        <v>1</v>
      </c>
      <c r="D178">
        <v>0.87804878048780399</v>
      </c>
      <c r="E178" t="s">
        <v>455</v>
      </c>
      <c r="F178">
        <v>1</v>
      </c>
      <c r="G178">
        <v>0.74676908704001599</v>
      </c>
      <c r="H178" t="s">
        <v>433</v>
      </c>
      <c r="I178">
        <v>1</v>
      </c>
      <c r="J178">
        <v>0.61182986727975697</v>
      </c>
      <c r="K178" t="s">
        <v>432</v>
      </c>
      <c r="L178">
        <v>1</v>
      </c>
      <c r="M178">
        <v>1.0439024390243901</v>
      </c>
      <c r="N178" t="s">
        <v>455</v>
      </c>
      <c r="O178">
        <v>1</v>
      </c>
      <c r="P178">
        <v>1.7624539484222299</v>
      </c>
      <c r="Q178" t="s">
        <v>456</v>
      </c>
      <c r="R178">
        <v>2</v>
      </c>
      <c r="S178">
        <v>1.0077519379844899</v>
      </c>
      <c r="T178" t="s">
        <v>468</v>
      </c>
      <c r="U178">
        <v>2</v>
      </c>
      <c r="V178">
        <v>0.64864935051444605</v>
      </c>
      <c r="W178" t="s">
        <v>456</v>
      </c>
      <c r="X178">
        <v>2</v>
      </c>
      <c r="Y178">
        <v>0.89012517385257295</v>
      </c>
      <c r="Z178" t="s">
        <v>472</v>
      </c>
      <c r="AA178">
        <v>2</v>
      </c>
      <c r="AB178">
        <v>0.69260700389105001</v>
      </c>
      <c r="AC178" t="s">
        <v>456</v>
      </c>
      <c r="AD178">
        <v>2</v>
      </c>
      <c r="AE178">
        <v>0.92966360856269104</v>
      </c>
      <c r="AF178" t="s">
        <v>463</v>
      </c>
      <c r="AG178">
        <v>1</v>
      </c>
      <c r="AH178">
        <v>1.2784552845528401</v>
      </c>
      <c r="AI178" t="s">
        <v>460</v>
      </c>
      <c r="AJ178">
        <v>3</v>
      </c>
      <c r="AK178">
        <v>0.90295748613678295</v>
      </c>
      <c r="AL178" t="s">
        <v>485</v>
      </c>
      <c r="AM178">
        <v>3</v>
      </c>
      <c r="AN178">
        <v>1.2535460992907801</v>
      </c>
      <c r="AO178" t="s">
        <v>490</v>
      </c>
      <c r="AP178">
        <v>3</v>
      </c>
      <c r="AQ178">
        <v>0.93620689655172395</v>
      </c>
      <c r="AR178" t="s">
        <v>485</v>
      </c>
      <c r="AS178">
        <v>3</v>
      </c>
      <c r="AT178">
        <v>0.91414752116082199</v>
      </c>
      <c r="AU178" t="s">
        <v>489</v>
      </c>
      <c r="AV178">
        <v>3</v>
      </c>
      <c r="AW178">
        <v>1.3249221183800599</v>
      </c>
      <c r="AX178" t="s">
        <v>490</v>
      </c>
      <c r="AY178">
        <v>3</v>
      </c>
      <c r="AZ178">
        <v>0.87522768670309603</v>
      </c>
      <c r="BA178" t="s">
        <v>505</v>
      </c>
      <c r="BB178">
        <v>3</v>
      </c>
      <c r="BC178">
        <v>1.19</v>
      </c>
      <c r="BD178" t="s">
        <v>494</v>
      </c>
      <c r="BE178">
        <v>2</v>
      </c>
      <c r="BF178">
        <v>1.0414847161572001</v>
      </c>
      <c r="BG178" t="s">
        <v>501</v>
      </c>
      <c r="BH178">
        <v>2</v>
      </c>
      <c r="BI178">
        <v>0.90333333333333299</v>
      </c>
      <c r="BJ178" t="s">
        <v>502</v>
      </c>
      <c r="BK178">
        <v>2</v>
      </c>
      <c r="BL178">
        <v>0.93079584775086499</v>
      </c>
      <c r="BM178" t="s">
        <v>506</v>
      </c>
      <c r="BN178">
        <v>3</v>
      </c>
      <c r="BO178">
        <v>0.96625222024866697</v>
      </c>
      <c r="BP178" t="s">
        <v>511</v>
      </c>
      <c r="BQ178">
        <v>3</v>
      </c>
      <c r="BR178">
        <v>1.06194690265486</v>
      </c>
      <c r="BS178" t="s">
        <v>513</v>
      </c>
      <c r="BT178">
        <v>2</v>
      </c>
      <c r="BU178">
        <v>1.17984758679085</v>
      </c>
      <c r="BV178" t="s">
        <v>521</v>
      </c>
      <c r="BW178">
        <v>3</v>
      </c>
      <c r="BX178">
        <v>0.904520750988142</v>
      </c>
      <c r="BY178" t="s">
        <v>513</v>
      </c>
      <c r="BZ178">
        <v>2</v>
      </c>
      <c r="CA178">
        <v>1.1509517485613101</v>
      </c>
      <c r="CB178" t="s">
        <v>527</v>
      </c>
      <c r="CC178">
        <v>2</v>
      </c>
      <c r="CD178">
        <v>0.81536388140161697</v>
      </c>
      <c r="CE178" t="s">
        <v>517</v>
      </c>
      <c r="CF178">
        <v>1</v>
      </c>
      <c r="CG178">
        <v>0.94903572138643999</v>
      </c>
      <c r="CH178" t="s">
        <v>518</v>
      </c>
      <c r="CI178">
        <v>1</v>
      </c>
      <c r="CJ178">
        <v>1.1336206896551699</v>
      </c>
      <c r="CK178" t="s">
        <v>540</v>
      </c>
      <c r="CL178">
        <v>2</v>
      </c>
      <c r="CM178">
        <v>0.82978723404255295</v>
      </c>
      <c r="CN178" t="s">
        <v>517</v>
      </c>
      <c r="CO178">
        <v>1</v>
      </c>
      <c r="CP178">
        <v>0.69997754322928296</v>
      </c>
      <c r="CQ178" t="s">
        <v>528</v>
      </c>
      <c r="CR178">
        <v>2</v>
      </c>
      <c r="CS178">
        <v>0.94290657439446302</v>
      </c>
      <c r="CT178" t="s">
        <v>528</v>
      </c>
      <c r="CU178">
        <v>2</v>
      </c>
      <c r="CV178">
        <v>1.1394495412843999</v>
      </c>
      <c r="CW178" t="s">
        <v>552</v>
      </c>
      <c r="CX178" t="s">
        <v>547</v>
      </c>
      <c r="CY178">
        <v>1.1564350715007901</v>
      </c>
      <c r="CZ178" t="s">
        <v>534</v>
      </c>
      <c r="DA178">
        <v>2</v>
      </c>
      <c r="DB178">
        <v>1.09925293489861</v>
      </c>
      <c r="DC178" t="s">
        <v>537</v>
      </c>
      <c r="DD178">
        <v>2</v>
      </c>
      <c r="DE178">
        <v>1.13043478260869</v>
      </c>
      <c r="DF178" t="s">
        <v>558</v>
      </c>
      <c r="DG178" t="s">
        <v>547</v>
      </c>
      <c r="DH178">
        <v>1.2716666666666601</v>
      </c>
    </row>
    <row r="179" spans="1:112" x14ac:dyDescent="0.4">
      <c r="A179">
        <v>177</v>
      </c>
      <c r="B179" t="s">
        <v>453</v>
      </c>
      <c r="C179">
        <v>2</v>
      </c>
      <c r="D179">
        <v>0.81070745697896696</v>
      </c>
      <c r="E179" t="s">
        <v>433</v>
      </c>
      <c r="F179">
        <v>1</v>
      </c>
      <c r="G179">
        <v>0.96795403508061995</v>
      </c>
      <c r="H179" t="s">
        <v>436</v>
      </c>
      <c r="I179">
        <v>3</v>
      </c>
      <c r="J179">
        <v>0.64573991031390099</v>
      </c>
      <c r="K179" t="s">
        <v>437</v>
      </c>
      <c r="L179">
        <v>1</v>
      </c>
      <c r="M179">
        <v>1.21582282177061</v>
      </c>
      <c r="N179" t="s">
        <v>433</v>
      </c>
      <c r="O179">
        <v>1</v>
      </c>
      <c r="P179">
        <v>1.34978540772532</v>
      </c>
      <c r="Q179" t="s">
        <v>468</v>
      </c>
      <c r="R179">
        <v>2</v>
      </c>
      <c r="S179">
        <v>0.85892665952890701</v>
      </c>
      <c r="T179" t="s">
        <v>463</v>
      </c>
      <c r="U179">
        <v>1</v>
      </c>
      <c r="V179">
        <v>0.96060606060606002</v>
      </c>
      <c r="W179" t="s">
        <v>468</v>
      </c>
      <c r="X179">
        <v>2</v>
      </c>
      <c r="Y179">
        <v>1.1538486175724001</v>
      </c>
      <c r="Z179" t="s">
        <v>485</v>
      </c>
      <c r="AA179">
        <v>3</v>
      </c>
      <c r="AB179">
        <v>1.09215017064846</v>
      </c>
      <c r="AC179" t="s">
        <v>463</v>
      </c>
      <c r="AD179">
        <v>1</v>
      </c>
      <c r="AE179">
        <v>1.3743016759776501</v>
      </c>
      <c r="AF179" t="s">
        <v>478</v>
      </c>
      <c r="AG179">
        <v>3</v>
      </c>
      <c r="AH179">
        <v>0.93516209476309198</v>
      </c>
      <c r="AI179" t="s">
        <v>478</v>
      </c>
      <c r="AJ179">
        <v>3</v>
      </c>
      <c r="AK179">
        <v>0.90266666666666595</v>
      </c>
      <c r="AL179" t="s">
        <v>489</v>
      </c>
      <c r="AM179">
        <v>2</v>
      </c>
      <c r="AN179">
        <v>0.76554001554001505</v>
      </c>
      <c r="AO179" t="s">
        <v>514</v>
      </c>
      <c r="AP179">
        <v>1</v>
      </c>
      <c r="AQ179">
        <v>1.3568464730290399</v>
      </c>
      <c r="AR179" t="s">
        <v>481</v>
      </c>
      <c r="AS179">
        <v>1</v>
      </c>
      <c r="AT179">
        <v>1.0987482614742601</v>
      </c>
      <c r="AU179" t="s">
        <v>481</v>
      </c>
      <c r="AV179">
        <v>1</v>
      </c>
      <c r="AW179">
        <v>0.99873417721518898</v>
      </c>
      <c r="AX179" t="s">
        <v>494</v>
      </c>
      <c r="AY179">
        <v>2</v>
      </c>
      <c r="AZ179">
        <v>0.72618030639557996</v>
      </c>
      <c r="BA179" t="s">
        <v>499</v>
      </c>
      <c r="BB179">
        <v>2</v>
      </c>
      <c r="BC179">
        <v>1.1722113502935401</v>
      </c>
      <c r="BD179" t="s">
        <v>498</v>
      </c>
      <c r="BE179">
        <v>3</v>
      </c>
      <c r="BF179">
        <v>0.86868686868686795</v>
      </c>
      <c r="BG179" t="s">
        <v>502</v>
      </c>
      <c r="BH179">
        <v>2</v>
      </c>
      <c r="BI179">
        <v>1.11583011583011</v>
      </c>
      <c r="BJ179" t="s">
        <v>503</v>
      </c>
      <c r="BK179">
        <v>1</v>
      </c>
      <c r="BL179">
        <v>0.93544303797468298</v>
      </c>
      <c r="BM179" t="s">
        <v>515</v>
      </c>
      <c r="BN179">
        <v>2</v>
      </c>
      <c r="BO179">
        <v>1.05304518664047</v>
      </c>
      <c r="BP179" t="s">
        <v>513</v>
      </c>
      <c r="BQ179">
        <v>2</v>
      </c>
      <c r="BR179">
        <v>1.2585251491901099</v>
      </c>
      <c r="BS179" t="s">
        <v>517</v>
      </c>
      <c r="BT179">
        <v>1</v>
      </c>
      <c r="BU179">
        <v>0.97551342812006303</v>
      </c>
      <c r="BV179" t="s">
        <v>511</v>
      </c>
      <c r="BW179">
        <v>3</v>
      </c>
      <c r="BX179">
        <v>1.3774928774928701</v>
      </c>
      <c r="BY179" t="s">
        <v>517</v>
      </c>
      <c r="BZ179">
        <v>1</v>
      </c>
      <c r="CA179">
        <v>1.0803613248578099</v>
      </c>
      <c r="CB179" t="s">
        <v>532</v>
      </c>
      <c r="CC179">
        <v>2</v>
      </c>
      <c r="CD179">
        <v>0.86637931034482696</v>
      </c>
      <c r="CE179" t="s">
        <v>518</v>
      </c>
      <c r="CF179">
        <v>1</v>
      </c>
      <c r="CG179">
        <v>0.99145299145299104</v>
      </c>
      <c r="CH179" t="s">
        <v>519</v>
      </c>
      <c r="CI179">
        <v>1</v>
      </c>
      <c r="CJ179">
        <v>1.1491841491841399</v>
      </c>
      <c r="CK179" t="s">
        <v>552</v>
      </c>
      <c r="CL179" t="s">
        <v>547</v>
      </c>
      <c r="CM179">
        <v>0.724884849993775</v>
      </c>
      <c r="CN179" t="s">
        <v>518</v>
      </c>
      <c r="CO179">
        <v>2</v>
      </c>
      <c r="CP179">
        <v>1</v>
      </c>
      <c r="CQ179" t="s">
        <v>532</v>
      </c>
      <c r="CR179">
        <v>2</v>
      </c>
      <c r="CS179">
        <v>0.96076458752515004</v>
      </c>
      <c r="CT179" t="s">
        <v>532</v>
      </c>
      <c r="CU179">
        <v>2</v>
      </c>
      <c r="CV179">
        <v>0.91413612565445002</v>
      </c>
      <c r="CW179" t="s">
        <v>553</v>
      </c>
      <c r="CX179" t="s">
        <v>547</v>
      </c>
      <c r="CY179">
        <v>0.79749715585893</v>
      </c>
      <c r="CZ179" t="s">
        <v>537</v>
      </c>
      <c r="DA179">
        <v>2</v>
      </c>
      <c r="DB179">
        <v>0.84923076923076901</v>
      </c>
      <c r="DC179" t="s">
        <v>541</v>
      </c>
      <c r="DD179">
        <v>3</v>
      </c>
      <c r="DE179">
        <v>1.0909090909090899</v>
      </c>
      <c r="DF179" t="s">
        <v>551</v>
      </c>
      <c r="DG179" t="s">
        <v>547</v>
      </c>
      <c r="DH179">
        <v>1.1854493580599099</v>
      </c>
    </row>
    <row r="180" spans="1:112" x14ac:dyDescent="0.4">
      <c r="A180">
        <v>178</v>
      </c>
      <c r="B180" t="s">
        <v>437</v>
      </c>
      <c r="C180">
        <v>1</v>
      </c>
      <c r="D180">
        <v>1.2237583075440099</v>
      </c>
      <c r="E180" t="s">
        <v>436</v>
      </c>
      <c r="F180">
        <v>3</v>
      </c>
      <c r="G180">
        <v>0.70015698587127095</v>
      </c>
      <c r="H180" t="s">
        <v>440</v>
      </c>
      <c r="I180">
        <v>2</v>
      </c>
      <c r="J180">
        <v>0.53043385977945201</v>
      </c>
      <c r="K180" t="s">
        <v>455</v>
      </c>
      <c r="L180">
        <v>1</v>
      </c>
      <c r="M180">
        <v>0.88066017774016003</v>
      </c>
      <c r="N180" t="s">
        <v>440</v>
      </c>
      <c r="O180">
        <v>2</v>
      </c>
      <c r="P180">
        <v>1.18050131364055</v>
      </c>
      <c r="Q180" t="s">
        <v>463</v>
      </c>
      <c r="R180">
        <v>1</v>
      </c>
      <c r="S180">
        <v>1.0610932475884201</v>
      </c>
      <c r="T180" t="s">
        <v>478</v>
      </c>
      <c r="U180">
        <v>3</v>
      </c>
      <c r="V180">
        <v>1.0351351351351299</v>
      </c>
      <c r="W180" t="s">
        <v>463</v>
      </c>
      <c r="X180">
        <v>1</v>
      </c>
      <c r="Y180">
        <v>1.2050473186119799</v>
      </c>
      <c r="Z180" t="s">
        <v>481</v>
      </c>
      <c r="AA180">
        <v>1</v>
      </c>
      <c r="AB180">
        <v>0.93283582089552197</v>
      </c>
      <c r="AC180" t="s">
        <v>478</v>
      </c>
      <c r="AD180">
        <v>3</v>
      </c>
      <c r="AE180">
        <v>0.97566909975669103</v>
      </c>
      <c r="AF180" t="s">
        <v>472</v>
      </c>
      <c r="AG180">
        <v>2</v>
      </c>
      <c r="AH180">
        <v>1.0203349282296601</v>
      </c>
      <c r="AI180" t="s">
        <v>472</v>
      </c>
      <c r="AJ180">
        <v>2</v>
      </c>
      <c r="AK180">
        <v>1.12192262602579</v>
      </c>
      <c r="AL180" t="s">
        <v>481</v>
      </c>
      <c r="AM180">
        <v>1</v>
      </c>
      <c r="AN180">
        <v>0.86</v>
      </c>
      <c r="AO180" t="s">
        <v>496</v>
      </c>
      <c r="AP180">
        <v>3</v>
      </c>
      <c r="AQ180">
        <v>0.73755752970138</v>
      </c>
      <c r="AR180" t="s">
        <v>483</v>
      </c>
      <c r="AS180">
        <v>1</v>
      </c>
      <c r="AT180">
        <v>1.1576433121019101</v>
      </c>
      <c r="AU180" t="s">
        <v>488</v>
      </c>
      <c r="AV180">
        <v>2</v>
      </c>
      <c r="AW180">
        <v>1.0281690140844999</v>
      </c>
      <c r="AX180" t="s">
        <v>497</v>
      </c>
      <c r="AY180">
        <v>3</v>
      </c>
      <c r="AZ180">
        <v>0.758536585365853</v>
      </c>
      <c r="BA180" t="s">
        <v>501</v>
      </c>
      <c r="BB180">
        <v>2</v>
      </c>
      <c r="BC180">
        <v>1.1877990430622001</v>
      </c>
      <c r="BD180" t="s">
        <v>505</v>
      </c>
      <c r="BE180">
        <v>3</v>
      </c>
      <c r="BF180">
        <v>1.2563025210084</v>
      </c>
      <c r="BG180" t="s">
        <v>503</v>
      </c>
      <c r="BH180">
        <v>1</v>
      </c>
      <c r="BI180">
        <v>1.1079943899018201</v>
      </c>
      <c r="BJ180" t="s">
        <v>506</v>
      </c>
      <c r="BK180">
        <v>3</v>
      </c>
      <c r="BL180">
        <v>1.07854406130268</v>
      </c>
      <c r="BM180" t="s">
        <v>511</v>
      </c>
      <c r="BN180">
        <v>3</v>
      </c>
      <c r="BO180">
        <v>0.86923076923076903</v>
      </c>
      <c r="BP180" t="s">
        <v>517</v>
      </c>
      <c r="BQ180">
        <v>1</v>
      </c>
      <c r="BR180">
        <v>1.1438036440295101</v>
      </c>
      <c r="BS180" t="s">
        <v>518</v>
      </c>
      <c r="BT180">
        <v>2</v>
      </c>
      <c r="BU180">
        <v>0.96473459426479502</v>
      </c>
      <c r="BV180" t="s">
        <v>517</v>
      </c>
      <c r="BW180">
        <v>1</v>
      </c>
      <c r="BX180">
        <v>1.00843454790823</v>
      </c>
      <c r="BY180" t="s">
        <v>518</v>
      </c>
      <c r="BZ180">
        <v>1</v>
      </c>
      <c r="CA180">
        <v>1.13456552090951</v>
      </c>
      <c r="CB180" t="s">
        <v>559</v>
      </c>
      <c r="CC180" t="s">
        <v>547</v>
      </c>
      <c r="CD180">
        <v>1.09472743521</v>
      </c>
      <c r="CE180" t="s">
        <v>533</v>
      </c>
      <c r="CF180">
        <v>3</v>
      </c>
      <c r="CG180">
        <v>1.0525477707006301</v>
      </c>
      <c r="CH180" t="s">
        <v>533</v>
      </c>
      <c r="CI180">
        <v>3</v>
      </c>
      <c r="CJ180">
        <v>1.9969742813918301</v>
      </c>
      <c r="CK180" t="s">
        <v>555</v>
      </c>
      <c r="CL180" t="s">
        <v>547</v>
      </c>
      <c r="CM180">
        <v>0.90495958051125103</v>
      </c>
      <c r="CN180" t="s">
        <v>526</v>
      </c>
      <c r="CO180">
        <v>1</v>
      </c>
      <c r="CP180">
        <v>1.24898511502029</v>
      </c>
      <c r="CQ180" t="s">
        <v>534</v>
      </c>
      <c r="CR180">
        <v>2</v>
      </c>
      <c r="CS180">
        <v>0.97898640296662498</v>
      </c>
      <c r="CT180" t="s">
        <v>534</v>
      </c>
      <c r="CU180">
        <v>2</v>
      </c>
      <c r="CV180">
        <v>1.1489898989898899</v>
      </c>
      <c r="CW180" t="s">
        <v>554</v>
      </c>
      <c r="CX180" t="s">
        <v>547</v>
      </c>
      <c r="CY180">
        <v>0.65985401459853998</v>
      </c>
      <c r="CZ180" t="s">
        <v>556</v>
      </c>
      <c r="DA180" t="s">
        <v>547</v>
      </c>
      <c r="DB180">
        <v>0.92534722222222199</v>
      </c>
      <c r="DC180" t="s">
        <v>552</v>
      </c>
      <c r="DD180" t="s">
        <v>547</v>
      </c>
      <c r="DE180">
        <v>0.955777096114519</v>
      </c>
      <c r="DF180" t="s">
        <v>560</v>
      </c>
      <c r="DG180" t="s">
        <v>547</v>
      </c>
      <c r="DH180">
        <v>1.4311270125223601</v>
      </c>
    </row>
    <row r="181" spans="1:112" x14ac:dyDescent="0.4">
      <c r="A181">
        <v>179</v>
      </c>
      <c r="B181" t="s">
        <v>455</v>
      </c>
      <c r="C181">
        <v>1</v>
      </c>
      <c r="D181">
        <v>1.13488837839429</v>
      </c>
      <c r="E181" t="s">
        <v>440</v>
      </c>
      <c r="F181">
        <v>2</v>
      </c>
      <c r="G181">
        <v>0.97046046102278805</v>
      </c>
      <c r="H181" t="s">
        <v>445</v>
      </c>
      <c r="I181">
        <v>2</v>
      </c>
      <c r="J181">
        <v>0.58560000000000001</v>
      </c>
      <c r="K181" t="s">
        <v>433</v>
      </c>
      <c r="L181">
        <v>1</v>
      </c>
      <c r="M181">
        <v>0.79595531718648505</v>
      </c>
      <c r="N181" t="s">
        <v>445</v>
      </c>
      <c r="O181">
        <v>2</v>
      </c>
      <c r="P181">
        <v>1.71518987341772</v>
      </c>
      <c r="Q181" t="s">
        <v>478</v>
      </c>
      <c r="R181">
        <v>3</v>
      </c>
      <c r="S181">
        <v>0.89156626506024095</v>
      </c>
      <c r="T181" t="s">
        <v>472</v>
      </c>
      <c r="U181">
        <v>2</v>
      </c>
      <c r="V181">
        <v>0.791519434628975</v>
      </c>
      <c r="W181" t="s">
        <v>478</v>
      </c>
      <c r="X181">
        <v>3</v>
      </c>
      <c r="Y181">
        <v>1.0430809399477801</v>
      </c>
      <c r="Z181" t="s">
        <v>512</v>
      </c>
      <c r="AA181">
        <v>3</v>
      </c>
      <c r="AB181">
        <v>1.16328850161015</v>
      </c>
      <c r="AC181" t="s">
        <v>472</v>
      </c>
      <c r="AD181">
        <v>2</v>
      </c>
      <c r="AE181">
        <v>0.939325842696629</v>
      </c>
      <c r="AF181" t="s">
        <v>485</v>
      </c>
      <c r="AG181">
        <v>3</v>
      </c>
      <c r="AH181">
        <v>1.0722689075630201</v>
      </c>
      <c r="AI181" t="s">
        <v>485</v>
      </c>
      <c r="AJ181">
        <v>3</v>
      </c>
      <c r="AK181">
        <v>0.88401253918495204</v>
      </c>
      <c r="AL181" t="s">
        <v>488</v>
      </c>
      <c r="AM181">
        <v>2</v>
      </c>
      <c r="AN181">
        <v>1.02495201535508</v>
      </c>
      <c r="AO181" t="s">
        <v>498</v>
      </c>
      <c r="AP181">
        <v>3</v>
      </c>
      <c r="AQ181">
        <v>1.0584415584415501</v>
      </c>
      <c r="AR181" t="s">
        <v>488</v>
      </c>
      <c r="AS181">
        <v>2</v>
      </c>
      <c r="AT181">
        <v>0.81923076923076898</v>
      </c>
      <c r="AU181" t="s">
        <v>490</v>
      </c>
      <c r="AV181">
        <v>3</v>
      </c>
      <c r="AW181">
        <v>1.0958083832335299</v>
      </c>
      <c r="AX181" t="s">
        <v>505</v>
      </c>
      <c r="AY181">
        <v>3</v>
      </c>
      <c r="AZ181">
        <v>0.94562647754137097</v>
      </c>
      <c r="BA181" t="s">
        <v>502</v>
      </c>
      <c r="BB181">
        <v>2</v>
      </c>
      <c r="BC181">
        <v>1.50115473441108</v>
      </c>
      <c r="BD181" t="s">
        <v>501</v>
      </c>
      <c r="BE181">
        <v>2</v>
      </c>
      <c r="BF181">
        <v>0.90634441087613205</v>
      </c>
      <c r="BG181" t="s">
        <v>506</v>
      </c>
      <c r="BH181">
        <v>3</v>
      </c>
      <c r="BI181">
        <v>0.850162866449511</v>
      </c>
      <c r="BJ181" t="s">
        <v>515</v>
      </c>
      <c r="BK181">
        <v>2</v>
      </c>
      <c r="BL181">
        <v>0.90892857142857097</v>
      </c>
      <c r="BM181" t="s">
        <v>513</v>
      </c>
      <c r="BN181">
        <v>2</v>
      </c>
      <c r="BO181">
        <v>1.0312087912087899</v>
      </c>
      <c r="BP181" t="s">
        <v>518</v>
      </c>
      <c r="BQ181">
        <v>2</v>
      </c>
      <c r="BR181">
        <v>1.09324973319103</v>
      </c>
      <c r="BS181" t="s">
        <v>530</v>
      </c>
      <c r="BT181">
        <v>3</v>
      </c>
      <c r="BU181">
        <v>1.0100671140939499</v>
      </c>
      <c r="BV181" t="s">
        <v>518</v>
      </c>
      <c r="BW181">
        <v>2</v>
      </c>
      <c r="BX181">
        <v>0.951239564887427</v>
      </c>
      <c r="BY181" t="s">
        <v>530</v>
      </c>
      <c r="BZ181">
        <v>3</v>
      </c>
      <c r="CA181">
        <v>0.85430463576158899</v>
      </c>
      <c r="CB181" t="s">
        <v>552</v>
      </c>
      <c r="CC181" t="s">
        <v>547</v>
      </c>
      <c r="CD181">
        <v>0.72851889000334302</v>
      </c>
      <c r="CE181" t="s">
        <v>523</v>
      </c>
      <c r="CF181">
        <v>3</v>
      </c>
      <c r="CG181">
        <v>1.29797191887675</v>
      </c>
      <c r="CH181" t="s">
        <v>523</v>
      </c>
      <c r="CI181">
        <v>3</v>
      </c>
      <c r="CJ181">
        <v>1.2620192307692299</v>
      </c>
      <c r="CK181" t="s">
        <v>562</v>
      </c>
      <c r="CL181" t="s">
        <v>547</v>
      </c>
      <c r="CM181">
        <v>0.72299465240641703</v>
      </c>
      <c r="CN181" t="s">
        <v>527</v>
      </c>
      <c r="CO181">
        <v>2</v>
      </c>
      <c r="CP181">
        <v>0.87617554858934099</v>
      </c>
      <c r="CQ181" t="s">
        <v>537</v>
      </c>
      <c r="CR181">
        <v>2</v>
      </c>
      <c r="CS181">
        <v>1.0427046263345101</v>
      </c>
      <c r="CT181" t="s">
        <v>537</v>
      </c>
      <c r="CU181">
        <v>2</v>
      </c>
      <c r="CV181">
        <v>0.89761092150170596</v>
      </c>
      <c r="CW181" t="s">
        <v>555</v>
      </c>
      <c r="CX181" t="s">
        <v>547</v>
      </c>
      <c r="CY181">
        <v>0.86527293844367004</v>
      </c>
      <c r="CZ181" t="s">
        <v>552</v>
      </c>
      <c r="DA181" t="s">
        <v>547</v>
      </c>
      <c r="DB181">
        <v>0.97726704971271505</v>
      </c>
      <c r="DC181" t="s">
        <v>553</v>
      </c>
      <c r="DD181" t="s">
        <v>547</v>
      </c>
      <c r="DE181">
        <v>0.96</v>
      </c>
      <c r="DF181" t="s">
        <v>548</v>
      </c>
      <c r="DG181" t="s">
        <v>547</v>
      </c>
      <c r="DH181">
        <v>1.6036772216547399</v>
      </c>
    </row>
    <row r="182" spans="1:112" x14ac:dyDescent="0.4">
      <c r="A182">
        <v>180</v>
      </c>
      <c r="B182" t="s">
        <v>433</v>
      </c>
      <c r="C182">
        <v>1</v>
      </c>
      <c r="D182">
        <v>1</v>
      </c>
      <c r="E182" t="s">
        <v>443</v>
      </c>
      <c r="F182">
        <v>1</v>
      </c>
      <c r="G182">
        <v>0.937402190923317</v>
      </c>
      <c r="H182" t="s">
        <v>448</v>
      </c>
      <c r="I182">
        <v>2</v>
      </c>
      <c r="J182">
        <v>0.305084745762711</v>
      </c>
      <c r="K182" t="s">
        <v>440</v>
      </c>
      <c r="L182">
        <v>2</v>
      </c>
      <c r="M182">
        <v>1.0245907602764599</v>
      </c>
      <c r="N182" t="s">
        <v>448</v>
      </c>
      <c r="O182">
        <v>2</v>
      </c>
      <c r="P182">
        <v>1.97324414715719</v>
      </c>
      <c r="Q182" t="s">
        <v>472</v>
      </c>
      <c r="R182">
        <v>2</v>
      </c>
      <c r="S182">
        <v>1.0599250936329501</v>
      </c>
      <c r="T182" t="s">
        <v>485</v>
      </c>
      <c r="U182">
        <v>3</v>
      </c>
      <c r="V182">
        <v>0.99127906976744096</v>
      </c>
      <c r="W182" t="s">
        <v>472</v>
      </c>
      <c r="X182">
        <v>2</v>
      </c>
      <c r="Y182">
        <v>1.1473214285714199</v>
      </c>
      <c r="Z182" t="s">
        <v>488</v>
      </c>
      <c r="AA182">
        <v>2</v>
      </c>
      <c r="AB182">
        <v>0.91126279863481197</v>
      </c>
      <c r="AC182" t="s">
        <v>485</v>
      </c>
      <c r="AD182">
        <v>3</v>
      </c>
      <c r="AE182">
        <v>0.9296875</v>
      </c>
      <c r="AF182" t="s">
        <v>481</v>
      </c>
      <c r="AG182">
        <v>1</v>
      </c>
      <c r="AH182">
        <v>1.2317666126418101</v>
      </c>
      <c r="AI182" t="s">
        <v>481</v>
      </c>
      <c r="AJ182">
        <v>1</v>
      </c>
      <c r="AK182">
        <v>1.1842105263157801</v>
      </c>
      <c r="AL182" t="s">
        <v>490</v>
      </c>
      <c r="AM182">
        <v>3</v>
      </c>
      <c r="AN182">
        <v>1.17886178861788</v>
      </c>
      <c r="AO182" t="s">
        <v>500</v>
      </c>
      <c r="AP182">
        <v>2</v>
      </c>
      <c r="AQ182">
        <v>1.25650557620817</v>
      </c>
      <c r="AR182" t="s">
        <v>490</v>
      </c>
      <c r="AS182">
        <v>3</v>
      </c>
      <c r="AT182">
        <v>0.92265193370165699</v>
      </c>
      <c r="AU182" t="s">
        <v>507</v>
      </c>
      <c r="AV182">
        <v>3</v>
      </c>
      <c r="AW182">
        <v>1.14042759961127</v>
      </c>
      <c r="AX182" t="s">
        <v>501</v>
      </c>
      <c r="AY182">
        <v>2</v>
      </c>
      <c r="AZ182">
        <v>0.61380323054331798</v>
      </c>
      <c r="BA182" t="s">
        <v>503</v>
      </c>
      <c r="BB182">
        <v>1</v>
      </c>
      <c r="BC182">
        <v>0.99593495934959297</v>
      </c>
      <c r="BD182" t="s">
        <v>502</v>
      </c>
      <c r="BE182">
        <v>2</v>
      </c>
      <c r="BF182">
        <v>0.79692307692307696</v>
      </c>
      <c r="BG182" t="s">
        <v>515</v>
      </c>
      <c r="BH182">
        <v>2</v>
      </c>
      <c r="BI182">
        <v>0.94915254237288105</v>
      </c>
      <c r="BJ182" t="s">
        <v>510</v>
      </c>
      <c r="BK182">
        <v>2</v>
      </c>
      <c r="BL182">
        <v>1.0687732342007401</v>
      </c>
      <c r="BM182" t="s">
        <v>517</v>
      </c>
      <c r="BN182">
        <v>1</v>
      </c>
      <c r="BO182">
        <v>0.90767443449736895</v>
      </c>
      <c r="BP182" t="s">
        <v>530</v>
      </c>
      <c r="BQ182">
        <v>3</v>
      </c>
      <c r="BR182">
        <v>1.0033670033669999</v>
      </c>
      <c r="BS182" t="s">
        <v>533</v>
      </c>
      <c r="BT182">
        <v>2</v>
      </c>
      <c r="BU182">
        <v>1.0480446927374301</v>
      </c>
      <c r="BV182" t="s">
        <v>530</v>
      </c>
      <c r="BW182">
        <v>3</v>
      </c>
      <c r="BX182">
        <v>1.0033222591362101</v>
      </c>
      <c r="BY182" t="s">
        <v>533</v>
      </c>
      <c r="BZ182">
        <v>3</v>
      </c>
      <c r="CA182">
        <v>1.5866388308977</v>
      </c>
      <c r="CB182" t="s">
        <v>564</v>
      </c>
      <c r="CC182" t="s">
        <v>547</v>
      </c>
      <c r="CD182">
        <v>0.99802761341222801</v>
      </c>
      <c r="CE182" t="s">
        <v>527</v>
      </c>
      <c r="CF182">
        <v>2</v>
      </c>
      <c r="CG182">
        <v>1.1272727272727201</v>
      </c>
      <c r="CH182" t="s">
        <v>527</v>
      </c>
      <c r="CI182">
        <v>2</v>
      </c>
      <c r="CJ182">
        <v>1.02785923753665</v>
      </c>
      <c r="CK182" t="s">
        <v>557</v>
      </c>
      <c r="CL182" t="s">
        <v>547</v>
      </c>
      <c r="CM182">
        <v>0.93115124153498796</v>
      </c>
      <c r="CN182" t="s">
        <v>532</v>
      </c>
      <c r="CO182">
        <v>2</v>
      </c>
      <c r="CP182">
        <v>0.92897196261682202</v>
      </c>
      <c r="CQ182" t="s">
        <v>556</v>
      </c>
      <c r="CR182" t="s">
        <v>547</v>
      </c>
      <c r="CS182">
        <v>0.89552238805970097</v>
      </c>
      <c r="CT182" t="s">
        <v>556</v>
      </c>
      <c r="CU182" t="s">
        <v>547</v>
      </c>
      <c r="CV182">
        <v>1.0216666666666601</v>
      </c>
      <c r="CW182" t="s">
        <v>558</v>
      </c>
      <c r="CX182" t="s">
        <v>547</v>
      </c>
      <c r="CY182">
        <v>0.93018867924528303</v>
      </c>
      <c r="CZ182" t="s">
        <v>553</v>
      </c>
      <c r="DA182" t="s">
        <v>547</v>
      </c>
      <c r="DB182">
        <v>1.0342368045649</v>
      </c>
      <c r="DC182" t="s">
        <v>554</v>
      </c>
      <c r="DD182" t="s">
        <v>547</v>
      </c>
      <c r="DE182">
        <v>0.94503546099290703</v>
      </c>
      <c r="DF182" t="s">
        <v>565</v>
      </c>
      <c r="DG182" t="s">
        <v>547</v>
      </c>
      <c r="DH182">
        <v>1.1547344110854501</v>
      </c>
    </row>
    <row r="183" spans="1:112" x14ac:dyDescent="0.4">
      <c r="A183">
        <v>181</v>
      </c>
      <c r="B183" t="s">
        <v>436</v>
      </c>
      <c r="C183">
        <v>3</v>
      </c>
      <c r="D183">
        <v>1.4030837004405201</v>
      </c>
      <c r="E183" t="s">
        <v>448</v>
      </c>
      <c r="F183">
        <v>2</v>
      </c>
      <c r="G183">
        <v>0.79622132253711198</v>
      </c>
      <c r="H183" t="s">
        <v>457</v>
      </c>
      <c r="I183">
        <v>1</v>
      </c>
      <c r="J183">
        <v>0.69444444444444398</v>
      </c>
      <c r="K183" t="s">
        <v>445</v>
      </c>
      <c r="L183">
        <v>2</v>
      </c>
      <c r="M183">
        <v>1.29508196721311</v>
      </c>
      <c r="N183" t="s">
        <v>469</v>
      </c>
      <c r="O183">
        <v>1</v>
      </c>
      <c r="P183">
        <v>1.4583333333333299</v>
      </c>
      <c r="Q183" t="s">
        <v>485</v>
      </c>
      <c r="R183">
        <v>3</v>
      </c>
      <c r="S183">
        <v>0.84004884004883995</v>
      </c>
      <c r="T183" t="s">
        <v>479</v>
      </c>
      <c r="U183">
        <v>3</v>
      </c>
      <c r="V183">
        <v>0.72119487908961499</v>
      </c>
      <c r="W183" t="s">
        <v>485</v>
      </c>
      <c r="X183">
        <v>3</v>
      </c>
      <c r="Y183">
        <v>0.85923753665689095</v>
      </c>
      <c r="Z183" t="s">
        <v>490</v>
      </c>
      <c r="AA183">
        <v>3</v>
      </c>
      <c r="AB183">
        <v>1.0430463576158899</v>
      </c>
      <c r="AC183" t="s">
        <v>481</v>
      </c>
      <c r="AD183">
        <v>1</v>
      </c>
      <c r="AE183">
        <v>0.98719999999999997</v>
      </c>
      <c r="AF183" t="s">
        <v>512</v>
      </c>
      <c r="AG183">
        <v>3</v>
      </c>
      <c r="AH183">
        <v>0.92801816239316204</v>
      </c>
      <c r="AI183" t="s">
        <v>512</v>
      </c>
      <c r="AJ183">
        <v>3</v>
      </c>
      <c r="AK183">
        <v>0.74269679090516605</v>
      </c>
      <c r="AL183" t="s">
        <v>494</v>
      </c>
      <c r="AM183">
        <v>2</v>
      </c>
      <c r="AN183">
        <v>1.1245735795788701</v>
      </c>
      <c r="AO183" t="s">
        <v>499</v>
      </c>
      <c r="AP183">
        <v>2</v>
      </c>
      <c r="AQ183">
        <v>1.09350649350649</v>
      </c>
      <c r="AR183" t="s">
        <v>494</v>
      </c>
      <c r="AS183">
        <v>2</v>
      </c>
      <c r="AT183">
        <v>0.79333439642800196</v>
      </c>
      <c r="AU183" t="s">
        <v>491</v>
      </c>
      <c r="AV183">
        <v>1</v>
      </c>
      <c r="AW183">
        <v>1.1450617283950599</v>
      </c>
      <c r="AX183" t="s">
        <v>502</v>
      </c>
      <c r="AY183">
        <v>2</v>
      </c>
      <c r="AZ183">
        <v>0.75964912280701702</v>
      </c>
      <c r="BA183" t="s">
        <v>504</v>
      </c>
      <c r="BB183">
        <v>3</v>
      </c>
      <c r="BC183">
        <v>1.2113915933072901</v>
      </c>
      <c r="BD183" t="s">
        <v>503</v>
      </c>
      <c r="BE183">
        <v>1</v>
      </c>
      <c r="BF183">
        <v>0.97006802721088403</v>
      </c>
      <c r="BG183" t="s">
        <v>510</v>
      </c>
      <c r="BH183">
        <v>2</v>
      </c>
      <c r="BI183">
        <v>1.20627802690582</v>
      </c>
      <c r="BJ183" t="s">
        <v>529</v>
      </c>
      <c r="BK183">
        <v>3</v>
      </c>
      <c r="BL183">
        <v>1.3135313531353101</v>
      </c>
      <c r="BM183" t="s">
        <v>518</v>
      </c>
      <c r="BN183">
        <v>2</v>
      </c>
      <c r="BO183">
        <v>0.91739077224329901</v>
      </c>
      <c r="BP183" t="s">
        <v>533</v>
      </c>
      <c r="BQ183">
        <v>2</v>
      </c>
      <c r="BR183">
        <v>1.0170454545454499</v>
      </c>
      <c r="BS183" t="s">
        <v>523</v>
      </c>
      <c r="BT183">
        <v>3</v>
      </c>
      <c r="BU183">
        <v>0.93273824490822199</v>
      </c>
      <c r="BV183" t="s">
        <v>533</v>
      </c>
      <c r="BW183">
        <v>2</v>
      </c>
      <c r="BX183">
        <v>1.0213219616204601</v>
      </c>
      <c r="BY183" t="s">
        <v>532</v>
      </c>
      <c r="BZ183">
        <v>2</v>
      </c>
      <c r="CA183">
        <v>1.08411214953271</v>
      </c>
      <c r="CB183" t="s">
        <v>557</v>
      </c>
      <c r="CC183" t="s">
        <v>547</v>
      </c>
      <c r="CD183">
        <v>1.0034965034965</v>
      </c>
      <c r="CE183" t="s">
        <v>532</v>
      </c>
      <c r="CF183">
        <v>2</v>
      </c>
      <c r="CG183">
        <v>1.16417910447761</v>
      </c>
      <c r="CH183" t="s">
        <v>532</v>
      </c>
      <c r="CI183">
        <v>2</v>
      </c>
      <c r="CJ183">
        <v>0.97863247863247804</v>
      </c>
      <c r="CK183" t="s">
        <v>558</v>
      </c>
      <c r="CL183" t="s">
        <v>547</v>
      </c>
      <c r="CM183">
        <v>0.86301369863013699</v>
      </c>
      <c r="CN183" t="s">
        <v>534</v>
      </c>
      <c r="CO183">
        <v>2</v>
      </c>
      <c r="CP183">
        <v>1.03452685421994</v>
      </c>
      <c r="CQ183" t="s">
        <v>552</v>
      </c>
      <c r="CR183" t="s">
        <v>547</v>
      </c>
      <c r="CS183">
        <v>0.94109195402298795</v>
      </c>
      <c r="CT183" t="s">
        <v>552</v>
      </c>
      <c r="CU183" t="s">
        <v>547</v>
      </c>
      <c r="CV183">
        <v>1.32118320610687</v>
      </c>
      <c r="CW183" t="s">
        <v>551</v>
      </c>
      <c r="CX183" t="s">
        <v>547</v>
      </c>
      <c r="CY183">
        <v>1.0198938992042399</v>
      </c>
      <c r="CZ183" t="s">
        <v>555</v>
      </c>
      <c r="DA183" t="s">
        <v>547</v>
      </c>
      <c r="DB183">
        <v>0.96308724832214698</v>
      </c>
      <c r="DC183" t="s">
        <v>557</v>
      </c>
      <c r="DD183" t="s">
        <v>547</v>
      </c>
      <c r="DE183">
        <v>0.84518348623853201</v>
      </c>
      <c r="DF183" t="s">
        <v>566</v>
      </c>
      <c r="DG183" t="s">
        <v>547</v>
      </c>
      <c r="DH183">
        <v>1.0601503759398401</v>
      </c>
    </row>
    <row r="184" spans="1:112" x14ac:dyDescent="0.4">
      <c r="A184">
        <v>182</v>
      </c>
      <c r="B184" t="s">
        <v>440</v>
      </c>
      <c r="C184">
        <v>2</v>
      </c>
      <c r="D184">
        <v>1.2343804174467701</v>
      </c>
      <c r="E184" t="s">
        <v>446</v>
      </c>
      <c r="F184">
        <v>3</v>
      </c>
      <c r="G184">
        <v>0.72874493927125505</v>
      </c>
      <c r="H184" t="s">
        <v>456</v>
      </c>
      <c r="I184">
        <v>2</v>
      </c>
      <c r="J184">
        <v>0.77841726618704998</v>
      </c>
      <c r="K184" t="s">
        <v>448</v>
      </c>
      <c r="L184">
        <v>2</v>
      </c>
      <c r="M184">
        <v>0.99666666666666603</v>
      </c>
      <c r="N184" t="s">
        <v>458</v>
      </c>
      <c r="O184">
        <v>1</v>
      </c>
      <c r="P184">
        <v>1.4715302491103199</v>
      </c>
      <c r="Q184" t="s">
        <v>479</v>
      </c>
      <c r="R184">
        <v>3</v>
      </c>
      <c r="S184">
        <v>1.3091247672253199</v>
      </c>
      <c r="T184" t="s">
        <v>481</v>
      </c>
      <c r="U184">
        <v>1</v>
      </c>
      <c r="V184">
        <v>1.02748091603053</v>
      </c>
      <c r="W184" t="s">
        <v>479</v>
      </c>
      <c r="X184">
        <v>3</v>
      </c>
      <c r="Y184">
        <v>1.4516765285996001</v>
      </c>
      <c r="Z184" t="s">
        <v>494</v>
      </c>
      <c r="AA184">
        <v>1</v>
      </c>
      <c r="AB184">
        <v>1.1605204872646699</v>
      </c>
      <c r="AC184" t="s">
        <v>488</v>
      </c>
      <c r="AD184">
        <v>2</v>
      </c>
      <c r="AE184">
        <v>0.95880149812733995</v>
      </c>
      <c r="AF184" t="s">
        <v>488</v>
      </c>
      <c r="AG184">
        <v>2</v>
      </c>
      <c r="AH184">
        <v>1.109375</v>
      </c>
      <c r="AI184" t="s">
        <v>488</v>
      </c>
      <c r="AJ184">
        <v>2</v>
      </c>
      <c r="AK184">
        <v>0.91725352112675995</v>
      </c>
      <c r="AL184" t="s">
        <v>514</v>
      </c>
      <c r="AM184">
        <v>1</v>
      </c>
      <c r="AN184">
        <v>1.20802005012531</v>
      </c>
      <c r="AO184" t="s">
        <v>501</v>
      </c>
      <c r="AP184">
        <v>2</v>
      </c>
      <c r="AQ184">
        <v>0.73262032085561501</v>
      </c>
      <c r="AR184" t="s">
        <v>498</v>
      </c>
      <c r="AS184">
        <v>3</v>
      </c>
      <c r="AT184">
        <v>1.1104294478527601</v>
      </c>
      <c r="AU184" t="s">
        <v>494</v>
      </c>
      <c r="AV184">
        <v>2</v>
      </c>
      <c r="AW184">
        <v>1.1764824120602999</v>
      </c>
      <c r="AX184" t="s">
        <v>503</v>
      </c>
      <c r="AY184">
        <v>1</v>
      </c>
      <c r="AZ184">
        <v>0.89563106796116498</v>
      </c>
      <c r="BA184" t="s">
        <v>520</v>
      </c>
      <c r="BB184">
        <v>2</v>
      </c>
      <c r="BC184">
        <v>1.19256756756756</v>
      </c>
      <c r="BD184" t="s">
        <v>504</v>
      </c>
      <c r="BE184">
        <v>3</v>
      </c>
      <c r="BF184">
        <v>1.24654699456181</v>
      </c>
      <c r="BG184" t="s">
        <v>529</v>
      </c>
      <c r="BH184">
        <v>3</v>
      </c>
      <c r="BI184">
        <v>1.1976284584980199</v>
      </c>
      <c r="BJ184" t="s">
        <v>513</v>
      </c>
      <c r="BK184">
        <v>2</v>
      </c>
      <c r="BL184">
        <v>1.2214765100671101</v>
      </c>
      <c r="BM184" t="s">
        <v>519</v>
      </c>
      <c r="BN184">
        <v>1</v>
      </c>
      <c r="BO184">
        <v>1.03778337531486</v>
      </c>
      <c r="BP184" t="s">
        <v>559</v>
      </c>
      <c r="BQ184" t="s">
        <v>547</v>
      </c>
      <c r="BR184">
        <v>1.22857142857142</v>
      </c>
      <c r="BS184" t="s">
        <v>559</v>
      </c>
      <c r="BT184" t="s">
        <v>547</v>
      </c>
      <c r="BU184">
        <v>1.05366726296958</v>
      </c>
      <c r="BV184" t="s">
        <v>559</v>
      </c>
      <c r="BW184" t="s">
        <v>547</v>
      </c>
      <c r="BX184">
        <v>0.938030560271646</v>
      </c>
      <c r="BY184" t="s">
        <v>559</v>
      </c>
      <c r="BZ184" t="s">
        <v>547</v>
      </c>
      <c r="CA184">
        <v>1.0126696832579101</v>
      </c>
      <c r="CB184" t="s">
        <v>568</v>
      </c>
      <c r="CC184" t="s">
        <v>547</v>
      </c>
      <c r="CD184">
        <v>0.65153846153846096</v>
      </c>
      <c r="CE184" t="s">
        <v>559</v>
      </c>
      <c r="CF184" t="s">
        <v>547</v>
      </c>
      <c r="CG184">
        <v>0.94857142857142795</v>
      </c>
      <c r="CH184" t="s">
        <v>559</v>
      </c>
      <c r="CI184" t="s">
        <v>547</v>
      </c>
      <c r="CJ184">
        <v>1.24784853700516</v>
      </c>
      <c r="CK184" t="s">
        <v>551</v>
      </c>
      <c r="CL184" t="s">
        <v>547</v>
      </c>
      <c r="CM184">
        <v>1.54395604395604</v>
      </c>
      <c r="CN184" t="s">
        <v>537</v>
      </c>
      <c r="CO184">
        <v>2</v>
      </c>
      <c r="CP184">
        <v>1.2270742358078599</v>
      </c>
      <c r="CQ184" t="s">
        <v>569</v>
      </c>
      <c r="CR184" t="s">
        <v>547</v>
      </c>
      <c r="CS184">
        <v>0.96226415094339601</v>
      </c>
      <c r="CT184" t="s">
        <v>569</v>
      </c>
      <c r="CU184" t="s">
        <v>547</v>
      </c>
      <c r="CV184">
        <v>1.7549019607843099</v>
      </c>
      <c r="CW184" t="s">
        <v>548</v>
      </c>
      <c r="CX184" t="s">
        <v>547</v>
      </c>
      <c r="CY184">
        <v>0.80887372013651804</v>
      </c>
      <c r="CZ184" t="s">
        <v>562</v>
      </c>
      <c r="DA184" t="s">
        <v>547</v>
      </c>
      <c r="DB184">
        <v>0.81562881562881495</v>
      </c>
      <c r="DC184" t="s">
        <v>558</v>
      </c>
      <c r="DD184" t="s">
        <v>547</v>
      </c>
      <c r="DE184">
        <v>1.0714285714285701</v>
      </c>
      <c r="DF184" t="s">
        <v>570</v>
      </c>
      <c r="DG184" t="s">
        <v>547</v>
      </c>
      <c r="DH184">
        <v>1.4912280701754299</v>
      </c>
    </row>
    <row r="185" spans="1:112" x14ac:dyDescent="0.4">
      <c r="A185">
        <v>183</v>
      </c>
      <c r="B185" t="s">
        <v>443</v>
      </c>
      <c r="C185">
        <v>1</v>
      </c>
      <c r="D185">
        <v>1.08488964346349</v>
      </c>
      <c r="E185" t="s">
        <v>457</v>
      </c>
      <c r="F185">
        <v>1</v>
      </c>
      <c r="G185">
        <v>0.76190476190476097</v>
      </c>
      <c r="H185" t="s">
        <v>460</v>
      </c>
      <c r="I185">
        <v>3</v>
      </c>
      <c r="J185">
        <v>0.58164983164983097</v>
      </c>
      <c r="K185" t="s">
        <v>444</v>
      </c>
      <c r="L185">
        <v>1</v>
      </c>
      <c r="M185">
        <v>0.91210438500443103</v>
      </c>
      <c r="N185" t="s">
        <v>457</v>
      </c>
      <c r="O185">
        <v>1</v>
      </c>
      <c r="P185">
        <v>1.4065934065934</v>
      </c>
      <c r="Q185" t="s">
        <v>481</v>
      </c>
      <c r="R185">
        <v>1</v>
      </c>
      <c r="S185">
        <v>1.0953177257525</v>
      </c>
      <c r="T185" t="s">
        <v>488</v>
      </c>
      <c r="U185">
        <v>2</v>
      </c>
      <c r="V185">
        <v>1.1883495145631</v>
      </c>
      <c r="W185" t="s">
        <v>481</v>
      </c>
      <c r="X185">
        <v>1</v>
      </c>
      <c r="Y185">
        <v>0.99554234769687899</v>
      </c>
      <c r="Z185" t="s">
        <v>500</v>
      </c>
      <c r="AA185">
        <v>2</v>
      </c>
      <c r="AB185">
        <v>0.75830815709969701</v>
      </c>
      <c r="AC185" t="s">
        <v>490</v>
      </c>
      <c r="AD185">
        <v>3</v>
      </c>
      <c r="AE185">
        <v>1.1068783068782999</v>
      </c>
      <c r="AF185" t="s">
        <v>490</v>
      </c>
      <c r="AG185">
        <v>3</v>
      </c>
      <c r="AH185">
        <v>1.18164435946462</v>
      </c>
      <c r="AI185" t="s">
        <v>494</v>
      </c>
      <c r="AJ185">
        <v>2</v>
      </c>
      <c r="AK185">
        <v>0.84343684889373904</v>
      </c>
      <c r="AL185" t="s">
        <v>498</v>
      </c>
      <c r="AM185">
        <v>2</v>
      </c>
      <c r="AN185">
        <v>0.89534883720930203</v>
      </c>
      <c r="AO185" t="s">
        <v>502</v>
      </c>
      <c r="AP185">
        <v>2</v>
      </c>
      <c r="AQ185">
        <v>0.89403973509933699</v>
      </c>
      <c r="AR185" t="s">
        <v>500</v>
      </c>
      <c r="AS185">
        <v>2</v>
      </c>
      <c r="AT185">
        <v>1.2559171597633101</v>
      </c>
      <c r="AU185" t="s">
        <v>525</v>
      </c>
      <c r="AV185">
        <v>2</v>
      </c>
      <c r="AW185">
        <v>1.5842687332800101</v>
      </c>
      <c r="AX185" t="s">
        <v>504</v>
      </c>
      <c r="AY185">
        <v>3</v>
      </c>
      <c r="AZ185">
        <v>1.0493056829999301</v>
      </c>
      <c r="BA185" t="s">
        <v>506</v>
      </c>
      <c r="BB185">
        <v>3</v>
      </c>
      <c r="BC185">
        <v>1.04505494505494</v>
      </c>
      <c r="BD185" t="s">
        <v>520</v>
      </c>
      <c r="BE185">
        <v>2</v>
      </c>
      <c r="BF185">
        <v>1.2011331444759199</v>
      </c>
      <c r="BG185" t="s">
        <v>513</v>
      </c>
      <c r="BH185">
        <v>2</v>
      </c>
      <c r="BI185">
        <v>1</v>
      </c>
      <c r="BJ185" t="s">
        <v>517</v>
      </c>
      <c r="BK185">
        <v>1</v>
      </c>
      <c r="BL185">
        <v>1.0031534928360799</v>
      </c>
      <c r="BM185" t="s">
        <v>530</v>
      </c>
      <c r="BN185">
        <v>3</v>
      </c>
      <c r="BO185">
        <v>1.09191176470588</v>
      </c>
      <c r="BP185" t="s">
        <v>552</v>
      </c>
      <c r="BQ185" t="s">
        <v>547</v>
      </c>
      <c r="BR185">
        <v>1.1660493827160401</v>
      </c>
      <c r="BS185" t="s">
        <v>552</v>
      </c>
      <c r="BT185" t="s">
        <v>547</v>
      </c>
      <c r="BU185">
        <v>0.939782953943885</v>
      </c>
      <c r="BV185" t="s">
        <v>552</v>
      </c>
      <c r="BW185" t="s">
        <v>547</v>
      </c>
      <c r="BX185">
        <v>1.3003802281368799</v>
      </c>
      <c r="BY185" t="s">
        <v>552</v>
      </c>
      <c r="BZ185" t="s">
        <v>547</v>
      </c>
      <c r="CA185">
        <v>1.2956465237166901</v>
      </c>
      <c r="CB185" t="s">
        <v>558</v>
      </c>
      <c r="CC185" t="s">
        <v>547</v>
      </c>
      <c r="CD185">
        <v>1.0425963488843799</v>
      </c>
      <c r="CE185" t="s">
        <v>552</v>
      </c>
      <c r="CF185" t="s">
        <v>547</v>
      </c>
      <c r="CG185">
        <v>0.83822854520422196</v>
      </c>
      <c r="CH185" t="s">
        <v>552</v>
      </c>
      <c r="CI185" t="s">
        <v>547</v>
      </c>
      <c r="CJ185">
        <v>1.0995072543115201</v>
      </c>
      <c r="CK185" t="s">
        <v>565</v>
      </c>
      <c r="CL185" t="s">
        <v>547</v>
      </c>
      <c r="CM185">
        <v>0.95594713656387598</v>
      </c>
      <c r="CN185" t="s">
        <v>540</v>
      </c>
      <c r="CO185">
        <v>2</v>
      </c>
      <c r="CP185">
        <v>1.3504273504273501</v>
      </c>
      <c r="CQ185" t="s">
        <v>554</v>
      </c>
      <c r="CR185" t="s">
        <v>547</v>
      </c>
      <c r="CS185">
        <v>0.63342318059299196</v>
      </c>
      <c r="CT185" t="s">
        <v>555</v>
      </c>
      <c r="CU185" t="s">
        <v>547</v>
      </c>
      <c r="CV185">
        <v>0.97935505886367502</v>
      </c>
      <c r="CW185" t="s">
        <v>565</v>
      </c>
      <c r="CX185" t="s">
        <v>547</v>
      </c>
      <c r="CY185">
        <v>0.78656716417910399</v>
      </c>
      <c r="CZ185" t="s">
        <v>558</v>
      </c>
      <c r="DA185" t="s">
        <v>547</v>
      </c>
      <c r="DB185">
        <v>1.1359026369168299</v>
      </c>
      <c r="DC185" t="s">
        <v>551</v>
      </c>
      <c r="DD185" t="s">
        <v>547</v>
      </c>
      <c r="DE185">
        <v>1.0308823529411699</v>
      </c>
      <c r="DF185" t="s">
        <v>572</v>
      </c>
      <c r="DG185" t="s">
        <v>547</v>
      </c>
      <c r="DH185">
        <v>0.99335989375830003</v>
      </c>
    </row>
    <row r="186" spans="1:112" x14ac:dyDescent="0.4">
      <c r="A186">
        <v>184</v>
      </c>
      <c r="B186" t="s">
        <v>448</v>
      </c>
      <c r="C186">
        <v>2</v>
      </c>
      <c r="D186">
        <v>1.32795698924731</v>
      </c>
      <c r="E186" t="s">
        <v>456</v>
      </c>
      <c r="F186">
        <v>2</v>
      </c>
      <c r="G186">
        <v>1</v>
      </c>
      <c r="H186" t="s">
        <v>463</v>
      </c>
      <c r="I186">
        <v>1</v>
      </c>
      <c r="J186">
        <v>0.784810126582278</v>
      </c>
      <c r="K186" t="s">
        <v>469</v>
      </c>
      <c r="L186">
        <v>1</v>
      </c>
      <c r="M186">
        <v>1</v>
      </c>
      <c r="N186" t="s">
        <v>456</v>
      </c>
      <c r="O186">
        <v>2</v>
      </c>
      <c r="P186">
        <v>1.0767946577629299</v>
      </c>
      <c r="Q186" t="s">
        <v>488</v>
      </c>
      <c r="R186">
        <v>2</v>
      </c>
      <c r="S186">
        <v>1.11231101511879</v>
      </c>
      <c r="T186" t="s">
        <v>490</v>
      </c>
      <c r="U186">
        <v>3</v>
      </c>
      <c r="V186">
        <v>1.0114810562571701</v>
      </c>
      <c r="W186" t="s">
        <v>488</v>
      </c>
      <c r="X186">
        <v>2</v>
      </c>
      <c r="Y186">
        <v>0.95751633986928097</v>
      </c>
      <c r="Z186" t="s">
        <v>499</v>
      </c>
      <c r="AA186">
        <v>2</v>
      </c>
      <c r="AB186">
        <v>1.3541666666666601</v>
      </c>
      <c r="AC186" t="s">
        <v>494</v>
      </c>
      <c r="AD186">
        <v>2</v>
      </c>
      <c r="AE186">
        <v>1.13636146762727</v>
      </c>
      <c r="AF186" t="s">
        <v>494</v>
      </c>
      <c r="AG186">
        <v>2</v>
      </c>
      <c r="AH186">
        <v>1.2695553596170801</v>
      </c>
      <c r="AI186" t="s">
        <v>514</v>
      </c>
      <c r="AJ186">
        <v>1</v>
      </c>
      <c r="AK186">
        <v>0.93224299065420502</v>
      </c>
      <c r="AL186" t="s">
        <v>500</v>
      </c>
      <c r="AM186">
        <v>2</v>
      </c>
      <c r="AN186">
        <v>1.20627802690582</v>
      </c>
      <c r="AO186" t="s">
        <v>504</v>
      </c>
      <c r="AP186">
        <v>3</v>
      </c>
      <c r="AQ186">
        <v>0.91554173025002905</v>
      </c>
      <c r="AR186" t="s">
        <v>501</v>
      </c>
      <c r="AS186">
        <v>2</v>
      </c>
      <c r="AT186">
        <v>0.90054744525547403</v>
      </c>
      <c r="AU186" t="s">
        <v>499</v>
      </c>
      <c r="AV186">
        <v>2</v>
      </c>
      <c r="AW186">
        <v>1.26492537313432</v>
      </c>
      <c r="AX186" t="s">
        <v>515</v>
      </c>
      <c r="AY186">
        <v>2</v>
      </c>
      <c r="AZ186">
        <v>0.895316804407713</v>
      </c>
      <c r="BA186" t="s">
        <v>515</v>
      </c>
      <c r="BB186">
        <v>2</v>
      </c>
      <c r="BC186">
        <v>0.98769230769230698</v>
      </c>
      <c r="BD186" t="s">
        <v>506</v>
      </c>
      <c r="BE186">
        <v>3</v>
      </c>
      <c r="BF186">
        <v>1.2912723449001</v>
      </c>
      <c r="BG186" t="s">
        <v>517</v>
      </c>
      <c r="BH186">
        <v>1</v>
      </c>
      <c r="BI186">
        <v>1.2934030856534799</v>
      </c>
      <c r="BJ186" t="s">
        <v>518</v>
      </c>
      <c r="BK186">
        <v>2</v>
      </c>
      <c r="BL186">
        <v>1.04308418969809</v>
      </c>
      <c r="BM186" t="s">
        <v>533</v>
      </c>
      <c r="BN186">
        <v>2</v>
      </c>
      <c r="BO186">
        <v>0.88978766430738099</v>
      </c>
      <c r="BP186" t="s">
        <v>573</v>
      </c>
      <c r="BQ186" t="s">
        <v>547</v>
      </c>
      <c r="BR186">
        <v>0.80254777070063699</v>
      </c>
      <c r="BS186" t="s">
        <v>574</v>
      </c>
      <c r="BT186" t="s">
        <v>547</v>
      </c>
      <c r="BU186">
        <v>1.1107784431137699</v>
      </c>
      <c r="BV186" t="s">
        <v>574</v>
      </c>
      <c r="BW186" t="s">
        <v>547</v>
      </c>
      <c r="BX186">
        <v>1.63072776280323</v>
      </c>
      <c r="BY186" t="s">
        <v>562</v>
      </c>
      <c r="BZ186" t="s">
        <v>547</v>
      </c>
      <c r="CA186">
        <v>1.27391304347826</v>
      </c>
      <c r="CB186" t="s">
        <v>551</v>
      </c>
      <c r="CC186" t="s">
        <v>547</v>
      </c>
      <c r="CD186">
        <v>1.22235872235872</v>
      </c>
      <c r="CE186" t="s">
        <v>573</v>
      </c>
      <c r="CF186" t="s">
        <v>547</v>
      </c>
      <c r="CG186">
        <v>1.0277349768875099</v>
      </c>
      <c r="CH186" t="s">
        <v>569</v>
      </c>
      <c r="CI186" t="s">
        <v>547</v>
      </c>
      <c r="CJ186">
        <v>1.61386138613861</v>
      </c>
      <c r="CK186" t="s">
        <v>566</v>
      </c>
      <c r="CL186" t="s">
        <v>547</v>
      </c>
      <c r="CM186">
        <v>0.79359430604982195</v>
      </c>
      <c r="CN186" t="s">
        <v>556</v>
      </c>
      <c r="CO186" t="s">
        <v>547</v>
      </c>
      <c r="CP186">
        <v>0.88859416445623296</v>
      </c>
      <c r="CQ186" t="s">
        <v>562</v>
      </c>
      <c r="CR186" t="s">
        <v>547</v>
      </c>
      <c r="CS186">
        <v>0.83007334963325097</v>
      </c>
      <c r="CT186" t="s">
        <v>558</v>
      </c>
      <c r="CU186" t="s">
        <v>547</v>
      </c>
      <c r="CV186">
        <v>1.1252653927813101</v>
      </c>
      <c r="CW186" t="s">
        <v>566</v>
      </c>
      <c r="CX186" t="s">
        <v>547</v>
      </c>
      <c r="CY186">
        <v>1.2916666666666601</v>
      </c>
      <c r="CZ186" t="s">
        <v>551</v>
      </c>
      <c r="DA186" t="s">
        <v>547</v>
      </c>
      <c r="DB186">
        <v>0.88426527958387502</v>
      </c>
      <c r="DC186" t="s">
        <v>548</v>
      </c>
      <c r="DD186" t="s">
        <v>547</v>
      </c>
      <c r="DE186">
        <v>1.2551282051282</v>
      </c>
      <c r="DF186" t="s">
        <v>575</v>
      </c>
      <c r="DG186" t="s">
        <v>547</v>
      </c>
      <c r="DH186">
        <v>1.1628498727735299</v>
      </c>
    </row>
    <row r="187" spans="1:112" x14ac:dyDescent="0.4">
      <c r="A187">
        <v>185</v>
      </c>
      <c r="B187" t="s">
        <v>446</v>
      </c>
      <c r="C187">
        <v>3</v>
      </c>
      <c r="D187">
        <v>0.84300341296928305</v>
      </c>
      <c r="E187" t="s">
        <v>460</v>
      </c>
      <c r="F187">
        <v>3</v>
      </c>
      <c r="G187">
        <v>0.993311036789297</v>
      </c>
      <c r="H187" t="s">
        <v>478</v>
      </c>
      <c r="I187">
        <v>3</v>
      </c>
      <c r="J187">
        <v>0.77316392934614198</v>
      </c>
      <c r="K187" t="s">
        <v>458</v>
      </c>
      <c r="L187">
        <v>1</v>
      </c>
      <c r="M187">
        <v>1.01996370235934</v>
      </c>
      <c r="N187" t="s">
        <v>459</v>
      </c>
      <c r="O187">
        <v>2</v>
      </c>
      <c r="P187">
        <v>1.45554035567715</v>
      </c>
      <c r="Q187" t="s">
        <v>490</v>
      </c>
      <c r="R187">
        <v>3</v>
      </c>
      <c r="S187">
        <v>0.94571118349619898</v>
      </c>
      <c r="T187" t="s">
        <v>493</v>
      </c>
      <c r="U187">
        <v>2</v>
      </c>
      <c r="V187">
        <v>1.3409610983981599</v>
      </c>
      <c r="W187" t="s">
        <v>490</v>
      </c>
      <c r="X187">
        <v>3</v>
      </c>
      <c r="Y187">
        <v>1.02837684449489</v>
      </c>
      <c r="Z187" t="s">
        <v>502</v>
      </c>
      <c r="AA187">
        <v>2</v>
      </c>
      <c r="AB187">
        <v>0.84663341645885204</v>
      </c>
      <c r="AC187" t="s">
        <v>498</v>
      </c>
      <c r="AD187">
        <v>2</v>
      </c>
      <c r="AE187">
        <v>0.72505543237250503</v>
      </c>
      <c r="AF187" t="s">
        <v>514</v>
      </c>
      <c r="AG187">
        <v>1</v>
      </c>
      <c r="AH187">
        <v>0.96179775280898805</v>
      </c>
      <c r="AI187" t="s">
        <v>498</v>
      </c>
      <c r="AJ187">
        <v>2</v>
      </c>
      <c r="AK187">
        <v>0.89817232375979095</v>
      </c>
      <c r="AL187" t="s">
        <v>501</v>
      </c>
      <c r="AM187">
        <v>2</v>
      </c>
      <c r="AN187">
        <v>0.97142857142857097</v>
      </c>
      <c r="AO187" t="s">
        <v>538</v>
      </c>
      <c r="AP187">
        <v>1</v>
      </c>
      <c r="AQ187">
        <v>0.68556874631640896</v>
      </c>
      <c r="AR187" t="s">
        <v>502</v>
      </c>
      <c r="AS187">
        <v>2</v>
      </c>
      <c r="AT187">
        <v>0.86111111111111105</v>
      </c>
      <c r="AU187" t="s">
        <v>501</v>
      </c>
      <c r="AV187">
        <v>2</v>
      </c>
      <c r="AW187">
        <v>1.37993920972644</v>
      </c>
      <c r="AX187" t="s">
        <v>508</v>
      </c>
      <c r="AY187">
        <v>3</v>
      </c>
      <c r="AZ187">
        <v>1.0472560975609699</v>
      </c>
      <c r="BA187" t="s">
        <v>510</v>
      </c>
      <c r="BB187">
        <v>2</v>
      </c>
      <c r="BC187">
        <v>1.1182108626198</v>
      </c>
      <c r="BD187" t="s">
        <v>515</v>
      </c>
      <c r="BE187">
        <v>2</v>
      </c>
      <c r="BF187">
        <v>0.91900311526479705</v>
      </c>
      <c r="BG187" t="s">
        <v>518</v>
      </c>
      <c r="BH187">
        <v>2</v>
      </c>
      <c r="BI187">
        <v>1.2036724031960599</v>
      </c>
      <c r="BJ187" t="s">
        <v>533</v>
      </c>
      <c r="BK187">
        <v>2</v>
      </c>
      <c r="BL187">
        <v>0.96206225680933799</v>
      </c>
      <c r="BM187" t="s">
        <v>559</v>
      </c>
      <c r="BN187" t="s">
        <v>547</v>
      </c>
      <c r="BO187">
        <v>0.96398305084745695</v>
      </c>
      <c r="BP187" t="s">
        <v>574</v>
      </c>
      <c r="BQ187" t="s">
        <v>547</v>
      </c>
      <c r="BR187">
        <v>1.2945736434108499</v>
      </c>
      <c r="BS187" t="s">
        <v>562</v>
      </c>
      <c r="BT187" t="s">
        <v>547</v>
      </c>
      <c r="BU187">
        <v>0.947204968944099</v>
      </c>
      <c r="BV187" t="s">
        <v>562</v>
      </c>
      <c r="BW187" t="s">
        <v>547</v>
      </c>
      <c r="BX187">
        <v>1.25683060109289</v>
      </c>
      <c r="BY187" t="s">
        <v>557</v>
      </c>
      <c r="BZ187" t="s">
        <v>547</v>
      </c>
      <c r="CA187">
        <v>1.0349819059107299</v>
      </c>
      <c r="CB187" t="s">
        <v>548</v>
      </c>
      <c r="CC187" t="s">
        <v>547</v>
      </c>
      <c r="CD187">
        <v>0.92041522491349403</v>
      </c>
      <c r="CE187" t="s">
        <v>564</v>
      </c>
      <c r="CF187" t="s">
        <v>547</v>
      </c>
      <c r="CG187">
        <v>1.09683794466403</v>
      </c>
      <c r="CH187" t="s">
        <v>573</v>
      </c>
      <c r="CI187" t="s">
        <v>547</v>
      </c>
      <c r="CJ187">
        <v>1.0014992503748099</v>
      </c>
      <c r="CK187" t="s">
        <v>570</v>
      </c>
      <c r="CL187" t="s">
        <v>547</v>
      </c>
      <c r="CM187">
        <v>0.88163265306122396</v>
      </c>
      <c r="CN187" t="s">
        <v>552</v>
      </c>
      <c r="CO187" t="s">
        <v>547</v>
      </c>
      <c r="CP187">
        <v>0.95620814013395095</v>
      </c>
      <c r="CQ187" t="s">
        <v>557</v>
      </c>
      <c r="CR187" t="s">
        <v>547</v>
      </c>
      <c r="CS187">
        <v>0.83745583038869198</v>
      </c>
      <c r="CT187" t="s">
        <v>551</v>
      </c>
      <c r="CU187" t="s">
        <v>547</v>
      </c>
      <c r="CV187">
        <v>0.90299401197604701</v>
      </c>
      <c r="CW187" t="s">
        <v>570</v>
      </c>
      <c r="CX187" t="s">
        <v>547</v>
      </c>
      <c r="CY187">
        <v>0.98624754420432204</v>
      </c>
      <c r="CZ187" t="s">
        <v>560</v>
      </c>
      <c r="DA187" t="s">
        <v>547</v>
      </c>
      <c r="DB187">
        <v>0.908819133034379</v>
      </c>
      <c r="DC187" t="s">
        <v>565</v>
      </c>
      <c r="DD187" t="s">
        <v>547</v>
      </c>
      <c r="DE187">
        <v>1.0093240093239999</v>
      </c>
      <c r="DF187" t="s">
        <v>576</v>
      </c>
      <c r="DG187" t="s">
        <v>547</v>
      </c>
      <c r="DH187">
        <v>1.1902439024390199</v>
      </c>
    </row>
    <row r="188" spans="1:112" x14ac:dyDescent="0.4">
      <c r="A188">
        <v>186</v>
      </c>
      <c r="B188" t="s">
        <v>457</v>
      </c>
      <c r="C188">
        <v>1</v>
      </c>
      <c r="D188">
        <v>0.91040462427745605</v>
      </c>
      <c r="E188" t="s">
        <v>478</v>
      </c>
      <c r="F188">
        <v>3</v>
      </c>
      <c r="G188">
        <v>0.95473372781065002</v>
      </c>
      <c r="H188" t="s">
        <v>472</v>
      </c>
      <c r="I188">
        <v>2</v>
      </c>
      <c r="J188">
        <v>0.83963691376701899</v>
      </c>
      <c r="K188" t="s">
        <v>457</v>
      </c>
      <c r="L188">
        <v>1</v>
      </c>
      <c r="M188">
        <v>0.91</v>
      </c>
      <c r="N188" t="s">
        <v>468</v>
      </c>
      <c r="O188">
        <v>1</v>
      </c>
      <c r="P188">
        <v>1.8300717627176699</v>
      </c>
      <c r="Q188" t="s">
        <v>493</v>
      </c>
      <c r="R188">
        <v>2</v>
      </c>
      <c r="S188">
        <v>0.96255506607929497</v>
      </c>
      <c r="T188" t="s">
        <v>524</v>
      </c>
      <c r="U188">
        <v>3</v>
      </c>
      <c r="V188">
        <v>1.0169491525423699</v>
      </c>
      <c r="W188" t="s">
        <v>524</v>
      </c>
      <c r="X188">
        <v>3</v>
      </c>
      <c r="Y188">
        <v>0.84583333333333299</v>
      </c>
      <c r="Z188" t="s">
        <v>559</v>
      </c>
      <c r="AA188" t="s">
        <v>547</v>
      </c>
      <c r="AB188">
        <v>0.98073836276083404</v>
      </c>
      <c r="AC188" t="s">
        <v>500</v>
      </c>
      <c r="AD188">
        <v>2</v>
      </c>
      <c r="AE188">
        <v>1.1573705179282801</v>
      </c>
      <c r="AF188" t="s">
        <v>498</v>
      </c>
      <c r="AG188">
        <v>2</v>
      </c>
      <c r="AH188">
        <v>1.17125382262996</v>
      </c>
      <c r="AI188" t="s">
        <v>500</v>
      </c>
      <c r="AJ188">
        <v>2</v>
      </c>
      <c r="AK188">
        <v>0.83834586466165395</v>
      </c>
      <c r="AL188" t="s">
        <v>502</v>
      </c>
      <c r="AM188">
        <v>2</v>
      </c>
      <c r="AN188">
        <v>0.97419354838709604</v>
      </c>
      <c r="AO188" t="s">
        <v>521</v>
      </c>
      <c r="AP188">
        <v>3</v>
      </c>
      <c r="AQ188">
        <v>1.36068646268488</v>
      </c>
      <c r="AR188" t="s">
        <v>503</v>
      </c>
      <c r="AS188">
        <v>1</v>
      </c>
      <c r="AT188">
        <v>0.85600907029478401</v>
      </c>
      <c r="AU188" t="s">
        <v>502</v>
      </c>
      <c r="AV188">
        <v>2</v>
      </c>
      <c r="AW188">
        <v>1.2258064516128999</v>
      </c>
      <c r="AX188" t="s">
        <v>521</v>
      </c>
      <c r="AY188">
        <v>3</v>
      </c>
      <c r="AZ188">
        <v>0.62013061851709494</v>
      </c>
      <c r="BA188" t="s">
        <v>521</v>
      </c>
      <c r="BB188">
        <v>3</v>
      </c>
      <c r="BC188">
        <v>0.89267129228100595</v>
      </c>
      <c r="BD188" t="s">
        <v>508</v>
      </c>
      <c r="BE188">
        <v>3</v>
      </c>
      <c r="BF188">
        <v>1.0749665327978499</v>
      </c>
      <c r="BG188" t="s">
        <v>533</v>
      </c>
      <c r="BH188">
        <v>2</v>
      </c>
      <c r="BI188">
        <v>0.97533206831119501</v>
      </c>
      <c r="BJ188" t="s">
        <v>559</v>
      </c>
      <c r="BK188" t="s">
        <v>547</v>
      </c>
      <c r="BL188">
        <v>1.18</v>
      </c>
      <c r="BM188" t="s">
        <v>552</v>
      </c>
      <c r="BN188" t="s">
        <v>547</v>
      </c>
      <c r="BO188">
        <v>0.97870412324422296</v>
      </c>
      <c r="BP188" t="s">
        <v>562</v>
      </c>
      <c r="BQ188" t="s">
        <v>547</v>
      </c>
      <c r="BR188">
        <v>1.12456344586728</v>
      </c>
      <c r="BS188" t="s">
        <v>558</v>
      </c>
      <c r="BT188" t="s">
        <v>547</v>
      </c>
      <c r="BU188">
        <v>1.84210526315789</v>
      </c>
      <c r="BV188" t="s">
        <v>557</v>
      </c>
      <c r="BW188" t="s">
        <v>547</v>
      </c>
      <c r="BX188">
        <v>1.0298136645962701</v>
      </c>
      <c r="BY188" t="s">
        <v>558</v>
      </c>
      <c r="BZ188" t="s">
        <v>547</v>
      </c>
      <c r="CA188">
        <v>0.97430830039525695</v>
      </c>
      <c r="CB188" t="s">
        <v>565</v>
      </c>
      <c r="CC188" t="s">
        <v>547</v>
      </c>
      <c r="CD188">
        <v>0.97647058823529398</v>
      </c>
      <c r="CE188" t="s">
        <v>562</v>
      </c>
      <c r="CF188" t="s">
        <v>547</v>
      </c>
      <c r="CG188">
        <v>1.03862660944206</v>
      </c>
      <c r="CH188" t="s">
        <v>562</v>
      </c>
      <c r="CI188" t="s">
        <v>547</v>
      </c>
      <c r="CJ188">
        <v>0.77272727272727204</v>
      </c>
      <c r="CK188" t="s">
        <v>577</v>
      </c>
      <c r="CL188" t="s">
        <v>547</v>
      </c>
      <c r="CM188">
        <v>0.65847907250933302</v>
      </c>
      <c r="CN188" t="s">
        <v>554</v>
      </c>
      <c r="CO188" t="s">
        <v>547</v>
      </c>
      <c r="CP188">
        <v>1.21241830065359</v>
      </c>
      <c r="CQ188" t="s">
        <v>558</v>
      </c>
      <c r="CR188" t="s">
        <v>547</v>
      </c>
      <c r="CS188">
        <v>0.85948905109489004</v>
      </c>
      <c r="CT188" t="s">
        <v>548</v>
      </c>
      <c r="CU188" t="s">
        <v>547</v>
      </c>
      <c r="CV188">
        <v>1.1298200514138801</v>
      </c>
      <c r="CW188" t="s">
        <v>578</v>
      </c>
      <c r="CX188" t="s">
        <v>547</v>
      </c>
      <c r="CY188">
        <v>1.04941176470588</v>
      </c>
      <c r="CZ188" t="s">
        <v>548</v>
      </c>
      <c r="DA188" t="s">
        <v>547</v>
      </c>
      <c r="DB188">
        <v>1.0970464135021001</v>
      </c>
      <c r="DC188" t="s">
        <v>566</v>
      </c>
      <c r="DD188" t="s">
        <v>547</v>
      </c>
      <c r="DE188">
        <v>0.99253731343283502</v>
      </c>
      <c r="DF188" t="s">
        <v>579</v>
      </c>
      <c r="DG188" t="s">
        <v>547</v>
      </c>
      <c r="DH188">
        <v>0.96125461254612499</v>
      </c>
    </row>
    <row r="189" spans="1:112" x14ac:dyDescent="0.4">
      <c r="A189">
        <v>187</v>
      </c>
      <c r="B189" t="s">
        <v>456</v>
      </c>
      <c r="C189">
        <v>2</v>
      </c>
      <c r="D189">
        <v>0.879746835443038</v>
      </c>
      <c r="E189" t="s">
        <v>485</v>
      </c>
      <c r="F189">
        <v>2</v>
      </c>
      <c r="G189">
        <v>0.882293762575452</v>
      </c>
      <c r="H189" t="s">
        <v>485</v>
      </c>
      <c r="I189">
        <v>2</v>
      </c>
      <c r="J189">
        <v>0.50741163055872296</v>
      </c>
      <c r="K189" t="s">
        <v>456</v>
      </c>
      <c r="L189">
        <v>2</v>
      </c>
      <c r="M189">
        <v>1.1072088724584099</v>
      </c>
      <c r="N189" t="s">
        <v>463</v>
      </c>
      <c r="O189">
        <v>1</v>
      </c>
      <c r="P189">
        <v>1.2196078431372499</v>
      </c>
      <c r="Q189" t="s">
        <v>524</v>
      </c>
      <c r="R189">
        <v>3</v>
      </c>
      <c r="S189">
        <v>0.79461279461279399</v>
      </c>
      <c r="T189" t="s">
        <v>491</v>
      </c>
      <c r="U189">
        <v>1</v>
      </c>
      <c r="V189">
        <v>1.08457711442786</v>
      </c>
      <c r="W189" t="s">
        <v>494</v>
      </c>
      <c r="X189">
        <v>1</v>
      </c>
      <c r="Y189">
        <v>1.0046170106246799</v>
      </c>
      <c r="Z189" t="s">
        <v>574</v>
      </c>
      <c r="AA189" t="s">
        <v>547</v>
      </c>
      <c r="AB189">
        <v>0.89827856025039099</v>
      </c>
      <c r="AC189" t="s">
        <v>499</v>
      </c>
      <c r="AD189">
        <v>2</v>
      </c>
      <c r="AE189">
        <v>1.4423076923076901</v>
      </c>
      <c r="AF189" t="s">
        <v>500</v>
      </c>
      <c r="AG189">
        <v>2</v>
      </c>
      <c r="AH189">
        <v>0.91566265060240903</v>
      </c>
      <c r="AI189" t="s">
        <v>502</v>
      </c>
      <c r="AJ189">
        <v>2</v>
      </c>
      <c r="AK189">
        <v>1.13345521023766</v>
      </c>
      <c r="AL189" t="s">
        <v>535</v>
      </c>
      <c r="AM189">
        <v>2</v>
      </c>
      <c r="AN189">
        <v>1.29282542650151</v>
      </c>
      <c r="AO189" t="s">
        <v>559</v>
      </c>
      <c r="AP189" t="s">
        <v>547</v>
      </c>
      <c r="AQ189">
        <v>1.0380622837370199</v>
      </c>
      <c r="AR189" t="s">
        <v>538</v>
      </c>
      <c r="AS189">
        <v>1</v>
      </c>
      <c r="AT189">
        <v>0.51765428308259098</v>
      </c>
      <c r="AU189" t="s">
        <v>503</v>
      </c>
      <c r="AV189">
        <v>1</v>
      </c>
      <c r="AW189">
        <v>1.0913907284768201</v>
      </c>
      <c r="AX189" t="s">
        <v>517</v>
      </c>
      <c r="AY189">
        <v>1</v>
      </c>
      <c r="AZ189">
        <v>0.83156437471158196</v>
      </c>
      <c r="BA189" t="s">
        <v>513</v>
      </c>
      <c r="BB189">
        <v>2</v>
      </c>
      <c r="BC189">
        <v>1.1584889274858801</v>
      </c>
      <c r="BD189" t="s">
        <v>510</v>
      </c>
      <c r="BE189">
        <v>2</v>
      </c>
      <c r="BF189">
        <v>1.27428571428571</v>
      </c>
      <c r="BG189" t="s">
        <v>559</v>
      </c>
      <c r="BH189" t="s">
        <v>547</v>
      </c>
      <c r="BI189">
        <v>1.05540897097625</v>
      </c>
      <c r="BJ189" t="s">
        <v>574</v>
      </c>
      <c r="BK189" t="s">
        <v>547</v>
      </c>
      <c r="BL189">
        <v>0.972413793103448</v>
      </c>
      <c r="BM189" t="s">
        <v>574</v>
      </c>
      <c r="BN189" t="s">
        <v>547</v>
      </c>
      <c r="BO189">
        <v>0.91489361702127603</v>
      </c>
      <c r="BP189" t="s">
        <v>558</v>
      </c>
      <c r="BQ189" t="s">
        <v>547</v>
      </c>
      <c r="BR189">
        <v>0.95652173913043403</v>
      </c>
      <c r="BS189" t="s">
        <v>551</v>
      </c>
      <c r="BT189" t="s">
        <v>547</v>
      </c>
      <c r="BU189">
        <v>0.96084828711256098</v>
      </c>
      <c r="BV189" t="s">
        <v>558</v>
      </c>
      <c r="BW189" t="s">
        <v>547</v>
      </c>
      <c r="BX189">
        <v>0.65714285714285703</v>
      </c>
      <c r="BY189" t="s">
        <v>551</v>
      </c>
      <c r="BZ189" t="s">
        <v>547</v>
      </c>
      <c r="CA189">
        <v>1.2503840245775699</v>
      </c>
      <c r="CB189" t="s">
        <v>566</v>
      </c>
      <c r="CC189" t="s">
        <v>547</v>
      </c>
      <c r="CD189">
        <v>0.97181208053691204</v>
      </c>
      <c r="CE189" t="s">
        <v>557</v>
      </c>
      <c r="CF189" t="s">
        <v>547</v>
      </c>
      <c r="CG189">
        <v>0.98257839721254303</v>
      </c>
      <c r="CH189" t="s">
        <v>557</v>
      </c>
      <c r="CI189" t="s">
        <v>547</v>
      </c>
      <c r="CJ189">
        <v>1.04728132387706</v>
      </c>
      <c r="CK189" t="s">
        <v>576</v>
      </c>
      <c r="CL189" t="s">
        <v>547</v>
      </c>
      <c r="CM189">
        <v>1.54132231404958</v>
      </c>
      <c r="CN189" t="s">
        <v>557</v>
      </c>
      <c r="CO189" t="s">
        <v>547</v>
      </c>
      <c r="CP189">
        <v>1.0290909090909</v>
      </c>
      <c r="CQ189" t="s">
        <v>548</v>
      </c>
      <c r="CR189" t="s">
        <v>547</v>
      </c>
      <c r="CS189">
        <v>1.1178160919540201</v>
      </c>
      <c r="CT189" t="s">
        <v>565</v>
      </c>
      <c r="CU189" t="s">
        <v>547</v>
      </c>
      <c r="CV189">
        <v>1.4855875831485501</v>
      </c>
      <c r="CW189" t="s">
        <v>580</v>
      </c>
      <c r="CX189" t="s">
        <v>547</v>
      </c>
      <c r="CY189">
        <v>0.84545454545454501</v>
      </c>
      <c r="CZ189" t="s">
        <v>565</v>
      </c>
      <c r="DA189" t="s">
        <v>547</v>
      </c>
      <c r="DB189">
        <v>0.81404174573054999</v>
      </c>
      <c r="DC189" t="s">
        <v>570</v>
      </c>
      <c r="DD189" t="s">
        <v>547</v>
      </c>
      <c r="DE189">
        <v>1.001953125</v>
      </c>
      <c r="DF189" t="s">
        <v>578</v>
      </c>
      <c r="DG189" t="s">
        <v>547</v>
      </c>
      <c r="DH189">
        <v>1.05297297297297</v>
      </c>
    </row>
    <row r="190" spans="1:112" x14ac:dyDescent="0.4">
      <c r="A190">
        <v>188</v>
      </c>
      <c r="B190" t="s">
        <v>460</v>
      </c>
      <c r="C190">
        <v>3</v>
      </c>
      <c r="D190">
        <v>0.96607431340872296</v>
      </c>
      <c r="E190" t="s">
        <v>479</v>
      </c>
      <c r="F190">
        <v>3</v>
      </c>
      <c r="G190">
        <v>0.83248730964466999</v>
      </c>
      <c r="H190" t="s">
        <v>479</v>
      </c>
      <c r="I190">
        <v>3</v>
      </c>
      <c r="J190">
        <v>0.29674796747967402</v>
      </c>
      <c r="K190" t="s">
        <v>459</v>
      </c>
      <c r="L190">
        <v>2</v>
      </c>
      <c r="M190">
        <v>0.82879818594104304</v>
      </c>
      <c r="N190" t="s">
        <v>472</v>
      </c>
      <c r="O190">
        <v>2</v>
      </c>
      <c r="P190">
        <v>1.50168728908886</v>
      </c>
      <c r="Q190" t="s">
        <v>491</v>
      </c>
      <c r="R190">
        <v>1</v>
      </c>
      <c r="S190">
        <v>0.94811320754716899</v>
      </c>
      <c r="T190" t="s">
        <v>494</v>
      </c>
      <c r="U190">
        <v>1</v>
      </c>
      <c r="V190">
        <v>0.78625787263820801</v>
      </c>
      <c r="W190" t="s">
        <v>498</v>
      </c>
      <c r="X190">
        <v>3</v>
      </c>
      <c r="Y190">
        <v>1.40384615384615</v>
      </c>
      <c r="Z190" t="s">
        <v>581</v>
      </c>
      <c r="AA190" t="s">
        <v>547</v>
      </c>
      <c r="AB190">
        <v>1.33217993079584</v>
      </c>
      <c r="AC190" t="s">
        <v>502</v>
      </c>
      <c r="AD190">
        <v>2</v>
      </c>
      <c r="AE190">
        <v>0.78792341678939604</v>
      </c>
      <c r="AF190" t="s">
        <v>502</v>
      </c>
      <c r="AG190">
        <v>2</v>
      </c>
      <c r="AH190">
        <v>1.0224299065420499</v>
      </c>
      <c r="AI190" t="s">
        <v>536</v>
      </c>
      <c r="AJ190">
        <v>2</v>
      </c>
      <c r="AK190">
        <v>1.15384615384615</v>
      </c>
      <c r="AL190" t="s">
        <v>536</v>
      </c>
      <c r="AM190">
        <v>2</v>
      </c>
      <c r="AN190">
        <v>1.1625000000000001</v>
      </c>
      <c r="AO190" t="s">
        <v>569</v>
      </c>
      <c r="AP190" t="s">
        <v>547</v>
      </c>
      <c r="AQ190">
        <v>0.80338983050847401</v>
      </c>
      <c r="AR190" t="s">
        <v>521</v>
      </c>
      <c r="AS190">
        <v>3</v>
      </c>
      <c r="AT190">
        <v>0.78821069401573196</v>
      </c>
      <c r="AU190" t="s">
        <v>515</v>
      </c>
      <c r="AV190">
        <v>2</v>
      </c>
      <c r="AW190">
        <v>1.22016806722689</v>
      </c>
      <c r="AX190" t="s">
        <v>559</v>
      </c>
      <c r="AY190" t="s">
        <v>547</v>
      </c>
      <c r="AZ190">
        <v>0.97267080745341605</v>
      </c>
      <c r="BA190" t="s">
        <v>517</v>
      </c>
      <c r="BB190">
        <v>1</v>
      </c>
      <c r="BC190">
        <v>1.01720310765815</v>
      </c>
      <c r="BD190" t="s">
        <v>513</v>
      </c>
      <c r="BE190">
        <v>2</v>
      </c>
      <c r="BF190">
        <v>1.39617691154422</v>
      </c>
      <c r="BG190" t="s">
        <v>582</v>
      </c>
      <c r="BH190" t="s">
        <v>547</v>
      </c>
      <c r="BI190">
        <v>1</v>
      </c>
      <c r="BJ190" t="s">
        <v>558</v>
      </c>
      <c r="BK190" t="s">
        <v>547</v>
      </c>
      <c r="BL190">
        <v>1.03090507726269</v>
      </c>
      <c r="BM190" t="s">
        <v>558</v>
      </c>
      <c r="BN190" t="s">
        <v>547</v>
      </c>
      <c r="BO190">
        <v>0.93576017130620903</v>
      </c>
      <c r="BP190" t="s">
        <v>551</v>
      </c>
      <c r="BQ190" t="s">
        <v>547</v>
      </c>
      <c r="BR190">
        <v>1.10053859964093</v>
      </c>
      <c r="BS190" t="s">
        <v>570</v>
      </c>
      <c r="BT190" t="s">
        <v>547</v>
      </c>
      <c r="BU190">
        <v>1.06043329532497</v>
      </c>
      <c r="BV190" t="s">
        <v>551</v>
      </c>
      <c r="BW190" t="s">
        <v>547</v>
      </c>
      <c r="BX190">
        <v>1.1052631578947301</v>
      </c>
      <c r="BY190" t="s">
        <v>565</v>
      </c>
      <c r="BZ190" t="s">
        <v>547</v>
      </c>
      <c r="CA190">
        <v>0.96105527638190902</v>
      </c>
      <c r="CB190" t="s">
        <v>570</v>
      </c>
      <c r="CC190" t="s">
        <v>547</v>
      </c>
      <c r="CD190">
        <v>0.95510204081632599</v>
      </c>
      <c r="CE190" t="s">
        <v>558</v>
      </c>
      <c r="CF190" t="s">
        <v>547</v>
      </c>
      <c r="CG190">
        <v>1.09727626459143</v>
      </c>
      <c r="CH190" t="s">
        <v>558</v>
      </c>
      <c r="CI190" t="s">
        <v>547</v>
      </c>
      <c r="CJ190">
        <v>1.16489361702127</v>
      </c>
      <c r="CK190" t="s">
        <v>578</v>
      </c>
      <c r="CL190" t="s">
        <v>547</v>
      </c>
      <c r="CM190">
        <v>0.915300546448087</v>
      </c>
      <c r="CN190" t="s">
        <v>558</v>
      </c>
      <c r="CO190" t="s">
        <v>547</v>
      </c>
      <c r="CP190">
        <v>0.96649029982363299</v>
      </c>
      <c r="CQ190" t="s">
        <v>565</v>
      </c>
      <c r="CR190" t="s">
        <v>547</v>
      </c>
      <c r="CS190">
        <v>1.0238365493757</v>
      </c>
      <c r="CT190" t="s">
        <v>566</v>
      </c>
      <c r="CU190" t="s">
        <v>547</v>
      </c>
      <c r="CV190">
        <v>1.14832535885167</v>
      </c>
      <c r="CW190" t="s">
        <v>583</v>
      </c>
      <c r="CX190" t="s">
        <v>547</v>
      </c>
      <c r="CY190">
        <v>0.93371757925071996</v>
      </c>
      <c r="CZ190" t="s">
        <v>566</v>
      </c>
      <c r="DA190" t="s">
        <v>547</v>
      </c>
      <c r="DB190">
        <v>0.86451612903225805</v>
      </c>
      <c r="DC190" t="s">
        <v>576</v>
      </c>
      <c r="DD190" t="s">
        <v>547</v>
      </c>
      <c r="DE190">
        <v>1.1202185792349699</v>
      </c>
      <c r="DF190" t="s">
        <v>584</v>
      </c>
      <c r="DG190" t="s">
        <v>547</v>
      </c>
      <c r="DH190">
        <v>0.87644444444444403</v>
      </c>
    </row>
    <row r="191" spans="1:112" x14ac:dyDescent="0.4">
      <c r="A191">
        <v>189</v>
      </c>
      <c r="B191" t="s">
        <v>478</v>
      </c>
      <c r="C191">
        <v>3</v>
      </c>
      <c r="D191">
        <v>1.1227370868626401</v>
      </c>
      <c r="E191" t="s">
        <v>481</v>
      </c>
      <c r="F191">
        <v>1</v>
      </c>
      <c r="G191">
        <v>0.90232558139534802</v>
      </c>
      <c r="H191" t="s">
        <v>481</v>
      </c>
      <c r="I191">
        <v>1</v>
      </c>
      <c r="J191">
        <v>0.451030927835051</v>
      </c>
      <c r="K191" t="s">
        <v>468</v>
      </c>
      <c r="L191">
        <v>1</v>
      </c>
      <c r="M191">
        <v>1.0812669379684099</v>
      </c>
      <c r="N191" t="s">
        <v>481</v>
      </c>
      <c r="O191">
        <v>1</v>
      </c>
      <c r="P191">
        <v>1.6162162162162099</v>
      </c>
      <c r="Q191" t="s">
        <v>494</v>
      </c>
      <c r="R191">
        <v>1</v>
      </c>
      <c r="S191">
        <v>0.78519179916892701</v>
      </c>
      <c r="T191" t="s">
        <v>498</v>
      </c>
      <c r="U191">
        <v>3</v>
      </c>
      <c r="V191">
        <v>0.92526690391458999</v>
      </c>
      <c r="W191" t="s">
        <v>502</v>
      </c>
      <c r="X191">
        <v>2</v>
      </c>
      <c r="Y191">
        <v>0.91136363636363604</v>
      </c>
      <c r="Z191" t="s">
        <v>548</v>
      </c>
      <c r="AA191" t="s">
        <v>547</v>
      </c>
      <c r="AB191">
        <v>1.16773162939297</v>
      </c>
      <c r="AC191" t="s">
        <v>535</v>
      </c>
      <c r="AD191">
        <v>2</v>
      </c>
      <c r="AE191">
        <v>0.74451718494271601</v>
      </c>
      <c r="AF191" t="s">
        <v>536</v>
      </c>
      <c r="AG191">
        <v>2</v>
      </c>
      <c r="AH191">
        <v>1.0833333333333299</v>
      </c>
      <c r="AI191" t="s">
        <v>559</v>
      </c>
      <c r="AJ191" t="s">
        <v>547</v>
      </c>
      <c r="AK191">
        <v>1.08203677510608</v>
      </c>
      <c r="AL191" t="s">
        <v>559</v>
      </c>
      <c r="AM191" t="s">
        <v>547</v>
      </c>
      <c r="AN191">
        <v>1.13333333333333</v>
      </c>
      <c r="AO191" t="s">
        <v>574</v>
      </c>
      <c r="AP191" t="s">
        <v>547</v>
      </c>
      <c r="AQ191">
        <v>2.0255720053835802</v>
      </c>
      <c r="AR191" t="s">
        <v>559</v>
      </c>
      <c r="AS191" t="s">
        <v>547</v>
      </c>
      <c r="AT191">
        <v>0.87222222222222201</v>
      </c>
      <c r="AU191" t="s">
        <v>521</v>
      </c>
      <c r="AV191">
        <v>3</v>
      </c>
      <c r="AW191">
        <v>1.09609230250968</v>
      </c>
      <c r="AX191" t="s">
        <v>574</v>
      </c>
      <c r="AY191" t="s">
        <v>547</v>
      </c>
      <c r="AZ191">
        <v>0.66567164179104399</v>
      </c>
      <c r="BA191" t="s">
        <v>518</v>
      </c>
      <c r="BB191">
        <v>2</v>
      </c>
      <c r="BC191">
        <v>0.89415929203539801</v>
      </c>
      <c r="BD191" t="s">
        <v>517</v>
      </c>
      <c r="BE191">
        <v>1</v>
      </c>
      <c r="BF191">
        <v>1.0254591743953401</v>
      </c>
      <c r="BG191" t="s">
        <v>574</v>
      </c>
      <c r="BH191" t="s">
        <v>547</v>
      </c>
      <c r="BI191">
        <v>1.08614232209737</v>
      </c>
      <c r="BJ191" t="s">
        <v>551</v>
      </c>
      <c r="BK191" t="s">
        <v>547</v>
      </c>
      <c r="BL191">
        <v>1.0303030303030301</v>
      </c>
      <c r="BM191" t="s">
        <v>551</v>
      </c>
      <c r="BN191" t="s">
        <v>547</v>
      </c>
      <c r="BO191">
        <v>0.96366782006920404</v>
      </c>
      <c r="BP191" t="s">
        <v>566</v>
      </c>
      <c r="BQ191" t="s">
        <v>547</v>
      </c>
      <c r="BR191">
        <v>0.89413447782546496</v>
      </c>
      <c r="BS191" t="s">
        <v>585</v>
      </c>
      <c r="BT191" t="s">
        <v>547</v>
      </c>
      <c r="BU191">
        <v>1.4810394401345399</v>
      </c>
      <c r="BV191" t="s">
        <v>565</v>
      </c>
      <c r="BW191" t="s">
        <v>547</v>
      </c>
      <c r="BX191">
        <v>1.0140127388535001</v>
      </c>
      <c r="BY191" t="s">
        <v>570</v>
      </c>
      <c r="BZ191" t="s">
        <v>547</v>
      </c>
      <c r="CA191">
        <v>1.00823045267489</v>
      </c>
      <c r="CB191" t="s">
        <v>586</v>
      </c>
      <c r="CC191" t="s">
        <v>547</v>
      </c>
      <c r="CD191">
        <v>1.48404255319148</v>
      </c>
      <c r="CE191" t="s">
        <v>551</v>
      </c>
      <c r="CF191" t="s">
        <v>547</v>
      </c>
      <c r="CG191">
        <v>1.2864321608040199</v>
      </c>
      <c r="CH191" t="s">
        <v>551</v>
      </c>
      <c r="CI191" t="s">
        <v>547</v>
      </c>
      <c r="CJ191">
        <v>1.421875</v>
      </c>
      <c r="CK191" t="s">
        <v>587</v>
      </c>
      <c r="CL191" t="s">
        <v>547</v>
      </c>
      <c r="CM191">
        <v>0.84411764705882297</v>
      </c>
      <c r="CN191" t="s">
        <v>548</v>
      </c>
      <c r="CO191" t="s">
        <v>547</v>
      </c>
      <c r="CP191">
        <v>1.0160583941605801</v>
      </c>
      <c r="CQ191" t="s">
        <v>566</v>
      </c>
      <c r="CR191" t="s">
        <v>547</v>
      </c>
      <c r="CS191">
        <v>1.0048076923076901</v>
      </c>
      <c r="CT191" t="s">
        <v>570</v>
      </c>
      <c r="CU191" t="s">
        <v>547</v>
      </c>
      <c r="CV191">
        <v>1.1451068616422899</v>
      </c>
      <c r="CW191" t="s">
        <v>588</v>
      </c>
      <c r="CX191" t="s">
        <v>547</v>
      </c>
      <c r="CY191">
        <v>0.84880636604774495</v>
      </c>
      <c r="CZ191" t="s">
        <v>570</v>
      </c>
      <c r="DA191" t="s">
        <v>547</v>
      </c>
      <c r="DB191">
        <v>1.01992031872509</v>
      </c>
      <c r="DC191" t="s">
        <v>578</v>
      </c>
      <c r="DD191" t="s">
        <v>547</v>
      </c>
      <c r="DE191">
        <v>1.3503649635036401</v>
      </c>
      <c r="DF191" t="s">
        <v>589</v>
      </c>
      <c r="DG191" t="s">
        <v>547</v>
      </c>
      <c r="DH191">
        <v>1.02553191489361</v>
      </c>
    </row>
    <row r="192" spans="1:112" x14ac:dyDescent="0.4">
      <c r="A192">
        <v>190</v>
      </c>
      <c r="B192" t="s">
        <v>485</v>
      </c>
      <c r="C192">
        <v>2</v>
      </c>
      <c r="D192">
        <v>1.01428571428571</v>
      </c>
      <c r="E192" t="s">
        <v>488</v>
      </c>
      <c r="F192">
        <v>2</v>
      </c>
      <c r="G192">
        <v>1.0869565217391299</v>
      </c>
      <c r="H192" t="s">
        <v>495</v>
      </c>
      <c r="I192">
        <v>3</v>
      </c>
      <c r="J192">
        <v>0.40591966173361499</v>
      </c>
      <c r="K192" t="s">
        <v>463</v>
      </c>
      <c r="L192">
        <v>1</v>
      </c>
      <c r="M192">
        <v>1.17511520737327</v>
      </c>
      <c r="N192" t="s">
        <v>488</v>
      </c>
      <c r="O192">
        <v>2</v>
      </c>
      <c r="P192">
        <v>1.79805825242718</v>
      </c>
      <c r="Q192" t="s">
        <v>498</v>
      </c>
      <c r="R192">
        <v>3</v>
      </c>
      <c r="S192">
        <v>0.82890855457227097</v>
      </c>
      <c r="T192" t="s">
        <v>502</v>
      </c>
      <c r="U192">
        <v>2</v>
      </c>
      <c r="V192">
        <v>0.93220338983050799</v>
      </c>
      <c r="W192" t="s">
        <v>559</v>
      </c>
      <c r="X192" t="s">
        <v>547</v>
      </c>
      <c r="Y192">
        <v>1.1754716981132001</v>
      </c>
      <c r="Z192" t="s">
        <v>590</v>
      </c>
      <c r="AA192" t="s">
        <v>547</v>
      </c>
      <c r="AB192">
        <v>0.71785028790786898</v>
      </c>
      <c r="AC192" t="s">
        <v>559</v>
      </c>
      <c r="AD192" t="s">
        <v>547</v>
      </c>
      <c r="AE192">
        <v>0.99509001636661198</v>
      </c>
      <c r="AF192" t="s">
        <v>559</v>
      </c>
      <c r="AG192" t="s">
        <v>547</v>
      </c>
      <c r="AH192">
        <v>1.1628289473684199</v>
      </c>
      <c r="AI192" t="s">
        <v>574</v>
      </c>
      <c r="AJ192" t="s">
        <v>547</v>
      </c>
      <c r="AK192">
        <v>0.81924577373211904</v>
      </c>
      <c r="AL192" t="s">
        <v>574</v>
      </c>
      <c r="AM192" t="s">
        <v>547</v>
      </c>
      <c r="AN192">
        <v>1.1793650793650701</v>
      </c>
      <c r="AO192" t="s">
        <v>564</v>
      </c>
      <c r="AP192" t="s">
        <v>547</v>
      </c>
      <c r="AQ192">
        <v>1.08210526315789</v>
      </c>
      <c r="AR192" t="s">
        <v>574</v>
      </c>
      <c r="AS192" t="s">
        <v>547</v>
      </c>
      <c r="AT192">
        <v>1.13953488372093</v>
      </c>
      <c r="AU192" t="s">
        <v>559</v>
      </c>
      <c r="AV192" t="s">
        <v>547</v>
      </c>
      <c r="AW192">
        <v>1.0254777070063601</v>
      </c>
      <c r="AX192" t="s">
        <v>551</v>
      </c>
      <c r="AY192" t="s">
        <v>547</v>
      </c>
      <c r="AZ192">
        <v>0.951004016064257</v>
      </c>
      <c r="BA192" t="s">
        <v>559</v>
      </c>
      <c r="BB192" t="s">
        <v>547</v>
      </c>
      <c r="BC192">
        <v>0.952745849297573</v>
      </c>
      <c r="BD192" t="s">
        <v>518</v>
      </c>
      <c r="BE192">
        <v>2</v>
      </c>
      <c r="BF192">
        <v>1.03056215360253</v>
      </c>
      <c r="BG192" t="s">
        <v>558</v>
      </c>
      <c r="BH192" t="s">
        <v>547</v>
      </c>
      <c r="BI192">
        <v>1.0837320574162601</v>
      </c>
      <c r="BJ192" t="s">
        <v>565</v>
      </c>
      <c r="BK192" t="s">
        <v>547</v>
      </c>
      <c r="BL192">
        <v>0.97321428571428503</v>
      </c>
      <c r="BM192" t="s">
        <v>565</v>
      </c>
      <c r="BN192" t="s">
        <v>547</v>
      </c>
      <c r="BO192">
        <v>0.79701834862385301</v>
      </c>
      <c r="BP192" t="s">
        <v>570</v>
      </c>
      <c r="BQ192" t="s">
        <v>547</v>
      </c>
      <c r="BR192">
        <v>0.84489402697495097</v>
      </c>
      <c r="BS192" t="s">
        <v>591</v>
      </c>
      <c r="BT192" t="s">
        <v>547</v>
      </c>
      <c r="BU192">
        <v>1.2148241206030099</v>
      </c>
      <c r="BV192" t="s">
        <v>566</v>
      </c>
      <c r="BW192" t="s">
        <v>547</v>
      </c>
      <c r="BX192">
        <v>0.91343283582089496</v>
      </c>
      <c r="BY192" t="s">
        <v>577</v>
      </c>
      <c r="BZ192" t="s">
        <v>547</v>
      </c>
      <c r="CA192">
        <v>1.1453961051238399</v>
      </c>
      <c r="CB192" t="s">
        <v>577</v>
      </c>
      <c r="CC192" t="s">
        <v>547</v>
      </c>
      <c r="CD192">
        <v>0.93380653681082804</v>
      </c>
      <c r="CE192" t="s">
        <v>548</v>
      </c>
      <c r="CF192" t="s">
        <v>547</v>
      </c>
      <c r="CG192">
        <v>1.20300751879699</v>
      </c>
      <c r="CH192" t="s">
        <v>565</v>
      </c>
      <c r="CI192" t="s">
        <v>547</v>
      </c>
      <c r="CJ192">
        <v>1.22702702702702</v>
      </c>
      <c r="CK192" t="s">
        <v>592</v>
      </c>
      <c r="CL192" t="s">
        <v>547</v>
      </c>
      <c r="CM192">
        <v>0.72697788697788701</v>
      </c>
      <c r="CN192" t="s">
        <v>565</v>
      </c>
      <c r="CO192" t="s">
        <v>547</v>
      </c>
      <c r="CP192">
        <v>1.0149769585253401</v>
      </c>
      <c r="CQ192" t="s">
        <v>570</v>
      </c>
      <c r="CR192" t="s">
        <v>547</v>
      </c>
      <c r="CS192">
        <v>1.02893518518518</v>
      </c>
      <c r="CT192" t="s">
        <v>578</v>
      </c>
      <c r="CU192" t="s">
        <v>547</v>
      </c>
      <c r="CV192">
        <v>1.21082621082621</v>
      </c>
      <c r="CW192" t="s">
        <v>593</v>
      </c>
      <c r="CX192" t="s">
        <v>547</v>
      </c>
      <c r="CY192">
        <v>1.12868217054263</v>
      </c>
      <c r="CZ192" t="s">
        <v>578</v>
      </c>
      <c r="DA192" t="s">
        <v>547</v>
      </c>
      <c r="DB192">
        <v>0.76793721973094098</v>
      </c>
      <c r="DC192" t="s">
        <v>584</v>
      </c>
      <c r="DD192" t="s">
        <v>547</v>
      </c>
      <c r="DE192">
        <v>0.99557522123893805</v>
      </c>
      <c r="DF192" t="s">
        <v>594</v>
      </c>
      <c r="DG192" t="s">
        <v>547</v>
      </c>
      <c r="DH192">
        <v>1.0106382978723401</v>
      </c>
    </row>
    <row r="193" spans="1:112" x14ac:dyDescent="0.4">
      <c r="A193">
        <v>191</v>
      </c>
      <c r="B193" t="s">
        <v>479</v>
      </c>
      <c r="C193">
        <v>2</v>
      </c>
      <c r="D193">
        <v>0.86403508771929804</v>
      </c>
      <c r="E193" t="s">
        <v>490</v>
      </c>
      <c r="F193">
        <v>3</v>
      </c>
      <c r="G193">
        <v>1.04330708661417</v>
      </c>
      <c r="H193" t="s">
        <v>488</v>
      </c>
      <c r="I193">
        <v>2</v>
      </c>
      <c r="J193">
        <v>0.68333333333333302</v>
      </c>
      <c r="K193" t="s">
        <v>472</v>
      </c>
      <c r="L193">
        <v>2</v>
      </c>
      <c r="M193">
        <v>0.80090090090090005</v>
      </c>
      <c r="N193" t="s">
        <v>490</v>
      </c>
      <c r="O193">
        <v>3</v>
      </c>
      <c r="P193">
        <v>1.2329317269076301</v>
      </c>
      <c r="Q193" t="s">
        <v>559</v>
      </c>
      <c r="R193" t="s">
        <v>547</v>
      </c>
      <c r="S193">
        <v>0.92641509433962199</v>
      </c>
      <c r="T193" t="s">
        <v>503</v>
      </c>
      <c r="U193">
        <v>1</v>
      </c>
      <c r="V193">
        <v>1.1262135922330001</v>
      </c>
      <c r="W193" t="s">
        <v>574</v>
      </c>
      <c r="X193" t="s">
        <v>547</v>
      </c>
      <c r="Y193">
        <v>1.47235023041474</v>
      </c>
      <c r="Z193" t="s">
        <v>566</v>
      </c>
      <c r="AA193" t="s">
        <v>547</v>
      </c>
      <c r="AB193">
        <v>0.628823529411764</v>
      </c>
      <c r="AC193" t="s">
        <v>574</v>
      </c>
      <c r="AD193" t="s">
        <v>547</v>
      </c>
      <c r="AE193">
        <v>1.1358885017421601</v>
      </c>
      <c r="AF193" t="s">
        <v>574</v>
      </c>
      <c r="AG193" t="s">
        <v>547</v>
      </c>
      <c r="AH193">
        <v>1.1794478527607299</v>
      </c>
      <c r="AI193" t="s">
        <v>551</v>
      </c>
      <c r="AJ193" t="s">
        <v>547</v>
      </c>
      <c r="AK193">
        <v>0.9</v>
      </c>
      <c r="AL193" t="s">
        <v>549</v>
      </c>
      <c r="AM193" t="s">
        <v>547</v>
      </c>
      <c r="AN193">
        <v>0.98883572567783096</v>
      </c>
      <c r="AO193" t="s">
        <v>549</v>
      </c>
      <c r="AP193" t="s">
        <v>547</v>
      </c>
      <c r="AQ193">
        <v>0.76612903225806395</v>
      </c>
      <c r="AR193" t="s">
        <v>558</v>
      </c>
      <c r="AS193" t="s">
        <v>547</v>
      </c>
      <c r="AT193">
        <v>0.85046728971962604</v>
      </c>
      <c r="AU193" t="s">
        <v>558</v>
      </c>
      <c r="AV193" t="s">
        <v>547</v>
      </c>
      <c r="AW193">
        <v>1.29304029304029</v>
      </c>
      <c r="AX193" t="s">
        <v>565</v>
      </c>
      <c r="AY193" t="s">
        <v>547</v>
      </c>
      <c r="AZ193">
        <v>0.73141891891891897</v>
      </c>
      <c r="BA193" t="s">
        <v>574</v>
      </c>
      <c r="BB193" t="s">
        <v>547</v>
      </c>
      <c r="BC193">
        <v>1.2511210762331799</v>
      </c>
      <c r="BD193" t="s">
        <v>559</v>
      </c>
      <c r="BE193" t="s">
        <v>547</v>
      </c>
      <c r="BF193">
        <v>1.0160857908847101</v>
      </c>
      <c r="BG193" t="s">
        <v>551</v>
      </c>
      <c r="BH193" t="s">
        <v>547</v>
      </c>
      <c r="BI193">
        <v>1.1411716842961701</v>
      </c>
      <c r="BJ193" t="s">
        <v>566</v>
      </c>
      <c r="BK193" t="s">
        <v>547</v>
      </c>
      <c r="BL193">
        <v>0.98392652123995405</v>
      </c>
      <c r="BM193" t="s">
        <v>566</v>
      </c>
      <c r="BN193" t="s">
        <v>547</v>
      </c>
      <c r="BO193">
        <v>0.81563593932321998</v>
      </c>
      <c r="BP193" t="s">
        <v>576</v>
      </c>
      <c r="BQ193" t="s">
        <v>547</v>
      </c>
      <c r="BR193">
        <v>0.77844827586206899</v>
      </c>
      <c r="BS193" t="s">
        <v>578</v>
      </c>
      <c r="BT193" t="s">
        <v>547</v>
      </c>
      <c r="BU193">
        <v>0.88075313807531297</v>
      </c>
      <c r="BV193" t="s">
        <v>570</v>
      </c>
      <c r="BW193" t="s">
        <v>547</v>
      </c>
      <c r="BX193">
        <v>1.04516129032258</v>
      </c>
      <c r="BY193" t="s">
        <v>591</v>
      </c>
      <c r="BZ193" t="s">
        <v>547</v>
      </c>
      <c r="CA193">
        <v>1.4766666666666599</v>
      </c>
      <c r="CB193" t="s">
        <v>578</v>
      </c>
      <c r="CC193" t="s">
        <v>547</v>
      </c>
      <c r="CD193">
        <v>0.99056603773584895</v>
      </c>
      <c r="CE193" t="s">
        <v>565</v>
      </c>
      <c r="CF193" t="s">
        <v>547</v>
      </c>
      <c r="CG193">
        <v>0.99062918340026695</v>
      </c>
      <c r="CH193" t="s">
        <v>566</v>
      </c>
      <c r="CI193" t="s">
        <v>547</v>
      </c>
      <c r="CJ193">
        <v>1.4134808853118701</v>
      </c>
      <c r="CK193" t="s">
        <v>580</v>
      </c>
      <c r="CL193" t="s">
        <v>547</v>
      </c>
      <c r="CM193">
        <v>0.920886075949367</v>
      </c>
      <c r="CN193" t="s">
        <v>566</v>
      </c>
      <c r="CO193" t="s">
        <v>547</v>
      </c>
      <c r="CP193">
        <v>0.93273542600896797</v>
      </c>
      <c r="CQ193" t="s">
        <v>578</v>
      </c>
      <c r="CR193" t="s">
        <v>547</v>
      </c>
      <c r="CS193">
        <v>0.84375</v>
      </c>
      <c r="CT193" t="s">
        <v>580</v>
      </c>
      <c r="CU193" t="s">
        <v>547</v>
      </c>
      <c r="CV193">
        <v>1.125</v>
      </c>
      <c r="CW193" t="s">
        <v>596</v>
      </c>
      <c r="CX193" t="s">
        <v>547</v>
      </c>
      <c r="CY193">
        <v>0.99703264094955402</v>
      </c>
      <c r="CZ193" t="s">
        <v>592</v>
      </c>
      <c r="DA193" t="s">
        <v>547</v>
      </c>
      <c r="DB193">
        <v>0.81028557886005403</v>
      </c>
      <c r="DC193" t="s">
        <v>580</v>
      </c>
      <c r="DD193" t="s">
        <v>547</v>
      </c>
      <c r="DE193">
        <v>1.3820078226857799</v>
      </c>
      <c r="DF193" t="s">
        <v>580</v>
      </c>
      <c r="DG193" t="s">
        <v>547</v>
      </c>
      <c r="DH193">
        <v>0.910377358490566</v>
      </c>
    </row>
    <row r="194" spans="1:112" x14ac:dyDescent="0.4">
      <c r="A194">
        <v>192</v>
      </c>
      <c r="B194" t="s">
        <v>481</v>
      </c>
      <c r="C194">
        <v>1</v>
      </c>
      <c r="D194">
        <v>1.02380952380952</v>
      </c>
      <c r="E194" t="s">
        <v>559</v>
      </c>
      <c r="F194" t="s">
        <v>547</v>
      </c>
      <c r="G194">
        <v>0.865979381443299</v>
      </c>
      <c r="H194" t="s">
        <v>490</v>
      </c>
      <c r="I194">
        <v>3</v>
      </c>
      <c r="J194">
        <v>0.82012578616352205</v>
      </c>
      <c r="K194" t="s">
        <v>481</v>
      </c>
      <c r="L194">
        <v>1</v>
      </c>
      <c r="M194">
        <v>1.0571428571428501</v>
      </c>
      <c r="N194" t="s">
        <v>493</v>
      </c>
      <c r="O194">
        <v>2</v>
      </c>
      <c r="P194">
        <v>1.43670886075949</v>
      </c>
      <c r="Q194" t="s">
        <v>574</v>
      </c>
      <c r="R194" t="s">
        <v>547</v>
      </c>
      <c r="S194">
        <v>1.1383928571428501</v>
      </c>
      <c r="T194" t="s">
        <v>559</v>
      </c>
      <c r="U194" t="s">
        <v>547</v>
      </c>
      <c r="V194">
        <v>1.0794297352342099</v>
      </c>
      <c r="W194" t="s">
        <v>581</v>
      </c>
      <c r="X194" t="s">
        <v>547</v>
      </c>
      <c r="Y194">
        <v>1.0284697508896701</v>
      </c>
      <c r="Z194" t="s">
        <v>561</v>
      </c>
      <c r="AA194" t="s">
        <v>547</v>
      </c>
      <c r="AB194">
        <v>1.01730769230769</v>
      </c>
      <c r="AC194" t="s">
        <v>581</v>
      </c>
      <c r="AD194" t="s">
        <v>547</v>
      </c>
      <c r="AE194">
        <v>1.2025974025974</v>
      </c>
      <c r="AF194" t="s">
        <v>551</v>
      </c>
      <c r="AG194" t="s">
        <v>547</v>
      </c>
      <c r="AH194">
        <v>4.0353089533417403</v>
      </c>
      <c r="AI194" t="s">
        <v>548</v>
      </c>
      <c r="AJ194" t="s">
        <v>547</v>
      </c>
      <c r="AK194">
        <v>0.81276595744680802</v>
      </c>
      <c r="AL194" t="s">
        <v>551</v>
      </c>
      <c r="AM194" t="s">
        <v>547</v>
      </c>
      <c r="AN194">
        <v>1.0052083333333299</v>
      </c>
      <c r="AO194" t="s">
        <v>551</v>
      </c>
      <c r="AP194" t="s">
        <v>547</v>
      </c>
      <c r="AQ194">
        <v>0.87219343696027596</v>
      </c>
      <c r="AR194" t="s">
        <v>551</v>
      </c>
      <c r="AS194" t="s">
        <v>547</v>
      </c>
      <c r="AT194">
        <v>0.97821782178217798</v>
      </c>
      <c r="AU194" t="s">
        <v>551</v>
      </c>
      <c r="AV194" t="s">
        <v>547</v>
      </c>
      <c r="AW194">
        <v>1.0080971659919</v>
      </c>
      <c r="AX194" t="s">
        <v>566</v>
      </c>
      <c r="AY194" t="s">
        <v>547</v>
      </c>
      <c r="AZ194">
        <v>0.73487031700288097</v>
      </c>
      <c r="BA194" t="s">
        <v>558</v>
      </c>
      <c r="BB194" t="s">
        <v>547</v>
      </c>
      <c r="BC194">
        <v>0.93852459016393397</v>
      </c>
      <c r="BD194" t="s">
        <v>582</v>
      </c>
      <c r="BE194" t="s">
        <v>547</v>
      </c>
      <c r="BF194">
        <v>0.99203187250996006</v>
      </c>
      <c r="BG194" t="s">
        <v>565</v>
      </c>
      <c r="BH194" t="s">
        <v>547</v>
      </c>
      <c r="BI194">
        <v>1.04428904428904</v>
      </c>
      <c r="BJ194" t="s">
        <v>570</v>
      </c>
      <c r="BK194" t="s">
        <v>547</v>
      </c>
      <c r="BL194">
        <v>1.0160599571734401</v>
      </c>
      <c r="BM194" t="s">
        <v>570</v>
      </c>
      <c r="BN194" t="s">
        <v>547</v>
      </c>
      <c r="BO194">
        <v>1.0937829293993599</v>
      </c>
      <c r="BP194" t="s">
        <v>578</v>
      </c>
      <c r="BQ194" t="s">
        <v>547</v>
      </c>
      <c r="BR194">
        <v>0.91221374045801495</v>
      </c>
      <c r="BS194" t="s">
        <v>598</v>
      </c>
      <c r="BT194" t="s">
        <v>547</v>
      </c>
      <c r="BU194">
        <v>1</v>
      </c>
      <c r="BV194" t="s">
        <v>591</v>
      </c>
      <c r="BW194" t="s">
        <v>547</v>
      </c>
      <c r="BX194">
        <v>1.5511892450878999</v>
      </c>
      <c r="BY194" t="s">
        <v>578</v>
      </c>
      <c r="BZ194" t="s">
        <v>547</v>
      </c>
      <c r="CA194">
        <v>0.91042944785276003</v>
      </c>
      <c r="CB194" t="s">
        <v>592</v>
      </c>
      <c r="CC194" t="s">
        <v>547</v>
      </c>
      <c r="CD194">
        <v>0.83826369828199598</v>
      </c>
      <c r="CE194" t="s">
        <v>566</v>
      </c>
      <c r="CF194" t="s">
        <v>547</v>
      </c>
      <c r="CG194">
        <v>1.3729281767955801</v>
      </c>
      <c r="CH194" t="s">
        <v>570</v>
      </c>
      <c r="CI194" t="s">
        <v>547</v>
      </c>
      <c r="CJ194">
        <v>1.09253065774804</v>
      </c>
      <c r="CK194" t="s">
        <v>583</v>
      </c>
      <c r="CL194" t="s">
        <v>547</v>
      </c>
      <c r="CM194">
        <v>1.21702127659574</v>
      </c>
      <c r="CN194" t="s">
        <v>570</v>
      </c>
      <c r="CO194" t="s">
        <v>547</v>
      </c>
      <c r="CP194">
        <v>1</v>
      </c>
      <c r="CQ194" t="s">
        <v>599</v>
      </c>
      <c r="CR194" t="s">
        <v>547</v>
      </c>
      <c r="CS194">
        <v>0.82079999999999997</v>
      </c>
      <c r="CT194" t="s">
        <v>583</v>
      </c>
      <c r="CU194" t="s">
        <v>547</v>
      </c>
      <c r="CV194">
        <v>0.89780077619663601</v>
      </c>
      <c r="CW194" t="s">
        <v>600</v>
      </c>
      <c r="CX194" t="s">
        <v>547</v>
      </c>
      <c r="CY194">
        <v>1.7145748987854199</v>
      </c>
      <c r="CZ194" t="s">
        <v>580</v>
      </c>
      <c r="DA194" t="s">
        <v>547</v>
      </c>
      <c r="DB194">
        <v>0.91636798088410898</v>
      </c>
      <c r="DC194" t="s">
        <v>601</v>
      </c>
      <c r="DD194" t="s">
        <v>547</v>
      </c>
      <c r="DE194">
        <v>0.82826378773598297</v>
      </c>
      <c r="DF194" t="s">
        <v>601</v>
      </c>
      <c r="DG194" t="s">
        <v>547</v>
      </c>
      <c r="DH194">
        <v>1.2655172413793101</v>
      </c>
    </row>
    <row r="195" spans="1:112" x14ac:dyDescent="0.4">
      <c r="A195">
        <v>193</v>
      </c>
      <c r="B195" t="s">
        <v>488</v>
      </c>
      <c r="C195">
        <v>2</v>
      </c>
      <c r="D195">
        <v>1.0474383301707699</v>
      </c>
      <c r="E195" t="s">
        <v>564</v>
      </c>
      <c r="F195" t="s">
        <v>547</v>
      </c>
      <c r="G195">
        <v>0.90109890109890101</v>
      </c>
      <c r="H195" t="s">
        <v>524</v>
      </c>
      <c r="I195">
        <v>3</v>
      </c>
      <c r="J195">
        <v>0.84792626728110598</v>
      </c>
      <c r="K195" t="s">
        <v>488</v>
      </c>
      <c r="L195">
        <v>2</v>
      </c>
      <c r="M195">
        <v>0.62804878048780399</v>
      </c>
      <c r="N195" t="s">
        <v>491</v>
      </c>
      <c r="O195">
        <v>1</v>
      </c>
      <c r="P195">
        <v>1.4620689655172401</v>
      </c>
      <c r="Q195" t="s">
        <v>581</v>
      </c>
      <c r="R195" t="s">
        <v>547</v>
      </c>
      <c r="S195">
        <v>0.91129032258064502</v>
      </c>
      <c r="T195" t="s">
        <v>574</v>
      </c>
      <c r="U195" t="s">
        <v>547</v>
      </c>
      <c r="V195">
        <v>0.85098039215686205</v>
      </c>
      <c r="W195" t="s">
        <v>563</v>
      </c>
      <c r="X195" t="s">
        <v>547</v>
      </c>
      <c r="Y195">
        <v>1.08392857142857</v>
      </c>
      <c r="Z195" t="s">
        <v>578</v>
      </c>
      <c r="AA195" t="s">
        <v>547</v>
      </c>
      <c r="AB195">
        <v>0.87577639751552705</v>
      </c>
      <c r="AC195" t="s">
        <v>551</v>
      </c>
      <c r="AD195" t="s">
        <v>547</v>
      </c>
      <c r="AE195">
        <v>1.09681881051175</v>
      </c>
      <c r="AF195" t="s">
        <v>548</v>
      </c>
      <c r="AG195" t="s">
        <v>547</v>
      </c>
      <c r="AH195">
        <v>0.80941446613088397</v>
      </c>
      <c r="AI195" t="s">
        <v>565</v>
      </c>
      <c r="AJ195" t="s">
        <v>547</v>
      </c>
      <c r="AK195">
        <v>1.2565564424173301</v>
      </c>
      <c r="AL195" t="s">
        <v>565</v>
      </c>
      <c r="AM195" t="s">
        <v>547</v>
      </c>
      <c r="AN195">
        <v>0.83212341197822104</v>
      </c>
      <c r="AO195" t="s">
        <v>565</v>
      </c>
      <c r="AP195" t="s">
        <v>547</v>
      </c>
      <c r="AQ195">
        <v>1.0861504907306401</v>
      </c>
      <c r="AR195" t="s">
        <v>565</v>
      </c>
      <c r="AS195" t="s">
        <v>547</v>
      </c>
      <c r="AT195">
        <v>1.0301204819277101</v>
      </c>
      <c r="AU195" t="s">
        <v>565</v>
      </c>
      <c r="AV195" t="s">
        <v>547</v>
      </c>
      <c r="AW195">
        <v>1.1539961013645199</v>
      </c>
      <c r="AX195" t="s">
        <v>578</v>
      </c>
      <c r="AY195" t="s">
        <v>547</v>
      </c>
      <c r="AZ195">
        <v>0.67609489051094895</v>
      </c>
      <c r="BA195" t="s">
        <v>551</v>
      </c>
      <c r="BB195" t="s">
        <v>547</v>
      </c>
      <c r="BC195">
        <v>0.83319256756756699</v>
      </c>
      <c r="BD195" t="s">
        <v>574</v>
      </c>
      <c r="BE195" t="s">
        <v>547</v>
      </c>
      <c r="BF195">
        <v>0.956989247311828</v>
      </c>
      <c r="BG195" t="s">
        <v>566</v>
      </c>
      <c r="BH195" t="s">
        <v>547</v>
      </c>
      <c r="BI195">
        <v>0.78823529411764703</v>
      </c>
      <c r="BJ195" t="s">
        <v>578</v>
      </c>
      <c r="BK195" t="s">
        <v>547</v>
      </c>
      <c r="BL195">
        <v>1.29557522123893</v>
      </c>
      <c r="BM195" t="s">
        <v>591</v>
      </c>
      <c r="BN195" t="s">
        <v>547</v>
      </c>
      <c r="BO195">
        <v>0.84390862944162404</v>
      </c>
      <c r="BP195" t="s">
        <v>598</v>
      </c>
      <c r="BQ195" t="s">
        <v>547</v>
      </c>
      <c r="BR195">
        <v>1.13182674199623</v>
      </c>
      <c r="BS195" t="s">
        <v>602</v>
      </c>
      <c r="BT195" t="s">
        <v>547</v>
      </c>
      <c r="BU195">
        <v>1.1790540540540499</v>
      </c>
      <c r="BV195" t="s">
        <v>576</v>
      </c>
      <c r="BW195" t="s">
        <v>547</v>
      </c>
      <c r="BX195">
        <v>0.79591836734693799</v>
      </c>
      <c r="BY195" t="s">
        <v>603</v>
      </c>
      <c r="BZ195" t="s">
        <v>547</v>
      </c>
      <c r="CA195">
        <v>1.2471626733921799</v>
      </c>
      <c r="CB195" t="s">
        <v>602</v>
      </c>
      <c r="CC195" t="s">
        <v>547</v>
      </c>
      <c r="CD195">
        <v>0.66374269005847897</v>
      </c>
      <c r="CE195" t="s">
        <v>570</v>
      </c>
      <c r="CF195" t="s">
        <v>547</v>
      </c>
      <c r="CG195">
        <v>0.95833333333333304</v>
      </c>
      <c r="CH195" t="s">
        <v>577</v>
      </c>
      <c r="CI195" t="s">
        <v>547</v>
      </c>
      <c r="CJ195">
        <v>0.86887485060611203</v>
      </c>
      <c r="CK195" t="s">
        <v>604</v>
      </c>
      <c r="CL195" t="s">
        <v>547</v>
      </c>
      <c r="CM195">
        <v>0.733082706766917</v>
      </c>
      <c r="CN195" t="s">
        <v>580</v>
      </c>
      <c r="CO195" t="s">
        <v>547</v>
      </c>
      <c r="CP195">
        <v>0.853951890034364</v>
      </c>
      <c r="CQ195" t="s">
        <v>580</v>
      </c>
      <c r="CR195" t="s">
        <v>547</v>
      </c>
      <c r="CS195">
        <v>1.77062374245472</v>
      </c>
      <c r="CT195" t="s">
        <v>605</v>
      </c>
      <c r="CU195" t="s">
        <v>547</v>
      </c>
      <c r="CV195">
        <v>0.92182030338389698</v>
      </c>
      <c r="CW195" t="s">
        <v>606</v>
      </c>
      <c r="CX195" t="s">
        <v>547</v>
      </c>
      <c r="CY195">
        <v>0.89235737351991296</v>
      </c>
      <c r="CZ195" t="s">
        <v>601</v>
      </c>
      <c r="DA195" t="s">
        <v>547</v>
      </c>
      <c r="DB195">
        <v>0.76444260075979198</v>
      </c>
      <c r="DC195" t="s">
        <v>607</v>
      </c>
      <c r="DD195" t="s">
        <v>547</v>
      </c>
      <c r="DE195">
        <v>0.99621212121212099</v>
      </c>
      <c r="DF195" t="s">
        <v>593</v>
      </c>
      <c r="DG195" t="s">
        <v>547</v>
      </c>
      <c r="DH195">
        <v>0.97218543046357597</v>
      </c>
    </row>
    <row r="196" spans="1:112" x14ac:dyDescent="0.4">
      <c r="A196">
        <v>194</v>
      </c>
      <c r="B196" t="s">
        <v>559</v>
      </c>
      <c r="C196" t="s">
        <v>547</v>
      </c>
      <c r="D196">
        <v>0.98644067796610102</v>
      </c>
      <c r="E196" t="s">
        <v>581</v>
      </c>
      <c r="F196" t="s">
        <v>547</v>
      </c>
      <c r="G196">
        <v>0.77173913043478204</v>
      </c>
      <c r="H196" t="s">
        <v>491</v>
      </c>
      <c r="I196">
        <v>1</v>
      </c>
      <c r="J196">
        <v>0.79069767441860395</v>
      </c>
      <c r="K196" t="s">
        <v>493</v>
      </c>
      <c r="L196">
        <v>2</v>
      </c>
      <c r="M196">
        <v>0.77261613691931497</v>
      </c>
      <c r="N196" t="s">
        <v>494</v>
      </c>
      <c r="O196">
        <v>1</v>
      </c>
      <c r="P196">
        <v>1.4173278169871</v>
      </c>
      <c r="Q196" t="s">
        <v>565</v>
      </c>
      <c r="R196" t="s">
        <v>547</v>
      </c>
      <c r="S196">
        <v>1.02502979737783</v>
      </c>
      <c r="T196" t="s">
        <v>581</v>
      </c>
      <c r="U196" t="s">
        <v>547</v>
      </c>
      <c r="V196">
        <v>0.82890855457227097</v>
      </c>
      <c r="W196" t="s">
        <v>566</v>
      </c>
      <c r="X196" t="s">
        <v>547</v>
      </c>
      <c r="Y196">
        <v>0.87900723888314303</v>
      </c>
      <c r="Z196" t="s">
        <v>608</v>
      </c>
      <c r="AA196" t="s">
        <v>547</v>
      </c>
      <c r="AB196">
        <v>0.30353929214157099</v>
      </c>
      <c r="AC196" t="s">
        <v>563</v>
      </c>
      <c r="AD196" t="s">
        <v>547</v>
      </c>
      <c r="AE196">
        <v>0.86660079051383399</v>
      </c>
      <c r="AF196" t="s">
        <v>566</v>
      </c>
      <c r="AG196" t="s">
        <v>547</v>
      </c>
      <c r="AH196">
        <v>1.0819964349376101</v>
      </c>
      <c r="AI196" t="s">
        <v>566</v>
      </c>
      <c r="AJ196" t="s">
        <v>547</v>
      </c>
      <c r="AK196">
        <v>0.86243822075782495</v>
      </c>
      <c r="AL196" t="s">
        <v>578</v>
      </c>
      <c r="AM196" t="s">
        <v>547</v>
      </c>
      <c r="AN196">
        <v>0.70653377630121805</v>
      </c>
      <c r="AO196" t="s">
        <v>561</v>
      </c>
      <c r="AP196" t="s">
        <v>547</v>
      </c>
      <c r="AQ196">
        <v>0.83792048929663598</v>
      </c>
      <c r="AR196" t="s">
        <v>570</v>
      </c>
      <c r="AS196" t="s">
        <v>547</v>
      </c>
      <c r="AT196">
        <v>1.3173076923076901</v>
      </c>
      <c r="AU196" t="s">
        <v>570</v>
      </c>
      <c r="AV196" t="s">
        <v>547</v>
      </c>
      <c r="AW196">
        <v>1.1153284671532799</v>
      </c>
      <c r="AX196" t="s">
        <v>609</v>
      </c>
      <c r="AY196" t="s">
        <v>547</v>
      </c>
      <c r="AZ196">
        <v>0.62962304409672798</v>
      </c>
      <c r="BA196" t="s">
        <v>565</v>
      </c>
      <c r="BB196" t="s">
        <v>547</v>
      </c>
      <c r="BC196">
        <v>1.0877598152424901</v>
      </c>
      <c r="BD196" t="s">
        <v>558</v>
      </c>
      <c r="BE196" t="s">
        <v>547</v>
      </c>
      <c r="BF196">
        <v>0.91266375545851497</v>
      </c>
      <c r="BG196" t="s">
        <v>578</v>
      </c>
      <c r="BH196" t="s">
        <v>547</v>
      </c>
      <c r="BI196">
        <v>1.4231738035264401</v>
      </c>
      <c r="BJ196" t="s">
        <v>610</v>
      </c>
      <c r="BK196" t="s">
        <v>547</v>
      </c>
      <c r="BL196">
        <v>1.3271604938271599</v>
      </c>
      <c r="BM196" t="s">
        <v>578</v>
      </c>
      <c r="BN196" t="s">
        <v>547</v>
      </c>
      <c r="BO196">
        <v>0.71584699453551903</v>
      </c>
      <c r="BP196" t="s">
        <v>602</v>
      </c>
      <c r="BQ196" t="s">
        <v>547</v>
      </c>
      <c r="BR196">
        <v>0.83852691218130304</v>
      </c>
      <c r="BS196" t="s">
        <v>611</v>
      </c>
      <c r="BT196" t="s">
        <v>547</v>
      </c>
      <c r="BU196">
        <v>1.15900644493578</v>
      </c>
      <c r="BV196" t="s">
        <v>578</v>
      </c>
      <c r="BW196" t="s">
        <v>547</v>
      </c>
      <c r="BX196">
        <v>0.96793349168646003</v>
      </c>
      <c r="BY196" t="s">
        <v>602</v>
      </c>
      <c r="BZ196" t="s">
        <v>547</v>
      </c>
      <c r="CA196">
        <v>0.77375565610859698</v>
      </c>
      <c r="CB196" t="s">
        <v>612</v>
      </c>
      <c r="CC196" t="s">
        <v>547</v>
      </c>
      <c r="CD196">
        <v>0.73124300111981999</v>
      </c>
      <c r="CE196" t="s">
        <v>577</v>
      </c>
      <c r="CF196" t="s">
        <v>547</v>
      </c>
      <c r="CG196">
        <v>1.0353544281421201</v>
      </c>
      <c r="CH196" t="s">
        <v>578</v>
      </c>
      <c r="CI196" t="s">
        <v>547</v>
      </c>
      <c r="CJ196">
        <v>0.81514476614699305</v>
      </c>
      <c r="CK196" t="s">
        <v>593</v>
      </c>
      <c r="CL196" t="s">
        <v>547</v>
      </c>
      <c r="CM196">
        <v>0.83353293413173601</v>
      </c>
      <c r="CN196" t="s">
        <v>583</v>
      </c>
      <c r="CO196" t="s">
        <v>547</v>
      </c>
      <c r="CP196">
        <v>0.86013986013985999</v>
      </c>
      <c r="CQ196" t="s">
        <v>583</v>
      </c>
      <c r="CR196" t="s">
        <v>547</v>
      </c>
      <c r="CS196">
        <v>1.04742547425474</v>
      </c>
      <c r="CT196" t="s">
        <v>613</v>
      </c>
      <c r="CU196" t="s">
        <v>547</v>
      </c>
      <c r="CV196">
        <v>0.90121951219512197</v>
      </c>
      <c r="CW196" t="s">
        <v>614</v>
      </c>
      <c r="CX196" t="s">
        <v>547</v>
      </c>
      <c r="CY196">
        <v>1.1540202568890301</v>
      </c>
      <c r="CZ196" t="s">
        <v>615</v>
      </c>
      <c r="DA196" t="s">
        <v>547</v>
      </c>
      <c r="DB196">
        <v>0.55697674418604604</v>
      </c>
      <c r="DC196" t="s">
        <v>596</v>
      </c>
      <c r="DD196" t="s">
        <v>547</v>
      </c>
      <c r="DE196">
        <v>0.90697674418604601</v>
      </c>
      <c r="DF196" t="s">
        <v>607</v>
      </c>
      <c r="DG196" t="s">
        <v>547</v>
      </c>
      <c r="DH196">
        <v>1.06463878326996</v>
      </c>
    </row>
    <row r="197" spans="1:112" x14ac:dyDescent="0.4">
      <c r="A197">
        <v>195</v>
      </c>
      <c r="B197" t="s">
        <v>595</v>
      </c>
      <c r="C197" t="s">
        <v>547</v>
      </c>
      <c r="D197">
        <v>1.4623015873015801</v>
      </c>
      <c r="E197" t="s">
        <v>590</v>
      </c>
      <c r="F197" t="s">
        <v>547</v>
      </c>
      <c r="G197">
        <v>0.65116279069767402</v>
      </c>
      <c r="H197" t="s">
        <v>559</v>
      </c>
      <c r="I197" t="s">
        <v>547</v>
      </c>
      <c r="J197">
        <v>0.62301587301587302</v>
      </c>
      <c r="K197" t="s">
        <v>491</v>
      </c>
      <c r="L197">
        <v>1</v>
      </c>
      <c r="M197">
        <v>1.06617647058823</v>
      </c>
      <c r="N197" t="s">
        <v>514</v>
      </c>
      <c r="O197">
        <v>1</v>
      </c>
      <c r="P197">
        <v>1.2777777777777699</v>
      </c>
      <c r="Q197" t="s">
        <v>566</v>
      </c>
      <c r="R197" t="s">
        <v>547</v>
      </c>
      <c r="S197">
        <v>1.05537052456286</v>
      </c>
      <c r="T197" t="s">
        <v>565</v>
      </c>
      <c r="U197" t="s">
        <v>547</v>
      </c>
      <c r="V197">
        <v>0.67209302325581399</v>
      </c>
      <c r="W197" t="s">
        <v>617</v>
      </c>
      <c r="X197" t="s">
        <v>547</v>
      </c>
      <c r="Y197">
        <v>0.83678440925700304</v>
      </c>
      <c r="Z197" t="s">
        <v>618</v>
      </c>
      <c r="AA197" t="s">
        <v>547</v>
      </c>
      <c r="AB197">
        <v>0.80152671755725102</v>
      </c>
      <c r="AC197" t="s">
        <v>566</v>
      </c>
      <c r="AD197" t="s">
        <v>547</v>
      </c>
      <c r="AE197">
        <v>1.0495790458372301</v>
      </c>
      <c r="AF197" t="s">
        <v>578</v>
      </c>
      <c r="AG197" t="s">
        <v>547</v>
      </c>
      <c r="AH197">
        <v>1.31194029850746</v>
      </c>
      <c r="AI197" t="s">
        <v>578</v>
      </c>
      <c r="AJ197" t="s">
        <v>547</v>
      </c>
      <c r="AK197">
        <v>1.02730375426621</v>
      </c>
      <c r="AL197" t="s">
        <v>619</v>
      </c>
      <c r="AM197" t="s">
        <v>547</v>
      </c>
      <c r="AN197">
        <v>1.0647837043259101</v>
      </c>
      <c r="AO197" t="s">
        <v>578</v>
      </c>
      <c r="AP197" t="s">
        <v>547</v>
      </c>
      <c r="AQ197">
        <v>0.53683385579937304</v>
      </c>
      <c r="AR197" t="s">
        <v>619</v>
      </c>
      <c r="AS197" t="s">
        <v>547</v>
      </c>
      <c r="AT197">
        <v>1.1095914742451101</v>
      </c>
      <c r="AU197" t="s">
        <v>578</v>
      </c>
      <c r="AV197" t="s">
        <v>547</v>
      </c>
      <c r="AW197">
        <v>1.47708894878706</v>
      </c>
      <c r="AX197" t="s">
        <v>620</v>
      </c>
      <c r="AY197" t="s">
        <v>547</v>
      </c>
      <c r="AZ197">
        <v>0.66666666666666596</v>
      </c>
      <c r="BA197" t="s">
        <v>566</v>
      </c>
      <c r="BB197" t="s">
        <v>547</v>
      </c>
      <c r="BC197">
        <v>0.99019607843137203</v>
      </c>
      <c r="BD197" t="s">
        <v>551</v>
      </c>
      <c r="BE197" t="s">
        <v>547</v>
      </c>
      <c r="BF197">
        <v>1.2458185504308099</v>
      </c>
      <c r="BG197" t="s">
        <v>571</v>
      </c>
      <c r="BH197" t="s">
        <v>547</v>
      </c>
      <c r="BI197">
        <v>1.19029850746268</v>
      </c>
      <c r="BJ197" t="s">
        <v>609</v>
      </c>
      <c r="BK197" t="s">
        <v>547</v>
      </c>
      <c r="BL197">
        <v>1.4678274034822101</v>
      </c>
      <c r="BM197" t="s">
        <v>621</v>
      </c>
      <c r="BN197" t="s">
        <v>547</v>
      </c>
      <c r="BO197">
        <v>1.0484429065743901</v>
      </c>
      <c r="BP197" t="s">
        <v>611</v>
      </c>
      <c r="BQ197" t="s">
        <v>547</v>
      </c>
      <c r="BR197">
        <v>0.89345158036314698</v>
      </c>
      <c r="BS197" t="s">
        <v>605</v>
      </c>
      <c r="BT197" t="s">
        <v>547</v>
      </c>
      <c r="BU197">
        <v>0.86383928571428503</v>
      </c>
      <c r="BV197" t="s">
        <v>598</v>
      </c>
      <c r="BW197" t="s">
        <v>547</v>
      </c>
      <c r="BX197">
        <v>1.12312811980033</v>
      </c>
      <c r="BY197" t="s">
        <v>622</v>
      </c>
      <c r="BZ197" t="s">
        <v>547</v>
      </c>
      <c r="CA197">
        <v>1.3144722524483099</v>
      </c>
      <c r="CB197" t="s">
        <v>596</v>
      </c>
      <c r="CC197" t="s">
        <v>547</v>
      </c>
      <c r="CD197">
        <v>0.95608108108108103</v>
      </c>
      <c r="CE197" t="s">
        <v>578</v>
      </c>
      <c r="CF197" t="s">
        <v>547</v>
      </c>
      <c r="CG197">
        <v>1.2217687074829899</v>
      </c>
      <c r="CH197" t="s">
        <v>592</v>
      </c>
      <c r="CI197" t="s">
        <v>547</v>
      </c>
      <c r="CJ197">
        <v>1.10238353196099</v>
      </c>
      <c r="CK197" t="s">
        <v>596</v>
      </c>
      <c r="CL197" t="s">
        <v>547</v>
      </c>
      <c r="CM197">
        <v>0.97260273972602695</v>
      </c>
      <c r="CN197" t="s">
        <v>588</v>
      </c>
      <c r="CO197" t="s">
        <v>547</v>
      </c>
      <c r="CP197">
        <v>0.72911392405063202</v>
      </c>
      <c r="CQ197" t="s">
        <v>602</v>
      </c>
      <c r="CR197" t="s">
        <v>547</v>
      </c>
      <c r="CS197">
        <v>1.70278637770897</v>
      </c>
      <c r="CT197" t="s">
        <v>606</v>
      </c>
      <c r="CU197" t="s">
        <v>547</v>
      </c>
      <c r="CV197">
        <v>1.1246973365617401</v>
      </c>
      <c r="CW197" t="s">
        <v>623</v>
      </c>
      <c r="CX197" t="s">
        <v>547</v>
      </c>
      <c r="CY197">
        <v>1.07045454545454</v>
      </c>
      <c r="CZ197" t="s">
        <v>593</v>
      </c>
      <c r="DA197" t="s">
        <v>547</v>
      </c>
      <c r="DB197">
        <v>0.98565323565323504</v>
      </c>
      <c r="DC197" t="s">
        <v>600</v>
      </c>
      <c r="DD197" t="s">
        <v>547</v>
      </c>
      <c r="DE197">
        <v>0.73314606741572996</v>
      </c>
      <c r="DF197" t="s">
        <v>600</v>
      </c>
      <c r="DG197" t="s">
        <v>547</v>
      </c>
      <c r="DH197">
        <v>0.65134099616858199</v>
      </c>
    </row>
    <row r="198" spans="1:112" x14ac:dyDescent="0.4">
      <c r="A198">
        <v>196</v>
      </c>
      <c r="B198" t="s">
        <v>565</v>
      </c>
      <c r="C198" t="s">
        <v>547</v>
      </c>
      <c r="D198">
        <v>0.86258660508083096</v>
      </c>
      <c r="E198" t="s">
        <v>566</v>
      </c>
      <c r="F198" t="s">
        <v>547</v>
      </c>
      <c r="G198">
        <v>0.71907861792688998</v>
      </c>
      <c r="H198" t="s">
        <v>564</v>
      </c>
      <c r="I198" t="s">
        <v>547</v>
      </c>
      <c r="J198">
        <v>0.85452961672473804</v>
      </c>
      <c r="K198" t="s">
        <v>494</v>
      </c>
      <c r="L198">
        <v>1</v>
      </c>
      <c r="M198">
        <v>1.2575748301401699</v>
      </c>
      <c r="N198" t="s">
        <v>595</v>
      </c>
      <c r="O198" t="s">
        <v>547</v>
      </c>
      <c r="P198">
        <v>2.3301997649823698</v>
      </c>
      <c r="Q198" t="s">
        <v>578</v>
      </c>
      <c r="R198" t="s">
        <v>547</v>
      </c>
      <c r="S198">
        <v>1.45911949685534</v>
      </c>
      <c r="T198" t="s">
        <v>563</v>
      </c>
      <c r="U198" t="s">
        <v>547</v>
      </c>
      <c r="V198">
        <v>0.86153846153846103</v>
      </c>
      <c r="W198" t="s">
        <v>608</v>
      </c>
      <c r="X198" t="s">
        <v>547</v>
      </c>
      <c r="Y198">
        <v>1.3497975708501999</v>
      </c>
      <c r="Z198" t="s">
        <v>580</v>
      </c>
      <c r="AA198" t="s">
        <v>547</v>
      </c>
      <c r="AB198">
        <v>2.0038167938931299</v>
      </c>
      <c r="AC198" t="s">
        <v>561</v>
      </c>
      <c r="AD198" t="s">
        <v>547</v>
      </c>
      <c r="AE198">
        <v>0.98298676748582203</v>
      </c>
      <c r="AF198" t="s">
        <v>619</v>
      </c>
      <c r="AG198" t="s">
        <v>547</v>
      </c>
      <c r="AH198">
        <v>1.0309402222889701</v>
      </c>
      <c r="AI198" t="s">
        <v>619</v>
      </c>
      <c r="AJ198" t="s">
        <v>547</v>
      </c>
      <c r="AK198">
        <v>0.92501942501942502</v>
      </c>
      <c r="AL198" t="s">
        <v>608</v>
      </c>
      <c r="AM198" t="s">
        <v>547</v>
      </c>
      <c r="AN198">
        <v>0.52500000000000002</v>
      </c>
      <c r="AO198" t="s">
        <v>619</v>
      </c>
      <c r="AP198" t="s">
        <v>547</v>
      </c>
      <c r="AQ198">
        <v>1.11034414751996</v>
      </c>
      <c r="AR198" t="s">
        <v>620</v>
      </c>
      <c r="AS198" t="s">
        <v>547</v>
      </c>
      <c r="AT198">
        <v>0.97336065573770403</v>
      </c>
      <c r="AU198" t="s">
        <v>609</v>
      </c>
      <c r="AV198" t="s">
        <v>547</v>
      </c>
      <c r="AW198">
        <v>1.08802476301025</v>
      </c>
      <c r="AX198" t="s">
        <v>580</v>
      </c>
      <c r="AY198" t="s">
        <v>547</v>
      </c>
      <c r="AZ198">
        <v>0.56533575317604301</v>
      </c>
      <c r="BA198" t="s">
        <v>578</v>
      </c>
      <c r="BB198" t="s">
        <v>547</v>
      </c>
      <c r="BC198">
        <v>1.2307692307692299</v>
      </c>
      <c r="BD198" t="s">
        <v>565</v>
      </c>
      <c r="BE198" t="s">
        <v>547</v>
      </c>
      <c r="BF198">
        <v>0.91082802547770703</v>
      </c>
      <c r="BG198" t="s">
        <v>624</v>
      </c>
      <c r="BH198" t="s">
        <v>547</v>
      </c>
      <c r="BI198">
        <v>1.0441767068273</v>
      </c>
      <c r="BJ198" t="s">
        <v>621</v>
      </c>
      <c r="BK198" t="s">
        <v>547</v>
      </c>
      <c r="BL198">
        <v>0.92628205128205099</v>
      </c>
      <c r="BM198" t="s">
        <v>596</v>
      </c>
      <c r="BN198" t="s">
        <v>547</v>
      </c>
      <c r="BO198">
        <v>0.97106109324758805</v>
      </c>
      <c r="BP198" t="s">
        <v>621</v>
      </c>
      <c r="BQ198" t="s">
        <v>547</v>
      </c>
      <c r="BR198">
        <v>0.99009900990098998</v>
      </c>
      <c r="BS198" t="s">
        <v>621</v>
      </c>
      <c r="BT198" t="s">
        <v>547</v>
      </c>
      <c r="BU198">
        <v>1.2533333333333301</v>
      </c>
      <c r="BV198" t="s">
        <v>602</v>
      </c>
      <c r="BW198" t="s">
        <v>547</v>
      </c>
      <c r="BX198">
        <v>1.2664756446991401</v>
      </c>
      <c r="BY198" t="s">
        <v>625</v>
      </c>
      <c r="BZ198" t="s">
        <v>547</v>
      </c>
      <c r="CA198">
        <v>0.75278310940499005</v>
      </c>
      <c r="CB198" t="s">
        <v>606</v>
      </c>
      <c r="CC198" t="s">
        <v>547</v>
      </c>
      <c r="CD198">
        <v>1.0043243243243201</v>
      </c>
      <c r="CE198" t="s">
        <v>596</v>
      </c>
      <c r="CF198" t="s">
        <v>547</v>
      </c>
      <c r="CG198">
        <v>1.0247349823321501</v>
      </c>
      <c r="CH198" t="s">
        <v>596</v>
      </c>
      <c r="CI198" t="s">
        <v>547</v>
      </c>
      <c r="CJ198">
        <v>1.00689655172413</v>
      </c>
      <c r="CK198" t="s">
        <v>626</v>
      </c>
      <c r="CL198" t="s">
        <v>547</v>
      </c>
      <c r="CM198">
        <v>1.22711058263971</v>
      </c>
      <c r="CN198" t="s">
        <v>596</v>
      </c>
      <c r="CO198" t="s">
        <v>547</v>
      </c>
      <c r="CP198">
        <v>1</v>
      </c>
      <c r="CQ198" t="s">
        <v>596</v>
      </c>
      <c r="CR198" t="s">
        <v>547</v>
      </c>
      <c r="CS198">
        <v>0.98591549295774605</v>
      </c>
      <c r="CT198" t="s">
        <v>614</v>
      </c>
      <c r="CU198" t="s">
        <v>547</v>
      </c>
      <c r="CV198">
        <v>1.0393436838390899</v>
      </c>
      <c r="CW198" t="s">
        <v>627</v>
      </c>
      <c r="CX198" t="s">
        <v>547</v>
      </c>
      <c r="CY198">
        <v>1.0595744680851</v>
      </c>
      <c r="CZ198" t="s">
        <v>596</v>
      </c>
      <c r="DA198" t="s">
        <v>547</v>
      </c>
      <c r="DB198">
        <v>0.89583333333333304</v>
      </c>
      <c r="DC198" t="s">
        <v>606</v>
      </c>
      <c r="DD198" t="s">
        <v>547</v>
      </c>
      <c r="DE198">
        <v>1.0137672090112599</v>
      </c>
      <c r="DF198" t="s">
        <v>606</v>
      </c>
      <c r="DG198" t="s">
        <v>547</v>
      </c>
      <c r="DH198">
        <v>1.1407407407407399</v>
      </c>
    </row>
    <row r="199" spans="1:112" x14ac:dyDescent="0.4">
      <c r="A199">
        <v>197</v>
      </c>
      <c r="B199" t="s">
        <v>590</v>
      </c>
      <c r="C199" t="s">
        <v>547</v>
      </c>
      <c r="D199">
        <v>1.0134680134680101</v>
      </c>
      <c r="E199" t="s">
        <v>599</v>
      </c>
      <c r="F199" t="s">
        <v>547</v>
      </c>
      <c r="G199">
        <v>0.71742671009771897</v>
      </c>
      <c r="H199" t="s">
        <v>581</v>
      </c>
      <c r="I199" t="s">
        <v>547</v>
      </c>
      <c r="J199">
        <v>0.66549295774647799</v>
      </c>
      <c r="K199" t="s">
        <v>564</v>
      </c>
      <c r="L199" t="s">
        <v>547</v>
      </c>
      <c r="M199">
        <v>0.91335372069317</v>
      </c>
      <c r="N199" t="s">
        <v>574</v>
      </c>
      <c r="O199" t="s">
        <v>547</v>
      </c>
      <c r="P199">
        <v>1.09669522643818</v>
      </c>
      <c r="Q199" t="s">
        <v>608</v>
      </c>
      <c r="R199" t="s">
        <v>547</v>
      </c>
      <c r="S199">
        <v>0.73093822693202304</v>
      </c>
      <c r="T199" t="s">
        <v>566</v>
      </c>
      <c r="U199" t="s">
        <v>547</v>
      </c>
      <c r="V199">
        <v>0.76291913214990104</v>
      </c>
      <c r="W199" t="s">
        <v>580</v>
      </c>
      <c r="X199" t="s">
        <v>547</v>
      </c>
      <c r="Y199">
        <v>1.1391304347825999</v>
      </c>
      <c r="Z199" t="s">
        <v>628</v>
      </c>
      <c r="AA199" t="s">
        <v>547</v>
      </c>
      <c r="AB199">
        <v>0.688888888888888</v>
      </c>
      <c r="AC199" t="s">
        <v>550</v>
      </c>
      <c r="AD199" t="s">
        <v>547</v>
      </c>
      <c r="AE199">
        <v>0.90992608236536399</v>
      </c>
      <c r="AF199" t="s">
        <v>580</v>
      </c>
      <c r="AG199" t="s">
        <v>547</v>
      </c>
      <c r="AH199">
        <v>1.1366120218579201</v>
      </c>
      <c r="AI199" t="s">
        <v>580</v>
      </c>
      <c r="AJ199" t="s">
        <v>547</v>
      </c>
      <c r="AK199">
        <v>0.89423076923076905</v>
      </c>
      <c r="AL199" t="s">
        <v>580</v>
      </c>
      <c r="AM199" t="s">
        <v>547</v>
      </c>
      <c r="AN199">
        <v>0.73655913978494603</v>
      </c>
      <c r="AO199" t="s">
        <v>580</v>
      </c>
      <c r="AP199" t="s">
        <v>547</v>
      </c>
      <c r="AQ199">
        <v>0.70948905109489002</v>
      </c>
      <c r="AR199" t="s">
        <v>611</v>
      </c>
      <c r="AS199" t="s">
        <v>547</v>
      </c>
      <c r="AT199">
        <v>1.66553394548478</v>
      </c>
      <c r="AU199" t="s">
        <v>620</v>
      </c>
      <c r="AV199" t="s">
        <v>547</v>
      </c>
      <c r="AW199">
        <v>1.0263157894736801</v>
      </c>
      <c r="AX199" t="s">
        <v>611</v>
      </c>
      <c r="AY199" t="s">
        <v>547</v>
      </c>
      <c r="AZ199">
        <v>1.74860232229526</v>
      </c>
      <c r="BA199" t="s">
        <v>621</v>
      </c>
      <c r="BB199" t="s">
        <v>547</v>
      </c>
      <c r="BC199">
        <v>1.0597014925373101</v>
      </c>
      <c r="BD199" t="s">
        <v>566</v>
      </c>
      <c r="BE199" t="s">
        <v>547</v>
      </c>
      <c r="BF199">
        <v>1.0940594059405899</v>
      </c>
      <c r="BG199" t="s">
        <v>621</v>
      </c>
      <c r="BH199" t="s">
        <v>547</v>
      </c>
      <c r="BI199">
        <v>1.15985130111524</v>
      </c>
      <c r="BJ199" t="s">
        <v>596</v>
      </c>
      <c r="BK199" t="s">
        <v>547</v>
      </c>
      <c r="BL199">
        <v>1.0724137931034401</v>
      </c>
      <c r="BM199" t="s">
        <v>606</v>
      </c>
      <c r="BN199" t="s">
        <v>547</v>
      </c>
      <c r="BO199">
        <v>0.95348837209302295</v>
      </c>
      <c r="BP199" t="s">
        <v>596</v>
      </c>
      <c r="BQ199" t="s">
        <v>547</v>
      </c>
      <c r="BR199">
        <v>0.90066225165562896</v>
      </c>
      <c r="BS199" t="s">
        <v>606</v>
      </c>
      <c r="BT199" t="s">
        <v>547</v>
      </c>
      <c r="BU199">
        <v>1.10856453558504</v>
      </c>
      <c r="BV199" t="s">
        <v>596</v>
      </c>
      <c r="BW199" t="s">
        <v>547</v>
      </c>
      <c r="BX199">
        <v>0.98257839721254303</v>
      </c>
      <c r="BY199" t="s">
        <v>612</v>
      </c>
      <c r="BZ199" t="s">
        <v>547</v>
      </c>
      <c r="CA199">
        <v>1.0371660859465699</v>
      </c>
      <c r="CB199" t="s">
        <v>614</v>
      </c>
      <c r="CC199" t="s">
        <v>547</v>
      </c>
      <c r="CD199">
        <v>1.2919130839258399</v>
      </c>
      <c r="CE199" t="s">
        <v>606</v>
      </c>
      <c r="CF199" t="s">
        <v>547</v>
      </c>
      <c r="CG199">
        <v>1.06566200215285</v>
      </c>
      <c r="CH199" t="s">
        <v>629</v>
      </c>
      <c r="CI199" t="s">
        <v>547</v>
      </c>
      <c r="CJ199">
        <v>2.7990241635687698</v>
      </c>
      <c r="CK199" t="s">
        <v>613</v>
      </c>
      <c r="CL199" t="s">
        <v>547</v>
      </c>
      <c r="CM199">
        <v>0.72030651340996099</v>
      </c>
      <c r="CN199" t="s">
        <v>613</v>
      </c>
      <c r="CO199" t="s">
        <v>547</v>
      </c>
      <c r="CP199">
        <v>0.76595744680850997</v>
      </c>
      <c r="CQ199" t="s">
        <v>613</v>
      </c>
      <c r="CR199" t="s">
        <v>547</v>
      </c>
      <c r="CS199">
        <v>1.13888888888888</v>
      </c>
      <c r="CT199" t="s">
        <v>623</v>
      </c>
      <c r="CU199" t="s">
        <v>547</v>
      </c>
      <c r="CV199">
        <v>1.1780455153949101</v>
      </c>
      <c r="CW199" t="s">
        <v>630</v>
      </c>
      <c r="CX199" t="s">
        <v>547</v>
      </c>
      <c r="CY199">
        <v>0.86814159292035398</v>
      </c>
      <c r="CZ199" t="s">
        <v>606</v>
      </c>
      <c r="DA199" t="s">
        <v>547</v>
      </c>
      <c r="DB199">
        <v>0.96381182147165201</v>
      </c>
      <c r="DC199" t="s">
        <v>631</v>
      </c>
      <c r="DD199" t="s">
        <v>547</v>
      </c>
      <c r="DE199">
        <v>0.84794520547945196</v>
      </c>
      <c r="DF199" t="s">
        <v>627</v>
      </c>
      <c r="DG199" t="s">
        <v>547</v>
      </c>
      <c r="DH199">
        <v>1.32752992383025</v>
      </c>
    </row>
    <row r="200" spans="1:112" x14ac:dyDescent="0.4">
      <c r="A200">
        <v>198</v>
      </c>
      <c r="B200" t="s">
        <v>566</v>
      </c>
      <c r="C200" t="s">
        <v>547</v>
      </c>
      <c r="D200">
        <v>1.2883870967741899</v>
      </c>
      <c r="E200" t="s">
        <v>632</v>
      </c>
      <c r="F200" t="s">
        <v>547</v>
      </c>
      <c r="G200">
        <v>0.257750759878419</v>
      </c>
      <c r="H200" t="s">
        <v>548</v>
      </c>
      <c r="I200" t="s">
        <v>547</v>
      </c>
      <c r="J200">
        <v>0.43564356435643498</v>
      </c>
      <c r="K200" t="s">
        <v>608</v>
      </c>
      <c r="L200" t="s">
        <v>547</v>
      </c>
      <c r="M200">
        <v>0.77057926829268297</v>
      </c>
      <c r="N200" t="s">
        <v>581</v>
      </c>
      <c r="O200" t="s">
        <v>547</v>
      </c>
      <c r="P200">
        <v>1.45882352941176</v>
      </c>
      <c r="Q200" t="s">
        <v>580</v>
      </c>
      <c r="R200" t="s">
        <v>547</v>
      </c>
      <c r="S200">
        <v>1.00882723833543</v>
      </c>
      <c r="T200" t="s">
        <v>617</v>
      </c>
      <c r="U200" t="s">
        <v>547</v>
      </c>
      <c r="V200">
        <v>0.825125628140703</v>
      </c>
      <c r="W200" t="s">
        <v>611</v>
      </c>
      <c r="X200" t="s">
        <v>547</v>
      </c>
      <c r="Y200">
        <v>1.17022294517271</v>
      </c>
      <c r="Z200" t="s">
        <v>611</v>
      </c>
      <c r="AA200" t="s">
        <v>547</v>
      </c>
      <c r="AB200">
        <v>1.2581357318070301</v>
      </c>
      <c r="AC200" t="s">
        <v>578</v>
      </c>
      <c r="AD200" t="s">
        <v>547</v>
      </c>
      <c r="AE200">
        <v>0.95035460992907805</v>
      </c>
      <c r="AF200" t="s">
        <v>611</v>
      </c>
      <c r="AG200" t="s">
        <v>547</v>
      </c>
      <c r="AH200">
        <v>1.1556066360183801</v>
      </c>
      <c r="AI200" t="s">
        <v>611</v>
      </c>
      <c r="AJ200" t="s">
        <v>547</v>
      </c>
      <c r="AK200">
        <v>0.82686154112254595</v>
      </c>
      <c r="AL200" t="s">
        <v>611</v>
      </c>
      <c r="AM200" t="s">
        <v>547</v>
      </c>
      <c r="AN200">
        <v>1.0093086497228301</v>
      </c>
      <c r="AO200" t="s">
        <v>611</v>
      </c>
      <c r="AP200" t="s">
        <v>547</v>
      </c>
      <c r="AQ200">
        <v>1.4332642487046601</v>
      </c>
      <c r="AR200" t="s">
        <v>612</v>
      </c>
      <c r="AS200" t="s">
        <v>547</v>
      </c>
      <c r="AT200">
        <v>1.3600891861761399</v>
      </c>
      <c r="AU200" t="s">
        <v>611</v>
      </c>
      <c r="AV200" t="s">
        <v>547</v>
      </c>
      <c r="AW200">
        <v>0.70658968570932401</v>
      </c>
      <c r="AX200" t="s">
        <v>621</v>
      </c>
      <c r="AY200" t="s">
        <v>547</v>
      </c>
      <c r="AZ200">
        <v>1.1452991452991399</v>
      </c>
      <c r="BA200" t="s">
        <v>612</v>
      </c>
      <c r="BB200" t="s">
        <v>547</v>
      </c>
      <c r="BC200">
        <v>1.3744343891402699</v>
      </c>
      <c r="BD200" t="s">
        <v>578</v>
      </c>
      <c r="BE200" t="s">
        <v>547</v>
      </c>
      <c r="BF200">
        <v>0.87061403508771895</v>
      </c>
      <c r="BG200" t="s">
        <v>633</v>
      </c>
      <c r="BH200" t="s">
        <v>547</v>
      </c>
      <c r="BI200">
        <v>0.80909090909090897</v>
      </c>
      <c r="BJ200" t="s">
        <v>634</v>
      </c>
      <c r="BK200" t="s">
        <v>547</v>
      </c>
      <c r="BL200">
        <v>0.94444444444444398</v>
      </c>
      <c r="BM200" t="s">
        <v>627</v>
      </c>
      <c r="BN200" t="s">
        <v>547</v>
      </c>
      <c r="BO200">
        <v>0.95207667731629397</v>
      </c>
      <c r="BP200" t="s">
        <v>606</v>
      </c>
      <c r="BQ200" t="s">
        <v>547</v>
      </c>
      <c r="BR200">
        <v>0.80878048780487799</v>
      </c>
      <c r="BS200" t="s">
        <v>627</v>
      </c>
      <c r="BT200" t="s">
        <v>547</v>
      </c>
      <c r="BU200">
        <v>0.82436548223350203</v>
      </c>
      <c r="BV200" t="s">
        <v>606</v>
      </c>
      <c r="BW200" t="s">
        <v>547</v>
      </c>
      <c r="BX200">
        <v>0.89662676822633203</v>
      </c>
      <c r="BY200" t="s">
        <v>606</v>
      </c>
      <c r="BZ200" t="s">
        <v>547</v>
      </c>
      <c r="CA200">
        <v>1.12257281553398</v>
      </c>
      <c r="CB200" t="s">
        <v>627</v>
      </c>
      <c r="CC200" t="s">
        <v>547</v>
      </c>
      <c r="CD200">
        <v>1.2784398699891599</v>
      </c>
      <c r="CE200" t="s">
        <v>614</v>
      </c>
      <c r="CF200" t="s">
        <v>547</v>
      </c>
      <c r="CG200">
        <v>1.4482049171895801</v>
      </c>
      <c r="CH200" t="s">
        <v>606</v>
      </c>
      <c r="CI200" t="s">
        <v>547</v>
      </c>
      <c r="CJ200">
        <v>1.2878787878787801</v>
      </c>
      <c r="CK200" t="s">
        <v>606</v>
      </c>
      <c r="CL200" t="s">
        <v>547</v>
      </c>
      <c r="CM200">
        <v>0.92156862745098</v>
      </c>
      <c r="CN200" t="s">
        <v>606</v>
      </c>
      <c r="CO200" t="s">
        <v>547</v>
      </c>
      <c r="CP200">
        <v>0.802553191489361</v>
      </c>
      <c r="CQ200" t="s">
        <v>606</v>
      </c>
      <c r="CR200" t="s">
        <v>547</v>
      </c>
      <c r="CS200">
        <v>0.87592788971367896</v>
      </c>
      <c r="CT200" t="s">
        <v>627</v>
      </c>
      <c r="CU200" t="s">
        <v>547</v>
      </c>
      <c r="CV200">
        <v>0.92156862745098</v>
      </c>
      <c r="CW200" t="s">
        <v>631</v>
      </c>
      <c r="CX200" t="s">
        <v>547</v>
      </c>
      <c r="CY200">
        <v>1.0953878406708499</v>
      </c>
      <c r="CZ200" t="s">
        <v>627</v>
      </c>
      <c r="DA200" t="s">
        <v>547</v>
      </c>
      <c r="DB200">
        <v>0.76907630522088299</v>
      </c>
      <c r="DC200" t="s">
        <v>635</v>
      </c>
      <c r="DD200" t="s">
        <v>547</v>
      </c>
      <c r="DE200">
        <v>0.75067024128686299</v>
      </c>
      <c r="DF200" t="s">
        <v>635</v>
      </c>
      <c r="DG200" t="s">
        <v>547</v>
      </c>
      <c r="DH200">
        <v>1.05</v>
      </c>
    </row>
    <row r="201" spans="1:112" x14ac:dyDescent="0.4">
      <c r="A201">
        <v>199</v>
      </c>
      <c r="B201" t="s">
        <v>567</v>
      </c>
      <c r="C201" t="s">
        <v>547</v>
      </c>
      <c r="D201">
        <v>1.1198288159771701</v>
      </c>
      <c r="E201" t="s">
        <v>637</v>
      </c>
      <c r="F201" t="s">
        <v>547</v>
      </c>
      <c r="G201">
        <v>0.69651741293532299</v>
      </c>
      <c r="H201" t="s">
        <v>566</v>
      </c>
      <c r="I201" t="s">
        <v>547</v>
      </c>
      <c r="J201">
        <v>0.52506963788300798</v>
      </c>
      <c r="K201" t="s">
        <v>580</v>
      </c>
      <c r="L201" t="s">
        <v>547</v>
      </c>
      <c r="M201">
        <v>1.2476370510396899</v>
      </c>
      <c r="N201" t="s">
        <v>580</v>
      </c>
      <c r="O201" t="s">
        <v>547</v>
      </c>
      <c r="P201">
        <v>1.2015151515151501</v>
      </c>
      <c r="Q201" t="s">
        <v>611</v>
      </c>
      <c r="R201" t="s">
        <v>547</v>
      </c>
      <c r="S201">
        <v>0.76190012654531203</v>
      </c>
      <c r="T201" t="s">
        <v>580</v>
      </c>
      <c r="U201" t="s">
        <v>547</v>
      </c>
      <c r="V201">
        <v>0.86250000000000004</v>
      </c>
      <c r="W201" t="s">
        <v>633</v>
      </c>
      <c r="X201" t="s">
        <v>547</v>
      </c>
      <c r="Y201">
        <v>1.27272727272727</v>
      </c>
      <c r="Z201" t="s">
        <v>633</v>
      </c>
      <c r="AA201" t="s">
        <v>547</v>
      </c>
      <c r="AB201">
        <v>1.1714285714285699</v>
      </c>
      <c r="AC201" t="s">
        <v>611</v>
      </c>
      <c r="AD201" t="s">
        <v>547</v>
      </c>
      <c r="AE201">
        <v>0.65028920517319799</v>
      </c>
      <c r="AF201" t="s">
        <v>612</v>
      </c>
      <c r="AG201" t="s">
        <v>547</v>
      </c>
      <c r="AH201">
        <v>1.1019736842105201</v>
      </c>
      <c r="AI201" t="s">
        <v>612</v>
      </c>
      <c r="AJ201" t="s">
        <v>547</v>
      </c>
      <c r="AK201">
        <v>0.93333333333333302</v>
      </c>
      <c r="AL201" t="s">
        <v>612</v>
      </c>
      <c r="AM201" t="s">
        <v>547</v>
      </c>
      <c r="AN201">
        <v>1.0714285714285701</v>
      </c>
      <c r="AO201" t="s">
        <v>612</v>
      </c>
      <c r="AP201" t="s">
        <v>547</v>
      </c>
      <c r="AQ201">
        <v>0.89253731343283504</v>
      </c>
      <c r="AR201" t="s">
        <v>627</v>
      </c>
      <c r="AS201" t="s">
        <v>547</v>
      </c>
      <c r="AT201">
        <v>1.2416295221312299</v>
      </c>
      <c r="AU201" t="s">
        <v>627</v>
      </c>
      <c r="AV201" t="s">
        <v>547</v>
      </c>
      <c r="AW201">
        <v>1.3232593087326701</v>
      </c>
      <c r="AX201" t="s">
        <v>627</v>
      </c>
      <c r="AY201" t="s">
        <v>547</v>
      </c>
      <c r="AZ201">
        <v>0.694006309148265</v>
      </c>
      <c r="BA201" t="s">
        <v>627</v>
      </c>
      <c r="BB201" t="s">
        <v>547</v>
      </c>
      <c r="BC201">
        <v>0.77545454545454495</v>
      </c>
      <c r="BD201" t="s">
        <v>621</v>
      </c>
      <c r="BE201" t="s">
        <v>547</v>
      </c>
      <c r="BF201">
        <v>0.94718309859154903</v>
      </c>
      <c r="BG201" t="s">
        <v>606</v>
      </c>
      <c r="BH201" t="s">
        <v>547</v>
      </c>
      <c r="BI201">
        <v>1.1407407407407399</v>
      </c>
      <c r="BJ201" t="s">
        <v>606</v>
      </c>
      <c r="BK201" t="s">
        <v>547</v>
      </c>
      <c r="BL201">
        <v>1.1634199134199099</v>
      </c>
      <c r="BM201" t="s">
        <v>630</v>
      </c>
      <c r="BN201" t="s">
        <v>547</v>
      </c>
      <c r="BO201">
        <v>1.33096085409252</v>
      </c>
      <c r="BP201" t="s">
        <v>630</v>
      </c>
      <c r="BQ201" t="s">
        <v>547</v>
      </c>
      <c r="BR201">
        <v>1.11497326203208</v>
      </c>
      <c r="BS201" t="s">
        <v>630</v>
      </c>
      <c r="BT201" t="s">
        <v>547</v>
      </c>
      <c r="BU201">
        <v>0.88729016786570702</v>
      </c>
      <c r="BV201" t="s">
        <v>630</v>
      </c>
      <c r="BW201" t="s">
        <v>547</v>
      </c>
      <c r="BX201">
        <v>0.98378378378378295</v>
      </c>
      <c r="BY201" t="s">
        <v>630</v>
      </c>
      <c r="BZ201" t="s">
        <v>547</v>
      </c>
      <c r="CA201">
        <v>0.85714285714285698</v>
      </c>
      <c r="CB201" t="s">
        <v>630</v>
      </c>
      <c r="CC201" t="s">
        <v>547</v>
      </c>
      <c r="CD201">
        <v>1.37820512820512</v>
      </c>
      <c r="CE201" t="s">
        <v>627</v>
      </c>
      <c r="CF201" t="s">
        <v>547</v>
      </c>
      <c r="CG201">
        <v>1.5508474576271101</v>
      </c>
      <c r="CH201" t="s">
        <v>627</v>
      </c>
      <c r="CI201" t="s">
        <v>547</v>
      </c>
      <c r="CJ201">
        <v>1.0027322404371499</v>
      </c>
      <c r="CK201" t="s">
        <v>627</v>
      </c>
      <c r="CL201" t="s">
        <v>547</v>
      </c>
      <c r="CM201">
        <v>0.70844686648501298</v>
      </c>
      <c r="CN201" t="s">
        <v>627</v>
      </c>
      <c r="CO201" t="s">
        <v>547</v>
      </c>
      <c r="CP201">
        <v>0.84230769230769198</v>
      </c>
      <c r="CQ201" t="s">
        <v>627</v>
      </c>
      <c r="CR201" t="s">
        <v>547</v>
      </c>
      <c r="CS201">
        <v>0.931506849315068</v>
      </c>
      <c r="CT201" t="s">
        <v>630</v>
      </c>
      <c r="CU201" t="s">
        <v>547</v>
      </c>
      <c r="CV201">
        <v>0.86923076923076903</v>
      </c>
      <c r="CW201" t="s">
        <v>638</v>
      </c>
      <c r="CX201" t="s">
        <v>547</v>
      </c>
      <c r="CY201">
        <v>0.92812499999999998</v>
      </c>
      <c r="CZ201" t="s">
        <v>638</v>
      </c>
      <c r="DA201" t="s">
        <v>547</v>
      </c>
      <c r="DB201">
        <v>1.0437710437710399</v>
      </c>
      <c r="DC201" t="s">
        <v>638</v>
      </c>
      <c r="DD201" t="s">
        <v>547</v>
      </c>
      <c r="DE201">
        <v>1.0311827956989199</v>
      </c>
      <c r="DF201" t="s">
        <v>638</v>
      </c>
      <c r="DG201" t="s">
        <v>547</v>
      </c>
      <c r="DH201">
        <v>0.82377476538060401</v>
      </c>
    </row>
    <row r="202" spans="1:112" x14ac:dyDescent="0.4">
      <c r="A202">
        <v>200</v>
      </c>
    </row>
    <row r="203" spans="1:112" x14ac:dyDescent="0.4">
      <c r="A203">
        <v>201</v>
      </c>
    </row>
    <row r="204" spans="1:112" x14ac:dyDescent="0.4">
      <c r="A204">
        <v>202</v>
      </c>
    </row>
    <row r="205" spans="1:112" x14ac:dyDescent="0.4">
      <c r="A205">
        <v>203</v>
      </c>
    </row>
    <row r="206" spans="1:112" x14ac:dyDescent="0.4">
      <c r="A206">
        <v>204</v>
      </c>
    </row>
    <row r="207" spans="1:112" x14ac:dyDescent="0.4">
      <c r="A207">
        <v>205</v>
      </c>
    </row>
    <row r="208" spans="1:112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9" x14ac:dyDescent="0.4">
      <c r="A993">
        <v>991</v>
      </c>
    </row>
    <row r="994" spans="1:69" x14ac:dyDescent="0.4">
      <c r="A994">
        <v>992</v>
      </c>
    </row>
    <row r="995" spans="1:69" x14ac:dyDescent="0.4">
      <c r="A995">
        <v>993</v>
      </c>
    </row>
    <row r="996" spans="1:69" x14ac:dyDescent="0.4">
      <c r="A996">
        <v>994</v>
      </c>
    </row>
    <row r="997" spans="1:69" x14ac:dyDescent="0.4">
      <c r="A997">
        <v>995</v>
      </c>
      <c r="BQ997" t="s">
        <v>664</v>
      </c>
    </row>
    <row r="998" spans="1:69" x14ac:dyDescent="0.4">
      <c r="A998">
        <v>996</v>
      </c>
      <c r="B998">
        <v>0.11949685534591099</v>
      </c>
      <c r="C998">
        <v>0.11184210526315699</v>
      </c>
      <c r="D998">
        <v>0.22222222222222199</v>
      </c>
      <c r="E998">
        <v>0.215</v>
      </c>
      <c r="F998">
        <v>0.12</v>
      </c>
      <c r="G998">
        <v>0.105</v>
      </c>
      <c r="H998">
        <v>7.2916666666666602E-2</v>
      </c>
      <c r="I998">
        <v>0.123655913978494</v>
      </c>
      <c r="J998">
        <v>0.13</v>
      </c>
      <c r="K998">
        <v>0.1</v>
      </c>
      <c r="L998">
        <v>8.5000000000000006E-2</v>
      </c>
      <c r="M998">
        <v>6.5000000000000002E-2</v>
      </c>
      <c r="N998">
        <v>0.12</v>
      </c>
      <c r="O998">
        <v>9.5000000000000001E-2</v>
      </c>
      <c r="P998">
        <v>0.14000000000000001</v>
      </c>
      <c r="Q998">
        <v>0.185</v>
      </c>
      <c r="R998">
        <v>9.5000000000000001E-2</v>
      </c>
      <c r="S998">
        <v>0.115</v>
      </c>
      <c r="T998">
        <v>0.23</v>
      </c>
      <c r="U998">
        <v>0.19500000000000001</v>
      </c>
      <c r="V998">
        <v>0.18</v>
      </c>
      <c r="W998">
        <v>0.15</v>
      </c>
      <c r="X998">
        <v>0.14499999999999999</v>
      </c>
      <c r="Y998">
        <v>0.115</v>
      </c>
      <c r="Z998">
        <v>0.28499999999999998</v>
      </c>
      <c r="AA998">
        <v>0.215</v>
      </c>
      <c r="AB998">
        <v>0.23</v>
      </c>
      <c r="AC998">
        <v>0.16</v>
      </c>
      <c r="AD998">
        <v>0.16500000000000001</v>
      </c>
      <c r="AE998">
        <v>0.19500000000000001</v>
      </c>
      <c r="AF998">
        <v>0.34</v>
      </c>
      <c r="AG998">
        <v>0.14499999999999999</v>
      </c>
      <c r="AH998">
        <v>0.24</v>
      </c>
      <c r="AI998">
        <v>0.16</v>
      </c>
      <c r="AJ998">
        <v>0.14000000000000001</v>
      </c>
      <c r="AK998">
        <v>0.13500000000000001</v>
      </c>
      <c r="AL998">
        <v>0.13500000000000001</v>
      </c>
      <c r="AM998">
        <v>0.105</v>
      </c>
      <c r="AN998">
        <v>0.14000000000000001</v>
      </c>
      <c r="AO998">
        <v>0.15</v>
      </c>
      <c r="AP998">
        <v>0.17</v>
      </c>
      <c r="AQ998">
        <v>0.17</v>
      </c>
      <c r="AR998">
        <v>0.16500000000000001</v>
      </c>
      <c r="AS998">
        <v>0.17</v>
      </c>
      <c r="AT998">
        <v>0.19500000000000001</v>
      </c>
      <c r="AU998">
        <v>0.14499999999999999</v>
      </c>
      <c r="AV998">
        <v>0.16500000000000001</v>
      </c>
      <c r="AW998">
        <v>0.15</v>
      </c>
      <c r="AX998">
        <v>0.19</v>
      </c>
      <c r="AY998">
        <v>0.15</v>
      </c>
      <c r="AZ998">
        <v>0.115</v>
      </c>
      <c r="BA998">
        <v>0.13500000000000001</v>
      </c>
      <c r="BB998">
        <v>0.16</v>
      </c>
      <c r="BC998">
        <v>0.17499999999999999</v>
      </c>
      <c r="BD998">
        <v>0.17499999999999999</v>
      </c>
      <c r="BE998">
        <v>0.19</v>
      </c>
      <c r="BF998">
        <v>0.2</v>
      </c>
      <c r="BG998">
        <v>0.19</v>
      </c>
      <c r="BH998">
        <v>0.12</v>
      </c>
      <c r="BI998">
        <v>0.14000000000000001</v>
      </c>
      <c r="BJ998">
        <v>0.13500000000000001</v>
      </c>
      <c r="BK998">
        <v>0.13500000000000001</v>
      </c>
      <c r="BL998">
        <v>0.13</v>
      </c>
      <c r="BM998">
        <v>0.11</v>
      </c>
      <c r="BQ998">
        <f>AVERAGE(AD998:BM998)</f>
        <v>0.16194444444444445</v>
      </c>
    </row>
    <row r="999" spans="1:69" x14ac:dyDescent="0.4">
      <c r="A999">
        <v>997</v>
      </c>
      <c r="B999" s="27">
        <v>20010531</v>
      </c>
      <c r="C999" s="27">
        <v>20010831</v>
      </c>
      <c r="D999" s="27">
        <v>20011130</v>
      </c>
      <c r="E999" s="27">
        <v>20020228</v>
      </c>
      <c r="F999" s="27">
        <v>20020531</v>
      </c>
      <c r="G999" s="27">
        <v>20020830</v>
      </c>
      <c r="H999" s="27">
        <v>20021129</v>
      </c>
      <c r="I999" s="27">
        <v>20030228</v>
      </c>
      <c r="J999" s="27">
        <v>20030530</v>
      </c>
      <c r="K999" s="27">
        <v>20030829</v>
      </c>
      <c r="L999" s="27">
        <v>20031128</v>
      </c>
      <c r="M999" s="27">
        <v>20040227</v>
      </c>
      <c r="N999" s="27">
        <v>20040531</v>
      </c>
      <c r="O999" s="27">
        <v>20040831</v>
      </c>
      <c r="P999" s="27">
        <v>20041130</v>
      </c>
      <c r="Q999" s="27">
        <v>20050228</v>
      </c>
      <c r="R999" s="27">
        <v>20050531</v>
      </c>
      <c r="S999" s="27">
        <v>20050831</v>
      </c>
      <c r="T999" s="27">
        <v>20051130</v>
      </c>
      <c r="U999" s="27">
        <v>20060228</v>
      </c>
      <c r="V999" s="27">
        <v>20060530</v>
      </c>
      <c r="W999" s="27">
        <v>20060831</v>
      </c>
      <c r="X999" s="27">
        <v>20061130</v>
      </c>
      <c r="Y999" s="27">
        <v>20070228</v>
      </c>
      <c r="Z999" s="27">
        <v>20070531</v>
      </c>
      <c r="AA999" s="27">
        <v>20070831</v>
      </c>
      <c r="AB999" s="27">
        <v>20071130</v>
      </c>
      <c r="AC999" s="27">
        <v>20080229</v>
      </c>
      <c r="AD999" s="27">
        <v>20080530</v>
      </c>
      <c r="AE999" s="27">
        <v>20080829</v>
      </c>
      <c r="AF999" s="27">
        <v>20081128</v>
      </c>
      <c r="AG999" s="27">
        <v>20090227</v>
      </c>
      <c r="AH999" s="27">
        <v>20090529</v>
      </c>
      <c r="AI999" s="27">
        <v>20090831</v>
      </c>
      <c r="AJ999" s="27">
        <v>20091130</v>
      </c>
      <c r="AK999" s="27">
        <v>20100226</v>
      </c>
      <c r="AL999" s="27">
        <v>20100531</v>
      </c>
      <c r="AM999" s="27">
        <v>20100831</v>
      </c>
      <c r="AN999" s="27">
        <v>20101130</v>
      </c>
      <c r="AO999" s="27">
        <v>20110228</v>
      </c>
      <c r="AP999" s="27">
        <v>20110531</v>
      </c>
      <c r="AQ999" s="27">
        <v>20110831</v>
      </c>
      <c r="AR999" s="27">
        <v>20111130</v>
      </c>
      <c r="AS999" s="27">
        <v>20120229</v>
      </c>
      <c r="AT999" s="27">
        <v>20120531</v>
      </c>
      <c r="AU999" s="27">
        <v>20120831</v>
      </c>
      <c r="AV999" s="27">
        <v>20121130</v>
      </c>
      <c r="AW999" s="27">
        <v>20130228</v>
      </c>
      <c r="AX999" s="27">
        <v>20130531</v>
      </c>
      <c r="AY999" s="27">
        <v>20130830</v>
      </c>
      <c r="AZ999" s="27">
        <v>20131129</v>
      </c>
      <c r="BA999" s="27">
        <v>20140228</v>
      </c>
      <c r="BB999" s="27">
        <v>20140530</v>
      </c>
      <c r="BC999" s="27">
        <v>20140829</v>
      </c>
      <c r="BD999" s="27">
        <v>20141128</v>
      </c>
      <c r="BE999" s="27">
        <v>20150227</v>
      </c>
      <c r="BF999" s="27">
        <v>20150529</v>
      </c>
      <c r="BG999" s="27">
        <v>20150831</v>
      </c>
      <c r="BH999" s="27">
        <v>20151130</v>
      </c>
      <c r="BI999" s="27">
        <v>20160229</v>
      </c>
      <c r="BJ999" s="27">
        <v>20160531</v>
      </c>
      <c r="BK999" s="27">
        <v>20160831</v>
      </c>
      <c r="BL999" s="27">
        <v>20161130</v>
      </c>
      <c r="BM999" s="27">
        <v>20170228</v>
      </c>
      <c r="BN999" s="27">
        <v>20170531</v>
      </c>
      <c r="BP999" s="27"/>
      <c r="BQ999" s="27"/>
    </row>
    <row r="1000" spans="1:69" x14ac:dyDescent="0.4">
      <c r="A1000">
        <v>998</v>
      </c>
      <c r="B1000" t="b">
        <v>1</v>
      </c>
      <c r="C1000" t="b">
        <v>0</v>
      </c>
      <c r="D1000" t="b">
        <v>0</v>
      </c>
      <c r="E1000" t="b">
        <v>0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0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  <c r="BQ1000" t="s">
        <v>675</v>
      </c>
    </row>
    <row r="1001" spans="1:69" x14ac:dyDescent="0.4">
      <c r="A1001">
        <v>999</v>
      </c>
      <c r="B1001">
        <f>IF(B1000=TRUE,1,0)</f>
        <v>1</v>
      </c>
      <c r="C1001">
        <f t="shared" ref="C1001:BN1001" si="0">IF(C1000=TRUE,1,0)</f>
        <v>0</v>
      </c>
      <c r="D1001">
        <f t="shared" si="0"/>
        <v>0</v>
      </c>
      <c r="E1001">
        <f t="shared" si="0"/>
        <v>0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0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19</v>
      </c>
      <c r="BP1001">
        <v>37</v>
      </c>
      <c r="BQ1001">
        <f>BO1001/BP1001</f>
        <v>0.51351351351351349</v>
      </c>
    </row>
    <row r="1002" spans="1:69" x14ac:dyDescent="0.4">
      <c r="B1002" s="28">
        <v>20010228</v>
      </c>
      <c r="C1002" s="28">
        <v>20010531</v>
      </c>
      <c r="D1002" s="28">
        <v>20010831</v>
      </c>
      <c r="E1002" s="28">
        <v>20011130</v>
      </c>
      <c r="F1002" s="28">
        <v>20020228</v>
      </c>
      <c r="G1002" s="28">
        <v>20020531</v>
      </c>
      <c r="H1002" s="28">
        <v>20020830</v>
      </c>
      <c r="I1002" s="28">
        <v>20021129</v>
      </c>
      <c r="J1002" s="28">
        <v>20030228</v>
      </c>
      <c r="K1002" s="28">
        <v>20030530</v>
      </c>
      <c r="L1002" s="28">
        <v>20030829</v>
      </c>
      <c r="M1002" s="28">
        <v>20031128</v>
      </c>
      <c r="N1002" s="28">
        <v>20040227</v>
      </c>
      <c r="O1002" s="28">
        <v>20040531</v>
      </c>
      <c r="P1002" s="28">
        <v>20040831</v>
      </c>
      <c r="Q1002" s="28">
        <v>20041130</v>
      </c>
      <c r="R1002" s="28">
        <v>20050228</v>
      </c>
      <c r="S1002" s="28">
        <v>20050531</v>
      </c>
      <c r="T1002" s="28">
        <v>20050831</v>
      </c>
      <c r="U1002" s="28">
        <v>20051130</v>
      </c>
      <c r="V1002" s="28">
        <v>20060228</v>
      </c>
      <c r="W1002" s="28">
        <v>20060530</v>
      </c>
      <c r="X1002" s="28">
        <v>20060831</v>
      </c>
      <c r="Y1002" s="28">
        <v>20061130</v>
      </c>
      <c r="Z1002" s="28">
        <v>20070228</v>
      </c>
      <c r="AA1002" s="28">
        <v>20070531</v>
      </c>
      <c r="AB1002" s="28">
        <v>20070831</v>
      </c>
      <c r="AC1002" s="28">
        <v>20071130</v>
      </c>
      <c r="AD1002" s="28">
        <v>20080229</v>
      </c>
      <c r="AE1002" s="28">
        <v>20080530</v>
      </c>
      <c r="AF1002" s="28">
        <v>20080829</v>
      </c>
      <c r="AG1002" s="28">
        <v>20081128</v>
      </c>
      <c r="AH1002" s="28">
        <v>20090227</v>
      </c>
      <c r="AI1002" s="28">
        <v>20090529</v>
      </c>
      <c r="AJ1002" s="28">
        <v>20090831</v>
      </c>
      <c r="AK1002" s="28">
        <v>20091130</v>
      </c>
      <c r="AL1002" s="28">
        <v>20100226</v>
      </c>
      <c r="AM1002" s="28">
        <v>20100531</v>
      </c>
      <c r="AN1002" s="28">
        <v>20100831</v>
      </c>
      <c r="AO1002" s="28">
        <v>20101130</v>
      </c>
      <c r="AP1002" s="28">
        <v>20110228</v>
      </c>
      <c r="AQ1002" s="28">
        <v>20110531</v>
      </c>
      <c r="AR1002" s="28">
        <v>20110831</v>
      </c>
      <c r="AS1002" s="28">
        <v>20111130</v>
      </c>
      <c r="AT1002" s="28">
        <v>20120229</v>
      </c>
      <c r="AU1002" s="28">
        <v>20120531</v>
      </c>
      <c r="AV1002" s="28">
        <v>20120831</v>
      </c>
      <c r="AW1002" s="28">
        <v>20121130</v>
      </c>
      <c r="AX1002" s="28">
        <v>20130228</v>
      </c>
      <c r="AY1002" s="28">
        <v>20130531</v>
      </c>
      <c r="AZ1002" s="28">
        <v>20130830</v>
      </c>
      <c r="BA1002" s="28">
        <v>20131129</v>
      </c>
      <c r="BB1002" s="28">
        <v>20140228</v>
      </c>
      <c r="BC1002" s="28">
        <v>20140530</v>
      </c>
      <c r="BD1002" s="28">
        <v>20140829</v>
      </c>
      <c r="BE1002" s="28">
        <v>20141128</v>
      </c>
      <c r="BF1002" s="28">
        <v>20150227</v>
      </c>
      <c r="BG1002" s="28">
        <v>20150529</v>
      </c>
      <c r="BH1002" s="28">
        <v>20150831</v>
      </c>
      <c r="BI1002" s="28">
        <v>20151130</v>
      </c>
      <c r="BJ1002" s="28">
        <v>20160229</v>
      </c>
      <c r="BK1002" s="28">
        <v>20160531</v>
      </c>
      <c r="BL1002" s="28">
        <v>20160831</v>
      </c>
      <c r="BM1002" s="28">
        <v>20161130</v>
      </c>
      <c r="BN1002" s="28">
        <v>20170228</v>
      </c>
    </row>
    <row r="1003" spans="1:69" x14ac:dyDescent="0.4">
      <c r="A1003" t="s">
        <v>665</v>
      </c>
      <c r="B1003" s="15">
        <v>0.27891156462584998</v>
      </c>
      <c r="C1003" s="15">
        <v>0.27044025157232698</v>
      </c>
      <c r="D1003" s="15">
        <v>0.27631578947368401</v>
      </c>
      <c r="E1003" s="15">
        <v>0.227513227513227</v>
      </c>
      <c r="F1003" s="15">
        <v>0.19500000000000001</v>
      </c>
      <c r="G1003" s="15">
        <v>0.19</v>
      </c>
      <c r="H1003" s="15">
        <v>0.215</v>
      </c>
      <c r="I1003" s="15">
        <v>0.1875</v>
      </c>
      <c r="J1003" s="15">
        <v>0.18817204301075199</v>
      </c>
      <c r="K1003" s="15">
        <v>0.215</v>
      </c>
      <c r="L1003" s="15">
        <v>0.17499999999999999</v>
      </c>
      <c r="M1003" s="15">
        <v>0.17</v>
      </c>
      <c r="N1003" s="15">
        <v>0.16500000000000001</v>
      </c>
      <c r="O1003" s="15">
        <v>0.18</v>
      </c>
      <c r="P1003" s="15">
        <v>0.18</v>
      </c>
      <c r="Q1003" s="15">
        <v>0.16</v>
      </c>
      <c r="R1003" s="15">
        <v>0.115</v>
      </c>
      <c r="S1003" s="15">
        <v>0.12</v>
      </c>
      <c r="T1003" s="15">
        <v>0.115</v>
      </c>
      <c r="U1003" s="15">
        <v>0.105</v>
      </c>
      <c r="V1003" s="15">
        <v>0.12</v>
      </c>
      <c r="W1003" s="15">
        <v>0.125</v>
      </c>
      <c r="X1003" s="15">
        <v>0.115</v>
      </c>
      <c r="Y1003" s="15">
        <v>0.1</v>
      </c>
      <c r="Z1003" s="15">
        <v>0.105</v>
      </c>
      <c r="AA1003" s="15">
        <v>0.1</v>
      </c>
      <c r="AB1003" s="15">
        <v>0.125</v>
      </c>
      <c r="AC1003" s="15">
        <v>0.115</v>
      </c>
      <c r="AD1003" s="15">
        <v>0.11</v>
      </c>
      <c r="AE1003" s="15">
        <v>0.09</v>
      </c>
      <c r="AF1003" s="15">
        <v>0.105</v>
      </c>
      <c r="AG1003" s="15">
        <v>0.09</v>
      </c>
      <c r="AH1003" s="15">
        <v>7.0000000000000007E-2</v>
      </c>
      <c r="AI1003" s="15">
        <v>7.4999999999999997E-2</v>
      </c>
      <c r="AJ1003" s="15">
        <v>7.4999999999999997E-2</v>
      </c>
      <c r="AK1003" s="15">
        <v>0.08</v>
      </c>
      <c r="AL1003" s="15">
        <v>7.0000000000000007E-2</v>
      </c>
      <c r="AM1003" s="15">
        <v>6.5000000000000002E-2</v>
      </c>
      <c r="AN1003" s="15">
        <v>7.0000000000000007E-2</v>
      </c>
      <c r="AO1003" s="15">
        <v>0.08</v>
      </c>
      <c r="AP1003" s="15">
        <v>7.0000000000000007E-2</v>
      </c>
      <c r="AQ1003" s="15">
        <v>0.1</v>
      </c>
      <c r="AR1003" s="15">
        <v>0.09</v>
      </c>
      <c r="AS1003" s="15">
        <v>0.09</v>
      </c>
      <c r="AT1003" s="15">
        <v>0.08</v>
      </c>
      <c r="AU1003" s="15">
        <v>7.4999999999999997E-2</v>
      </c>
      <c r="AV1003" s="15">
        <v>6.5000000000000002E-2</v>
      </c>
      <c r="AW1003" s="15">
        <v>6.5000000000000002E-2</v>
      </c>
      <c r="AX1003" s="15">
        <v>0.06</v>
      </c>
      <c r="AY1003" s="15">
        <v>5.5E-2</v>
      </c>
      <c r="AZ1003" s="15">
        <v>5.5E-2</v>
      </c>
      <c r="BA1003" s="15">
        <v>7.0000000000000007E-2</v>
      </c>
      <c r="BB1003" s="15">
        <v>7.0000000000000007E-2</v>
      </c>
      <c r="BC1003" s="15">
        <v>0.11</v>
      </c>
      <c r="BD1003" s="15">
        <v>0.1</v>
      </c>
      <c r="BE1003" s="15">
        <v>0.08</v>
      </c>
      <c r="BF1003" s="15">
        <v>4.4999999999999998E-2</v>
      </c>
      <c r="BG1003" s="15">
        <v>9.5000000000000001E-2</v>
      </c>
      <c r="BH1003" s="15">
        <v>0.1</v>
      </c>
      <c r="BI1003" s="15">
        <v>0.09</v>
      </c>
      <c r="BJ1003" s="15">
        <v>7.0000000000000007E-2</v>
      </c>
      <c r="BK1003" s="15">
        <v>0.08</v>
      </c>
      <c r="BL1003" s="15">
        <v>7.0000000000000007E-2</v>
      </c>
      <c r="BM1003" s="15">
        <v>8.5000000000000006E-2</v>
      </c>
      <c r="BN1003" s="15">
        <v>6.5000000000000002E-2</v>
      </c>
    </row>
    <row r="1004" spans="1:69" x14ac:dyDescent="0.4">
      <c r="A1004" t="s">
        <v>666</v>
      </c>
      <c r="B1004" s="15">
        <v>2.7210884353741398E-2</v>
      </c>
      <c r="C1004" s="15">
        <v>3.7735849056603703E-2</v>
      </c>
      <c r="D1004" s="15">
        <v>3.94736842105263E-2</v>
      </c>
      <c r="E1004" s="15">
        <v>3.1746031746031703E-2</v>
      </c>
      <c r="F1004" s="15">
        <v>0.03</v>
      </c>
      <c r="G1004" s="15">
        <v>3.5000000000000003E-2</v>
      </c>
      <c r="H1004" s="15">
        <v>0.03</v>
      </c>
      <c r="I1004" s="15">
        <v>2.6041666666666598E-2</v>
      </c>
      <c r="J1004" s="15">
        <v>2.1505376344085999E-2</v>
      </c>
      <c r="K1004" s="15">
        <v>2.5000000000000001E-2</v>
      </c>
      <c r="L1004" s="15">
        <v>2.5000000000000001E-2</v>
      </c>
      <c r="M1004" s="15">
        <v>0.03</v>
      </c>
      <c r="N1004" s="15">
        <v>3.5000000000000003E-2</v>
      </c>
      <c r="O1004" s="15">
        <v>0.04</v>
      </c>
      <c r="P1004" s="15">
        <v>0.03</v>
      </c>
      <c r="Q1004" s="15">
        <v>0.04</v>
      </c>
      <c r="R1004" s="15">
        <v>0.03</v>
      </c>
      <c r="S1004" s="15">
        <v>2.5000000000000001E-2</v>
      </c>
      <c r="T1004" s="15">
        <v>1.4999999999999999E-2</v>
      </c>
      <c r="U1004" s="15">
        <v>4.4999999999999998E-2</v>
      </c>
      <c r="V1004" s="15">
        <v>4.4999999999999998E-2</v>
      </c>
      <c r="W1004" s="15">
        <v>0.03</v>
      </c>
      <c r="X1004" s="15">
        <v>0.03</v>
      </c>
      <c r="Y1004" s="15">
        <v>3.5000000000000003E-2</v>
      </c>
      <c r="Z1004" s="15">
        <v>0.04</v>
      </c>
      <c r="AA1004" s="15">
        <v>3.5000000000000003E-2</v>
      </c>
      <c r="AB1004" s="15">
        <v>3.5000000000000003E-2</v>
      </c>
      <c r="AC1004" s="15">
        <v>0.04</v>
      </c>
      <c r="AD1004" s="15">
        <v>3.5000000000000003E-2</v>
      </c>
      <c r="AE1004" s="15">
        <v>4.4999999999999998E-2</v>
      </c>
      <c r="AF1004" s="15">
        <v>3.5000000000000003E-2</v>
      </c>
      <c r="AG1004" s="15">
        <v>0.05</v>
      </c>
      <c r="AH1004" s="15">
        <v>3.5000000000000003E-2</v>
      </c>
      <c r="AI1004" s="15">
        <v>3.5000000000000003E-2</v>
      </c>
      <c r="AJ1004" s="15">
        <v>0.04</v>
      </c>
      <c r="AK1004" s="15">
        <v>4.4999999999999998E-2</v>
      </c>
      <c r="AL1004" s="15">
        <v>0.06</v>
      </c>
      <c r="AM1004" s="15">
        <v>0.05</v>
      </c>
      <c r="AN1004" s="15">
        <v>4.4999999999999998E-2</v>
      </c>
      <c r="AO1004" s="15">
        <v>4.4999999999999998E-2</v>
      </c>
      <c r="AP1004" s="15">
        <v>0.05</v>
      </c>
      <c r="AQ1004" s="15">
        <v>6.5000000000000002E-2</v>
      </c>
      <c r="AR1004" s="15">
        <v>4.4999999999999998E-2</v>
      </c>
      <c r="AS1004" s="15">
        <v>5.5E-2</v>
      </c>
      <c r="AT1004" s="15">
        <v>6.5000000000000002E-2</v>
      </c>
      <c r="AU1004" s="15">
        <v>6.5000000000000002E-2</v>
      </c>
      <c r="AV1004" s="15">
        <v>0.05</v>
      </c>
      <c r="AW1004" s="15">
        <v>0.02</v>
      </c>
      <c r="AX1004" s="15">
        <v>0.03</v>
      </c>
      <c r="AY1004" s="15">
        <v>0.02</v>
      </c>
      <c r="AZ1004" s="15">
        <v>0.02</v>
      </c>
      <c r="BA1004" s="15">
        <v>0.02</v>
      </c>
      <c r="BB1004" s="15">
        <v>1.4999999999999999E-2</v>
      </c>
      <c r="BC1004" s="15">
        <v>0.01</v>
      </c>
      <c r="BD1004" s="15">
        <v>1.4999999999999999E-2</v>
      </c>
      <c r="BE1004" s="15">
        <v>0.02</v>
      </c>
      <c r="BF1004" s="15">
        <v>5.0000000000000001E-3</v>
      </c>
      <c r="BG1004" s="15">
        <v>5.0000000000000001E-3</v>
      </c>
      <c r="BH1004" s="15">
        <v>0</v>
      </c>
      <c r="BI1004" s="15">
        <v>0</v>
      </c>
      <c r="BJ1004" s="15">
        <v>0</v>
      </c>
      <c r="BK1004" s="15">
        <v>0</v>
      </c>
      <c r="BL1004" s="15">
        <v>0</v>
      </c>
      <c r="BM1004" s="15">
        <v>0</v>
      </c>
      <c r="BN1004" s="15">
        <v>0</v>
      </c>
    </row>
    <row r="1005" spans="1:69" x14ac:dyDescent="0.4">
      <c r="A1005" t="s">
        <v>667</v>
      </c>
      <c r="B1005" s="15">
        <v>0.115646258503401</v>
      </c>
      <c r="C1005" s="15">
        <v>0.13207547169811301</v>
      </c>
      <c r="D1005" s="15">
        <v>0.13815789473684201</v>
      </c>
      <c r="E1005" s="15">
        <v>0.12698412698412601</v>
      </c>
      <c r="F1005" s="15">
        <v>0.115</v>
      </c>
      <c r="G1005" s="15">
        <v>0.14499999999999999</v>
      </c>
      <c r="H1005" s="15">
        <v>0.13500000000000001</v>
      </c>
      <c r="I1005" s="15">
        <v>0.15104166666666599</v>
      </c>
      <c r="J1005" s="15">
        <v>0.15053763440860199</v>
      </c>
      <c r="K1005" s="15">
        <v>0.14000000000000001</v>
      </c>
      <c r="L1005" s="15">
        <v>0.14000000000000001</v>
      </c>
      <c r="M1005" s="15">
        <v>0.13500000000000001</v>
      </c>
      <c r="N1005" s="15">
        <v>0.14000000000000001</v>
      </c>
      <c r="O1005" s="15">
        <v>0.16500000000000001</v>
      </c>
      <c r="P1005" s="15">
        <v>0.115</v>
      </c>
      <c r="Q1005" s="15">
        <v>0.12</v>
      </c>
      <c r="R1005" s="15">
        <v>0.105</v>
      </c>
      <c r="S1005" s="15">
        <v>0.12</v>
      </c>
      <c r="T1005" s="15">
        <v>0.14000000000000001</v>
      </c>
      <c r="U1005" s="15">
        <v>0.14000000000000001</v>
      </c>
      <c r="V1005" s="15">
        <v>0.16500000000000001</v>
      </c>
      <c r="W1005" s="15">
        <v>0.14499999999999999</v>
      </c>
      <c r="X1005" s="15">
        <v>0.155</v>
      </c>
      <c r="Y1005" s="15">
        <v>0.15</v>
      </c>
      <c r="Z1005" s="15">
        <v>0.15</v>
      </c>
      <c r="AA1005" s="15">
        <v>0.18</v>
      </c>
      <c r="AB1005" s="15">
        <v>0.20499999999999999</v>
      </c>
      <c r="AC1005" s="15">
        <v>0.185</v>
      </c>
      <c r="AD1005" s="15">
        <v>0.19500000000000001</v>
      </c>
      <c r="AE1005" s="15">
        <v>0.17</v>
      </c>
      <c r="AF1005" s="15">
        <v>0.155</v>
      </c>
      <c r="AG1005" s="15">
        <v>0.18</v>
      </c>
      <c r="AH1005" s="15">
        <v>0.16500000000000001</v>
      </c>
      <c r="AI1005" s="15">
        <v>0.14000000000000001</v>
      </c>
      <c r="AJ1005" s="15">
        <v>0.17</v>
      </c>
      <c r="AK1005" s="15">
        <v>0.14499999999999999</v>
      </c>
      <c r="AL1005" s="15">
        <v>0.17</v>
      </c>
      <c r="AM1005" s="15">
        <v>0.14499999999999999</v>
      </c>
      <c r="AN1005" s="15">
        <v>0.155</v>
      </c>
      <c r="AO1005" s="15">
        <v>0.14499999999999999</v>
      </c>
      <c r="AP1005" s="15">
        <v>0.13</v>
      </c>
      <c r="AQ1005" s="15">
        <v>0.115</v>
      </c>
      <c r="AR1005" s="15">
        <v>0.12</v>
      </c>
      <c r="AS1005" s="15">
        <v>0.105</v>
      </c>
      <c r="AT1005" s="15">
        <v>9.5000000000000001E-2</v>
      </c>
      <c r="AU1005" s="15">
        <v>0.12</v>
      </c>
      <c r="AV1005" s="15">
        <v>0.12</v>
      </c>
      <c r="AW1005" s="15">
        <v>0.11</v>
      </c>
      <c r="AX1005" s="15">
        <v>0.09</v>
      </c>
      <c r="AY1005" s="15">
        <v>0.12</v>
      </c>
      <c r="AZ1005" s="15">
        <v>0.105</v>
      </c>
      <c r="BA1005" s="15">
        <v>0.12</v>
      </c>
      <c r="BB1005" s="15">
        <v>0.125</v>
      </c>
      <c r="BC1005" s="15">
        <v>0.12</v>
      </c>
      <c r="BD1005" s="15">
        <v>0.13500000000000001</v>
      </c>
      <c r="BE1005" s="15">
        <v>0.14000000000000001</v>
      </c>
      <c r="BF1005" s="15">
        <v>0.19500000000000001</v>
      </c>
      <c r="BG1005" s="15">
        <v>0.16500000000000001</v>
      </c>
      <c r="BH1005" s="15">
        <v>0.17499999999999999</v>
      </c>
      <c r="BI1005" s="15">
        <v>0.19</v>
      </c>
      <c r="BJ1005" s="15">
        <v>0.2</v>
      </c>
      <c r="BK1005" s="15">
        <v>0.20499999999999999</v>
      </c>
      <c r="BL1005" s="15">
        <v>0.19500000000000001</v>
      </c>
      <c r="BM1005" s="15">
        <v>0.19</v>
      </c>
      <c r="BN1005" s="15">
        <v>0.23</v>
      </c>
    </row>
    <row r="1006" spans="1:69" x14ac:dyDescent="0.4">
      <c r="A1006" t="s">
        <v>668</v>
      </c>
      <c r="B1006" s="15">
        <v>2.7210884353741398E-2</v>
      </c>
      <c r="C1006" s="15">
        <v>2.51572327044025E-2</v>
      </c>
      <c r="D1006" s="15">
        <v>3.2894736842105199E-2</v>
      </c>
      <c r="E1006" s="15">
        <v>0.148148148148148</v>
      </c>
      <c r="F1006" s="15">
        <v>0.16500000000000001</v>
      </c>
      <c r="G1006" s="15">
        <v>0.17499999999999999</v>
      </c>
      <c r="H1006" s="15">
        <v>0.17499999999999999</v>
      </c>
      <c r="I1006" s="15">
        <v>0.16666666666666599</v>
      </c>
      <c r="J1006" s="15">
        <v>0.18817204301075199</v>
      </c>
      <c r="K1006" s="15">
        <v>0.17</v>
      </c>
      <c r="L1006" s="15">
        <v>0.18</v>
      </c>
      <c r="M1006" s="15">
        <v>0.17499999999999999</v>
      </c>
      <c r="N1006" s="15">
        <v>0.16500000000000001</v>
      </c>
      <c r="O1006" s="15">
        <v>0.13500000000000001</v>
      </c>
      <c r="P1006" s="15">
        <v>0.14499999999999999</v>
      </c>
      <c r="Q1006" s="15">
        <v>0.13500000000000001</v>
      </c>
      <c r="R1006" s="15">
        <v>0.16500000000000001</v>
      </c>
      <c r="S1006" s="15">
        <v>0.155</v>
      </c>
      <c r="T1006" s="15">
        <v>0.13</v>
      </c>
      <c r="U1006" s="15">
        <v>0.105</v>
      </c>
      <c r="V1006" s="15">
        <v>0.125</v>
      </c>
      <c r="W1006" s="15">
        <v>0.14499999999999999</v>
      </c>
      <c r="X1006" s="15">
        <v>0.12</v>
      </c>
      <c r="Y1006" s="15">
        <v>0.105</v>
      </c>
      <c r="Z1006" s="15">
        <v>0.11</v>
      </c>
      <c r="AA1006" s="15">
        <v>0.11</v>
      </c>
      <c r="AB1006" s="15">
        <v>7.4999999999999997E-2</v>
      </c>
      <c r="AC1006" s="15">
        <v>0.11</v>
      </c>
      <c r="AD1006" s="15">
        <v>0.12</v>
      </c>
      <c r="AE1006" s="15">
        <v>0.125</v>
      </c>
      <c r="AF1006" s="15">
        <v>0.14000000000000001</v>
      </c>
      <c r="AG1006" s="15">
        <v>0.15</v>
      </c>
      <c r="AH1006" s="15">
        <v>0.15</v>
      </c>
      <c r="AI1006" s="15">
        <v>0.14499999999999999</v>
      </c>
      <c r="AJ1006" s="15">
        <v>0.11</v>
      </c>
      <c r="AK1006" s="15">
        <v>0.12</v>
      </c>
      <c r="AL1006" s="15">
        <v>0.13500000000000001</v>
      </c>
      <c r="AM1006" s="15">
        <v>0.14000000000000001</v>
      </c>
      <c r="AN1006" s="15">
        <v>0.14499999999999999</v>
      </c>
      <c r="AO1006" s="15">
        <v>0.14499999999999999</v>
      </c>
      <c r="AP1006" s="15">
        <v>0.14000000000000001</v>
      </c>
      <c r="AQ1006" s="15">
        <v>0.14000000000000001</v>
      </c>
      <c r="AR1006" s="15">
        <v>0.13500000000000001</v>
      </c>
      <c r="AS1006" s="15">
        <v>0.14499999999999999</v>
      </c>
      <c r="AT1006" s="15">
        <v>0.13500000000000001</v>
      </c>
      <c r="AU1006" s="15">
        <v>0.15</v>
      </c>
      <c r="AV1006" s="15">
        <v>0.14499999999999999</v>
      </c>
      <c r="AW1006" s="15">
        <v>0.16</v>
      </c>
      <c r="AX1006" s="15">
        <v>0.15</v>
      </c>
      <c r="AY1006" s="15">
        <v>0.14499999999999999</v>
      </c>
      <c r="AZ1006" s="15">
        <v>0.17</v>
      </c>
      <c r="BA1006" s="15">
        <v>0.155</v>
      </c>
      <c r="BB1006" s="15">
        <v>0.16</v>
      </c>
      <c r="BC1006" s="15">
        <v>0.16500000000000001</v>
      </c>
      <c r="BD1006" s="15">
        <v>0.12</v>
      </c>
      <c r="BE1006" s="15">
        <v>0.12</v>
      </c>
      <c r="BF1006" s="15">
        <v>0.14499999999999999</v>
      </c>
      <c r="BG1006" s="15">
        <v>0.155</v>
      </c>
      <c r="BH1006" s="15">
        <v>0.14499999999999999</v>
      </c>
      <c r="BI1006" s="15">
        <v>0.155</v>
      </c>
      <c r="BJ1006" s="15">
        <v>0.155</v>
      </c>
      <c r="BK1006" s="15">
        <v>0.16</v>
      </c>
      <c r="BL1006" s="15">
        <v>0.17</v>
      </c>
      <c r="BM1006" s="15">
        <v>0.17</v>
      </c>
      <c r="BN1006" s="15">
        <v>0.155</v>
      </c>
    </row>
    <row r="1007" spans="1:69" x14ac:dyDescent="0.4">
      <c r="A1007" t="s">
        <v>669</v>
      </c>
      <c r="B1007" s="15">
        <v>0.20408163265306101</v>
      </c>
      <c r="C1007" s="15">
        <v>0.19496855345911901</v>
      </c>
      <c r="D1007" s="15">
        <v>0.18421052631578899</v>
      </c>
      <c r="E1007" s="15">
        <v>0.169312169312169</v>
      </c>
      <c r="F1007" s="15">
        <v>0.17</v>
      </c>
      <c r="G1007" s="15">
        <v>0.155</v>
      </c>
      <c r="H1007" s="15">
        <v>0.15</v>
      </c>
      <c r="I1007" s="15">
        <v>0.15625</v>
      </c>
      <c r="J1007" s="15">
        <v>0.16666666666666599</v>
      </c>
      <c r="K1007" s="15">
        <v>0.17</v>
      </c>
      <c r="L1007" s="15">
        <v>0.185</v>
      </c>
      <c r="M1007" s="15">
        <v>0.19500000000000001</v>
      </c>
      <c r="N1007" s="15">
        <v>0.19500000000000001</v>
      </c>
      <c r="O1007" s="15">
        <v>0.20499999999999999</v>
      </c>
      <c r="P1007" s="15">
        <v>0.215</v>
      </c>
      <c r="Q1007" s="15">
        <v>0.22500000000000001</v>
      </c>
      <c r="R1007" s="15">
        <v>0.23499999999999999</v>
      </c>
      <c r="S1007" s="15">
        <v>0.23</v>
      </c>
      <c r="T1007" s="15">
        <v>0.23499999999999999</v>
      </c>
      <c r="U1007" s="15">
        <v>0.22500000000000001</v>
      </c>
      <c r="V1007" s="15">
        <v>0.215</v>
      </c>
      <c r="W1007" s="15">
        <v>0.215</v>
      </c>
      <c r="X1007" s="15">
        <v>0.22</v>
      </c>
      <c r="Y1007" s="15">
        <v>0.23499999999999999</v>
      </c>
      <c r="Z1007" s="15">
        <v>0.23499999999999999</v>
      </c>
      <c r="AA1007" s="15">
        <v>0.23</v>
      </c>
      <c r="AB1007" s="15">
        <v>0.22500000000000001</v>
      </c>
      <c r="AC1007" s="15">
        <v>0.23</v>
      </c>
      <c r="AD1007" s="15">
        <v>0.22500000000000001</v>
      </c>
      <c r="AE1007" s="15">
        <v>0.26</v>
      </c>
      <c r="AF1007" s="15">
        <v>0.24</v>
      </c>
      <c r="AG1007" s="15">
        <v>0.2</v>
      </c>
      <c r="AH1007" s="15">
        <v>0.23</v>
      </c>
      <c r="AI1007" s="15">
        <v>0.23</v>
      </c>
      <c r="AJ1007" s="15">
        <v>0.255</v>
      </c>
      <c r="AK1007" s="15">
        <v>0.255</v>
      </c>
      <c r="AL1007" s="15">
        <v>0.215</v>
      </c>
      <c r="AM1007" s="15">
        <v>0.23499999999999999</v>
      </c>
      <c r="AN1007" s="15">
        <v>0.255</v>
      </c>
      <c r="AO1007" s="15">
        <v>0.24</v>
      </c>
      <c r="AP1007" s="15">
        <v>0.23499999999999999</v>
      </c>
      <c r="AQ1007" s="15">
        <v>0.22</v>
      </c>
      <c r="AR1007" s="15">
        <v>0.24</v>
      </c>
      <c r="AS1007" s="15">
        <v>0.255</v>
      </c>
      <c r="AT1007" s="15">
        <v>0.23</v>
      </c>
      <c r="AU1007" s="15">
        <v>0.23</v>
      </c>
      <c r="AV1007" s="15">
        <v>0.255</v>
      </c>
      <c r="AW1007" s="15">
        <v>0.255</v>
      </c>
      <c r="AX1007" s="15">
        <v>0.26500000000000001</v>
      </c>
      <c r="AY1007" s="15">
        <v>0.26500000000000001</v>
      </c>
      <c r="AZ1007" s="15">
        <v>0.25</v>
      </c>
      <c r="BA1007" s="15">
        <v>0.23499999999999999</v>
      </c>
      <c r="BB1007" s="15">
        <v>0.23499999999999999</v>
      </c>
      <c r="BC1007" s="15">
        <v>0.23499999999999999</v>
      </c>
      <c r="BD1007" s="15">
        <v>0.25</v>
      </c>
      <c r="BE1007" s="15">
        <v>0.255</v>
      </c>
      <c r="BF1007" s="15">
        <v>0.23</v>
      </c>
      <c r="BG1007" s="15">
        <v>0.22</v>
      </c>
      <c r="BH1007" s="15">
        <v>0.23499999999999999</v>
      </c>
      <c r="BI1007" s="15">
        <v>0.215</v>
      </c>
      <c r="BJ1007" s="15">
        <v>0.26</v>
      </c>
      <c r="BK1007" s="15">
        <v>0.23</v>
      </c>
      <c r="BL1007" s="15">
        <v>0.23499999999999999</v>
      </c>
      <c r="BM1007" s="15">
        <v>0.23499999999999999</v>
      </c>
      <c r="BN1007" s="15">
        <v>0.22</v>
      </c>
    </row>
    <row r="1008" spans="1:69" x14ac:dyDescent="0.4">
      <c r="A1008" t="s">
        <v>670</v>
      </c>
      <c r="B1008" s="15">
        <v>0.156462585034013</v>
      </c>
      <c r="C1008" s="15">
        <v>0.15723270440251499</v>
      </c>
      <c r="D1008" s="15">
        <v>0.13815789473684201</v>
      </c>
      <c r="E1008" s="15">
        <v>0.12698412698412601</v>
      </c>
      <c r="F1008" s="15">
        <v>0.16</v>
      </c>
      <c r="G1008" s="15">
        <v>0.14000000000000001</v>
      </c>
      <c r="H1008" s="15">
        <v>0.13500000000000001</v>
      </c>
      <c r="I1008" s="15">
        <v>0.13541666666666599</v>
      </c>
      <c r="J1008" s="15">
        <v>0.123655913978494</v>
      </c>
      <c r="K1008" s="15">
        <v>0.125</v>
      </c>
      <c r="L1008" s="15">
        <v>0.14499999999999999</v>
      </c>
      <c r="M1008" s="15">
        <v>0.15</v>
      </c>
      <c r="N1008" s="15">
        <v>0.155</v>
      </c>
      <c r="O1008" s="15">
        <v>0.13</v>
      </c>
      <c r="P1008" s="15">
        <v>0.155</v>
      </c>
      <c r="Q1008" s="15">
        <v>0.17</v>
      </c>
      <c r="R1008" s="15">
        <v>0.21</v>
      </c>
      <c r="S1008" s="15">
        <v>0.21</v>
      </c>
      <c r="T1008" s="15">
        <v>0.21</v>
      </c>
      <c r="U1008" s="15">
        <v>0.23499999999999999</v>
      </c>
      <c r="V1008" s="15">
        <v>0.21</v>
      </c>
      <c r="W1008" s="15">
        <v>0.19500000000000001</v>
      </c>
      <c r="X1008" s="15">
        <v>0.20499999999999999</v>
      </c>
      <c r="Y1008" s="15">
        <v>0.215</v>
      </c>
      <c r="Z1008" s="15">
        <v>0.20499999999999999</v>
      </c>
      <c r="AA1008" s="15">
        <v>0.21</v>
      </c>
      <c r="AB1008" s="15">
        <v>0.19</v>
      </c>
      <c r="AC1008" s="15">
        <v>0.19</v>
      </c>
      <c r="AD1008" s="15">
        <v>0.17499999999999999</v>
      </c>
      <c r="AE1008" s="15">
        <v>0.18</v>
      </c>
      <c r="AF1008" s="15">
        <v>0.19</v>
      </c>
      <c r="AG1008" s="15">
        <v>0.16500000000000001</v>
      </c>
      <c r="AH1008" s="15">
        <v>0.19</v>
      </c>
      <c r="AI1008" s="15">
        <v>0.19500000000000001</v>
      </c>
      <c r="AJ1008" s="15">
        <v>0.185</v>
      </c>
      <c r="AK1008" s="15">
        <v>0.185</v>
      </c>
      <c r="AL1008" s="15">
        <v>0.2</v>
      </c>
      <c r="AM1008" s="15">
        <v>0.2</v>
      </c>
      <c r="AN1008" s="15">
        <v>0.17499999999999999</v>
      </c>
      <c r="AO1008" s="15">
        <v>0.16500000000000001</v>
      </c>
      <c r="AP1008" s="15">
        <v>0.17499999999999999</v>
      </c>
      <c r="AQ1008" s="15">
        <v>0.16</v>
      </c>
      <c r="AR1008" s="15">
        <v>0.18</v>
      </c>
      <c r="AS1008" s="15">
        <v>0.17</v>
      </c>
      <c r="AT1008" s="15">
        <v>0.21</v>
      </c>
      <c r="AU1008" s="15">
        <v>0.19500000000000001</v>
      </c>
      <c r="AV1008" s="15">
        <v>0.21</v>
      </c>
      <c r="AW1008" s="15">
        <v>0.23499999999999999</v>
      </c>
      <c r="AX1008" s="15">
        <v>0.245</v>
      </c>
      <c r="AY1008" s="15">
        <v>0.23499999999999999</v>
      </c>
      <c r="AZ1008" s="15">
        <v>0.23</v>
      </c>
      <c r="BA1008" s="15">
        <v>0.245</v>
      </c>
      <c r="BB1008" s="15">
        <v>0.23499999999999999</v>
      </c>
      <c r="BC1008" s="15">
        <v>0.23</v>
      </c>
      <c r="BD1008" s="15">
        <v>0.23499999999999999</v>
      </c>
      <c r="BE1008" s="15">
        <v>0.24</v>
      </c>
      <c r="BF1008" s="15">
        <v>0.25</v>
      </c>
      <c r="BG1008" s="15">
        <v>0.23</v>
      </c>
      <c r="BH1008" s="15">
        <v>0.22500000000000001</v>
      </c>
      <c r="BI1008" s="15">
        <v>0.22</v>
      </c>
      <c r="BJ1008" s="15">
        <v>0.20499999999999999</v>
      </c>
      <c r="BK1008" s="15">
        <v>0.20499999999999999</v>
      </c>
      <c r="BL1008" s="15">
        <v>0.19500000000000001</v>
      </c>
      <c r="BM1008" s="15">
        <v>0.2</v>
      </c>
      <c r="BN1008" s="15">
        <v>0.2</v>
      </c>
    </row>
    <row r="1009" spans="1:68" x14ac:dyDescent="0.4">
      <c r="A1009" t="s">
        <v>671</v>
      </c>
      <c r="B1009" s="15">
        <v>3.4013605442176797E-2</v>
      </c>
      <c r="C1009" s="15">
        <v>3.1446540880503103E-2</v>
      </c>
      <c r="D1009" s="15">
        <v>2.6315789473684199E-2</v>
      </c>
      <c r="E1009" s="15">
        <v>2.6455026455026402E-2</v>
      </c>
      <c r="F1009" s="15">
        <v>0.02</v>
      </c>
      <c r="G1009" s="15">
        <v>0.02</v>
      </c>
      <c r="H1009" s="15">
        <v>1.4999999999999999E-2</v>
      </c>
      <c r="I1009" s="15">
        <v>2.0833333333333301E-2</v>
      </c>
      <c r="J1009" s="15">
        <v>1.0752688172042999E-2</v>
      </c>
      <c r="K1009" s="15">
        <v>1.4999999999999999E-2</v>
      </c>
      <c r="L1009" s="15">
        <v>0.01</v>
      </c>
      <c r="M1009" s="15">
        <v>0.01</v>
      </c>
      <c r="N1009" s="15">
        <v>5.0000000000000001E-3</v>
      </c>
      <c r="O1009" s="15">
        <v>5.0000000000000001E-3</v>
      </c>
      <c r="P1009" s="15">
        <v>0.01</v>
      </c>
      <c r="Q1009" s="15">
        <v>0.01</v>
      </c>
      <c r="R1009" s="15">
        <v>0.01</v>
      </c>
      <c r="S1009" s="15">
        <v>0.01</v>
      </c>
      <c r="T1009" s="15">
        <v>1.4999999999999999E-2</v>
      </c>
      <c r="U1009" s="15">
        <v>1.4999999999999999E-2</v>
      </c>
      <c r="V1009" s="15">
        <v>1.4999999999999999E-2</v>
      </c>
      <c r="W1009" s="15">
        <v>1.4999999999999999E-2</v>
      </c>
      <c r="X1009" s="15">
        <v>1.4999999999999999E-2</v>
      </c>
      <c r="Y1009" s="15">
        <v>1.4999999999999999E-2</v>
      </c>
      <c r="Z1009" s="15">
        <v>0.01</v>
      </c>
      <c r="AA1009" s="15">
        <v>0</v>
      </c>
      <c r="AB1009" s="15">
        <v>5.0000000000000001E-3</v>
      </c>
      <c r="AC1009" s="15">
        <v>0</v>
      </c>
      <c r="AD1009" s="15">
        <v>5.0000000000000001E-3</v>
      </c>
      <c r="AE1009" s="15">
        <v>5.0000000000000001E-3</v>
      </c>
      <c r="AF1009" s="15">
        <v>0.02</v>
      </c>
      <c r="AG1009" s="15">
        <v>0.02</v>
      </c>
      <c r="AH1009" s="15">
        <v>0.02</v>
      </c>
      <c r="AI1009" s="15">
        <v>0.02</v>
      </c>
      <c r="AJ1009" s="15">
        <v>0.02</v>
      </c>
      <c r="AK1009" s="15">
        <v>1.4999999999999999E-2</v>
      </c>
      <c r="AL1009" s="15">
        <v>0.02</v>
      </c>
      <c r="AM1009" s="15">
        <v>0.02</v>
      </c>
      <c r="AN1009" s="15">
        <v>0.01</v>
      </c>
      <c r="AO1009" s="15">
        <v>0.02</v>
      </c>
      <c r="AP1009" s="15">
        <v>1.4999999999999999E-2</v>
      </c>
      <c r="AQ1009" s="15">
        <v>1.4999999999999999E-2</v>
      </c>
      <c r="AR1009" s="15">
        <v>0.02</v>
      </c>
      <c r="AS1009" s="15">
        <v>2.5000000000000001E-2</v>
      </c>
      <c r="AT1009" s="15">
        <v>0.02</v>
      </c>
      <c r="AU1009" s="15">
        <v>1.4999999999999999E-2</v>
      </c>
      <c r="AV1009" s="15">
        <v>0.01</v>
      </c>
      <c r="AW1009" s="15">
        <v>0.01</v>
      </c>
      <c r="AX1009" s="15">
        <v>0.01</v>
      </c>
      <c r="AY1009" s="15">
        <v>0.01</v>
      </c>
      <c r="AZ1009" s="15">
        <v>2.5000000000000001E-2</v>
      </c>
      <c r="BA1009" s="15">
        <v>2.5000000000000001E-2</v>
      </c>
      <c r="BB1009" s="15">
        <v>2.5000000000000001E-2</v>
      </c>
      <c r="BC1009" s="15">
        <v>2.5000000000000001E-2</v>
      </c>
      <c r="BD1009" s="15">
        <v>2.5000000000000001E-2</v>
      </c>
      <c r="BE1009" s="15">
        <v>0.02</v>
      </c>
      <c r="BF1009" s="15">
        <v>1.4999999999999999E-2</v>
      </c>
      <c r="BG1009" s="15">
        <v>0.02</v>
      </c>
      <c r="BH1009" s="15">
        <v>1.4999999999999999E-2</v>
      </c>
      <c r="BI1009" s="15">
        <v>1.4999999999999999E-2</v>
      </c>
      <c r="BJ1009" s="15">
        <v>5.0000000000000001E-3</v>
      </c>
      <c r="BK1009" s="15">
        <v>5.0000000000000001E-3</v>
      </c>
      <c r="BL1009" s="15">
        <v>0.01</v>
      </c>
      <c r="BM1009" s="15">
        <v>5.0000000000000001E-3</v>
      </c>
      <c r="BN1009" s="15">
        <v>5.0000000000000001E-3</v>
      </c>
    </row>
    <row r="1010" spans="1:68" x14ac:dyDescent="0.4">
      <c r="A1010" t="s">
        <v>672</v>
      </c>
      <c r="B1010" s="15">
        <v>4.08163265306122E-2</v>
      </c>
      <c r="C1010" s="15">
        <v>3.7735849056603703E-2</v>
      </c>
      <c r="D1010" s="15">
        <v>3.94736842105263E-2</v>
      </c>
      <c r="E1010" s="15">
        <v>4.2328042328042298E-2</v>
      </c>
      <c r="F1010" s="15">
        <v>0.04</v>
      </c>
      <c r="G1010" s="15">
        <v>0.04</v>
      </c>
      <c r="H1010" s="15">
        <v>0.04</v>
      </c>
      <c r="I1010" s="15">
        <v>4.1666666666666602E-2</v>
      </c>
      <c r="J1010" s="15">
        <v>3.7634408602150497E-2</v>
      </c>
      <c r="K1010" s="15">
        <v>3.5000000000000003E-2</v>
      </c>
      <c r="L1010" s="15">
        <v>3.5000000000000003E-2</v>
      </c>
      <c r="M1010" s="15">
        <v>3.5000000000000003E-2</v>
      </c>
      <c r="N1010" s="15">
        <v>3.5000000000000003E-2</v>
      </c>
      <c r="O1010" s="15">
        <v>3.5000000000000003E-2</v>
      </c>
      <c r="P1010" s="15">
        <v>0.04</v>
      </c>
      <c r="Q1010" s="15">
        <v>0.04</v>
      </c>
      <c r="R1010" s="15">
        <v>4.4999999999999998E-2</v>
      </c>
      <c r="S1010" s="15">
        <v>4.4999999999999998E-2</v>
      </c>
      <c r="T1010" s="15">
        <v>4.4999999999999998E-2</v>
      </c>
      <c r="U1010" s="15">
        <v>0.05</v>
      </c>
      <c r="V1010" s="15">
        <v>4.4999999999999998E-2</v>
      </c>
      <c r="W1010" s="15">
        <v>4.4999999999999998E-2</v>
      </c>
      <c r="X1010" s="15">
        <v>0.05</v>
      </c>
      <c r="Y1010" s="15">
        <v>0.05</v>
      </c>
      <c r="Z1010" s="15">
        <v>0.05</v>
      </c>
      <c r="AA1010" s="15">
        <v>0.05</v>
      </c>
      <c r="AB1010" s="15">
        <v>4.4999999999999998E-2</v>
      </c>
      <c r="AC1010" s="15">
        <v>0.05</v>
      </c>
      <c r="AD1010" s="15">
        <v>4.4999999999999998E-2</v>
      </c>
      <c r="AE1010" s="15">
        <v>4.4999999999999998E-2</v>
      </c>
      <c r="AF1010" s="15">
        <v>0.04</v>
      </c>
      <c r="AG1010" s="15">
        <v>0.05</v>
      </c>
      <c r="AH1010" s="15">
        <v>0.05</v>
      </c>
      <c r="AI1010" s="15">
        <v>5.5E-2</v>
      </c>
      <c r="AJ1010" s="15">
        <v>5.5E-2</v>
      </c>
      <c r="AK1010" s="15">
        <v>5.5E-2</v>
      </c>
      <c r="AL1010" s="15">
        <v>5.5E-2</v>
      </c>
      <c r="AM1010" s="15">
        <v>5.5E-2</v>
      </c>
      <c r="AN1010" s="15">
        <v>5.5E-2</v>
      </c>
      <c r="AO1010" s="15">
        <v>5.5E-2</v>
      </c>
      <c r="AP1010" s="15">
        <v>5.5E-2</v>
      </c>
      <c r="AQ1010" s="15">
        <v>0.06</v>
      </c>
      <c r="AR1010" s="15">
        <v>6.5000000000000002E-2</v>
      </c>
      <c r="AS1010" s="15">
        <v>0.06</v>
      </c>
      <c r="AT1010" s="15">
        <v>6.5000000000000002E-2</v>
      </c>
      <c r="AU1010" s="15">
        <v>0.06</v>
      </c>
      <c r="AV1010" s="15">
        <v>5.5E-2</v>
      </c>
      <c r="AW1010" s="15">
        <v>0.06</v>
      </c>
      <c r="AX1010" s="15">
        <v>6.5000000000000002E-2</v>
      </c>
      <c r="AY1010" s="15">
        <v>7.0000000000000007E-2</v>
      </c>
      <c r="AZ1010" s="15">
        <v>6.5000000000000002E-2</v>
      </c>
      <c r="BA1010" s="15">
        <v>0.06</v>
      </c>
      <c r="BB1010" s="15">
        <v>6.5000000000000002E-2</v>
      </c>
      <c r="BC1010" s="15">
        <v>5.5E-2</v>
      </c>
      <c r="BD1010" s="15">
        <v>5.5E-2</v>
      </c>
      <c r="BE1010" s="15">
        <v>0.06</v>
      </c>
      <c r="BF1010" s="15">
        <v>0.05</v>
      </c>
      <c r="BG1010" s="15">
        <v>0.05</v>
      </c>
      <c r="BH1010" s="15">
        <v>0.06</v>
      </c>
      <c r="BI1010" s="15">
        <v>0.06</v>
      </c>
      <c r="BJ1010" s="15">
        <v>0.06</v>
      </c>
      <c r="BK1010" s="15">
        <v>0.06</v>
      </c>
      <c r="BL1010" s="15">
        <v>0.06</v>
      </c>
      <c r="BM1010" s="15">
        <v>0.05</v>
      </c>
      <c r="BN1010" s="15">
        <v>0.06</v>
      </c>
    </row>
    <row r="1011" spans="1:68" x14ac:dyDescent="0.4">
      <c r="A1011" t="s">
        <v>673</v>
      </c>
      <c r="B1011" s="15">
        <v>4.7619047619047603E-2</v>
      </c>
      <c r="C1011" s="15">
        <v>4.40251572327044E-2</v>
      </c>
      <c r="D1011" s="15">
        <v>4.6052631578947303E-2</v>
      </c>
      <c r="E1011" s="15">
        <v>3.7037037037037E-2</v>
      </c>
      <c r="F1011" s="15">
        <v>0.02</v>
      </c>
      <c r="G1011" s="15">
        <v>0.02</v>
      </c>
      <c r="H1011" s="15">
        <v>2.5000000000000001E-2</v>
      </c>
      <c r="I1011" s="15">
        <v>2.6041666666666598E-2</v>
      </c>
      <c r="J1011" s="15">
        <v>2.68817204301075E-2</v>
      </c>
      <c r="K1011" s="15">
        <v>2.5000000000000001E-2</v>
      </c>
      <c r="L1011" s="15">
        <v>0.02</v>
      </c>
      <c r="M1011" s="15">
        <v>0.02</v>
      </c>
      <c r="N1011" s="15">
        <v>0.02</v>
      </c>
      <c r="O1011" s="15">
        <v>0.02</v>
      </c>
      <c r="P1011" s="15">
        <v>0.02</v>
      </c>
      <c r="Q1011" s="15">
        <v>0.02</v>
      </c>
      <c r="R1011" s="15">
        <v>1.4999999999999999E-2</v>
      </c>
      <c r="S1011" s="15">
        <v>1.4999999999999999E-2</v>
      </c>
      <c r="T1011" s="15">
        <v>1.4999999999999999E-2</v>
      </c>
      <c r="U1011" s="15">
        <v>1.4999999999999999E-2</v>
      </c>
      <c r="V1011" s="15">
        <v>0.02</v>
      </c>
      <c r="W1011" s="15">
        <v>1.4999999999999999E-2</v>
      </c>
      <c r="X1011" s="15">
        <v>0.01</v>
      </c>
      <c r="Y1011" s="15">
        <v>5.0000000000000001E-3</v>
      </c>
      <c r="Z1011" s="15">
        <v>1.4999999999999999E-2</v>
      </c>
      <c r="AA1011" s="15">
        <v>5.0000000000000001E-3</v>
      </c>
      <c r="AB1011" s="15">
        <v>0.01</v>
      </c>
      <c r="AC1011" s="15">
        <v>0</v>
      </c>
      <c r="AD1011" s="15">
        <v>0.01</v>
      </c>
      <c r="AE1011" s="15">
        <v>0</v>
      </c>
      <c r="AF1011" s="15">
        <v>0</v>
      </c>
      <c r="AG1011" s="15">
        <v>0.01</v>
      </c>
      <c r="AH1011" s="15">
        <v>5.0000000000000001E-3</v>
      </c>
      <c r="AI1011" s="15">
        <v>1.4999999999999999E-2</v>
      </c>
      <c r="AJ1011" s="15">
        <v>1.4999999999999999E-2</v>
      </c>
      <c r="AK1011" s="15">
        <v>0.01</v>
      </c>
      <c r="AL1011" s="15">
        <v>0</v>
      </c>
      <c r="AM1011" s="15">
        <v>0</v>
      </c>
      <c r="AN1011" s="15">
        <v>5.0000000000000001E-3</v>
      </c>
      <c r="AO1011" s="15">
        <v>5.0000000000000001E-3</v>
      </c>
      <c r="AP1011" s="15">
        <v>0.01</v>
      </c>
      <c r="AQ1011" s="15">
        <v>0.01</v>
      </c>
      <c r="AR1011" s="15">
        <v>0.01</v>
      </c>
      <c r="AS1011" s="15">
        <v>0.01</v>
      </c>
      <c r="AT1011" s="15">
        <v>0.01</v>
      </c>
      <c r="AU1011" s="15">
        <v>1.4999999999999999E-2</v>
      </c>
      <c r="AV1011" s="15">
        <v>0.01</v>
      </c>
      <c r="AW1011" s="15">
        <v>5.0000000000000001E-3</v>
      </c>
      <c r="AX1011" s="15">
        <v>5.0000000000000001E-3</v>
      </c>
      <c r="AY1011" s="15">
        <v>5.0000000000000001E-3</v>
      </c>
      <c r="AZ1011" s="15">
        <v>5.0000000000000001E-3</v>
      </c>
      <c r="BA1011" s="15">
        <v>5.0000000000000001E-3</v>
      </c>
      <c r="BB1011" s="15">
        <v>5.0000000000000001E-3</v>
      </c>
      <c r="BC1011" s="15">
        <v>5.0000000000000001E-3</v>
      </c>
      <c r="BD1011" s="15">
        <v>5.0000000000000001E-3</v>
      </c>
      <c r="BE1011" s="15">
        <v>5.0000000000000001E-3</v>
      </c>
      <c r="BF1011" s="15">
        <v>5.0000000000000001E-3</v>
      </c>
      <c r="BG1011" s="15">
        <v>5.0000000000000001E-3</v>
      </c>
      <c r="BH1011" s="15">
        <v>5.0000000000000001E-3</v>
      </c>
      <c r="BI1011" s="15">
        <v>5.0000000000000001E-3</v>
      </c>
      <c r="BJ1011" s="15">
        <v>5.0000000000000001E-3</v>
      </c>
      <c r="BK1011" s="15">
        <v>5.0000000000000001E-3</v>
      </c>
      <c r="BL1011" s="15">
        <v>5.0000000000000001E-3</v>
      </c>
      <c r="BM1011" s="15">
        <v>5.0000000000000001E-3</v>
      </c>
      <c r="BN1011" s="15">
        <v>5.0000000000000001E-3</v>
      </c>
    </row>
    <row r="1012" spans="1:68" x14ac:dyDescent="0.4">
      <c r="A1012" t="s">
        <v>674</v>
      </c>
      <c r="B1012" s="15">
        <v>6.8027210884353706E-2</v>
      </c>
      <c r="C1012" s="15">
        <v>6.9182389937106903E-2</v>
      </c>
      <c r="D1012" s="15">
        <v>7.8947368421052599E-2</v>
      </c>
      <c r="E1012" s="15">
        <v>6.3492063492063405E-2</v>
      </c>
      <c r="F1012" s="15">
        <v>8.5000000000000006E-2</v>
      </c>
      <c r="G1012" s="15">
        <v>0.08</v>
      </c>
      <c r="H1012" s="15">
        <v>0.08</v>
      </c>
      <c r="I1012" s="15">
        <v>8.8541666666666602E-2</v>
      </c>
      <c r="J1012" s="15">
        <v>8.6021505376343996E-2</v>
      </c>
      <c r="K1012" s="15">
        <v>0.08</v>
      </c>
      <c r="L1012" s="15">
        <v>8.5000000000000006E-2</v>
      </c>
      <c r="M1012" s="15">
        <v>0.08</v>
      </c>
      <c r="N1012" s="15">
        <v>8.5000000000000006E-2</v>
      </c>
      <c r="O1012" s="15">
        <v>8.5000000000000006E-2</v>
      </c>
      <c r="P1012" s="15">
        <v>0.09</v>
      </c>
      <c r="Q1012" s="15">
        <v>0.08</v>
      </c>
      <c r="R1012" s="15">
        <v>7.0000000000000007E-2</v>
      </c>
      <c r="S1012" s="15">
        <v>7.0000000000000007E-2</v>
      </c>
      <c r="T1012" s="15">
        <v>0.08</v>
      </c>
      <c r="U1012" s="15">
        <v>6.5000000000000002E-2</v>
      </c>
      <c r="V1012" s="15">
        <v>0.04</v>
      </c>
      <c r="W1012" s="15">
        <v>7.0000000000000007E-2</v>
      </c>
      <c r="X1012" s="15">
        <v>0.08</v>
      </c>
      <c r="Y1012" s="15">
        <v>0.09</v>
      </c>
      <c r="Z1012" s="15">
        <v>0.08</v>
      </c>
      <c r="AA1012" s="15">
        <v>0.08</v>
      </c>
      <c r="AB1012" s="15">
        <v>8.5000000000000006E-2</v>
      </c>
      <c r="AC1012" s="15">
        <v>0.08</v>
      </c>
      <c r="AD1012" s="15">
        <v>0.08</v>
      </c>
      <c r="AE1012" s="15">
        <v>0.08</v>
      </c>
      <c r="AF1012" s="15">
        <v>7.4999999999999997E-2</v>
      </c>
      <c r="AG1012" s="15">
        <v>8.5000000000000006E-2</v>
      </c>
      <c r="AH1012" s="15">
        <v>8.5000000000000006E-2</v>
      </c>
      <c r="AI1012" s="15">
        <v>0.09</v>
      </c>
      <c r="AJ1012" s="15">
        <v>7.4999999999999997E-2</v>
      </c>
      <c r="AK1012" s="15">
        <v>0.09</v>
      </c>
      <c r="AL1012" s="15">
        <v>7.4999999999999997E-2</v>
      </c>
      <c r="AM1012" s="15">
        <v>0.09</v>
      </c>
      <c r="AN1012" s="15">
        <v>8.5000000000000006E-2</v>
      </c>
      <c r="AO1012" s="15">
        <v>0.1</v>
      </c>
      <c r="AP1012" s="15">
        <v>0.12</v>
      </c>
      <c r="AQ1012" s="15">
        <v>0.115</v>
      </c>
      <c r="AR1012" s="15">
        <v>9.5000000000000001E-2</v>
      </c>
      <c r="AS1012" s="15">
        <v>8.5000000000000006E-2</v>
      </c>
      <c r="AT1012" s="15">
        <v>0.09</v>
      </c>
      <c r="AU1012" s="15">
        <v>7.4999999999999997E-2</v>
      </c>
      <c r="AV1012" s="15">
        <v>0.08</v>
      </c>
      <c r="AW1012" s="15">
        <v>0.08</v>
      </c>
      <c r="AX1012" s="15">
        <v>0.08</v>
      </c>
      <c r="AY1012" s="15">
        <v>7.4999999999999997E-2</v>
      </c>
      <c r="AZ1012" s="15">
        <v>7.4999999999999997E-2</v>
      </c>
      <c r="BA1012" s="15">
        <v>6.5000000000000002E-2</v>
      </c>
      <c r="BB1012" s="15">
        <v>6.5000000000000002E-2</v>
      </c>
      <c r="BC1012" s="15">
        <v>4.4999999999999998E-2</v>
      </c>
      <c r="BD1012" s="15">
        <v>0.06</v>
      </c>
      <c r="BE1012" s="15">
        <v>0.06</v>
      </c>
      <c r="BF1012" s="15">
        <v>0.06</v>
      </c>
      <c r="BG1012" s="15">
        <v>5.5E-2</v>
      </c>
      <c r="BH1012" s="15">
        <v>0.04</v>
      </c>
      <c r="BI1012" s="15">
        <v>0.05</v>
      </c>
      <c r="BJ1012" s="15">
        <v>0.04</v>
      </c>
      <c r="BK1012" s="15">
        <v>0.05</v>
      </c>
      <c r="BL1012" s="15">
        <v>0.06</v>
      </c>
      <c r="BM1012" s="15">
        <v>0.06</v>
      </c>
      <c r="BN1012" s="15">
        <v>0.06</v>
      </c>
    </row>
    <row r="1013" spans="1:68" x14ac:dyDescent="0.4"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5"/>
      <c r="AG1013" s="15"/>
      <c r="AH1013" s="15"/>
      <c r="AI1013" s="15"/>
      <c r="AJ1013" s="15"/>
      <c r="AK1013" s="15"/>
      <c r="AL1013" s="15"/>
      <c r="AM1013" s="15"/>
      <c r="AN1013" s="15"/>
      <c r="AO1013" s="15"/>
      <c r="AP1013" s="15"/>
      <c r="AQ1013" s="15"/>
      <c r="AR1013" s="15"/>
      <c r="AS1013" s="15"/>
      <c r="AT1013" s="15"/>
      <c r="AU1013" s="15"/>
      <c r="AV1013" s="15"/>
      <c r="AW1013" s="15"/>
      <c r="AX1013" s="15"/>
      <c r="AY1013" s="15"/>
      <c r="AZ1013" s="15"/>
      <c r="BA1013" s="15"/>
      <c r="BB1013" s="15"/>
      <c r="BC1013" s="15"/>
      <c r="BD1013" s="15"/>
      <c r="BE1013" s="15"/>
      <c r="BF1013" s="15"/>
      <c r="BG1013" s="15"/>
      <c r="BH1013" s="15"/>
      <c r="BI1013" s="15"/>
      <c r="BJ1013" s="15"/>
      <c r="BK1013" s="15"/>
      <c r="BL1013" s="15"/>
      <c r="BM1013" s="15"/>
      <c r="BN1013" s="15"/>
    </row>
    <row r="1014" spans="1:68" x14ac:dyDescent="0.4">
      <c r="A1014" t="s">
        <v>679</v>
      </c>
      <c r="B1014" s="15">
        <v>0.45578231292517002</v>
      </c>
      <c r="C1014" s="15">
        <v>0.42767295597484201</v>
      </c>
      <c r="D1014" s="15">
        <v>0.44736842105263103</v>
      </c>
      <c r="E1014" s="15">
        <v>0.42857142857142799</v>
      </c>
      <c r="F1014" s="15">
        <v>0.38</v>
      </c>
      <c r="G1014" s="15">
        <v>0.41</v>
      </c>
      <c r="H1014" s="15">
        <v>0.41499999999999998</v>
      </c>
      <c r="I1014" s="15">
        <v>0.4375</v>
      </c>
      <c r="J1014" s="15">
        <v>0.521505376344086</v>
      </c>
      <c r="K1014" s="15">
        <v>0.47</v>
      </c>
      <c r="L1014" s="15">
        <v>0.47499999999999998</v>
      </c>
      <c r="M1014" s="15">
        <v>0.46</v>
      </c>
      <c r="N1014" s="15">
        <v>0.43</v>
      </c>
      <c r="O1014" s="15">
        <v>0.46500000000000002</v>
      </c>
      <c r="P1014" s="15">
        <v>0.44500000000000001</v>
      </c>
      <c r="Q1014" s="15">
        <v>0.375</v>
      </c>
      <c r="R1014" s="15">
        <v>0.30499999999999999</v>
      </c>
      <c r="S1014" s="15">
        <v>0.30499999999999999</v>
      </c>
      <c r="T1014" s="15">
        <v>0.26500000000000001</v>
      </c>
      <c r="U1014" s="15">
        <v>0.18</v>
      </c>
      <c r="V1014" s="15">
        <v>0.16</v>
      </c>
      <c r="W1014" s="15">
        <v>0.2</v>
      </c>
      <c r="X1014" s="15">
        <v>0.16500000000000001</v>
      </c>
      <c r="Y1014" s="15">
        <v>0.14499999999999999</v>
      </c>
      <c r="Z1014" s="15">
        <v>0.125</v>
      </c>
      <c r="AA1014" s="15">
        <v>0.09</v>
      </c>
      <c r="AB1014" s="15">
        <v>9.5000000000000001E-2</v>
      </c>
      <c r="AC1014" s="15">
        <v>0.105</v>
      </c>
      <c r="AD1014" s="15">
        <v>0.14499999999999999</v>
      </c>
      <c r="AE1014" s="15">
        <v>0.09</v>
      </c>
      <c r="AF1014" s="15">
        <v>0.13</v>
      </c>
      <c r="AG1014" s="15">
        <v>0.255</v>
      </c>
      <c r="AH1014" s="15">
        <v>0.26</v>
      </c>
      <c r="AI1014" s="15">
        <v>0.16</v>
      </c>
      <c r="AJ1014" s="15">
        <v>0.13</v>
      </c>
      <c r="AK1014" s="15">
        <v>0.12</v>
      </c>
      <c r="AL1014" s="15">
        <v>0.12</v>
      </c>
      <c r="AM1014" s="15">
        <v>0.115</v>
      </c>
      <c r="AN1014" s="15">
        <v>0.1</v>
      </c>
      <c r="AO1014" s="15">
        <v>0.105</v>
      </c>
      <c r="AP1014" s="15">
        <v>0.13</v>
      </c>
      <c r="AQ1014" s="15">
        <v>0.11</v>
      </c>
      <c r="AR1014" s="15">
        <v>0.15</v>
      </c>
      <c r="AS1014" s="15">
        <v>0.155</v>
      </c>
      <c r="AT1014" s="15">
        <v>0.125</v>
      </c>
      <c r="AU1014" s="15">
        <v>0.14000000000000001</v>
      </c>
      <c r="AV1014" s="15">
        <v>0.12</v>
      </c>
      <c r="AW1014" s="15">
        <v>0.13</v>
      </c>
      <c r="AX1014" s="15">
        <v>0.12</v>
      </c>
      <c r="AY1014" s="15">
        <v>0.12</v>
      </c>
      <c r="AZ1014" s="15">
        <v>0.13500000000000001</v>
      </c>
      <c r="BA1014" s="15">
        <v>0.12</v>
      </c>
      <c r="BB1014" s="15">
        <v>0.14000000000000001</v>
      </c>
      <c r="BC1014" s="15">
        <v>0.13500000000000001</v>
      </c>
      <c r="BD1014" s="15">
        <v>0.1</v>
      </c>
      <c r="BE1014" s="15">
        <v>0.13</v>
      </c>
      <c r="BF1014" s="15">
        <v>0.155</v>
      </c>
      <c r="BG1014" s="15">
        <v>0.16</v>
      </c>
      <c r="BH1014" s="15">
        <v>0.17499999999999999</v>
      </c>
      <c r="BI1014" s="15">
        <v>0.16</v>
      </c>
      <c r="BJ1014" s="15">
        <v>0.16500000000000001</v>
      </c>
      <c r="BK1014" s="15">
        <v>0.13500000000000001</v>
      </c>
      <c r="BL1014" s="15">
        <v>0.14499999999999999</v>
      </c>
      <c r="BM1014" s="15">
        <v>0.14499999999999999</v>
      </c>
      <c r="BN1014" s="15">
        <v>0.115</v>
      </c>
    </row>
    <row r="1015" spans="1:68" x14ac:dyDescent="0.4">
      <c r="A1015" t="s">
        <v>680</v>
      </c>
      <c r="B1015" s="15">
        <v>0.312925170068027</v>
      </c>
      <c r="C1015" s="15">
        <v>0.33333333333333298</v>
      </c>
      <c r="D1015" s="15">
        <v>0.30263157894736797</v>
      </c>
      <c r="E1015" s="15">
        <v>0.35978835978835899</v>
      </c>
      <c r="F1015" s="15">
        <v>0.48</v>
      </c>
      <c r="G1015" s="15">
        <v>0.45</v>
      </c>
      <c r="H1015" s="15">
        <v>0.42499999999999999</v>
      </c>
      <c r="I1015" s="15">
        <v>0.41666666666666602</v>
      </c>
      <c r="J1015" s="15">
        <v>0.33870967741935398</v>
      </c>
      <c r="K1015" s="15">
        <v>0.36499999999999999</v>
      </c>
      <c r="L1015" s="15">
        <v>0.4</v>
      </c>
      <c r="M1015" s="15">
        <v>0.41</v>
      </c>
      <c r="N1015" s="15">
        <v>0.45</v>
      </c>
      <c r="O1015" s="15">
        <v>0.39</v>
      </c>
      <c r="P1015" s="15">
        <v>0.43</v>
      </c>
      <c r="Q1015" s="15">
        <v>0.51500000000000001</v>
      </c>
      <c r="R1015" s="15">
        <v>0.61499999999999999</v>
      </c>
      <c r="S1015" s="15">
        <v>0.61499999999999999</v>
      </c>
      <c r="T1015" s="15">
        <v>0.65500000000000003</v>
      </c>
      <c r="U1015" s="15">
        <v>0.625</v>
      </c>
      <c r="V1015" s="15">
        <v>0.67</v>
      </c>
      <c r="W1015" s="15">
        <v>0.62</v>
      </c>
      <c r="X1015" s="15">
        <v>0.64500000000000002</v>
      </c>
      <c r="Y1015" s="15">
        <v>0.57499999999999996</v>
      </c>
      <c r="Z1015" s="15">
        <v>0.67500000000000004</v>
      </c>
      <c r="AA1015" s="15">
        <v>0.495</v>
      </c>
      <c r="AB1015" s="15">
        <v>0.42499999999999999</v>
      </c>
      <c r="AC1015" s="15">
        <v>0.5</v>
      </c>
      <c r="AD1015" s="15">
        <v>0.5</v>
      </c>
      <c r="AE1015" s="15">
        <v>0.53</v>
      </c>
      <c r="AF1015" s="15">
        <v>0.58499999999999996</v>
      </c>
      <c r="AG1015" s="15">
        <v>0.58499999999999996</v>
      </c>
      <c r="AH1015" s="15">
        <v>0.57499999999999996</v>
      </c>
      <c r="AI1015" s="15">
        <v>0.55000000000000004</v>
      </c>
      <c r="AJ1015" s="15">
        <v>0.54</v>
      </c>
      <c r="AK1015" s="15">
        <v>0.56999999999999995</v>
      </c>
      <c r="AL1015" s="15">
        <v>0.56999999999999995</v>
      </c>
      <c r="AM1015" s="15">
        <v>0.54500000000000004</v>
      </c>
      <c r="AN1015" s="15">
        <v>0.54500000000000004</v>
      </c>
      <c r="AO1015" s="15">
        <v>0.48499999999999999</v>
      </c>
      <c r="AP1015" s="15">
        <v>0.51500000000000001</v>
      </c>
      <c r="AQ1015" s="15">
        <v>0.41499999999999998</v>
      </c>
      <c r="AR1015" s="15">
        <v>0.41499999999999998</v>
      </c>
      <c r="AS1015" s="15">
        <v>0.435</v>
      </c>
      <c r="AT1015" s="15">
        <v>0.41499999999999998</v>
      </c>
      <c r="AU1015" s="15">
        <v>0.42499999999999999</v>
      </c>
      <c r="AV1015" s="15">
        <v>0.39</v>
      </c>
      <c r="AW1015" s="15">
        <v>0.43</v>
      </c>
      <c r="AX1015" s="15">
        <v>0.4</v>
      </c>
      <c r="AY1015" s="15">
        <v>0.37</v>
      </c>
      <c r="AZ1015" s="15">
        <v>0.36499999999999999</v>
      </c>
      <c r="BA1015" s="15">
        <v>0.37</v>
      </c>
      <c r="BB1015" s="15">
        <v>0.36499999999999999</v>
      </c>
      <c r="BC1015" s="15">
        <v>0.32500000000000001</v>
      </c>
      <c r="BD1015" s="15">
        <v>0.315</v>
      </c>
      <c r="BE1015" s="15">
        <v>0.34499999999999997</v>
      </c>
      <c r="BF1015" s="15">
        <v>0.33</v>
      </c>
      <c r="BG1015" s="15">
        <v>0.26500000000000001</v>
      </c>
      <c r="BH1015" s="15">
        <v>0.3</v>
      </c>
      <c r="BI1015" s="15">
        <v>0.32</v>
      </c>
      <c r="BJ1015" s="15">
        <v>0.33500000000000002</v>
      </c>
      <c r="BK1015" s="15">
        <v>0.27</v>
      </c>
      <c r="BL1015" s="15">
        <v>0.27500000000000002</v>
      </c>
      <c r="BM1015" s="15">
        <v>0.23499999999999999</v>
      </c>
      <c r="BN1015" s="15">
        <v>0.255</v>
      </c>
    </row>
    <row r="1016" spans="1:68" x14ac:dyDescent="0.4">
      <c r="A1016" t="s">
        <v>681</v>
      </c>
      <c r="B1016" s="15">
        <v>6.8027210884353704E-3</v>
      </c>
      <c r="C1016" s="15">
        <v>0</v>
      </c>
      <c r="D1016" s="15">
        <v>1.3157894736842099E-2</v>
      </c>
      <c r="E1016" s="15">
        <v>1.05820105820105E-2</v>
      </c>
      <c r="F1016" s="15">
        <v>0</v>
      </c>
      <c r="G1016" s="15">
        <v>0</v>
      </c>
      <c r="H1016" s="15">
        <v>0</v>
      </c>
      <c r="I1016" s="15">
        <v>5.2083333333333296E-3</v>
      </c>
      <c r="J1016" s="15">
        <v>5.3763440860214997E-3</v>
      </c>
      <c r="K1016" s="15">
        <v>5.0000000000000001E-3</v>
      </c>
      <c r="L1016" s="15">
        <v>5.0000000000000001E-3</v>
      </c>
      <c r="M1016" s="15">
        <v>0.01</v>
      </c>
      <c r="N1016" s="15">
        <v>0</v>
      </c>
      <c r="O1016" s="15">
        <v>5.0000000000000001E-3</v>
      </c>
      <c r="P1016" s="15">
        <v>5.0000000000000001E-3</v>
      </c>
      <c r="Q1016" s="15">
        <v>1.4999999999999999E-2</v>
      </c>
      <c r="R1016" s="15">
        <v>5.0000000000000001E-3</v>
      </c>
      <c r="S1016" s="15">
        <v>0.01</v>
      </c>
      <c r="T1016" s="15">
        <v>0.01</v>
      </c>
      <c r="U1016" s="15">
        <v>0.13500000000000001</v>
      </c>
      <c r="V1016" s="15">
        <v>0.08</v>
      </c>
      <c r="W1016" s="15">
        <v>7.0000000000000007E-2</v>
      </c>
      <c r="X1016" s="15">
        <v>9.5000000000000001E-2</v>
      </c>
      <c r="Y1016" s="15">
        <v>0.185</v>
      </c>
      <c r="Z1016" s="15">
        <v>0.1</v>
      </c>
      <c r="AA1016" s="15">
        <v>0.28999999999999998</v>
      </c>
      <c r="AB1016" s="15">
        <v>0.33500000000000002</v>
      </c>
      <c r="AC1016" s="15">
        <v>0.255</v>
      </c>
      <c r="AD1016" s="15">
        <v>0.22500000000000001</v>
      </c>
      <c r="AE1016" s="15">
        <v>0.26</v>
      </c>
      <c r="AF1016" s="15">
        <v>0.17499999999999999</v>
      </c>
      <c r="AG1016" s="15">
        <v>5.5E-2</v>
      </c>
      <c r="AH1016" s="15">
        <v>6.5000000000000002E-2</v>
      </c>
      <c r="AI1016" s="15">
        <v>0.18</v>
      </c>
      <c r="AJ1016" s="15">
        <v>0.23</v>
      </c>
      <c r="AK1016" s="15">
        <v>0.18</v>
      </c>
      <c r="AL1016" s="15">
        <v>0.2</v>
      </c>
      <c r="AM1016" s="15">
        <v>0.23499999999999999</v>
      </c>
      <c r="AN1016" s="15">
        <v>0.245</v>
      </c>
      <c r="AO1016" s="15">
        <v>0.28999999999999998</v>
      </c>
      <c r="AP1016" s="15">
        <v>0.24</v>
      </c>
      <c r="AQ1016" s="15">
        <v>0.33500000000000002</v>
      </c>
      <c r="AR1016" s="15">
        <v>0.31</v>
      </c>
      <c r="AS1016" s="15">
        <v>0.27</v>
      </c>
      <c r="AT1016" s="15">
        <v>0.33500000000000002</v>
      </c>
      <c r="AU1016" s="15">
        <v>0.31</v>
      </c>
      <c r="AV1016" s="15">
        <v>0.36</v>
      </c>
      <c r="AW1016" s="15">
        <v>0.33500000000000002</v>
      </c>
      <c r="AX1016" s="15">
        <v>0.36499999999999999</v>
      </c>
      <c r="AY1016" s="15">
        <v>0.38</v>
      </c>
      <c r="AZ1016" s="15">
        <v>0.375</v>
      </c>
      <c r="BA1016" s="15">
        <v>0.39500000000000002</v>
      </c>
      <c r="BB1016" s="15">
        <v>0.37</v>
      </c>
      <c r="BC1016" s="15">
        <v>0.4</v>
      </c>
      <c r="BD1016" s="15">
        <v>0.43</v>
      </c>
      <c r="BE1016" s="15">
        <v>0.39500000000000002</v>
      </c>
      <c r="BF1016" s="15">
        <v>0.39</v>
      </c>
      <c r="BG1016" s="15">
        <v>0.44500000000000001</v>
      </c>
      <c r="BH1016" s="15">
        <v>0.38500000000000001</v>
      </c>
      <c r="BI1016" s="15">
        <v>0.38500000000000001</v>
      </c>
      <c r="BJ1016" s="15">
        <v>0.36</v>
      </c>
      <c r="BK1016" s="15">
        <v>0.46500000000000002</v>
      </c>
      <c r="BL1016" s="15">
        <v>0.46</v>
      </c>
      <c r="BM1016" s="15">
        <v>0.47</v>
      </c>
      <c r="BN1016" s="15">
        <v>0.47499999999999998</v>
      </c>
    </row>
    <row r="1017" spans="1:68" x14ac:dyDescent="0.4">
      <c r="A1017" t="s">
        <v>547</v>
      </c>
      <c r="B1017" s="15">
        <v>0.22448979591836701</v>
      </c>
      <c r="C1017" s="15">
        <v>0.23899371069182301</v>
      </c>
      <c r="D1017" s="15">
        <v>0.23684210526315699</v>
      </c>
      <c r="E1017" s="15">
        <v>0.20105820105820099</v>
      </c>
      <c r="F1017" s="15">
        <v>0.14000000000000001</v>
      </c>
      <c r="G1017" s="15">
        <v>0.14000000000000001</v>
      </c>
      <c r="H1017" s="15">
        <v>0.16</v>
      </c>
      <c r="I1017" s="15">
        <v>0.140625</v>
      </c>
      <c r="J1017" s="15">
        <v>0.13440860215053699</v>
      </c>
      <c r="K1017" s="15">
        <v>0.16</v>
      </c>
      <c r="L1017" s="15">
        <v>0.12</v>
      </c>
      <c r="M1017" s="15">
        <v>0.12</v>
      </c>
      <c r="N1017" s="15">
        <v>0.12</v>
      </c>
      <c r="O1017" s="15">
        <v>0.14000000000000001</v>
      </c>
      <c r="P1017" s="15">
        <v>0.12</v>
      </c>
      <c r="Q1017" s="15">
        <v>9.5000000000000001E-2</v>
      </c>
      <c r="R1017" s="15">
        <v>7.4999999999999997E-2</v>
      </c>
      <c r="S1017" s="15">
        <v>7.0000000000000007E-2</v>
      </c>
      <c r="T1017" s="15">
        <v>7.0000000000000007E-2</v>
      </c>
      <c r="U1017" s="15">
        <v>0.06</v>
      </c>
      <c r="V1017" s="15">
        <v>0.09</v>
      </c>
      <c r="W1017" s="15">
        <v>0.11</v>
      </c>
      <c r="X1017" s="15">
        <v>9.5000000000000001E-2</v>
      </c>
      <c r="Y1017" s="15">
        <v>9.5000000000000001E-2</v>
      </c>
      <c r="Z1017" s="15">
        <v>0.1</v>
      </c>
      <c r="AA1017" s="15">
        <v>0.125</v>
      </c>
      <c r="AB1017" s="15">
        <v>0.14499999999999999</v>
      </c>
      <c r="AC1017" s="15">
        <v>0.14000000000000001</v>
      </c>
      <c r="AD1017" s="15">
        <v>0.13</v>
      </c>
      <c r="AE1017" s="15">
        <v>0.12</v>
      </c>
      <c r="AF1017" s="15">
        <v>0.11</v>
      </c>
      <c r="AG1017" s="15">
        <v>0.105</v>
      </c>
      <c r="AH1017" s="15">
        <v>0.1</v>
      </c>
      <c r="AI1017" s="15">
        <v>0.11</v>
      </c>
      <c r="AJ1017" s="15">
        <v>0.1</v>
      </c>
      <c r="AK1017" s="15">
        <v>0.13</v>
      </c>
      <c r="AL1017" s="15">
        <v>0.11</v>
      </c>
      <c r="AM1017" s="15">
        <v>0.105</v>
      </c>
      <c r="AN1017" s="15">
        <v>0.11</v>
      </c>
      <c r="AO1017" s="15">
        <v>0.12</v>
      </c>
      <c r="AP1017" s="15">
        <v>0.115</v>
      </c>
      <c r="AQ1017" s="15">
        <v>0.14000000000000001</v>
      </c>
      <c r="AR1017" s="15">
        <v>0.125</v>
      </c>
      <c r="AS1017" s="15">
        <v>0.14000000000000001</v>
      </c>
      <c r="AT1017" s="15">
        <v>0.125</v>
      </c>
      <c r="AU1017" s="15">
        <v>0.125</v>
      </c>
      <c r="AV1017" s="15">
        <v>0.13</v>
      </c>
      <c r="AW1017" s="15">
        <v>0.105</v>
      </c>
      <c r="AX1017" s="15">
        <v>0.115</v>
      </c>
      <c r="AY1017" s="15">
        <v>0.13</v>
      </c>
      <c r="AZ1017" s="15">
        <v>0.125</v>
      </c>
      <c r="BA1017" s="15">
        <v>0.115</v>
      </c>
      <c r="BB1017" s="15">
        <v>0.125</v>
      </c>
      <c r="BC1017" s="15">
        <v>0.14000000000000001</v>
      </c>
      <c r="BD1017" s="15">
        <v>0.155</v>
      </c>
      <c r="BE1017" s="15">
        <v>0.13</v>
      </c>
      <c r="BF1017" s="15">
        <v>0.125</v>
      </c>
      <c r="BG1017" s="15">
        <v>0.13</v>
      </c>
      <c r="BH1017" s="15">
        <v>0.14000000000000001</v>
      </c>
      <c r="BI1017" s="15">
        <v>0.13500000000000001</v>
      </c>
      <c r="BJ1017" s="15">
        <v>0.14000000000000001</v>
      </c>
      <c r="BK1017" s="15">
        <v>0.13</v>
      </c>
      <c r="BL1017" s="15">
        <v>0.12</v>
      </c>
      <c r="BM1017" s="15">
        <v>0.15</v>
      </c>
      <c r="BN1017" s="15">
        <v>0.155</v>
      </c>
    </row>
    <row r="1022" spans="1:68" x14ac:dyDescent="0.4">
      <c r="A1022" t="s">
        <v>684</v>
      </c>
      <c r="B1022">
        <v>1.1031039177126101</v>
      </c>
      <c r="C1022">
        <v>0.84919565219133397</v>
      </c>
      <c r="D1022">
        <v>1.20467828818031</v>
      </c>
      <c r="E1022">
        <v>1.2650804657402099</v>
      </c>
      <c r="F1022">
        <v>0.90284665448977497</v>
      </c>
      <c r="G1022">
        <v>0.93593959724492803</v>
      </c>
      <c r="H1022">
        <v>0.94928193531671201</v>
      </c>
      <c r="I1022">
        <v>0.81419063978343198</v>
      </c>
      <c r="J1022">
        <v>1.2008316215543</v>
      </c>
      <c r="K1022">
        <v>1.1538606079635101</v>
      </c>
      <c r="L1022">
        <v>1.0198265138260001</v>
      </c>
      <c r="M1022">
        <v>1.0600551068885</v>
      </c>
      <c r="N1022">
        <v>0.89882747445488698</v>
      </c>
      <c r="O1022">
        <v>1.0341810437446499</v>
      </c>
      <c r="P1022">
        <v>1.1713319878513699</v>
      </c>
      <c r="Q1022">
        <v>1.26109335403162</v>
      </c>
      <c r="R1022">
        <v>0.94168340066955303</v>
      </c>
      <c r="S1022">
        <v>1.17200030584246</v>
      </c>
      <c r="T1022">
        <v>1.3261466049389099</v>
      </c>
      <c r="U1022">
        <v>0.95568828145846696</v>
      </c>
      <c r="V1022">
        <v>0.97160972245772703</v>
      </c>
      <c r="W1022">
        <v>0.97893635404687096</v>
      </c>
      <c r="X1022">
        <v>1.1655490372631201</v>
      </c>
      <c r="Y1022">
        <v>0.94971837863735198</v>
      </c>
      <c r="Z1022">
        <v>1.4201698543432</v>
      </c>
      <c r="AA1022">
        <v>1.1316930813211501</v>
      </c>
      <c r="AB1022">
        <v>0.903285684340563</v>
      </c>
      <c r="AC1022">
        <v>0.96939954288619001</v>
      </c>
      <c r="AD1022">
        <v>1.0522678347227401</v>
      </c>
      <c r="AE1022">
        <v>0.82306760360226106</v>
      </c>
      <c r="AF1022">
        <v>0.646209478923502</v>
      </c>
      <c r="AG1022">
        <v>1.0578310674190301</v>
      </c>
      <c r="AH1022">
        <v>1.4460201639488299</v>
      </c>
      <c r="AI1022">
        <v>1.0820423071652201</v>
      </c>
      <c r="AJ1022">
        <v>0.92934535871470503</v>
      </c>
      <c r="AK1022">
        <v>1.0042740568233901</v>
      </c>
      <c r="AL1022">
        <v>1.0078253475730501</v>
      </c>
      <c r="AM1022">
        <v>1.0559315699315499</v>
      </c>
      <c r="AN1022">
        <v>1.1243358834775099</v>
      </c>
      <c r="AO1022">
        <v>0.96541141132962605</v>
      </c>
      <c r="AP1022">
        <v>1.02859580525349</v>
      </c>
      <c r="AQ1022">
        <v>0.99343138597620695</v>
      </c>
      <c r="AR1022">
        <v>0.90744728578955802</v>
      </c>
      <c r="AS1022">
        <v>1.1839388907455299</v>
      </c>
      <c r="AT1022">
        <v>0.83638798387827096</v>
      </c>
      <c r="AU1022">
        <v>1.0591994882146101</v>
      </c>
      <c r="AV1022">
        <v>1.05465237317605</v>
      </c>
      <c r="AW1022">
        <v>1.1009385223744399</v>
      </c>
      <c r="AX1022">
        <v>1.08348309304847</v>
      </c>
      <c r="AY1022">
        <v>0.97237372669023903</v>
      </c>
      <c r="AZ1022">
        <v>1.02846230553516</v>
      </c>
      <c r="BA1022">
        <v>1.04426602400657</v>
      </c>
      <c r="BB1022">
        <v>1.07583046937426</v>
      </c>
      <c r="BC1022">
        <v>1.1051601005803</v>
      </c>
      <c r="BD1022">
        <v>0.93795714119749796</v>
      </c>
      <c r="BE1022">
        <v>1.1004582942611401</v>
      </c>
      <c r="BF1022">
        <v>1.14445704312198</v>
      </c>
      <c r="BG1022">
        <v>0.91645575105116195</v>
      </c>
      <c r="BH1022">
        <v>0.990186881617105</v>
      </c>
      <c r="BI1022">
        <v>0.97235678774629497</v>
      </c>
      <c r="BJ1022">
        <v>1.0643857622859101</v>
      </c>
      <c r="BK1022">
        <v>1.0153421917739001</v>
      </c>
      <c r="BL1022">
        <v>0.97383026891982305</v>
      </c>
      <c r="BM1022">
        <v>1.0519441162476899</v>
      </c>
      <c r="BN1022">
        <v>1.0714211765152599</v>
      </c>
    </row>
    <row r="1023" spans="1:68" x14ac:dyDescent="0.4">
      <c r="A1023" t="s">
        <v>685</v>
      </c>
      <c r="B1023">
        <v>1.12368503189808</v>
      </c>
      <c r="C1023">
        <v>0.912846820242315</v>
      </c>
      <c r="D1023">
        <v>1.2184842926820001</v>
      </c>
      <c r="E1023">
        <v>1.3078710460624401</v>
      </c>
      <c r="F1023">
        <v>0.90193523827219302</v>
      </c>
      <c r="G1023">
        <v>0.95949605020139905</v>
      </c>
      <c r="H1023">
        <v>0.95354984597903802</v>
      </c>
      <c r="I1023">
        <v>0.81501333195160197</v>
      </c>
      <c r="J1023">
        <v>1.16093038686893</v>
      </c>
      <c r="K1023">
        <v>1.1588939255735899</v>
      </c>
      <c r="L1023">
        <v>1.03351540258414</v>
      </c>
      <c r="M1023">
        <v>1.0725485646083299</v>
      </c>
      <c r="N1023">
        <v>0.90119035227104605</v>
      </c>
      <c r="O1023">
        <v>1.04378336404923</v>
      </c>
      <c r="P1023">
        <v>1.1708061920459101</v>
      </c>
      <c r="Q1023">
        <v>1.2558118398331599</v>
      </c>
      <c r="R1023">
        <v>0.93599054273795901</v>
      </c>
      <c r="S1023">
        <v>1.17470556226717</v>
      </c>
      <c r="T1023">
        <v>1.32459844373469</v>
      </c>
      <c r="U1023">
        <v>0.95758667698980404</v>
      </c>
      <c r="V1023">
        <v>0.971235478420165</v>
      </c>
      <c r="W1023">
        <v>0.98401221776878101</v>
      </c>
      <c r="X1023">
        <v>1.1677608075349599</v>
      </c>
      <c r="Y1023">
        <v>0.95191121966096803</v>
      </c>
      <c r="Z1023">
        <v>1.41998180718932</v>
      </c>
      <c r="AA1023">
        <v>1.12808575382021</v>
      </c>
      <c r="AB1023">
        <v>0.90929511166316501</v>
      </c>
      <c r="AC1023">
        <v>0.96433835218682196</v>
      </c>
      <c r="AD1023">
        <v>1.0442776217098699</v>
      </c>
      <c r="AE1023">
        <v>0.83284446104172405</v>
      </c>
      <c r="AF1023">
        <v>0.64289471007590304</v>
      </c>
      <c r="AG1023">
        <v>1.04893493847497</v>
      </c>
      <c r="AH1023">
        <v>1.4285299452674101</v>
      </c>
      <c r="AI1023">
        <v>1.0906103058699099</v>
      </c>
      <c r="AJ1023">
        <v>0.93660604275194803</v>
      </c>
      <c r="AK1023">
        <v>1.0113230471558901</v>
      </c>
      <c r="AL1023">
        <v>1.0168132791579001</v>
      </c>
      <c r="AM1023">
        <v>1.0692595932772799</v>
      </c>
      <c r="AN1023">
        <v>1.10506969147503</v>
      </c>
      <c r="AO1023">
        <v>0.96712354385396704</v>
      </c>
      <c r="AP1023">
        <v>1.0503394904034999</v>
      </c>
      <c r="AQ1023">
        <v>0.97605517070827297</v>
      </c>
      <c r="AR1023">
        <v>0.89802880039866795</v>
      </c>
      <c r="AS1023">
        <v>1.1587033626021399</v>
      </c>
      <c r="AT1023">
        <v>0.83865949895908498</v>
      </c>
      <c r="AU1023">
        <v>1.0637321981152701</v>
      </c>
      <c r="AV1023">
        <v>1.0486716274713701</v>
      </c>
      <c r="AW1023">
        <v>1.08909518529992</v>
      </c>
      <c r="AX1023">
        <v>1.08954099672451</v>
      </c>
      <c r="AY1023">
        <v>0.97067292884504197</v>
      </c>
      <c r="AZ1023">
        <v>1.0356410894538299</v>
      </c>
      <c r="BA1023">
        <v>1.0413110751024801</v>
      </c>
      <c r="BB1023">
        <v>1.0764879922744499</v>
      </c>
      <c r="BC1023">
        <v>1.1072833309252501</v>
      </c>
      <c r="BD1023">
        <v>0.94099675141781203</v>
      </c>
      <c r="BE1023">
        <v>1.0647338098685699</v>
      </c>
      <c r="BF1023">
        <v>1.1494855899479299</v>
      </c>
      <c r="BG1023">
        <v>0.920832377147485</v>
      </c>
      <c r="BH1023">
        <v>0.98800130180732504</v>
      </c>
      <c r="BI1023">
        <v>0.97288791732834601</v>
      </c>
      <c r="BJ1023">
        <v>1.0509106527855401</v>
      </c>
      <c r="BK1023">
        <v>1.0101734124519299</v>
      </c>
      <c r="BL1023">
        <v>0.97442334133400998</v>
      </c>
      <c r="BM1023">
        <v>1.0510142944830201</v>
      </c>
      <c r="BN1023">
        <v>1.07911371123446</v>
      </c>
    </row>
    <row r="1024" spans="1:68" x14ac:dyDescent="0.4">
      <c r="B1024">
        <f>IF(B1022-B1023=0,1,0)</f>
        <v>0</v>
      </c>
      <c r="C1024">
        <f t="shared" ref="C1024:BN1024" si="1">IF(C1022-C1023=0,1,0)</f>
        <v>0</v>
      </c>
      <c r="D1024">
        <f t="shared" si="1"/>
        <v>0</v>
      </c>
      <c r="E1024">
        <f t="shared" si="1"/>
        <v>0</v>
      </c>
      <c r="F1024">
        <f t="shared" si="1"/>
        <v>0</v>
      </c>
      <c r="G1024">
        <f t="shared" si="1"/>
        <v>0</v>
      </c>
      <c r="H1024">
        <f t="shared" si="1"/>
        <v>0</v>
      </c>
      <c r="I1024">
        <f t="shared" si="1"/>
        <v>0</v>
      </c>
      <c r="J1024">
        <f t="shared" si="1"/>
        <v>0</v>
      </c>
      <c r="K1024">
        <f t="shared" si="1"/>
        <v>0</v>
      </c>
      <c r="L1024">
        <f t="shared" si="1"/>
        <v>0</v>
      </c>
      <c r="M1024">
        <f t="shared" si="1"/>
        <v>0</v>
      </c>
      <c r="N1024">
        <f t="shared" si="1"/>
        <v>0</v>
      </c>
      <c r="O1024">
        <f t="shared" si="1"/>
        <v>0</v>
      </c>
      <c r="P1024">
        <f t="shared" si="1"/>
        <v>0</v>
      </c>
      <c r="Q1024">
        <f t="shared" si="1"/>
        <v>0</v>
      </c>
      <c r="R1024">
        <f t="shared" si="1"/>
        <v>0</v>
      </c>
      <c r="S1024">
        <f t="shared" si="1"/>
        <v>0</v>
      </c>
      <c r="T1024">
        <f t="shared" si="1"/>
        <v>0</v>
      </c>
      <c r="U1024">
        <f t="shared" si="1"/>
        <v>0</v>
      </c>
      <c r="V1024">
        <f t="shared" si="1"/>
        <v>0</v>
      </c>
      <c r="W1024">
        <f t="shared" si="1"/>
        <v>0</v>
      </c>
      <c r="X1024">
        <f t="shared" si="1"/>
        <v>0</v>
      </c>
      <c r="Y1024">
        <f t="shared" si="1"/>
        <v>0</v>
      </c>
      <c r="Z1024">
        <f t="shared" si="1"/>
        <v>0</v>
      </c>
      <c r="AA1024">
        <f t="shared" si="1"/>
        <v>0</v>
      </c>
      <c r="AB1024">
        <f t="shared" si="1"/>
        <v>0</v>
      </c>
      <c r="AC1024">
        <f t="shared" si="1"/>
        <v>0</v>
      </c>
      <c r="AD1024">
        <f t="shared" si="1"/>
        <v>0</v>
      </c>
      <c r="AE1024">
        <f t="shared" si="1"/>
        <v>0</v>
      </c>
      <c r="AF1024">
        <f t="shared" si="1"/>
        <v>0</v>
      </c>
      <c r="AG1024">
        <f t="shared" si="1"/>
        <v>0</v>
      </c>
      <c r="AH1024">
        <f t="shared" si="1"/>
        <v>0</v>
      </c>
      <c r="AI1024">
        <f t="shared" si="1"/>
        <v>0</v>
      </c>
      <c r="AJ1024">
        <f t="shared" si="1"/>
        <v>0</v>
      </c>
      <c r="AK1024">
        <f t="shared" si="1"/>
        <v>0</v>
      </c>
      <c r="AL1024">
        <f t="shared" si="1"/>
        <v>0</v>
      </c>
      <c r="AM1024">
        <f t="shared" si="1"/>
        <v>0</v>
      </c>
      <c r="AN1024">
        <f t="shared" si="1"/>
        <v>0</v>
      </c>
      <c r="AO1024">
        <f t="shared" si="1"/>
        <v>0</v>
      </c>
      <c r="AP1024">
        <f t="shared" si="1"/>
        <v>0</v>
      </c>
      <c r="AQ1024">
        <f t="shared" si="1"/>
        <v>0</v>
      </c>
      <c r="AR1024">
        <f t="shared" si="1"/>
        <v>0</v>
      </c>
      <c r="AS1024">
        <f t="shared" si="1"/>
        <v>0</v>
      </c>
      <c r="AT1024">
        <f t="shared" si="1"/>
        <v>0</v>
      </c>
      <c r="AU1024">
        <f t="shared" si="1"/>
        <v>0</v>
      </c>
      <c r="AV1024">
        <f t="shared" si="1"/>
        <v>0</v>
      </c>
      <c r="AW1024">
        <f t="shared" si="1"/>
        <v>0</v>
      </c>
      <c r="AX1024">
        <f t="shared" si="1"/>
        <v>0</v>
      </c>
      <c r="AY1024">
        <f t="shared" si="1"/>
        <v>0</v>
      </c>
      <c r="AZ1024">
        <f t="shared" si="1"/>
        <v>0</v>
      </c>
      <c r="BA1024">
        <f t="shared" si="1"/>
        <v>0</v>
      </c>
      <c r="BB1024">
        <f t="shared" si="1"/>
        <v>0</v>
      </c>
      <c r="BC1024">
        <f t="shared" si="1"/>
        <v>0</v>
      </c>
      <c r="BD1024">
        <f t="shared" si="1"/>
        <v>0</v>
      </c>
      <c r="BE1024">
        <f t="shared" si="1"/>
        <v>0</v>
      </c>
      <c r="BF1024">
        <f t="shared" si="1"/>
        <v>0</v>
      </c>
      <c r="BG1024">
        <f t="shared" si="1"/>
        <v>0</v>
      </c>
      <c r="BH1024">
        <f t="shared" si="1"/>
        <v>0</v>
      </c>
      <c r="BI1024">
        <f t="shared" si="1"/>
        <v>0</v>
      </c>
      <c r="BJ1024">
        <f t="shared" si="1"/>
        <v>0</v>
      </c>
      <c r="BK1024">
        <f t="shared" si="1"/>
        <v>0</v>
      </c>
      <c r="BL1024">
        <f t="shared" si="1"/>
        <v>0</v>
      </c>
      <c r="BM1024">
        <f t="shared" si="1"/>
        <v>0</v>
      </c>
      <c r="BN1024">
        <f t="shared" si="1"/>
        <v>0</v>
      </c>
      <c r="BO1024">
        <f>SUM(AD1024:BN1024)</f>
        <v>0</v>
      </c>
      <c r="BP1024">
        <v>37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H1017"/>
  <sheetViews>
    <sheetView tabSelected="1" topLeftCell="A952" workbookViewId="0">
      <selection activeCell="A1012" sqref="A1012"/>
    </sheetView>
  </sheetViews>
  <sheetFormatPr defaultRowHeight="17.399999999999999" x14ac:dyDescent="0.4"/>
  <cols>
    <col min="2" max="2" width="9.3984375" bestFit="1" customWidth="1"/>
    <col min="110" max="110" width="11.5" customWidth="1"/>
  </cols>
  <sheetData>
    <row r="1" spans="1:112" x14ac:dyDescent="0.4">
      <c r="B1">
        <v>20080229</v>
      </c>
      <c r="E1">
        <v>20080530</v>
      </c>
      <c r="H1">
        <v>20080829</v>
      </c>
      <c r="K1">
        <v>20081128</v>
      </c>
      <c r="N1">
        <v>20090227</v>
      </c>
      <c r="Q1">
        <v>20090529</v>
      </c>
      <c r="T1">
        <v>20090831</v>
      </c>
      <c r="W1">
        <v>20091130</v>
      </c>
      <c r="Z1">
        <v>20100226</v>
      </c>
      <c r="AC1">
        <v>20100531</v>
      </c>
      <c r="AF1">
        <v>20100831</v>
      </c>
      <c r="AI1">
        <v>20101130</v>
      </c>
      <c r="AL1">
        <v>20110228</v>
      </c>
      <c r="AO1">
        <v>20110531</v>
      </c>
      <c r="AR1">
        <v>20110831</v>
      </c>
      <c r="AU1">
        <v>20111130</v>
      </c>
      <c r="AX1">
        <v>20120229</v>
      </c>
      <c r="BA1">
        <v>20120531</v>
      </c>
      <c r="BD1">
        <v>20120831</v>
      </c>
      <c r="BG1">
        <v>20121130</v>
      </c>
      <c r="BJ1">
        <v>20130228</v>
      </c>
      <c r="BM1">
        <v>20130531</v>
      </c>
      <c r="BP1">
        <v>20130830</v>
      </c>
      <c r="BS1">
        <v>20131129</v>
      </c>
      <c r="BV1">
        <v>20140228</v>
      </c>
      <c r="BY1">
        <v>20140530</v>
      </c>
      <c r="CB1">
        <v>20140829</v>
      </c>
      <c r="CE1">
        <v>20141128</v>
      </c>
      <c r="CH1">
        <v>20150227</v>
      </c>
      <c r="CK1">
        <v>20150529</v>
      </c>
      <c r="CN1">
        <v>20150831</v>
      </c>
      <c r="CQ1">
        <v>20151130</v>
      </c>
      <c r="CT1">
        <v>20160229</v>
      </c>
      <c r="CW1">
        <v>20160531</v>
      </c>
      <c r="CZ1">
        <v>20160831</v>
      </c>
      <c r="DC1">
        <v>20161130</v>
      </c>
      <c r="DF1">
        <v>20170228</v>
      </c>
    </row>
    <row r="2" spans="1:112" x14ac:dyDescent="0.4">
      <c r="A2">
        <v>0</v>
      </c>
      <c r="B2" t="s">
        <v>29</v>
      </c>
      <c r="C2">
        <v>2</v>
      </c>
      <c r="D2">
        <v>1.0033435987681401</v>
      </c>
      <c r="E2" t="s">
        <v>32</v>
      </c>
      <c r="F2">
        <v>2</v>
      </c>
      <c r="G2">
        <v>0.82812745251922704</v>
      </c>
      <c r="H2" t="s">
        <v>29</v>
      </c>
      <c r="I2">
        <v>2</v>
      </c>
      <c r="J2">
        <v>0.44837665727111298</v>
      </c>
      <c r="K2" t="s">
        <v>31</v>
      </c>
      <c r="L2">
        <v>2</v>
      </c>
      <c r="M2">
        <v>1.175</v>
      </c>
      <c r="N2" t="s">
        <v>31</v>
      </c>
      <c r="O2">
        <v>2</v>
      </c>
      <c r="P2">
        <v>1.20345744680851</v>
      </c>
      <c r="Q2" t="s">
        <v>29</v>
      </c>
      <c r="R2">
        <v>2</v>
      </c>
      <c r="S2">
        <v>0.99646741656595705</v>
      </c>
      <c r="T2" t="s">
        <v>31</v>
      </c>
      <c r="U2">
        <v>2</v>
      </c>
      <c r="V2">
        <v>0.783625730994152</v>
      </c>
      <c r="W2" t="s">
        <v>31</v>
      </c>
      <c r="X2">
        <v>2</v>
      </c>
      <c r="Y2">
        <v>0.89253731343283504</v>
      </c>
      <c r="Z2" t="s">
        <v>31</v>
      </c>
      <c r="AA2">
        <v>2</v>
      </c>
      <c r="AB2">
        <v>0.90301003344481601</v>
      </c>
      <c r="AC2" t="s">
        <v>31</v>
      </c>
      <c r="AD2">
        <v>2</v>
      </c>
      <c r="AE2">
        <v>0.89722222222222203</v>
      </c>
      <c r="AF2" t="s">
        <v>31</v>
      </c>
      <c r="AG2">
        <v>2</v>
      </c>
      <c r="AH2">
        <v>0.98968008255933904</v>
      </c>
      <c r="AI2" t="s">
        <v>31</v>
      </c>
      <c r="AJ2">
        <v>2</v>
      </c>
      <c r="AK2">
        <v>0.934306569343065</v>
      </c>
      <c r="AL2" t="s">
        <v>31</v>
      </c>
      <c r="AM2">
        <v>2</v>
      </c>
      <c r="AN2">
        <v>1.05133928571428</v>
      </c>
      <c r="AO2" t="s">
        <v>31</v>
      </c>
      <c r="AP2">
        <v>3</v>
      </c>
      <c r="AQ2">
        <v>1.0976645435244099</v>
      </c>
      <c r="AR2" t="s">
        <v>31</v>
      </c>
      <c r="AS2">
        <v>3</v>
      </c>
      <c r="AT2">
        <v>0.83365570599613104</v>
      </c>
      <c r="AU2" t="s">
        <v>31</v>
      </c>
      <c r="AV2">
        <v>3</v>
      </c>
      <c r="AW2">
        <v>1.08584686774942</v>
      </c>
      <c r="AX2" t="s">
        <v>31</v>
      </c>
      <c r="AY2">
        <v>3</v>
      </c>
      <c r="AZ2">
        <v>1.06623931623931</v>
      </c>
      <c r="BA2" t="s">
        <v>31</v>
      </c>
      <c r="BB2">
        <v>3</v>
      </c>
      <c r="BC2">
        <v>1.1022044088176299</v>
      </c>
      <c r="BD2" t="s">
        <v>31</v>
      </c>
      <c r="BE2">
        <v>3</v>
      </c>
      <c r="BF2">
        <v>1.13636363636363</v>
      </c>
      <c r="BG2" t="s">
        <v>31</v>
      </c>
      <c r="BH2">
        <v>3</v>
      </c>
      <c r="BI2">
        <v>0.96479999999999999</v>
      </c>
      <c r="BJ2" t="s">
        <v>31</v>
      </c>
      <c r="BK2">
        <v>3</v>
      </c>
      <c r="BL2">
        <v>1.14925373134328</v>
      </c>
      <c r="BM2" t="s">
        <v>31</v>
      </c>
      <c r="BN2">
        <v>3</v>
      </c>
      <c r="BO2">
        <v>0.89610389610389596</v>
      </c>
      <c r="BP2" t="s">
        <v>31</v>
      </c>
      <c r="BQ2">
        <v>3</v>
      </c>
      <c r="BR2">
        <v>0.80515297906602201</v>
      </c>
      <c r="BS2" t="s">
        <v>31</v>
      </c>
      <c r="BT2">
        <v>3</v>
      </c>
      <c r="BU2">
        <v>1.038</v>
      </c>
      <c r="BV2" t="s">
        <v>31</v>
      </c>
      <c r="BW2">
        <v>3</v>
      </c>
      <c r="BX2">
        <v>1.11368015414258</v>
      </c>
      <c r="BY2" t="s">
        <v>31</v>
      </c>
      <c r="BZ2">
        <v>3</v>
      </c>
      <c r="CA2">
        <v>0.89446366782006903</v>
      </c>
      <c r="CB2" t="s">
        <v>31</v>
      </c>
      <c r="CC2">
        <v>3</v>
      </c>
      <c r="CD2">
        <v>1.11992263056092</v>
      </c>
      <c r="CE2" t="s">
        <v>31</v>
      </c>
      <c r="CF2">
        <v>3</v>
      </c>
      <c r="CG2">
        <v>1.0794473229706301</v>
      </c>
      <c r="CH2" t="s">
        <v>31</v>
      </c>
      <c r="CI2">
        <v>3</v>
      </c>
      <c r="CJ2">
        <v>1.4992000000000001</v>
      </c>
      <c r="CK2" t="s">
        <v>33</v>
      </c>
      <c r="CL2">
        <v>1</v>
      </c>
      <c r="CM2">
        <v>0.86857142857142799</v>
      </c>
      <c r="CN2" t="s">
        <v>33</v>
      </c>
      <c r="CO2">
        <v>1</v>
      </c>
      <c r="CP2">
        <v>1.0405701754385901</v>
      </c>
      <c r="CQ2" t="s">
        <v>33</v>
      </c>
      <c r="CR2">
        <v>1</v>
      </c>
      <c r="CS2">
        <v>0.91780821917808197</v>
      </c>
      <c r="CT2" t="s">
        <v>33</v>
      </c>
      <c r="CU2">
        <v>1</v>
      </c>
      <c r="CV2">
        <v>1.1423650975889701</v>
      </c>
      <c r="CW2" t="s">
        <v>33</v>
      </c>
      <c r="CX2">
        <v>1</v>
      </c>
      <c r="CY2">
        <v>1.06532663316582</v>
      </c>
      <c r="CZ2" t="s">
        <v>33</v>
      </c>
      <c r="DA2">
        <v>1</v>
      </c>
      <c r="DB2">
        <v>1.1320754716981101</v>
      </c>
      <c r="DC2" t="s">
        <v>33</v>
      </c>
      <c r="DD2">
        <v>1</v>
      </c>
      <c r="DE2">
        <v>1.1083333333333301</v>
      </c>
      <c r="DF2" t="s">
        <v>33</v>
      </c>
      <c r="DG2">
        <v>1</v>
      </c>
      <c r="DH2">
        <v>1.1503759398496201</v>
      </c>
    </row>
    <row r="3" spans="1:112" x14ac:dyDescent="0.4">
      <c r="A3">
        <v>1</v>
      </c>
      <c r="B3" t="s">
        <v>32</v>
      </c>
      <c r="C3">
        <v>2</v>
      </c>
      <c r="D3">
        <v>1.06667286764021</v>
      </c>
      <c r="E3" t="s">
        <v>37</v>
      </c>
      <c r="F3">
        <v>2</v>
      </c>
      <c r="G3">
        <v>0.77018390504760603</v>
      </c>
      <c r="H3" t="s">
        <v>32</v>
      </c>
      <c r="I3">
        <v>2</v>
      </c>
      <c r="J3">
        <v>0.70754359363153896</v>
      </c>
      <c r="K3" t="s">
        <v>29</v>
      </c>
      <c r="L3">
        <v>2</v>
      </c>
      <c r="M3">
        <v>1.1399301513387601</v>
      </c>
      <c r="N3" t="s">
        <v>29</v>
      </c>
      <c r="O3">
        <v>2</v>
      </c>
      <c r="P3">
        <v>2.1970996732026098</v>
      </c>
      <c r="Q3" t="s">
        <v>32</v>
      </c>
      <c r="R3">
        <v>2</v>
      </c>
      <c r="S3">
        <v>1.04124090950934</v>
      </c>
      <c r="T3" t="s">
        <v>29</v>
      </c>
      <c r="U3">
        <v>2</v>
      </c>
      <c r="V3">
        <v>0.82274465901669902</v>
      </c>
      <c r="W3" t="s">
        <v>29</v>
      </c>
      <c r="X3">
        <v>2</v>
      </c>
      <c r="Y3">
        <v>0.96552897153872297</v>
      </c>
      <c r="Z3" t="s">
        <v>29</v>
      </c>
      <c r="AA3">
        <v>2</v>
      </c>
      <c r="AB3">
        <v>0.93294186729301198</v>
      </c>
      <c r="AC3" t="s">
        <v>29</v>
      </c>
      <c r="AD3">
        <v>2</v>
      </c>
      <c r="AE3">
        <v>1.10057905337361</v>
      </c>
      <c r="AF3" t="s">
        <v>29</v>
      </c>
      <c r="AG3">
        <v>2</v>
      </c>
      <c r="AH3">
        <v>0.99130733157954898</v>
      </c>
      <c r="AI3" t="s">
        <v>29</v>
      </c>
      <c r="AJ3">
        <v>2</v>
      </c>
      <c r="AK3">
        <v>0.97807776623975995</v>
      </c>
      <c r="AL3" t="s">
        <v>29</v>
      </c>
      <c r="AM3">
        <v>2</v>
      </c>
      <c r="AN3">
        <v>1.23758405096142</v>
      </c>
      <c r="AO3" t="s">
        <v>29</v>
      </c>
      <c r="AP3">
        <v>2</v>
      </c>
      <c r="AQ3">
        <v>0.82975884091125696</v>
      </c>
      <c r="AR3" t="s">
        <v>29</v>
      </c>
      <c r="AS3">
        <v>2</v>
      </c>
      <c r="AT3">
        <v>0.84009190120620303</v>
      </c>
      <c r="AU3" t="s">
        <v>29</v>
      </c>
      <c r="AV3">
        <v>2</v>
      </c>
      <c r="AW3">
        <v>1.2371119923424001</v>
      </c>
      <c r="AX3" t="s">
        <v>29</v>
      </c>
      <c r="AY3">
        <v>2</v>
      </c>
      <c r="AZ3">
        <v>0.73527136067204601</v>
      </c>
      <c r="BA3" t="s">
        <v>29</v>
      </c>
      <c r="BB3">
        <v>2</v>
      </c>
      <c r="BC3">
        <v>1.126879134095</v>
      </c>
      <c r="BD3" t="s">
        <v>29</v>
      </c>
      <c r="BE3">
        <v>2</v>
      </c>
      <c r="BF3">
        <v>1.0546958377801401</v>
      </c>
      <c r="BG3" t="s">
        <v>29</v>
      </c>
      <c r="BH3">
        <v>2</v>
      </c>
      <c r="BI3">
        <v>1.03971667088287</v>
      </c>
      <c r="BJ3" t="s">
        <v>29</v>
      </c>
      <c r="BK3">
        <v>2</v>
      </c>
      <c r="BL3">
        <v>1.5115571776155701</v>
      </c>
      <c r="BM3" t="s">
        <v>29</v>
      </c>
      <c r="BN3">
        <v>3</v>
      </c>
      <c r="BO3">
        <v>0.94873239436619705</v>
      </c>
      <c r="BP3" t="s">
        <v>29</v>
      </c>
      <c r="BQ3">
        <v>3</v>
      </c>
      <c r="BR3">
        <v>0.82626399728537403</v>
      </c>
      <c r="BS3" t="s">
        <v>29</v>
      </c>
      <c r="BT3">
        <v>3</v>
      </c>
      <c r="BU3">
        <v>1.2217659137576999</v>
      </c>
      <c r="BV3" t="s">
        <v>29</v>
      </c>
      <c r="BW3">
        <v>3</v>
      </c>
      <c r="BX3">
        <v>1.01680672268907</v>
      </c>
      <c r="BY3" t="s">
        <v>29</v>
      </c>
      <c r="BZ3">
        <v>2</v>
      </c>
      <c r="CA3">
        <v>1.4793388429751999</v>
      </c>
      <c r="CB3" t="s">
        <v>29</v>
      </c>
      <c r="CC3">
        <v>2</v>
      </c>
      <c r="CD3">
        <v>1.0558659217877</v>
      </c>
      <c r="CE3" t="s">
        <v>29</v>
      </c>
      <c r="CF3">
        <v>2</v>
      </c>
      <c r="CG3">
        <v>0.90476190476190399</v>
      </c>
      <c r="CH3" t="s">
        <v>29</v>
      </c>
      <c r="CI3">
        <v>2</v>
      </c>
      <c r="CJ3">
        <v>1.42105263157894</v>
      </c>
      <c r="CK3" t="s">
        <v>34</v>
      </c>
      <c r="CL3">
        <v>1</v>
      </c>
      <c r="CM3">
        <v>0.85951468710089396</v>
      </c>
      <c r="CN3" t="s">
        <v>34</v>
      </c>
      <c r="CO3">
        <v>1</v>
      </c>
      <c r="CP3">
        <v>1.07280832095096</v>
      </c>
      <c r="CQ3" t="s">
        <v>34</v>
      </c>
      <c r="CR3">
        <v>1</v>
      </c>
      <c r="CS3">
        <v>1.1135734072022101</v>
      </c>
      <c r="CT3" t="s">
        <v>34</v>
      </c>
      <c r="CU3">
        <v>1</v>
      </c>
      <c r="CV3">
        <v>1.01119402985074</v>
      </c>
      <c r="CW3" t="s">
        <v>36</v>
      </c>
      <c r="CX3">
        <v>2</v>
      </c>
      <c r="CY3">
        <v>0.89084507042253502</v>
      </c>
      <c r="CZ3" t="s">
        <v>30</v>
      </c>
      <c r="DA3">
        <v>2</v>
      </c>
      <c r="DB3">
        <v>1.0610932475884201</v>
      </c>
      <c r="DC3" t="s">
        <v>36</v>
      </c>
      <c r="DD3">
        <v>2</v>
      </c>
      <c r="DE3">
        <v>0.95901639344262202</v>
      </c>
      <c r="DF3" t="s">
        <v>29</v>
      </c>
      <c r="DG3">
        <v>2</v>
      </c>
      <c r="DH3">
        <v>1.1514084507042199</v>
      </c>
    </row>
    <row r="4" spans="1:112" x14ac:dyDescent="0.4">
      <c r="A4">
        <v>2</v>
      </c>
      <c r="B4" t="s">
        <v>37</v>
      </c>
      <c r="C4">
        <v>2</v>
      </c>
      <c r="D4">
        <v>0.92742228135962201</v>
      </c>
      <c r="E4" t="s">
        <v>38</v>
      </c>
      <c r="F4">
        <v>1</v>
      </c>
      <c r="G4">
        <v>1.0810478919361399</v>
      </c>
      <c r="H4" t="s">
        <v>41</v>
      </c>
      <c r="I4">
        <v>1</v>
      </c>
      <c r="J4">
        <v>0.893043442823376</v>
      </c>
      <c r="K4" t="s">
        <v>30</v>
      </c>
      <c r="L4">
        <v>2</v>
      </c>
      <c r="M4">
        <v>0.97084548104956203</v>
      </c>
      <c r="N4" t="s">
        <v>30</v>
      </c>
      <c r="O4">
        <v>2</v>
      </c>
      <c r="P4">
        <v>1.81514848181514</v>
      </c>
      <c r="Q4" t="s">
        <v>41</v>
      </c>
      <c r="R4">
        <v>1</v>
      </c>
      <c r="S4">
        <v>0.73578947368420999</v>
      </c>
      <c r="T4" t="s">
        <v>32</v>
      </c>
      <c r="U4">
        <v>2</v>
      </c>
      <c r="V4">
        <v>0.95172840597648301</v>
      </c>
      <c r="W4" t="s">
        <v>32</v>
      </c>
      <c r="X4">
        <v>2</v>
      </c>
      <c r="Y4">
        <v>1.00910357640501</v>
      </c>
      <c r="Z4" t="s">
        <v>32</v>
      </c>
      <c r="AA4">
        <v>2</v>
      </c>
      <c r="AB4">
        <v>1.2216468747123199</v>
      </c>
      <c r="AC4" t="s">
        <v>32</v>
      </c>
      <c r="AD4">
        <v>2</v>
      </c>
      <c r="AE4">
        <v>1.1498031384812399</v>
      </c>
      <c r="AF4" t="s">
        <v>32</v>
      </c>
      <c r="AG4">
        <v>2</v>
      </c>
      <c r="AH4">
        <v>1.25319898418939</v>
      </c>
      <c r="AI4" t="s">
        <v>32</v>
      </c>
      <c r="AJ4">
        <v>2</v>
      </c>
      <c r="AK4">
        <v>0.834551373400096</v>
      </c>
      <c r="AL4" t="s">
        <v>32</v>
      </c>
      <c r="AM4">
        <v>2</v>
      </c>
      <c r="AN4">
        <v>1.67370053576463</v>
      </c>
      <c r="AO4" t="s">
        <v>32</v>
      </c>
      <c r="AP4">
        <v>2</v>
      </c>
      <c r="AQ4">
        <v>1.1582755360870001</v>
      </c>
      <c r="AR4" t="s">
        <v>32</v>
      </c>
      <c r="AS4">
        <v>2</v>
      </c>
      <c r="AT4">
        <v>0.73212712830002602</v>
      </c>
      <c r="AU4" t="s">
        <v>32</v>
      </c>
      <c r="AV4">
        <v>2</v>
      </c>
      <c r="AW4">
        <v>0.81015452538631305</v>
      </c>
      <c r="AX4" t="s">
        <v>32</v>
      </c>
      <c r="AY4">
        <v>2</v>
      </c>
      <c r="AZ4">
        <v>0.71525885558583102</v>
      </c>
      <c r="BA4" t="s">
        <v>32</v>
      </c>
      <c r="BB4">
        <v>2</v>
      </c>
      <c r="BC4">
        <v>1.0761904761904699</v>
      </c>
      <c r="BD4" t="s">
        <v>32</v>
      </c>
      <c r="BE4">
        <v>2</v>
      </c>
      <c r="BF4">
        <v>1.30265486725663</v>
      </c>
      <c r="BG4" t="s">
        <v>32</v>
      </c>
      <c r="BH4">
        <v>2</v>
      </c>
      <c r="BI4">
        <v>0.94293478260869501</v>
      </c>
      <c r="BJ4" t="s">
        <v>32</v>
      </c>
      <c r="BK4">
        <v>2</v>
      </c>
      <c r="BL4">
        <v>1.2680115273775201</v>
      </c>
      <c r="BM4" t="s">
        <v>32</v>
      </c>
      <c r="BN4">
        <v>2</v>
      </c>
      <c r="BO4">
        <v>0.96704545454545399</v>
      </c>
      <c r="BP4" t="s">
        <v>32</v>
      </c>
      <c r="BQ4">
        <v>2</v>
      </c>
      <c r="BR4">
        <v>1.01645123384253</v>
      </c>
      <c r="BS4" t="s">
        <v>32</v>
      </c>
      <c r="BT4">
        <v>2</v>
      </c>
      <c r="BU4">
        <v>0.84739884393063503</v>
      </c>
      <c r="BV4" t="s">
        <v>32</v>
      </c>
      <c r="BW4">
        <v>2</v>
      </c>
      <c r="BX4">
        <v>0.98772169167803503</v>
      </c>
      <c r="BY4" t="s">
        <v>32</v>
      </c>
      <c r="BZ4">
        <v>2</v>
      </c>
      <c r="CA4">
        <v>1.15469613259668</v>
      </c>
      <c r="CB4" t="s">
        <v>32</v>
      </c>
      <c r="CC4">
        <v>2</v>
      </c>
      <c r="CD4">
        <v>1.0622009569377899</v>
      </c>
      <c r="CE4" t="s">
        <v>32</v>
      </c>
      <c r="CF4">
        <v>2</v>
      </c>
      <c r="CG4">
        <v>1.0180180180180101</v>
      </c>
      <c r="CH4" t="s">
        <v>32</v>
      </c>
      <c r="CI4">
        <v>2</v>
      </c>
      <c r="CJ4">
        <v>1.19469026548672</v>
      </c>
      <c r="CK4" t="s">
        <v>38</v>
      </c>
      <c r="CL4">
        <v>1</v>
      </c>
      <c r="CM4">
        <v>0.87531806615775998</v>
      </c>
      <c r="CN4" t="s">
        <v>38</v>
      </c>
      <c r="CO4">
        <v>1</v>
      </c>
      <c r="CP4">
        <v>1.06395348837209</v>
      </c>
      <c r="CQ4" t="s">
        <v>38</v>
      </c>
      <c r="CR4">
        <v>1</v>
      </c>
      <c r="CS4">
        <v>1.0983606557376999</v>
      </c>
      <c r="CT4" t="s">
        <v>38</v>
      </c>
      <c r="CU4">
        <v>1</v>
      </c>
      <c r="CV4">
        <v>1.1616915422885501</v>
      </c>
      <c r="CW4" t="s">
        <v>34</v>
      </c>
      <c r="CX4">
        <v>1</v>
      </c>
      <c r="CY4">
        <v>0.99753997539975403</v>
      </c>
      <c r="CZ4" t="s">
        <v>36</v>
      </c>
      <c r="DA4">
        <v>2</v>
      </c>
      <c r="DB4">
        <v>0.96442687747035505</v>
      </c>
      <c r="DC4" t="s">
        <v>35</v>
      </c>
      <c r="DD4">
        <v>3</v>
      </c>
      <c r="DE4">
        <v>1.0064724919093799</v>
      </c>
      <c r="DF4" t="s">
        <v>30</v>
      </c>
      <c r="DG4">
        <v>2</v>
      </c>
      <c r="DH4">
        <v>1.2207792207792201</v>
      </c>
    </row>
    <row r="5" spans="1:112" x14ac:dyDescent="0.4">
      <c r="A5">
        <v>3</v>
      </c>
      <c r="B5" t="s">
        <v>38</v>
      </c>
      <c r="C5">
        <v>1</v>
      </c>
      <c r="D5">
        <v>1.02068101107165</v>
      </c>
      <c r="E5" t="s">
        <v>42</v>
      </c>
      <c r="F5">
        <v>1</v>
      </c>
      <c r="G5">
        <v>1.07377049180327</v>
      </c>
      <c r="H5" t="s">
        <v>36</v>
      </c>
      <c r="I5">
        <v>1</v>
      </c>
      <c r="J5">
        <v>0.51808972503617901</v>
      </c>
      <c r="K5" t="s">
        <v>32</v>
      </c>
      <c r="L5">
        <v>2</v>
      </c>
      <c r="M5">
        <v>1.0666726195791201</v>
      </c>
      <c r="N5" t="s">
        <v>32</v>
      </c>
      <c r="O5">
        <v>2</v>
      </c>
      <c r="P5">
        <v>1.21248988475597</v>
      </c>
      <c r="Q5" t="s">
        <v>36</v>
      </c>
      <c r="R5">
        <v>2</v>
      </c>
      <c r="S5">
        <v>1.3864818024263399</v>
      </c>
      <c r="T5" t="s">
        <v>41</v>
      </c>
      <c r="U5">
        <v>1</v>
      </c>
      <c r="V5">
        <v>0.74678111587982798</v>
      </c>
      <c r="W5" t="s">
        <v>41</v>
      </c>
      <c r="X5">
        <v>1</v>
      </c>
      <c r="Y5">
        <v>1.07471264367816</v>
      </c>
      <c r="Z5" t="s">
        <v>36</v>
      </c>
      <c r="AA5">
        <v>2</v>
      </c>
      <c r="AB5">
        <v>1.0269607843137201</v>
      </c>
      <c r="AC5" t="s">
        <v>41</v>
      </c>
      <c r="AD5">
        <v>2</v>
      </c>
      <c r="AE5">
        <v>1.05765765765765</v>
      </c>
      <c r="AF5" t="s">
        <v>41</v>
      </c>
      <c r="AG5">
        <v>2</v>
      </c>
      <c r="AH5">
        <v>1.28960817717206</v>
      </c>
      <c r="AI5" t="s">
        <v>41</v>
      </c>
      <c r="AJ5">
        <v>2</v>
      </c>
      <c r="AK5">
        <v>1.4200792602377801</v>
      </c>
      <c r="AL5" t="s">
        <v>34</v>
      </c>
      <c r="AM5">
        <v>1</v>
      </c>
      <c r="AN5">
        <v>1.08053007135575</v>
      </c>
      <c r="AO5" t="s">
        <v>34</v>
      </c>
      <c r="AP5">
        <v>1</v>
      </c>
      <c r="AQ5">
        <v>1.0896226415094299</v>
      </c>
      <c r="AR5" t="s">
        <v>36</v>
      </c>
      <c r="AS5">
        <v>2</v>
      </c>
      <c r="AT5">
        <v>0.73129251700680198</v>
      </c>
      <c r="AU5" t="s">
        <v>41</v>
      </c>
      <c r="AV5">
        <v>1</v>
      </c>
      <c r="AW5">
        <v>1.15330520393811</v>
      </c>
      <c r="AX5" t="s">
        <v>41</v>
      </c>
      <c r="AY5">
        <v>1</v>
      </c>
      <c r="AZ5">
        <v>0.76219512195121897</v>
      </c>
      <c r="BA5" t="s">
        <v>41</v>
      </c>
      <c r="BB5">
        <v>1</v>
      </c>
      <c r="BC5">
        <v>1.496</v>
      </c>
      <c r="BD5" t="s">
        <v>36</v>
      </c>
      <c r="BE5">
        <v>2</v>
      </c>
      <c r="BF5">
        <v>1.4979959919839601</v>
      </c>
      <c r="BG5" t="s">
        <v>36</v>
      </c>
      <c r="BH5">
        <v>2</v>
      </c>
      <c r="BI5">
        <v>1.0836120401337701</v>
      </c>
      <c r="BJ5" t="s">
        <v>36</v>
      </c>
      <c r="BK5">
        <v>2</v>
      </c>
      <c r="BL5">
        <v>0.88580246913580196</v>
      </c>
      <c r="BM5" t="s">
        <v>36</v>
      </c>
      <c r="BN5">
        <v>2</v>
      </c>
      <c r="BO5">
        <v>0.81533101045296097</v>
      </c>
      <c r="BP5" t="s">
        <v>36</v>
      </c>
      <c r="BQ5">
        <v>2</v>
      </c>
      <c r="BR5">
        <v>1.0085470085470001</v>
      </c>
      <c r="BS5" t="s">
        <v>36</v>
      </c>
      <c r="BT5">
        <v>2</v>
      </c>
      <c r="BU5">
        <v>1.0932203389830499</v>
      </c>
      <c r="BV5" t="s">
        <v>36</v>
      </c>
      <c r="BW5">
        <v>2</v>
      </c>
      <c r="BX5">
        <v>0.99612403100775104</v>
      </c>
      <c r="BY5" t="s">
        <v>36</v>
      </c>
      <c r="BZ5">
        <v>2</v>
      </c>
      <c r="CA5">
        <v>1.0544747081712</v>
      </c>
      <c r="CB5" t="s">
        <v>36</v>
      </c>
      <c r="CC5">
        <v>2</v>
      </c>
      <c r="CD5">
        <v>0.93357933579335795</v>
      </c>
      <c r="CE5" t="s">
        <v>36</v>
      </c>
      <c r="CF5">
        <v>2</v>
      </c>
      <c r="CG5">
        <v>0.94861660079051302</v>
      </c>
      <c r="CH5" t="s">
        <v>35</v>
      </c>
      <c r="CI5">
        <v>3</v>
      </c>
      <c r="CJ5">
        <v>2.0004442470013299</v>
      </c>
      <c r="CK5" t="s">
        <v>42</v>
      </c>
      <c r="CL5">
        <v>1</v>
      </c>
      <c r="CM5">
        <v>1.02203567681007</v>
      </c>
      <c r="CN5" t="s">
        <v>42</v>
      </c>
      <c r="CO5">
        <v>1</v>
      </c>
      <c r="CP5">
        <v>1.0780287474332599</v>
      </c>
      <c r="CQ5" t="s">
        <v>42</v>
      </c>
      <c r="CR5">
        <v>1</v>
      </c>
      <c r="CS5">
        <v>0.87809523809523804</v>
      </c>
      <c r="CT5" t="s">
        <v>42</v>
      </c>
      <c r="CU5">
        <v>1</v>
      </c>
      <c r="CV5">
        <v>1.0119305856832901</v>
      </c>
      <c r="CW5" t="s">
        <v>42</v>
      </c>
      <c r="CX5">
        <v>1</v>
      </c>
      <c r="CY5">
        <v>0.89924973204715897</v>
      </c>
      <c r="CZ5" t="s">
        <v>35</v>
      </c>
      <c r="DA5">
        <v>3</v>
      </c>
      <c r="DB5">
        <v>1.04391891891891</v>
      </c>
      <c r="DC5" t="s">
        <v>34</v>
      </c>
      <c r="DD5">
        <v>1</v>
      </c>
      <c r="DE5">
        <v>1.09424083769633</v>
      </c>
      <c r="DF5" t="s">
        <v>36</v>
      </c>
      <c r="DG5">
        <v>2</v>
      </c>
      <c r="DH5">
        <v>1.0085470085470001</v>
      </c>
    </row>
    <row r="6" spans="1:112" x14ac:dyDescent="0.4">
      <c r="A6">
        <v>4</v>
      </c>
      <c r="B6" t="s">
        <v>42</v>
      </c>
      <c r="C6">
        <v>1</v>
      </c>
      <c r="D6">
        <v>1.2525667351129299</v>
      </c>
      <c r="E6" t="s">
        <v>40</v>
      </c>
      <c r="F6">
        <v>3</v>
      </c>
      <c r="G6">
        <v>0.78388278388278299</v>
      </c>
      <c r="H6" t="s">
        <v>34</v>
      </c>
      <c r="I6">
        <v>1</v>
      </c>
      <c r="J6">
        <v>0.48458149779735599</v>
      </c>
      <c r="K6" t="s">
        <v>41</v>
      </c>
      <c r="L6">
        <v>1</v>
      </c>
      <c r="M6">
        <v>1.1046386930431</v>
      </c>
      <c r="N6" t="s">
        <v>41</v>
      </c>
      <c r="O6">
        <v>1</v>
      </c>
      <c r="P6">
        <v>1.96228285791006</v>
      </c>
      <c r="Q6" t="s">
        <v>34</v>
      </c>
      <c r="R6">
        <v>1</v>
      </c>
      <c r="S6">
        <v>1.18976897689768</v>
      </c>
      <c r="T6" t="s">
        <v>34</v>
      </c>
      <c r="U6">
        <v>1</v>
      </c>
      <c r="V6">
        <v>1.1428571428571399</v>
      </c>
      <c r="W6" t="s">
        <v>36</v>
      </c>
      <c r="X6">
        <v>2</v>
      </c>
      <c r="Y6">
        <v>0.76261682242990603</v>
      </c>
      <c r="Z6" t="s">
        <v>34</v>
      </c>
      <c r="AA6">
        <v>1</v>
      </c>
      <c r="AB6">
        <v>0.80364656381486599</v>
      </c>
      <c r="AC6" t="s">
        <v>36</v>
      </c>
      <c r="AD6">
        <v>2</v>
      </c>
      <c r="AE6">
        <v>0.98090692124104994</v>
      </c>
      <c r="AF6" t="s">
        <v>36</v>
      </c>
      <c r="AG6">
        <v>2</v>
      </c>
      <c r="AH6">
        <v>0.97080291970802901</v>
      </c>
      <c r="AI6" t="s">
        <v>36</v>
      </c>
      <c r="AJ6">
        <v>2</v>
      </c>
      <c r="AK6">
        <v>0.89473684210526305</v>
      </c>
      <c r="AL6" t="s">
        <v>37</v>
      </c>
      <c r="AM6">
        <v>3</v>
      </c>
      <c r="AN6">
        <v>0.94728108246106701</v>
      </c>
      <c r="AO6" t="s">
        <v>37</v>
      </c>
      <c r="AP6">
        <v>2</v>
      </c>
      <c r="AQ6">
        <v>1.06104298612046</v>
      </c>
      <c r="AR6" t="s">
        <v>34</v>
      </c>
      <c r="AS6">
        <v>1</v>
      </c>
      <c r="AT6">
        <v>0.83030303030302999</v>
      </c>
      <c r="AU6" t="s">
        <v>36</v>
      </c>
      <c r="AV6">
        <v>2</v>
      </c>
      <c r="AW6">
        <v>1.1162790697674401</v>
      </c>
      <c r="AX6" t="s">
        <v>36</v>
      </c>
      <c r="AY6">
        <v>2</v>
      </c>
      <c r="AZ6">
        <v>0.75249999999999995</v>
      </c>
      <c r="BA6" t="s">
        <v>36</v>
      </c>
      <c r="BB6">
        <v>2</v>
      </c>
      <c r="BC6">
        <v>1.1052048726467301</v>
      </c>
      <c r="BD6" t="s">
        <v>39</v>
      </c>
      <c r="BE6">
        <v>1</v>
      </c>
      <c r="BF6">
        <v>0.93358189996562901</v>
      </c>
      <c r="BG6" t="s">
        <v>39</v>
      </c>
      <c r="BH6">
        <v>1</v>
      </c>
      <c r="BI6">
        <v>1.03245427988314</v>
      </c>
      <c r="BJ6" t="s">
        <v>34</v>
      </c>
      <c r="BK6">
        <v>1</v>
      </c>
      <c r="BL6">
        <v>0.98241985522233699</v>
      </c>
      <c r="BM6" t="s">
        <v>35</v>
      </c>
      <c r="BN6">
        <v>3</v>
      </c>
      <c r="BO6">
        <v>0.791860958033064</v>
      </c>
      <c r="BP6" t="s">
        <v>35</v>
      </c>
      <c r="BQ6">
        <v>3</v>
      </c>
      <c r="BR6">
        <v>0.93683083511777299</v>
      </c>
      <c r="BS6" t="s">
        <v>35</v>
      </c>
      <c r="BT6">
        <v>3</v>
      </c>
      <c r="BU6">
        <v>1.1457142857142799</v>
      </c>
      <c r="BV6" t="s">
        <v>35</v>
      </c>
      <c r="BW6">
        <v>3</v>
      </c>
      <c r="BX6">
        <v>1.09576059850374</v>
      </c>
      <c r="BY6" t="s">
        <v>35</v>
      </c>
      <c r="BZ6">
        <v>3</v>
      </c>
      <c r="CA6">
        <v>1.0673645880746401</v>
      </c>
      <c r="CB6" t="s">
        <v>35</v>
      </c>
      <c r="CC6">
        <v>3</v>
      </c>
      <c r="CD6">
        <v>0.82601279317697196</v>
      </c>
      <c r="CE6" t="s">
        <v>35</v>
      </c>
      <c r="CF6">
        <v>3</v>
      </c>
      <c r="CG6">
        <v>1.16210635002581</v>
      </c>
      <c r="CH6" t="s">
        <v>34</v>
      </c>
      <c r="CI6">
        <v>1</v>
      </c>
      <c r="CJ6">
        <v>1.2083333333333299</v>
      </c>
      <c r="CK6" t="s">
        <v>44</v>
      </c>
      <c r="CL6">
        <v>2</v>
      </c>
      <c r="CM6">
        <v>1.2105263157894699</v>
      </c>
      <c r="CN6" t="s">
        <v>44</v>
      </c>
      <c r="CO6">
        <v>2</v>
      </c>
      <c r="CP6">
        <v>1.12201963534361</v>
      </c>
      <c r="CQ6" t="s">
        <v>44</v>
      </c>
      <c r="CR6">
        <v>2</v>
      </c>
      <c r="CS6">
        <v>0.98750000000000004</v>
      </c>
      <c r="CT6" t="s">
        <v>40</v>
      </c>
      <c r="CU6">
        <v>2</v>
      </c>
      <c r="CV6">
        <v>1.00477326968973</v>
      </c>
      <c r="CW6" t="s">
        <v>44</v>
      </c>
      <c r="CX6">
        <v>2</v>
      </c>
      <c r="CY6">
        <v>0.76886227544910102</v>
      </c>
      <c r="CZ6" t="s">
        <v>34</v>
      </c>
      <c r="DA6">
        <v>1</v>
      </c>
      <c r="DB6">
        <v>0.94204685573366198</v>
      </c>
      <c r="DC6" t="s">
        <v>37</v>
      </c>
      <c r="DD6">
        <v>2</v>
      </c>
      <c r="DE6">
        <v>0.76503759398496196</v>
      </c>
      <c r="DF6" t="s">
        <v>35</v>
      </c>
      <c r="DG6">
        <v>3</v>
      </c>
      <c r="DH6">
        <v>0.99839228295819904</v>
      </c>
    </row>
    <row r="7" spans="1:112" x14ac:dyDescent="0.4">
      <c r="A7">
        <v>5</v>
      </c>
      <c r="B7" t="s">
        <v>43</v>
      </c>
      <c r="C7">
        <v>2</v>
      </c>
      <c r="D7">
        <v>1.0972193329172699</v>
      </c>
      <c r="E7" t="s">
        <v>43</v>
      </c>
      <c r="F7">
        <v>2</v>
      </c>
      <c r="G7">
        <v>0.71307590216772998</v>
      </c>
      <c r="H7" t="s">
        <v>37</v>
      </c>
      <c r="I7">
        <v>2</v>
      </c>
      <c r="J7">
        <v>0.80999153259949197</v>
      </c>
      <c r="K7" t="s">
        <v>36</v>
      </c>
      <c r="L7">
        <v>1</v>
      </c>
      <c r="M7">
        <v>0.91340782122904995</v>
      </c>
      <c r="N7" t="s">
        <v>36</v>
      </c>
      <c r="O7">
        <v>1</v>
      </c>
      <c r="P7">
        <v>1.7645259938837901</v>
      </c>
      <c r="Q7" t="s">
        <v>37</v>
      </c>
      <c r="R7">
        <v>2</v>
      </c>
      <c r="S7">
        <v>0.87249964023600501</v>
      </c>
      <c r="T7" t="s">
        <v>37</v>
      </c>
      <c r="U7">
        <v>2</v>
      </c>
      <c r="V7">
        <v>0.92858320963219498</v>
      </c>
      <c r="W7" t="s">
        <v>34</v>
      </c>
      <c r="X7">
        <v>1</v>
      </c>
      <c r="Y7">
        <v>0.865291262135922</v>
      </c>
      <c r="Z7" t="s">
        <v>37</v>
      </c>
      <c r="AA7">
        <v>2</v>
      </c>
      <c r="AB7">
        <v>0.97066136250621504</v>
      </c>
      <c r="AC7" t="s">
        <v>34</v>
      </c>
      <c r="AD7">
        <v>1</v>
      </c>
      <c r="AE7">
        <v>1.31588132635253</v>
      </c>
      <c r="AF7" t="s">
        <v>34</v>
      </c>
      <c r="AG7">
        <v>1</v>
      </c>
      <c r="AH7">
        <v>1.43899204244031</v>
      </c>
      <c r="AI7" t="s">
        <v>34</v>
      </c>
      <c r="AJ7">
        <v>1</v>
      </c>
      <c r="AK7">
        <v>0.90414746543778801</v>
      </c>
      <c r="AL7" t="s">
        <v>43</v>
      </c>
      <c r="AM7">
        <v>3</v>
      </c>
      <c r="AN7">
        <v>0.76891070982774401</v>
      </c>
      <c r="AO7" t="s">
        <v>47</v>
      </c>
      <c r="AP7">
        <v>2</v>
      </c>
      <c r="AQ7">
        <v>1.0528</v>
      </c>
      <c r="AR7" t="s">
        <v>37</v>
      </c>
      <c r="AS7">
        <v>2</v>
      </c>
      <c r="AT7">
        <v>0.91376682753365501</v>
      </c>
      <c r="AU7" t="s">
        <v>34</v>
      </c>
      <c r="AV7">
        <v>1</v>
      </c>
      <c r="AW7">
        <v>1.3138686131386801</v>
      </c>
      <c r="AX7" t="s">
        <v>37</v>
      </c>
      <c r="AY7">
        <v>2</v>
      </c>
      <c r="AZ7">
        <v>0.95125980999586901</v>
      </c>
      <c r="BA7" t="s">
        <v>39</v>
      </c>
      <c r="BB7">
        <v>1</v>
      </c>
      <c r="BC7">
        <v>1.0840008747559899</v>
      </c>
      <c r="BD7" t="s">
        <v>34</v>
      </c>
      <c r="BE7">
        <v>1</v>
      </c>
      <c r="BF7">
        <v>0.88851351351351304</v>
      </c>
      <c r="BG7" t="s">
        <v>34</v>
      </c>
      <c r="BH7">
        <v>1</v>
      </c>
      <c r="BI7">
        <v>1.2256020278833899</v>
      </c>
      <c r="BJ7" t="s">
        <v>37</v>
      </c>
      <c r="BK7">
        <v>3</v>
      </c>
      <c r="BL7">
        <v>1.1351722783940299</v>
      </c>
      <c r="BM7" t="s">
        <v>34</v>
      </c>
      <c r="BN7">
        <v>1</v>
      </c>
      <c r="BO7">
        <v>0.92105263157894701</v>
      </c>
      <c r="BP7" t="s">
        <v>34</v>
      </c>
      <c r="BQ7">
        <v>1</v>
      </c>
      <c r="BR7">
        <v>1.1485714285714199</v>
      </c>
      <c r="BS7" t="s">
        <v>34</v>
      </c>
      <c r="BT7">
        <v>1</v>
      </c>
      <c r="BU7">
        <v>0.876616915422885</v>
      </c>
      <c r="BV7" t="s">
        <v>34</v>
      </c>
      <c r="BW7">
        <v>1</v>
      </c>
      <c r="BX7">
        <v>0.91486946651532297</v>
      </c>
      <c r="BY7" t="s">
        <v>34</v>
      </c>
      <c r="BZ7">
        <v>1</v>
      </c>
      <c r="CA7">
        <v>1.0843672456575599</v>
      </c>
      <c r="CB7" t="s">
        <v>34</v>
      </c>
      <c r="CC7">
        <v>1</v>
      </c>
      <c r="CD7">
        <v>0.77231121281464499</v>
      </c>
      <c r="CE7" t="s">
        <v>34</v>
      </c>
      <c r="CF7">
        <v>1</v>
      </c>
      <c r="CG7">
        <v>0.96</v>
      </c>
      <c r="CH7" t="s">
        <v>42</v>
      </c>
      <c r="CI7">
        <v>1</v>
      </c>
      <c r="CJ7">
        <v>1.04725274725274</v>
      </c>
      <c r="CK7" t="s">
        <v>46</v>
      </c>
      <c r="CL7">
        <v>3</v>
      </c>
      <c r="CM7">
        <v>1.02835538752362</v>
      </c>
      <c r="CN7" t="s">
        <v>47</v>
      </c>
      <c r="CO7">
        <v>2</v>
      </c>
      <c r="CP7">
        <v>1.00430107526881</v>
      </c>
      <c r="CQ7" t="s">
        <v>47</v>
      </c>
      <c r="CR7">
        <v>2</v>
      </c>
      <c r="CS7">
        <v>0.89293361884368305</v>
      </c>
      <c r="CT7" t="s">
        <v>44</v>
      </c>
      <c r="CU7">
        <v>2</v>
      </c>
      <c r="CV7">
        <v>1.05696202531645</v>
      </c>
      <c r="CW7" t="s">
        <v>58</v>
      </c>
      <c r="CX7">
        <v>3</v>
      </c>
      <c r="CY7">
        <v>0.896505376344086</v>
      </c>
      <c r="CZ7" t="s">
        <v>38</v>
      </c>
      <c r="DA7">
        <v>2</v>
      </c>
      <c r="DB7">
        <v>0.96495327102803696</v>
      </c>
      <c r="DC7" t="s">
        <v>38</v>
      </c>
      <c r="DD7">
        <v>2</v>
      </c>
      <c r="DE7">
        <v>0.99273607748184001</v>
      </c>
      <c r="DF7" t="s">
        <v>34</v>
      </c>
      <c r="DG7">
        <v>1</v>
      </c>
      <c r="DH7">
        <v>1.1052631578947301</v>
      </c>
    </row>
    <row r="8" spans="1:112" x14ac:dyDescent="0.4">
      <c r="A8">
        <v>6</v>
      </c>
      <c r="B8" t="s">
        <v>45</v>
      </c>
      <c r="C8">
        <v>3</v>
      </c>
      <c r="D8">
        <v>1.1572150477259899</v>
      </c>
      <c r="E8" t="s">
        <v>45</v>
      </c>
      <c r="F8">
        <v>3</v>
      </c>
      <c r="G8">
        <v>0.87578845220766599</v>
      </c>
      <c r="H8" t="s">
        <v>42</v>
      </c>
      <c r="I8">
        <v>1</v>
      </c>
      <c r="J8">
        <v>0.53435114503816705</v>
      </c>
      <c r="K8" t="s">
        <v>34</v>
      </c>
      <c r="L8">
        <v>1</v>
      </c>
      <c r="M8">
        <v>1.2242424242424199</v>
      </c>
      <c r="N8" t="s">
        <v>34</v>
      </c>
      <c r="O8">
        <v>1</v>
      </c>
      <c r="P8">
        <v>1.5</v>
      </c>
      <c r="Q8" t="s">
        <v>42</v>
      </c>
      <c r="R8">
        <v>1</v>
      </c>
      <c r="S8">
        <v>1.4142259414225899</v>
      </c>
      <c r="T8" t="s">
        <v>42</v>
      </c>
      <c r="U8">
        <v>1</v>
      </c>
      <c r="V8">
        <v>1.01479289940828</v>
      </c>
      <c r="W8" t="s">
        <v>37</v>
      </c>
      <c r="X8">
        <v>2</v>
      </c>
      <c r="Y8">
        <v>1.0715808170515</v>
      </c>
      <c r="Z8" t="s">
        <v>42</v>
      </c>
      <c r="AA8">
        <v>1</v>
      </c>
      <c r="AB8">
        <v>1.4390804597701099</v>
      </c>
      <c r="AC8" t="s">
        <v>37</v>
      </c>
      <c r="AD8">
        <v>3</v>
      </c>
      <c r="AE8">
        <v>1.1764002732240399</v>
      </c>
      <c r="AF8" t="s">
        <v>37</v>
      </c>
      <c r="AG8">
        <v>3</v>
      </c>
      <c r="AH8">
        <v>1.1114820728697901</v>
      </c>
      <c r="AI8" t="s">
        <v>37</v>
      </c>
      <c r="AJ8">
        <v>3</v>
      </c>
      <c r="AK8">
        <v>1.0231161029123601</v>
      </c>
      <c r="AL8" t="s">
        <v>45</v>
      </c>
      <c r="AM8">
        <v>3</v>
      </c>
      <c r="AN8">
        <v>1.4018691588784999</v>
      </c>
      <c r="AO8" t="s">
        <v>51</v>
      </c>
      <c r="AP8">
        <v>3</v>
      </c>
      <c r="AQ8">
        <v>0.91608391608391604</v>
      </c>
      <c r="AR8" t="s">
        <v>40</v>
      </c>
      <c r="AS8">
        <v>3</v>
      </c>
      <c r="AT8">
        <v>0.86346396965865901</v>
      </c>
      <c r="AU8" t="s">
        <v>37</v>
      </c>
      <c r="AV8">
        <v>2</v>
      </c>
      <c r="AW8">
        <v>1.00945100764419</v>
      </c>
      <c r="AX8" t="s">
        <v>40</v>
      </c>
      <c r="AY8">
        <v>3</v>
      </c>
      <c r="AZ8">
        <v>0.922885572139303</v>
      </c>
      <c r="BA8" t="s">
        <v>34</v>
      </c>
      <c r="BB8">
        <v>1</v>
      </c>
      <c r="BC8">
        <v>0.89067201604814406</v>
      </c>
      <c r="BD8" t="s">
        <v>37</v>
      </c>
      <c r="BE8">
        <v>3</v>
      </c>
      <c r="BF8">
        <v>1.1711229946524</v>
      </c>
      <c r="BG8" t="s">
        <v>37</v>
      </c>
      <c r="BH8">
        <v>3</v>
      </c>
      <c r="BI8">
        <v>1.2921106037544301</v>
      </c>
      <c r="BJ8" t="s">
        <v>38</v>
      </c>
      <c r="BK8">
        <v>1</v>
      </c>
      <c r="BL8">
        <v>1.02659574468085</v>
      </c>
      <c r="BM8" t="s">
        <v>38</v>
      </c>
      <c r="BN8">
        <v>2</v>
      </c>
      <c r="BO8">
        <v>1.2487046632124299</v>
      </c>
      <c r="BP8" t="s">
        <v>37</v>
      </c>
      <c r="BQ8">
        <v>2</v>
      </c>
      <c r="BR8">
        <v>1.16153530377668</v>
      </c>
      <c r="BS8" t="s">
        <v>46</v>
      </c>
      <c r="BT8">
        <v>3</v>
      </c>
      <c r="BU8">
        <v>1.2311075569772001</v>
      </c>
      <c r="BV8" t="s">
        <v>44</v>
      </c>
      <c r="BW8">
        <v>2</v>
      </c>
      <c r="BX8">
        <v>1.04239917269906</v>
      </c>
      <c r="BY8" t="s">
        <v>44</v>
      </c>
      <c r="BZ8">
        <v>2</v>
      </c>
      <c r="CA8">
        <v>1.2083333333333299</v>
      </c>
      <c r="CB8" t="s">
        <v>38</v>
      </c>
      <c r="CC8">
        <v>1</v>
      </c>
      <c r="CD8">
        <v>0.97482837528604105</v>
      </c>
      <c r="CE8" t="s">
        <v>38</v>
      </c>
      <c r="CF8">
        <v>1</v>
      </c>
      <c r="CG8">
        <v>1.11267605633802</v>
      </c>
      <c r="CH8" t="s">
        <v>44</v>
      </c>
      <c r="CI8">
        <v>2</v>
      </c>
      <c r="CJ8">
        <v>1.31914893617021</v>
      </c>
      <c r="CK8" t="s">
        <v>47</v>
      </c>
      <c r="CL8">
        <v>2</v>
      </c>
      <c r="CM8">
        <v>0.79148936170212703</v>
      </c>
      <c r="CN8" t="s">
        <v>52</v>
      </c>
      <c r="CO8">
        <v>1</v>
      </c>
      <c r="CP8">
        <v>0.88268156424581001</v>
      </c>
      <c r="CQ8" t="s">
        <v>52</v>
      </c>
      <c r="CR8">
        <v>1</v>
      </c>
      <c r="CS8">
        <v>0.949367088607594</v>
      </c>
      <c r="CT8" t="s">
        <v>58</v>
      </c>
      <c r="CU8">
        <v>3</v>
      </c>
      <c r="CV8">
        <v>0.96875</v>
      </c>
      <c r="CW8" t="s">
        <v>53</v>
      </c>
      <c r="CX8">
        <v>2</v>
      </c>
      <c r="CY8">
        <v>1.1523809523809501</v>
      </c>
      <c r="CZ8" t="s">
        <v>42</v>
      </c>
      <c r="DA8">
        <v>1</v>
      </c>
      <c r="DB8">
        <v>0.89153754469606605</v>
      </c>
      <c r="DC8" t="s">
        <v>42</v>
      </c>
      <c r="DD8">
        <v>1</v>
      </c>
      <c r="DE8">
        <v>1.02272727272727</v>
      </c>
      <c r="DF8" t="s">
        <v>37</v>
      </c>
      <c r="DG8">
        <v>2</v>
      </c>
      <c r="DH8">
        <v>0.91400491400491402</v>
      </c>
    </row>
    <row r="9" spans="1:112" x14ac:dyDescent="0.4">
      <c r="A9">
        <v>7</v>
      </c>
      <c r="B9" t="s">
        <v>49</v>
      </c>
      <c r="C9">
        <v>3</v>
      </c>
      <c r="D9">
        <v>1.1314741035856499</v>
      </c>
      <c r="E9" t="s">
        <v>47</v>
      </c>
      <c r="F9">
        <v>2</v>
      </c>
      <c r="G9">
        <v>0.92738589211618205</v>
      </c>
      <c r="H9" t="s">
        <v>43</v>
      </c>
      <c r="I9">
        <v>2</v>
      </c>
      <c r="J9">
        <v>0.36922804218736099</v>
      </c>
      <c r="K9" t="s">
        <v>37</v>
      </c>
      <c r="L9">
        <v>2</v>
      </c>
      <c r="M9">
        <v>1.0351243989128101</v>
      </c>
      <c r="N9" t="s">
        <v>37</v>
      </c>
      <c r="O9">
        <v>2</v>
      </c>
      <c r="P9">
        <v>1.40355483740658</v>
      </c>
      <c r="Q9" t="s">
        <v>43</v>
      </c>
      <c r="R9">
        <v>2</v>
      </c>
      <c r="S9">
        <v>0.81785599657644104</v>
      </c>
      <c r="T9" t="s">
        <v>43</v>
      </c>
      <c r="U9">
        <v>2</v>
      </c>
      <c r="V9">
        <v>0.92576362090391695</v>
      </c>
      <c r="W9" t="s">
        <v>42</v>
      </c>
      <c r="X9">
        <v>1</v>
      </c>
      <c r="Y9">
        <v>1.2682215743440199</v>
      </c>
      <c r="Z9" t="s">
        <v>43</v>
      </c>
      <c r="AA9">
        <v>2</v>
      </c>
      <c r="AB9">
        <v>0.92176815369586396</v>
      </c>
      <c r="AC9" t="s">
        <v>43</v>
      </c>
      <c r="AD9">
        <v>3</v>
      </c>
      <c r="AE9">
        <v>0.99531926167976603</v>
      </c>
      <c r="AF9" t="s">
        <v>43</v>
      </c>
      <c r="AG9">
        <v>3</v>
      </c>
      <c r="AH9">
        <v>1.1492457852706299</v>
      </c>
      <c r="AI9" t="s">
        <v>43</v>
      </c>
      <c r="AJ9">
        <v>3</v>
      </c>
      <c r="AK9">
        <v>0.92781037677578704</v>
      </c>
      <c r="AL9" t="s">
        <v>47</v>
      </c>
      <c r="AM9">
        <v>2</v>
      </c>
      <c r="AN9">
        <v>1.04340567612687</v>
      </c>
      <c r="AO9" t="s">
        <v>55</v>
      </c>
      <c r="AP9">
        <v>2</v>
      </c>
      <c r="AQ9">
        <v>0.90095238095238095</v>
      </c>
      <c r="AR9" t="s">
        <v>47</v>
      </c>
      <c r="AS9">
        <v>2</v>
      </c>
      <c r="AT9">
        <v>0.96656534954407203</v>
      </c>
      <c r="AU9" t="s">
        <v>47</v>
      </c>
      <c r="AV9">
        <v>2</v>
      </c>
      <c r="AW9">
        <v>1.02830188679245</v>
      </c>
      <c r="AX9" t="s">
        <v>44</v>
      </c>
      <c r="AY9">
        <v>2</v>
      </c>
      <c r="AZ9">
        <v>0.82548677709967999</v>
      </c>
      <c r="BA9" t="s">
        <v>37</v>
      </c>
      <c r="BB9">
        <v>3</v>
      </c>
      <c r="BC9">
        <v>0.97438124185844499</v>
      </c>
      <c r="BD9" t="s">
        <v>40</v>
      </c>
      <c r="BE9">
        <v>3</v>
      </c>
      <c r="BF9">
        <v>1.09759036144578</v>
      </c>
      <c r="BG9" t="s">
        <v>38</v>
      </c>
      <c r="BH9">
        <v>1</v>
      </c>
      <c r="BI9">
        <v>1.2617449664429501</v>
      </c>
      <c r="BJ9" t="s">
        <v>40</v>
      </c>
      <c r="BK9">
        <v>3</v>
      </c>
      <c r="BL9">
        <v>1.5760869565217299</v>
      </c>
      <c r="BM9" t="s">
        <v>40</v>
      </c>
      <c r="BN9">
        <v>3</v>
      </c>
      <c r="BO9">
        <v>1.2620689655172399</v>
      </c>
      <c r="BP9" t="s">
        <v>38</v>
      </c>
      <c r="BQ9">
        <v>2</v>
      </c>
      <c r="BR9">
        <v>0.99170124481327804</v>
      </c>
      <c r="BS9" t="s">
        <v>47</v>
      </c>
      <c r="BT9">
        <v>2</v>
      </c>
      <c r="BU9">
        <v>1.00750938673341</v>
      </c>
      <c r="BV9" t="s">
        <v>47</v>
      </c>
      <c r="BW9">
        <v>2</v>
      </c>
      <c r="BX9">
        <v>1.23602484472049</v>
      </c>
      <c r="BY9" t="s">
        <v>47</v>
      </c>
      <c r="BZ9">
        <v>2</v>
      </c>
      <c r="CA9">
        <v>1.23115577889447</v>
      </c>
      <c r="CB9" t="s">
        <v>44</v>
      </c>
      <c r="CC9">
        <v>2</v>
      </c>
      <c r="CD9">
        <v>0.798029556650246</v>
      </c>
      <c r="CE9" t="s">
        <v>44</v>
      </c>
      <c r="CF9">
        <v>2</v>
      </c>
      <c r="CG9">
        <v>0.91872427983539096</v>
      </c>
      <c r="CH9" t="s">
        <v>46</v>
      </c>
      <c r="CI9">
        <v>3</v>
      </c>
      <c r="CJ9">
        <v>0.87728026533996595</v>
      </c>
      <c r="CK9" t="s">
        <v>50</v>
      </c>
      <c r="CL9">
        <v>3</v>
      </c>
      <c r="CM9">
        <v>0.83132530120481896</v>
      </c>
      <c r="CN9" t="s">
        <v>55</v>
      </c>
      <c r="CO9">
        <v>2</v>
      </c>
      <c r="CP9">
        <v>0.92725030826140498</v>
      </c>
      <c r="CQ9" t="s">
        <v>53</v>
      </c>
      <c r="CR9">
        <v>1</v>
      </c>
      <c r="CS9">
        <v>0.93605683836589604</v>
      </c>
      <c r="CT9" t="s">
        <v>53</v>
      </c>
      <c r="CU9">
        <v>1</v>
      </c>
      <c r="CV9">
        <v>0.896584440227704</v>
      </c>
      <c r="CW9" t="s">
        <v>59</v>
      </c>
      <c r="CX9">
        <v>1</v>
      </c>
      <c r="CY9">
        <v>1.12719298245614</v>
      </c>
      <c r="CZ9" t="s">
        <v>44</v>
      </c>
      <c r="DA9">
        <v>2</v>
      </c>
      <c r="DB9">
        <v>1.21028037383177</v>
      </c>
      <c r="DC9" t="s">
        <v>40</v>
      </c>
      <c r="DD9">
        <v>3</v>
      </c>
      <c r="DE9">
        <v>1.04810996563573</v>
      </c>
      <c r="DF9" t="s">
        <v>38</v>
      </c>
      <c r="DG9">
        <v>2</v>
      </c>
      <c r="DH9">
        <v>1.0170731707317</v>
      </c>
    </row>
    <row r="10" spans="1:112" x14ac:dyDescent="0.4">
      <c r="A10">
        <v>8</v>
      </c>
      <c r="B10" t="s">
        <v>47</v>
      </c>
      <c r="C10">
        <v>2</v>
      </c>
      <c r="D10">
        <v>0.99896373056994803</v>
      </c>
      <c r="E10" t="s">
        <v>50</v>
      </c>
      <c r="F10">
        <v>3</v>
      </c>
      <c r="G10">
        <v>0.85638551513281502</v>
      </c>
      <c r="H10" t="s">
        <v>44</v>
      </c>
      <c r="I10">
        <v>2</v>
      </c>
      <c r="J10">
        <v>0.49274267975501301</v>
      </c>
      <c r="K10" t="s">
        <v>38</v>
      </c>
      <c r="L10">
        <v>1</v>
      </c>
      <c r="M10">
        <v>0.91307529084656402</v>
      </c>
      <c r="N10" t="s">
        <v>38</v>
      </c>
      <c r="O10">
        <v>1</v>
      </c>
      <c r="P10">
        <v>1.10313326388332</v>
      </c>
      <c r="Q10" t="s">
        <v>44</v>
      </c>
      <c r="R10">
        <v>2</v>
      </c>
      <c r="S10">
        <v>1.13992925509779</v>
      </c>
      <c r="T10" t="s">
        <v>45</v>
      </c>
      <c r="U10">
        <v>3</v>
      </c>
      <c r="V10">
        <v>0.99222222222222201</v>
      </c>
      <c r="W10" t="s">
        <v>43</v>
      </c>
      <c r="X10">
        <v>2</v>
      </c>
      <c r="Y10">
        <v>0.86788187084922896</v>
      </c>
      <c r="Z10" t="s">
        <v>45</v>
      </c>
      <c r="AA10">
        <v>3</v>
      </c>
      <c r="AB10">
        <v>1.39839572192513</v>
      </c>
      <c r="AC10" t="s">
        <v>54</v>
      </c>
      <c r="AD10">
        <v>3</v>
      </c>
      <c r="AE10">
        <v>1.0277777777777699</v>
      </c>
      <c r="AF10" t="s">
        <v>54</v>
      </c>
      <c r="AG10">
        <v>3</v>
      </c>
      <c r="AH10">
        <v>1.0270270270270201</v>
      </c>
      <c r="AI10" t="s">
        <v>54</v>
      </c>
      <c r="AJ10">
        <v>3</v>
      </c>
      <c r="AK10">
        <v>0.83789473684210503</v>
      </c>
      <c r="AL10" t="s">
        <v>53</v>
      </c>
      <c r="AM10">
        <v>2</v>
      </c>
      <c r="AN10">
        <v>1.1717032967032901</v>
      </c>
      <c r="AO10" t="s">
        <v>56</v>
      </c>
      <c r="AP10">
        <v>2</v>
      </c>
      <c r="AQ10">
        <v>0.82439299830604096</v>
      </c>
      <c r="AR10" t="s">
        <v>55</v>
      </c>
      <c r="AS10">
        <v>2</v>
      </c>
      <c r="AT10">
        <v>0.91966173361522197</v>
      </c>
      <c r="AU10" t="s">
        <v>55</v>
      </c>
      <c r="AV10">
        <v>2</v>
      </c>
      <c r="AW10">
        <v>1.18160919540229</v>
      </c>
      <c r="AX10" t="s">
        <v>47</v>
      </c>
      <c r="AY10">
        <v>2</v>
      </c>
      <c r="AZ10">
        <v>0.91131498470948002</v>
      </c>
      <c r="BA10" t="s">
        <v>40</v>
      </c>
      <c r="BB10">
        <v>3</v>
      </c>
      <c r="BC10">
        <v>1.11859838274932</v>
      </c>
      <c r="BD10" t="s">
        <v>44</v>
      </c>
      <c r="BE10">
        <v>2</v>
      </c>
      <c r="BF10">
        <v>0.76644694325966101</v>
      </c>
      <c r="BG10" t="s">
        <v>40</v>
      </c>
      <c r="BH10">
        <v>3</v>
      </c>
      <c r="BI10">
        <v>1.0098792535675001</v>
      </c>
      <c r="BJ10" t="s">
        <v>44</v>
      </c>
      <c r="BK10">
        <v>2</v>
      </c>
      <c r="BL10">
        <v>0.908056358381502</v>
      </c>
      <c r="BM10" t="s">
        <v>44</v>
      </c>
      <c r="BN10">
        <v>2</v>
      </c>
      <c r="BO10">
        <v>0.82414959220210804</v>
      </c>
      <c r="BP10" t="s">
        <v>44</v>
      </c>
      <c r="BQ10">
        <v>2</v>
      </c>
      <c r="BR10">
        <v>1.13927105961863</v>
      </c>
      <c r="BS10" t="s">
        <v>51</v>
      </c>
      <c r="BT10">
        <v>3</v>
      </c>
      <c r="BU10">
        <v>1.1247947454844001</v>
      </c>
      <c r="BV10" t="s">
        <v>51</v>
      </c>
      <c r="BW10">
        <v>3</v>
      </c>
      <c r="BX10">
        <v>1.35620437956204</v>
      </c>
      <c r="BY10" t="s">
        <v>50</v>
      </c>
      <c r="BZ10">
        <v>3</v>
      </c>
      <c r="CA10">
        <v>0.84326018808777403</v>
      </c>
      <c r="CB10" t="s">
        <v>46</v>
      </c>
      <c r="CC10">
        <v>3</v>
      </c>
      <c r="CD10">
        <v>0.93724917913170303</v>
      </c>
      <c r="CE10" t="s">
        <v>46</v>
      </c>
      <c r="CF10">
        <v>3</v>
      </c>
      <c r="CG10">
        <v>1.17360840794083</v>
      </c>
      <c r="CH10" t="s">
        <v>47</v>
      </c>
      <c r="CI10">
        <v>2</v>
      </c>
      <c r="CJ10">
        <v>1.0930232558139501</v>
      </c>
      <c r="CK10" t="s">
        <v>58</v>
      </c>
      <c r="CL10">
        <v>3</v>
      </c>
      <c r="CM10">
        <v>0.98666666666666603</v>
      </c>
      <c r="CN10" t="s">
        <v>56</v>
      </c>
      <c r="CO10">
        <v>3</v>
      </c>
      <c r="CP10">
        <v>0.86251342642319995</v>
      </c>
      <c r="CQ10" t="s">
        <v>55</v>
      </c>
      <c r="CR10">
        <v>2</v>
      </c>
      <c r="CS10">
        <v>0.83643617021276595</v>
      </c>
      <c r="CT10" t="s">
        <v>59</v>
      </c>
      <c r="CU10">
        <v>1</v>
      </c>
      <c r="CV10">
        <v>0.9</v>
      </c>
      <c r="CW10" t="s">
        <v>62</v>
      </c>
      <c r="CX10">
        <v>3</v>
      </c>
      <c r="CY10">
        <v>0.99613152804642102</v>
      </c>
      <c r="CZ10" t="s">
        <v>58</v>
      </c>
      <c r="DA10">
        <v>3</v>
      </c>
      <c r="DB10">
        <v>1.07496251874062</v>
      </c>
      <c r="DC10" t="s">
        <v>44</v>
      </c>
      <c r="DD10">
        <v>2</v>
      </c>
      <c r="DE10">
        <v>0.86872586872586799</v>
      </c>
      <c r="DF10" t="s">
        <v>42</v>
      </c>
      <c r="DG10">
        <v>1</v>
      </c>
      <c r="DH10">
        <v>1.0209150326797301</v>
      </c>
    </row>
    <row r="11" spans="1:112" x14ac:dyDescent="0.4">
      <c r="A11">
        <v>9</v>
      </c>
      <c r="B11" t="s">
        <v>50</v>
      </c>
      <c r="C11">
        <v>3</v>
      </c>
      <c r="D11">
        <v>0.94995869860641102</v>
      </c>
      <c r="E11" t="s">
        <v>53</v>
      </c>
      <c r="F11">
        <v>2</v>
      </c>
      <c r="G11">
        <v>1.0169851380042401</v>
      </c>
      <c r="H11" t="s">
        <v>45</v>
      </c>
      <c r="I11">
        <v>3</v>
      </c>
      <c r="J11">
        <v>0.79889196675900198</v>
      </c>
      <c r="K11" t="s">
        <v>42</v>
      </c>
      <c r="L11">
        <v>1</v>
      </c>
      <c r="M11">
        <v>0.95857142857142796</v>
      </c>
      <c r="N11" t="s">
        <v>42</v>
      </c>
      <c r="O11">
        <v>1</v>
      </c>
      <c r="P11">
        <v>1.78092399403874</v>
      </c>
      <c r="Q11" t="s">
        <v>47</v>
      </c>
      <c r="R11">
        <v>2</v>
      </c>
      <c r="S11">
        <v>1.0909090909090899</v>
      </c>
      <c r="T11" t="s">
        <v>47</v>
      </c>
      <c r="U11">
        <v>2</v>
      </c>
      <c r="V11">
        <v>0.94934640522875802</v>
      </c>
      <c r="W11" t="s">
        <v>45</v>
      </c>
      <c r="X11">
        <v>3</v>
      </c>
      <c r="Y11">
        <v>1.0470324748040301</v>
      </c>
      <c r="Z11" t="s">
        <v>47</v>
      </c>
      <c r="AA11">
        <v>2</v>
      </c>
      <c r="AB11">
        <v>0.94862385321100895</v>
      </c>
      <c r="AC11" t="s">
        <v>45</v>
      </c>
      <c r="AD11">
        <v>3</v>
      </c>
      <c r="AE11">
        <v>0.94837476099426299</v>
      </c>
      <c r="AF11" t="s">
        <v>45</v>
      </c>
      <c r="AG11">
        <v>3</v>
      </c>
      <c r="AH11">
        <v>1.69354838709677</v>
      </c>
      <c r="AI11" t="s">
        <v>45</v>
      </c>
      <c r="AJ11">
        <v>3</v>
      </c>
      <c r="AK11">
        <v>1.0190476190476101</v>
      </c>
      <c r="AL11" t="s">
        <v>55</v>
      </c>
      <c r="AM11">
        <v>2</v>
      </c>
      <c r="AN11">
        <v>0.94086021505376305</v>
      </c>
      <c r="AO11" t="s">
        <v>60</v>
      </c>
      <c r="AP11">
        <v>3</v>
      </c>
      <c r="AQ11">
        <v>0.91416309012875496</v>
      </c>
      <c r="AR11" t="s">
        <v>56</v>
      </c>
      <c r="AS11">
        <v>2</v>
      </c>
      <c r="AT11">
        <v>0.693493150684931</v>
      </c>
      <c r="AU11" t="s">
        <v>56</v>
      </c>
      <c r="AV11">
        <v>2</v>
      </c>
      <c r="AW11">
        <v>1.2083950617283901</v>
      </c>
      <c r="AX11" t="s">
        <v>51</v>
      </c>
      <c r="AY11">
        <v>3</v>
      </c>
      <c r="AZ11">
        <v>1.02433628318584</v>
      </c>
      <c r="BA11" t="s">
        <v>44</v>
      </c>
      <c r="BB11">
        <v>2</v>
      </c>
      <c r="BC11">
        <v>1.3619081147685199</v>
      </c>
      <c r="BD11" t="s">
        <v>47</v>
      </c>
      <c r="BE11">
        <v>2</v>
      </c>
      <c r="BF11">
        <v>0.98719999999999997</v>
      </c>
      <c r="BG11" t="s">
        <v>44</v>
      </c>
      <c r="BH11">
        <v>2</v>
      </c>
      <c r="BI11">
        <v>0.933558178752107</v>
      </c>
      <c r="BJ11" t="s">
        <v>54</v>
      </c>
      <c r="BK11">
        <v>3</v>
      </c>
      <c r="BL11">
        <v>1.26595744680851</v>
      </c>
      <c r="BM11" t="s">
        <v>54</v>
      </c>
      <c r="BN11">
        <v>3</v>
      </c>
      <c r="BO11">
        <v>1.5596638655462101</v>
      </c>
      <c r="BP11" t="s">
        <v>47</v>
      </c>
      <c r="BQ11">
        <v>2</v>
      </c>
      <c r="BR11">
        <v>1.0540897097625299</v>
      </c>
      <c r="BS11" t="s">
        <v>55</v>
      </c>
      <c r="BT11">
        <v>2</v>
      </c>
      <c r="BU11">
        <v>1.0022598870056401</v>
      </c>
      <c r="BV11" t="s">
        <v>55</v>
      </c>
      <c r="BW11">
        <v>2</v>
      </c>
      <c r="BX11">
        <v>0.99774520856820703</v>
      </c>
      <c r="BY11" t="s">
        <v>58</v>
      </c>
      <c r="BZ11">
        <v>2</v>
      </c>
      <c r="CA11">
        <v>1.0322580645161199</v>
      </c>
      <c r="CB11" t="s">
        <v>47</v>
      </c>
      <c r="CC11">
        <v>2</v>
      </c>
      <c r="CD11">
        <v>1.0408163265306101</v>
      </c>
      <c r="CE11" t="s">
        <v>50</v>
      </c>
      <c r="CF11">
        <v>3</v>
      </c>
      <c r="CG11">
        <v>0.88770053475935795</v>
      </c>
      <c r="CH11" t="s">
        <v>50</v>
      </c>
      <c r="CI11">
        <v>3</v>
      </c>
      <c r="CJ11">
        <v>1</v>
      </c>
      <c r="CK11" t="s">
        <v>55</v>
      </c>
      <c r="CL11">
        <v>2</v>
      </c>
      <c r="CM11">
        <v>0.98902439024390199</v>
      </c>
      <c r="CN11" t="s">
        <v>59</v>
      </c>
      <c r="CO11">
        <v>1</v>
      </c>
      <c r="CP11">
        <v>0.96234939759036098</v>
      </c>
      <c r="CQ11" t="s">
        <v>59</v>
      </c>
      <c r="CR11">
        <v>1</v>
      </c>
      <c r="CS11">
        <v>1.1893583724569601</v>
      </c>
      <c r="CT11" t="s">
        <v>62</v>
      </c>
      <c r="CU11">
        <v>3</v>
      </c>
      <c r="CV11">
        <v>0.95740740740740704</v>
      </c>
      <c r="CW11" t="s">
        <v>64</v>
      </c>
      <c r="CX11">
        <v>3</v>
      </c>
      <c r="CY11">
        <v>1.0079575596816901</v>
      </c>
      <c r="CZ11" t="s">
        <v>67</v>
      </c>
      <c r="DA11">
        <v>3</v>
      </c>
      <c r="DB11">
        <v>0.90888382687927105</v>
      </c>
      <c r="DC11" t="s">
        <v>45</v>
      </c>
      <c r="DD11">
        <v>3</v>
      </c>
      <c r="DE11">
        <v>1.0021459227467799</v>
      </c>
      <c r="DF11" t="s">
        <v>44</v>
      </c>
      <c r="DG11">
        <v>2</v>
      </c>
      <c r="DH11">
        <v>1.1437037037036999</v>
      </c>
    </row>
    <row r="12" spans="1:112" x14ac:dyDescent="0.4">
      <c r="A12">
        <v>10</v>
      </c>
      <c r="B12" t="s">
        <v>53</v>
      </c>
      <c r="C12">
        <v>2</v>
      </c>
      <c r="D12">
        <v>1.06681766704416</v>
      </c>
      <c r="E12" t="s">
        <v>57</v>
      </c>
      <c r="F12">
        <v>2</v>
      </c>
      <c r="G12">
        <v>0.60509554140127297</v>
      </c>
      <c r="H12" t="s">
        <v>47</v>
      </c>
      <c r="I12">
        <v>2</v>
      </c>
      <c r="J12">
        <v>0.59843400447427297</v>
      </c>
      <c r="K12" t="s">
        <v>44</v>
      </c>
      <c r="L12">
        <v>2</v>
      </c>
      <c r="M12">
        <v>0.99012429763323595</v>
      </c>
      <c r="N12" t="s">
        <v>43</v>
      </c>
      <c r="O12">
        <v>2</v>
      </c>
      <c r="P12">
        <v>1.5890853451207001</v>
      </c>
      <c r="Q12" t="s">
        <v>50</v>
      </c>
      <c r="R12">
        <v>3</v>
      </c>
      <c r="S12">
        <v>0.98097394478050703</v>
      </c>
      <c r="T12" t="s">
        <v>50</v>
      </c>
      <c r="U12">
        <v>3</v>
      </c>
      <c r="V12">
        <v>0.98704698911395805</v>
      </c>
      <c r="W12" t="s">
        <v>47</v>
      </c>
      <c r="X12">
        <v>2</v>
      </c>
      <c r="Y12">
        <v>0.93803786574870895</v>
      </c>
      <c r="Z12" t="s">
        <v>50</v>
      </c>
      <c r="AA12">
        <v>3</v>
      </c>
      <c r="AB12">
        <v>1.01039273215737</v>
      </c>
      <c r="AC12" t="s">
        <v>47</v>
      </c>
      <c r="AD12">
        <v>2</v>
      </c>
      <c r="AE12">
        <v>1.0580270793036699</v>
      </c>
      <c r="AF12" t="s">
        <v>47</v>
      </c>
      <c r="AG12">
        <v>2</v>
      </c>
      <c r="AH12">
        <v>1.17915904936014</v>
      </c>
      <c r="AI12" t="s">
        <v>47</v>
      </c>
      <c r="AJ12">
        <v>2</v>
      </c>
      <c r="AK12">
        <v>0.92868217054263502</v>
      </c>
      <c r="AL12" t="s">
        <v>56</v>
      </c>
      <c r="AM12">
        <v>2</v>
      </c>
      <c r="AN12">
        <v>0.85062439961575398</v>
      </c>
      <c r="AO12" t="s">
        <v>62</v>
      </c>
      <c r="AP12">
        <v>3</v>
      </c>
      <c r="AQ12">
        <v>0.92500000000000004</v>
      </c>
      <c r="AR12" t="s">
        <v>60</v>
      </c>
      <c r="AS12">
        <v>3</v>
      </c>
      <c r="AT12">
        <v>0.73802816901408397</v>
      </c>
      <c r="AU12" t="s">
        <v>60</v>
      </c>
      <c r="AV12">
        <v>3</v>
      </c>
      <c r="AW12">
        <v>1.3422391857506299</v>
      </c>
      <c r="AX12" t="s">
        <v>55</v>
      </c>
      <c r="AY12">
        <v>2</v>
      </c>
      <c r="AZ12">
        <v>0.83171206225680905</v>
      </c>
      <c r="BA12" t="s">
        <v>47</v>
      </c>
      <c r="BB12">
        <v>2</v>
      </c>
      <c r="BC12">
        <v>1.0486577181208001</v>
      </c>
      <c r="BD12" t="s">
        <v>51</v>
      </c>
      <c r="BE12">
        <v>3</v>
      </c>
      <c r="BF12">
        <v>0.96380952380952301</v>
      </c>
      <c r="BG12" t="s">
        <v>46</v>
      </c>
      <c r="BH12">
        <v>2</v>
      </c>
      <c r="BI12">
        <v>1.0610496251338799</v>
      </c>
      <c r="BJ12" t="s">
        <v>47</v>
      </c>
      <c r="BK12">
        <v>2</v>
      </c>
      <c r="BL12">
        <v>1.16875</v>
      </c>
      <c r="BM12" t="s">
        <v>47</v>
      </c>
      <c r="BN12">
        <v>2</v>
      </c>
      <c r="BO12">
        <v>1.01336898395721</v>
      </c>
      <c r="BP12" t="s">
        <v>51</v>
      </c>
      <c r="BQ12">
        <v>3</v>
      </c>
      <c r="BR12">
        <v>0.94565217391304301</v>
      </c>
      <c r="BS12" t="s">
        <v>62</v>
      </c>
      <c r="BT12">
        <v>3</v>
      </c>
      <c r="BU12">
        <v>1.05284552845528</v>
      </c>
      <c r="BV12" t="s">
        <v>62</v>
      </c>
      <c r="BW12">
        <v>3</v>
      </c>
      <c r="BX12">
        <v>1.11389961389961</v>
      </c>
      <c r="BY12" t="s">
        <v>55</v>
      </c>
      <c r="BZ12">
        <v>2</v>
      </c>
      <c r="CA12">
        <v>1.08474576271186</v>
      </c>
      <c r="CB12" t="s">
        <v>50</v>
      </c>
      <c r="CC12">
        <v>3</v>
      </c>
      <c r="CD12">
        <v>1.0427509293680199</v>
      </c>
      <c r="CE12" t="s">
        <v>58</v>
      </c>
      <c r="CF12">
        <v>2</v>
      </c>
      <c r="CG12">
        <v>1.09853528628495</v>
      </c>
      <c r="CH12" t="s">
        <v>58</v>
      </c>
      <c r="CI12">
        <v>2</v>
      </c>
      <c r="CJ12">
        <v>1</v>
      </c>
      <c r="CK12" t="s">
        <v>56</v>
      </c>
      <c r="CL12">
        <v>3</v>
      </c>
      <c r="CM12">
        <v>0.77907949790794895</v>
      </c>
      <c r="CN12" t="s">
        <v>62</v>
      </c>
      <c r="CO12">
        <v>3</v>
      </c>
      <c r="CP12">
        <v>0.80030487804878003</v>
      </c>
      <c r="CQ12" t="s">
        <v>62</v>
      </c>
      <c r="CR12">
        <v>3</v>
      </c>
      <c r="CS12">
        <v>1.02857142857142</v>
      </c>
      <c r="CT12" t="s">
        <v>64</v>
      </c>
      <c r="CU12">
        <v>2</v>
      </c>
      <c r="CV12">
        <v>1.0272479564032599</v>
      </c>
      <c r="CW12" t="s">
        <v>65</v>
      </c>
      <c r="CX12">
        <v>1</v>
      </c>
      <c r="CY12">
        <v>0.97858592331517602</v>
      </c>
      <c r="CZ12" t="s">
        <v>53</v>
      </c>
      <c r="DA12">
        <v>2</v>
      </c>
      <c r="DB12">
        <v>0.96051423324150598</v>
      </c>
      <c r="DC12" t="s">
        <v>58</v>
      </c>
      <c r="DD12">
        <v>3</v>
      </c>
      <c r="DE12">
        <v>1.0320781032078099</v>
      </c>
      <c r="DF12" t="s">
        <v>46</v>
      </c>
      <c r="DG12">
        <v>2</v>
      </c>
      <c r="DH12">
        <v>1.1288343558282199</v>
      </c>
    </row>
    <row r="13" spans="1:112" x14ac:dyDescent="0.4">
      <c r="A13">
        <v>11</v>
      </c>
      <c r="B13" t="s">
        <v>56</v>
      </c>
      <c r="C13">
        <v>1</v>
      </c>
      <c r="D13">
        <v>1.2916980725745599</v>
      </c>
      <c r="E13" t="s">
        <v>60</v>
      </c>
      <c r="F13">
        <v>2</v>
      </c>
      <c r="G13">
        <v>0.45087719298245599</v>
      </c>
      <c r="H13" t="s">
        <v>50</v>
      </c>
      <c r="I13">
        <v>3</v>
      </c>
      <c r="J13">
        <v>0.56152762765713504</v>
      </c>
      <c r="K13" t="s">
        <v>47</v>
      </c>
      <c r="L13">
        <v>2</v>
      </c>
      <c r="M13">
        <v>1.3271028037383099</v>
      </c>
      <c r="N13" t="s">
        <v>44</v>
      </c>
      <c r="O13">
        <v>2</v>
      </c>
      <c r="P13">
        <v>1.6529664660361101</v>
      </c>
      <c r="Q13" t="s">
        <v>53</v>
      </c>
      <c r="R13">
        <v>1</v>
      </c>
      <c r="S13">
        <v>1.08883553421368</v>
      </c>
      <c r="T13" t="s">
        <v>61</v>
      </c>
      <c r="U13">
        <v>2</v>
      </c>
      <c r="V13">
        <v>0.87012987012986998</v>
      </c>
      <c r="W13" t="s">
        <v>51</v>
      </c>
      <c r="X13">
        <v>3</v>
      </c>
      <c r="Y13">
        <v>1.1011764705882301</v>
      </c>
      <c r="Z13" t="s">
        <v>53</v>
      </c>
      <c r="AA13">
        <v>1</v>
      </c>
      <c r="AB13">
        <v>0.95038167938931295</v>
      </c>
      <c r="AC13" t="s">
        <v>51</v>
      </c>
      <c r="AD13">
        <v>3</v>
      </c>
      <c r="AE13">
        <v>1.01459034792368</v>
      </c>
      <c r="AF13" t="s">
        <v>51</v>
      </c>
      <c r="AG13">
        <v>3</v>
      </c>
      <c r="AH13">
        <v>1.05641592920353</v>
      </c>
      <c r="AI13" t="s">
        <v>51</v>
      </c>
      <c r="AJ13">
        <v>3</v>
      </c>
      <c r="AK13">
        <v>1.0157068062827199</v>
      </c>
      <c r="AL13" t="s">
        <v>60</v>
      </c>
      <c r="AM13">
        <v>2</v>
      </c>
      <c r="AN13">
        <v>1.17085427135678</v>
      </c>
      <c r="AO13" t="s">
        <v>65</v>
      </c>
      <c r="AP13">
        <v>1</v>
      </c>
      <c r="AQ13">
        <v>0.85424640755888903</v>
      </c>
      <c r="AR13" t="s">
        <v>62</v>
      </c>
      <c r="AS13">
        <v>3</v>
      </c>
      <c r="AT13">
        <v>0.82263513513513498</v>
      </c>
      <c r="AU13" t="s">
        <v>62</v>
      </c>
      <c r="AV13">
        <v>3</v>
      </c>
      <c r="AW13">
        <v>1.1416837782340801</v>
      </c>
      <c r="AX13" t="s">
        <v>60</v>
      </c>
      <c r="AY13">
        <v>3</v>
      </c>
      <c r="AZ13">
        <v>0.63696682464454901</v>
      </c>
      <c r="BA13" t="s">
        <v>51</v>
      </c>
      <c r="BB13">
        <v>3</v>
      </c>
      <c r="BC13">
        <v>1.13390928725701</v>
      </c>
      <c r="BD13" t="s">
        <v>53</v>
      </c>
      <c r="BE13">
        <v>1</v>
      </c>
      <c r="BF13">
        <v>1.1422413793103401</v>
      </c>
      <c r="BG13" t="s">
        <v>47</v>
      </c>
      <c r="BH13">
        <v>2</v>
      </c>
      <c r="BI13">
        <v>1.0372771474878399</v>
      </c>
      <c r="BJ13" t="s">
        <v>51</v>
      </c>
      <c r="BK13">
        <v>3</v>
      </c>
      <c r="BL13">
        <v>1.0491803278688501</v>
      </c>
      <c r="BM13" t="s">
        <v>51</v>
      </c>
      <c r="BN13">
        <v>3</v>
      </c>
      <c r="BO13">
        <v>1.0062500000000001</v>
      </c>
      <c r="BP13" t="s">
        <v>55</v>
      </c>
      <c r="BQ13">
        <v>2</v>
      </c>
      <c r="BR13">
        <v>0.84770114942528696</v>
      </c>
      <c r="BS13" t="s">
        <v>64</v>
      </c>
      <c r="BT13">
        <v>3</v>
      </c>
      <c r="BU13">
        <v>1.2175438596491199</v>
      </c>
      <c r="BV13" t="s">
        <v>64</v>
      </c>
      <c r="BW13">
        <v>3</v>
      </c>
      <c r="BX13">
        <v>1.3112391930835701</v>
      </c>
      <c r="BY13" t="s">
        <v>62</v>
      </c>
      <c r="BZ13">
        <v>3</v>
      </c>
      <c r="CA13">
        <v>1.21317157712305</v>
      </c>
      <c r="CB13" t="s">
        <v>58</v>
      </c>
      <c r="CC13">
        <v>2</v>
      </c>
      <c r="CD13">
        <v>0.90264423076922995</v>
      </c>
      <c r="CE13" t="s">
        <v>55</v>
      </c>
      <c r="CF13">
        <v>2</v>
      </c>
      <c r="CG13">
        <v>0.914221218961625</v>
      </c>
      <c r="CH13" t="s">
        <v>67</v>
      </c>
      <c r="CI13">
        <v>3</v>
      </c>
      <c r="CJ13">
        <v>0.95563139931740604</v>
      </c>
      <c r="CK13" t="s">
        <v>59</v>
      </c>
      <c r="CL13">
        <v>1</v>
      </c>
      <c r="CM13">
        <v>0.75028248587570601</v>
      </c>
      <c r="CN13" t="s">
        <v>64</v>
      </c>
      <c r="CO13">
        <v>2</v>
      </c>
      <c r="CP13">
        <v>0.74646464646464605</v>
      </c>
      <c r="CQ13" t="s">
        <v>64</v>
      </c>
      <c r="CR13">
        <v>2</v>
      </c>
      <c r="CS13">
        <v>0.99323410013531799</v>
      </c>
      <c r="CT13" t="s">
        <v>65</v>
      </c>
      <c r="CU13">
        <v>1</v>
      </c>
      <c r="CV13">
        <v>1.1357006398398799</v>
      </c>
      <c r="CW13" t="s">
        <v>72</v>
      </c>
      <c r="CX13">
        <v>3</v>
      </c>
      <c r="CY13">
        <v>0.91338582677165303</v>
      </c>
      <c r="CZ13" t="s">
        <v>59</v>
      </c>
      <c r="DA13">
        <v>1</v>
      </c>
      <c r="DB13">
        <v>1.0207522697795</v>
      </c>
      <c r="DC13" t="s">
        <v>53</v>
      </c>
      <c r="DD13">
        <v>2</v>
      </c>
      <c r="DE13">
        <v>0.946462715105162</v>
      </c>
      <c r="DF13" t="s">
        <v>45</v>
      </c>
      <c r="DG13">
        <v>3</v>
      </c>
      <c r="DH13">
        <v>1.00428265524625</v>
      </c>
    </row>
    <row r="14" spans="1:112" x14ac:dyDescent="0.4">
      <c r="A14">
        <v>12</v>
      </c>
      <c r="B14" t="s">
        <v>57</v>
      </c>
      <c r="C14">
        <v>3</v>
      </c>
      <c r="D14">
        <v>0.80102040816326503</v>
      </c>
      <c r="E14" t="s">
        <v>62</v>
      </c>
      <c r="F14">
        <v>3</v>
      </c>
      <c r="G14">
        <v>0.78112449799196704</v>
      </c>
      <c r="H14" t="s">
        <v>53</v>
      </c>
      <c r="I14">
        <v>2</v>
      </c>
      <c r="J14">
        <v>1.0187891440501</v>
      </c>
      <c r="K14" t="s">
        <v>52</v>
      </c>
      <c r="L14">
        <v>1</v>
      </c>
      <c r="M14">
        <v>1.165991902834</v>
      </c>
      <c r="N14" t="s">
        <v>47</v>
      </c>
      <c r="O14">
        <v>2</v>
      </c>
      <c r="P14">
        <v>0.79014084507042204</v>
      </c>
      <c r="Q14" t="s">
        <v>56</v>
      </c>
      <c r="R14">
        <v>1</v>
      </c>
      <c r="S14">
        <v>1.10152990264255</v>
      </c>
      <c r="T14" t="s">
        <v>53</v>
      </c>
      <c r="U14">
        <v>1</v>
      </c>
      <c r="V14">
        <v>1.19073869900771</v>
      </c>
      <c r="W14" t="s">
        <v>50</v>
      </c>
      <c r="X14">
        <v>3</v>
      </c>
      <c r="Y14">
        <v>0.98733072734887595</v>
      </c>
      <c r="Z14" t="s">
        <v>60</v>
      </c>
      <c r="AA14">
        <v>3</v>
      </c>
      <c r="AB14">
        <v>0.87553648068669498</v>
      </c>
      <c r="AC14" t="s">
        <v>50</v>
      </c>
      <c r="AD14">
        <v>3</v>
      </c>
      <c r="AE14">
        <v>0.88146800545778903</v>
      </c>
      <c r="AF14" t="s">
        <v>50</v>
      </c>
      <c r="AG14">
        <v>3</v>
      </c>
      <c r="AH14">
        <v>0.95514983131573705</v>
      </c>
      <c r="AI14" t="s">
        <v>50</v>
      </c>
      <c r="AJ14">
        <v>3</v>
      </c>
      <c r="AK14">
        <v>0.81653854145023896</v>
      </c>
      <c r="AL14" t="s">
        <v>66</v>
      </c>
      <c r="AM14">
        <v>3</v>
      </c>
      <c r="AN14">
        <v>1.12805443860191</v>
      </c>
      <c r="AO14" t="s">
        <v>66</v>
      </c>
      <c r="AP14">
        <v>3</v>
      </c>
      <c r="AQ14">
        <v>0.65149437894159501</v>
      </c>
      <c r="AR14" t="s">
        <v>65</v>
      </c>
      <c r="AS14">
        <v>1</v>
      </c>
      <c r="AT14">
        <v>0.88168574135238198</v>
      </c>
      <c r="AU14" t="s">
        <v>65</v>
      </c>
      <c r="AV14">
        <v>1</v>
      </c>
      <c r="AW14">
        <v>0.99860610988500398</v>
      </c>
      <c r="AX14" t="s">
        <v>62</v>
      </c>
      <c r="AY14">
        <v>3</v>
      </c>
      <c r="AZ14">
        <v>0.83812949640287704</v>
      </c>
      <c r="BA14" t="s">
        <v>55</v>
      </c>
      <c r="BB14">
        <v>2</v>
      </c>
      <c r="BC14">
        <v>1.03625730994152</v>
      </c>
      <c r="BD14" t="s">
        <v>55</v>
      </c>
      <c r="BE14">
        <v>2</v>
      </c>
      <c r="BF14">
        <v>0.96275395033860001</v>
      </c>
      <c r="BG14" t="s">
        <v>51</v>
      </c>
      <c r="BH14">
        <v>3</v>
      </c>
      <c r="BI14">
        <v>1.2055335968379399</v>
      </c>
      <c r="BJ14" t="s">
        <v>55</v>
      </c>
      <c r="BK14">
        <v>2</v>
      </c>
      <c r="BL14">
        <v>1.0862884160756501</v>
      </c>
      <c r="BM14" t="s">
        <v>58</v>
      </c>
      <c r="BN14">
        <v>2</v>
      </c>
      <c r="BO14">
        <v>0.91451292246520799</v>
      </c>
      <c r="BP14" t="s">
        <v>56</v>
      </c>
      <c r="BQ14">
        <v>2</v>
      </c>
      <c r="BR14">
        <v>0.97011308562197096</v>
      </c>
      <c r="BS14" t="s">
        <v>65</v>
      </c>
      <c r="BT14">
        <v>1</v>
      </c>
      <c r="BU14">
        <v>0.90793601410386005</v>
      </c>
      <c r="BV14" t="s">
        <v>65</v>
      </c>
      <c r="BW14">
        <v>1</v>
      </c>
      <c r="BX14">
        <v>0.75276984580239803</v>
      </c>
      <c r="BY14" t="s">
        <v>64</v>
      </c>
      <c r="BZ14">
        <v>3</v>
      </c>
      <c r="CA14">
        <v>0.98131868131868105</v>
      </c>
      <c r="CB14" t="s">
        <v>55</v>
      </c>
      <c r="CC14">
        <v>2</v>
      </c>
      <c r="CD14">
        <v>0.92291666666666605</v>
      </c>
      <c r="CE14" t="s">
        <v>56</v>
      </c>
      <c r="CF14">
        <v>3</v>
      </c>
      <c r="CG14">
        <v>2.0627417275461899</v>
      </c>
      <c r="CH14" t="s">
        <v>55</v>
      </c>
      <c r="CI14">
        <v>2</v>
      </c>
      <c r="CJ14">
        <v>1.01234567901234</v>
      </c>
      <c r="CK14" t="s">
        <v>62</v>
      </c>
      <c r="CL14">
        <v>3</v>
      </c>
      <c r="CM14">
        <v>0.92655367231638397</v>
      </c>
      <c r="CN14" t="s">
        <v>65</v>
      </c>
      <c r="CO14">
        <v>1</v>
      </c>
      <c r="CP14">
        <v>0.86357095822256902</v>
      </c>
      <c r="CQ14" t="s">
        <v>65</v>
      </c>
      <c r="CR14">
        <v>1</v>
      </c>
      <c r="CS14">
        <v>0.93131689683413799</v>
      </c>
      <c r="CT14" t="s">
        <v>72</v>
      </c>
      <c r="CU14">
        <v>3</v>
      </c>
      <c r="CV14">
        <v>1.0916905444125999</v>
      </c>
      <c r="CW14" t="s">
        <v>74</v>
      </c>
      <c r="CX14">
        <v>3</v>
      </c>
      <c r="CY14">
        <v>1.00595238095238</v>
      </c>
      <c r="CZ14" t="s">
        <v>62</v>
      </c>
      <c r="DA14">
        <v>3</v>
      </c>
      <c r="DB14">
        <v>0.95048543689320297</v>
      </c>
      <c r="DC14" t="s">
        <v>55</v>
      </c>
      <c r="DD14">
        <v>3</v>
      </c>
      <c r="DE14">
        <v>0.96789727126805702</v>
      </c>
      <c r="DF14" t="s">
        <v>58</v>
      </c>
      <c r="DG14">
        <v>3</v>
      </c>
      <c r="DH14">
        <v>1.2986486486486399</v>
      </c>
    </row>
    <row r="15" spans="1:112" x14ac:dyDescent="0.4">
      <c r="A15">
        <v>13</v>
      </c>
      <c r="B15" t="s">
        <v>62</v>
      </c>
      <c r="C15">
        <v>3</v>
      </c>
      <c r="D15">
        <v>1.0375000000000001</v>
      </c>
      <c r="E15" t="s">
        <v>64</v>
      </c>
      <c r="F15">
        <v>3</v>
      </c>
      <c r="G15">
        <v>0.93529411764705805</v>
      </c>
      <c r="H15" t="s">
        <v>56</v>
      </c>
      <c r="I15">
        <v>1</v>
      </c>
      <c r="J15">
        <v>0.564299692479731</v>
      </c>
      <c r="K15" t="s">
        <v>53</v>
      </c>
      <c r="L15">
        <v>2</v>
      </c>
      <c r="M15">
        <v>0.85040983606557297</v>
      </c>
      <c r="N15" t="s">
        <v>61</v>
      </c>
      <c r="O15">
        <v>2</v>
      </c>
      <c r="P15">
        <v>1.6519230769230699</v>
      </c>
      <c r="Q15" t="s">
        <v>60</v>
      </c>
      <c r="R15">
        <v>3</v>
      </c>
      <c r="S15">
        <v>1.5504587155963301</v>
      </c>
      <c r="T15" t="s">
        <v>60</v>
      </c>
      <c r="U15">
        <v>3</v>
      </c>
      <c r="V15">
        <v>0.58757396449704102</v>
      </c>
      <c r="W15" t="s">
        <v>53</v>
      </c>
      <c r="X15">
        <v>1</v>
      </c>
      <c r="Y15">
        <v>0.97037037037036999</v>
      </c>
      <c r="Z15" t="s">
        <v>70</v>
      </c>
      <c r="AA15">
        <v>3</v>
      </c>
      <c r="AB15">
        <v>0.88546255506607896</v>
      </c>
      <c r="AC15" t="s">
        <v>53</v>
      </c>
      <c r="AD15">
        <v>2</v>
      </c>
      <c r="AE15">
        <v>1.20281124497991</v>
      </c>
      <c r="AF15" t="s">
        <v>53</v>
      </c>
      <c r="AG15">
        <v>2</v>
      </c>
      <c r="AH15">
        <v>1.35225375626043</v>
      </c>
      <c r="AI15" t="s">
        <v>55</v>
      </c>
      <c r="AJ15">
        <v>2</v>
      </c>
      <c r="AK15">
        <v>0.87874015748031498</v>
      </c>
      <c r="AL15" t="s">
        <v>68</v>
      </c>
      <c r="AM15">
        <v>1</v>
      </c>
      <c r="AN15">
        <v>1.0661040787623</v>
      </c>
      <c r="AO15" t="s">
        <v>68</v>
      </c>
      <c r="AP15">
        <v>1</v>
      </c>
      <c r="AQ15">
        <v>1.17414248021108</v>
      </c>
      <c r="AR15" t="s">
        <v>66</v>
      </c>
      <c r="AS15">
        <v>3</v>
      </c>
      <c r="AT15">
        <v>0.73737373737373701</v>
      </c>
      <c r="AU15" t="s">
        <v>68</v>
      </c>
      <c r="AV15">
        <v>1</v>
      </c>
      <c r="AW15">
        <v>1.0427135678391899</v>
      </c>
      <c r="AX15" t="s">
        <v>64</v>
      </c>
      <c r="AY15">
        <v>3</v>
      </c>
      <c r="AZ15">
        <v>0.85755813953488302</v>
      </c>
      <c r="BA15" t="s">
        <v>60</v>
      </c>
      <c r="BB15">
        <v>3</v>
      </c>
      <c r="BC15">
        <v>0.952380952380952</v>
      </c>
      <c r="BD15" t="s">
        <v>60</v>
      </c>
      <c r="BE15">
        <v>3</v>
      </c>
      <c r="BF15">
        <v>0.890625</v>
      </c>
      <c r="BG15" t="s">
        <v>58</v>
      </c>
      <c r="BH15">
        <v>2</v>
      </c>
      <c r="BI15">
        <v>1.0070070070070001</v>
      </c>
      <c r="BJ15" t="s">
        <v>56</v>
      </c>
      <c r="BK15">
        <v>2</v>
      </c>
      <c r="BL15">
        <v>0.82291666666666596</v>
      </c>
      <c r="BM15" t="s">
        <v>55</v>
      </c>
      <c r="BN15">
        <v>2</v>
      </c>
      <c r="BO15">
        <v>1.1360174102284999</v>
      </c>
      <c r="BP15" t="s">
        <v>63</v>
      </c>
      <c r="BQ15">
        <v>1</v>
      </c>
      <c r="BR15">
        <v>1.1029668411867299</v>
      </c>
      <c r="BS15" t="s">
        <v>71</v>
      </c>
      <c r="BT15">
        <v>2</v>
      </c>
      <c r="BU15">
        <v>0.96923076923076901</v>
      </c>
      <c r="BV15" t="s">
        <v>71</v>
      </c>
      <c r="BW15">
        <v>2</v>
      </c>
      <c r="BX15">
        <v>0.96119929453262698</v>
      </c>
      <c r="BY15" t="s">
        <v>65</v>
      </c>
      <c r="BZ15">
        <v>1</v>
      </c>
      <c r="CA15">
        <v>1.1162658371898899</v>
      </c>
      <c r="CB15" t="s">
        <v>62</v>
      </c>
      <c r="CC15">
        <v>3</v>
      </c>
      <c r="CD15">
        <v>0.96857142857142797</v>
      </c>
      <c r="CE15" t="s">
        <v>62</v>
      </c>
      <c r="CF15">
        <v>3</v>
      </c>
      <c r="CG15">
        <v>1.01327433628318</v>
      </c>
      <c r="CH15" t="s">
        <v>56</v>
      </c>
      <c r="CI15">
        <v>3</v>
      </c>
      <c r="CJ15">
        <v>1.2447916666666601</v>
      </c>
      <c r="CK15" t="s">
        <v>64</v>
      </c>
      <c r="CL15">
        <v>2</v>
      </c>
      <c r="CM15">
        <v>0.92178770949720601</v>
      </c>
      <c r="CN15" t="s">
        <v>71</v>
      </c>
      <c r="CO15">
        <v>2</v>
      </c>
      <c r="CP15">
        <v>1.38403041825095</v>
      </c>
      <c r="CQ15" t="s">
        <v>69</v>
      </c>
      <c r="CR15">
        <v>3</v>
      </c>
      <c r="CS15">
        <v>1.2561983471074301</v>
      </c>
      <c r="CT15" t="s">
        <v>74</v>
      </c>
      <c r="CU15">
        <v>3</v>
      </c>
      <c r="CV15">
        <v>0.86896551724137905</v>
      </c>
      <c r="CW15" t="s">
        <v>73</v>
      </c>
      <c r="CX15">
        <v>2</v>
      </c>
      <c r="CY15">
        <v>1.01314217443249</v>
      </c>
      <c r="CZ15" t="s">
        <v>64</v>
      </c>
      <c r="DA15">
        <v>3</v>
      </c>
      <c r="DB15">
        <v>0.95526315789473604</v>
      </c>
      <c r="DC15" t="s">
        <v>59</v>
      </c>
      <c r="DD15">
        <v>1</v>
      </c>
      <c r="DE15">
        <v>1.2147395171537401</v>
      </c>
      <c r="DF15" t="s">
        <v>48</v>
      </c>
      <c r="DG15">
        <v>2</v>
      </c>
      <c r="DH15">
        <v>1.234375</v>
      </c>
    </row>
    <row r="16" spans="1:112" x14ac:dyDescent="0.4">
      <c r="A16">
        <v>14</v>
      </c>
      <c r="B16" t="s">
        <v>64</v>
      </c>
      <c r="C16">
        <v>3</v>
      </c>
      <c r="D16">
        <v>0.94972067039106101</v>
      </c>
      <c r="E16" t="s">
        <v>66</v>
      </c>
      <c r="F16">
        <v>3</v>
      </c>
      <c r="G16">
        <v>0.69642504444005504</v>
      </c>
      <c r="H16" t="s">
        <v>60</v>
      </c>
      <c r="I16">
        <v>2</v>
      </c>
      <c r="J16">
        <v>0.41712062256809301</v>
      </c>
      <c r="K16" t="s">
        <v>55</v>
      </c>
      <c r="L16">
        <v>2</v>
      </c>
      <c r="M16">
        <v>1</v>
      </c>
      <c r="N16" t="s">
        <v>53</v>
      </c>
      <c r="O16">
        <v>2</v>
      </c>
      <c r="P16">
        <v>1.00361445783132</v>
      </c>
      <c r="Q16" t="s">
        <v>70</v>
      </c>
      <c r="R16">
        <v>3</v>
      </c>
      <c r="S16">
        <v>0.75464684014869798</v>
      </c>
      <c r="T16" t="s">
        <v>68</v>
      </c>
      <c r="U16">
        <v>2</v>
      </c>
      <c r="V16">
        <v>1.0439121756487</v>
      </c>
      <c r="W16" t="s">
        <v>60</v>
      </c>
      <c r="X16">
        <v>3</v>
      </c>
      <c r="Y16">
        <v>0.93856998992950602</v>
      </c>
      <c r="Z16" t="s">
        <v>72</v>
      </c>
      <c r="AA16">
        <v>2</v>
      </c>
      <c r="AB16">
        <v>1.1089494163424101</v>
      </c>
      <c r="AC16" t="s">
        <v>55</v>
      </c>
      <c r="AD16">
        <v>2</v>
      </c>
      <c r="AE16">
        <v>1.0210526315789401</v>
      </c>
      <c r="AF16" t="s">
        <v>55</v>
      </c>
      <c r="AG16">
        <v>2</v>
      </c>
      <c r="AH16">
        <v>0.93519882179675995</v>
      </c>
      <c r="AI16" t="s">
        <v>56</v>
      </c>
      <c r="AJ16">
        <v>2</v>
      </c>
      <c r="AK16">
        <v>0.88501594048884102</v>
      </c>
      <c r="AL16" t="s">
        <v>75</v>
      </c>
      <c r="AM16">
        <v>2</v>
      </c>
      <c r="AN16">
        <v>1.00758681062153</v>
      </c>
      <c r="AO16" t="s">
        <v>75</v>
      </c>
      <c r="AP16">
        <v>3</v>
      </c>
      <c r="AQ16">
        <v>1.3655758277826</v>
      </c>
      <c r="AR16" t="s">
        <v>68</v>
      </c>
      <c r="AS16">
        <v>1</v>
      </c>
      <c r="AT16">
        <v>0.89438202247191001</v>
      </c>
      <c r="AU16" t="s">
        <v>72</v>
      </c>
      <c r="AV16">
        <v>2</v>
      </c>
      <c r="AW16">
        <v>1.19424460431654</v>
      </c>
      <c r="AX16" t="s">
        <v>65</v>
      </c>
      <c r="AY16">
        <v>1</v>
      </c>
      <c r="AZ16">
        <v>0.79632429917412995</v>
      </c>
      <c r="BA16" t="s">
        <v>62</v>
      </c>
      <c r="BB16">
        <v>3</v>
      </c>
      <c r="BC16">
        <v>0.88948497854077202</v>
      </c>
      <c r="BD16" t="s">
        <v>64</v>
      </c>
      <c r="BE16">
        <v>3</v>
      </c>
      <c r="BF16">
        <v>1.23780487804878</v>
      </c>
      <c r="BG16" t="s">
        <v>55</v>
      </c>
      <c r="BH16">
        <v>2</v>
      </c>
      <c r="BI16">
        <v>0.99179366940211</v>
      </c>
      <c r="BJ16" t="s">
        <v>60</v>
      </c>
      <c r="BK16">
        <v>3</v>
      </c>
      <c r="BL16">
        <v>1.0060514372163301</v>
      </c>
      <c r="BM16" t="s">
        <v>56</v>
      </c>
      <c r="BN16">
        <v>2</v>
      </c>
      <c r="BO16">
        <v>0.979430379746835</v>
      </c>
      <c r="BP16" t="s">
        <v>62</v>
      </c>
      <c r="BQ16">
        <v>3</v>
      </c>
      <c r="BR16">
        <v>0.95719844357976602</v>
      </c>
      <c r="BS16" t="s">
        <v>72</v>
      </c>
      <c r="BT16">
        <v>2</v>
      </c>
      <c r="BU16">
        <v>0.96969696969696895</v>
      </c>
      <c r="BV16" t="s">
        <v>72</v>
      </c>
      <c r="BW16">
        <v>2</v>
      </c>
      <c r="BX16">
        <v>1.07638888888888</v>
      </c>
      <c r="BY16" t="s">
        <v>71</v>
      </c>
      <c r="BZ16">
        <v>2</v>
      </c>
      <c r="CA16">
        <v>1.02385321100917</v>
      </c>
      <c r="CB16" t="s">
        <v>64</v>
      </c>
      <c r="CC16">
        <v>3</v>
      </c>
      <c r="CD16">
        <v>0.90705487122060402</v>
      </c>
      <c r="CE16" t="s">
        <v>64</v>
      </c>
      <c r="CF16">
        <v>3</v>
      </c>
      <c r="CG16">
        <v>1.3753086419753</v>
      </c>
      <c r="CH16" t="s">
        <v>63</v>
      </c>
      <c r="CI16">
        <v>1</v>
      </c>
      <c r="CJ16">
        <v>1.0396039603960301</v>
      </c>
      <c r="CK16" t="s">
        <v>65</v>
      </c>
      <c r="CL16">
        <v>1</v>
      </c>
      <c r="CM16">
        <v>0.97570435941366795</v>
      </c>
      <c r="CN16" t="s">
        <v>72</v>
      </c>
      <c r="CO16">
        <v>3</v>
      </c>
      <c r="CP16">
        <v>0.89598108747044902</v>
      </c>
      <c r="CQ16" t="s">
        <v>72</v>
      </c>
      <c r="CR16">
        <v>3</v>
      </c>
      <c r="CS16">
        <v>0.920844327176781</v>
      </c>
      <c r="CT16" t="s">
        <v>80</v>
      </c>
      <c r="CU16">
        <v>3</v>
      </c>
      <c r="CV16">
        <v>1.190625</v>
      </c>
      <c r="CW16" t="s">
        <v>80</v>
      </c>
      <c r="CX16">
        <v>3</v>
      </c>
      <c r="CY16">
        <v>1.0498687664041899</v>
      </c>
      <c r="CZ16" t="s">
        <v>65</v>
      </c>
      <c r="DA16">
        <v>1</v>
      </c>
      <c r="DB16">
        <v>0.96316507503410598</v>
      </c>
      <c r="DC16" t="s">
        <v>62</v>
      </c>
      <c r="DD16">
        <v>3</v>
      </c>
      <c r="DE16">
        <v>1.0561797752808899</v>
      </c>
      <c r="DF16" t="s">
        <v>52</v>
      </c>
      <c r="DG16">
        <v>1</v>
      </c>
      <c r="DH16">
        <v>1.2205567451820101</v>
      </c>
    </row>
    <row r="17" spans="1:112" x14ac:dyDescent="0.4">
      <c r="A17">
        <v>15</v>
      </c>
      <c r="B17" t="s">
        <v>66</v>
      </c>
      <c r="C17">
        <v>3</v>
      </c>
      <c r="D17">
        <v>1.0724422791781401</v>
      </c>
      <c r="E17" t="s">
        <v>70</v>
      </c>
      <c r="F17">
        <v>3</v>
      </c>
      <c r="G17">
        <v>0.92644483362521801</v>
      </c>
      <c r="H17" t="s">
        <v>64</v>
      </c>
      <c r="I17">
        <v>3</v>
      </c>
      <c r="J17">
        <v>0.62893081761006198</v>
      </c>
      <c r="K17" t="s">
        <v>56</v>
      </c>
      <c r="L17">
        <v>1</v>
      </c>
      <c r="M17">
        <v>0.97473371315333102</v>
      </c>
      <c r="N17" t="s">
        <v>55</v>
      </c>
      <c r="O17">
        <v>2</v>
      </c>
      <c r="P17">
        <v>1.63855122798313</v>
      </c>
      <c r="Q17" t="s">
        <v>68</v>
      </c>
      <c r="R17">
        <v>2</v>
      </c>
      <c r="S17">
        <v>1.0481171548117101</v>
      </c>
      <c r="T17" t="s">
        <v>75</v>
      </c>
      <c r="U17">
        <v>3</v>
      </c>
      <c r="V17">
        <v>0.91005291005291</v>
      </c>
      <c r="W17" t="s">
        <v>64</v>
      </c>
      <c r="X17">
        <v>3</v>
      </c>
      <c r="Y17">
        <v>0.92556634304207097</v>
      </c>
      <c r="Z17" t="s">
        <v>73</v>
      </c>
      <c r="AA17">
        <v>1</v>
      </c>
      <c r="AB17">
        <v>0.91011945226765001</v>
      </c>
      <c r="AC17" t="s">
        <v>60</v>
      </c>
      <c r="AD17">
        <v>2</v>
      </c>
      <c r="AE17">
        <v>0.94852941176470495</v>
      </c>
      <c r="AF17" t="s">
        <v>60</v>
      </c>
      <c r="AG17">
        <v>2</v>
      </c>
      <c r="AH17">
        <v>1.26356589147286</v>
      </c>
      <c r="AI17" t="s">
        <v>60</v>
      </c>
      <c r="AJ17">
        <v>2</v>
      </c>
      <c r="AK17">
        <v>1.0173824130879301</v>
      </c>
      <c r="AL17" t="s">
        <v>72</v>
      </c>
      <c r="AM17">
        <v>2</v>
      </c>
      <c r="AN17">
        <v>1.0032154340835999</v>
      </c>
      <c r="AO17" t="s">
        <v>72</v>
      </c>
      <c r="AP17">
        <v>2</v>
      </c>
      <c r="AQ17">
        <v>0.91025641025641002</v>
      </c>
      <c r="AR17" t="s">
        <v>72</v>
      </c>
      <c r="AS17">
        <v>2</v>
      </c>
      <c r="AT17">
        <v>0.97887323943661897</v>
      </c>
      <c r="AU17" t="s">
        <v>74</v>
      </c>
      <c r="AV17">
        <v>2</v>
      </c>
      <c r="AW17">
        <v>1.1816005471956199</v>
      </c>
      <c r="AX17" t="s">
        <v>66</v>
      </c>
      <c r="AY17">
        <v>3</v>
      </c>
      <c r="AZ17">
        <v>0.71212121212121204</v>
      </c>
      <c r="BA17" t="s">
        <v>65</v>
      </c>
      <c r="BB17">
        <v>1</v>
      </c>
      <c r="BC17">
        <v>1.17050102249488</v>
      </c>
      <c r="BD17" t="s">
        <v>65</v>
      </c>
      <c r="BE17">
        <v>1</v>
      </c>
      <c r="BF17">
        <v>0.966617789286494</v>
      </c>
      <c r="BG17" t="s">
        <v>64</v>
      </c>
      <c r="BH17">
        <v>3</v>
      </c>
      <c r="BI17">
        <v>1.10837438423645</v>
      </c>
      <c r="BJ17" t="s">
        <v>64</v>
      </c>
      <c r="BK17">
        <v>3</v>
      </c>
      <c r="BL17">
        <v>1.16888888888888</v>
      </c>
      <c r="BM17" t="s">
        <v>60</v>
      </c>
      <c r="BN17">
        <v>3</v>
      </c>
      <c r="BO17">
        <v>0.81503759398496201</v>
      </c>
      <c r="BP17" t="s">
        <v>64</v>
      </c>
      <c r="BQ17">
        <v>3</v>
      </c>
      <c r="BR17">
        <v>1.0401459854014501</v>
      </c>
      <c r="BS17" t="s">
        <v>74</v>
      </c>
      <c r="BT17">
        <v>3</v>
      </c>
      <c r="BU17">
        <v>1.0045045045045</v>
      </c>
      <c r="BV17" t="s">
        <v>74</v>
      </c>
      <c r="BW17">
        <v>3</v>
      </c>
      <c r="BX17">
        <v>1.1076233183856501</v>
      </c>
      <c r="BY17" t="s">
        <v>72</v>
      </c>
      <c r="BZ17">
        <v>2</v>
      </c>
      <c r="CA17">
        <v>1.3838709677419301</v>
      </c>
      <c r="CB17" t="s">
        <v>65</v>
      </c>
      <c r="CC17">
        <v>1</v>
      </c>
      <c r="CD17">
        <v>0.98181941754171298</v>
      </c>
      <c r="CE17" t="s">
        <v>65</v>
      </c>
      <c r="CF17">
        <v>1</v>
      </c>
      <c r="CG17">
        <v>1.0302852000553699</v>
      </c>
      <c r="CH17" t="s">
        <v>62</v>
      </c>
      <c r="CI17">
        <v>3</v>
      </c>
      <c r="CJ17">
        <v>1.0305676855895101</v>
      </c>
      <c r="CK17" t="s">
        <v>542</v>
      </c>
      <c r="CL17">
        <v>3</v>
      </c>
      <c r="CM17">
        <v>0.92482915717539804</v>
      </c>
      <c r="CN17" t="s">
        <v>74</v>
      </c>
      <c r="CO17">
        <v>3</v>
      </c>
      <c r="CP17">
        <v>0.94247038917089598</v>
      </c>
      <c r="CQ17" t="s">
        <v>74</v>
      </c>
      <c r="CR17">
        <v>3</v>
      </c>
      <c r="CS17">
        <v>1.04129263913824</v>
      </c>
      <c r="CT17" t="s">
        <v>85</v>
      </c>
      <c r="CU17">
        <v>2</v>
      </c>
      <c r="CV17">
        <v>0.9375</v>
      </c>
      <c r="CW17" t="s">
        <v>85</v>
      </c>
      <c r="CX17">
        <v>2</v>
      </c>
      <c r="CY17">
        <v>0.94509803921568603</v>
      </c>
      <c r="CZ17" t="s">
        <v>72</v>
      </c>
      <c r="DA17">
        <v>3</v>
      </c>
      <c r="DB17">
        <v>1.01436781609195</v>
      </c>
      <c r="DC17" t="s">
        <v>64</v>
      </c>
      <c r="DD17">
        <v>3</v>
      </c>
      <c r="DE17">
        <v>1.0027548209366299</v>
      </c>
      <c r="DF17" t="s">
        <v>53</v>
      </c>
      <c r="DG17">
        <v>2</v>
      </c>
      <c r="DH17">
        <v>1.0606060606060601</v>
      </c>
    </row>
    <row r="18" spans="1:112" x14ac:dyDescent="0.4">
      <c r="A18">
        <v>16</v>
      </c>
      <c r="B18" t="s">
        <v>70</v>
      </c>
      <c r="C18">
        <v>3</v>
      </c>
      <c r="D18">
        <v>1.11960784313725</v>
      </c>
      <c r="E18" t="s">
        <v>69</v>
      </c>
      <c r="F18">
        <v>2</v>
      </c>
      <c r="G18">
        <v>0.99056603773584895</v>
      </c>
      <c r="H18" t="s">
        <v>66</v>
      </c>
      <c r="I18">
        <v>3</v>
      </c>
      <c r="J18">
        <v>0.50453771979580198</v>
      </c>
      <c r="K18" t="s">
        <v>65</v>
      </c>
      <c r="L18">
        <v>1</v>
      </c>
      <c r="M18">
        <v>1.3054567681707001</v>
      </c>
      <c r="N18" t="s">
        <v>56</v>
      </c>
      <c r="O18">
        <v>1</v>
      </c>
      <c r="P18">
        <v>1.27903430749682</v>
      </c>
      <c r="Q18" t="s">
        <v>75</v>
      </c>
      <c r="R18">
        <v>3</v>
      </c>
      <c r="S18">
        <v>1.33098591549295</v>
      </c>
      <c r="T18" t="s">
        <v>72</v>
      </c>
      <c r="U18">
        <v>2</v>
      </c>
      <c r="V18">
        <v>1.04</v>
      </c>
      <c r="W18" t="s">
        <v>68</v>
      </c>
      <c r="X18">
        <v>2</v>
      </c>
      <c r="Y18">
        <v>1.31548757170172</v>
      </c>
      <c r="Z18" t="s">
        <v>80</v>
      </c>
      <c r="AA18">
        <v>2</v>
      </c>
      <c r="AB18">
        <v>0.73972602739726001</v>
      </c>
      <c r="AC18" t="s">
        <v>65</v>
      </c>
      <c r="AD18">
        <v>1</v>
      </c>
      <c r="AE18">
        <v>1.2931785629028401</v>
      </c>
      <c r="AF18" t="s">
        <v>69</v>
      </c>
      <c r="AG18">
        <v>2</v>
      </c>
      <c r="AH18">
        <v>1.24439461883408</v>
      </c>
      <c r="AI18" t="s">
        <v>64</v>
      </c>
      <c r="AJ18">
        <v>3</v>
      </c>
      <c r="AK18">
        <v>0.88509316770186297</v>
      </c>
      <c r="AL18" t="s">
        <v>78</v>
      </c>
      <c r="AM18">
        <v>2</v>
      </c>
      <c r="AN18">
        <v>0.76815642458100497</v>
      </c>
      <c r="AO18" t="s">
        <v>78</v>
      </c>
      <c r="AP18">
        <v>2</v>
      </c>
      <c r="AQ18">
        <v>0.81272727272727197</v>
      </c>
      <c r="AR18" t="s">
        <v>74</v>
      </c>
      <c r="AS18">
        <v>2</v>
      </c>
      <c r="AT18">
        <v>0.83854316030972098</v>
      </c>
      <c r="AU18" t="s">
        <v>78</v>
      </c>
      <c r="AV18">
        <v>2</v>
      </c>
      <c r="AW18">
        <v>1.3301435406698501</v>
      </c>
      <c r="AX18" t="s">
        <v>70</v>
      </c>
      <c r="AY18">
        <v>3</v>
      </c>
      <c r="AZ18">
        <v>0.73737373737373701</v>
      </c>
      <c r="BA18" t="s">
        <v>68</v>
      </c>
      <c r="BB18">
        <v>1</v>
      </c>
      <c r="BC18">
        <v>1.0074074074074</v>
      </c>
      <c r="BD18" t="s">
        <v>68</v>
      </c>
      <c r="BE18">
        <v>1</v>
      </c>
      <c r="BF18">
        <v>1.3174019607843099</v>
      </c>
      <c r="BG18" t="s">
        <v>65</v>
      </c>
      <c r="BH18">
        <v>1</v>
      </c>
      <c r="BI18">
        <v>1.0957621921698899</v>
      </c>
      <c r="BJ18" t="s">
        <v>65</v>
      </c>
      <c r="BK18">
        <v>1</v>
      </c>
      <c r="BL18">
        <v>0.90830633284241502</v>
      </c>
      <c r="BM18" t="s">
        <v>63</v>
      </c>
      <c r="BN18">
        <v>1</v>
      </c>
      <c r="BO18">
        <v>0.93322475570032504</v>
      </c>
      <c r="BP18" t="s">
        <v>65</v>
      </c>
      <c r="BQ18">
        <v>1</v>
      </c>
      <c r="BR18">
        <v>1.2162520102166301</v>
      </c>
      <c r="BS18" t="s">
        <v>73</v>
      </c>
      <c r="BT18">
        <v>2</v>
      </c>
      <c r="BU18">
        <v>0.88928834055069805</v>
      </c>
      <c r="BV18" t="s">
        <v>73</v>
      </c>
      <c r="BW18">
        <v>2</v>
      </c>
      <c r="BX18">
        <v>0.76809996324880503</v>
      </c>
      <c r="BY18" t="s">
        <v>74</v>
      </c>
      <c r="BZ18">
        <v>3</v>
      </c>
      <c r="CA18">
        <v>0.97840755735492502</v>
      </c>
      <c r="CB18" t="s">
        <v>70</v>
      </c>
      <c r="CC18">
        <v>3</v>
      </c>
      <c r="CD18">
        <v>0.93062605752961003</v>
      </c>
      <c r="CE18" t="s">
        <v>70</v>
      </c>
      <c r="CF18">
        <v>3</v>
      </c>
      <c r="CG18">
        <v>1.5909090909090899</v>
      </c>
      <c r="CH18" t="s">
        <v>65</v>
      </c>
      <c r="CI18">
        <v>1</v>
      </c>
      <c r="CJ18">
        <v>1.4117647058823499</v>
      </c>
      <c r="CK18" t="s">
        <v>76</v>
      </c>
      <c r="CL18">
        <v>3</v>
      </c>
      <c r="CM18">
        <v>0.80923694779116395</v>
      </c>
      <c r="CN18" t="s">
        <v>83</v>
      </c>
      <c r="CO18">
        <v>3</v>
      </c>
      <c r="CP18">
        <v>0.95401785714285703</v>
      </c>
      <c r="CQ18" t="s">
        <v>80</v>
      </c>
      <c r="CR18">
        <v>3</v>
      </c>
      <c r="CS18">
        <v>0.94117647058823495</v>
      </c>
      <c r="CT18" t="s">
        <v>92</v>
      </c>
      <c r="CU18">
        <v>2</v>
      </c>
      <c r="CV18">
        <v>1.0350154479917599</v>
      </c>
      <c r="CW18" t="s">
        <v>95</v>
      </c>
      <c r="CX18">
        <v>3</v>
      </c>
      <c r="CY18">
        <v>0.91351351351351295</v>
      </c>
      <c r="CZ18" t="s">
        <v>74</v>
      </c>
      <c r="DA18">
        <v>3</v>
      </c>
      <c r="DB18">
        <v>0.90927021696252397</v>
      </c>
      <c r="DC18" t="s">
        <v>65</v>
      </c>
      <c r="DD18">
        <v>1</v>
      </c>
      <c r="DE18">
        <v>1.03116147308781</v>
      </c>
      <c r="DF18" t="s">
        <v>62</v>
      </c>
      <c r="DG18">
        <v>3</v>
      </c>
      <c r="DH18">
        <v>1.0290135396518301</v>
      </c>
    </row>
    <row r="19" spans="1:112" x14ac:dyDescent="0.4">
      <c r="A19">
        <v>17</v>
      </c>
      <c r="B19" t="s">
        <v>69</v>
      </c>
      <c r="C19">
        <v>2</v>
      </c>
      <c r="D19">
        <v>0.95280898876404496</v>
      </c>
      <c r="E19" t="s">
        <v>75</v>
      </c>
      <c r="F19">
        <v>2</v>
      </c>
      <c r="G19">
        <v>0.83197389885807504</v>
      </c>
      <c r="H19" t="s">
        <v>70</v>
      </c>
      <c r="I19">
        <v>3</v>
      </c>
      <c r="J19">
        <v>0.41871455576559502</v>
      </c>
      <c r="K19" t="s">
        <v>69</v>
      </c>
      <c r="L19">
        <v>2</v>
      </c>
      <c r="M19">
        <v>1.09319526627218</v>
      </c>
      <c r="N19" t="s">
        <v>65</v>
      </c>
      <c r="O19">
        <v>1</v>
      </c>
      <c r="P19">
        <v>1.44924019920827</v>
      </c>
      <c r="Q19" t="s">
        <v>72</v>
      </c>
      <c r="R19">
        <v>2</v>
      </c>
      <c r="S19">
        <v>1.07758620689655</v>
      </c>
      <c r="T19" t="s">
        <v>73</v>
      </c>
      <c r="U19">
        <v>1</v>
      </c>
      <c r="V19">
        <v>0.84587677725118404</v>
      </c>
      <c r="W19" t="s">
        <v>75</v>
      </c>
      <c r="X19">
        <v>3</v>
      </c>
      <c r="Y19">
        <v>1.0838642879897999</v>
      </c>
      <c r="Z19" t="s">
        <v>90</v>
      </c>
      <c r="AA19">
        <v>3</v>
      </c>
      <c r="AB19">
        <v>0.92635658914728602</v>
      </c>
      <c r="AC19" t="s">
        <v>75</v>
      </c>
      <c r="AD19">
        <v>2</v>
      </c>
      <c r="AE19">
        <v>0.98180789133247004</v>
      </c>
      <c r="AF19" t="s">
        <v>68</v>
      </c>
      <c r="AG19">
        <v>1</v>
      </c>
      <c r="AH19">
        <v>0.89819004524886803</v>
      </c>
      <c r="AI19" t="s">
        <v>66</v>
      </c>
      <c r="AJ19">
        <v>3</v>
      </c>
      <c r="AK19">
        <v>1.0579188481675299</v>
      </c>
      <c r="AL19" t="s">
        <v>73</v>
      </c>
      <c r="AM19">
        <v>1</v>
      </c>
      <c r="AN19">
        <v>1.1092538609439899</v>
      </c>
      <c r="AO19" t="s">
        <v>73</v>
      </c>
      <c r="AP19">
        <v>1</v>
      </c>
      <c r="AQ19">
        <v>0.770192065755262</v>
      </c>
      <c r="AR19" t="s">
        <v>78</v>
      </c>
      <c r="AS19">
        <v>2</v>
      </c>
      <c r="AT19">
        <v>0.93512304250559197</v>
      </c>
      <c r="AU19" t="s">
        <v>73</v>
      </c>
      <c r="AV19">
        <v>1</v>
      </c>
      <c r="AW19">
        <v>1.15070016682675</v>
      </c>
      <c r="AX19" t="s">
        <v>68</v>
      </c>
      <c r="AY19">
        <v>1</v>
      </c>
      <c r="AZ19">
        <v>0.97590361445783103</v>
      </c>
      <c r="BA19" t="s">
        <v>72</v>
      </c>
      <c r="BB19">
        <v>2</v>
      </c>
      <c r="BC19">
        <v>1.11848341232227</v>
      </c>
      <c r="BD19" t="s">
        <v>72</v>
      </c>
      <c r="BE19">
        <v>2</v>
      </c>
      <c r="BF19">
        <v>1.1271186440677901</v>
      </c>
      <c r="BG19" t="s">
        <v>72</v>
      </c>
      <c r="BH19">
        <v>2</v>
      </c>
      <c r="BI19">
        <v>1.0150375939849601</v>
      </c>
      <c r="BJ19" t="s">
        <v>72</v>
      </c>
      <c r="BK19">
        <v>2</v>
      </c>
      <c r="BL19">
        <v>1.06666666666666</v>
      </c>
      <c r="BM19" t="s">
        <v>62</v>
      </c>
      <c r="BN19">
        <v>3</v>
      </c>
      <c r="BO19">
        <v>1.0118110236220399</v>
      </c>
      <c r="BP19" t="s">
        <v>71</v>
      </c>
      <c r="BQ19">
        <v>2</v>
      </c>
      <c r="BR19">
        <v>0.925632911392405</v>
      </c>
      <c r="BS19" t="s">
        <v>83</v>
      </c>
      <c r="BT19">
        <v>2</v>
      </c>
      <c r="BU19">
        <v>0.96272335181762103</v>
      </c>
      <c r="BV19" t="s">
        <v>83</v>
      </c>
      <c r="BW19">
        <v>2</v>
      </c>
      <c r="BX19">
        <v>1.0671999999999999</v>
      </c>
      <c r="BY19" t="s">
        <v>73</v>
      </c>
      <c r="BZ19">
        <v>2</v>
      </c>
      <c r="CA19">
        <v>0.87799043062200899</v>
      </c>
      <c r="CB19" t="s">
        <v>71</v>
      </c>
      <c r="CC19">
        <v>2</v>
      </c>
      <c r="CD19">
        <v>1.02150537634408</v>
      </c>
      <c r="CE19" t="s">
        <v>71</v>
      </c>
      <c r="CF19">
        <v>2</v>
      </c>
      <c r="CG19">
        <v>1.3017543859649101</v>
      </c>
      <c r="CH19" t="s">
        <v>72</v>
      </c>
      <c r="CI19">
        <v>2</v>
      </c>
      <c r="CJ19">
        <v>1.21229050279329</v>
      </c>
      <c r="CK19" t="s">
        <v>72</v>
      </c>
      <c r="CL19">
        <v>3</v>
      </c>
      <c r="CM19">
        <v>0.97465437788018405</v>
      </c>
      <c r="CN19" t="s">
        <v>80</v>
      </c>
      <c r="CO19">
        <v>3</v>
      </c>
      <c r="CP19">
        <v>1.0029498525073699</v>
      </c>
      <c r="CQ19" t="s">
        <v>85</v>
      </c>
      <c r="CR19">
        <v>2</v>
      </c>
      <c r="CS19">
        <v>0.94608695652173902</v>
      </c>
      <c r="CT19" t="s">
        <v>101</v>
      </c>
      <c r="CU19">
        <v>3</v>
      </c>
      <c r="CV19">
        <v>1.1423895253682399</v>
      </c>
      <c r="CW19" t="s">
        <v>92</v>
      </c>
      <c r="CX19">
        <v>3</v>
      </c>
      <c r="CY19">
        <v>1.0298507462686499</v>
      </c>
      <c r="CZ19" t="s">
        <v>73</v>
      </c>
      <c r="DA19">
        <v>2</v>
      </c>
      <c r="DB19">
        <v>1.14504716981132</v>
      </c>
      <c r="DC19" t="s">
        <v>72</v>
      </c>
      <c r="DD19">
        <v>3</v>
      </c>
      <c r="DE19">
        <v>1.0424929178470199</v>
      </c>
      <c r="DF19" t="s">
        <v>64</v>
      </c>
      <c r="DG19">
        <v>3</v>
      </c>
      <c r="DH19">
        <v>1.0631868131868101</v>
      </c>
    </row>
    <row r="20" spans="1:112" x14ac:dyDescent="0.4">
      <c r="A20">
        <v>18</v>
      </c>
      <c r="B20" t="s">
        <v>75</v>
      </c>
      <c r="C20">
        <v>2</v>
      </c>
      <c r="D20">
        <v>0.94529299456601501</v>
      </c>
      <c r="E20" t="s">
        <v>72</v>
      </c>
      <c r="F20">
        <v>2</v>
      </c>
      <c r="G20">
        <v>1.0231958762886499</v>
      </c>
      <c r="H20" t="s">
        <v>69</v>
      </c>
      <c r="I20">
        <v>2</v>
      </c>
      <c r="J20">
        <v>0.40238095238095201</v>
      </c>
      <c r="K20" t="s">
        <v>68</v>
      </c>
      <c r="L20">
        <v>1</v>
      </c>
      <c r="M20">
        <v>1.0943708609271501</v>
      </c>
      <c r="N20" t="s">
        <v>68</v>
      </c>
      <c r="O20">
        <v>1</v>
      </c>
      <c r="P20">
        <v>1.4462934947049899</v>
      </c>
      <c r="Q20" t="s">
        <v>73</v>
      </c>
      <c r="R20">
        <v>1</v>
      </c>
      <c r="S20">
        <v>0.989829617953914</v>
      </c>
      <c r="T20" t="s">
        <v>80</v>
      </c>
      <c r="U20">
        <v>2</v>
      </c>
      <c r="V20">
        <v>0.903345724907063</v>
      </c>
      <c r="W20" t="s">
        <v>72</v>
      </c>
      <c r="X20">
        <v>2</v>
      </c>
      <c r="Y20">
        <v>0.98846153846153795</v>
      </c>
      <c r="Z20" t="s">
        <v>87</v>
      </c>
      <c r="AA20">
        <v>3</v>
      </c>
      <c r="AB20">
        <v>0.82142857142857095</v>
      </c>
      <c r="AC20" t="s">
        <v>72</v>
      </c>
      <c r="AD20">
        <v>2</v>
      </c>
      <c r="AE20">
        <v>1</v>
      </c>
      <c r="AF20" t="s">
        <v>75</v>
      </c>
      <c r="AG20">
        <v>2</v>
      </c>
      <c r="AH20">
        <v>0.94424771473276703</v>
      </c>
      <c r="AI20" t="s">
        <v>69</v>
      </c>
      <c r="AJ20">
        <v>2</v>
      </c>
      <c r="AK20">
        <v>1.42342342342342</v>
      </c>
      <c r="AL20" t="s">
        <v>80</v>
      </c>
      <c r="AM20">
        <v>2</v>
      </c>
      <c r="AN20">
        <v>1.00882352941176</v>
      </c>
      <c r="AO20" t="s">
        <v>80</v>
      </c>
      <c r="AP20">
        <v>3</v>
      </c>
      <c r="AQ20">
        <v>1.01166180758017</v>
      </c>
      <c r="AR20" t="s">
        <v>73</v>
      </c>
      <c r="AS20">
        <v>1</v>
      </c>
      <c r="AT20">
        <v>0.71802969254782301</v>
      </c>
      <c r="AU20" t="s">
        <v>80</v>
      </c>
      <c r="AV20">
        <v>3</v>
      </c>
      <c r="AW20">
        <v>0.98290598290598197</v>
      </c>
      <c r="AX20" t="s">
        <v>72</v>
      </c>
      <c r="AY20">
        <v>2</v>
      </c>
      <c r="AZ20">
        <v>0.63554216867469804</v>
      </c>
      <c r="BA20" t="s">
        <v>74</v>
      </c>
      <c r="BB20">
        <v>2</v>
      </c>
      <c r="BC20">
        <v>0.88687426093811506</v>
      </c>
      <c r="BD20" t="s">
        <v>78</v>
      </c>
      <c r="BE20">
        <v>3</v>
      </c>
      <c r="BF20">
        <v>1.2313829787234001</v>
      </c>
      <c r="BG20" t="s">
        <v>78</v>
      </c>
      <c r="BH20">
        <v>3</v>
      </c>
      <c r="BI20">
        <v>1.4470842332613301</v>
      </c>
      <c r="BJ20" t="s">
        <v>74</v>
      </c>
      <c r="BK20">
        <v>2</v>
      </c>
      <c r="BL20">
        <v>0.98845660538691704</v>
      </c>
      <c r="BM20" t="s">
        <v>64</v>
      </c>
      <c r="BN20">
        <v>3</v>
      </c>
      <c r="BO20">
        <v>1.04182509505703</v>
      </c>
      <c r="BP20" t="s">
        <v>72</v>
      </c>
      <c r="BQ20">
        <v>2</v>
      </c>
      <c r="BR20">
        <v>0.99664429530201304</v>
      </c>
      <c r="BS20" t="s">
        <v>80</v>
      </c>
      <c r="BT20">
        <v>3</v>
      </c>
      <c r="BU20">
        <v>0.98814229249011798</v>
      </c>
      <c r="BV20" t="s">
        <v>80</v>
      </c>
      <c r="BW20">
        <v>3</v>
      </c>
      <c r="BX20">
        <v>1.016</v>
      </c>
      <c r="BY20" t="s">
        <v>83</v>
      </c>
      <c r="BZ20">
        <v>3</v>
      </c>
      <c r="CA20">
        <v>1.0298350824587701</v>
      </c>
      <c r="CB20" t="s">
        <v>72</v>
      </c>
      <c r="CC20">
        <v>2</v>
      </c>
      <c r="CD20">
        <v>0.80652680652680597</v>
      </c>
      <c r="CE20" t="s">
        <v>72</v>
      </c>
      <c r="CF20">
        <v>2</v>
      </c>
      <c r="CG20">
        <v>1.03468208092485</v>
      </c>
      <c r="CH20" t="s">
        <v>74</v>
      </c>
      <c r="CI20">
        <v>3</v>
      </c>
      <c r="CJ20">
        <v>1.54691075514874</v>
      </c>
      <c r="CK20" t="s">
        <v>74</v>
      </c>
      <c r="CL20">
        <v>3</v>
      </c>
      <c r="CM20">
        <v>0.87426035502958499</v>
      </c>
      <c r="CN20" t="s">
        <v>85</v>
      </c>
      <c r="CO20">
        <v>2</v>
      </c>
      <c r="CP20">
        <v>0.90125391849529701</v>
      </c>
      <c r="CQ20" t="s">
        <v>92</v>
      </c>
      <c r="CR20">
        <v>2</v>
      </c>
      <c r="CS20">
        <v>0.96616915422885497</v>
      </c>
      <c r="CT20" t="s">
        <v>91</v>
      </c>
      <c r="CU20">
        <v>3</v>
      </c>
      <c r="CV20">
        <v>1.0113391017717299</v>
      </c>
      <c r="CW20" t="s">
        <v>101</v>
      </c>
      <c r="CX20">
        <v>2</v>
      </c>
      <c r="CY20">
        <v>0.86819484240687606</v>
      </c>
      <c r="CZ20" t="s">
        <v>80</v>
      </c>
      <c r="DA20">
        <v>3</v>
      </c>
      <c r="DB20">
        <v>0.97750000000000004</v>
      </c>
      <c r="DC20" t="s">
        <v>74</v>
      </c>
      <c r="DD20">
        <v>3</v>
      </c>
      <c r="DE20">
        <v>1.16919739696312</v>
      </c>
      <c r="DF20" t="s">
        <v>65</v>
      </c>
      <c r="DG20">
        <v>1</v>
      </c>
      <c r="DH20">
        <v>1.31456043956043</v>
      </c>
    </row>
    <row r="21" spans="1:112" x14ac:dyDescent="0.4">
      <c r="A21">
        <v>19</v>
      </c>
      <c r="B21" t="s">
        <v>72</v>
      </c>
      <c r="C21">
        <v>2</v>
      </c>
      <c r="D21">
        <v>1.0402144772117901</v>
      </c>
      <c r="E21" t="s">
        <v>73</v>
      </c>
      <c r="F21">
        <v>1</v>
      </c>
      <c r="G21">
        <v>0.83671251004300695</v>
      </c>
      <c r="H21" t="s">
        <v>68</v>
      </c>
      <c r="I21">
        <v>1</v>
      </c>
      <c r="J21">
        <v>0.52613240418118401</v>
      </c>
      <c r="K21" t="s">
        <v>71</v>
      </c>
      <c r="L21">
        <v>2</v>
      </c>
      <c r="M21">
        <v>1.1592592592592501</v>
      </c>
      <c r="N21" t="s">
        <v>75</v>
      </c>
      <c r="O21">
        <v>2</v>
      </c>
      <c r="P21">
        <v>1.15911886391591</v>
      </c>
      <c r="Q21" t="s">
        <v>80</v>
      </c>
      <c r="R21">
        <v>2</v>
      </c>
      <c r="S21">
        <v>0.97287522603978305</v>
      </c>
      <c r="T21" t="s">
        <v>90</v>
      </c>
      <c r="U21">
        <v>3</v>
      </c>
      <c r="V21">
        <v>0.74258970358814302</v>
      </c>
      <c r="W21" t="s">
        <v>73</v>
      </c>
      <c r="X21">
        <v>1</v>
      </c>
      <c r="Y21">
        <v>0.92308381891528402</v>
      </c>
      <c r="Z21" t="s">
        <v>85</v>
      </c>
      <c r="AA21">
        <v>2</v>
      </c>
      <c r="AB21">
        <v>1.12658227848101</v>
      </c>
      <c r="AC21" t="s">
        <v>73</v>
      </c>
      <c r="AD21">
        <v>1</v>
      </c>
      <c r="AE21">
        <v>1.15659179426986</v>
      </c>
      <c r="AF21" t="s">
        <v>72</v>
      </c>
      <c r="AG21">
        <v>2</v>
      </c>
      <c r="AH21">
        <v>1.0385964912280701</v>
      </c>
      <c r="AI21" t="s">
        <v>68</v>
      </c>
      <c r="AJ21">
        <v>1</v>
      </c>
      <c r="AK21">
        <v>0.89546599496221602</v>
      </c>
      <c r="AL21" t="s">
        <v>86</v>
      </c>
      <c r="AM21">
        <v>3</v>
      </c>
      <c r="AN21">
        <v>1.16574943347361</v>
      </c>
      <c r="AO21" t="s">
        <v>86</v>
      </c>
      <c r="AP21">
        <v>3</v>
      </c>
      <c r="AQ21">
        <v>0.902804776450985</v>
      </c>
      <c r="AR21" t="s">
        <v>80</v>
      </c>
      <c r="AS21">
        <v>3</v>
      </c>
      <c r="AT21">
        <v>1.01152737752161</v>
      </c>
      <c r="AU21" t="s">
        <v>86</v>
      </c>
      <c r="AV21">
        <v>3</v>
      </c>
      <c r="AW21">
        <v>1.3103922918100399</v>
      </c>
      <c r="AX21" t="s">
        <v>74</v>
      </c>
      <c r="AY21">
        <v>2</v>
      </c>
      <c r="AZ21">
        <v>0.73429811866859596</v>
      </c>
      <c r="BA21" t="s">
        <v>78</v>
      </c>
      <c r="BB21">
        <v>3</v>
      </c>
      <c r="BC21">
        <v>1.0773638968481301</v>
      </c>
      <c r="BD21" t="s">
        <v>73</v>
      </c>
      <c r="BE21">
        <v>2</v>
      </c>
      <c r="BF21">
        <v>0.79685083649655497</v>
      </c>
      <c r="BG21" t="s">
        <v>73</v>
      </c>
      <c r="BH21">
        <v>2</v>
      </c>
      <c r="BI21">
        <v>1.0079393083980199</v>
      </c>
      <c r="BJ21" t="s">
        <v>73</v>
      </c>
      <c r="BK21">
        <v>2</v>
      </c>
      <c r="BL21">
        <v>0.99212322772623796</v>
      </c>
      <c r="BM21" t="s">
        <v>65</v>
      </c>
      <c r="BN21">
        <v>1</v>
      </c>
      <c r="BO21">
        <v>1.02840743262963</v>
      </c>
      <c r="BP21" t="s">
        <v>74</v>
      </c>
      <c r="BQ21">
        <v>3</v>
      </c>
      <c r="BR21">
        <v>1.0422535211267601</v>
      </c>
      <c r="BS21" t="s">
        <v>85</v>
      </c>
      <c r="BT21">
        <v>2</v>
      </c>
      <c r="BU21">
        <v>0.88745387453874502</v>
      </c>
      <c r="BV21" t="s">
        <v>85</v>
      </c>
      <c r="BW21">
        <v>2</v>
      </c>
      <c r="BX21">
        <v>1.17463617463617</v>
      </c>
      <c r="BY21" t="s">
        <v>80</v>
      </c>
      <c r="BZ21">
        <v>3</v>
      </c>
      <c r="CA21">
        <v>1.09055118110236</v>
      </c>
      <c r="CB21" t="s">
        <v>74</v>
      </c>
      <c r="CC21">
        <v>3</v>
      </c>
      <c r="CD21">
        <v>0.92873563218390798</v>
      </c>
      <c r="CE21" t="s">
        <v>74</v>
      </c>
      <c r="CF21">
        <v>3</v>
      </c>
      <c r="CG21">
        <v>1.08168316831683</v>
      </c>
      <c r="CH21" t="s">
        <v>78</v>
      </c>
      <c r="CI21">
        <v>3</v>
      </c>
      <c r="CJ21">
        <v>0.90801886792452802</v>
      </c>
      <c r="CK21" t="s">
        <v>83</v>
      </c>
      <c r="CL21">
        <v>3</v>
      </c>
      <c r="CM21">
        <v>0.75726842461122301</v>
      </c>
      <c r="CN21" t="s">
        <v>93</v>
      </c>
      <c r="CO21">
        <v>1</v>
      </c>
      <c r="CP21">
        <v>1.2107142857142801</v>
      </c>
      <c r="CQ21" t="s">
        <v>101</v>
      </c>
      <c r="CR21">
        <v>3</v>
      </c>
      <c r="CS21">
        <v>1.1129326047358801</v>
      </c>
      <c r="CT21" t="s">
        <v>88</v>
      </c>
      <c r="CU21">
        <v>1</v>
      </c>
      <c r="CV21">
        <v>1.03523489932885</v>
      </c>
      <c r="CW21" t="s">
        <v>91</v>
      </c>
      <c r="CX21">
        <v>3</v>
      </c>
      <c r="CY21">
        <v>0.97115525642488099</v>
      </c>
      <c r="CZ21" t="s">
        <v>87</v>
      </c>
      <c r="DA21">
        <v>3</v>
      </c>
      <c r="DB21">
        <v>1.00706713780918</v>
      </c>
      <c r="DC21" t="s">
        <v>73</v>
      </c>
      <c r="DD21">
        <v>2</v>
      </c>
      <c r="DE21">
        <v>1.29763130792996</v>
      </c>
      <c r="DF21" t="s">
        <v>72</v>
      </c>
      <c r="DG21">
        <v>3</v>
      </c>
      <c r="DH21">
        <v>1.01086956521739</v>
      </c>
    </row>
    <row r="22" spans="1:112" x14ac:dyDescent="0.4">
      <c r="A22">
        <v>20</v>
      </c>
      <c r="B22" t="s">
        <v>78</v>
      </c>
      <c r="C22">
        <v>2</v>
      </c>
      <c r="D22">
        <v>1.31305903398926</v>
      </c>
      <c r="E22" t="s">
        <v>80</v>
      </c>
      <c r="F22">
        <v>2</v>
      </c>
      <c r="G22">
        <v>0.94163424124513595</v>
      </c>
      <c r="H22" t="s">
        <v>75</v>
      </c>
      <c r="I22">
        <v>2</v>
      </c>
      <c r="J22">
        <v>0.57217553688141898</v>
      </c>
      <c r="K22" t="s">
        <v>72</v>
      </c>
      <c r="L22">
        <v>2</v>
      </c>
      <c r="M22">
        <v>0.860869565217391</v>
      </c>
      <c r="N22" t="s">
        <v>71</v>
      </c>
      <c r="O22">
        <v>2</v>
      </c>
      <c r="P22">
        <v>1.7571884984025501</v>
      </c>
      <c r="Q22" t="s">
        <v>90</v>
      </c>
      <c r="R22">
        <v>3</v>
      </c>
      <c r="S22">
        <v>1.0031298904538299</v>
      </c>
      <c r="T22" t="s">
        <v>99</v>
      </c>
      <c r="U22">
        <v>3</v>
      </c>
      <c r="V22">
        <v>0.96556291390728399</v>
      </c>
      <c r="W22" t="s">
        <v>80</v>
      </c>
      <c r="X22">
        <v>2</v>
      </c>
      <c r="Y22">
        <v>0.90123456790123402</v>
      </c>
      <c r="Z22" t="s">
        <v>89</v>
      </c>
      <c r="AA22">
        <v>3</v>
      </c>
      <c r="AB22">
        <v>1.03157894736842</v>
      </c>
      <c r="AC22" t="s">
        <v>77</v>
      </c>
      <c r="AD22">
        <v>2</v>
      </c>
      <c r="AE22">
        <v>0.99093655532534297</v>
      </c>
      <c r="AF22" t="s">
        <v>74</v>
      </c>
      <c r="AG22">
        <v>2</v>
      </c>
      <c r="AH22">
        <v>1.0317290006131199</v>
      </c>
      <c r="AI22" t="s">
        <v>75</v>
      </c>
      <c r="AJ22">
        <v>2</v>
      </c>
      <c r="AK22">
        <v>0.89665096807953903</v>
      </c>
      <c r="AL22" t="s">
        <v>89</v>
      </c>
      <c r="AM22">
        <v>3</v>
      </c>
      <c r="AN22">
        <v>1.0469798657718099</v>
      </c>
      <c r="AO22" t="s">
        <v>89</v>
      </c>
      <c r="AP22">
        <v>3</v>
      </c>
      <c r="AQ22">
        <v>1.0897435897435801</v>
      </c>
      <c r="AR22" t="s">
        <v>86</v>
      </c>
      <c r="AS22">
        <v>3</v>
      </c>
      <c r="AT22">
        <v>0.89387880652106999</v>
      </c>
      <c r="AU22" t="s">
        <v>89</v>
      </c>
      <c r="AV22">
        <v>3</v>
      </c>
      <c r="AW22">
        <v>1.06984126984126</v>
      </c>
      <c r="AX22" t="s">
        <v>78</v>
      </c>
      <c r="AY22">
        <v>2</v>
      </c>
      <c r="AZ22">
        <v>0.62769784172661802</v>
      </c>
      <c r="BA22" t="s">
        <v>73</v>
      </c>
      <c r="BB22">
        <v>2</v>
      </c>
      <c r="BC22">
        <v>0.96329902491874297</v>
      </c>
      <c r="BD22" t="s">
        <v>80</v>
      </c>
      <c r="BE22">
        <v>3</v>
      </c>
      <c r="BF22">
        <v>0.95810055865921695</v>
      </c>
      <c r="BG22" t="s">
        <v>83</v>
      </c>
      <c r="BH22">
        <v>2</v>
      </c>
      <c r="BI22">
        <v>0.952800579430226</v>
      </c>
      <c r="BJ22" t="s">
        <v>80</v>
      </c>
      <c r="BK22">
        <v>3</v>
      </c>
      <c r="BL22">
        <v>0.95614035087719296</v>
      </c>
      <c r="BM22" t="s">
        <v>71</v>
      </c>
      <c r="BN22">
        <v>2</v>
      </c>
      <c r="BO22">
        <v>0.87172413793103398</v>
      </c>
      <c r="BP22" t="s">
        <v>73</v>
      </c>
      <c r="BQ22">
        <v>2</v>
      </c>
      <c r="BR22">
        <v>1.0343108256570599</v>
      </c>
      <c r="BS22" t="s">
        <v>89</v>
      </c>
      <c r="BT22">
        <v>3</v>
      </c>
      <c r="BU22">
        <v>1.0897097625329799</v>
      </c>
      <c r="BV22" t="s">
        <v>89</v>
      </c>
      <c r="BW22">
        <v>3</v>
      </c>
      <c r="BX22">
        <v>1.10895883777239</v>
      </c>
      <c r="BY22" t="s">
        <v>85</v>
      </c>
      <c r="BZ22">
        <v>2</v>
      </c>
      <c r="CA22">
        <v>1.26725663716814</v>
      </c>
      <c r="CB22" t="s">
        <v>73</v>
      </c>
      <c r="CC22">
        <v>2</v>
      </c>
      <c r="CD22">
        <v>0.85286103542234304</v>
      </c>
      <c r="CE22" t="s">
        <v>73</v>
      </c>
      <c r="CF22">
        <v>2</v>
      </c>
      <c r="CG22">
        <v>1.0095846645367399</v>
      </c>
      <c r="CH22" t="s">
        <v>73</v>
      </c>
      <c r="CI22">
        <v>2</v>
      </c>
      <c r="CJ22">
        <v>0.863924050632911</v>
      </c>
      <c r="CK22" t="s">
        <v>80</v>
      </c>
      <c r="CL22">
        <v>3</v>
      </c>
      <c r="CM22">
        <v>0.97694524495677204</v>
      </c>
      <c r="CN22" t="s">
        <v>89</v>
      </c>
      <c r="CO22">
        <v>3</v>
      </c>
      <c r="CP22">
        <v>1.41856925418569</v>
      </c>
      <c r="CQ22" t="s">
        <v>91</v>
      </c>
      <c r="CR22">
        <v>3</v>
      </c>
      <c r="CS22">
        <v>1.02486360488488</v>
      </c>
      <c r="CT22" t="s">
        <v>108</v>
      </c>
      <c r="CU22">
        <v>3</v>
      </c>
      <c r="CV22">
        <v>1.03993344425956</v>
      </c>
      <c r="CW22" t="s">
        <v>88</v>
      </c>
      <c r="CX22">
        <v>2</v>
      </c>
      <c r="CY22">
        <v>1.02593192868719</v>
      </c>
      <c r="CZ22" t="s">
        <v>85</v>
      </c>
      <c r="DA22">
        <v>2</v>
      </c>
      <c r="DB22">
        <v>1.0228215767634801</v>
      </c>
      <c r="DC22" t="s">
        <v>80</v>
      </c>
      <c r="DD22">
        <v>3</v>
      </c>
      <c r="DE22">
        <v>0.930946291560102</v>
      </c>
      <c r="DF22" t="s">
        <v>74</v>
      </c>
      <c r="DG22">
        <v>3</v>
      </c>
      <c r="DH22">
        <v>1.3358070500927599</v>
      </c>
    </row>
    <row r="23" spans="1:112" x14ac:dyDescent="0.4">
      <c r="A23">
        <v>21</v>
      </c>
      <c r="B23" t="s">
        <v>73</v>
      </c>
      <c r="C23">
        <v>1</v>
      </c>
      <c r="D23">
        <v>1.0895468589083399</v>
      </c>
      <c r="E23" t="s">
        <v>82</v>
      </c>
      <c r="F23">
        <v>2</v>
      </c>
      <c r="G23">
        <v>0.616865869853917</v>
      </c>
      <c r="H23" t="s">
        <v>72</v>
      </c>
      <c r="I23">
        <v>2</v>
      </c>
      <c r="J23">
        <v>0.579345088161209</v>
      </c>
      <c r="K23" t="s">
        <v>78</v>
      </c>
      <c r="L23">
        <v>2</v>
      </c>
      <c r="M23">
        <v>1.5476839237057201</v>
      </c>
      <c r="N23" t="s">
        <v>72</v>
      </c>
      <c r="O23">
        <v>2</v>
      </c>
      <c r="P23">
        <v>1.1717171717171699</v>
      </c>
      <c r="Q23" t="s">
        <v>85</v>
      </c>
      <c r="R23">
        <v>2</v>
      </c>
      <c r="S23">
        <v>1.0675241157556199</v>
      </c>
      <c r="T23" t="s">
        <v>87</v>
      </c>
      <c r="U23">
        <v>3</v>
      </c>
      <c r="V23">
        <v>0.99492900608519197</v>
      </c>
      <c r="W23" t="s">
        <v>86</v>
      </c>
      <c r="X23">
        <v>2</v>
      </c>
      <c r="Y23">
        <v>1.0138264777048001</v>
      </c>
      <c r="Z23" t="s">
        <v>95</v>
      </c>
      <c r="AA23">
        <v>2</v>
      </c>
      <c r="AB23">
        <v>0.67303104476917097</v>
      </c>
      <c r="AC23" t="s">
        <v>80</v>
      </c>
      <c r="AD23">
        <v>2</v>
      </c>
      <c r="AE23">
        <v>0.95061728395061695</v>
      </c>
      <c r="AF23" t="s">
        <v>78</v>
      </c>
      <c r="AG23">
        <v>2</v>
      </c>
      <c r="AH23">
        <v>1.02713178294573</v>
      </c>
      <c r="AI23" t="s">
        <v>72</v>
      </c>
      <c r="AJ23">
        <v>2</v>
      </c>
      <c r="AK23">
        <v>1.0506756756756701</v>
      </c>
      <c r="AL23" t="s">
        <v>95</v>
      </c>
      <c r="AM23">
        <v>2</v>
      </c>
      <c r="AN23">
        <v>0.819935691318328</v>
      </c>
      <c r="AO23" t="s">
        <v>91</v>
      </c>
      <c r="AP23">
        <v>3</v>
      </c>
      <c r="AQ23">
        <v>0.83649688652943999</v>
      </c>
      <c r="AR23" t="s">
        <v>89</v>
      </c>
      <c r="AS23">
        <v>3</v>
      </c>
      <c r="AT23">
        <v>0.92647058823529405</v>
      </c>
      <c r="AU23" t="s">
        <v>92</v>
      </c>
      <c r="AV23">
        <v>2</v>
      </c>
      <c r="AW23">
        <v>1.1939163498098799</v>
      </c>
      <c r="AX23" t="s">
        <v>73</v>
      </c>
      <c r="AY23">
        <v>1</v>
      </c>
      <c r="AZ23">
        <v>0.64880063263333598</v>
      </c>
      <c r="BA23" t="s">
        <v>80</v>
      </c>
      <c r="BB23">
        <v>3</v>
      </c>
      <c r="BC23">
        <v>1.0718562874251401</v>
      </c>
      <c r="BD23" t="s">
        <v>86</v>
      </c>
      <c r="BE23">
        <v>3</v>
      </c>
      <c r="BF23">
        <v>1.2579885637403201</v>
      </c>
      <c r="BG23" t="s">
        <v>80</v>
      </c>
      <c r="BH23">
        <v>3</v>
      </c>
      <c r="BI23">
        <v>0.99708454810495595</v>
      </c>
      <c r="BJ23" t="s">
        <v>86</v>
      </c>
      <c r="BK23">
        <v>3</v>
      </c>
      <c r="BL23">
        <v>1.21976107516177</v>
      </c>
      <c r="BM23" t="s">
        <v>72</v>
      </c>
      <c r="BN23">
        <v>2</v>
      </c>
      <c r="BO23">
        <v>1.0347222222222201</v>
      </c>
      <c r="BP23" t="s">
        <v>83</v>
      </c>
      <c r="BQ23">
        <v>2</v>
      </c>
      <c r="BR23">
        <v>1.0398846708313301</v>
      </c>
      <c r="BS23" t="s">
        <v>92</v>
      </c>
      <c r="BT23">
        <v>2</v>
      </c>
      <c r="BU23">
        <v>0.93921568627450902</v>
      </c>
      <c r="BV23" t="s">
        <v>92</v>
      </c>
      <c r="BW23">
        <v>2</v>
      </c>
      <c r="BX23">
        <v>1.0751565762004101</v>
      </c>
      <c r="BY23" t="s">
        <v>89</v>
      </c>
      <c r="BZ23">
        <v>3</v>
      </c>
      <c r="CA23">
        <v>1.10917030567685</v>
      </c>
      <c r="CB23" t="s">
        <v>83</v>
      </c>
      <c r="CC23">
        <v>3</v>
      </c>
      <c r="CD23">
        <v>0.93477944387829304</v>
      </c>
      <c r="CE23" t="s">
        <v>83</v>
      </c>
      <c r="CF23">
        <v>3</v>
      </c>
      <c r="CG23">
        <v>0.892540102787727</v>
      </c>
      <c r="CH23" t="s">
        <v>83</v>
      </c>
      <c r="CI23">
        <v>3</v>
      </c>
      <c r="CJ23">
        <v>1.0322805793055301</v>
      </c>
      <c r="CK23" t="s">
        <v>93</v>
      </c>
      <c r="CL23">
        <v>1</v>
      </c>
      <c r="CM23">
        <v>1.0071942446043101</v>
      </c>
      <c r="CN23" t="s">
        <v>92</v>
      </c>
      <c r="CO23">
        <v>2</v>
      </c>
      <c r="CP23">
        <v>0.96634615384615297</v>
      </c>
      <c r="CQ23" t="s">
        <v>88</v>
      </c>
      <c r="CR23">
        <v>1</v>
      </c>
      <c r="CS23">
        <v>0.97704918032786803</v>
      </c>
      <c r="CT23" t="s">
        <v>97</v>
      </c>
      <c r="CU23">
        <v>3</v>
      </c>
      <c r="CV23">
        <v>1.0983606557376999</v>
      </c>
      <c r="CW23" t="s">
        <v>107</v>
      </c>
      <c r="CX23">
        <v>3</v>
      </c>
      <c r="CY23">
        <v>1.1298701298701299</v>
      </c>
      <c r="CZ23" t="s">
        <v>93</v>
      </c>
      <c r="DA23">
        <v>1</v>
      </c>
      <c r="DB23">
        <v>1.07692307692307</v>
      </c>
      <c r="DC23" t="s">
        <v>87</v>
      </c>
      <c r="DD23">
        <v>3</v>
      </c>
      <c r="DE23">
        <v>0.98947368421052595</v>
      </c>
      <c r="DF23" t="s">
        <v>73</v>
      </c>
      <c r="DG23">
        <v>2</v>
      </c>
      <c r="DH23">
        <v>0.99206349206349198</v>
      </c>
    </row>
    <row r="24" spans="1:112" x14ac:dyDescent="0.4">
      <c r="A24">
        <v>22</v>
      </c>
      <c r="B24" t="s">
        <v>77</v>
      </c>
      <c r="C24">
        <v>3</v>
      </c>
      <c r="D24">
        <v>5.1633466139181898</v>
      </c>
      <c r="E24" t="s">
        <v>85</v>
      </c>
      <c r="F24">
        <v>2</v>
      </c>
      <c r="G24">
        <v>1.1863207547169801</v>
      </c>
      <c r="H24" t="s">
        <v>78</v>
      </c>
      <c r="I24">
        <v>2</v>
      </c>
      <c r="J24">
        <v>0.772631578947368</v>
      </c>
      <c r="K24" t="s">
        <v>73</v>
      </c>
      <c r="L24">
        <v>1</v>
      </c>
      <c r="M24">
        <v>0.92843419788664705</v>
      </c>
      <c r="N24" t="s">
        <v>73</v>
      </c>
      <c r="O24">
        <v>1</v>
      </c>
      <c r="P24">
        <v>1.3784790481117399</v>
      </c>
      <c r="Q24" t="s">
        <v>95</v>
      </c>
      <c r="R24">
        <v>2</v>
      </c>
      <c r="S24">
        <v>1.0042923028018</v>
      </c>
      <c r="T24" t="s">
        <v>85</v>
      </c>
      <c r="U24">
        <v>2</v>
      </c>
      <c r="V24">
        <v>0.86144578313252995</v>
      </c>
      <c r="W24" t="s">
        <v>87</v>
      </c>
      <c r="X24">
        <v>3</v>
      </c>
      <c r="Y24">
        <v>1.28440366972477</v>
      </c>
      <c r="Z24" t="s">
        <v>91</v>
      </c>
      <c r="AA24">
        <v>2</v>
      </c>
      <c r="AB24">
        <v>1.13267080212067</v>
      </c>
      <c r="AC24" t="s">
        <v>86</v>
      </c>
      <c r="AD24">
        <v>3</v>
      </c>
      <c r="AE24">
        <v>0.938322938322938</v>
      </c>
      <c r="AF24" t="s">
        <v>73</v>
      </c>
      <c r="AG24">
        <v>1</v>
      </c>
      <c r="AH24">
        <v>1.1875172986437801</v>
      </c>
      <c r="AI24" t="s">
        <v>74</v>
      </c>
      <c r="AJ24">
        <v>2</v>
      </c>
      <c r="AK24">
        <v>0.90774030604664901</v>
      </c>
      <c r="AL24" t="s">
        <v>91</v>
      </c>
      <c r="AM24">
        <v>3</v>
      </c>
      <c r="AN24">
        <v>1.0430444548921201</v>
      </c>
      <c r="AO24" t="s">
        <v>100</v>
      </c>
      <c r="AP24">
        <v>2</v>
      </c>
      <c r="AQ24">
        <v>0.93361165684348302</v>
      </c>
      <c r="AR24" t="s">
        <v>92</v>
      </c>
      <c r="AS24">
        <v>2</v>
      </c>
      <c r="AT24">
        <v>0.80923076923076898</v>
      </c>
      <c r="AU24" t="s">
        <v>96</v>
      </c>
      <c r="AV24">
        <v>2</v>
      </c>
      <c r="AW24">
        <v>1.2307692307692299</v>
      </c>
      <c r="AX24" t="s">
        <v>80</v>
      </c>
      <c r="AY24">
        <v>3</v>
      </c>
      <c r="AZ24">
        <v>0.96811594202898499</v>
      </c>
      <c r="BA24" t="s">
        <v>86</v>
      </c>
      <c r="BB24">
        <v>3</v>
      </c>
      <c r="BC24">
        <v>0.94711691621535499</v>
      </c>
      <c r="BD24" t="s">
        <v>85</v>
      </c>
      <c r="BE24">
        <v>2</v>
      </c>
      <c r="BF24">
        <v>0.73691654879773605</v>
      </c>
      <c r="BG24" t="s">
        <v>85</v>
      </c>
      <c r="BH24">
        <v>2</v>
      </c>
      <c r="BI24">
        <v>1.28406909788867</v>
      </c>
      <c r="BJ24" t="s">
        <v>85</v>
      </c>
      <c r="BK24">
        <v>2</v>
      </c>
      <c r="BL24">
        <v>1</v>
      </c>
      <c r="BM24" t="s">
        <v>74</v>
      </c>
      <c r="BN24">
        <v>3</v>
      </c>
      <c r="BO24">
        <v>0.82915224913494801</v>
      </c>
      <c r="BP24" t="s">
        <v>80</v>
      </c>
      <c r="BQ24">
        <v>3</v>
      </c>
      <c r="BR24">
        <v>0.84333333333333305</v>
      </c>
      <c r="BS24" t="s">
        <v>96</v>
      </c>
      <c r="BT24">
        <v>2</v>
      </c>
      <c r="BU24">
        <v>0.94252873563218298</v>
      </c>
      <c r="BV24" t="s">
        <v>96</v>
      </c>
      <c r="BW24">
        <v>2</v>
      </c>
      <c r="BX24">
        <v>0.97696476964769596</v>
      </c>
      <c r="BY24" t="s">
        <v>92</v>
      </c>
      <c r="BZ24">
        <v>2</v>
      </c>
      <c r="CA24">
        <v>1.24757281553398</v>
      </c>
      <c r="CB24" t="s">
        <v>80</v>
      </c>
      <c r="CC24">
        <v>3</v>
      </c>
      <c r="CD24">
        <v>1.01805054151624</v>
      </c>
      <c r="CE24" t="s">
        <v>80</v>
      </c>
      <c r="CF24">
        <v>3</v>
      </c>
      <c r="CG24">
        <v>1.26595744680851</v>
      </c>
      <c r="CH24" t="s">
        <v>80</v>
      </c>
      <c r="CI24">
        <v>3</v>
      </c>
      <c r="CJ24">
        <v>0.97198879551820705</v>
      </c>
      <c r="CK24" t="s">
        <v>89</v>
      </c>
      <c r="CL24">
        <v>3</v>
      </c>
      <c r="CM24">
        <v>0.893877551020408</v>
      </c>
      <c r="CN24" t="s">
        <v>101</v>
      </c>
      <c r="CO24">
        <v>3</v>
      </c>
      <c r="CP24">
        <v>1.0280898876404401</v>
      </c>
      <c r="CQ24" t="s">
        <v>103</v>
      </c>
      <c r="CR24">
        <v>3</v>
      </c>
      <c r="CS24">
        <v>0.85220500595947501</v>
      </c>
      <c r="CT24" t="s">
        <v>112</v>
      </c>
      <c r="CU24">
        <v>2</v>
      </c>
      <c r="CV24">
        <v>1.05092592592592</v>
      </c>
      <c r="CW24" t="s">
        <v>108</v>
      </c>
      <c r="CX24">
        <v>3</v>
      </c>
      <c r="CY24">
        <v>1.08</v>
      </c>
      <c r="CZ24" t="s">
        <v>95</v>
      </c>
      <c r="DA24">
        <v>3</v>
      </c>
      <c r="DB24">
        <v>0.40769230769230702</v>
      </c>
      <c r="DC24" t="s">
        <v>85</v>
      </c>
      <c r="DD24">
        <v>2</v>
      </c>
      <c r="DE24">
        <v>1.05679513184584</v>
      </c>
      <c r="DF24" t="s">
        <v>80</v>
      </c>
      <c r="DG24">
        <v>3</v>
      </c>
      <c r="DH24">
        <v>1.16483516483516</v>
      </c>
    </row>
    <row r="25" spans="1:112" x14ac:dyDescent="0.4">
      <c r="A25">
        <v>23</v>
      </c>
      <c r="B25" t="s">
        <v>82</v>
      </c>
      <c r="C25">
        <v>2</v>
      </c>
      <c r="D25">
        <v>0.86551724137930997</v>
      </c>
      <c r="E25" t="s">
        <v>89</v>
      </c>
      <c r="F25">
        <v>3</v>
      </c>
      <c r="G25">
        <v>1.0679611650485401</v>
      </c>
      <c r="H25" t="s">
        <v>73</v>
      </c>
      <c r="I25">
        <v>1</v>
      </c>
      <c r="J25">
        <v>0.58800271125169401</v>
      </c>
      <c r="K25" t="s">
        <v>80</v>
      </c>
      <c r="L25">
        <v>2</v>
      </c>
      <c r="M25">
        <v>1.234375</v>
      </c>
      <c r="N25" t="s">
        <v>80</v>
      </c>
      <c r="O25">
        <v>2</v>
      </c>
      <c r="P25">
        <v>1.75</v>
      </c>
      <c r="Q25" t="s">
        <v>91</v>
      </c>
      <c r="R25">
        <v>2</v>
      </c>
      <c r="S25">
        <v>0.99207479018378797</v>
      </c>
      <c r="T25" t="s">
        <v>95</v>
      </c>
      <c r="U25">
        <v>2</v>
      </c>
      <c r="V25">
        <v>0.95726484391301403</v>
      </c>
      <c r="W25" t="s">
        <v>85</v>
      </c>
      <c r="X25">
        <v>2</v>
      </c>
      <c r="Y25">
        <v>1.1048951048950999</v>
      </c>
      <c r="Z25" t="s">
        <v>84</v>
      </c>
      <c r="AA25">
        <v>2</v>
      </c>
      <c r="AB25">
        <v>1.2368794326241099</v>
      </c>
      <c r="AC25" t="s">
        <v>87</v>
      </c>
      <c r="AD25">
        <v>3</v>
      </c>
      <c r="AE25">
        <v>1.03381642512077</v>
      </c>
      <c r="AF25" t="s">
        <v>80</v>
      </c>
      <c r="AG25">
        <v>2</v>
      </c>
      <c r="AH25">
        <v>1.1590909090909001</v>
      </c>
      <c r="AI25" t="s">
        <v>73</v>
      </c>
      <c r="AJ25">
        <v>1</v>
      </c>
      <c r="AK25">
        <v>1.2526123606417201</v>
      </c>
      <c r="AL25" t="s">
        <v>100</v>
      </c>
      <c r="AM25">
        <v>2</v>
      </c>
      <c r="AN25">
        <v>1.1456438150614201</v>
      </c>
      <c r="AO25" t="s">
        <v>84</v>
      </c>
      <c r="AP25">
        <v>2</v>
      </c>
      <c r="AQ25">
        <v>1.48</v>
      </c>
      <c r="AR25" t="s">
        <v>91</v>
      </c>
      <c r="AS25">
        <v>3</v>
      </c>
      <c r="AT25">
        <v>0.93833196958508702</v>
      </c>
      <c r="AU25" t="s">
        <v>91</v>
      </c>
      <c r="AV25">
        <v>3</v>
      </c>
      <c r="AW25">
        <v>1.0859476359614599</v>
      </c>
      <c r="AX25" t="s">
        <v>86</v>
      </c>
      <c r="AY25">
        <v>3</v>
      </c>
      <c r="AZ25">
        <v>0.82431722689075604</v>
      </c>
      <c r="BA25" t="s">
        <v>89</v>
      </c>
      <c r="BB25">
        <v>3</v>
      </c>
      <c r="BC25">
        <v>0.98542274052478096</v>
      </c>
      <c r="BD25" t="s">
        <v>89</v>
      </c>
      <c r="BE25">
        <v>3</v>
      </c>
      <c r="BF25">
        <v>1.1124260355029501</v>
      </c>
      <c r="BG25" t="s">
        <v>89</v>
      </c>
      <c r="BH25">
        <v>3</v>
      </c>
      <c r="BI25">
        <v>1.0505319148936101</v>
      </c>
      <c r="BJ25" t="s">
        <v>89</v>
      </c>
      <c r="BK25">
        <v>3</v>
      </c>
      <c r="BL25">
        <v>1.10126582278481</v>
      </c>
      <c r="BM25" t="s">
        <v>73</v>
      </c>
      <c r="BN25">
        <v>2</v>
      </c>
      <c r="BO25">
        <v>1.04384262526464</v>
      </c>
      <c r="BP25" t="s">
        <v>86</v>
      </c>
      <c r="BQ25">
        <v>3</v>
      </c>
      <c r="BR25">
        <v>0.78828571428571403</v>
      </c>
      <c r="BS25" t="s">
        <v>91</v>
      </c>
      <c r="BT25">
        <v>3</v>
      </c>
      <c r="BU25">
        <v>1.3299957930163999</v>
      </c>
      <c r="BV25" t="s">
        <v>91</v>
      </c>
      <c r="BW25">
        <v>3</v>
      </c>
      <c r="BX25">
        <v>1.11127981274119</v>
      </c>
      <c r="BY25" t="s">
        <v>96</v>
      </c>
      <c r="BZ25">
        <v>3</v>
      </c>
      <c r="CA25">
        <v>1.4355062413314801</v>
      </c>
      <c r="CB25" t="s">
        <v>87</v>
      </c>
      <c r="CC25">
        <v>3</v>
      </c>
      <c r="CD25">
        <v>1.2464285714285701</v>
      </c>
      <c r="CE25" t="s">
        <v>85</v>
      </c>
      <c r="CF25">
        <v>2</v>
      </c>
      <c r="CG25">
        <v>1.0451807228915599</v>
      </c>
      <c r="CH25" t="s">
        <v>85</v>
      </c>
      <c r="CI25">
        <v>2</v>
      </c>
      <c r="CJ25">
        <v>1.2175792507204599</v>
      </c>
      <c r="CK25" t="s">
        <v>92</v>
      </c>
      <c r="CL25">
        <v>2</v>
      </c>
      <c r="CM25">
        <v>0.86307053941908696</v>
      </c>
      <c r="CN25" t="s">
        <v>91</v>
      </c>
      <c r="CO25">
        <v>3</v>
      </c>
      <c r="CP25">
        <v>0.88694961722272903</v>
      </c>
      <c r="CQ25" t="s">
        <v>107</v>
      </c>
      <c r="CR25">
        <v>3</v>
      </c>
      <c r="CS25">
        <v>1.1862068965517201</v>
      </c>
      <c r="CT25" t="s">
        <v>121</v>
      </c>
      <c r="CU25">
        <v>3</v>
      </c>
      <c r="CV25">
        <v>1.0817253121452799</v>
      </c>
      <c r="CW25" t="s">
        <v>112</v>
      </c>
      <c r="CX25">
        <v>3</v>
      </c>
      <c r="CY25">
        <v>0.876651982378854</v>
      </c>
      <c r="CZ25" t="s">
        <v>92</v>
      </c>
      <c r="DA25">
        <v>3</v>
      </c>
      <c r="DB25">
        <v>0.934299516908212</v>
      </c>
      <c r="DC25" t="s">
        <v>92</v>
      </c>
      <c r="DD25">
        <v>3</v>
      </c>
      <c r="DE25">
        <v>1.03205791106515</v>
      </c>
      <c r="DF25" t="s">
        <v>85</v>
      </c>
      <c r="DG25">
        <v>2</v>
      </c>
      <c r="DH25">
        <v>1.0921305182341601</v>
      </c>
    </row>
    <row r="26" spans="1:112" x14ac:dyDescent="0.4">
      <c r="A26">
        <v>24</v>
      </c>
      <c r="B26" t="s">
        <v>85</v>
      </c>
      <c r="C26">
        <v>2</v>
      </c>
      <c r="D26">
        <v>1.3167701863354</v>
      </c>
      <c r="E26" t="s">
        <v>91</v>
      </c>
      <c r="F26">
        <v>3</v>
      </c>
      <c r="G26">
        <v>0.85697258641239504</v>
      </c>
      <c r="H26" t="s">
        <v>80</v>
      </c>
      <c r="I26">
        <v>2</v>
      </c>
      <c r="J26">
        <v>0.52892561983470998</v>
      </c>
      <c r="K26" t="s">
        <v>94</v>
      </c>
      <c r="L26">
        <v>2</v>
      </c>
      <c r="M26">
        <v>0.75675675675675602</v>
      </c>
      <c r="N26" t="s">
        <v>85</v>
      </c>
      <c r="O26">
        <v>2</v>
      </c>
      <c r="P26">
        <v>1.0724137931034401</v>
      </c>
      <c r="Q26" t="s">
        <v>100</v>
      </c>
      <c r="R26">
        <v>2</v>
      </c>
      <c r="S26">
        <v>1.1547589616810801</v>
      </c>
      <c r="T26" t="s">
        <v>91</v>
      </c>
      <c r="U26">
        <v>2</v>
      </c>
      <c r="V26">
        <v>0.91317570461749298</v>
      </c>
      <c r="W26" t="s">
        <v>95</v>
      </c>
      <c r="X26">
        <v>2</v>
      </c>
      <c r="Y26">
        <v>0.95239221170018296</v>
      </c>
      <c r="Z26" t="s">
        <v>98</v>
      </c>
      <c r="AA26">
        <v>2</v>
      </c>
      <c r="AB26">
        <v>0.95657894736842097</v>
      </c>
      <c r="AC26" t="s">
        <v>85</v>
      </c>
      <c r="AD26">
        <v>2</v>
      </c>
      <c r="AE26">
        <v>1.2359550561797701</v>
      </c>
      <c r="AF26" t="s">
        <v>87</v>
      </c>
      <c r="AG26">
        <v>3</v>
      </c>
      <c r="AH26">
        <v>0.91682242990654195</v>
      </c>
      <c r="AI26" t="s">
        <v>80</v>
      </c>
      <c r="AJ26">
        <v>2</v>
      </c>
      <c r="AK26">
        <v>0.952380952380952</v>
      </c>
      <c r="AL26" t="s">
        <v>84</v>
      </c>
      <c r="AM26">
        <v>2</v>
      </c>
      <c r="AN26">
        <v>1.4184397163120499</v>
      </c>
      <c r="AO26" t="s">
        <v>98</v>
      </c>
      <c r="AP26">
        <v>2</v>
      </c>
      <c r="AQ26">
        <v>0.94207317073170704</v>
      </c>
      <c r="AR26" t="s">
        <v>100</v>
      </c>
      <c r="AS26">
        <v>2</v>
      </c>
      <c r="AT26">
        <v>0.72358614642700503</v>
      </c>
      <c r="AU26" t="s">
        <v>100</v>
      </c>
      <c r="AV26">
        <v>2</v>
      </c>
      <c r="AW26">
        <v>1.07864283550439</v>
      </c>
      <c r="AX26" t="s">
        <v>89</v>
      </c>
      <c r="AY26">
        <v>3</v>
      </c>
      <c r="AZ26">
        <v>1.0178041543026699</v>
      </c>
      <c r="BA26" t="s">
        <v>92</v>
      </c>
      <c r="BB26">
        <v>2</v>
      </c>
      <c r="BC26">
        <v>0.94071146245059201</v>
      </c>
      <c r="BD26" t="s">
        <v>92</v>
      </c>
      <c r="BE26">
        <v>2</v>
      </c>
      <c r="BF26">
        <v>1.0504201680672201</v>
      </c>
      <c r="BG26" t="s">
        <v>92</v>
      </c>
      <c r="BH26">
        <v>2</v>
      </c>
      <c r="BI26">
        <v>1.1040000000000001</v>
      </c>
      <c r="BJ26" t="s">
        <v>92</v>
      </c>
      <c r="BK26">
        <v>2</v>
      </c>
      <c r="BL26">
        <v>0.92753623188405798</v>
      </c>
      <c r="BM26" t="s">
        <v>83</v>
      </c>
      <c r="BN26">
        <v>2</v>
      </c>
      <c r="BO26">
        <v>0.85240305843801201</v>
      </c>
      <c r="BP26" t="s">
        <v>85</v>
      </c>
      <c r="BQ26">
        <v>2</v>
      </c>
      <c r="BR26">
        <v>0.91245791245791197</v>
      </c>
      <c r="BS26" t="s">
        <v>98</v>
      </c>
      <c r="BT26">
        <v>2</v>
      </c>
      <c r="BU26">
        <v>1.03359173126614</v>
      </c>
      <c r="BV26" t="s">
        <v>98</v>
      </c>
      <c r="BW26">
        <v>2</v>
      </c>
      <c r="BX26">
        <v>1.0762499999999999</v>
      </c>
      <c r="BY26" t="s">
        <v>91</v>
      </c>
      <c r="BZ26">
        <v>3</v>
      </c>
      <c r="CA26">
        <v>1.12314983490834</v>
      </c>
      <c r="CB26" t="s">
        <v>85</v>
      </c>
      <c r="CC26">
        <v>2</v>
      </c>
      <c r="CD26">
        <v>0.92737430167597701</v>
      </c>
      <c r="CE26" t="s">
        <v>89</v>
      </c>
      <c r="CF26">
        <v>3</v>
      </c>
      <c r="CG26">
        <v>1.10928961748633</v>
      </c>
      <c r="CH26" t="s">
        <v>89</v>
      </c>
      <c r="CI26">
        <v>3</v>
      </c>
      <c r="CJ26">
        <v>1.2068965517241299</v>
      </c>
      <c r="CK26" t="s">
        <v>101</v>
      </c>
      <c r="CL26">
        <v>3</v>
      </c>
      <c r="CM26">
        <v>1.8040540540540499</v>
      </c>
      <c r="CN26" t="s">
        <v>98</v>
      </c>
      <c r="CO26">
        <v>2</v>
      </c>
      <c r="CP26">
        <v>0.96275605214152704</v>
      </c>
      <c r="CQ26" t="s">
        <v>108</v>
      </c>
      <c r="CR26">
        <v>3</v>
      </c>
      <c r="CS26">
        <v>1.0599647266313901</v>
      </c>
      <c r="CT26" t="s">
        <v>118</v>
      </c>
      <c r="CU26">
        <v>3</v>
      </c>
      <c r="CV26">
        <v>1.05010893246187</v>
      </c>
      <c r="CW26" t="s">
        <v>121</v>
      </c>
      <c r="CX26">
        <v>3</v>
      </c>
      <c r="CY26">
        <v>1.0136411332633699</v>
      </c>
      <c r="CZ26" t="s">
        <v>101</v>
      </c>
      <c r="DA26">
        <v>2</v>
      </c>
      <c r="DB26">
        <v>0.98019801980197996</v>
      </c>
      <c r="DC26" t="s">
        <v>91</v>
      </c>
      <c r="DD26">
        <v>3</v>
      </c>
      <c r="DE26">
        <v>1.0220125786163501</v>
      </c>
      <c r="DF26" t="s">
        <v>92</v>
      </c>
      <c r="DG26">
        <v>3</v>
      </c>
      <c r="DH26">
        <v>1.1973947895791499</v>
      </c>
    </row>
    <row r="27" spans="1:112" x14ac:dyDescent="0.4">
      <c r="A27">
        <v>25</v>
      </c>
      <c r="B27" t="s">
        <v>89</v>
      </c>
      <c r="C27">
        <v>3</v>
      </c>
      <c r="D27">
        <v>0.94712643678160902</v>
      </c>
      <c r="E27" t="s">
        <v>84</v>
      </c>
      <c r="F27">
        <v>2</v>
      </c>
      <c r="G27">
        <v>0.81769911504424697</v>
      </c>
      <c r="H27" t="s">
        <v>90</v>
      </c>
      <c r="I27">
        <v>2</v>
      </c>
      <c r="J27">
        <v>0.68515205724507999</v>
      </c>
      <c r="K27" t="s">
        <v>85</v>
      </c>
      <c r="L27">
        <v>2</v>
      </c>
      <c r="M27">
        <v>0.80555555555555503</v>
      </c>
      <c r="N27" t="s">
        <v>81</v>
      </c>
      <c r="O27">
        <v>1</v>
      </c>
      <c r="P27">
        <v>1.5583046848358</v>
      </c>
      <c r="Q27" t="s">
        <v>84</v>
      </c>
      <c r="R27">
        <v>2</v>
      </c>
      <c r="S27">
        <v>1.20341614906832</v>
      </c>
      <c r="T27" t="s">
        <v>84</v>
      </c>
      <c r="U27">
        <v>2</v>
      </c>
      <c r="V27">
        <v>0.98580645161290303</v>
      </c>
      <c r="W27" t="s">
        <v>92</v>
      </c>
      <c r="X27">
        <v>2</v>
      </c>
      <c r="Y27">
        <v>1.1198830409356699</v>
      </c>
      <c r="Z27" t="s">
        <v>88</v>
      </c>
      <c r="AA27">
        <v>1</v>
      </c>
      <c r="AB27">
        <v>1.0334928229664999</v>
      </c>
      <c r="AC27" t="s">
        <v>89</v>
      </c>
      <c r="AD27">
        <v>3</v>
      </c>
      <c r="AE27">
        <v>0.91496598639455695</v>
      </c>
      <c r="AF27" t="s">
        <v>85</v>
      </c>
      <c r="AG27">
        <v>2</v>
      </c>
      <c r="AH27">
        <v>1.52272727272727</v>
      </c>
      <c r="AI27" t="s">
        <v>90</v>
      </c>
      <c r="AJ27">
        <v>3</v>
      </c>
      <c r="AK27">
        <v>0.71692607003890996</v>
      </c>
      <c r="AL27" t="s">
        <v>98</v>
      </c>
      <c r="AM27">
        <v>2</v>
      </c>
      <c r="AN27">
        <v>0.92134831460674105</v>
      </c>
      <c r="AO27" t="s">
        <v>88</v>
      </c>
      <c r="AP27">
        <v>1</v>
      </c>
      <c r="AQ27">
        <v>0.99137931034482696</v>
      </c>
      <c r="AR27" t="s">
        <v>98</v>
      </c>
      <c r="AS27">
        <v>2</v>
      </c>
      <c r="AT27">
        <v>0.88187702265372103</v>
      </c>
      <c r="AU27" t="s">
        <v>84</v>
      </c>
      <c r="AV27">
        <v>2</v>
      </c>
      <c r="AW27">
        <v>1.14229249011857</v>
      </c>
      <c r="AX27" t="s">
        <v>92</v>
      </c>
      <c r="AY27">
        <v>2</v>
      </c>
      <c r="AZ27">
        <v>0.80573248407643305</v>
      </c>
      <c r="BA27" t="s">
        <v>91</v>
      </c>
      <c r="BB27">
        <v>3</v>
      </c>
      <c r="BC27">
        <v>0.92765395631936898</v>
      </c>
      <c r="BD27" t="s">
        <v>100</v>
      </c>
      <c r="BE27">
        <v>2</v>
      </c>
      <c r="BF27">
        <v>1.3945317436912801</v>
      </c>
      <c r="BG27" t="s">
        <v>98</v>
      </c>
      <c r="BH27">
        <v>2</v>
      </c>
      <c r="BI27">
        <v>1.0948678071539599</v>
      </c>
      <c r="BJ27" t="s">
        <v>96</v>
      </c>
      <c r="BK27">
        <v>2</v>
      </c>
      <c r="BL27">
        <v>0.92407407407407405</v>
      </c>
      <c r="BM27" t="s">
        <v>80</v>
      </c>
      <c r="BN27">
        <v>3</v>
      </c>
      <c r="BO27">
        <v>0.91743119266054995</v>
      </c>
      <c r="BP27" t="s">
        <v>89</v>
      </c>
      <c r="BQ27">
        <v>3</v>
      </c>
      <c r="BR27">
        <v>0.99736842105263102</v>
      </c>
      <c r="BS27" t="s">
        <v>88</v>
      </c>
      <c r="BT27">
        <v>1</v>
      </c>
      <c r="BU27">
        <v>1.11512717536813</v>
      </c>
      <c r="BV27" t="s">
        <v>88</v>
      </c>
      <c r="BW27">
        <v>1</v>
      </c>
      <c r="BX27">
        <v>1.13805522208883</v>
      </c>
      <c r="BY27" t="s">
        <v>100</v>
      </c>
      <c r="BZ27">
        <v>3</v>
      </c>
      <c r="CA27">
        <v>1.04189044038668</v>
      </c>
      <c r="CB27" t="s">
        <v>89</v>
      </c>
      <c r="CC27">
        <v>3</v>
      </c>
      <c r="CD27">
        <v>1.08070866141732</v>
      </c>
      <c r="CE27" t="s">
        <v>92</v>
      </c>
      <c r="CF27">
        <v>2</v>
      </c>
      <c r="CG27">
        <v>0.97297297297297303</v>
      </c>
      <c r="CH27" t="s">
        <v>92</v>
      </c>
      <c r="CI27">
        <v>2</v>
      </c>
      <c r="CJ27">
        <v>1.11574074074074</v>
      </c>
      <c r="CK27" t="s">
        <v>91</v>
      </c>
      <c r="CL27">
        <v>3</v>
      </c>
      <c r="CM27">
        <v>0.79401653482424295</v>
      </c>
      <c r="CN27" t="s">
        <v>88</v>
      </c>
      <c r="CO27">
        <v>1</v>
      </c>
      <c r="CP27">
        <v>0.92846270928462704</v>
      </c>
      <c r="CQ27" t="s">
        <v>97</v>
      </c>
      <c r="CR27">
        <v>3</v>
      </c>
      <c r="CS27">
        <v>1.0061855670102999</v>
      </c>
      <c r="CT27" t="s">
        <v>102</v>
      </c>
      <c r="CU27">
        <v>2</v>
      </c>
      <c r="CV27">
        <v>0.98873591989987397</v>
      </c>
      <c r="CW27" t="s">
        <v>118</v>
      </c>
      <c r="CX27">
        <v>3</v>
      </c>
      <c r="CY27">
        <v>0.98029045643153501</v>
      </c>
      <c r="CZ27" t="s">
        <v>91</v>
      </c>
      <c r="DA27">
        <v>3</v>
      </c>
      <c r="DB27">
        <v>0.98186028560401395</v>
      </c>
      <c r="DC27" t="s">
        <v>88</v>
      </c>
      <c r="DD27">
        <v>2</v>
      </c>
      <c r="DE27">
        <v>1.08970588235294</v>
      </c>
      <c r="DF27" t="s">
        <v>91</v>
      </c>
      <c r="DG27">
        <v>3</v>
      </c>
      <c r="DH27">
        <v>0.98327759197324405</v>
      </c>
    </row>
    <row r="28" spans="1:112" x14ac:dyDescent="0.4">
      <c r="A28">
        <v>26</v>
      </c>
      <c r="B28" t="s">
        <v>91</v>
      </c>
      <c r="C28">
        <v>2</v>
      </c>
      <c r="D28">
        <v>1.03947330509695</v>
      </c>
      <c r="E28" t="s">
        <v>98</v>
      </c>
      <c r="F28">
        <v>2</v>
      </c>
      <c r="G28">
        <v>0.824824824824824</v>
      </c>
      <c r="H28" t="s">
        <v>85</v>
      </c>
      <c r="I28">
        <v>2</v>
      </c>
      <c r="J28">
        <v>0.71570576540755404</v>
      </c>
      <c r="K28" t="s">
        <v>81</v>
      </c>
      <c r="L28">
        <v>1</v>
      </c>
      <c r="M28">
        <v>0.92483612775641999</v>
      </c>
      <c r="N28" t="s">
        <v>93</v>
      </c>
      <c r="O28">
        <v>1</v>
      </c>
      <c r="P28">
        <v>1.36619718309859</v>
      </c>
      <c r="Q28" t="s">
        <v>98</v>
      </c>
      <c r="R28">
        <v>2</v>
      </c>
      <c r="S28">
        <v>1.0484927916120499</v>
      </c>
      <c r="T28" t="s">
        <v>98</v>
      </c>
      <c r="U28">
        <v>2</v>
      </c>
      <c r="V28">
        <v>0.84750000000000003</v>
      </c>
      <c r="W28" t="s">
        <v>84</v>
      </c>
      <c r="X28">
        <v>2</v>
      </c>
      <c r="Y28">
        <v>0.92277486910994699</v>
      </c>
      <c r="Z28" t="s">
        <v>103</v>
      </c>
      <c r="AA28">
        <v>3</v>
      </c>
      <c r="AB28">
        <v>0.81619047619047602</v>
      </c>
      <c r="AC28" t="s">
        <v>95</v>
      </c>
      <c r="AD28">
        <v>2</v>
      </c>
      <c r="AE28">
        <v>0.94326224783861601</v>
      </c>
      <c r="AF28" t="s">
        <v>81</v>
      </c>
      <c r="AG28">
        <v>2</v>
      </c>
      <c r="AH28">
        <v>0.98601151550684696</v>
      </c>
      <c r="AI28" t="s">
        <v>86</v>
      </c>
      <c r="AJ28">
        <v>3</v>
      </c>
      <c r="AK28">
        <v>1.00162127107652</v>
      </c>
      <c r="AL28" t="s">
        <v>88</v>
      </c>
      <c r="AM28">
        <v>1</v>
      </c>
      <c r="AN28">
        <v>1.0043290043290001</v>
      </c>
      <c r="AO28" t="s">
        <v>103</v>
      </c>
      <c r="AP28">
        <v>3</v>
      </c>
      <c r="AQ28">
        <v>0.97883597883597795</v>
      </c>
      <c r="AR28" t="s">
        <v>88</v>
      </c>
      <c r="AS28">
        <v>1</v>
      </c>
      <c r="AT28">
        <v>0.89565217391304297</v>
      </c>
      <c r="AU28" t="s">
        <v>98</v>
      </c>
      <c r="AV28">
        <v>2</v>
      </c>
      <c r="AW28">
        <v>1.1522935779816501</v>
      </c>
      <c r="AX28" t="s">
        <v>91</v>
      </c>
      <c r="AY28">
        <v>3</v>
      </c>
      <c r="AZ28">
        <v>0.87523992322456801</v>
      </c>
      <c r="BA28" t="s">
        <v>100</v>
      </c>
      <c r="BB28">
        <v>2</v>
      </c>
      <c r="BC28">
        <v>1.83509856977193</v>
      </c>
      <c r="BD28" t="s">
        <v>98</v>
      </c>
      <c r="BE28">
        <v>2</v>
      </c>
      <c r="BF28">
        <v>1.13403880070546</v>
      </c>
      <c r="BG28" t="s">
        <v>88</v>
      </c>
      <c r="BH28">
        <v>1</v>
      </c>
      <c r="BI28">
        <v>0.96614268440145101</v>
      </c>
      <c r="BJ28" t="s">
        <v>98</v>
      </c>
      <c r="BK28">
        <v>2</v>
      </c>
      <c r="BL28">
        <v>1.1235795454545401</v>
      </c>
      <c r="BM28" t="s">
        <v>85</v>
      </c>
      <c r="BN28">
        <v>2</v>
      </c>
      <c r="BO28">
        <v>0.88789237668161403</v>
      </c>
      <c r="BP28" t="s">
        <v>92</v>
      </c>
      <c r="BQ28">
        <v>2</v>
      </c>
      <c r="BR28">
        <v>0.95327102803738295</v>
      </c>
      <c r="BS28" t="s">
        <v>105</v>
      </c>
      <c r="BT28">
        <v>3</v>
      </c>
      <c r="BU28">
        <v>0.96780574025755395</v>
      </c>
      <c r="BV28" t="s">
        <v>110</v>
      </c>
      <c r="BW28">
        <v>3</v>
      </c>
      <c r="BX28">
        <v>1.40263157894736</v>
      </c>
      <c r="BY28" t="s">
        <v>98</v>
      </c>
      <c r="BZ28">
        <v>2</v>
      </c>
      <c r="CA28">
        <v>1.4959349593495901</v>
      </c>
      <c r="CB28" t="s">
        <v>92</v>
      </c>
      <c r="CC28">
        <v>2</v>
      </c>
      <c r="CD28">
        <v>0.86381322957198403</v>
      </c>
      <c r="CE28" t="s">
        <v>101</v>
      </c>
      <c r="CF28">
        <v>3</v>
      </c>
      <c r="CG28">
        <v>1.48345784418356</v>
      </c>
      <c r="CH28" t="s">
        <v>101</v>
      </c>
      <c r="CI28">
        <v>3</v>
      </c>
      <c r="CJ28">
        <v>1.0647482014388401</v>
      </c>
      <c r="CK28" t="s">
        <v>103</v>
      </c>
      <c r="CL28">
        <v>3</v>
      </c>
      <c r="CM28">
        <v>0.99161676646706498</v>
      </c>
      <c r="CN28" t="s">
        <v>103</v>
      </c>
      <c r="CO28">
        <v>3</v>
      </c>
      <c r="CP28">
        <v>1.0132850241545801</v>
      </c>
      <c r="CQ28" t="s">
        <v>112</v>
      </c>
      <c r="CR28">
        <v>2</v>
      </c>
      <c r="CS28">
        <v>1.0140845070422499</v>
      </c>
      <c r="CT28" t="s">
        <v>124</v>
      </c>
      <c r="CU28">
        <v>3</v>
      </c>
      <c r="CV28">
        <v>0.99677419354838703</v>
      </c>
      <c r="CW28" t="s">
        <v>102</v>
      </c>
      <c r="CX28">
        <v>2</v>
      </c>
      <c r="CY28">
        <v>0.95063291139240502</v>
      </c>
      <c r="CZ28" t="s">
        <v>107</v>
      </c>
      <c r="DA28">
        <v>3</v>
      </c>
      <c r="DB28">
        <v>0.99425287356321801</v>
      </c>
      <c r="DC28" t="s">
        <v>105</v>
      </c>
      <c r="DD28">
        <v>3</v>
      </c>
      <c r="DE28">
        <v>1.0185950413223099</v>
      </c>
      <c r="DF28" t="s">
        <v>105</v>
      </c>
      <c r="DG28">
        <v>3</v>
      </c>
      <c r="DH28">
        <v>1.0709939148073</v>
      </c>
    </row>
    <row r="29" spans="1:112" x14ac:dyDescent="0.4">
      <c r="A29">
        <v>27</v>
      </c>
      <c r="B29" t="s">
        <v>84</v>
      </c>
      <c r="C29">
        <v>2</v>
      </c>
      <c r="D29">
        <v>1.0511627906976699</v>
      </c>
      <c r="E29" t="s">
        <v>105</v>
      </c>
      <c r="F29">
        <v>3</v>
      </c>
      <c r="G29">
        <v>1.05862068965517</v>
      </c>
      <c r="H29" t="s">
        <v>89</v>
      </c>
      <c r="I29">
        <v>3</v>
      </c>
      <c r="J29">
        <v>0.64090909090908998</v>
      </c>
      <c r="K29" t="s">
        <v>93</v>
      </c>
      <c r="L29">
        <v>1</v>
      </c>
      <c r="M29">
        <v>0.81297709923664097</v>
      </c>
      <c r="N29" t="s">
        <v>95</v>
      </c>
      <c r="O29">
        <v>2</v>
      </c>
      <c r="P29">
        <v>1.3546502117013</v>
      </c>
      <c r="Q29" t="s">
        <v>103</v>
      </c>
      <c r="R29">
        <v>3</v>
      </c>
      <c r="S29">
        <v>1.0216450216450199</v>
      </c>
      <c r="T29" t="s">
        <v>103</v>
      </c>
      <c r="U29">
        <v>3</v>
      </c>
      <c r="V29">
        <v>0.88135593220338904</v>
      </c>
      <c r="W29" t="s">
        <v>98</v>
      </c>
      <c r="X29">
        <v>2</v>
      </c>
      <c r="Y29">
        <v>1.1209439528023599</v>
      </c>
      <c r="Z29" t="s">
        <v>105</v>
      </c>
      <c r="AA29">
        <v>2</v>
      </c>
      <c r="AB29">
        <v>1.0742873934763399</v>
      </c>
      <c r="AC29" t="s">
        <v>91</v>
      </c>
      <c r="AD29">
        <v>3</v>
      </c>
      <c r="AE29">
        <v>1.04142505211294</v>
      </c>
      <c r="AF29" t="s">
        <v>95</v>
      </c>
      <c r="AG29">
        <v>2</v>
      </c>
      <c r="AH29">
        <v>1.1428575793127</v>
      </c>
      <c r="AI29" t="s">
        <v>87</v>
      </c>
      <c r="AJ29">
        <v>3</v>
      </c>
      <c r="AK29">
        <v>0.81957186544342497</v>
      </c>
      <c r="AL29" t="s">
        <v>103</v>
      </c>
      <c r="AM29">
        <v>3</v>
      </c>
      <c r="AN29">
        <v>0.84187082405345204</v>
      </c>
      <c r="AO29" t="s">
        <v>105</v>
      </c>
      <c r="AP29">
        <v>2</v>
      </c>
      <c r="AQ29">
        <v>1.35744318484219</v>
      </c>
      <c r="AR29" t="s">
        <v>105</v>
      </c>
      <c r="AS29">
        <v>2</v>
      </c>
      <c r="AT29">
        <v>0.66665359733385599</v>
      </c>
      <c r="AU29" t="s">
        <v>88</v>
      </c>
      <c r="AV29">
        <v>1</v>
      </c>
      <c r="AW29">
        <v>1.0436893203883399</v>
      </c>
      <c r="AX29" t="s">
        <v>100</v>
      </c>
      <c r="AY29">
        <v>2</v>
      </c>
      <c r="AZ29">
        <v>0.72656293883053402</v>
      </c>
      <c r="BA29" t="s">
        <v>98</v>
      </c>
      <c r="BB29">
        <v>2</v>
      </c>
      <c r="BC29">
        <v>0.99125874125874103</v>
      </c>
      <c r="BD29" t="s">
        <v>88</v>
      </c>
      <c r="BE29">
        <v>1</v>
      </c>
      <c r="BF29">
        <v>0.87605932203389802</v>
      </c>
      <c r="BG29" t="s">
        <v>105</v>
      </c>
      <c r="BH29">
        <v>3</v>
      </c>
      <c r="BI29">
        <v>1.07021694491563</v>
      </c>
      <c r="BJ29" t="s">
        <v>88</v>
      </c>
      <c r="BK29">
        <v>1</v>
      </c>
      <c r="BL29">
        <v>0.87609511889862302</v>
      </c>
      <c r="BM29" t="s">
        <v>89</v>
      </c>
      <c r="BN29">
        <v>3</v>
      </c>
      <c r="BO29">
        <v>0.87356321839080397</v>
      </c>
      <c r="BP29" t="s">
        <v>96</v>
      </c>
      <c r="BQ29">
        <v>2</v>
      </c>
      <c r="BR29">
        <v>0.98988621997471504</v>
      </c>
      <c r="BS29" t="s">
        <v>108</v>
      </c>
      <c r="BT29">
        <v>3</v>
      </c>
      <c r="BU29">
        <v>1.05852417302798</v>
      </c>
      <c r="BV29" t="s">
        <v>105</v>
      </c>
      <c r="BW29">
        <v>3</v>
      </c>
      <c r="BX29">
        <v>1.1903726573031199</v>
      </c>
      <c r="BY29" t="s">
        <v>105</v>
      </c>
      <c r="BZ29">
        <v>3</v>
      </c>
      <c r="CA29">
        <v>1.10093150684931</v>
      </c>
      <c r="CB29" t="s">
        <v>91</v>
      </c>
      <c r="CC29">
        <v>3</v>
      </c>
      <c r="CD29">
        <v>1.01203796393679</v>
      </c>
      <c r="CE29" t="s">
        <v>91</v>
      </c>
      <c r="CF29">
        <v>3</v>
      </c>
      <c r="CG29">
        <v>1.0028923084628101</v>
      </c>
      <c r="CH29" t="s">
        <v>91</v>
      </c>
      <c r="CI29">
        <v>3</v>
      </c>
      <c r="CJ29">
        <v>1.0495268296336899</v>
      </c>
      <c r="CK29" t="s">
        <v>105</v>
      </c>
      <c r="CL29">
        <v>3</v>
      </c>
      <c r="CM29">
        <v>0.90812720848056505</v>
      </c>
      <c r="CN29" t="s">
        <v>108</v>
      </c>
      <c r="CO29">
        <v>3</v>
      </c>
      <c r="CP29">
        <v>0.95294117647058796</v>
      </c>
      <c r="CQ29" t="s">
        <v>115</v>
      </c>
      <c r="CR29">
        <v>3</v>
      </c>
      <c r="CS29">
        <v>0.97490347490347495</v>
      </c>
      <c r="CT29" t="s">
        <v>135</v>
      </c>
      <c r="CU29">
        <v>3</v>
      </c>
      <c r="CV29">
        <v>0.87822878228782197</v>
      </c>
      <c r="CW29" t="s">
        <v>124</v>
      </c>
      <c r="CX29">
        <v>3</v>
      </c>
      <c r="CY29">
        <v>0.90614886731391497</v>
      </c>
      <c r="CZ29" t="s">
        <v>108</v>
      </c>
      <c r="DA29">
        <v>3</v>
      </c>
      <c r="DB29">
        <v>0.89925925925925898</v>
      </c>
      <c r="DC29" t="s">
        <v>108</v>
      </c>
      <c r="DD29">
        <v>3</v>
      </c>
      <c r="DE29">
        <v>1.00329489291598</v>
      </c>
      <c r="DF29" t="s">
        <v>107</v>
      </c>
      <c r="DG29">
        <v>3</v>
      </c>
      <c r="DH29">
        <v>1.2279635258358601</v>
      </c>
    </row>
    <row r="30" spans="1:112" x14ac:dyDescent="0.4">
      <c r="A30">
        <v>28</v>
      </c>
      <c r="B30" t="s">
        <v>103</v>
      </c>
      <c r="C30">
        <v>2</v>
      </c>
      <c r="D30">
        <v>1.08762886597938</v>
      </c>
      <c r="E30" t="s">
        <v>107</v>
      </c>
      <c r="F30">
        <v>2</v>
      </c>
      <c r="G30">
        <v>0.42406417112299399</v>
      </c>
      <c r="H30" t="s">
        <v>95</v>
      </c>
      <c r="I30">
        <v>2</v>
      </c>
      <c r="J30">
        <v>0.30661073454641702</v>
      </c>
      <c r="K30" t="s">
        <v>91</v>
      </c>
      <c r="L30">
        <v>3</v>
      </c>
      <c r="M30">
        <v>1.01020430507806</v>
      </c>
      <c r="N30" t="s">
        <v>92</v>
      </c>
      <c r="O30">
        <v>2</v>
      </c>
      <c r="P30">
        <v>1.81805708013172</v>
      </c>
      <c r="Q30" t="s">
        <v>105</v>
      </c>
      <c r="R30">
        <v>2</v>
      </c>
      <c r="S30">
        <v>0.82166403565790602</v>
      </c>
      <c r="T30" t="s">
        <v>105</v>
      </c>
      <c r="U30">
        <v>2</v>
      </c>
      <c r="V30">
        <v>1.02232016725998</v>
      </c>
      <c r="W30" t="s">
        <v>88</v>
      </c>
      <c r="X30">
        <v>1</v>
      </c>
      <c r="Y30">
        <v>1.0145631067961101</v>
      </c>
      <c r="Z30" t="s">
        <v>108</v>
      </c>
      <c r="AA30">
        <v>2</v>
      </c>
      <c r="AB30">
        <v>0.78245614035087696</v>
      </c>
      <c r="AC30" t="s">
        <v>100</v>
      </c>
      <c r="AD30">
        <v>2</v>
      </c>
      <c r="AE30">
        <v>1.3517150395778299</v>
      </c>
      <c r="AF30" t="s">
        <v>92</v>
      </c>
      <c r="AG30">
        <v>2</v>
      </c>
      <c r="AH30">
        <v>1.0739644970414199</v>
      </c>
      <c r="AI30" t="s">
        <v>89</v>
      </c>
      <c r="AJ30">
        <v>3</v>
      </c>
      <c r="AK30">
        <v>1.0170648464163801</v>
      </c>
      <c r="AL30" t="s">
        <v>105</v>
      </c>
      <c r="AM30">
        <v>3</v>
      </c>
      <c r="AN30">
        <v>1.05615514333895</v>
      </c>
      <c r="AO30" t="s">
        <v>108</v>
      </c>
      <c r="AP30">
        <v>3</v>
      </c>
      <c r="AQ30">
        <v>0.97400820793433596</v>
      </c>
      <c r="AR30" t="s">
        <v>108</v>
      </c>
      <c r="AS30">
        <v>3</v>
      </c>
      <c r="AT30">
        <v>0.90589887640449396</v>
      </c>
      <c r="AU30" t="s">
        <v>105</v>
      </c>
      <c r="AV30">
        <v>2</v>
      </c>
      <c r="AW30">
        <v>1.1225077927424501</v>
      </c>
      <c r="AX30" t="s">
        <v>84</v>
      </c>
      <c r="AY30">
        <v>2</v>
      </c>
      <c r="AZ30">
        <v>1.26989619377162</v>
      </c>
      <c r="BA30" t="s">
        <v>88</v>
      </c>
      <c r="BB30">
        <v>1</v>
      </c>
      <c r="BC30">
        <v>1.11848341232227</v>
      </c>
      <c r="BD30" t="s">
        <v>105</v>
      </c>
      <c r="BE30">
        <v>3</v>
      </c>
      <c r="BF30">
        <v>1.2342019723431199</v>
      </c>
      <c r="BG30" t="s">
        <v>108</v>
      </c>
      <c r="BH30">
        <v>3</v>
      </c>
      <c r="BI30">
        <v>1.001443001443</v>
      </c>
      <c r="BJ30" t="s">
        <v>105</v>
      </c>
      <c r="BK30">
        <v>3</v>
      </c>
      <c r="BL30">
        <v>1.1240875912408701</v>
      </c>
      <c r="BM30" t="s">
        <v>92</v>
      </c>
      <c r="BN30">
        <v>2</v>
      </c>
      <c r="BO30">
        <v>0.8359375</v>
      </c>
      <c r="BP30" t="s">
        <v>91</v>
      </c>
      <c r="BQ30">
        <v>3</v>
      </c>
      <c r="BR30">
        <v>0.96338176586215896</v>
      </c>
      <c r="BS30" t="s">
        <v>97</v>
      </c>
      <c r="BT30">
        <v>2</v>
      </c>
      <c r="BU30">
        <v>1.08227848101265</v>
      </c>
      <c r="BV30" t="s">
        <v>108</v>
      </c>
      <c r="BW30">
        <v>3</v>
      </c>
      <c r="BX30">
        <v>1.12379807692307</v>
      </c>
      <c r="BY30" t="s">
        <v>108</v>
      </c>
      <c r="BZ30">
        <v>3</v>
      </c>
      <c r="CA30">
        <v>1.0951871657754</v>
      </c>
      <c r="CB30" t="s">
        <v>100</v>
      </c>
      <c r="CC30">
        <v>3</v>
      </c>
      <c r="CD30">
        <v>1.4350515463917499</v>
      </c>
      <c r="CE30" t="s">
        <v>100</v>
      </c>
      <c r="CF30">
        <v>3</v>
      </c>
      <c r="CG30">
        <v>0.87643678160919503</v>
      </c>
      <c r="CH30" t="s">
        <v>103</v>
      </c>
      <c r="CI30">
        <v>3</v>
      </c>
      <c r="CJ30">
        <v>1.07881136950904</v>
      </c>
      <c r="CK30" t="s">
        <v>108</v>
      </c>
      <c r="CL30">
        <v>3</v>
      </c>
      <c r="CM30">
        <v>1.0759493670886</v>
      </c>
      <c r="CN30" t="s">
        <v>97</v>
      </c>
      <c r="CO30">
        <v>3</v>
      </c>
      <c r="CP30">
        <v>0.93269230769230704</v>
      </c>
      <c r="CQ30" t="s">
        <v>121</v>
      </c>
      <c r="CR30">
        <v>3</v>
      </c>
      <c r="CS30">
        <v>1.0849753694581199</v>
      </c>
      <c r="CT30" t="s">
        <v>126</v>
      </c>
      <c r="CU30">
        <v>2</v>
      </c>
      <c r="CV30">
        <v>0.97984496124030995</v>
      </c>
      <c r="CW30" t="s">
        <v>104</v>
      </c>
      <c r="CX30">
        <v>2</v>
      </c>
      <c r="CY30">
        <v>1.0507757404795399</v>
      </c>
      <c r="CZ30" t="s">
        <v>112</v>
      </c>
      <c r="DA30">
        <v>3</v>
      </c>
      <c r="DB30">
        <v>1.0753768844221101</v>
      </c>
      <c r="DC30" t="s">
        <v>97</v>
      </c>
      <c r="DD30">
        <v>3</v>
      </c>
      <c r="DE30">
        <v>1.0090909090908999</v>
      </c>
      <c r="DF30" t="s">
        <v>108</v>
      </c>
      <c r="DG30">
        <v>3</v>
      </c>
      <c r="DH30">
        <v>1.12972085385878</v>
      </c>
    </row>
    <row r="31" spans="1:112" x14ac:dyDescent="0.4">
      <c r="A31">
        <v>29</v>
      </c>
      <c r="B31" t="s">
        <v>105</v>
      </c>
      <c r="C31">
        <v>3</v>
      </c>
      <c r="D31">
        <v>0.95341090972011899</v>
      </c>
      <c r="E31" t="s">
        <v>108</v>
      </c>
      <c r="F31">
        <v>2</v>
      </c>
      <c r="G31">
        <v>0.50769197102654395</v>
      </c>
      <c r="H31" t="s">
        <v>91</v>
      </c>
      <c r="I31">
        <v>3</v>
      </c>
      <c r="J31">
        <v>0.73854190251317997</v>
      </c>
      <c r="K31" t="s">
        <v>100</v>
      </c>
      <c r="L31">
        <v>2</v>
      </c>
      <c r="M31">
        <v>1.41401971522453</v>
      </c>
      <c r="N31" t="s">
        <v>91</v>
      </c>
      <c r="O31">
        <v>3</v>
      </c>
      <c r="P31">
        <v>1.02020245811024</v>
      </c>
      <c r="Q31" t="s">
        <v>108</v>
      </c>
      <c r="R31">
        <v>2</v>
      </c>
      <c r="S31">
        <v>1.1656626506023999</v>
      </c>
      <c r="T31" t="s">
        <v>108</v>
      </c>
      <c r="U31">
        <v>2</v>
      </c>
      <c r="V31">
        <v>0.91989664082687295</v>
      </c>
      <c r="W31" t="s">
        <v>103</v>
      </c>
      <c r="X31">
        <v>3</v>
      </c>
      <c r="Y31">
        <v>1.0096153846153799</v>
      </c>
      <c r="Z31" t="s">
        <v>97</v>
      </c>
      <c r="AA31">
        <v>2</v>
      </c>
      <c r="AB31">
        <v>1.0550239234449701</v>
      </c>
      <c r="AC31" t="s">
        <v>84</v>
      </c>
      <c r="AD31">
        <v>2</v>
      </c>
      <c r="AE31">
        <v>0.82568807339449501</v>
      </c>
      <c r="AF31" t="s">
        <v>91</v>
      </c>
      <c r="AG31">
        <v>3</v>
      </c>
      <c r="AH31">
        <v>1.01730475289322</v>
      </c>
      <c r="AI31" t="s">
        <v>95</v>
      </c>
      <c r="AJ31">
        <v>2</v>
      </c>
      <c r="AK31">
        <v>1.0392412135664</v>
      </c>
      <c r="AL31" t="s">
        <v>108</v>
      </c>
      <c r="AM31">
        <v>2</v>
      </c>
      <c r="AN31">
        <v>0.96310935441370205</v>
      </c>
      <c r="AO31" t="s">
        <v>97</v>
      </c>
      <c r="AP31">
        <v>2</v>
      </c>
      <c r="AQ31">
        <v>0.91927512355848395</v>
      </c>
      <c r="AR31" t="s">
        <v>97</v>
      </c>
      <c r="AS31">
        <v>2</v>
      </c>
      <c r="AT31">
        <v>0.91397849462365499</v>
      </c>
      <c r="AU31" t="s">
        <v>108</v>
      </c>
      <c r="AV31">
        <v>3</v>
      </c>
      <c r="AW31">
        <v>1.2124031007751901</v>
      </c>
      <c r="AX31" t="s">
        <v>98</v>
      </c>
      <c r="AY31">
        <v>2</v>
      </c>
      <c r="AZ31">
        <v>0.91082802547770703</v>
      </c>
      <c r="BA31" t="s">
        <v>105</v>
      </c>
      <c r="BB31">
        <v>3</v>
      </c>
      <c r="BC31">
        <v>1.04148496672022</v>
      </c>
      <c r="BD31" t="s">
        <v>108</v>
      </c>
      <c r="BE31">
        <v>3</v>
      </c>
      <c r="BF31">
        <v>0.97605633802816905</v>
      </c>
      <c r="BG31" t="s">
        <v>113</v>
      </c>
      <c r="BH31">
        <v>2</v>
      </c>
      <c r="BI31">
        <v>1.02102102102102</v>
      </c>
      <c r="BJ31" t="s">
        <v>108</v>
      </c>
      <c r="BK31">
        <v>3</v>
      </c>
      <c r="BL31">
        <v>1.4135446685878901</v>
      </c>
      <c r="BM31" t="s">
        <v>96</v>
      </c>
      <c r="BN31">
        <v>2</v>
      </c>
      <c r="BO31">
        <v>0.79258517034068099</v>
      </c>
      <c r="BP31" t="s">
        <v>98</v>
      </c>
      <c r="BQ31">
        <v>2</v>
      </c>
      <c r="BR31">
        <v>1.0487804878048701</v>
      </c>
      <c r="BS31" t="s">
        <v>113</v>
      </c>
      <c r="BT31">
        <v>2</v>
      </c>
      <c r="BU31">
        <v>1.02770083102493</v>
      </c>
      <c r="BV31" t="s">
        <v>97</v>
      </c>
      <c r="BW31">
        <v>2</v>
      </c>
      <c r="BX31">
        <v>1.3567251461988299</v>
      </c>
      <c r="BY31" t="s">
        <v>97</v>
      </c>
      <c r="BZ31">
        <v>3</v>
      </c>
      <c r="CA31">
        <v>1.1422413793103401</v>
      </c>
      <c r="CB31" t="s">
        <v>105</v>
      </c>
      <c r="CC31">
        <v>3</v>
      </c>
      <c r="CD31">
        <v>0.79690092242351795</v>
      </c>
      <c r="CE31" t="s">
        <v>105</v>
      </c>
      <c r="CF31">
        <v>3</v>
      </c>
      <c r="CG31">
        <v>1.0950576674855299</v>
      </c>
      <c r="CH31" t="s">
        <v>105</v>
      </c>
      <c r="CI31">
        <v>3</v>
      </c>
      <c r="CJ31">
        <v>1.0760456273764201</v>
      </c>
      <c r="CK31" t="s">
        <v>97</v>
      </c>
      <c r="CL31">
        <v>3</v>
      </c>
      <c r="CM31">
        <v>0.82018927444794898</v>
      </c>
      <c r="CN31" t="s">
        <v>112</v>
      </c>
      <c r="CO31">
        <v>2</v>
      </c>
      <c r="CP31">
        <v>0.85887096774193505</v>
      </c>
      <c r="CQ31" t="s">
        <v>118</v>
      </c>
      <c r="CR31">
        <v>3</v>
      </c>
      <c r="CS31">
        <v>1.0443686006825901</v>
      </c>
      <c r="CT31" t="s">
        <v>144</v>
      </c>
      <c r="CU31">
        <v>3</v>
      </c>
      <c r="CV31">
        <v>0.98701298701298701</v>
      </c>
      <c r="CW31" t="s">
        <v>135</v>
      </c>
      <c r="CX31">
        <v>3</v>
      </c>
      <c r="CY31">
        <v>1</v>
      </c>
      <c r="CZ31" t="s">
        <v>118</v>
      </c>
      <c r="DA31">
        <v>3</v>
      </c>
      <c r="DB31">
        <v>1.11322751322751</v>
      </c>
      <c r="DC31" t="s">
        <v>112</v>
      </c>
      <c r="DD31">
        <v>3</v>
      </c>
      <c r="DE31">
        <v>0.91775700934579396</v>
      </c>
      <c r="DF31" t="s">
        <v>97</v>
      </c>
      <c r="DG31">
        <v>3</v>
      </c>
      <c r="DH31">
        <v>0.98738738738738696</v>
      </c>
    </row>
    <row r="32" spans="1:112" x14ac:dyDescent="0.4">
      <c r="A32">
        <v>30</v>
      </c>
      <c r="B32" t="s">
        <v>107</v>
      </c>
      <c r="C32">
        <v>2</v>
      </c>
      <c r="D32">
        <v>1.1032448377581101</v>
      </c>
      <c r="E32" t="s">
        <v>97</v>
      </c>
      <c r="F32">
        <v>2</v>
      </c>
      <c r="G32">
        <v>0.96933560477001701</v>
      </c>
      <c r="H32" t="s">
        <v>84</v>
      </c>
      <c r="I32">
        <v>2</v>
      </c>
      <c r="J32">
        <v>0.57900432900432897</v>
      </c>
      <c r="K32" t="s">
        <v>84</v>
      </c>
      <c r="L32">
        <v>2</v>
      </c>
      <c r="M32">
        <v>0.84859813084112101</v>
      </c>
      <c r="N32" t="s">
        <v>100</v>
      </c>
      <c r="O32">
        <v>2</v>
      </c>
      <c r="P32">
        <v>0.96407078591431805</v>
      </c>
      <c r="Q32" t="s">
        <v>97</v>
      </c>
      <c r="R32">
        <v>2</v>
      </c>
      <c r="S32">
        <v>1.0534883720930199</v>
      </c>
      <c r="T32" t="s">
        <v>97</v>
      </c>
      <c r="U32">
        <v>2</v>
      </c>
      <c r="V32">
        <v>0.95364238410596003</v>
      </c>
      <c r="W32" t="s">
        <v>105</v>
      </c>
      <c r="X32">
        <v>2</v>
      </c>
      <c r="Y32">
        <v>0.94047092637629803</v>
      </c>
      <c r="Z32" t="s">
        <v>113</v>
      </c>
      <c r="AA32">
        <v>2</v>
      </c>
      <c r="AB32">
        <v>0.86356073211314399</v>
      </c>
      <c r="AC32" t="s">
        <v>98</v>
      </c>
      <c r="AD32">
        <v>2</v>
      </c>
      <c r="AE32">
        <v>0.98486932599724897</v>
      </c>
      <c r="AF32" t="s">
        <v>84</v>
      </c>
      <c r="AG32">
        <v>2</v>
      </c>
      <c r="AH32">
        <v>1.0972222222222201</v>
      </c>
      <c r="AI32" t="s">
        <v>92</v>
      </c>
      <c r="AJ32">
        <v>2</v>
      </c>
      <c r="AK32">
        <v>1.1074380165289199</v>
      </c>
      <c r="AL32" t="s">
        <v>97</v>
      </c>
      <c r="AM32">
        <v>2</v>
      </c>
      <c r="AN32">
        <v>1.0116666666666601</v>
      </c>
      <c r="AO32" t="s">
        <v>113</v>
      </c>
      <c r="AP32">
        <v>2</v>
      </c>
      <c r="AQ32">
        <v>1.24259259259259</v>
      </c>
      <c r="AR32" t="s">
        <v>113</v>
      </c>
      <c r="AS32">
        <v>2</v>
      </c>
      <c r="AT32">
        <v>0.62146050670640796</v>
      </c>
      <c r="AU32" t="s">
        <v>97</v>
      </c>
      <c r="AV32">
        <v>2</v>
      </c>
      <c r="AW32">
        <v>1.0647058823529401</v>
      </c>
      <c r="AX32" t="s">
        <v>88</v>
      </c>
      <c r="AY32">
        <v>1</v>
      </c>
      <c r="AZ32">
        <v>0.785116279069767</v>
      </c>
      <c r="BA32" t="s">
        <v>108</v>
      </c>
      <c r="BB32">
        <v>3</v>
      </c>
      <c r="BC32">
        <v>1.03498542274052</v>
      </c>
      <c r="BD32" t="s">
        <v>113</v>
      </c>
      <c r="BE32">
        <v>2</v>
      </c>
      <c r="BF32">
        <v>0.76376146788990795</v>
      </c>
      <c r="BG32" t="s">
        <v>112</v>
      </c>
      <c r="BH32">
        <v>3</v>
      </c>
      <c r="BI32">
        <v>1.23770954096819</v>
      </c>
      <c r="BJ32" t="s">
        <v>97</v>
      </c>
      <c r="BK32">
        <v>2</v>
      </c>
      <c r="BL32">
        <v>0.938271604938271</v>
      </c>
      <c r="BM32" t="s">
        <v>91</v>
      </c>
      <c r="BN32">
        <v>3</v>
      </c>
      <c r="BO32">
        <v>0.96648909083787005</v>
      </c>
      <c r="BP32" t="s">
        <v>88</v>
      </c>
      <c r="BQ32">
        <v>1</v>
      </c>
      <c r="BR32">
        <v>1.1318181818181801</v>
      </c>
      <c r="BS32" t="s">
        <v>112</v>
      </c>
      <c r="BT32">
        <v>2</v>
      </c>
      <c r="BU32">
        <v>1.11666666666666</v>
      </c>
      <c r="BV32" t="s">
        <v>113</v>
      </c>
      <c r="BW32">
        <v>2</v>
      </c>
      <c r="BX32">
        <v>1.20485175202156</v>
      </c>
      <c r="BY32" t="s">
        <v>113</v>
      </c>
      <c r="BZ32">
        <v>3</v>
      </c>
      <c r="CA32">
        <v>1.23266219239373</v>
      </c>
      <c r="CB32" t="s">
        <v>108</v>
      </c>
      <c r="CC32">
        <v>3</v>
      </c>
      <c r="CD32">
        <v>0.970703125</v>
      </c>
      <c r="CE32" t="s">
        <v>108</v>
      </c>
      <c r="CF32">
        <v>3</v>
      </c>
      <c r="CG32">
        <v>0.99396378269617702</v>
      </c>
      <c r="CH32" t="s">
        <v>108</v>
      </c>
      <c r="CI32">
        <v>3</v>
      </c>
      <c r="CJ32">
        <v>1.1194331983805601</v>
      </c>
      <c r="CK32" t="s">
        <v>112</v>
      </c>
      <c r="CL32">
        <v>2</v>
      </c>
      <c r="CM32">
        <v>0.83783783783783705</v>
      </c>
      <c r="CN32" t="s">
        <v>115</v>
      </c>
      <c r="CO32">
        <v>3</v>
      </c>
      <c r="CP32">
        <v>0.971857410881801</v>
      </c>
      <c r="CQ32" t="s">
        <v>102</v>
      </c>
      <c r="CR32">
        <v>2</v>
      </c>
      <c r="CS32">
        <v>0.97916666666666596</v>
      </c>
      <c r="CT32" t="s">
        <v>143</v>
      </c>
      <c r="CU32">
        <v>2</v>
      </c>
      <c r="CV32">
        <v>1.2318339100346001</v>
      </c>
      <c r="CW32" t="s">
        <v>126</v>
      </c>
      <c r="CX32">
        <v>2</v>
      </c>
      <c r="CY32">
        <v>0.852848101265822</v>
      </c>
      <c r="CZ32" t="s">
        <v>102</v>
      </c>
      <c r="DA32">
        <v>2</v>
      </c>
      <c r="DB32">
        <v>1.11318242343541</v>
      </c>
      <c r="DC32" t="s">
        <v>118</v>
      </c>
      <c r="DD32">
        <v>3</v>
      </c>
      <c r="DE32">
        <v>0.96577946768060796</v>
      </c>
      <c r="DF32" t="s">
        <v>112</v>
      </c>
      <c r="DG32">
        <v>3</v>
      </c>
      <c r="DH32">
        <v>1.0845213849287101</v>
      </c>
    </row>
    <row r="33" spans="1:112" x14ac:dyDescent="0.4">
      <c r="A33">
        <v>31</v>
      </c>
      <c r="B33" t="s">
        <v>108</v>
      </c>
      <c r="C33">
        <v>2</v>
      </c>
      <c r="D33">
        <v>1.1787602858100901</v>
      </c>
      <c r="E33" t="s">
        <v>113</v>
      </c>
      <c r="F33">
        <v>2</v>
      </c>
      <c r="G33">
        <v>1</v>
      </c>
      <c r="H33" t="s">
        <v>98</v>
      </c>
      <c r="I33">
        <v>2</v>
      </c>
      <c r="J33">
        <v>0.55339805825242705</v>
      </c>
      <c r="K33" t="s">
        <v>98</v>
      </c>
      <c r="L33">
        <v>2</v>
      </c>
      <c r="M33">
        <v>1.1973684210526301</v>
      </c>
      <c r="N33" t="s">
        <v>84</v>
      </c>
      <c r="O33">
        <v>2</v>
      </c>
      <c r="P33">
        <v>1.41850220264317</v>
      </c>
      <c r="Q33" t="s">
        <v>113</v>
      </c>
      <c r="R33">
        <v>2</v>
      </c>
      <c r="S33">
        <v>0.98459005244035502</v>
      </c>
      <c r="T33" t="s">
        <v>113</v>
      </c>
      <c r="U33">
        <v>2</v>
      </c>
      <c r="V33">
        <v>0.80240674761870101</v>
      </c>
      <c r="W33" t="s">
        <v>108</v>
      </c>
      <c r="X33">
        <v>2</v>
      </c>
      <c r="Y33">
        <v>0.800561797752809</v>
      </c>
      <c r="Z33" t="s">
        <v>112</v>
      </c>
      <c r="AA33">
        <v>2</v>
      </c>
      <c r="AB33">
        <v>0.875259270746505</v>
      </c>
      <c r="AC33" t="s">
        <v>103</v>
      </c>
      <c r="AD33">
        <v>3</v>
      </c>
      <c r="AE33">
        <v>1.05250875145857</v>
      </c>
      <c r="AF33" t="s">
        <v>98</v>
      </c>
      <c r="AG33">
        <v>2</v>
      </c>
      <c r="AH33">
        <v>1.0307262569832401</v>
      </c>
      <c r="AI33" t="s">
        <v>91</v>
      </c>
      <c r="AJ33">
        <v>3</v>
      </c>
      <c r="AK33">
        <v>1.0272237823528301</v>
      </c>
      <c r="AL33" t="s">
        <v>113</v>
      </c>
      <c r="AM33">
        <v>2</v>
      </c>
      <c r="AN33">
        <v>0.98901098901098905</v>
      </c>
      <c r="AO33" t="s">
        <v>112</v>
      </c>
      <c r="AP33">
        <v>2</v>
      </c>
      <c r="AQ33">
        <v>0.838756386653703</v>
      </c>
      <c r="AR33" t="s">
        <v>112</v>
      </c>
      <c r="AS33">
        <v>2</v>
      </c>
      <c r="AT33">
        <v>0.84773601657294995</v>
      </c>
      <c r="AU33" t="s">
        <v>113</v>
      </c>
      <c r="AV33">
        <v>2</v>
      </c>
      <c r="AW33">
        <v>1.31175059952038</v>
      </c>
      <c r="AX33" t="s">
        <v>105</v>
      </c>
      <c r="AY33">
        <v>2</v>
      </c>
      <c r="AZ33">
        <v>0.91313004296342803</v>
      </c>
      <c r="BA33" t="s">
        <v>97</v>
      </c>
      <c r="BB33">
        <v>2</v>
      </c>
      <c r="BC33">
        <v>1</v>
      </c>
      <c r="BD33" t="s">
        <v>112</v>
      </c>
      <c r="BE33">
        <v>3</v>
      </c>
      <c r="BF33">
        <v>1.3146458509257899</v>
      </c>
      <c r="BG33" t="s">
        <v>102</v>
      </c>
      <c r="BH33">
        <v>2</v>
      </c>
      <c r="BI33">
        <v>0.98333333333333295</v>
      </c>
      <c r="BJ33" t="s">
        <v>113</v>
      </c>
      <c r="BK33">
        <v>2</v>
      </c>
      <c r="BL33">
        <v>1.3588235294117601</v>
      </c>
      <c r="BM33" t="s">
        <v>98</v>
      </c>
      <c r="BN33">
        <v>2</v>
      </c>
      <c r="BO33">
        <v>0.93299620733249</v>
      </c>
      <c r="BP33" t="s">
        <v>105</v>
      </c>
      <c r="BQ33">
        <v>3</v>
      </c>
      <c r="BR33">
        <v>0.90161259723012699</v>
      </c>
      <c r="BS33" t="s">
        <v>121</v>
      </c>
      <c r="BT33">
        <v>3</v>
      </c>
      <c r="BU33">
        <v>1.0244399185335999</v>
      </c>
      <c r="BV33" t="s">
        <v>112</v>
      </c>
      <c r="BW33">
        <v>2</v>
      </c>
      <c r="BX33">
        <v>1.16417910447761</v>
      </c>
      <c r="BY33" t="s">
        <v>112</v>
      </c>
      <c r="BZ33">
        <v>3</v>
      </c>
      <c r="CA33">
        <v>0.89102564102564097</v>
      </c>
      <c r="CB33" t="s">
        <v>97</v>
      </c>
      <c r="CC33">
        <v>3</v>
      </c>
      <c r="CD33">
        <v>1.0188679245283001</v>
      </c>
      <c r="CE33" t="s">
        <v>97</v>
      </c>
      <c r="CF33">
        <v>3</v>
      </c>
      <c r="CG33">
        <v>1.06296296296296</v>
      </c>
      <c r="CH33" t="s">
        <v>97</v>
      </c>
      <c r="CI33">
        <v>3</v>
      </c>
      <c r="CJ33">
        <v>1.10452961672473</v>
      </c>
      <c r="CK33" t="s">
        <v>115</v>
      </c>
      <c r="CL33">
        <v>3</v>
      </c>
      <c r="CM33">
        <v>0.950089126559714</v>
      </c>
      <c r="CN33" t="s">
        <v>121</v>
      </c>
      <c r="CO33">
        <v>3</v>
      </c>
      <c r="CP33">
        <v>0.99024390243902405</v>
      </c>
      <c r="CQ33" t="s">
        <v>124</v>
      </c>
      <c r="CR33">
        <v>3</v>
      </c>
      <c r="CS33">
        <v>0.95092024539877296</v>
      </c>
      <c r="CT33" t="s">
        <v>146</v>
      </c>
      <c r="CU33">
        <v>3</v>
      </c>
      <c r="CV33">
        <v>1.1189591078066901</v>
      </c>
      <c r="CW33" t="s">
        <v>144</v>
      </c>
      <c r="CX33">
        <v>3</v>
      </c>
      <c r="CY33">
        <v>0.93859649122806998</v>
      </c>
      <c r="CZ33" t="s">
        <v>124</v>
      </c>
      <c r="DA33">
        <v>3</v>
      </c>
      <c r="DB33">
        <v>1.1142857142857101</v>
      </c>
      <c r="DC33" t="s">
        <v>102</v>
      </c>
      <c r="DD33">
        <v>2</v>
      </c>
      <c r="DE33">
        <v>0.98205741626794196</v>
      </c>
      <c r="DF33" t="s">
        <v>118</v>
      </c>
      <c r="DG33">
        <v>3</v>
      </c>
      <c r="DH33">
        <v>1.06692913385826</v>
      </c>
    </row>
    <row r="34" spans="1:112" x14ac:dyDescent="0.4">
      <c r="A34">
        <v>32</v>
      </c>
      <c r="B34" t="s">
        <v>113</v>
      </c>
      <c r="C34">
        <v>2</v>
      </c>
      <c r="D34">
        <v>1.34708005443464</v>
      </c>
      <c r="E34" t="s">
        <v>112</v>
      </c>
      <c r="F34">
        <v>2</v>
      </c>
      <c r="G34">
        <v>0.90327101410382504</v>
      </c>
      <c r="H34" t="s">
        <v>103</v>
      </c>
      <c r="I34">
        <v>2</v>
      </c>
      <c r="J34">
        <v>0.62577777777777699</v>
      </c>
      <c r="K34" t="s">
        <v>105</v>
      </c>
      <c r="L34">
        <v>3</v>
      </c>
      <c r="M34">
        <v>1.2299977713394199</v>
      </c>
      <c r="N34" t="s">
        <v>98</v>
      </c>
      <c r="O34">
        <v>2</v>
      </c>
      <c r="P34">
        <v>1.39743589743589</v>
      </c>
      <c r="Q34" t="s">
        <v>112</v>
      </c>
      <c r="R34">
        <v>2</v>
      </c>
      <c r="S34">
        <v>1.2545473208786599</v>
      </c>
      <c r="T34" t="s">
        <v>112</v>
      </c>
      <c r="U34">
        <v>2</v>
      </c>
      <c r="V34">
        <v>0.85617503150108798</v>
      </c>
      <c r="W34" t="s">
        <v>97</v>
      </c>
      <c r="X34">
        <v>2</v>
      </c>
      <c r="Y34">
        <v>0.967592592592592</v>
      </c>
      <c r="Z34" t="s">
        <v>102</v>
      </c>
      <c r="AA34">
        <v>2</v>
      </c>
      <c r="AB34">
        <v>1.0665919641427799</v>
      </c>
      <c r="AC34" t="s">
        <v>105</v>
      </c>
      <c r="AD34">
        <v>3</v>
      </c>
      <c r="AE34">
        <v>0.89299195798457198</v>
      </c>
      <c r="AF34" t="s">
        <v>88</v>
      </c>
      <c r="AG34">
        <v>1</v>
      </c>
      <c r="AH34">
        <v>1.1094224924012099</v>
      </c>
      <c r="AI34" t="s">
        <v>84</v>
      </c>
      <c r="AJ34">
        <v>2</v>
      </c>
      <c r="AK34">
        <v>0.892405063291139</v>
      </c>
      <c r="AL34" t="s">
        <v>112</v>
      </c>
      <c r="AM34">
        <v>2</v>
      </c>
      <c r="AN34">
        <v>1.04052948773138</v>
      </c>
      <c r="AO34" t="s">
        <v>102</v>
      </c>
      <c r="AP34">
        <v>2</v>
      </c>
      <c r="AQ34">
        <v>1.1751343582052201</v>
      </c>
      <c r="AR34" t="s">
        <v>102</v>
      </c>
      <c r="AS34">
        <v>2</v>
      </c>
      <c r="AT34">
        <v>0.86923342816878901</v>
      </c>
      <c r="AU34" t="s">
        <v>112</v>
      </c>
      <c r="AV34">
        <v>2</v>
      </c>
      <c r="AW34">
        <v>1.29376854599406</v>
      </c>
      <c r="AX34" t="s">
        <v>108</v>
      </c>
      <c r="AY34">
        <v>3</v>
      </c>
      <c r="AZ34">
        <v>0.87723785166240398</v>
      </c>
      <c r="BA34" t="s">
        <v>113</v>
      </c>
      <c r="BB34">
        <v>2</v>
      </c>
      <c r="BC34">
        <v>0.95196506550218296</v>
      </c>
      <c r="BD34" t="s">
        <v>102</v>
      </c>
      <c r="BE34">
        <v>2</v>
      </c>
      <c r="BF34">
        <v>0.91883951524054297</v>
      </c>
      <c r="BG34" t="s">
        <v>124</v>
      </c>
      <c r="BH34">
        <v>3</v>
      </c>
      <c r="BI34">
        <v>1.15384615384615</v>
      </c>
      <c r="BJ34" t="s">
        <v>112</v>
      </c>
      <c r="BK34">
        <v>3</v>
      </c>
      <c r="BL34">
        <v>1.0066200017720801</v>
      </c>
      <c r="BM34" t="s">
        <v>88</v>
      </c>
      <c r="BN34">
        <v>1</v>
      </c>
      <c r="BO34">
        <v>0.94285714285714195</v>
      </c>
      <c r="BP34" t="s">
        <v>108</v>
      </c>
      <c r="BQ34">
        <v>3</v>
      </c>
      <c r="BR34">
        <v>1.04244031830238</v>
      </c>
      <c r="BS34" t="s">
        <v>102</v>
      </c>
      <c r="BT34">
        <v>2</v>
      </c>
      <c r="BU34">
        <v>0.93489461358313797</v>
      </c>
      <c r="BV34" t="s">
        <v>121</v>
      </c>
      <c r="BW34">
        <v>3</v>
      </c>
      <c r="BX34">
        <v>0.96322067594433403</v>
      </c>
      <c r="BY34" t="s">
        <v>115</v>
      </c>
      <c r="BZ34">
        <v>3</v>
      </c>
      <c r="CA34">
        <v>0.97422680412371099</v>
      </c>
      <c r="CB34" t="s">
        <v>113</v>
      </c>
      <c r="CC34">
        <v>3</v>
      </c>
      <c r="CD34">
        <v>0.80580762250453697</v>
      </c>
      <c r="CE34" t="s">
        <v>113</v>
      </c>
      <c r="CF34">
        <v>3</v>
      </c>
      <c r="CG34">
        <v>1.2567567567567499</v>
      </c>
      <c r="CH34" t="s">
        <v>113</v>
      </c>
      <c r="CI34">
        <v>3</v>
      </c>
      <c r="CJ34">
        <v>2.6308243727598501</v>
      </c>
      <c r="CK34" t="s">
        <v>102</v>
      </c>
      <c r="CL34">
        <v>2</v>
      </c>
      <c r="CM34">
        <v>0.77537437603993298</v>
      </c>
      <c r="CN34" t="s">
        <v>102</v>
      </c>
      <c r="CO34">
        <v>2</v>
      </c>
      <c r="CP34">
        <v>0.87553648068669498</v>
      </c>
      <c r="CQ34" t="s">
        <v>130</v>
      </c>
      <c r="CR34">
        <v>3</v>
      </c>
      <c r="CS34">
        <v>1.02461538461538</v>
      </c>
      <c r="CT34" t="s">
        <v>152</v>
      </c>
      <c r="CU34">
        <v>2</v>
      </c>
      <c r="CV34">
        <v>1.0871559633027501</v>
      </c>
      <c r="CW34" t="s">
        <v>149</v>
      </c>
      <c r="CX34">
        <v>3</v>
      </c>
      <c r="CY34">
        <v>0.99484536082474195</v>
      </c>
      <c r="CZ34" t="s">
        <v>104</v>
      </c>
      <c r="DA34">
        <v>2</v>
      </c>
      <c r="DB34">
        <v>0.74228187919462996</v>
      </c>
      <c r="DC34" t="s">
        <v>124</v>
      </c>
      <c r="DD34">
        <v>3</v>
      </c>
      <c r="DE34">
        <v>1.0560897435897401</v>
      </c>
      <c r="DF34" t="s">
        <v>102</v>
      </c>
      <c r="DG34">
        <v>2</v>
      </c>
      <c r="DH34">
        <v>0.97442143727162001</v>
      </c>
    </row>
    <row r="35" spans="1:112" x14ac:dyDescent="0.4">
      <c r="A35">
        <v>33</v>
      </c>
      <c r="B35" t="s">
        <v>112</v>
      </c>
      <c r="C35">
        <v>2</v>
      </c>
      <c r="D35">
        <v>1.04909673887542</v>
      </c>
      <c r="E35" t="s">
        <v>115</v>
      </c>
      <c r="F35">
        <v>3</v>
      </c>
      <c r="G35">
        <v>0.81612903225806399</v>
      </c>
      <c r="H35" t="s">
        <v>105</v>
      </c>
      <c r="I35">
        <v>3</v>
      </c>
      <c r="J35">
        <v>0.76924395679753099</v>
      </c>
      <c r="K35" t="s">
        <v>97</v>
      </c>
      <c r="L35">
        <v>2</v>
      </c>
      <c r="M35">
        <v>0.842592592592592</v>
      </c>
      <c r="N35" t="s">
        <v>88</v>
      </c>
      <c r="O35">
        <v>1</v>
      </c>
      <c r="P35">
        <v>2.3287671232876699</v>
      </c>
      <c r="Q35" t="s">
        <v>102</v>
      </c>
      <c r="R35">
        <v>2</v>
      </c>
      <c r="S35">
        <v>0.89880540426684297</v>
      </c>
      <c r="T35" t="s">
        <v>102</v>
      </c>
      <c r="U35">
        <v>2</v>
      </c>
      <c r="V35">
        <v>0.82447271509876097</v>
      </c>
      <c r="W35" t="s">
        <v>113</v>
      </c>
      <c r="X35">
        <v>2</v>
      </c>
      <c r="Y35">
        <v>0.68075755516288305</v>
      </c>
      <c r="Z35" t="s">
        <v>120</v>
      </c>
      <c r="AA35">
        <v>2</v>
      </c>
      <c r="AB35">
        <v>1.1263157894736799</v>
      </c>
      <c r="AC35" t="s">
        <v>108</v>
      </c>
      <c r="AD35">
        <v>2</v>
      </c>
      <c r="AE35">
        <v>1.1154708520179299</v>
      </c>
      <c r="AF35" t="s">
        <v>103</v>
      </c>
      <c r="AG35">
        <v>3</v>
      </c>
      <c r="AH35">
        <v>1.0199556541019901</v>
      </c>
      <c r="AI35" t="s">
        <v>98</v>
      </c>
      <c r="AJ35">
        <v>2</v>
      </c>
      <c r="AK35">
        <v>0.964769647696477</v>
      </c>
      <c r="AL35" t="s">
        <v>102</v>
      </c>
      <c r="AM35">
        <v>2</v>
      </c>
      <c r="AN35">
        <v>1.2482546121143501</v>
      </c>
      <c r="AO35" t="s">
        <v>120</v>
      </c>
      <c r="AP35">
        <v>2</v>
      </c>
      <c r="AQ35">
        <v>1.04322766570605</v>
      </c>
      <c r="AR35" t="s">
        <v>120</v>
      </c>
      <c r="AS35">
        <v>2</v>
      </c>
      <c r="AT35">
        <v>1.1132596685082801</v>
      </c>
      <c r="AU35" t="s">
        <v>102</v>
      </c>
      <c r="AV35">
        <v>2</v>
      </c>
      <c r="AW35">
        <v>1.1301581475023701</v>
      </c>
      <c r="AX35" t="s">
        <v>97</v>
      </c>
      <c r="AY35">
        <v>2</v>
      </c>
      <c r="AZ35">
        <v>0.83241252302025703</v>
      </c>
      <c r="BA35" t="s">
        <v>112</v>
      </c>
      <c r="BB35">
        <v>3</v>
      </c>
      <c r="BC35">
        <v>1.0593689998254401</v>
      </c>
      <c r="BD35" t="s">
        <v>104</v>
      </c>
      <c r="BE35">
        <v>2</v>
      </c>
      <c r="BF35">
        <v>1.09562841530054</v>
      </c>
      <c r="BG35" t="s">
        <v>104</v>
      </c>
      <c r="BH35">
        <v>2</v>
      </c>
      <c r="BI35">
        <v>1.02244389027431</v>
      </c>
      <c r="BJ35" t="s">
        <v>102</v>
      </c>
      <c r="BK35">
        <v>2</v>
      </c>
      <c r="BL35">
        <v>1.1660773076454001</v>
      </c>
      <c r="BM35" t="s">
        <v>105</v>
      </c>
      <c r="BN35">
        <v>3</v>
      </c>
      <c r="BO35">
        <v>0.97792207792207797</v>
      </c>
      <c r="BP35" t="s">
        <v>97</v>
      </c>
      <c r="BQ35">
        <v>2</v>
      </c>
      <c r="BR35">
        <v>0.94047619047619002</v>
      </c>
      <c r="BS35" t="s">
        <v>124</v>
      </c>
      <c r="BT35">
        <v>3</v>
      </c>
      <c r="BU35">
        <v>1.00790513833992</v>
      </c>
      <c r="BV35" t="s">
        <v>102</v>
      </c>
      <c r="BW35">
        <v>2</v>
      </c>
      <c r="BX35">
        <v>1.0055778223112799</v>
      </c>
      <c r="BY35" t="s">
        <v>121</v>
      </c>
      <c r="BZ35">
        <v>3</v>
      </c>
      <c r="CA35">
        <v>1.0691434468524199</v>
      </c>
      <c r="CB35" t="s">
        <v>112</v>
      </c>
      <c r="CC35">
        <v>3</v>
      </c>
      <c r="CD35">
        <v>1.05395683453237</v>
      </c>
      <c r="CE35" t="s">
        <v>112</v>
      </c>
      <c r="CF35">
        <v>3</v>
      </c>
      <c r="CG35">
        <v>1.0034129692832701</v>
      </c>
      <c r="CH35" t="s">
        <v>112</v>
      </c>
      <c r="CI35">
        <v>3</v>
      </c>
      <c r="CJ35">
        <v>1.0068027210884301</v>
      </c>
      <c r="CK35" t="s">
        <v>124</v>
      </c>
      <c r="CL35">
        <v>3</v>
      </c>
      <c r="CM35">
        <v>1.0370370370370301</v>
      </c>
      <c r="CN35" t="s">
        <v>124</v>
      </c>
      <c r="CO35">
        <v>3</v>
      </c>
      <c r="CP35">
        <v>0.89560439560439498</v>
      </c>
      <c r="CQ35" t="s">
        <v>135</v>
      </c>
      <c r="CR35">
        <v>3</v>
      </c>
      <c r="CS35">
        <v>0.97132616487455103</v>
      </c>
      <c r="CT35" t="s">
        <v>154</v>
      </c>
      <c r="CU35">
        <v>2</v>
      </c>
      <c r="CV35">
        <v>0.94754098360655703</v>
      </c>
      <c r="CW35" t="s">
        <v>143</v>
      </c>
      <c r="CX35">
        <v>3</v>
      </c>
      <c r="CY35">
        <v>0.925561797752809</v>
      </c>
      <c r="CZ35" t="s">
        <v>135</v>
      </c>
      <c r="DA35">
        <v>3</v>
      </c>
      <c r="DB35">
        <v>1.1680672268907499</v>
      </c>
      <c r="DC35" t="s">
        <v>130</v>
      </c>
      <c r="DD35">
        <v>3</v>
      </c>
      <c r="DE35">
        <v>0.90610328638497595</v>
      </c>
      <c r="DF35" t="s">
        <v>124</v>
      </c>
      <c r="DG35">
        <v>3</v>
      </c>
      <c r="DH35">
        <v>0.915022761760242</v>
      </c>
    </row>
    <row r="36" spans="1:112" x14ac:dyDescent="0.4">
      <c r="A36">
        <v>34</v>
      </c>
      <c r="B36" t="s">
        <v>115</v>
      </c>
      <c r="C36">
        <v>3</v>
      </c>
      <c r="D36">
        <v>0.80589254766031104</v>
      </c>
      <c r="E36" t="s">
        <v>118</v>
      </c>
      <c r="F36">
        <v>3</v>
      </c>
      <c r="G36">
        <v>0.84927536231884004</v>
      </c>
      <c r="H36" t="s">
        <v>107</v>
      </c>
      <c r="I36">
        <v>2</v>
      </c>
      <c r="J36">
        <v>0.31525851197982302</v>
      </c>
      <c r="K36" t="s">
        <v>113</v>
      </c>
      <c r="L36">
        <v>2</v>
      </c>
      <c r="M36">
        <v>1.2225173380551799</v>
      </c>
      <c r="N36" t="s">
        <v>105</v>
      </c>
      <c r="O36">
        <v>3</v>
      </c>
      <c r="P36">
        <v>0.97562964305127697</v>
      </c>
      <c r="Q36" t="s">
        <v>120</v>
      </c>
      <c r="R36">
        <v>2</v>
      </c>
      <c r="S36">
        <v>1.0689655172413699</v>
      </c>
      <c r="T36" t="s">
        <v>120</v>
      </c>
      <c r="U36">
        <v>2</v>
      </c>
      <c r="V36">
        <v>1.1182795698924699</v>
      </c>
      <c r="W36" t="s">
        <v>112</v>
      </c>
      <c r="X36">
        <v>2</v>
      </c>
      <c r="Y36">
        <v>0.98599006116207899</v>
      </c>
      <c r="Z36" t="s">
        <v>124</v>
      </c>
      <c r="AA36">
        <v>2</v>
      </c>
      <c r="AB36">
        <v>1.06866197183098</v>
      </c>
      <c r="AC36" t="s">
        <v>97</v>
      </c>
      <c r="AD36">
        <v>2</v>
      </c>
      <c r="AE36">
        <v>1.2380952380952299</v>
      </c>
      <c r="AF36" t="s">
        <v>105</v>
      </c>
      <c r="AG36">
        <v>3</v>
      </c>
      <c r="AH36">
        <v>1.55731176866997</v>
      </c>
      <c r="AI36" t="s">
        <v>88</v>
      </c>
      <c r="AJ36">
        <v>1</v>
      </c>
      <c r="AK36">
        <v>1.0547945205479401</v>
      </c>
      <c r="AL36" t="s">
        <v>120</v>
      </c>
      <c r="AM36">
        <v>2</v>
      </c>
      <c r="AN36">
        <v>1.3742574257425699</v>
      </c>
      <c r="AO36" t="s">
        <v>104</v>
      </c>
      <c r="AP36">
        <v>2</v>
      </c>
      <c r="AQ36">
        <v>1.2298850574712601</v>
      </c>
      <c r="AR36" t="s">
        <v>104</v>
      </c>
      <c r="AS36">
        <v>2</v>
      </c>
      <c r="AT36">
        <v>0.70404984423675998</v>
      </c>
      <c r="AU36" t="s">
        <v>104</v>
      </c>
      <c r="AV36">
        <v>2</v>
      </c>
      <c r="AW36">
        <v>1.0663716814159201</v>
      </c>
      <c r="AX36" t="s">
        <v>113</v>
      </c>
      <c r="AY36">
        <v>2</v>
      </c>
      <c r="AZ36">
        <v>0.83729433272394804</v>
      </c>
      <c r="BA36" t="s">
        <v>121</v>
      </c>
      <c r="BB36">
        <v>2</v>
      </c>
      <c r="BC36">
        <v>1.0504201680672201</v>
      </c>
      <c r="BD36" t="s">
        <v>106</v>
      </c>
      <c r="BE36">
        <v>1</v>
      </c>
      <c r="BF36">
        <v>1.0106007067137801</v>
      </c>
      <c r="BG36" t="s">
        <v>106</v>
      </c>
      <c r="BH36">
        <v>1</v>
      </c>
      <c r="BI36">
        <v>0.99650349650349601</v>
      </c>
      <c r="BJ36" t="s">
        <v>124</v>
      </c>
      <c r="BK36">
        <v>3</v>
      </c>
      <c r="BL36">
        <v>1.0125</v>
      </c>
      <c r="BM36" t="s">
        <v>108</v>
      </c>
      <c r="BN36">
        <v>3</v>
      </c>
      <c r="BO36">
        <v>0.76860346585117201</v>
      </c>
      <c r="BP36" t="s">
        <v>113</v>
      </c>
      <c r="BQ36">
        <v>2</v>
      </c>
      <c r="BR36">
        <v>0.92327365728900201</v>
      </c>
      <c r="BS36" t="s">
        <v>130</v>
      </c>
      <c r="BT36">
        <v>3</v>
      </c>
      <c r="BU36">
        <v>0.89293849658314295</v>
      </c>
      <c r="BV36" t="s">
        <v>124</v>
      </c>
      <c r="BW36">
        <v>3</v>
      </c>
      <c r="BX36">
        <v>1.0196078431372499</v>
      </c>
      <c r="BY36" t="s">
        <v>118</v>
      </c>
      <c r="BZ36">
        <v>3</v>
      </c>
      <c r="CA36">
        <v>2.1844380403458201</v>
      </c>
      <c r="CB36" t="s">
        <v>115</v>
      </c>
      <c r="CC36">
        <v>3</v>
      </c>
      <c r="CD36">
        <v>0.88888888888888795</v>
      </c>
      <c r="CE36" t="s">
        <v>115</v>
      </c>
      <c r="CF36">
        <v>3</v>
      </c>
      <c r="CG36">
        <v>0.99404761904761896</v>
      </c>
      <c r="CH36" t="s">
        <v>115</v>
      </c>
      <c r="CI36">
        <v>3</v>
      </c>
      <c r="CJ36">
        <v>1.11976047904191</v>
      </c>
      <c r="CK36" t="s">
        <v>130</v>
      </c>
      <c r="CL36">
        <v>3</v>
      </c>
      <c r="CM36">
        <v>0.67008547008547004</v>
      </c>
      <c r="CN36" t="s">
        <v>130</v>
      </c>
      <c r="CO36">
        <v>3</v>
      </c>
      <c r="CP36">
        <v>0.82908163265306101</v>
      </c>
      <c r="CQ36" t="s">
        <v>126</v>
      </c>
      <c r="CR36">
        <v>2</v>
      </c>
      <c r="CS36">
        <v>1.1663652802893301</v>
      </c>
      <c r="CT36" t="s">
        <v>114</v>
      </c>
      <c r="CU36">
        <v>2</v>
      </c>
      <c r="CV36">
        <v>0.91133004926108296</v>
      </c>
      <c r="CW36" t="s">
        <v>146</v>
      </c>
      <c r="CX36">
        <v>3</v>
      </c>
      <c r="CY36">
        <v>0.99003322259136195</v>
      </c>
      <c r="CZ36" t="s">
        <v>126</v>
      </c>
      <c r="DA36">
        <v>2</v>
      </c>
      <c r="DB36">
        <v>1.0556586270871899</v>
      </c>
      <c r="DC36" t="s">
        <v>104</v>
      </c>
      <c r="DD36">
        <v>2</v>
      </c>
      <c r="DE36">
        <v>0.97649186256781195</v>
      </c>
      <c r="DF36" t="s">
        <v>130</v>
      </c>
      <c r="DG36">
        <v>3</v>
      </c>
      <c r="DH36">
        <v>1.0284974093264201</v>
      </c>
    </row>
    <row r="37" spans="1:112" x14ac:dyDescent="0.4">
      <c r="A37">
        <v>35</v>
      </c>
      <c r="B37" t="s">
        <v>118</v>
      </c>
      <c r="C37">
        <v>3</v>
      </c>
      <c r="D37">
        <v>0.86142322097378199</v>
      </c>
      <c r="E37" t="s">
        <v>102</v>
      </c>
      <c r="F37">
        <v>2</v>
      </c>
      <c r="G37">
        <v>0.90569829760403497</v>
      </c>
      <c r="H37" t="s">
        <v>108</v>
      </c>
      <c r="I37">
        <v>2</v>
      </c>
      <c r="J37">
        <v>0.47270114942528701</v>
      </c>
      <c r="K37" t="s">
        <v>112</v>
      </c>
      <c r="L37">
        <v>2</v>
      </c>
      <c r="M37">
        <v>0.93846945526722003</v>
      </c>
      <c r="N37" t="s">
        <v>108</v>
      </c>
      <c r="O37">
        <v>2</v>
      </c>
      <c r="P37">
        <v>1.5090909090908999</v>
      </c>
      <c r="Q37" t="s">
        <v>124</v>
      </c>
      <c r="R37">
        <v>2</v>
      </c>
      <c r="S37">
        <v>1.1414514145141399</v>
      </c>
      <c r="T37" t="s">
        <v>124</v>
      </c>
      <c r="U37">
        <v>2</v>
      </c>
      <c r="V37">
        <v>0.83943965517241304</v>
      </c>
      <c r="W37" t="s">
        <v>102</v>
      </c>
      <c r="X37">
        <v>2</v>
      </c>
      <c r="Y37">
        <v>1.01465870792219</v>
      </c>
      <c r="Z37" t="s">
        <v>104</v>
      </c>
      <c r="AA37">
        <v>2</v>
      </c>
      <c r="AB37">
        <v>1.1493902439024299</v>
      </c>
      <c r="AC37" t="s">
        <v>113</v>
      </c>
      <c r="AD37">
        <v>2</v>
      </c>
      <c r="AE37">
        <v>1.24470134874759</v>
      </c>
      <c r="AF37" t="s">
        <v>108</v>
      </c>
      <c r="AG37">
        <v>2</v>
      </c>
      <c r="AH37">
        <v>1.06532663316582</v>
      </c>
      <c r="AI37" t="s">
        <v>103</v>
      </c>
      <c r="AJ37">
        <v>3</v>
      </c>
      <c r="AK37">
        <v>0.97608695652173905</v>
      </c>
      <c r="AL37" t="s">
        <v>124</v>
      </c>
      <c r="AM37">
        <v>2</v>
      </c>
      <c r="AN37">
        <v>0.80043859649122795</v>
      </c>
      <c r="AO37" t="s">
        <v>106</v>
      </c>
      <c r="AP37">
        <v>1</v>
      </c>
      <c r="AQ37">
        <v>0.93563579277864894</v>
      </c>
      <c r="AR37" t="s">
        <v>106</v>
      </c>
      <c r="AS37">
        <v>1</v>
      </c>
      <c r="AT37">
        <v>0.77013422818791899</v>
      </c>
      <c r="AU37" t="s">
        <v>106</v>
      </c>
      <c r="AV37">
        <v>1</v>
      </c>
      <c r="AW37">
        <v>1.5642701525054401</v>
      </c>
      <c r="AX37" t="s">
        <v>112</v>
      </c>
      <c r="AY37">
        <v>2</v>
      </c>
      <c r="AZ37">
        <v>1.0305810397553501</v>
      </c>
      <c r="BA37" t="s">
        <v>102</v>
      </c>
      <c r="BB37">
        <v>2</v>
      </c>
      <c r="BC37">
        <v>0.98196898665705001</v>
      </c>
      <c r="BD37" t="s">
        <v>128</v>
      </c>
      <c r="BE37">
        <v>3</v>
      </c>
      <c r="BF37">
        <v>2.0447896120973001</v>
      </c>
      <c r="BG37" t="s">
        <v>126</v>
      </c>
      <c r="BH37">
        <v>2</v>
      </c>
      <c r="BI37">
        <v>0.94918699186991795</v>
      </c>
      <c r="BJ37" t="s">
        <v>130</v>
      </c>
      <c r="BK37">
        <v>3</v>
      </c>
      <c r="BL37">
        <v>1.19705882352941</v>
      </c>
      <c r="BM37" t="s">
        <v>97</v>
      </c>
      <c r="BN37">
        <v>2</v>
      </c>
      <c r="BO37">
        <v>0.884210526315789</v>
      </c>
      <c r="BP37" t="s">
        <v>112</v>
      </c>
      <c r="BQ37">
        <v>2</v>
      </c>
      <c r="BR37">
        <v>1.32272216220982</v>
      </c>
      <c r="BS37" t="s">
        <v>104</v>
      </c>
      <c r="BT37">
        <v>2</v>
      </c>
      <c r="BU37">
        <v>1.42165242165242</v>
      </c>
      <c r="BV37" t="s">
        <v>130</v>
      </c>
      <c r="BW37">
        <v>3</v>
      </c>
      <c r="BX37">
        <v>1.0153061224489699</v>
      </c>
      <c r="BY37" t="s">
        <v>102</v>
      </c>
      <c r="BZ37">
        <v>2</v>
      </c>
      <c r="CA37">
        <v>1.44597601886604</v>
      </c>
      <c r="CB37" t="s">
        <v>121</v>
      </c>
      <c r="CC37">
        <v>3</v>
      </c>
      <c r="CD37">
        <v>0.77992277992277903</v>
      </c>
      <c r="CE37" t="s">
        <v>121</v>
      </c>
      <c r="CF37">
        <v>3</v>
      </c>
      <c r="CG37">
        <v>1.0309405940594001</v>
      </c>
      <c r="CH37" t="s">
        <v>121</v>
      </c>
      <c r="CI37">
        <v>3</v>
      </c>
      <c r="CJ37">
        <v>1.0312124849939901</v>
      </c>
      <c r="CK37" t="s">
        <v>135</v>
      </c>
      <c r="CL37">
        <v>3</v>
      </c>
      <c r="CM37">
        <v>0.93924050632911305</v>
      </c>
      <c r="CN37" t="s">
        <v>104</v>
      </c>
      <c r="CO37">
        <v>2</v>
      </c>
      <c r="CP37">
        <v>0.95416666666666605</v>
      </c>
      <c r="CQ37" t="s">
        <v>149</v>
      </c>
      <c r="CR37">
        <v>3</v>
      </c>
      <c r="CS37">
        <v>0.911904761904761</v>
      </c>
      <c r="CT37" t="s">
        <v>160</v>
      </c>
      <c r="CU37">
        <v>3</v>
      </c>
      <c r="CV37">
        <v>1.01370851370851</v>
      </c>
      <c r="CW37" t="s">
        <v>152</v>
      </c>
      <c r="CX37">
        <v>3</v>
      </c>
      <c r="CY37">
        <v>0.949367088607594</v>
      </c>
      <c r="CZ37" t="s">
        <v>144</v>
      </c>
      <c r="DA37">
        <v>3</v>
      </c>
      <c r="DB37">
        <v>0.97663551401869098</v>
      </c>
      <c r="DC37" t="s">
        <v>106</v>
      </c>
      <c r="DD37">
        <v>1</v>
      </c>
      <c r="DE37">
        <v>0.93020134228187901</v>
      </c>
      <c r="DF37" t="s">
        <v>104</v>
      </c>
      <c r="DG37">
        <v>2</v>
      </c>
      <c r="DH37">
        <v>1.13518518518518</v>
      </c>
    </row>
    <row r="38" spans="1:112" x14ac:dyDescent="0.4">
      <c r="A38">
        <v>36</v>
      </c>
      <c r="B38" t="s">
        <v>102</v>
      </c>
      <c r="C38">
        <v>2</v>
      </c>
      <c r="D38">
        <v>1.0447097571016799</v>
      </c>
      <c r="E38" t="s">
        <v>120</v>
      </c>
      <c r="F38">
        <v>2</v>
      </c>
      <c r="G38">
        <v>0.96969696969696895</v>
      </c>
      <c r="H38" t="s">
        <v>97</v>
      </c>
      <c r="I38">
        <v>2</v>
      </c>
      <c r="J38">
        <v>0.75922671353251303</v>
      </c>
      <c r="K38" t="s">
        <v>102</v>
      </c>
      <c r="L38">
        <v>2</v>
      </c>
      <c r="M38">
        <v>1.0850780990362201</v>
      </c>
      <c r="N38" t="s">
        <v>97</v>
      </c>
      <c r="O38">
        <v>2</v>
      </c>
      <c r="P38">
        <v>1.18131868131868</v>
      </c>
      <c r="Q38" t="s">
        <v>104</v>
      </c>
      <c r="R38">
        <v>2</v>
      </c>
      <c r="S38">
        <v>1.21969696969696</v>
      </c>
      <c r="T38" t="s">
        <v>104</v>
      </c>
      <c r="U38">
        <v>2</v>
      </c>
      <c r="V38">
        <v>0.84472049689440998</v>
      </c>
      <c r="W38" t="s">
        <v>120</v>
      </c>
      <c r="X38">
        <v>2</v>
      </c>
      <c r="Y38">
        <v>1.14182692307692</v>
      </c>
      <c r="Z38" t="s">
        <v>127</v>
      </c>
      <c r="AA38">
        <v>2</v>
      </c>
      <c r="AB38">
        <v>1.24615384615384</v>
      </c>
      <c r="AC38" t="s">
        <v>112</v>
      </c>
      <c r="AD38">
        <v>2</v>
      </c>
      <c r="AE38">
        <v>1.02201452870304</v>
      </c>
      <c r="AF38" t="s">
        <v>97</v>
      </c>
      <c r="AG38">
        <v>2</v>
      </c>
      <c r="AH38">
        <v>1.09523809523809</v>
      </c>
      <c r="AI38" t="s">
        <v>105</v>
      </c>
      <c r="AJ38">
        <v>3</v>
      </c>
      <c r="AK38">
        <v>0.69984264358772597</v>
      </c>
      <c r="AL38" t="s">
        <v>104</v>
      </c>
      <c r="AM38">
        <v>2</v>
      </c>
      <c r="AN38">
        <v>0.87</v>
      </c>
      <c r="AO38" t="s">
        <v>128</v>
      </c>
      <c r="AP38">
        <v>3</v>
      </c>
      <c r="AQ38">
        <v>1.08029552650807</v>
      </c>
      <c r="AR38" t="s">
        <v>128</v>
      </c>
      <c r="AS38">
        <v>3</v>
      </c>
      <c r="AT38">
        <v>0.91823237637156097</v>
      </c>
      <c r="AU38" t="s">
        <v>128</v>
      </c>
      <c r="AV38">
        <v>3</v>
      </c>
      <c r="AW38">
        <v>1.0202160746439599</v>
      </c>
      <c r="AX38" t="s">
        <v>102</v>
      </c>
      <c r="AY38">
        <v>2</v>
      </c>
      <c r="AZ38">
        <v>0.75055486385535597</v>
      </c>
      <c r="BA38" t="s">
        <v>104</v>
      </c>
      <c r="BB38">
        <v>2</v>
      </c>
      <c r="BC38">
        <v>1.0338983050847399</v>
      </c>
      <c r="BD38" t="s">
        <v>126</v>
      </c>
      <c r="BE38">
        <v>2</v>
      </c>
      <c r="BF38">
        <v>1.0040816326530599</v>
      </c>
      <c r="BG38" t="s">
        <v>140</v>
      </c>
      <c r="BH38">
        <v>3</v>
      </c>
      <c r="BI38">
        <v>1.2833333333333301</v>
      </c>
      <c r="BJ38" t="s">
        <v>104</v>
      </c>
      <c r="BK38">
        <v>2</v>
      </c>
      <c r="BL38">
        <v>1.17560975609756</v>
      </c>
      <c r="BM38" t="s">
        <v>113</v>
      </c>
      <c r="BN38">
        <v>2</v>
      </c>
      <c r="BO38">
        <v>0.84632034632034603</v>
      </c>
      <c r="BP38" t="s">
        <v>121</v>
      </c>
      <c r="BQ38">
        <v>3</v>
      </c>
      <c r="BR38">
        <v>1.14186046511627</v>
      </c>
      <c r="BS38" t="s">
        <v>128</v>
      </c>
      <c r="BT38">
        <v>2</v>
      </c>
      <c r="BU38">
        <v>0.95774487471526104</v>
      </c>
      <c r="BV38" t="s">
        <v>104</v>
      </c>
      <c r="BW38">
        <v>2</v>
      </c>
      <c r="BX38">
        <v>1.3807615230460899</v>
      </c>
      <c r="BY38" t="s">
        <v>124</v>
      </c>
      <c r="BZ38">
        <v>3</v>
      </c>
      <c r="CA38">
        <v>1.21923076923076</v>
      </c>
      <c r="CB38" t="s">
        <v>102</v>
      </c>
      <c r="CC38">
        <v>2</v>
      </c>
      <c r="CD38">
        <v>1.06514448477052</v>
      </c>
      <c r="CE38" t="s">
        <v>102</v>
      </c>
      <c r="CF38">
        <v>2</v>
      </c>
      <c r="CG38">
        <v>1.0157429372439</v>
      </c>
      <c r="CH38" t="s">
        <v>102</v>
      </c>
      <c r="CI38">
        <v>2</v>
      </c>
      <c r="CJ38">
        <v>1.2760084925690001</v>
      </c>
      <c r="CK38" t="s">
        <v>126</v>
      </c>
      <c r="CL38">
        <v>2</v>
      </c>
      <c r="CM38">
        <v>0.91573033707865104</v>
      </c>
      <c r="CN38" t="s">
        <v>106</v>
      </c>
      <c r="CO38">
        <v>1</v>
      </c>
      <c r="CP38">
        <v>1.17070063694267</v>
      </c>
      <c r="CQ38" t="s">
        <v>143</v>
      </c>
      <c r="CR38">
        <v>2</v>
      </c>
      <c r="CS38">
        <v>1.0339892665474</v>
      </c>
      <c r="CT38" t="s">
        <v>116</v>
      </c>
      <c r="CU38">
        <v>2</v>
      </c>
      <c r="CV38">
        <v>0.98006644518272401</v>
      </c>
      <c r="CW38" t="s">
        <v>154</v>
      </c>
      <c r="CX38">
        <v>2</v>
      </c>
      <c r="CY38">
        <v>0.865051903114186</v>
      </c>
      <c r="CZ38" t="s">
        <v>149</v>
      </c>
      <c r="DA38">
        <v>3</v>
      </c>
      <c r="DB38">
        <v>1.0621761658030999</v>
      </c>
      <c r="DC38" t="s">
        <v>135</v>
      </c>
      <c r="DD38">
        <v>3</v>
      </c>
      <c r="DE38">
        <v>0.97122302158273299</v>
      </c>
      <c r="DF38" t="s">
        <v>135</v>
      </c>
      <c r="DG38">
        <v>3</v>
      </c>
      <c r="DH38">
        <v>1.2296296296296201</v>
      </c>
    </row>
    <row r="39" spans="1:112" x14ac:dyDescent="0.4">
      <c r="A39">
        <v>37</v>
      </c>
      <c r="B39" t="s">
        <v>120</v>
      </c>
      <c r="C39">
        <v>2</v>
      </c>
      <c r="D39">
        <v>0.90410958904109495</v>
      </c>
      <c r="E39" t="s">
        <v>124</v>
      </c>
      <c r="F39">
        <v>2</v>
      </c>
      <c r="G39">
        <v>0.81599123767798398</v>
      </c>
      <c r="H39" t="s">
        <v>113</v>
      </c>
      <c r="I39">
        <v>2</v>
      </c>
      <c r="J39">
        <v>0.595335353801554</v>
      </c>
      <c r="K39" t="s">
        <v>120</v>
      </c>
      <c r="L39">
        <v>2</v>
      </c>
      <c r="M39">
        <v>0.87323943661971803</v>
      </c>
      <c r="N39" t="s">
        <v>113</v>
      </c>
      <c r="O39">
        <v>2</v>
      </c>
      <c r="P39">
        <v>1.6859686179843001</v>
      </c>
      <c r="Q39" t="s">
        <v>128</v>
      </c>
      <c r="R39">
        <v>2</v>
      </c>
      <c r="S39">
        <v>1.5281290224880699</v>
      </c>
      <c r="T39" t="s">
        <v>106</v>
      </c>
      <c r="U39">
        <v>1</v>
      </c>
      <c r="V39">
        <v>1.1320754716981101</v>
      </c>
      <c r="W39" t="s">
        <v>124</v>
      </c>
      <c r="X39">
        <v>2</v>
      </c>
      <c r="Y39">
        <v>0.72913992297817698</v>
      </c>
      <c r="Z39" t="s">
        <v>106</v>
      </c>
      <c r="AA39">
        <v>1</v>
      </c>
      <c r="AB39">
        <v>0.79574468085106298</v>
      </c>
      <c r="AC39" t="s">
        <v>102</v>
      </c>
      <c r="AD39">
        <v>2</v>
      </c>
      <c r="AE39">
        <v>1.0311796488068401</v>
      </c>
      <c r="AF39" t="s">
        <v>113</v>
      </c>
      <c r="AG39">
        <v>2</v>
      </c>
      <c r="AH39">
        <v>1.0092879256965901</v>
      </c>
      <c r="AI39" t="s">
        <v>108</v>
      </c>
      <c r="AJ39">
        <v>2</v>
      </c>
      <c r="AK39">
        <v>0.71603773584905595</v>
      </c>
      <c r="AL39" t="s">
        <v>106</v>
      </c>
      <c r="AM39">
        <v>1</v>
      </c>
      <c r="AN39">
        <v>1.0159489633173799</v>
      </c>
      <c r="AO39" t="s">
        <v>133</v>
      </c>
      <c r="AP39">
        <v>2</v>
      </c>
      <c r="AQ39">
        <v>0.854700854700854</v>
      </c>
      <c r="AR39" t="s">
        <v>129</v>
      </c>
      <c r="AS39">
        <v>3</v>
      </c>
      <c r="AT39">
        <v>1.10840108401084</v>
      </c>
      <c r="AU39" t="s">
        <v>133</v>
      </c>
      <c r="AV39">
        <v>2</v>
      </c>
      <c r="AW39">
        <v>1.19383259911894</v>
      </c>
      <c r="AX39" t="s">
        <v>124</v>
      </c>
      <c r="AY39">
        <v>3</v>
      </c>
      <c r="AZ39">
        <v>0.83111111111111102</v>
      </c>
      <c r="BA39" t="s">
        <v>106</v>
      </c>
      <c r="BB39">
        <v>1</v>
      </c>
      <c r="BC39">
        <v>0.95608108108108103</v>
      </c>
      <c r="BD39" t="s">
        <v>140</v>
      </c>
      <c r="BE39">
        <v>3</v>
      </c>
      <c r="BF39">
        <v>1.0714285714285701</v>
      </c>
      <c r="BG39" t="s">
        <v>139</v>
      </c>
      <c r="BH39">
        <v>3</v>
      </c>
      <c r="BI39">
        <v>0.70093457943925197</v>
      </c>
      <c r="BJ39" t="s">
        <v>106</v>
      </c>
      <c r="BK39">
        <v>1</v>
      </c>
      <c r="BL39">
        <v>1.2052631578947299</v>
      </c>
      <c r="BM39" t="s">
        <v>112</v>
      </c>
      <c r="BN39">
        <v>2</v>
      </c>
      <c r="BO39">
        <v>1.14078414606543</v>
      </c>
      <c r="BP39" t="s">
        <v>102</v>
      </c>
      <c r="BQ39">
        <v>2</v>
      </c>
      <c r="BR39">
        <v>1.11143888387589</v>
      </c>
      <c r="BS39" t="s">
        <v>129</v>
      </c>
      <c r="BT39">
        <v>3</v>
      </c>
      <c r="BU39">
        <v>0.81176470588235194</v>
      </c>
      <c r="BV39" t="s">
        <v>128</v>
      </c>
      <c r="BW39">
        <v>2</v>
      </c>
      <c r="BX39">
        <v>1.4924485670115299</v>
      </c>
      <c r="BY39" t="s">
        <v>130</v>
      </c>
      <c r="BZ39">
        <v>3</v>
      </c>
      <c r="CA39">
        <v>1.24371859296482</v>
      </c>
      <c r="CB39" t="s">
        <v>124</v>
      </c>
      <c r="CC39">
        <v>3</v>
      </c>
      <c r="CD39">
        <v>0.93533123028391096</v>
      </c>
      <c r="CE39" t="s">
        <v>124</v>
      </c>
      <c r="CF39">
        <v>3</v>
      </c>
      <c r="CG39">
        <v>0.99662731871838095</v>
      </c>
      <c r="CH39" t="s">
        <v>124</v>
      </c>
      <c r="CI39">
        <v>3</v>
      </c>
      <c r="CJ39">
        <v>1.1878172588832401</v>
      </c>
      <c r="CK39" t="s">
        <v>149</v>
      </c>
      <c r="CL39">
        <v>3</v>
      </c>
      <c r="CM39">
        <v>0.75499092558983605</v>
      </c>
      <c r="CN39" t="s">
        <v>135</v>
      </c>
      <c r="CO39">
        <v>3</v>
      </c>
      <c r="CP39">
        <v>0.75202156334231796</v>
      </c>
      <c r="CQ39" t="s">
        <v>146</v>
      </c>
      <c r="CR39">
        <v>3</v>
      </c>
      <c r="CS39">
        <v>0.93728222996515598</v>
      </c>
      <c r="CT39" t="s">
        <v>159</v>
      </c>
      <c r="CU39">
        <v>2</v>
      </c>
      <c r="CV39">
        <v>0.99379844961240305</v>
      </c>
      <c r="CW39" t="s">
        <v>114</v>
      </c>
      <c r="CX39">
        <v>2</v>
      </c>
      <c r="CY39">
        <v>0.89945945945945904</v>
      </c>
      <c r="CZ39" t="s">
        <v>147</v>
      </c>
      <c r="DA39">
        <v>2</v>
      </c>
      <c r="DB39">
        <v>0.77678571428571397</v>
      </c>
      <c r="DC39" t="s">
        <v>126</v>
      </c>
      <c r="DD39">
        <v>2</v>
      </c>
      <c r="DE39">
        <v>0.92618629173989397</v>
      </c>
      <c r="DF39" t="s">
        <v>126</v>
      </c>
      <c r="DG39">
        <v>2</v>
      </c>
      <c r="DH39">
        <v>1.14990512333965</v>
      </c>
    </row>
    <row r="40" spans="1:112" x14ac:dyDescent="0.4">
      <c r="A40">
        <v>38</v>
      </c>
      <c r="B40" t="s">
        <v>124</v>
      </c>
      <c r="C40">
        <v>2</v>
      </c>
      <c r="D40">
        <v>1.26454293628808</v>
      </c>
      <c r="E40" t="s">
        <v>127</v>
      </c>
      <c r="F40">
        <v>2</v>
      </c>
      <c r="G40">
        <v>0.75806451612903203</v>
      </c>
      <c r="H40" t="s">
        <v>112</v>
      </c>
      <c r="I40">
        <v>2</v>
      </c>
      <c r="J40">
        <v>0.67357145215066105</v>
      </c>
      <c r="K40" t="s">
        <v>124</v>
      </c>
      <c r="L40">
        <v>2</v>
      </c>
      <c r="M40">
        <v>0.88932038834951399</v>
      </c>
      <c r="N40" t="s">
        <v>112</v>
      </c>
      <c r="O40">
        <v>2</v>
      </c>
      <c r="P40">
        <v>1.2718679826622801</v>
      </c>
      <c r="Q40" t="s">
        <v>133</v>
      </c>
      <c r="R40">
        <v>3</v>
      </c>
      <c r="S40">
        <v>1.109375</v>
      </c>
      <c r="T40" t="s">
        <v>133</v>
      </c>
      <c r="U40">
        <v>3</v>
      </c>
      <c r="V40">
        <v>0.91830985915492902</v>
      </c>
      <c r="W40" t="s">
        <v>104</v>
      </c>
      <c r="X40">
        <v>2</v>
      </c>
      <c r="Y40">
        <v>0.96470588235294097</v>
      </c>
      <c r="Z40" t="s">
        <v>128</v>
      </c>
      <c r="AA40">
        <v>2</v>
      </c>
      <c r="AB40">
        <v>0.81787460020517699</v>
      </c>
      <c r="AC40" t="s">
        <v>120</v>
      </c>
      <c r="AD40">
        <v>2</v>
      </c>
      <c r="AE40">
        <v>0.90467289719626098</v>
      </c>
      <c r="AF40" t="s">
        <v>112</v>
      </c>
      <c r="AG40">
        <v>2</v>
      </c>
      <c r="AH40">
        <v>0.99659775495167502</v>
      </c>
      <c r="AI40" t="s">
        <v>97</v>
      </c>
      <c r="AJ40">
        <v>2</v>
      </c>
      <c r="AK40">
        <v>1.0033444816053501</v>
      </c>
      <c r="AL40" t="s">
        <v>128</v>
      </c>
      <c r="AM40">
        <v>2</v>
      </c>
      <c r="AN40">
        <v>0.98417898521773794</v>
      </c>
      <c r="AO40" t="s">
        <v>136</v>
      </c>
      <c r="AP40">
        <v>3</v>
      </c>
      <c r="AQ40">
        <v>0.84494417361220298</v>
      </c>
      <c r="AR40" t="s">
        <v>133</v>
      </c>
      <c r="AS40">
        <v>2</v>
      </c>
      <c r="AT40">
        <v>1.135</v>
      </c>
      <c r="AU40" t="s">
        <v>139</v>
      </c>
      <c r="AV40">
        <v>3</v>
      </c>
      <c r="AW40">
        <v>1.3596214511041</v>
      </c>
      <c r="AX40" t="s">
        <v>104</v>
      </c>
      <c r="AY40">
        <v>2</v>
      </c>
      <c r="AZ40">
        <v>0.73443983402489599</v>
      </c>
      <c r="BA40" t="s">
        <v>128</v>
      </c>
      <c r="BB40">
        <v>3</v>
      </c>
      <c r="BC40">
        <v>1.1080958018395399</v>
      </c>
      <c r="BD40" t="s">
        <v>143</v>
      </c>
      <c r="BE40">
        <v>2</v>
      </c>
      <c r="BF40">
        <v>1.0282805429864199</v>
      </c>
      <c r="BG40" t="s">
        <v>143</v>
      </c>
      <c r="BH40">
        <v>2</v>
      </c>
      <c r="BI40">
        <v>1</v>
      </c>
      <c r="BJ40" t="s">
        <v>128</v>
      </c>
      <c r="BK40">
        <v>3</v>
      </c>
      <c r="BL40">
        <v>0.81435148118494705</v>
      </c>
      <c r="BM40" t="s">
        <v>141</v>
      </c>
      <c r="BN40">
        <v>3</v>
      </c>
      <c r="BO40">
        <v>0.92635658914728602</v>
      </c>
      <c r="BP40" t="s">
        <v>124</v>
      </c>
      <c r="BQ40">
        <v>3</v>
      </c>
      <c r="BR40">
        <v>1.00596421471172</v>
      </c>
      <c r="BS40" t="s">
        <v>133</v>
      </c>
      <c r="BT40">
        <v>3</v>
      </c>
      <c r="BU40">
        <v>1.2923076923076899</v>
      </c>
      <c r="BV40" t="s">
        <v>129</v>
      </c>
      <c r="BW40">
        <v>3</v>
      </c>
      <c r="BX40">
        <v>1.8381642512077201</v>
      </c>
      <c r="BY40" t="s">
        <v>104</v>
      </c>
      <c r="BZ40">
        <v>2</v>
      </c>
      <c r="CA40">
        <v>1.0914368650217701</v>
      </c>
      <c r="CB40" t="s">
        <v>130</v>
      </c>
      <c r="CC40">
        <v>3</v>
      </c>
      <c r="CD40">
        <v>1.0363636363636299</v>
      </c>
      <c r="CE40" t="s">
        <v>130</v>
      </c>
      <c r="CF40">
        <v>3</v>
      </c>
      <c r="CG40">
        <v>1.1111111111111101</v>
      </c>
      <c r="CH40" t="s">
        <v>130</v>
      </c>
      <c r="CI40">
        <v>3</v>
      </c>
      <c r="CJ40">
        <v>1.0263157894736801</v>
      </c>
      <c r="CK40" t="s">
        <v>147</v>
      </c>
      <c r="CL40">
        <v>2</v>
      </c>
      <c r="CM40">
        <v>1.03779069767441</v>
      </c>
      <c r="CN40" t="s">
        <v>126</v>
      </c>
      <c r="CO40">
        <v>2</v>
      </c>
      <c r="CP40">
        <v>1.13087934560327</v>
      </c>
      <c r="CQ40" t="s">
        <v>154</v>
      </c>
      <c r="CR40">
        <v>2</v>
      </c>
      <c r="CS40">
        <v>0.965189873417721</v>
      </c>
      <c r="CT40" t="s">
        <v>166</v>
      </c>
      <c r="CU40">
        <v>3</v>
      </c>
      <c r="CV40">
        <v>1.06354515050167</v>
      </c>
      <c r="CW40" t="s">
        <v>116</v>
      </c>
      <c r="CX40">
        <v>2</v>
      </c>
      <c r="CY40">
        <v>0.87909604519773998</v>
      </c>
      <c r="CZ40" t="s">
        <v>143</v>
      </c>
      <c r="DA40">
        <v>3</v>
      </c>
      <c r="DB40">
        <v>1.31259484066767</v>
      </c>
      <c r="DC40" t="s">
        <v>144</v>
      </c>
      <c r="DD40">
        <v>3</v>
      </c>
      <c r="DE40">
        <v>1.0143540669856399</v>
      </c>
      <c r="DF40" t="s">
        <v>144</v>
      </c>
      <c r="DG40">
        <v>3</v>
      </c>
      <c r="DH40">
        <v>1.03301886792452</v>
      </c>
    </row>
    <row r="41" spans="1:112" x14ac:dyDescent="0.4">
      <c r="A41">
        <v>39</v>
      </c>
      <c r="B41" t="s">
        <v>104</v>
      </c>
      <c r="C41">
        <v>2</v>
      </c>
      <c r="D41">
        <v>1.01298701298701</v>
      </c>
      <c r="E41" t="s">
        <v>128</v>
      </c>
      <c r="F41">
        <v>2</v>
      </c>
      <c r="G41">
        <v>0.97781771213567703</v>
      </c>
      <c r="H41" t="s">
        <v>102</v>
      </c>
      <c r="I41">
        <v>2</v>
      </c>
      <c r="J41">
        <v>0.91645999216812402</v>
      </c>
      <c r="K41" t="s">
        <v>127</v>
      </c>
      <c r="L41">
        <v>2</v>
      </c>
      <c r="M41">
        <v>1.36363636363636</v>
      </c>
      <c r="N41" t="s">
        <v>102</v>
      </c>
      <c r="O41">
        <v>2</v>
      </c>
      <c r="P41">
        <v>1.4540800700065599</v>
      </c>
      <c r="Q41" t="s">
        <v>109</v>
      </c>
      <c r="R41">
        <v>2</v>
      </c>
      <c r="S41">
        <v>1.1559999999999999</v>
      </c>
      <c r="T41" t="s">
        <v>109</v>
      </c>
      <c r="U41">
        <v>2</v>
      </c>
      <c r="V41">
        <v>1.0415224913494801</v>
      </c>
      <c r="W41" t="s">
        <v>128</v>
      </c>
      <c r="X41">
        <v>2</v>
      </c>
      <c r="Y41">
        <v>1.3136990645314699</v>
      </c>
      <c r="Z41" t="s">
        <v>133</v>
      </c>
      <c r="AA41">
        <v>3</v>
      </c>
      <c r="AB41">
        <v>1.4604236343366701</v>
      </c>
      <c r="AC41" t="s">
        <v>124</v>
      </c>
      <c r="AD41">
        <v>2</v>
      </c>
      <c r="AE41">
        <v>0.97364085667215805</v>
      </c>
      <c r="AF41" t="s">
        <v>102</v>
      </c>
      <c r="AG41">
        <v>2</v>
      </c>
      <c r="AH41">
        <v>0.99345049667066898</v>
      </c>
      <c r="AI41" t="s">
        <v>113</v>
      </c>
      <c r="AJ41">
        <v>2</v>
      </c>
      <c r="AK41">
        <v>0.83742331288343497</v>
      </c>
      <c r="AL41" t="s">
        <v>133</v>
      </c>
      <c r="AM41">
        <v>3</v>
      </c>
      <c r="AN41">
        <v>0.92490118577075098</v>
      </c>
      <c r="AO41" t="s">
        <v>148</v>
      </c>
      <c r="AP41">
        <v>3</v>
      </c>
      <c r="AQ41">
        <v>0.87659110195175105</v>
      </c>
      <c r="AR41" t="s">
        <v>136</v>
      </c>
      <c r="AS41">
        <v>3</v>
      </c>
      <c r="AT41">
        <v>0.74911595012097498</v>
      </c>
      <c r="AU41" t="s">
        <v>143</v>
      </c>
      <c r="AV41">
        <v>2</v>
      </c>
      <c r="AW41">
        <v>1.70553935860058</v>
      </c>
      <c r="AX41" t="s">
        <v>106</v>
      </c>
      <c r="AY41">
        <v>1</v>
      </c>
      <c r="AZ41">
        <v>0.82451253481894105</v>
      </c>
      <c r="BA41" t="s">
        <v>133</v>
      </c>
      <c r="BB41">
        <v>3</v>
      </c>
      <c r="BC41">
        <v>1.0431654676258899</v>
      </c>
      <c r="BD41" t="s">
        <v>146</v>
      </c>
      <c r="BE41">
        <v>2</v>
      </c>
      <c r="BF41">
        <v>0.79853765537411603</v>
      </c>
      <c r="BG41" t="s">
        <v>146</v>
      </c>
      <c r="BH41">
        <v>2</v>
      </c>
      <c r="BI41">
        <v>1.15443779758271</v>
      </c>
      <c r="BJ41" t="s">
        <v>126</v>
      </c>
      <c r="BK41">
        <v>2</v>
      </c>
      <c r="BL41">
        <v>1.06423982869379</v>
      </c>
      <c r="BM41" t="s">
        <v>102</v>
      </c>
      <c r="BN41">
        <v>2</v>
      </c>
      <c r="BO41">
        <v>1.00435707065425</v>
      </c>
      <c r="BP41" t="s">
        <v>130</v>
      </c>
      <c r="BQ41">
        <v>3</v>
      </c>
      <c r="BR41">
        <v>1.20604395604395</v>
      </c>
      <c r="BS41" t="s">
        <v>149</v>
      </c>
      <c r="BT41">
        <v>3</v>
      </c>
      <c r="BU41">
        <v>0.88888888888888795</v>
      </c>
      <c r="BV41" t="s">
        <v>135</v>
      </c>
      <c r="BW41">
        <v>3</v>
      </c>
      <c r="BX41">
        <v>1.1635565312842999</v>
      </c>
      <c r="BY41" t="s">
        <v>135</v>
      </c>
      <c r="BZ41">
        <v>3</v>
      </c>
      <c r="CA41">
        <v>1.1981132075471601</v>
      </c>
      <c r="CB41" t="s">
        <v>104</v>
      </c>
      <c r="CC41">
        <v>2</v>
      </c>
      <c r="CD41">
        <v>1.33510638297872</v>
      </c>
      <c r="CE41" t="s">
        <v>128</v>
      </c>
      <c r="CF41">
        <v>3</v>
      </c>
      <c r="CG41">
        <v>1.2755905511811001</v>
      </c>
      <c r="CH41" t="s">
        <v>135</v>
      </c>
      <c r="CI41">
        <v>3</v>
      </c>
      <c r="CJ41">
        <v>1.17210682492581</v>
      </c>
      <c r="CK41" t="s">
        <v>143</v>
      </c>
      <c r="CL41">
        <v>2</v>
      </c>
      <c r="CM41">
        <v>0.94133697135061301</v>
      </c>
      <c r="CN41" t="s">
        <v>149</v>
      </c>
      <c r="CO41">
        <v>3</v>
      </c>
      <c r="CP41">
        <v>1.0096153846153799</v>
      </c>
      <c r="CQ41" t="s">
        <v>114</v>
      </c>
      <c r="CR41">
        <v>2</v>
      </c>
      <c r="CS41">
        <v>0.89664310954063597</v>
      </c>
      <c r="CT41" t="s">
        <v>163</v>
      </c>
      <c r="CU41">
        <v>2</v>
      </c>
      <c r="CV41">
        <v>0.98065476190476097</v>
      </c>
      <c r="CW41" t="s">
        <v>119</v>
      </c>
      <c r="CX41">
        <v>2</v>
      </c>
      <c r="CY41">
        <v>0.96174863387978105</v>
      </c>
      <c r="CZ41" t="s">
        <v>146</v>
      </c>
      <c r="DA41">
        <v>3</v>
      </c>
      <c r="DB41">
        <v>0.73825503355704702</v>
      </c>
      <c r="DC41" t="s">
        <v>149</v>
      </c>
      <c r="DD41">
        <v>3</v>
      </c>
      <c r="DE41">
        <v>1.0719512195121901</v>
      </c>
      <c r="DF41" t="s">
        <v>149</v>
      </c>
      <c r="DG41">
        <v>3</v>
      </c>
      <c r="DH41">
        <v>1.032992036405</v>
      </c>
    </row>
    <row r="42" spans="1:112" x14ac:dyDescent="0.4">
      <c r="A42">
        <v>40</v>
      </c>
      <c r="B42" t="s">
        <v>127</v>
      </c>
      <c r="C42">
        <v>2</v>
      </c>
      <c r="D42">
        <v>0.99272197962154296</v>
      </c>
      <c r="E42" t="s">
        <v>132</v>
      </c>
      <c r="F42">
        <v>3</v>
      </c>
      <c r="G42">
        <v>0.93817203674745597</v>
      </c>
      <c r="H42" t="s">
        <v>120</v>
      </c>
      <c r="I42">
        <v>2</v>
      </c>
      <c r="J42">
        <v>0.73958333333333304</v>
      </c>
      <c r="K42" t="s">
        <v>106</v>
      </c>
      <c r="L42">
        <v>1</v>
      </c>
      <c r="M42">
        <v>1.11328125</v>
      </c>
      <c r="N42" t="s">
        <v>120</v>
      </c>
      <c r="O42">
        <v>2</v>
      </c>
      <c r="P42">
        <v>1.4032258064516101</v>
      </c>
      <c r="Q42" t="s">
        <v>143</v>
      </c>
      <c r="R42">
        <v>2</v>
      </c>
      <c r="S42">
        <v>0.92074592074591999</v>
      </c>
      <c r="T42" t="s">
        <v>147</v>
      </c>
      <c r="U42">
        <v>2</v>
      </c>
      <c r="V42">
        <v>0.85823765960807097</v>
      </c>
      <c r="W42" t="s">
        <v>133</v>
      </c>
      <c r="X42">
        <v>3</v>
      </c>
      <c r="Y42">
        <v>0.91717791411042904</v>
      </c>
      <c r="Z42" t="s">
        <v>109</v>
      </c>
      <c r="AA42">
        <v>2</v>
      </c>
      <c r="AB42">
        <v>1.11392405063291</v>
      </c>
      <c r="AC42" t="s">
        <v>104</v>
      </c>
      <c r="AD42">
        <v>2</v>
      </c>
      <c r="AE42">
        <v>0.85543766578249303</v>
      </c>
      <c r="AF42" t="s">
        <v>120</v>
      </c>
      <c r="AG42">
        <v>2</v>
      </c>
      <c r="AH42">
        <v>1.10330578512396</v>
      </c>
      <c r="AI42" t="s">
        <v>112</v>
      </c>
      <c r="AJ42">
        <v>2</v>
      </c>
      <c r="AK42">
        <v>1.0102415795081401</v>
      </c>
      <c r="AL42" t="s">
        <v>143</v>
      </c>
      <c r="AM42">
        <v>2</v>
      </c>
      <c r="AN42">
        <v>1.26657060518731</v>
      </c>
      <c r="AO42" t="s">
        <v>139</v>
      </c>
      <c r="AP42">
        <v>3</v>
      </c>
      <c r="AQ42">
        <v>1.08411214953271</v>
      </c>
      <c r="AR42" t="s">
        <v>143</v>
      </c>
      <c r="AS42">
        <v>2</v>
      </c>
      <c r="AT42">
        <v>0.79582366589327103</v>
      </c>
      <c r="AU42" t="s">
        <v>146</v>
      </c>
      <c r="AV42">
        <v>3</v>
      </c>
      <c r="AW42">
        <v>1.43867991149192</v>
      </c>
      <c r="AX42" t="s">
        <v>128</v>
      </c>
      <c r="AY42">
        <v>3</v>
      </c>
      <c r="AZ42">
        <v>0.88094665062174005</v>
      </c>
      <c r="BA42" t="s">
        <v>143</v>
      </c>
      <c r="BB42">
        <v>2</v>
      </c>
      <c r="BC42">
        <v>0.93052631578947298</v>
      </c>
      <c r="BD42" t="s">
        <v>117</v>
      </c>
      <c r="BE42">
        <v>3</v>
      </c>
      <c r="BF42">
        <v>1.3179012345679</v>
      </c>
      <c r="BG42" t="s">
        <v>152</v>
      </c>
      <c r="BH42">
        <v>2</v>
      </c>
      <c r="BI42">
        <v>0.91995221027479002</v>
      </c>
      <c r="BJ42" t="s">
        <v>133</v>
      </c>
      <c r="BK42">
        <v>3</v>
      </c>
      <c r="BL42">
        <v>1.0071942446043101</v>
      </c>
      <c r="BM42" t="s">
        <v>124</v>
      </c>
      <c r="BN42">
        <v>3</v>
      </c>
      <c r="BO42">
        <v>1.0349794238683101</v>
      </c>
      <c r="BP42" t="s">
        <v>104</v>
      </c>
      <c r="BQ42">
        <v>2</v>
      </c>
      <c r="BR42">
        <v>0.84782608695652095</v>
      </c>
      <c r="BS42" t="s">
        <v>143</v>
      </c>
      <c r="BT42">
        <v>2</v>
      </c>
      <c r="BU42">
        <v>1.2602579132473599</v>
      </c>
      <c r="BV42" t="s">
        <v>149</v>
      </c>
      <c r="BW42">
        <v>3</v>
      </c>
      <c r="BX42">
        <v>1.1886363636363599</v>
      </c>
      <c r="BY42" t="s">
        <v>144</v>
      </c>
      <c r="BZ42">
        <v>3</v>
      </c>
      <c r="CA42">
        <v>0.86483984447324502</v>
      </c>
      <c r="CB42" t="s">
        <v>135</v>
      </c>
      <c r="CC42">
        <v>3</v>
      </c>
      <c r="CD42">
        <v>0.87401574803149595</v>
      </c>
      <c r="CE42" t="s">
        <v>135</v>
      </c>
      <c r="CF42">
        <v>3</v>
      </c>
      <c r="CG42">
        <v>1.5180180180180101</v>
      </c>
      <c r="CH42" t="s">
        <v>126</v>
      </c>
      <c r="CI42">
        <v>2</v>
      </c>
      <c r="CJ42">
        <v>1.1125</v>
      </c>
      <c r="CK42" t="s">
        <v>146</v>
      </c>
      <c r="CL42">
        <v>3</v>
      </c>
      <c r="CM42">
        <v>1.16172506738544</v>
      </c>
      <c r="CN42" t="s">
        <v>143</v>
      </c>
      <c r="CO42">
        <v>2</v>
      </c>
      <c r="CP42">
        <v>0.81014492753623102</v>
      </c>
      <c r="CQ42" t="s">
        <v>116</v>
      </c>
      <c r="CR42">
        <v>2</v>
      </c>
      <c r="CS42">
        <v>0.79911504424778701</v>
      </c>
      <c r="CT42" t="s">
        <v>169</v>
      </c>
      <c r="CU42">
        <v>2</v>
      </c>
      <c r="CV42">
        <v>0.87616897774911295</v>
      </c>
      <c r="CW42" t="s">
        <v>159</v>
      </c>
      <c r="CX42">
        <v>2</v>
      </c>
      <c r="CY42">
        <v>1.1404056162246401</v>
      </c>
      <c r="CZ42" t="s">
        <v>152</v>
      </c>
      <c r="DA42">
        <v>3</v>
      </c>
      <c r="DB42">
        <v>1.0888888888888799</v>
      </c>
      <c r="DC42" t="s">
        <v>147</v>
      </c>
      <c r="DD42">
        <v>2</v>
      </c>
      <c r="DE42">
        <v>1.06321839080459</v>
      </c>
      <c r="DF42" t="s">
        <v>147</v>
      </c>
      <c r="DG42">
        <v>2</v>
      </c>
      <c r="DH42">
        <v>1.1621621621621601</v>
      </c>
    </row>
    <row r="43" spans="1:112" x14ac:dyDescent="0.4">
      <c r="A43">
        <v>41</v>
      </c>
      <c r="B43" t="s">
        <v>128</v>
      </c>
      <c r="C43">
        <v>2</v>
      </c>
      <c r="D43">
        <v>0.99170193807083895</v>
      </c>
      <c r="E43" t="s">
        <v>135</v>
      </c>
      <c r="F43">
        <v>2</v>
      </c>
      <c r="G43">
        <v>0.58701298701298699</v>
      </c>
      <c r="H43" t="s">
        <v>124</v>
      </c>
      <c r="I43">
        <v>2</v>
      </c>
      <c r="J43">
        <v>0.69127516778523401</v>
      </c>
      <c r="K43" t="s">
        <v>128</v>
      </c>
      <c r="L43">
        <v>2</v>
      </c>
      <c r="M43">
        <v>1.14993261455525</v>
      </c>
      <c r="N43" t="s">
        <v>124</v>
      </c>
      <c r="O43">
        <v>2</v>
      </c>
      <c r="P43">
        <v>1.7751091703056701</v>
      </c>
      <c r="Q43" t="s">
        <v>146</v>
      </c>
      <c r="R43">
        <v>2</v>
      </c>
      <c r="S43">
        <v>0.89455601258165895</v>
      </c>
      <c r="T43" t="s">
        <v>143</v>
      </c>
      <c r="U43">
        <v>2</v>
      </c>
      <c r="V43">
        <v>0.816455696202531</v>
      </c>
      <c r="W43" t="s">
        <v>109</v>
      </c>
      <c r="X43">
        <v>2</v>
      </c>
      <c r="Y43">
        <v>0.78737541528239197</v>
      </c>
      <c r="Z43" t="s">
        <v>143</v>
      </c>
      <c r="AA43">
        <v>2</v>
      </c>
      <c r="AB43">
        <v>1.0825688073394399</v>
      </c>
      <c r="AC43" t="s">
        <v>106</v>
      </c>
      <c r="AD43">
        <v>1</v>
      </c>
      <c r="AE43">
        <v>1.0623885918003499</v>
      </c>
      <c r="AF43" t="s">
        <v>124</v>
      </c>
      <c r="AG43">
        <v>2</v>
      </c>
      <c r="AH43">
        <v>0.90693739424703801</v>
      </c>
      <c r="AI43" t="s">
        <v>102</v>
      </c>
      <c r="AJ43">
        <v>2</v>
      </c>
      <c r="AK43">
        <v>0.93905431637548897</v>
      </c>
      <c r="AL43" t="s">
        <v>146</v>
      </c>
      <c r="AM43">
        <v>3</v>
      </c>
      <c r="AN43">
        <v>0.80789058838566696</v>
      </c>
      <c r="AO43" t="s">
        <v>149</v>
      </c>
      <c r="AP43">
        <v>3</v>
      </c>
      <c r="AQ43">
        <v>0.71410736579275902</v>
      </c>
      <c r="AR43" t="s">
        <v>146</v>
      </c>
      <c r="AS43">
        <v>3</v>
      </c>
      <c r="AT43">
        <v>0.97471549192364104</v>
      </c>
      <c r="AU43" t="s">
        <v>152</v>
      </c>
      <c r="AV43">
        <v>2</v>
      </c>
      <c r="AW43">
        <v>1.07490636704119</v>
      </c>
      <c r="AX43" t="s">
        <v>133</v>
      </c>
      <c r="AY43">
        <v>2</v>
      </c>
      <c r="AZ43">
        <v>1.02583025830258</v>
      </c>
      <c r="BA43" t="s">
        <v>146</v>
      </c>
      <c r="BB43">
        <v>2</v>
      </c>
      <c r="BC43">
        <v>0.79361702127659495</v>
      </c>
      <c r="BD43" t="s">
        <v>152</v>
      </c>
      <c r="BE43">
        <v>2</v>
      </c>
      <c r="BF43">
        <v>1.0048019207683001</v>
      </c>
      <c r="BG43" t="s">
        <v>154</v>
      </c>
      <c r="BH43">
        <v>3</v>
      </c>
      <c r="BI43">
        <v>1.0463659147869599</v>
      </c>
      <c r="BJ43" t="s">
        <v>143</v>
      </c>
      <c r="BK43">
        <v>2</v>
      </c>
      <c r="BL43">
        <v>1.33663366336633</v>
      </c>
      <c r="BM43" t="s">
        <v>130</v>
      </c>
      <c r="BN43">
        <v>3</v>
      </c>
      <c r="BO43">
        <v>0.89434889434889397</v>
      </c>
      <c r="BP43" t="s">
        <v>128</v>
      </c>
      <c r="BQ43">
        <v>2</v>
      </c>
      <c r="BR43">
        <v>1.1451676014086301</v>
      </c>
      <c r="BS43" t="s">
        <v>146</v>
      </c>
      <c r="BT43">
        <v>2</v>
      </c>
      <c r="BU43">
        <v>0.97288359788359702</v>
      </c>
      <c r="BV43" t="s">
        <v>143</v>
      </c>
      <c r="BW43">
        <v>2</v>
      </c>
      <c r="BX43">
        <v>1.2</v>
      </c>
      <c r="BY43" t="s">
        <v>149</v>
      </c>
      <c r="BZ43">
        <v>3</v>
      </c>
      <c r="CA43">
        <v>1.3403441682600299</v>
      </c>
      <c r="CB43" t="s">
        <v>144</v>
      </c>
      <c r="CC43">
        <v>3</v>
      </c>
      <c r="CD43">
        <v>0.753157782059516</v>
      </c>
      <c r="CE43" t="s">
        <v>149</v>
      </c>
      <c r="CF43">
        <v>3</v>
      </c>
      <c r="CG43">
        <v>0.95101351351351304</v>
      </c>
      <c r="CH43" t="s">
        <v>144</v>
      </c>
      <c r="CI43">
        <v>3</v>
      </c>
      <c r="CJ43">
        <v>1.30300429184549</v>
      </c>
      <c r="CK43" t="s">
        <v>154</v>
      </c>
      <c r="CL43">
        <v>2</v>
      </c>
      <c r="CM43">
        <v>1.0873015873015801</v>
      </c>
      <c r="CN43" t="s">
        <v>146</v>
      </c>
      <c r="CO43">
        <v>3</v>
      </c>
      <c r="CP43">
        <v>0.66589327146171695</v>
      </c>
      <c r="CQ43" t="s">
        <v>119</v>
      </c>
      <c r="CR43">
        <v>2</v>
      </c>
      <c r="CS43">
        <v>1.1907428144830099</v>
      </c>
      <c r="CT43" t="s">
        <v>171</v>
      </c>
      <c r="CU43">
        <v>2</v>
      </c>
      <c r="CV43">
        <v>0.88655462184873901</v>
      </c>
      <c r="CW43" t="s">
        <v>166</v>
      </c>
      <c r="CX43">
        <v>3</v>
      </c>
      <c r="CY43">
        <v>0.98113207547169801</v>
      </c>
      <c r="CZ43" t="s">
        <v>154</v>
      </c>
      <c r="DA43">
        <v>2</v>
      </c>
      <c r="DB43">
        <v>1.0640000000000001</v>
      </c>
      <c r="DC43" t="s">
        <v>143</v>
      </c>
      <c r="DD43">
        <v>3</v>
      </c>
      <c r="DE43">
        <v>1.2947976878612699</v>
      </c>
      <c r="DF43" t="s">
        <v>143</v>
      </c>
      <c r="DG43">
        <v>3</v>
      </c>
      <c r="DH43">
        <v>0.85178571428571404</v>
      </c>
    </row>
    <row r="44" spans="1:112" x14ac:dyDescent="0.4">
      <c r="A44">
        <v>42</v>
      </c>
      <c r="B44" t="s">
        <v>132</v>
      </c>
      <c r="C44">
        <v>3</v>
      </c>
      <c r="D44">
        <v>1.1588785631437899</v>
      </c>
      <c r="E44" t="s">
        <v>138</v>
      </c>
      <c r="F44">
        <v>2</v>
      </c>
      <c r="G44">
        <v>0.67758770515411604</v>
      </c>
      <c r="H44" t="s">
        <v>127</v>
      </c>
      <c r="I44">
        <v>2</v>
      </c>
      <c r="J44">
        <v>0.680851063829787</v>
      </c>
      <c r="K44" t="s">
        <v>126</v>
      </c>
      <c r="L44">
        <v>2</v>
      </c>
      <c r="M44">
        <v>1.02755905511811</v>
      </c>
      <c r="N44" t="s">
        <v>104</v>
      </c>
      <c r="O44">
        <v>2</v>
      </c>
      <c r="P44">
        <v>1.06451612903225</v>
      </c>
      <c r="Q44" t="s">
        <v>152</v>
      </c>
      <c r="R44">
        <v>2</v>
      </c>
      <c r="S44">
        <v>1.0122324159021401</v>
      </c>
      <c r="T44" t="s">
        <v>146</v>
      </c>
      <c r="U44">
        <v>2</v>
      </c>
      <c r="V44">
        <v>0.75473331169533697</v>
      </c>
      <c r="W44" t="s">
        <v>147</v>
      </c>
      <c r="X44">
        <v>2</v>
      </c>
      <c r="Y44">
        <v>0.38348357360452001</v>
      </c>
      <c r="Z44" t="s">
        <v>146</v>
      </c>
      <c r="AA44">
        <v>2</v>
      </c>
      <c r="AB44">
        <v>0.81537113032391695</v>
      </c>
      <c r="AC44" t="s">
        <v>128</v>
      </c>
      <c r="AD44">
        <v>2</v>
      </c>
      <c r="AE44">
        <v>1.05843724636611</v>
      </c>
      <c r="AF44" t="s">
        <v>104</v>
      </c>
      <c r="AG44">
        <v>2</v>
      </c>
      <c r="AH44">
        <v>1.02325581395348</v>
      </c>
      <c r="AI44" t="s">
        <v>120</v>
      </c>
      <c r="AJ44">
        <v>2</v>
      </c>
      <c r="AK44">
        <v>0.94569288389513095</v>
      </c>
      <c r="AL44" t="s">
        <v>152</v>
      </c>
      <c r="AM44">
        <v>2</v>
      </c>
      <c r="AN44">
        <v>0.97943444730077101</v>
      </c>
      <c r="AO44" t="s">
        <v>143</v>
      </c>
      <c r="AP44">
        <v>2</v>
      </c>
      <c r="AQ44">
        <v>0.98065984072809997</v>
      </c>
      <c r="AR44" t="s">
        <v>152</v>
      </c>
      <c r="AS44">
        <v>2</v>
      </c>
      <c r="AT44">
        <v>1.02298850574712</v>
      </c>
      <c r="AU44" t="s">
        <v>154</v>
      </c>
      <c r="AV44">
        <v>2</v>
      </c>
      <c r="AW44">
        <v>0.99051008303677301</v>
      </c>
      <c r="AX44" t="s">
        <v>140</v>
      </c>
      <c r="AY44">
        <v>3</v>
      </c>
      <c r="AZ44">
        <v>0.94568690095846597</v>
      </c>
      <c r="BA44" t="s">
        <v>117</v>
      </c>
      <c r="BB44">
        <v>3</v>
      </c>
      <c r="BC44">
        <v>1.08</v>
      </c>
      <c r="BD44" t="s">
        <v>154</v>
      </c>
      <c r="BE44">
        <v>3</v>
      </c>
      <c r="BF44">
        <v>1.0754716981132</v>
      </c>
      <c r="BG44" t="s">
        <v>114</v>
      </c>
      <c r="BH44">
        <v>2</v>
      </c>
      <c r="BI44">
        <v>1.10813704496788</v>
      </c>
      <c r="BJ44" t="s">
        <v>146</v>
      </c>
      <c r="BK44">
        <v>2</v>
      </c>
      <c r="BL44">
        <v>1.12447123519458</v>
      </c>
      <c r="BM44" t="s">
        <v>104</v>
      </c>
      <c r="BN44">
        <v>2</v>
      </c>
      <c r="BO44">
        <v>0.85892116182572598</v>
      </c>
      <c r="BP44" t="s">
        <v>149</v>
      </c>
      <c r="BQ44">
        <v>3</v>
      </c>
      <c r="BR44">
        <v>0.92696629213483095</v>
      </c>
      <c r="BS44" t="s">
        <v>152</v>
      </c>
      <c r="BT44">
        <v>2</v>
      </c>
      <c r="BU44">
        <v>0.98956975228161603</v>
      </c>
      <c r="BV44" t="s">
        <v>146</v>
      </c>
      <c r="BW44">
        <v>2</v>
      </c>
      <c r="BX44">
        <v>0.74161053086953799</v>
      </c>
      <c r="BY44" t="s">
        <v>143</v>
      </c>
      <c r="BZ44">
        <v>2</v>
      </c>
      <c r="CA44">
        <v>0.724806201550387</v>
      </c>
      <c r="CB44" t="s">
        <v>149</v>
      </c>
      <c r="CC44">
        <v>3</v>
      </c>
      <c r="CD44">
        <v>0.844507845934379</v>
      </c>
      <c r="CE44" t="s">
        <v>143</v>
      </c>
      <c r="CF44">
        <v>2</v>
      </c>
      <c r="CG44">
        <v>0.97459584295612001</v>
      </c>
      <c r="CH44" t="s">
        <v>149</v>
      </c>
      <c r="CI44">
        <v>3</v>
      </c>
      <c r="CJ44">
        <v>0.97868561278863198</v>
      </c>
      <c r="CK44" t="s">
        <v>114</v>
      </c>
      <c r="CL44">
        <v>2</v>
      </c>
      <c r="CM44">
        <v>0.96431467964314599</v>
      </c>
      <c r="CN44" t="s">
        <v>154</v>
      </c>
      <c r="CO44">
        <v>2</v>
      </c>
      <c r="CP44">
        <v>0.76885644768856398</v>
      </c>
      <c r="CQ44" t="s">
        <v>159</v>
      </c>
      <c r="CR44">
        <v>2</v>
      </c>
      <c r="CS44">
        <v>0.99690880989180797</v>
      </c>
      <c r="CT44" t="s">
        <v>175</v>
      </c>
      <c r="CU44">
        <v>2</v>
      </c>
      <c r="CV44">
        <v>0.68989547038327503</v>
      </c>
      <c r="CW44" t="s">
        <v>123</v>
      </c>
      <c r="CX44">
        <v>2</v>
      </c>
      <c r="CY44">
        <v>1.1389678212118799</v>
      </c>
      <c r="CZ44" t="s">
        <v>114</v>
      </c>
      <c r="DA44">
        <v>2</v>
      </c>
      <c r="DB44">
        <v>1.06490384615384</v>
      </c>
      <c r="DC44" t="s">
        <v>146</v>
      </c>
      <c r="DD44">
        <v>3</v>
      </c>
      <c r="DE44">
        <v>1.35</v>
      </c>
      <c r="DF44" t="s">
        <v>146</v>
      </c>
      <c r="DG44">
        <v>3</v>
      </c>
      <c r="DH44">
        <v>0.96969696969696895</v>
      </c>
    </row>
    <row r="45" spans="1:112" x14ac:dyDescent="0.4">
      <c r="A45">
        <v>43</v>
      </c>
      <c r="B45" t="s">
        <v>135</v>
      </c>
      <c r="C45">
        <v>2</v>
      </c>
      <c r="D45">
        <v>0.83393501805054104</v>
      </c>
      <c r="E45" t="s">
        <v>133</v>
      </c>
      <c r="F45">
        <v>3</v>
      </c>
      <c r="G45">
        <v>0.976958525345622</v>
      </c>
      <c r="H45" t="s">
        <v>106</v>
      </c>
      <c r="I45">
        <v>1</v>
      </c>
      <c r="J45">
        <v>0.71309192200557103</v>
      </c>
      <c r="K45" t="s">
        <v>109</v>
      </c>
      <c r="L45">
        <v>2</v>
      </c>
      <c r="M45">
        <v>0.76506024096385505</v>
      </c>
      <c r="N45" t="s">
        <v>127</v>
      </c>
      <c r="O45">
        <v>2</v>
      </c>
      <c r="P45">
        <v>1.7958333333333301</v>
      </c>
      <c r="Q45" t="s">
        <v>154</v>
      </c>
      <c r="R45">
        <v>2</v>
      </c>
      <c r="S45">
        <v>1.03264604810996</v>
      </c>
      <c r="T45" t="s">
        <v>152</v>
      </c>
      <c r="U45">
        <v>2</v>
      </c>
      <c r="V45">
        <v>0.83987915407854896</v>
      </c>
      <c r="W45" t="s">
        <v>143</v>
      </c>
      <c r="X45">
        <v>2</v>
      </c>
      <c r="Y45">
        <v>1.01395348837209</v>
      </c>
      <c r="Z45" t="s">
        <v>117</v>
      </c>
      <c r="AA45">
        <v>2</v>
      </c>
      <c r="AB45">
        <v>0.96384270256004201</v>
      </c>
      <c r="AC45" t="s">
        <v>133</v>
      </c>
      <c r="AD45">
        <v>3</v>
      </c>
      <c r="AE45">
        <v>0.98854961832060995</v>
      </c>
      <c r="AF45" t="s">
        <v>106</v>
      </c>
      <c r="AG45">
        <v>1</v>
      </c>
      <c r="AH45">
        <v>1.1241610738254999</v>
      </c>
      <c r="AI45" t="s">
        <v>124</v>
      </c>
      <c r="AJ45">
        <v>2</v>
      </c>
      <c r="AK45">
        <v>0.85074626865671599</v>
      </c>
      <c r="AL45" t="s">
        <v>154</v>
      </c>
      <c r="AM45">
        <v>3</v>
      </c>
      <c r="AN45">
        <v>1.23949579831932</v>
      </c>
      <c r="AO45" t="s">
        <v>146</v>
      </c>
      <c r="AP45">
        <v>3</v>
      </c>
      <c r="AQ45">
        <v>1.14924586014133</v>
      </c>
      <c r="AR45" t="s">
        <v>154</v>
      </c>
      <c r="AS45">
        <v>2</v>
      </c>
      <c r="AT45">
        <v>0.98137369033760102</v>
      </c>
      <c r="AU45" t="s">
        <v>114</v>
      </c>
      <c r="AV45">
        <v>2</v>
      </c>
      <c r="AW45">
        <v>1.0314960629921199</v>
      </c>
      <c r="AX45" t="s">
        <v>143</v>
      </c>
      <c r="AY45">
        <v>2</v>
      </c>
      <c r="AZ45">
        <v>0.81196581196581197</v>
      </c>
      <c r="BA45" t="s">
        <v>152</v>
      </c>
      <c r="BB45">
        <v>2</v>
      </c>
      <c r="BC45">
        <v>1.12415654520917</v>
      </c>
      <c r="BD45" t="s">
        <v>114</v>
      </c>
      <c r="BE45">
        <v>2</v>
      </c>
      <c r="BF45">
        <v>1.0447427293064799</v>
      </c>
      <c r="BG45" t="s">
        <v>116</v>
      </c>
      <c r="BH45">
        <v>2</v>
      </c>
      <c r="BI45">
        <v>1.31900452488687</v>
      </c>
      <c r="BJ45" t="s">
        <v>152</v>
      </c>
      <c r="BK45">
        <v>2</v>
      </c>
      <c r="BL45">
        <v>1.02727272727272</v>
      </c>
      <c r="BM45" t="s">
        <v>106</v>
      </c>
      <c r="BN45">
        <v>1</v>
      </c>
      <c r="BO45">
        <v>1.2183406113537101</v>
      </c>
      <c r="BP45" t="s">
        <v>143</v>
      </c>
      <c r="BQ45">
        <v>2</v>
      </c>
      <c r="BR45">
        <v>0.86598984771573595</v>
      </c>
      <c r="BS45" t="s">
        <v>154</v>
      </c>
      <c r="BT45">
        <v>3</v>
      </c>
      <c r="BU45">
        <v>1.1578947368421</v>
      </c>
      <c r="BV45" t="s">
        <v>152</v>
      </c>
      <c r="BW45">
        <v>2</v>
      </c>
      <c r="BX45">
        <v>1.0540184453227901</v>
      </c>
      <c r="BY45" t="s">
        <v>146</v>
      </c>
      <c r="BZ45">
        <v>2</v>
      </c>
      <c r="CA45">
        <v>0.68583333333333296</v>
      </c>
      <c r="CB45" t="s">
        <v>143</v>
      </c>
      <c r="CC45">
        <v>2</v>
      </c>
      <c r="CD45">
        <v>0.92620320855614902</v>
      </c>
      <c r="CE45" t="s">
        <v>146</v>
      </c>
      <c r="CF45">
        <v>2</v>
      </c>
      <c r="CG45">
        <v>1.53521126760563</v>
      </c>
      <c r="CH45" t="s">
        <v>143</v>
      </c>
      <c r="CI45">
        <v>2</v>
      </c>
      <c r="CJ45">
        <v>0.868483412322274</v>
      </c>
      <c r="CK45" t="s">
        <v>160</v>
      </c>
      <c r="CL45">
        <v>3</v>
      </c>
      <c r="CM45">
        <v>0.72631208171891504</v>
      </c>
      <c r="CN45" t="s">
        <v>114</v>
      </c>
      <c r="CO45">
        <v>2</v>
      </c>
      <c r="CP45">
        <v>0.952060555088309</v>
      </c>
      <c r="CQ45" t="s">
        <v>166</v>
      </c>
      <c r="CR45">
        <v>3</v>
      </c>
      <c r="CS45">
        <v>0.94025157232704404</v>
      </c>
      <c r="CT45" t="s">
        <v>179</v>
      </c>
      <c r="CU45">
        <v>3</v>
      </c>
      <c r="CV45">
        <v>0.971830985915493</v>
      </c>
      <c r="CW45" t="s">
        <v>171</v>
      </c>
      <c r="CX45">
        <v>2</v>
      </c>
      <c r="CY45">
        <v>0.97156398104265396</v>
      </c>
      <c r="CZ45" t="s">
        <v>116</v>
      </c>
      <c r="DA45">
        <v>2</v>
      </c>
      <c r="DB45">
        <v>0.93187660668380401</v>
      </c>
      <c r="DC45" t="s">
        <v>161</v>
      </c>
      <c r="DD45">
        <v>3</v>
      </c>
      <c r="DE45">
        <v>0.95774647887323905</v>
      </c>
      <c r="DF45" t="s">
        <v>161</v>
      </c>
      <c r="DG45">
        <v>3</v>
      </c>
      <c r="DH45">
        <v>1.1094771241829999</v>
      </c>
    </row>
    <row r="46" spans="1:112" x14ac:dyDescent="0.4">
      <c r="A46">
        <v>44</v>
      </c>
      <c r="B46" t="s">
        <v>138</v>
      </c>
      <c r="C46">
        <v>2</v>
      </c>
      <c r="D46">
        <v>0.87481021899382105</v>
      </c>
      <c r="E46" t="s">
        <v>109</v>
      </c>
      <c r="F46">
        <v>2</v>
      </c>
      <c r="G46">
        <v>1.0691056910569099</v>
      </c>
      <c r="H46" t="s">
        <v>132</v>
      </c>
      <c r="I46">
        <v>3</v>
      </c>
      <c r="J46">
        <v>0.47277937327230402</v>
      </c>
      <c r="K46" t="s">
        <v>147</v>
      </c>
      <c r="L46">
        <v>1</v>
      </c>
      <c r="M46">
        <v>0.93999898531239601</v>
      </c>
      <c r="N46" t="s">
        <v>106</v>
      </c>
      <c r="O46">
        <v>1</v>
      </c>
      <c r="P46">
        <v>1.42631578947368</v>
      </c>
      <c r="Q46" t="s">
        <v>114</v>
      </c>
      <c r="R46">
        <v>1</v>
      </c>
      <c r="S46">
        <v>1.1742424242424201</v>
      </c>
      <c r="T46" t="s">
        <v>154</v>
      </c>
      <c r="U46">
        <v>2</v>
      </c>
      <c r="V46">
        <v>0.97504159733776996</v>
      </c>
      <c r="W46" t="s">
        <v>146</v>
      </c>
      <c r="X46">
        <v>2</v>
      </c>
      <c r="Y46">
        <v>0.89947677752293498</v>
      </c>
      <c r="Z46" t="s">
        <v>152</v>
      </c>
      <c r="AA46">
        <v>2</v>
      </c>
      <c r="AB46">
        <v>1.3485714285714201</v>
      </c>
      <c r="AC46" t="s">
        <v>109</v>
      </c>
      <c r="AD46">
        <v>2</v>
      </c>
      <c r="AE46">
        <v>1.2916666666666601</v>
      </c>
      <c r="AF46" t="s">
        <v>128</v>
      </c>
      <c r="AG46">
        <v>2</v>
      </c>
      <c r="AH46">
        <v>1.01380271871732</v>
      </c>
      <c r="AI46" t="s">
        <v>104</v>
      </c>
      <c r="AJ46">
        <v>2</v>
      </c>
      <c r="AK46">
        <v>0.90909090909090895</v>
      </c>
      <c r="AL46" t="s">
        <v>114</v>
      </c>
      <c r="AM46">
        <v>2</v>
      </c>
      <c r="AN46">
        <v>1.5656652360515</v>
      </c>
      <c r="AO46" t="s">
        <v>152</v>
      </c>
      <c r="AP46">
        <v>2</v>
      </c>
      <c r="AQ46">
        <v>1.02755905511811</v>
      </c>
      <c r="AR46" t="s">
        <v>114</v>
      </c>
      <c r="AS46">
        <v>2</v>
      </c>
      <c r="AT46">
        <v>0.90779127948534599</v>
      </c>
      <c r="AU46" t="s">
        <v>116</v>
      </c>
      <c r="AV46">
        <v>2</v>
      </c>
      <c r="AW46">
        <v>1.2515644555694601</v>
      </c>
      <c r="AX46" t="s">
        <v>117</v>
      </c>
      <c r="AY46">
        <v>2</v>
      </c>
      <c r="AZ46">
        <v>0.95816033216224805</v>
      </c>
      <c r="BA46" t="s">
        <v>154</v>
      </c>
      <c r="BB46">
        <v>3</v>
      </c>
      <c r="BC46">
        <v>1.0363128491620099</v>
      </c>
      <c r="BD46" t="s">
        <v>116</v>
      </c>
      <c r="BE46">
        <v>2</v>
      </c>
      <c r="BF46">
        <v>1.2701149425287299</v>
      </c>
      <c r="BG46" t="s">
        <v>119</v>
      </c>
      <c r="BH46">
        <v>2</v>
      </c>
      <c r="BI46">
        <v>1.5121345308618299</v>
      </c>
      <c r="BJ46" t="s">
        <v>154</v>
      </c>
      <c r="BK46">
        <v>3</v>
      </c>
      <c r="BL46">
        <v>1.3712574850299399</v>
      </c>
      <c r="BM46" t="s">
        <v>128</v>
      </c>
      <c r="BN46">
        <v>2</v>
      </c>
      <c r="BO46">
        <v>0.94223915447953699</v>
      </c>
      <c r="BP46" t="s">
        <v>146</v>
      </c>
      <c r="BQ46">
        <v>2</v>
      </c>
      <c r="BR46">
        <v>0.75281763454487804</v>
      </c>
      <c r="BS46" t="s">
        <v>114</v>
      </c>
      <c r="BT46">
        <v>2</v>
      </c>
      <c r="BU46">
        <v>1.16526845637583</v>
      </c>
      <c r="BV46" t="s">
        <v>154</v>
      </c>
      <c r="BW46">
        <v>3</v>
      </c>
      <c r="BX46">
        <v>1.0340909090909001</v>
      </c>
      <c r="BY46" t="s">
        <v>152</v>
      </c>
      <c r="BZ46">
        <v>3</v>
      </c>
      <c r="CA46">
        <v>1.1000000000000001</v>
      </c>
      <c r="CB46" t="s">
        <v>146</v>
      </c>
      <c r="CC46">
        <v>2</v>
      </c>
      <c r="CD46">
        <v>0.862697448359659</v>
      </c>
      <c r="CE46" t="s">
        <v>152</v>
      </c>
      <c r="CF46">
        <v>3</v>
      </c>
      <c r="CG46">
        <v>1.19587628865979</v>
      </c>
      <c r="CH46" t="s">
        <v>146</v>
      </c>
      <c r="CI46">
        <v>2</v>
      </c>
      <c r="CJ46">
        <v>1.7018348623853199</v>
      </c>
      <c r="CK46" t="s">
        <v>116</v>
      </c>
      <c r="CL46">
        <v>2</v>
      </c>
      <c r="CM46">
        <v>0.89619377162629699</v>
      </c>
      <c r="CN46" t="s">
        <v>116</v>
      </c>
      <c r="CO46">
        <v>2</v>
      </c>
      <c r="CP46">
        <v>0.87258687258687195</v>
      </c>
      <c r="CQ46" t="s">
        <v>169</v>
      </c>
      <c r="CR46">
        <v>2</v>
      </c>
      <c r="CS46">
        <v>0.89314516129032195</v>
      </c>
      <c r="CT46" t="s">
        <v>182</v>
      </c>
      <c r="CU46">
        <v>3</v>
      </c>
      <c r="CV46">
        <v>1.0981524249422601</v>
      </c>
      <c r="CW46" t="s">
        <v>175</v>
      </c>
      <c r="CX46">
        <v>2</v>
      </c>
      <c r="CY46">
        <v>0.92020202020202002</v>
      </c>
      <c r="CZ46" t="s">
        <v>166</v>
      </c>
      <c r="DA46">
        <v>3</v>
      </c>
      <c r="DB46">
        <v>1.0128205128205101</v>
      </c>
      <c r="DC46" t="s">
        <v>152</v>
      </c>
      <c r="DD46">
        <v>3</v>
      </c>
      <c r="DE46">
        <v>1.04489795918367</v>
      </c>
      <c r="DF46" t="s">
        <v>154</v>
      </c>
      <c r="DG46">
        <v>2</v>
      </c>
      <c r="DH46">
        <v>1.02145922746781</v>
      </c>
    </row>
    <row r="47" spans="1:112" x14ac:dyDescent="0.4">
      <c r="A47">
        <v>45</v>
      </c>
      <c r="B47" t="s">
        <v>133</v>
      </c>
      <c r="C47">
        <v>3</v>
      </c>
      <c r="D47">
        <v>0.99541284403669705</v>
      </c>
      <c r="E47" t="s">
        <v>143</v>
      </c>
      <c r="F47">
        <v>2</v>
      </c>
      <c r="G47">
        <v>0.99842519685039299</v>
      </c>
      <c r="H47" t="s">
        <v>138</v>
      </c>
      <c r="I47">
        <v>2</v>
      </c>
      <c r="J47">
        <v>0.38040828486207001</v>
      </c>
      <c r="K47" t="s">
        <v>143</v>
      </c>
      <c r="L47">
        <v>2</v>
      </c>
      <c r="M47">
        <v>0.99354613640327905</v>
      </c>
      <c r="N47" t="s">
        <v>128</v>
      </c>
      <c r="O47">
        <v>2</v>
      </c>
      <c r="P47">
        <v>0.96740404336360897</v>
      </c>
      <c r="Q47" t="s">
        <v>116</v>
      </c>
      <c r="R47">
        <v>2</v>
      </c>
      <c r="S47">
        <v>0.98835705045278099</v>
      </c>
      <c r="T47" t="s">
        <v>114</v>
      </c>
      <c r="U47">
        <v>1</v>
      </c>
      <c r="V47">
        <v>0.891612903225806</v>
      </c>
      <c r="W47" t="s">
        <v>152</v>
      </c>
      <c r="X47">
        <v>2</v>
      </c>
      <c r="Y47">
        <v>1.2589928057553901</v>
      </c>
      <c r="Z47" t="s">
        <v>154</v>
      </c>
      <c r="AA47">
        <v>2</v>
      </c>
      <c r="AB47">
        <v>1.34146341463414</v>
      </c>
      <c r="AC47" t="s">
        <v>143</v>
      </c>
      <c r="AD47">
        <v>2</v>
      </c>
      <c r="AE47">
        <v>1.13418079096045</v>
      </c>
      <c r="AF47" t="s">
        <v>133</v>
      </c>
      <c r="AG47">
        <v>3</v>
      </c>
      <c r="AH47">
        <v>1.12355212355212</v>
      </c>
      <c r="AI47" t="s">
        <v>106</v>
      </c>
      <c r="AJ47">
        <v>1</v>
      </c>
      <c r="AK47">
        <v>0.93582089552238801</v>
      </c>
      <c r="AL47" t="s">
        <v>116</v>
      </c>
      <c r="AM47">
        <v>2</v>
      </c>
      <c r="AN47">
        <v>0.93040293040292998</v>
      </c>
      <c r="AO47" t="s">
        <v>154</v>
      </c>
      <c r="AP47">
        <v>2</v>
      </c>
      <c r="AQ47">
        <v>0.72796610169491505</v>
      </c>
      <c r="AR47" t="s">
        <v>116</v>
      </c>
      <c r="AS47">
        <v>2</v>
      </c>
      <c r="AT47">
        <v>0.83229166666666599</v>
      </c>
      <c r="AU47" t="s">
        <v>119</v>
      </c>
      <c r="AV47">
        <v>2</v>
      </c>
      <c r="AW47">
        <v>1.3422655298416499</v>
      </c>
      <c r="AX47" t="s">
        <v>152</v>
      </c>
      <c r="AY47">
        <v>2</v>
      </c>
      <c r="AZ47">
        <v>0.86062717770034802</v>
      </c>
      <c r="BA47" t="s">
        <v>173</v>
      </c>
      <c r="BB47">
        <v>2</v>
      </c>
      <c r="BC47">
        <v>1.0627906976744099</v>
      </c>
      <c r="BD47" t="s">
        <v>119</v>
      </c>
      <c r="BE47">
        <v>2</v>
      </c>
      <c r="BF47">
        <v>1.0623223710921601</v>
      </c>
      <c r="BG47" t="s">
        <v>159</v>
      </c>
      <c r="BH47">
        <v>2</v>
      </c>
      <c r="BI47">
        <v>1.09313725490196</v>
      </c>
      <c r="BJ47" t="s">
        <v>114</v>
      </c>
      <c r="BK47">
        <v>2</v>
      </c>
      <c r="BL47">
        <v>1.0135265700483</v>
      </c>
      <c r="BM47" t="s">
        <v>126</v>
      </c>
      <c r="BN47">
        <v>2</v>
      </c>
      <c r="BO47">
        <v>0.98993963782696104</v>
      </c>
      <c r="BP47" t="s">
        <v>152</v>
      </c>
      <c r="BQ47">
        <v>2</v>
      </c>
      <c r="BR47">
        <v>0.96477987421383604</v>
      </c>
      <c r="BS47" t="s">
        <v>116</v>
      </c>
      <c r="BT47">
        <v>2</v>
      </c>
      <c r="BU47">
        <v>1.1957730812013301</v>
      </c>
      <c r="BV47" t="s">
        <v>114</v>
      </c>
      <c r="BW47">
        <v>2</v>
      </c>
      <c r="BX47">
        <v>0.920086393088552</v>
      </c>
      <c r="BY47" t="s">
        <v>154</v>
      </c>
      <c r="BZ47">
        <v>2</v>
      </c>
      <c r="CA47">
        <v>1.1428571428571399</v>
      </c>
      <c r="CB47" t="s">
        <v>152</v>
      </c>
      <c r="CC47">
        <v>3</v>
      </c>
      <c r="CD47">
        <v>1.10227272727272</v>
      </c>
      <c r="CE47" t="s">
        <v>154</v>
      </c>
      <c r="CF47">
        <v>2</v>
      </c>
      <c r="CG47">
        <v>1.03142857142857</v>
      </c>
      <c r="CH47" t="s">
        <v>154</v>
      </c>
      <c r="CI47">
        <v>2</v>
      </c>
      <c r="CJ47">
        <v>1.04709141274238</v>
      </c>
      <c r="CK47" t="s">
        <v>159</v>
      </c>
      <c r="CL47">
        <v>2</v>
      </c>
      <c r="CM47">
        <v>0.76987447698744704</v>
      </c>
      <c r="CN47" t="s">
        <v>159</v>
      </c>
      <c r="CO47">
        <v>2</v>
      </c>
      <c r="CP47">
        <v>0.87907608695652095</v>
      </c>
      <c r="CQ47" t="s">
        <v>171</v>
      </c>
      <c r="CR47">
        <v>2</v>
      </c>
      <c r="CS47">
        <v>1.08181818181818</v>
      </c>
      <c r="CT47" t="s">
        <v>181</v>
      </c>
      <c r="CU47">
        <v>2</v>
      </c>
      <c r="CV47">
        <v>0.984615384615384</v>
      </c>
      <c r="CW47" t="s">
        <v>179</v>
      </c>
      <c r="CX47">
        <v>3</v>
      </c>
      <c r="CY47">
        <v>0.92546583850931596</v>
      </c>
      <c r="CZ47" t="s">
        <v>171</v>
      </c>
      <c r="DA47">
        <v>2</v>
      </c>
      <c r="DB47">
        <v>1.0146341463414601</v>
      </c>
      <c r="DC47" t="s">
        <v>154</v>
      </c>
      <c r="DD47">
        <v>2</v>
      </c>
      <c r="DE47">
        <v>0.87593984962406002</v>
      </c>
      <c r="DF47" t="s">
        <v>114</v>
      </c>
      <c r="DG47">
        <v>2</v>
      </c>
      <c r="DH47">
        <v>1.1434511434511401</v>
      </c>
    </row>
    <row r="48" spans="1:112" x14ac:dyDescent="0.4">
      <c r="A48">
        <v>46</v>
      </c>
      <c r="B48" t="s">
        <v>109</v>
      </c>
      <c r="C48">
        <v>2</v>
      </c>
      <c r="D48">
        <v>0.89454545454545398</v>
      </c>
      <c r="E48" t="s">
        <v>146</v>
      </c>
      <c r="F48">
        <v>2</v>
      </c>
      <c r="G48">
        <v>0.72622261489880402</v>
      </c>
      <c r="H48" t="s">
        <v>133</v>
      </c>
      <c r="I48">
        <v>3</v>
      </c>
      <c r="J48">
        <v>0.52358490566037696</v>
      </c>
      <c r="K48" t="s">
        <v>117</v>
      </c>
      <c r="L48">
        <v>2</v>
      </c>
      <c r="M48">
        <v>1.1165624999999999</v>
      </c>
      <c r="N48" t="s">
        <v>126</v>
      </c>
      <c r="O48">
        <v>2</v>
      </c>
      <c r="P48">
        <v>1.17241379310344</v>
      </c>
      <c r="Q48" t="s">
        <v>159</v>
      </c>
      <c r="R48">
        <v>1</v>
      </c>
      <c r="S48">
        <v>1.22349974037534</v>
      </c>
      <c r="T48" t="s">
        <v>116</v>
      </c>
      <c r="U48">
        <v>2</v>
      </c>
      <c r="V48">
        <v>0.92539267015706805</v>
      </c>
      <c r="W48" t="s">
        <v>154</v>
      </c>
      <c r="X48">
        <v>2</v>
      </c>
      <c r="Y48">
        <v>1.0494880546075001</v>
      </c>
      <c r="Z48" t="s">
        <v>173</v>
      </c>
      <c r="AA48">
        <v>3</v>
      </c>
      <c r="AB48">
        <v>1.0672514619883</v>
      </c>
      <c r="AC48" t="s">
        <v>117</v>
      </c>
      <c r="AD48">
        <v>2</v>
      </c>
      <c r="AE48">
        <v>0.943592552026287</v>
      </c>
      <c r="AF48" t="s">
        <v>109</v>
      </c>
      <c r="AG48">
        <v>2</v>
      </c>
      <c r="AH48">
        <v>1.10850439882697</v>
      </c>
      <c r="AI48" t="s">
        <v>128</v>
      </c>
      <c r="AJ48">
        <v>2</v>
      </c>
      <c r="AK48">
        <v>0.86055146806023497</v>
      </c>
      <c r="AL48" t="s">
        <v>119</v>
      </c>
      <c r="AM48">
        <v>2</v>
      </c>
      <c r="AN48">
        <v>1.13173940949935</v>
      </c>
      <c r="AO48" t="s">
        <v>114</v>
      </c>
      <c r="AP48">
        <v>2</v>
      </c>
      <c r="AQ48">
        <v>0.76699561403508698</v>
      </c>
      <c r="AR48" t="s">
        <v>119</v>
      </c>
      <c r="AS48">
        <v>2</v>
      </c>
      <c r="AT48">
        <v>0.76987996999249797</v>
      </c>
      <c r="AU48" t="s">
        <v>159</v>
      </c>
      <c r="AV48">
        <v>1</v>
      </c>
      <c r="AW48">
        <v>1.2556818181818099</v>
      </c>
      <c r="AX48" t="s">
        <v>154</v>
      </c>
      <c r="AY48">
        <v>2</v>
      </c>
      <c r="AZ48">
        <v>0.85748502994011899</v>
      </c>
      <c r="BA48" t="s">
        <v>114</v>
      </c>
      <c r="BB48">
        <v>2</v>
      </c>
      <c r="BC48">
        <v>1.1316455696202501</v>
      </c>
      <c r="BD48" t="s">
        <v>159</v>
      </c>
      <c r="BE48">
        <v>2</v>
      </c>
      <c r="BF48">
        <v>0.96226415094339601</v>
      </c>
      <c r="BG48" t="s">
        <v>166</v>
      </c>
      <c r="BH48">
        <v>3</v>
      </c>
      <c r="BI48">
        <v>0.95348837209302295</v>
      </c>
      <c r="BJ48" t="s">
        <v>116</v>
      </c>
      <c r="BK48">
        <v>2</v>
      </c>
      <c r="BL48">
        <v>0.97770154373927898</v>
      </c>
      <c r="BM48" t="s">
        <v>133</v>
      </c>
      <c r="BN48">
        <v>3</v>
      </c>
      <c r="BO48">
        <v>0.98214285714285698</v>
      </c>
      <c r="BP48" t="s">
        <v>154</v>
      </c>
      <c r="BQ48">
        <v>3</v>
      </c>
      <c r="BR48">
        <v>0.92307692307692302</v>
      </c>
      <c r="BS48" t="s">
        <v>119</v>
      </c>
      <c r="BT48">
        <v>2</v>
      </c>
      <c r="BU48">
        <v>1.3855614119150199</v>
      </c>
      <c r="BV48" t="s">
        <v>160</v>
      </c>
      <c r="BW48">
        <v>3</v>
      </c>
      <c r="BX48">
        <v>1</v>
      </c>
      <c r="BY48" t="s">
        <v>114</v>
      </c>
      <c r="BZ48">
        <v>2</v>
      </c>
      <c r="CA48">
        <v>1.0187793427230001</v>
      </c>
      <c r="CB48" t="s">
        <v>154</v>
      </c>
      <c r="CC48">
        <v>2</v>
      </c>
      <c r="CD48">
        <v>1.12179487179487</v>
      </c>
      <c r="CE48" t="s">
        <v>114</v>
      </c>
      <c r="CF48">
        <v>2</v>
      </c>
      <c r="CG48">
        <v>0.97899159663865498</v>
      </c>
      <c r="CH48" t="s">
        <v>114</v>
      </c>
      <c r="CI48">
        <v>2</v>
      </c>
      <c r="CJ48">
        <v>1.0583690987124399</v>
      </c>
      <c r="CK48" t="s">
        <v>166</v>
      </c>
      <c r="CL48">
        <v>3</v>
      </c>
      <c r="CM48">
        <v>0.91582491582491499</v>
      </c>
      <c r="CN48" t="s">
        <v>166</v>
      </c>
      <c r="CO48">
        <v>3</v>
      </c>
      <c r="CP48">
        <v>1.16911764705882</v>
      </c>
      <c r="CQ48" t="s">
        <v>182</v>
      </c>
      <c r="CR48">
        <v>3</v>
      </c>
      <c r="CS48">
        <v>1.1102564102564101</v>
      </c>
      <c r="CT48" t="s">
        <v>184</v>
      </c>
      <c r="CU48">
        <v>3</v>
      </c>
      <c r="CV48">
        <v>1.09617373319544</v>
      </c>
      <c r="CW48" t="s">
        <v>182</v>
      </c>
      <c r="CX48">
        <v>3</v>
      </c>
      <c r="CY48">
        <v>0.92218717139852702</v>
      </c>
      <c r="CZ48" t="s">
        <v>175</v>
      </c>
      <c r="DA48">
        <v>2</v>
      </c>
      <c r="DB48">
        <v>0.99670691547749701</v>
      </c>
      <c r="DC48" t="s">
        <v>114</v>
      </c>
      <c r="DD48">
        <v>2</v>
      </c>
      <c r="DE48">
        <v>1.0857787810383699</v>
      </c>
      <c r="DF48" t="s">
        <v>116</v>
      </c>
      <c r="DG48">
        <v>2</v>
      </c>
      <c r="DH48">
        <v>1.4036996735582099</v>
      </c>
    </row>
    <row r="49" spans="1:112" x14ac:dyDescent="0.4">
      <c r="A49">
        <v>47</v>
      </c>
      <c r="B49" t="s">
        <v>144</v>
      </c>
      <c r="C49">
        <v>3</v>
      </c>
      <c r="D49">
        <v>0.90491484184914805</v>
      </c>
      <c r="E49" t="s">
        <v>117</v>
      </c>
      <c r="F49">
        <v>2</v>
      </c>
      <c r="G49">
        <v>0.71274738067520305</v>
      </c>
      <c r="H49" t="s">
        <v>156</v>
      </c>
      <c r="I49">
        <v>3</v>
      </c>
      <c r="J49">
        <v>0.5</v>
      </c>
      <c r="K49" t="s">
        <v>152</v>
      </c>
      <c r="L49">
        <v>2</v>
      </c>
      <c r="M49">
        <v>0.87694483734087603</v>
      </c>
      <c r="N49" t="s">
        <v>156</v>
      </c>
      <c r="O49">
        <v>3</v>
      </c>
      <c r="P49">
        <v>1.25103541543402</v>
      </c>
      <c r="Q49" t="s">
        <v>166</v>
      </c>
      <c r="R49">
        <v>2</v>
      </c>
      <c r="S49">
        <v>1.0526315789473599</v>
      </c>
      <c r="T49" t="s">
        <v>166</v>
      </c>
      <c r="U49">
        <v>2</v>
      </c>
      <c r="V49">
        <v>0.96666666666666601</v>
      </c>
      <c r="W49" t="s">
        <v>114</v>
      </c>
      <c r="X49">
        <v>1</v>
      </c>
      <c r="Y49">
        <v>0.95369030390737997</v>
      </c>
      <c r="Z49" t="s">
        <v>114</v>
      </c>
      <c r="AA49">
        <v>1</v>
      </c>
      <c r="AB49">
        <v>1.09256449165402</v>
      </c>
      <c r="AC49" t="s">
        <v>152</v>
      </c>
      <c r="AD49">
        <v>2</v>
      </c>
      <c r="AE49">
        <v>0.72669491525423702</v>
      </c>
      <c r="AF49" t="s">
        <v>143</v>
      </c>
      <c r="AG49">
        <v>2</v>
      </c>
      <c r="AH49">
        <v>1.20672478206724</v>
      </c>
      <c r="AI49" t="s">
        <v>143</v>
      </c>
      <c r="AJ49">
        <v>2</v>
      </c>
      <c r="AK49">
        <v>1.4324045407636701</v>
      </c>
      <c r="AL49" t="s">
        <v>159</v>
      </c>
      <c r="AM49">
        <v>1</v>
      </c>
      <c r="AN49">
        <v>0.94236311239193005</v>
      </c>
      <c r="AO49" t="s">
        <v>116</v>
      </c>
      <c r="AP49">
        <v>2</v>
      </c>
      <c r="AQ49">
        <v>0.94488188976377896</v>
      </c>
      <c r="AR49" t="s">
        <v>159</v>
      </c>
      <c r="AS49">
        <v>1</v>
      </c>
      <c r="AT49">
        <v>0.77821011673151697</v>
      </c>
      <c r="AU49" t="s">
        <v>166</v>
      </c>
      <c r="AV49">
        <v>3</v>
      </c>
      <c r="AW49">
        <v>1.11678832116788</v>
      </c>
      <c r="AX49" t="s">
        <v>114</v>
      </c>
      <c r="AY49">
        <v>2</v>
      </c>
      <c r="AZ49">
        <v>0.60305343511450304</v>
      </c>
      <c r="BA49" t="s">
        <v>116</v>
      </c>
      <c r="BB49">
        <v>2</v>
      </c>
      <c r="BC49">
        <v>1.08920187793427</v>
      </c>
      <c r="BD49" t="s">
        <v>166</v>
      </c>
      <c r="BE49">
        <v>3</v>
      </c>
      <c r="BF49">
        <v>0.97727272727272696</v>
      </c>
      <c r="BG49" t="s">
        <v>163</v>
      </c>
      <c r="BH49">
        <v>2</v>
      </c>
      <c r="BI49">
        <v>1.0727272727272701</v>
      </c>
      <c r="BJ49" t="s">
        <v>119</v>
      </c>
      <c r="BK49">
        <v>2</v>
      </c>
      <c r="BL49">
        <v>1.0337419436370501</v>
      </c>
      <c r="BM49" t="s">
        <v>149</v>
      </c>
      <c r="BN49">
        <v>3</v>
      </c>
      <c r="BO49">
        <v>1.2027027027027</v>
      </c>
      <c r="BP49" t="s">
        <v>114</v>
      </c>
      <c r="BQ49">
        <v>2</v>
      </c>
      <c r="BR49">
        <v>1.0311418685121101</v>
      </c>
      <c r="BS49" t="s">
        <v>159</v>
      </c>
      <c r="BT49">
        <v>2</v>
      </c>
      <c r="BU49">
        <v>1.13389830508474</v>
      </c>
      <c r="BV49" t="s">
        <v>116</v>
      </c>
      <c r="BW49">
        <v>2</v>
      </c>
      <c r="BX49">
        <v>1.0511627906976699</v>
      </c>
      <c r="BY49" t="s">
        <v>160</v>
      </c>
      <c r="BZ49">
        <v>3</v>
      </c>
      <c r="CA49">
        <v>1.40228013029315</v>
      </c>
      <c r="CB49" t="s">
        <v>114</v>
      </c>
      <c r="CC49">
        <v>2</v>
      </c>
      <c r="CD49">
        <v>0.91397849462365499</v>
      </c>
      <c r="CE49" t="s">
        <v>116</v>
      </c>
      <c r="CF49">
        <v>2</v>
      </c>
      <c r="CG49">
        <v>1.27067669172932</v>
      </c>
      <c r="CH49" t="s">
        <v>159</v>
      </c>
      <c r="CI49">
        <v>2</v>
      </c>
      <c r="CJ49">
        <v>1.24155844155844</v>
      </c>
      <c r="CK49" t="s">
        <v>123</v>
      </c>
      <c r="CL49">
        <v>1</v>
      </c>
      <c r="CM49">
        <v>0.82324015882615897</v>
      </c>
      <c r="CN49" t="s">
        <v>169</v>
      </c>
      <c r="CO49">
        <v>2</v>
      </c>
      <c r="CP49">
        <v>0.82903533906399196</v>
      </c>
      <c r="CQ49" t="s">
        <v>181</v>
      </c>
      <c r="CR49">
        <v>2</v>
      </c>
      <c r="CS49">
        <v>1</v>
      </c>
      <c r="CT49" t="s">
        <v>190</v>
      </c>
      <c r="CU49">
        <v>3</v>
      </c>
      <c r="CV49">
        <v>1.1859838274932599</v>
      </c>
      <c r="CW49" t="s">
        <v>181</v>
      </c>
      <c r="CX49">
        <v>2</v>
      </c>
      <c r="CY49">
        <v>0.93359375</v>
      </c>
      <c r="CZ49" t="s">
        <v>182</v>
      </c>
      <c r="DA49">
        <v>3</v>
      </c>
      <c r="DB49">
        <v>0.98175598631698902</v>
      </c>
      <c r="DC49" t="s">
        <v>116</v>
      </c>
      <c r="DD49">
        <v>2</v>
      </c>
      <c r="DE49">
        <v>1.26758620689655</v>
      </c>
      <c r="DF49" t="s">
        <v>119</v>
      </c>
      <c r="DG49">
        <v>2</v>
      </c>
      <c r="DH49">
        <v>1.0944055944055899</v>
      </c>
    </row>
    <row r="50" spans="1:112" x14ac:dyDescent="0.4">
      <c r="A50">
        <v>48</v>
      </c>
      <c r="B50" t="s">
        <v>143</v>
      </c>
      <c r="C50">
        <v>2</v>
      </c>
      <c r="D50">
        <v>1.42058165548098</v>
      </c>
      <c r="E50" t="s">
        <v>152</v>
      </c>
      <c r="F50">
        <v>2</v>
      </c>
      <c r="G50">
        <v>1.1201923076922999</v>
      </c>
      <c r="H50" t="s">
        <v>109</v>
      </c>
      <c r="I50">
        <v>2</v>
      </c>
      <c r="J50">
        <v>0.75741444866920105</v>
      </c>
      <c r="K50" t="s">
        <v>154</v>
      </c>
      <c r="L50">
        <v>2</v>
      </c>
      <c r="M50">
        <v>0.94679186228482004</v>
      </c>
      <c r="N50" t="s">
        <v>109</v>
      </c>
      <c r="O50">
        <v>2</v>
      </c>
      <c r="P50">
        <v>1.64041994750656</v>
      </c>
      <c r="Q50" t="s">
        <v>122</v>
      </c>
      <c r="R50">
        <v>2</v>
      </c>
      <c r="S50">
        <v>0.78342245989304804</v>
      </c>
      <c r="T50" t="s">
        <v>122</v>
      </c>
      <c r="U50">
        <v>2</v>
      </c>
      <c r="V50">
        <v>0.73378839590443601</v>
      </c>
      <c r="W50" t="s">
        <v>116</v>
      </c>
      <c r="X50">
        <v>2</v>
      </c>
      <c r="Y50">
        <v>1.03253182461103</v>
      </c>
      <c r="Z50" t="s">
        <v>116</v>
      </c>
      <c r="AA50">
        <v>2</v>
      </c>
      <c r="AB50">
        <v>0.82191780821917804</v>
      </c>
      <c r="AC50" t="s">
        <v>154</v>
      </c>
      <c r="AD50">
        <v>3</v>
      </c>
      <c r="AE50">
        <v>1.0303030303030301</v>
      </c>
      <c r="AF50" t="s">
        <v>117</v>
      </c>
      <c r="AG50">
        <v>2</v>
      </c>
      <c r="AH50">
        <v>1.0197330237957001</v>
      </c>
      <c r="AI50" t="s">
        <v>146</v>
      </c>
      <c r="AJ50">
        <v>3</v>
      </c>
      <c r="AK50">
        <v>1.0770466226138</v>
      </c>
      <c r="AL50" t="s">
        <v>166</v>
      </c>
      <c r="AM50">
        <v>2</v>
      </c>
      <c r="AN50">
        <v>0.91059602649006599</v>
      </c>
      <c r="AO50" t="s">
        <v>119</v>
      </c>
      <c r="AP50">
        <v>2</v>
      </c>
      <c r="AQ50">
        <v>0.755990358712604</v>
      </c>
      <c r="AR50" t="s">
        <v>166</v>
      </c>
      <c r="AS50">
        <v>3</v>
      </c>
      <c r="AT50">
        <v>1.0300751879699199</v>
      </c>
      <c r="AU50" t="s">
        <v>163</v>
      </c>
      <c r="AV50">
        <v>2</v>
      </c>
      <c r="AW50">
        <v>1.31067961165048</v>
      </c>
      <c r="AX50" t="s">
        <v>116</v>
      </c>
      <c r="AY50">
        <v>2</v>
      </c>
      <c r="AZ50">
        <v>0.63900000000000001</v>
      </c>
      <c r="BA50" t="s">
        <v>119</v>
      </c>
      <c r="BB50">
        <v>2</v>
      </c>
      <c r="BC50">
        <v>1.2311922019495101</v>
      </c>
      <c r="BD50" t="s">
        <v>163</v>
      </c>
      <c r="BE50">
        <v>2</v>
      </c>
      <c r="BF50">
        <v>0.99099099099099097</v>
      </c>
      <c r="BG50" t="s">
        <v>122</v>
      </c>
      <c r="BH50">
        <v>2</v>
      </c>
      <c r="BI50">
        <v>0.94805194805194803</v>
      </c>
      <c r="BJ50" t="s">
        <v>159</v>
      </c>
      <c r="BK50">
        <v>2</v>
      </c>
      <c r="BL50">
        <v>0.87443946188340804</v>
      </c>
      <c r="BM50" t="s">
        <v>143</v>
      </c>
      <c r="BN50">
        <v>2</v>
      </c>
      <c r="BO50">
        <v>0.81069958847736601</v>
      </c>
      <c r="BP50" t="s">
        <v>160</v>
      </c>
      <c r="BQ50">
        <v>3</v>
      </c>
      <c r="BR50">
        <v>0.654471544715447</v>
      </c>
      <c r="BS50" t="s">
        <v>166</v>
      </c>
      <c r="BT50">
        <v>3</v>
      </c>
      <c r="BU50">
        <v>1.01673640167364</v>
      </c>
      <c r="BV50" t="s">
        <v>119</v>
      </c>
      <c r="BW50">
        <v>2</v>
      </c>
      <c r="BX50">
        <v>1.1402881844380399</v>
      </c>
      <c r="BY50" t="s">
        <v>116</v>
      </c>
      <c r="BZ50">
        <v>2</v>
      </c>
      <c r="CA50">
        <v>1.2522123893805299</v>
      </c>
      <c r="CB50" t="s">
        <v>116</v>
      </c>
      <c r="CC50">
        <v>2</v>
      </c>
      <c r="CD50">
        <v>0.93992932862190803</v>
      </c>
      <c r="CE50" t="s">
        <v>119</v>
      </c>
      <c r="CF50">
        <v>2</v>
      </c>
      <c r="CG50">
        <v>1.4279187323806699</v>
      </c>
      <c r="CH50" t="s">
        <v>166</v>
      </c>
      <c r="CI50">
        <v>3</v>
      </c>
      <c r="CJ50">
        <v>0.95192307692307598</v>
      </c>
      <c r="CK50" t="s">
        <v>169</v>
      </c>
      <c r="CL50">
        <v>2</v>
      </c>
      <c r="CM50">
        <v>0.91601049868766404</v>
      </c>
      <c r="CN50" t="s">
        <v>171</v>
      </c>
      <c r="CO50">
        <v>2</v>
      </c>
      <c r="CP50">
        <v>1.07317073170731</v>
      </c>
      <c r="CQ50" t="s">
        <v>184</v>
      </c>
      <c r="CR50">
        <v>3</v>
      </c>
      <c r="CS50">
        <v>0.96796796796796702</v>
      </c>
      <c r="CT50" t="s">
        <v>145</v>
      </c>
      <c r="CU50">
        <v>1</v>
      </c>
      <c r="CV50">
        <v>0.87949640287769704</v>
      </c>
      <c r="CW50" t="s">
        <v>145</v>
      </c>
      <c r="CX50">
        <v>1</v>
      </c>
      <c r="CY50">
        <v>1.04907975460122</v>
      </c>
      <c r="CZ50" t="s">
        <v>181</v>
      </c>
      <c r="DA50">
        <v>2</v>
      </c>
      <c r="DB50">
        <v>0.95815899581589903</v>
      </c>
      <c r="DC50" t="s">
        <v>166</v>
      </c>
      <c r="DD50">
        <v>3</v>
      </c>
      <c r="DE50">
        <v>0.936708860759493</v>
      </c>
      <c r="DF50" t="s">
        <v>166</v>
      </c>
      <c r="DG50">
        <v>3</v>
      </c>
      <c r="DH50">
        <v>1.0540540540540499</v>
      </c>
    </row>
    <row r="51" spans="1:112" x14ac:dyDescent="0.4">
      <c r="A51">
        <v>49</v>
      </c>
      <c r="B51" t="s">
        <v>146</v>
      </c>
      <c r="C51">
        <v>2</v>
      </c>
      <c r="D51">
        <v>0.991869522882181</v>
      </c>
      <c r="E51" t="s">
        <v>154</v>
      </c>
      <c r="F51">
        <v>2</v>
      </c>
      <c r="G51">
        <v>0.95555555555555505</v>
      </c>
      <c r="H51" t="s">
        <v>147</v>
      </c>
      <c r="I51">
        <v>1</v>
      </c>
      <c r="J51">
        <v>0.84459575270383702</v>
      </c>
      <c r="K51" t="s">
        <v>116</v>
      </c>
      <c r="L51">
        <v>2</v>
      </c>
      <c r="M51">
        <v>1.0780399274047101</v>
      </c>
      <c r="N51" t="s">
        <v>147</v>
      </c>
      <c r="O51">
        <v>1</v>
      </c>
      <c r="P51">
        <v>1.9319160075238</v>
      </c>
      <c r="Q51" t="s">
        <v>169</v>
      </c>
      <c r="R51">
        <v>2</v>
      </c>
      <c r="S51">
        <v>0.99042075906390203</v>
      </c>
      <c r="T51" t="s">
        <v>169</v>
      </c>
      <c r="U51">
        <v>2</v>
      </c>
      <c r="V51">
        <v>0.769098922624877</v>
      </c>
      <c r="W51" t="s">
        <v>119</v>
      </c>
      <c r="X51">
        <v>2</v>
      </c>
      <c r="Y51">
        <v>0.919690075021522</v>
      </c>
      <c r="Z51" t="s">
        <v>119</v>
      </c>
      <c r="AA51">
        <v>2</v>
      </c>
      <c r="AB51">
        <v>0.69978603904787295</v>
      </c>
      <c r="AC51" t="s">
        <v>114</v>
      </c>
      <c r="AD51">
        <v>2</v>
      </c>
      <c r="AE51">
        <v>1.2819444444444399</v>
      </c>
      <c r="AF51" t="s">
        <v>152</v>
      </c>
      <c r="AG51">
        <v>2</v>
      </c>
      <c r="AH51">
        <v>1.14431486880466</v>
      </c>
      <c r="AI51" t="s">
        <v>117</v>
      </c>
      <c r="AJ51">
        <v>2</v>
      </c>
      <c r="AK51">
        <v>0.95247581104154799</v>
      </c>
      <c r="AL51" t="s">
        <v>163</v>
      </c>
      <c r="AM51">
        <v>1</v>
      </c>
      <c r="AN51">
        <v>0.76753246753246696</v>
      </c>
      <c r="AO51" t="s">
        <v>159</v>
      </c>
      <c r="AP51">
        <v>1</v>
      </c>
      <c r="AQ51">
        <v>0.93462269609058601</v>
      </c>
      <c r="AR51" t="s">
        <v>163</v>
      </c>
      <c r="AS51">
        <v>2</v>
      </c>
      <c r="AT51">
        <v>0.78326996197718601</v>
      </c>
      <c r="AU51" t="s">
        <v>122</v>
      </c>
      <c r="AV51">
        <v>2</v>
      </c>
      <c r="AW51">
        <v>1.2691771269177099</v>
      </c>
      <c r="AX51" t="s">
        <v>119</v>
      </c>
      <c r="AY51">
        <v>2</v>
      </c>
      <c r="AZ51">
        <v>0.726134301270417</v>
      </c>
      <c r="BA51" t="s">
        <v>159</v>
      </c>
      <c r="BB51">
        <v>2</v>
      </c>
      <c r="BC51">
        <v>1.04049079754601</v>
      </c>
      <c r="BD51" t="s">
        <v>122</v>
      </c>
      <c r="BE51">
        <v>2</v>
      </c>
      <c r="BF51">
        <v>0.96250000000000002</v>
      </c>
      <c r="BG51" t="s">
        <v>169</v>
      </c>
      <c r="BH51">
        <v>2</v>
      </c>
      <c r="BI51">
        <v>1.2530459231490101</v>
      </c>
      <c r="BJ51" t="s">
        <v>166</v>
      </c>
      <c r="BK51">
        <v>3</v>
      </c>
      <c r="BL51">
        <v>1.0243902439024299</v>
      </c>
      <c r="BM51" t="s">
        <v>146</v>
      </c>
      <c r="BN51">
        <v>2</v>
      </c>
      <c r="BO51">
        <v>1.0388883664064701</v>
      </c>
      <c r="BP51" t="s">
        <v>116</v>
      </c>
      <c r="BQ51">
        <v>2</v>
      </c>
      <c r="BR51">
        <v>1.5083892617449599</v>
      </c>
      <c r="BS51" t="s">
        <v>163</v>
      </c>
      <c r="BT51">
        <v>2</v>
      </c>
      <c r="BU51">
        <v>0.89245283018867905</v>
      </c>
      <c r="BV51" t="s">
        <v>159</v>
      </c>
      <c r="BW51">
        <v>2</v>
      </c>
      <c r="BX51">
        <v>0.91479820627802599</v>
      </c>
      <c r="BY51" t="s">
        <v>119</v>
      </c>
      <c r="BZ51">
        <v>2</v>
      </c>
      <c r="CA51">
        <v>1.0499393449251899</v>
      </c>
      <c r="CB51" t="s">
        <v>119</v>
      </c>
      <c r="CC51">
        <v>2</v>
      </c>
      <c r="CD51">
        <v>0.99046793760831797</v>
      </c>
      <c r="CE51" t="s">
        <v>159</v>
      </c>
      <c r="CF51">
        <v>2</v>
      </c>
      <c r="CG51">
        <v>1.0679611650485401</v>
      </c>
      <c r="CH51" t="s">
        <v>122</v>
      </c>
      <c r="CI51">
        <v>2</v>
      </c>
      <c r="CJ51">
        <v>1.1493943472409101</v>
      </c>
      <c r="CK51" t="s">
        <v>171</v>
      </c>
      <c r="CL51">
        <v>2</v>
      </c>
      <c r="CM51">
        <v>0.86864406779660996</v>
      </c>
      <c r="CN51" t="s">
        <v>125</v>
      </c>
      <c r="CO51">
        <v>1</v>
      </c>
      <c r="CP51">
        <v>1.26460481099656</v>
      </c>
      <c r="CQ51" t="s">
        <v>190</v>
      </c>
      <c r="CR51">
        <v>3</v>
      </c>
      <c r="CS51">
        <v>0.98408488063660404</v>
      </c>
      <c r="CT51" t="s">
        <v>150</v>
      </c>
      <c r="CU51">
        <v>3</v>
      </c>
      <c r="CV51">
        <v>1.26829268292682</v>
      </c>
      <c r="CW51" t="s">
        <v>150</v>
      </c>
      <c r="CX51">
        <v>3</v>
      </c>
      <c r="CY51">
        <v>1.0038461538461501</v>
      </c>
      <c r="CZ51" t="s">
        <v>184</v>
      </c>
      <c r="DA51">
        <v>3</v>
      </c>
      <c r="DB51">
        <v>1</v>
      </c>
      <c r="DC51" t="s">
        <v>171</v>
      </c>
      <c r="DD51">
        <v>2</v>
      </c>
      <c r="DE51">
        <v>1.1009615384615301</v>
      </c>
      <c r="DF51" t="s">
        <v>123</v>
      </c>
      <c r="DG51">
        <v>2</v>
      </c>
      <c r="DH51">
        <v>1.2283737024221399</v>
      </c>
    </row>
    <row r="52" spans="1:112" x14ac:dyDescent="0.4">
      <c r="A52">
        <v>50</v>
      </c>
      <c r="B52" t="s">
        <v>152</v>
      </c>
      <c r="C52">
        <v>2</v>
      </c>
      <c r="D52">
        <v>0.88510638297872302</v>
      </c>
      <c r="E52" t="s">
        <v>114</v>
      </c>
      <c r="F52">
        <v>2</v>
      </c>
      <c r="G52">
        <v>1.0416666666666601</v>
      </c>
      <c r="H52" t="s">
        <v>143</v>
      </c>
      <c r="I52">
        <v>2</v>
      </c>
      <c r="J52">
        <v>0.60961258994080703</v>
      </c>
      <c r="K52" t="s">
        <v>119</v>
      </c>
      <c r="L52">
        <v>2</v>
      </c>
      <c r="M52">
        <v>1.15995575221238</v>
      </c>
      <c r="N52" t="s">
        <v>143</v>
      </c>
      <c r="O52">
        <v>2</v>
      </c>
      <c r="P52">
        <v>1.25526685393258</v>
      </c>
      <c r="Q52" t="s">
        <v>171</v>
      </c>
      <c r="R52">
        <v>2</v>
      </c>
      <c r="S52">
        <v>0.98784194528875302</v>
      </c>
      <c r="T52" t="s">
        <v>171</v>
      </c>
      <c r="U52">
        <v>2</v>
      </c>
      <c r="V52">
        <v>0.92</v>
      </c>
      <c r="W52" t="s">
        <v>159</v>
      </c>
      <c r="X52">
        <v>1</v>
      </c>
      <c r="Y52">
        <v>0.949116347569955</v>
      </c>
      <c r="Z52" t="s">
        <v>159</v>
      </c>
      <c r="AA52">
        <v>1</v>
      </c>
      <c r="AB52">
        <v>0.85057025370470896</v>
      </c>
      <c r="AC52" t="s">
        <v>116</v>
      </c>
      <c r="AD52">
        <v>2</v>
      </c>
      <c r="AE52">
        <v>0.94166666666666599</v>
      </c>
      <c r="AF52" t="s">
        <v>154</v>
      </c>
      <c r="AG52">
        <v>3</v>
      </c>
      <c r="AH52">
        <v>1.1341176470588199</v>
      </c>
      <c r="AI52" t="s">
        <v>152</v>
      </c>
      <c r="AJ52">
        <v>2</v>
      </c>
      <c r="AK52">
        <v>0.99108280254777004</v>
      </c>
      <c r="AL52" t="s">
        <v>122</v>
      </c>
      <c r="AM52">
        <v>2</v>
      </c>
      <c r="AN52">
        <v>0.94827586206896497</v>
      </c>
      <c r="AO52" t="s">
        <v>166</v>
      </c>
      <c r="AP52">
        <v>3</v>
      </c>
      <c r="AQ52">
        <v>0.96727272727272695</v>
      </c>
      <c r="AR52" t="s">
        <v>122</v>
      </c>
      <c r="AS52">
        <v>2</v>
      </c>
      <c r="AT52">
        <v>0.76439232409381597</v>
      </c>
      <c r="AU52" t="s">
        <v>169</v>
      </c>
      <c r="AV52">
        <v>2</v>
      </c>
      <c r="AW52">
        <v>1.16176087522792</v>
      </c>
      <c r="AX52" t="s">
        <v>159</v>
      </c>
      <c r="AY52">
        <v>1</v>
      </c>
      <c r="AZ52">
        <v>0.73755656108597201</v>
      </c>
      <c r="BA52" t="s">
        <v>166</v>
      </c>
      <c r="BB52">
        <v>3</v>
      </c>
      <c r="BC52">
        <v>1.0393700787401501</v>
      </c>
      <c r="BD52" t="s">
        <v>169</v>
      </c>
      <c r="BE52">
        <v>2</v>
      </c>
      <c r="BF52">
        <v>0.96765417170495704</v>
      </c>
      <c r="BG52" t="s">
        <v>171</v>
      </c>
      <c r="BH52">
        <v>2</v>
      </c>
      <c r="BI52">
        <v>1.1694915254237199</v>
      </c>
      <c r="BJ52" t="s">
        <v>163</v>
      </c>
      <c r="BK52">
        <v>2</v>
      </c>
      <c r="BL52">
        <v>0.99394673123486599</v>
      </c>
      <c r="BM52" t="s">
        <v>152</v>
      </c>
      <c r="BN52">
        <v>2</v>
      </c>
      <c r="BO52">
        <v>1.00505689001264</v>
      </c>
      <c r="BP52" t="s">
        <v>119</v>
      </c>
      <c r="BQ52">
        <v>2</v>
      </c>
      <c r="BR52">
        <v>1.15495296070835</v>
      </c>
      <c r="BS52" t="s">
        <v>122</v>
      </c>
      <c r="BT52">
        <v>3</v>
      </c>
      <c r="BU52">
        <v>1.1565656565656499</v>
      </c>
      <c r="BV52" t="s">
        <v>166</v>
      </c>
      <c r="BW52">
        <v>3</v>
      </c>
      <c r="BX52">
        <v>1.0329218106995799</v>
      </c>
      <c r="BY52" t="s">
        <v>159</v>
      </c>
      <c r="BZ52">
        <v>2</v>
      </c>
      <c r="CA52">
        <v>1.2777777777777699</v>
      </c>
      <c r="CB52" t="s">
        <v>159</v>
      </c>
      <c r="CC52">
        <v>2</v>
      </c>
      <c r="CD52">
        <v>0.92199488491048598</v>
      </c>
      <c r="CE52" t="s">
        <v>166</v>
      </c>
      <c r="CF52">
        <v>3</v>
      </c>
      <c r="CG52">
        <v>1.0833333333333299</v>
      </c>
      <c r="CH52" t="s">
        <v>169</v>
      </c>
      <c r="CI52">
        <v>2</v>
      </c>
      <c r="CJ52">
        <v>1.23534179951364</v>
      </c>
      <c r="CK52" t="s">
        <v>125</v>
      </c>
      <c r="CL52">
        <v>1</v>
      </c>
      <c r="CM52">
        <v>0.93418940609951795</v>
      </c>
      <c r="CN52" t="s">
        <v>175</v>
      </c>
      <c r="CO52">
        <v>2</v>
      </c>
      <c r="CP52">
        <v>1.17307692307692</v>
      </c>
      <c r="CQ52" t="s">
        <v>145</v>
      </c>
      <c r="CR52">
        <v>1</v>
      </c>
      <c r="CS52">
        <v>1.09448818897637</v>
      </c>
      <c r="CT52" t="s">
        <v>155</v>
      </c>
      <c r="CU52">
        <v>2</v>
      </c>
      <c r="CV52">
        <v>0.97647058823529398</v>
      </c>
      <c r="CW52" t="s">
        <v>155</v>
      </c>
      <c r="CX52">
        <v>1</v>
      </c>
      <c r="CY52">
        <v>0.98072289156626502</v>
      </c>
      <c r="CZ52" t="s">
        <v>190</v>
      </c>
      <c r="DA52">
        <v>3</v>
      </c>
      <c r="DB52">
        <v>1.0657142857142801</v>
      </c>
      <c r="DC52" t="s">
        <v>125</v>
      </c>
      <c r="DD52">
        <v>1</v>
      </c>
      <c r="DE52">
        <v>1.11150442477876</v>
      </c>
      <c r="DF52" t="s">
        <v>171</v>
      </c>
      <c r="DG52">
        <v>2</v>
      </c>
      <c r="DH52">
        <v>1.1310043668122201</v>
      </c>
    </row>
    <row r="53" spans="1:112" x14ac:dyDescent="0.4">
      <c r="A53">
        <v>51</v>
      </c>
      <c r="B53" t="s">
        <v>154</v>
      </c>
      <c r="C53">
        <v>2</v>
      </c>
      <c r="D53">
        <v>0.94117647058823495</v>
      </c>
      <c r="E53" t="s">
        <v>116</v>
      </c>
      <c r="F53">
        <v>2</v>
      </c>
      <c r="G53">
        <v>0.81655480984340001</v>
      </c>
      <c r="H53" t="s">
        <v>146</v>
      </c>
      <c r="I53">
        <v>2</v>
      </c>
      <c r="J53">
        <v>0.462195286802144</v>
      </c>
      <c r="K53" t="s">
        <v>159</v>
      </c>
      <c r="L53">
        <v>1</v>
      </c>
      <c r="M53">
        <v>1.2463886617606901</v>
      </c>
      <c r="N53" t="s">
        <v>146</v>
      </c>
      <c r="O53">
        <v>2</v>
      </c>
      <c r="P53">
        <v>1.2331791735044</v>
      </c>
      <c r="Q53" t="s">
        <v>175</v>
      </c>
      <c r="R53">
        <v>2</v>
      </c>
      <c r="S53">
        <v>1.0462046204620401</v>
      </c>
      <c r="T53" t="s">
        <v>175</v>
      </c>
      <c r="U53">
        <v>2</v>
      </c>
      <c r="V53">
        <v>0.94637223974763396</v>
      </c>
      <c r="W53" t="s">
        <v>166</v>
      </c>
      <c r="X53">
        <v>2</v>
      </c>
      <c r="Y53">
        <v>1.02413793103448</v>
      </c>
      <c r="Z53" t="s">
        <v>166</v>
      </c>
      <c r="AA53">
        <v>2</v>
      </c>
      <c r="AB53">
        <v>0.95622895622895598</v>
      </c>
      <c r="AC53" t="s">
        <v>119</v>
      </c>
      <c r="AD53">
        <v>2</v>
      </c>
      <c r="AE53">
        <v>1.1001337664819399</v>
      </c>
      <c r="AF53" t="s">
        <v>114</v>
      </c>
      <c r="AG53">
        <v>2</v>
      </c>
      <c r="AH53">
        <v>1.54387865655471</v>
      </c>
      <c r="AI53" t="s">
        <v>154</v>
      </c>
      <c r="AJ53">
        <v>3</v>
      </c>
      <c r="AK53">
        <v>0.98755186721991695</v>
      </c>
      <c r="AL53" t="s">
        <v>123</v>
      </c>
      <c r="AM53">
        <v>1</v>
      </c>
      <c r="AN53">
        <v>1.0276302595907401</v>
      </c>
      <c r="AO53" t="s">
        <v>163</v>
      </c>
      <c r="AP53">
        <v>2</v>
      </c>
      <c r="AQ53">
        <v>0.89001692047377301</v>
      </c>
      <c r="AR53" t="s">
        <v>169</v>
      </c>
      <c r="AS53">
        <v>2</v>
      </c>
      <c r="AT53">
        <v>0.77791286727456899</v>
      </c>
      <c r="AU53" t="s">
        <v>171</v>
      </c>
      <c r="AV53">
        <v>2</v>
      </c>
      <c r="AW53">
        <v>1.18691588785046</v>
      </c>
      <c r="AX53" t="s">
        <v>166</v>
      </c>
      <c r="AY53">
        <v>3</v>
      </c>
      <c r="AZ53">
        <v>0.83006535947712401</v>
      </c>
      <c r="BA53" t="s">
        <v>163</v>
      </c>
      <c r="BB53">
        <v>2</v>
      </c>
      <c r="BC53">
        <v>0.96401985111662503</v>
      </c>
      <c r="BD53" t="s">
        <v>171</v>
      </c>
      <c r="BE53">
        <v>2</v>
      </c>
      <c r="BF53">
        <v>1.0586124401913799</v>
      </c>
      <c r="BG53" t="s">
        <v>175</v>
      </c>
      <c r="BH53">
        <v>2</v>
      </c>
      <c r="BI53">
        <v>1.0384615384615301</v>
      </c>
      <c r="BJ53" t="s">
        <v>122</v>
      </c>
      <c r="BK53">
        <v>2</v>
      </c>
      <c r="BL53">
        <v>1.07610350076103</v>
      </c>
      <c r="BM53" t="s">
        <v>154</v>
      </c>
      <c r="BN53">
        <v>3</v>
      </c>
      <c r="BO53">
        <v>1.07860262008733</v>
      </c>
      <c r="BP53" t="s">
        <v>159</v>
      </c>
      <c r="BQ53">
        <v>2</v>
      </c>
      <c r="BR53">
        <v>1.0350877192982399</v>
      </c>
      <c r="BS53" t="s">
        <v>123</v>
      </c>
      <c r="BT53">
        <v>1</v>
      </c>
      <c r="BU53">
        <v>1.13466205780686</v>
      </c>
      <c r="BV53" t="s">
        <v>163</v>
      </c>
      <c r="BW53">
        <v>2</v>
      </c>
      <c r="BX53">
        <v>0.96405919661733597</v>
      </c>
      <c r="BY53" t="s">
        <v>166</v>
      </c>
      <c r="BZ53">
        <v>3</v>
      </c>
      <c r="CA53">
        <v>1.13944223107569</v>
      </c>
      <c r="CB53" t="s">
        <v>166</v>
      </c>
      <c r="CC53">
        <v>3</v>
      </c>
      <c r="CD53">
        <v>1.006993006993</v>
      </c>
      <c r="CE53" t="s">
        <v>122</v>
      </c>
      <c r="CF53">
        <v>2</v>
      </c>
      <c r="CG53">
        <v>0.841449603624009</v>
      </c>
      <c r="CH53" t="s">
        <v>171</v>
      </c>
      <c r="CI53">
        <v>2</v>
      </c>
      <c r="CJ53">
        <v>1.0727272727272701</v>
      </c>
      <c r="CK53" t="s">
        <v>179</v>
      </c>
      <c r="CL53">
        <v>3</v>
      </c>
      <c r="CM53">
        <v>1.0179856115107899</v>
      </c>
      <c r="CN53" t="s">
        <v>182</v>
      </c>
      <c r="CO53">
        <v>3</v>
      </c>
      <c r="CP53">
        <v>1.0554803788903899</v>
      </c>
      <c r="CQ53" t="s">
        <v>150</v>
      </c>
      <c r="CR53">
        <v>3</v>
      </c>
      <c r="CS53">
        <v>1.0395537525354901</v>
      </c>
      <c r="CT53" t="s">
        <v>198</v>
      </c>
      <c r="CU53">
        <v>2</v>
      </c>
      <c r="CV53">
        <v>1.00923076923076</v>
      </c>
      <c r="CW53" t="s">
        <v>198</v>
      </c>
      <c r="CX53">
        <v>3</v>
      </c>
      <c r="CY53">
        <v>0.94512195121951204</v>
      </c>
      <c r="CZ53" t="s">
        <v>145</v>
      </c>
      <c r="DA53">
        <v>1</v>
      </c>
      <c r="DB53">
        <v>0.97270955165691997</v>
      </c>
      <c r="DC53" t="s">
        <v>175</v>
      </c>
      <c r="DD53">
        <v>2</v>
      </c>
      <c r="DE53">
        <v>1.0550660792951501</v>
      </c>
      <c r="DF53" t="s">
        <v>125</v>
      </c>
      <c r="DG53">
        <v>1</v>
      </c>
      <c r="DH53">
        <v>1.2898089171974501</v>
      </c>
    </row>
    <row r="54" spans="1:112" x14ac:dyDescent="0.4">
      <c r="A54">
        <v>52</v>
      </c>
      <c r="B54" t="s">
        <v>114</v>
      </c>
      <c r="C54">
        <v>2</v>
      </c>
      <c r="D54">
        <v>0.902970297029703</v>
      </c>
      <c r="E54" t="s">
        <v>159</v>
      </c>
      <c r="F54">
        <v>1</v>
      </c>
      <c r="G54">
        <v>0.81685334915807395</v>
      </c>
      <c r="H54" t="s">
        <v>117</v>
      </c>
      <c r="I54">
        <v>2</v>
      </c>
      <c r="J54">
        <v>0.65332788893425797</v>
      </c>
      <c r="K54" t="s">
        <v>166</v>
      </c>
      <c r="L54">
        <v>2</v>
      </c>
      <c r="M54">
        <v>1.015625</v>
      </c>
      <c r="N54" t="s">
        <v>117</v>
      </c>
      <c r="O54">
        <v>2</v>
      </c>
      <c r="P54">
        <v>1.1620486985726199</v>
      </c>
      <c r="Q54" t="s">
        <v>131</v>
      </c>
      <c r="R54">
        <v>1</v>
      </c>
      <c r="S54">
        <v>0.967741935483871</v>
      </c>
      <c r="T54" t="s">
        <v>131</v>
      </c>
      <c r="U54">
        <v>1</v>
      </c>
      <c r="V54">
        <v>0.80190476190476101</v>
      </c>
      <c r="W54" t="s">
        <v>163</v>
      </c>
      <c r="X54">
        <v>2</v>
      </c>
      <c r="Y54">
        <v>0.91774891774891698</v>
      </c>
      <c r="Z54" t="s">
        <v>163</v>
      </c>
      <c r="AA54">
        <v>2</v>
      </c>
      <c r="AB54">
        <v>0.78584905660377302</v>
      </c>
      <c r="AC54" t="s">
        <v>159</v>
      </c>
      <c r="AD54">
        <v>1</v>
      </c>
      <c r="AE54">
        <v>1.2928030648545099</v>
      </c>
      <c r="AF54" t="s">
        <v>116</v>
      </c>
      <c r="AG54">
        <v>2</v>
      </c>
      <c r="AH54">
        <v>1.09380530973451</v>
      </c>
      <c r="AI54" t="s">
        <v>114</v>
      </c>
      <c r="AJ54">
        <v>2</v>
      </c>
      <c r="AK54">
        <v>0.81754385964912202</v>
      </c>
      <c r="AL54" t="s">
        <v>169</v>
      </c>
      <c r="AM54">
        <v>2</v>
      </c>
      <c r="AN54">
        <v>0.80075471698113199</v>
      </c>
      <c r="AO54" t="s">
        <v>122</v>
      </c>
      <c r="AP54">
        <v>2</v>
      </c>
      <c r="AQ54">
        <v>0.852727272727272</v>
      </c>
      <c r="AR54" t="s">
        <v>171</v>
      </c>
      <c r="AS54">
        <v>2</v>
      </c>
      <c r="AT54">
        <v>0.88065843621399098</v>
      </c>
      <c r="AU54" t="s">
        <v>175</v>
      </c>
      <c r="AV54">
        <v>2</v>
      </c>
      <c r="AW54">
        <v>1.0625</v>
      </c>
      <c r="AX54" t="s">
        <v>163</v>
      </c>
      <c r="AY54">
        <v>2</v>
      </c>
      <c r="AZ54">
        <v>0.74629629629629601</v>
      </c>
      <c r="BA54" t="s">
        <v>122</v>
      </c>
      <c r="BB54">
        <v>2</v>
      </c>
      <c r="BC54">
        <v>1.0126582278481</v>
      </c>
      <c r="BD54" t="s">
        <v>125</v>
      </c>
      <c r="BE54">
        <v>1</v>
      </c>
      <c r="BF54">
        <v>1.03833865814696</v>
      </c>
      <c r="BG54" t="s">
        <v>131</v>
      </c>
      <c r="BH54">
        <v>1</v>
      </c>
      <c r="BI54">
        <v>0.98050139275766002</v>
      </c>
      <c r="BJ54" t="s">
        <v>169</v>
      </c>
      <c r="BK54">
        <v>2</v>
      </c>
      <c r="BL54">
        <v>0.913986537023186</v>
      </c>
      <c r="BM54" t="s">
        <v>114</v>
      </c>
      <c r="BN54">
        <v>2</v>
      </c>
      <c r="BO54">
        <v>1.10200190657769</v>
      </c>
      <c r="BP54" t="s">
        <v>166</v>
      </c>
      <c r="BQ54">
        <v>3</v>
      </c>
      <c r="BR54">
        <v>1.0257510729613699</v>
      </c>
      <c r="BS54" t="s">
        <v>169</v>
      </c>
      <c r="BT54">
        <v>2</v>
      </c>
      <c r="BU54">
        <v>0.95546064673581399</v>
      </c>
      <c r="BV54" t="s">
        <v>122</v>
      </c>
      <c r="BW54">
        <v>3</v>
      </c>
      <c r="BX54">
        <v>0.93886462882096</v>
      </c>
      <c r="BY54" t="s">
        <v>122</v>
      </c>
      <c r="BZ54">
        <v>2</v>
      </c>
      <c r="CA54">
        <v>0.97674418604651103</v>
      </c>
      <c r="CB54" t="s">
        <v>122</v>
      </c>
      <c r="CC54">
        <v>2</v>
      </c>
      <c r="CD54">
        <v>0.84095238095238101</v>
      </c>
      <c r="CE54" t="s">
        <v>169</v>
      </c>
      <c r="CF54">
        <v>2</v>
      </c>
      <c r="CG54">
        <v>1.09174041297935</v>
      </c>
      <c r="CH54" t="s">
        <v>175</v>
      </c>
      <c r="CI54">
        <v>2</v>
      </c>
      <c r="CJ54">
        <v>1.3013698630136901</v>
      </c>
      <c r="CK54" t="s">
        <v>182</v>
      </c>
      <c r="CL54">
        <v>3</v>
      </c>
      <c r="CM54">
        <v>0.94865211810012795</v>
      </c>
      <c r="CN54" t="s">
        <v>181</v>
      </c>
      <c r="CO54">
        <v>2</v>
      </c>
      <c r="CP54">
        <v>0.93525179856115104</v>
      </c>
      <c r="CQ54" t="s">
        <v>198</v>
      </c>
      <c r="CR54">
        <v>2</v>
      </c>
      <c r="CS54">
        <v>0.99388379204892896</v>
      </c>
      <c r="CT54" t="s">
        <v>206</v>
      </c>
      <c r="CU54">
        <v>2</v>
      </c>
      <c r="CV54">
        <v>1.0853333333333299</v>
      </c>
      <c r="CW54" t="s">
        <v>206</v>
      </c>
      <c r="CX54">
        <v>2</v>
      </c>
      <c r="CY54">
        <v>0.92874692874692799</v>
      </c>
      <c r="CZ54" t="s">
        <v>150</v>
      </c>
      <c r="DA54">
        <v>3</v>
      </c>
      <c r="DB54">
        <v>0.83524904214559303</v>
      </c>
      <c r="DC54" t="s">
        <v>182</v>
      </c>
      <c r="DD54">
        <v>3</v>
      </c>
      <c r="DE54">
        <v>1.0499419279907001</v>
      </c>
      <c r="DF54" t="s">
        <v>182</v>
      </c>
      <c r="DG54">
        <v>3</v>
      </c>
      <c r="DH54">
        <v>0.96017699115044197</v>
      </c>
    </row>
    <row r="55" spans="1:112" x14ac:dyDescent="0.4">
      <c r="A55">
        <v>53</v>
      </c>
      <c r="B55" t="s">
        <v>116</v>
      </c>
      <c r="C55">
        <v>2</v>
      </c>
      <c r="D55">
        <v>0.98241758241758204</v>
      </c>
      <c r="E55" t="s">
        <v>166</v>
      </c>
      <c r="F55">
        <v>2</v>
      </c>
      <c r="G55">
        <v>0.88524590163934402</v>
      </c>
      <c r="H55" t="s">
        <v>152</v>
      </c>
      <c r="I55">
        <v>2</v>
      </c>
      <c r="J55">
        <v>0.60686695278969904</v>
      </c>
      <c r="K55" t="s">
        <v>163</v>
      </c>
      <c r="L55">
        <v>1</v>
      </c>
      <c r="M55">
        <v>1.31627906976744</v>
      </c>
      <c r="N55" t="s">
        <v>152</v>
      </c>
      <c r="O55">
        <v>2</v>
      </c>
      <c r="P55">
        <v>1.0548387096774099</v>
      </c>
      <c r="Q55" t="s">
        <v>134</v>
      </c>
      <c r="R55">
        <v>2</v>
      </c>
      <c r="S55">
        <v>1.5178571428571399</v>
      </c>
      <c r="T55" t="s">
        <v>137</v>
      </c>
      <c r="U55">
        <v>2</v>
      </c>
      <c r="V55">
        <v>0.98624754420432204</v>
      </c>
      <c r="W55" t="s">
        <v>122</v>
      </c>
      <c r="X55">
        <v>2</v>
      </c>
      <c r="Y55">
        <v>0.96744186046511604</v>
      </c>
      <c r="Z55" t="s">
        <v>122</v>
      </c>
      <c r="AA55">
        <v>2</v>
      </c>
      <c r="AB55">
        <v>1.0673076923076901</v>
      </c>
      <c r="AC55" t="s">
        <v>166</v>
      </c>
      <c r="AD55">
        <v>2</v>
      </c>
      <c r="AE55">
        <v>1.09154929577464</v>
      </c>
      <c r="AF55" t="s">
        <v>119</v>
      </c>
      <c r="AG55">
        <v>2</v>
      </c>
      <c r="AH55">
        <v>1.0825082508250801</v>
      </c>
      <c r="AI55" t="s">
        <v>116</v>
      </c>
      <c r="AJ55">
        <v>2</v>
      </c>
      <c r="AK55">
        <v>0.88349514563106801</v>
      </c>
      <c r="AL55" t="s">
        <v>171</v>
      </c>
      <c r="AM55">
        <v>2</v>
      </c>
      <c r="AN55">
        <v>0.88424437299035297</v>
      </c>
      <c r="AO55" t="s">
        <v>169</v>
      </c>
      <c r="AP55">
        <v>2</v>
      </c>
      <c r="AQ55">
        <v>0.93025447690857599</v>
      </c>
      <c r="AR55" t="s">
        <v>175</v>
      </c>
      <c r="AS55">
        <v>2</v>
      </c>
      <c r="AT55">
        <v>1.0797546012269901</v>
      </c>
      <c r="AU55" t="s">
        <v>131</v>
      </c>
      <c r="AV55">
        <v>1</v>
      </c>
      <c r="AW55">
        <v>1.21505376344086</v>
      </c>
      <c r="AX55" t="s">
        <v>122</v>
      </c>
      <c r="AY55">
        <v>2</v>
      </c>
      <c r="AZ55">
        <v>0.78131868131868099</v>
      </c>
      <c r="BA55" t="s">
        <v>169</v>
      </c>
      <c r="BB55">
        <v>2</v>
      </c>
      <c r="BC55">
        <v>0.97322741982936101</v>
      </c>
      <c r="BD55" t="s">
        <v>175</v>
      </c>
      <c r="BE55">
        <v>2</v>
      </c>
      <c r="BF55">
        <v>0.93975903614457801</v>
      </c>
      <c r="BG55" t="s">
        <v>134</v>
      </c>
      <c r="BH55">
        <v>3</v>
      </c>
      <c r="BI55">
        <v>1.13215859030837</v>
      </c>
      <c r="BJ55" t="s">
        <v>171</v>
      </c>
      <c r="BK55">
        <v>2</v>
      </c>
      <c r="BL55">
        <v>0.94396135265700398</v>
      </c>
      <c r="BM55" t="s">
        <v>116</v>
      </c>
      <c r="BN55">
        <v>2</v>
      </c>
      <c r="BO55">
        <v>1.0456140350877099</v>
      </c>
      <c r="BP55" t="s">
        <v>163</v>
      </c>
      <c r="BQ55">
        <v>2</v>
      </c>
      <c r="BR55">
        <v>0.88628762541806005</v>
      </c>
      <c r="BS55" t="s">
        <v>171</v>
      </c>
      <c r="BT55">
        <v>2</v>
      </c>
      <c r="BU55">
        <v>0.97703788748564802</v>
      </c>
      <c r="BV55" t="s">
        <v>123</v>
      </c>
      <c r="BW55">
        <v>1</v>
      </c>
      <c r="BX55">
        <v>0.96525797251750001</v>
      </c>
      <c r="BY55" t="s">
        <v>123</v>
      </c>
      <c r="BZ55">
        <v>2</v>
      </c>
      <c r="CA55">
        <v>1.0929693795326301</v>
      </c>
      <c r="CB55" t="s">
        <v>123</v>
      </c>
      <c r="CC55">
        <v>2</v>
      </c>
      <c r="CD55">
        <v>1.1522747519429799</v>
      </c>
      <c r="CE55" t="s">
        <v>171</v>
      </c>
      <c r="CF55">
        <v>2</v>
      </c>
      <c r="CG55">
        <v>1.1458333333333299</v>
      </c>
      <c r="CH55" t="s">
        <v>131</v>
      </c>
      <c r="CI55">
        <v>1</v>
      </c>
      <c r="CJ55">
        <v>0.96236559139784905</v>
      </c>
      <c r="CK55" t="s">
        <v>181</v>
      </c>
      <c r="CL55">
        <v>2</v>
      </c>
      <c r="CM55">
        <v>1.1487603305785099</v>
      </c>
      <c r="CN55" t="s">
        <v>184</v>
      </c>
      <c r="CO55">
        <v>3</v>
      </c>
      <c r="CP55">
        <v>0.9</v>
      </c>
      <c r="CQ55" t="s">
        <v>207</v>
      </c>
      <c r="CR55">
        <v>3</v>
      </c>
      <c r="CS55">
        <v>1.42798353909465</v>
      </c>
      <c r="CT55" t="s">
        <v>210</v>
      </c>
      <c r="CU55">
        <v>3</v>
      </c>
      <c r="CV55">
        <v>0.88436018957345897</v>
      </c>
      <c r="CW55" t="s">
        <v>210</v>
      </c>
      <c r="CX55">
        <v>3</v>
      </c>
      <c r="CY55">
        <v>1.2379421221864899</v>
      </c>
      <c r="CZ55" t="s">
        <v>155</v>
      </c>
      <c r="DA55">
        <v>1</v>
      </c>
      <c r="DB55">
        <v>0.88697788697788604</v>
      </c>
      <c r="DC55" t="s">
        <v>181</v>
      </c>
      <c r="DD55">
        <v>2</v>
      </c>
      <c r="DE55">
        <v>0.97816593886462799</v>
      </c>
      <c r="DF55" t="s">
        <v>181</v>
      </c>
      <c r="DG55">
        <v>2</v>
      </c>
      <c r="DH55">
        <v>1.06696428571428</v>
      </c>
    </row>
    <row r="56" spans="1:112" x14ac:dyDescent="0.4">
      <c r="A56">
        <v>54</v>
      </c>
      <c r="B56" t="s">
        <v>159</v>
      </c>
      <c r="C56">
        <v>1</v>
      </c>
      <c r="D56">
        <v>0.80768078605236304</v>
      </c>
      <c r="E56" t="s">
        <v>122</v>
      </c>
      <c r="F56">
        <v>2</v>
      </c>
      <c r="G56">
        <v>0.57023411371237398</v>
      </c>
      <c r="H56" t="s">
        <v>154</v>
      </c>
      <c r="I56">
        <v>2</v>
      </c>
      <c r="J56">
        <v>0.92877906976744096</v>
      </c>
      <c r="K56" t="s">
        <v>122</v>
      </c>
      <c r="L56">
        <v>2</v>
      </c>
      <c r="M56">
        <v>1.09649122807017</v>
      </c>
      <c r="N56" t="s">
        <v>154</v>
      </c>
      <c r="O56">
        <v>2</v>
      </c>
      <c r="P56">
        <v>0.96198347107437998</v>
      </c>
      <c r="Q56" t="s">
        <v>137</v>
      </c>
      <c r="R56">
        <v>2</v>
      </c>
      <c r="S56">
        <v>1.0159680638722499</v>
      </c>
      <c r="T56" t="s">
        <v>186</v>
      </c>
      <c r="U56">
        <v>2</v>
      </c>
      <c r="V56">
        <v>0.95385674931129405</v>
      </c>
      <c r="W56" t="s">
        <v>169</v>
      </c>
      <c r="X56">
        <v>2</v>
      </c>
      <c r="Y56">
        <v>1.0803884113339699</v>
      </c>
      <c r="Z56" t="s">
        <v>169</v>
      </c>
      <c r="AA56">
        <v>2</v>
      </c>
      <c r="AB56">
        <v>0.83262118756446102</v>
      </c>
      <c r="AC56" t="s">
        <v>163</v>
      </c>
      <c r="AD56">
        <v>1</v>
      </c>
      <c r="AE56">
        <v>1.17286914765906</v>
      </c>
      <c r="AF56" t="s">
        <v>166</v>
      </c>
      <c r="AG56">
        <v>2</v>
      </c>
      <c r="AH56">
        <v>0.99677419354838703</v>
      </c>
      <c r="AI56" t="s">
        <v>119</v>
      </c>
      <c r="AJ56">
        <v>2</v>
      </c>
      <c r="AK56">
        <v>1</v>
      </c>
      <c r="AL56" t="s">
        <v>175</v>
      </c>
      <c r="AM56">
        <v>2</v>
      </c>
      <c r="AN56">
        <v>0.96107784431137699</v>
      </c>
      <c r="AO56" t="s">
        <v>171</v>
      </c>
      <c r="AP56">
        <v>2</v>
      </c>
      <c r="AQ56">
        <v>0.883636363636363</v>
      </c>
      <c r="AR56" t="s">
        <v>131</v>
      </c>
      <c r="AS56">
        <v>1</v>
      </c>
      <c r="AT56">
        <v>0.84802431610942197</v>
      </c>
      <c r="AU56" t="s">
        <v>177</v>
      </c>
      <c r="AV56">
        <v>2</v>
      </c>
      <c r="AW56">
        <v>1.4346076458752499</v>
      </c>
      <c r="AX56" t="s">
        <v>169</v>
      </c>
      <c r="AY56">
        <v>2</v>
      </c>
      <c r="AZ56">
        <v>0.762107623318385</v>
      </c>
      <c r="BA56" t="s">
        <v>171</v>
      </c>
      <c r="BB56">
        <v>2</v>
      </c>
      <c r="BC56">
        <v>0.93721973094170397</v>
      </c>
      <c r="BD56" t="s">
        <v>131</v>
      </c>
      <c r="BE56">
        <v>1</v>
      </c>
      <c r="BF56">
        <v>1.0748502994011899</v>
      </c>
      <c r="BG56" t="s">
        <v>181</v>
      </c>
      <c r="BH56">
        <v>2</v>
      </c>
      <c r="BI56">
        <v>1.12503668916935</v>
      </c>
      <c r="BJ56" t="s">
        <v>175</v>
      </c>
      <c r="BK56">
        <v>2</v>
      </c>
      <c r="BL56">
        <v>1.13168724279835</v>
      </c>
      <c r="BM56" t="s">
        <v>119</v>
      </c>
      <c r="BN56">
        <v>2</v>
      </c>
      <c r="BO56">
        <v>0.66271393643031695</v>
      </c>
      <c r="BP56" t="s">
        <v>122</v>
      </c>
      <c r="BQ56">
        <v>3</v>
      </c>
      <c r="BR56">
        <v>1.3342318059299101</v>
      </c>
      <c r="BS56" t="s">
        <v>175</v>
      </c>
      <c r="BT56">
        <v>2</v>
      </c>
      <c r="BU56">
        <v>0.92460317460317398</v>
      </c>
      <c r="BV56" t="s">
        <v>169</v>
      </c>
      <c r="BW56">
        <v>2</v>
      </c>
      <c r="BX56">
        <v>0.98180076628352397</v>
      </c>
      <c r="BY56" t="s">
        <v>169</v>
      </c>
      <c r="BZ56">
        <v>2</v>
      </c>
      <c r="CA56">
        <v>1.27512195121951</v>
      </c>
      <c r="CB56" t="s">
        <v>169</v>
      </c>
      <c r="CC56">
        <v>2</v>
      </c>
      <c r="CD56">
        <v>0.86457536342769703</v>
      </c>
      <c r="CE56" t="s">
        <v>175</v>
      </c>
      <c r="CF56">
        <v>2</v>
      </c>
      <c r="CG56">
        <v>1.1774193548387</v>
      </c>
      <c r="CH56" t="s">
        <v>179</v>
      </c>
      <c r="CI56">
        <v>3</v>
      </c>
      <c r="CJ56">
        <v>0.958620689655172</v>
      </c>
      <c r="CK56" t="s">
        <v>184</v>
      </c>
      <c r="CL56">
        <v>3</v>
      </c>
      <c r="CM56">
        <v>0.96943231441047995</v>
      </c>
      <c r="CN56" t="s">
        <v>190</v>
      </c>
      <c r="CO56">
        <v>3</v>
      </c>
      <c r="CP56">
        <v>0.97164948453608202</v>
      </c>
      <c r="CQ56" t="s">
        <v>206</v>
      </c>
      <c r="CR56">
        <v>2</v>
      </c>
      <c r="CS56">
        <v>0.88339222614840895</v>
      </c>
      <c r="CT56" t="s">
        <v>158</v>
      </c>
      <c r="CU56">
        <v>2</v>
      </c>
      <c r="CV56">
        <v>1.09165808444902</v>
      </c>
      <c r="CW56" t="s">
        <v>158</v>
      </c>
      <c r="CX56">
        <v>2</v>
      </c>
      <c r="CY56">
        <v>0.95754716981132004</v>
      </c>
      <c r="CZ56" t="s">
        <v>199</v>
      </c>
      <c r="DA56">
        <v>3</v>
      </c>
      <c r="DB56">
        <v>0.95245398773006096</v>
      </c>
      <c r="DC56" t="s">
        <v>184</v>
      </c>
      <c r="DD56">
        <v>3</v>
      </c>
      <c r="DE56">
        <v>0.98557692307692302</v>
      </c>
      <c r="DF56" t="s">
        <v>184</v>
      </c>
      <c r="DG56">
        <v>3</v>
      </c>
      <c r="DH56">
        <v>1.2195121951219501</v>
      </c>
    </row>
    <row r="57" spans="1:112" x14ac:dyDescent="0.4">
      <c r="A57">
        <v>55</v>
      </c>
      <c r="B57" t="s">
        <v>166</v>
      </c>
      <c r="C57">
        <v>2</v>
      </c>
      <c r="D57">
        <v>1.0440097799510999</v>
      </c>
      <c r="E57" t="s">
        <v>169</v>
      </c>
      <c r="F57">
        <v>2</v>
      </c>
      <c r="G57">
        <v>0.75527983104540597</v>
      </c>
      <c r="H57" t="s">
        <v>114</v>
      </c>
      <c r="I57">
        <v>2</v>
      </c>
      <c r="J57">
        <v>1.20842105263157</v>
      </c>
      <c r="K57" t="s">
        <v>123</v>
      </c>
      <c r="L57">
        <v>1</v>
      </c>
      <c r="M57">
        <v>0.79533149906807399</v>
      </c>
      <c r="N57" t="s">
        <v>173</v>
      </c>
      <c r="O57">
        <v>3</v>
      </c>
      <c r="P57">
        <v>1.3792048929663601</v>
      </c>
      <c r="Q57" t="s">
        <v>186</v>
      </c>
      <c r="R57">
        <v>2</v>
      </c>
      <c r="S57">
        <v>1.14234893704356</v>
      </c>
      <c r="T57" t="s">
        <v>190</v>
      </c>
      <c r="U57">
        <v>3</v>
      </c>
      <c r="V57">
        <v>0.92894736842105197</v>
      </c>
      <c r="W57" t="s">
        <v>171</v>
      </c>
      <c r="X57">
        <v>2</v>
      </c>
      <c r="Y57">
        <v>1.0434782608695601</v>
      </c>
      <c r="Z57" t="s">
        <v>171</v>
      </c>
      <c r="AA57">
        <v>2</v>
      </c>
      <c r="AB57">
        <v>0.89743589743589702</v>
      </c>
      <c r="AC57" t="s">
        <v>122</v>
      </c>
      <c r="AD57">
        <v>2</v>
      </c>
      <c r="AE57">
        <v>1.08558558558558</v>
      </c>
      <c r="AF57" t="s">
        <v>163</v>
      </c>
      <c r="AG57">
        <v>1</v>
      </c>
      <c r="AH57">
        <v>0.90174002047082902</v>
      </c>
      <c r="AI57" t="s">
        <v>159</v>
      </c>
      <c r="AJ57">
        <v>1</v>
      </c>
      <c r="AK57">
        <v>1.0399319617689899</v>
      </c>
      <c r="AL57" t="s">
        <v>131</v>
      </c>
      <c r="AM57">
        <v>1</v>
      </c>
      <c r="AN57">
        <v>1.5358490566037699</v>
      </c>
      <c r="AO57" t="s">
        <v>175</v>
      </c>
      <c r="AP57">
        <v>2</v>
      </c>
      <c r="AQ57">
        <v>1.0155763239875299</v>
      </c>
      <c r="AR57" t="s">
        <v>177</v>
      </c>
      <c r="AS57">
        <v>2</v>
      </c>
      <c r="AT57">
        <v>0.77656250000000004</v>
      </c>
      <c r="AU57" t="s">
        <v>134</v>
      </c>
      <c r="AV57">
        <v>2</v>
      </c>
      <c r="AW57">
        <v>1.15151515151515</v>
      </c>
      <c r="AX57" t="s">
        <v>171</v>
      </c>
      <c r="AY57">
        <v>2</v>
      </c>
      <c r="AZ57">
        <v>0.70236220472440902</v>
      </c>
      <c r="BA57" t="s">
        <v>125</v>
      </c>
      <c r="BB57">
        <v>1</v>
      </c>
      <c r="BC57">
        <v>1.13818181818181</v>
      </c>
      <c r="BD57" t="s">
        <v>134</v>
      </c>
      <c r="BE57">
        <v>3</v>
      </c>
      <c r="BF57">
        <v>0.86641221374045796</v>
      </c>
      <c r="BG57" t="s">
        <v>188</v>
      </c>
      <c r="BH57">
        <v>3</v>
      </c>
      <c r="BI57">
        <v>1.0169491525423699</v>
      </c>
      <c r="BJ57" t="s">
        <v>131</v>
      </c>
      <c r="BK57">
        <v>1</v>
      </c>
      <c r="BL57">
        <v>1.01136363636363</v>
      </c>
      <c r="BM57" t="s">
        <v>159</v>
      </c>
      <c r="BN57">
        <v>2</v>
      </c>
      <c r="BO57">
        <v>0.73076923076922995</v>
      </c>
      <c r="BP57" t="s">
        <v>169</v>
      </c>
      <c r="BQ57">
        <v>2</v>
      </c>
      <c r="BR57">
        <v>1.1782890007189</v>
      </c>
      <c r="BS57" t="s">
        <v>131</v>
      </c>
      <c r="BT57">
        <v>1</v>
      </c>
      <c r="BU57">
        <v>1.02941176470588</v>
      </c>
      <c r="BV57" t="s">
        <v>171</v>
      </c>
      <c r="BW57">
        <v>2</v>
      </c>
      <c r="BX57">
        <v>1.0716803760282001</v>
      </c>
      <c r="BY57" t="s">
        <v>171</v>
      </c>
      <c r="BZ57">
        <v>2</v>
      </c>
      <c r="CA57">
        <v>1.32675438596491</v>
      </c>
      <c r="CB57" t="s">
        <v>171</v>
      </c>
      <c r="CC57">
        <v>2</v>
      </c>
      <c r="CD57">
        <v>0.79338842975206603</v>
      </c>
      <c r="CE57" t="s">
        <v>131</v>
      </c>
      <c r="CF57">
        <v>1</v>
      </c>
      <c r="CG57">
        <v>1.0941176470588201</v>
      </c>
      <c r="CH57" t="s">
        <v>182</v>
      </c>
      <c r="CI57">
        <v>3</v>
      </c>
      <c r="CJ57">
        <v>1.14222873900293</v>
      </c>
      <c r="CK57" t="s">
        <v>190</v>
      </c>
      <c r="CL57">
        <v>3</v>
      </c>
      <c r="CM57">
        <v>0.98979591836734604</v>
      </c>
      <c r="CN57" t="s">
        <v>145</v>
      </c>
      <c r="CO57">
        <v>1</v>
      </c>
      <c r="CP57">
        <v>0.960302457466918</v>
      </c>
      <c r="CQ57" t="s">
        <v>210</v>
      </c>
      <c r="CR57">
        <v>3</v>
      </c>
      <c r="CS57">
        <v>1.09326424870466</v>
      </c>
      <c r="CT57" t="s">
        <v>217</v>
      </c>
      <c r="CU57">
        <v>3</v>
      </c>
      <c r="CV57">
        <v>1.09052631578947</v>
      </c>
      <c r="CW57" t="s">
        <v>162</v>
      </c>
      <c r="CX57">
        <v>1</v>
      </c>
      <c r="CY57">
        <v>1.1234042553191399</v>
      </c>
      <c r="CZ57" t="s">
        <v>198</v>
      </c>
      <c r="DA57">
        <v>3</v>
      </c>
      <c r="DB57">
        <v>0.99354838709677396</v>
      </c>
      <c r="DC57" t="s">
        <v>137</v>
      </c>
      <c r="DD57">
        <v>2</v>
      </c>
      <c r="DE57">
        <v>1.0650969529085801</v>
      </c>
      <c r="DF57" t="s">
        <v>145</v>
      </c>
      <c r="DG57">
        <v>1</v>
      </c>
      <c r="DH57">
        <v>0.94720000000000004</v>
      </c>
    </row>
    <row r="58" spans="1:112" x14ac:dyDescent="0.4">
      <c r="A58">
        <v>56</v>
      </c>
      <c r="B58" t="s">
        <v>122</v>
      </c>
      <c r="C58">
        <v>1</v>
      </c>
      <c r="D58">
        <v>0.87426900584795297</v>
      </c>
      <c r="E58" t="s">
        <v>171</v>
      </c>
      <c r="F58">
        <v>2</v>
      </c>
      <c r="G58">
        <v>0.89672544080604499</v>
      </c>
      <c r="H58" t="s">
        <v>116</v>
      </c>
      <c r="I58">
        <v>2</v>
      </c>
      <c r="J58">
        <v>0.75479452054794505</v>
      </c>
      <c r="K58" t="s">
        <v>169</v>
      </c>
      <c r="L58">
        <v>2</v>
      </c>
      <c r="M58">
        <v>1.44307304785894</v>
      </c>
      <c r="N58" t="s">
        <v>114</v>
      </c>
      <c r="O58">
        <v>2</v>
      </c>
      <c r="P58">
        <v>0.95652173913043403</v>
      </c>
      <c r="Q58" t="s">
        <v>145</v>
      </c>
      <c r="R58">
        <v>1</v>
      </c>
      <c r="S58">
        <v>1.3238731218697799</v>
      </c>
      <c r="T58" t="s">
        <v>150</v>
      </c>
      <c r="U58">
        <v>3</v>
      </c>
      <c r="V58">
        <v>0.84360189573459698</v>
      </c>
      <c r="W58" t="s">
        <v>175</v>
      </c>
      <c r="X58">
        <v>2</v>
      </c>
      <c r="Y58">
        <v>0.96666666666666601</v>
      </c>
      <c r="Z58" t="s">
        <v>175</v>
      </c>
      <c r="AA58">
        <v>2</v>
      </c>
      <c r="AB58">
        <v>1.1482758620689599</v>
      </c>
      <c r="AC58" t="s">
        <v>169</v>
      </c>
      <c r="AD58">
        <v>2</v>
      </c>
      <c r="AE58">
        <v>1.09148823217129</v>
      </c>
      <c r="AF58" t="s">
        <v>122</v>
      </c>
      <c r="AG58">
        <v>2</v>
      </c>
      <c r="AH58">
        <v>1.2365145228215699</v>
      </c>
      <c r="AI58" t="s">
        <v>166</v>
      </c>
      <c r="AJ58">
        <v>2</v>
      </c>
      <c r="AK58">
        <v>0.97734627831715204</v>
      </c>
      <c r="AL58" t="s">
        <v>134</v>
      </c>
      <c r="AM58">
        <v>2</v>
      </c>
      <c r="AN58">
        <v>1.1315789473684199</v>
      </c>
      <c r="AO58" t="s">
        <v>131</v>
      </c>
      <c r="AP58">
        <v>1</v>
      </c>
      <c r="AQ58">
        <v>0.80835380835380799</v>
      </c>
      <c r="AR58" t="s">
        <v>134</v>
      </c>
      <c r="AS58">
        <v>2</v>
      </c>
      <c r="AT58">
        <v>0.80487804878048697</v>
      </c>
      <c r="AU58" t="s">
        <v>137</v>
      </c>
      <c r="AV58">
        <v>2</v>
      </c>
      <c r="AW58">
        <v>1.0025542784163399</v>
      </c>
      <c r="AX58" t="s">
        <v>175</v>
      </c>
      <c r="AY58">
        <v>2</v>
      </c>
      <c r="AZ58">
        <v>0.65240641711229896</v>
      </c>
      <c r="BA58" t="s">
        <v>175</v>
      </c>
      <c r="BB58">
        <v>2</v>
      </c>
      <c r="BC58">
        <v>1.0204918032786801</v>
      </c>
      <c r="BD58" t="s">
        <v>181</v>
      </c>
      <c r="BE58">
        <v>2</v>
      </c>
      <c r="BF58">
        <v>0.94116022099447505</v>
      </c>
      <c r="BG58" t="s">
        <v>137</v>
      </c>
      <c r="BH58">
        <v>2</v>
      </c>
      <c r="BI58">
        <v>1.0680127523910701</v>
      </c>
      <c r="BJ58" t="s">
        <v>134</v>
      </c>
      <c r="BK58">
        <v>3</v>
      </c>
      <c r="BL58">
        <v>0.96498054474708095</v>
      </c>
      <c r="BM58" t="s">
        <v>166</v>
      </c>
      <c r="BN58">
        <v>3</v>
      </c>
      <c r="BO58">
        <v>0.92460317460317398</v>
      </c>
      <c r="BP58" t="s">
        <v>171</v>
      </c>
      <c r="BQ58">
        <v>2</v>
      </c>
      <c r="BR58">
        <v>1.02955082742316</v>
      </c>
      <c r="BS58" t="s">
        <v>134</v>
      </c>
      <c r="BT58">
        <v>3</v>
      </c>
      <c r="BU58">
        <v>0.98355263157894701</v>
      </c>
      <c r="BV58" t="s">
        <v>125</v>
      </c>
      <c r="BW58">
        <v>1</v>
      </c>
      <c r="BX58">
        <v>1.08392857142857</v>
      </c>
      <c r="BY58" t="s">
        <v>125</v>
      </c>
      <c r="BZ58">
        <v>1</v>
      </c>
      <c r="CA58">
        <v>1.16803953871499</v>
      </c>
      <c r="CB58" t="s">
        <v>175</v>
      </c>
      <c r="CC58">
        <v>2</v>
      </c>
      <c r="CD58">
        <v>0.94994892747701698</v>
      </c>
      <c r="CE58" t="s">
        <v>179</v>
      </c>
      <c r="CF58">
        <v>3</v>
      </c>
      <c r="CG58">
        <v>1.12403100775193</v>
      </c>
      <c r="CH58" t="s">
        <v>181</v>
      </c>
      <c r="CI58">
        <v>2</v>
      </c>
      <c r="CJ58">
        <v>1.1634615384615301</v>
      </c>
      <c r="CK58" t="s">
        <v>145</v>
      </c>
      <c r="CL58">
        <v>1</v>
      </c>
      <c r="CM58">
        <v>0.70911528150133996</v>
      </c>
      <c r="CN58" t="s">
        <v>150</v>
      </c>
      <c r="CO58">
        <v>3</v>
      </c>
      <c r="CP58">
        <v>1.1004464285714199</v>
      </c>
      <c r="CQ58" t="s">
        <v>158</v>
      </c>
      <c r="CR58">
        <v>2</v>
      </c>
      <c r="CS58">
        <v>0.95196078431372499</v>
      </c>
      <c r="CT58" t="s">
        <v>214</v>
      </c>
      <c r="CU58">
        <v>3</v>
      </c>
      <c r="CV58">
        <v>0.94327390599675798</v>
      </c>
      <c r="CW58" t="s">
        <v>217</v>
      </c>
      <c r="CX58">
        <v>3</v>
      </c>
      <c r="CY58">
        <v>1.00378378378378</v>
      </c>
      <c r="CZ58" t="s">
        <v>206</v>
      </c>
      <c r="DA58">
        <v>2</v>
      </c>
      <c r="DB58">
        <v>1.005291005291</v>
      </c>
      <c r="DC58" t="s">
        <v>190</v>
      </c>
      <c r="DD58">
        <v>3</v>
      </c>
      <c r="DE58">
        <v>1.0321715817694299</v>
      </c>
      <c r="DF58" t="s">
        <v>150</v>
      </c>
      <c r="DG58">
        <v>3</v>
      </c>
      <c r="DH58">
        <v>1.4347826086956501</v>
      </c>
    </row>
    <row r="59" spans="1:112" x14ac:dyDescent="0.4">
      <c r="A59">
        <v>57</v>
      </c>
      <c r="B59" t="s">
        <v>169</v>
      </c>
      <c r="C59">
        <v>2</v>
      </c>
      <c r="D59">
        <v>0.76186645213193804</v>
      </c>
      <c r="E59" t="s">
        <v>131</v>
      </c>
      <c r="F59">
        <v>1</v>
      </c>
      <c r="G59">
        <v>0.67592592592592504</v>
      </c>
      <c r="H59" t="s">
        <v>159</v>
      </c>
      <c r="I59">
        <v>1</v>
      </c>
      <c r="J59">
        <v>0.66636396658190999</v>
      </c>
      <c r="K59" t="s">
        <v>171</v>
      </c>
      <c r="L59">
        <v>2</v>
      </c>
      <c r="M59">
        <v>1.2723577235772301</v>
      </c>
      <c r="N59" t="s">
        <v>116</v>
      </c>
      <c r="O59">
        <v>2</v>
      </c>
      <c r="P59">
        <v>1.3013468013467999</v>
      </c>
      <c r="Q59" t="s">
        <v>150</v>
      </c>
      <c r="R59">
        <v>3</v>
      </c>
      <c r="S59">
        <v>1.14054054054054</v>
      </c>
      <c r="T59" t="s">
        <v>153</v>
      </c>
      <c r="U59">
        <v>2</v>
      </c>
      <c r="V59">
        <v>0.82666666666666599</v>
      </c>
      <c r="W59" t="s">
        <v>131</v>
      </c>
      <c r="X59">
        <v>1</v>
      </c>
      <c r="Y59">
        <v>1.02612826603325</v>
      </c>
      <c r="Z59" t="s">
        <v>131</v>
      </c>
      <c r="AA59">
        <v>1</v>
      </c>
      <c r="AB59">
        <v>0.97916666666666596</v>
      </c>
      <c r="AC59" t="s">
        <v>171</v>
      </c>
      <c r="AD59">
        <v>2</v>
      </c>
      <c r="AE59">
        <v>1.02857142857142</v>
      </c>
      <c r="AF59" t="s">
        <v>169</v>
      </c>
      <c r="AG59">
        <v>2</v>
      </c>
      <c r="AH59">
        <v>1.0951686121919499</v>
      </c>
      <c r="AI59" t="s">
        <v>163</v>
      </c>
      <c r="AJ59">
        <v>1</v>
      </c>
      <c r="AK59">
        <v>0.87400681044267803</v>
      </c>
      <c r="AL59" t="s">
        <v>184</v>
      </c>
      <c r="AM59">
        <v>3</v>
      </c>
      <c r="AN59">
        <v>1.1867266591676</v>
      </c>
      <c r="AO59" t="s">
        <v>134</v>
      </c>
      <c r="AP59">
        <v>2</v>
      </c>
      <c r="AQ59">
        <v>0.866807610993657</v>
      </c>
      <c r="AR59" t="s">
        <v>184</v>
      </c>
      <c r="AS59">
        <v>3</v>
      </c>
      <c r="AT59">
        <v>0.89891696750902494</v>
      </c>
      <c r="AU59" t="s">
        <v>186</v>
      </c>
      <c r="AV59">
        <v>3</v>
      </c>
      <c r="AW59">
        <v>0.95687591331654298</v>
      </c>
      <c r="AX59" t="s">
        <v>131</v>
      </c>
      <c r="AY59">
        <v>1</v>
      </c>
      <c r="AZ59">
        <v>0.72271386430678397</v>
      </c>
      <c r="BA59" t="s">
        <v>131</v>
      </c>
      <c r="BB59">
        <v>1</v>
      </c>
      <c r="BC59">
        <v>1.36326530612244</v>
      </c>
      <c r="BD59" t="s">
        <v>188</v>
      </c>
      <c r="BE59">
        <v>3</v>
      </c>
      <c r="BF59">
        <v>0.84285714285714197</v>
      </c>
      <c r="BG59" t="s">
        <v>186</v>
      </c>
      <c r="BH59">
        <v>3</v>
      </c>
      <c r="BI59">
        <v>1.2596071733561001</v>
      </c>
      <c r="BJ59" t="s">
        <v>182</v>
      </c>
      <c r="BK59">
        <v>3</v>
      </c>
      <c r="BL59">
        <v>1.2017045454545401</v>
      </c>
      <c r="BM59" t="s">
        <v>163</v>
      </c>
      <c r="BN59">
        <v>2</v>
      </c>
      <c r="BO59">
        <v>0.72838002436053595</v>
      </c>
      <c r="BP59" t="s">
        <v>175</v>
      </c>
      <c r="BQ59">
        <v>2</v>
      </c>
      <c r="BR59">
        <v>1.008</v>
      </c>
      <c r="BS59" t="s">
        <v>182</v>
      </c>
      <c r="BT59">
        <v>3</v>
      </c>
      <c r="BU59">
        <v>0.997282608695652</v>
      </c>
      <c r="BV59" t="s">
        <v>175</v>
      </c>
      <c r="BW59">
        <v>2</v>
      </c>
      <c r="BX59">
        <v>0.935622317596566</v>
      </c>
      <c r="BY59" t="s">
        <v>175</v>
      </c>
      <c r="BZ59">
        <v>2</v>
      </c>
      <c r="CA59">
        <v>0.89816513761467798</v>
      </c>
      <c r="CB59" t="s">
        <v>131</v>
      </c>
      <c r="CC59">
        <v>1</v>
      </c>
      <c r="CD59">
        <v>1.0591900311526401</v>
      </c>
      <c r="CE59" t="s">
        <v>182</v>
      </c>
      <c r="CF59">
        <v>3</v>
      </c>
      <c r="CG59">
        <v>0.98697539797394995</v>
      </c>
      <c r="CH59" t="s">
        <v>184</v>
      </c>
      <c r="CI59">
        <v>3</v>
      </c>
      <c r="CJ59">
        <v>1.4066339066339</v>
      </c>
      <c r="CK59" t="s">
        <v>150</v>
      </c>
      <c r="CL59">
        <v>3</v>
      </c>
      <c r="CM59">
        <v>0.83738317757009295</v>
      </c>
      <c r="CN59" t="s">
        <v>155</v>
      </c>
      <c r="CO59">
        <v>2</v>
      </c>
      <c r="CP59">
        <v>1</v>
      </c>
      <c r="CQ59" t="s">
        <v>217</v>
      </c>
      <c r="CR59">
        <v>3</v>
      </c>
      <c r="CS59">
        <v>0.88771772445241803</v>
      </c>
      <c r="CT59" t="s">
        <v>223</v>
      </c>
      <c r="CU59">
        <v>3</v>
      </c>
      <c r="CV59">
        <v>1.0491803278688501</v>
      </c>
      <c r="CW59" t="s">
        <v>214</v>
      </c>
      <c r="CX59">
        <v>3</v>
      </c>
      <c r="CY59">
        <v>1.1666666666666601</v>
      </c>
      <c r="CZ59" t="s">
        <v>210</v>
      </c>
      <c r="DA59">
        <v>3</v>
      </c>
      <c r="DB59">
        <v>0.96536796536796499</v>
      </c>
      <c r="DC59" t="s">
        <v>142</v>
      </c>
      <c r="DD59">
        <v>2</v>
      </c>
      <c r="DE59">
        <v>1.2184115523465699</v>
      </c>
      <c r="DF59" t="s">
        <v>155</v>
      </c>
      <c r="DG59">
        <v>1</v>
      </c>
      <c r="DH59">
        <v>1.2205513784461099</v>
      </c>
    </row>
    <row r="60" spans="1:112" x14ac:dyDescent="0.4">
      <c r="A60">
        <v>58</v>
      </c>
      <c r="B60" t="s">
        <v>171</v>
      </c>
      <c r="C60">
        <v>1</v>
      </c>
      <c r="D60">
        <v>0.79241516966067804</v>
      </c>
      <c r="E60" t="s">
        <v>177</v>
      </c>
      <c r="F60">
        <v>2</v>
      </c>
      <c r="G60">
        <v>0.55110642781875596</v>
      </c>
      <c r="H60" t="s">
        <v>166</v>
      </c>
      <c r="I60">
        <v>2</v>
      </c>
      <c r="J60">
        <v>0.67724867724867699</v>
      </c>
      <c r="K60" t="s">
        <v>125</v>
      </c>
      <c r="L60">
        <v>1</v>
      </c>
      <c r="M60">
        <v>0.98313253012048196</v>
      </c>
      <c r="N60" t="s">
        <v>159</v>
      </c>
      <c r="O60">
        <v>1</v>
      </c>
      <c r="P60">
        <v>1.4739776951672801</v>
      </c>
      <c r="Q60" t="s">
        <v>153</v>
      </c>
      <c r="R60">
        <v>2</v>
      </c>
      <c r="S60">
        <v>1.3128221649484499</v>
      </c>
      <c r="T60" t="s">
        <v>202</v>
      </c>
      <c r="U60">
        <v>3</v>
      </c>
      <c r="V60">
        <v>0.82847896440129398</v>
      </c>
      <c r="W60" t="s">
        <v>134</v>
      </c>
      <c r="X60">
        <v>2</v>
      </c>
      <c r="Y60">
        <v>0.88839285714285698</v>
      </c>
      <c r="Z60" t="s">
        <v>134</v>
      </c>
      <c r="AA60">
        <v>2</v>
      </c>
      <c r="AB60">
        <v>1.12562814070351</v>
      </c>
      <c r="AC60" t="s">
        <v>175</v>
      </c>
      <c r="AD60">
        <v>2</v>
      </c>
      <c r="AE60">
        <v>1.2432432432432401</v>
      </c>
      <c r="AF60" t="s">
        <v>171</v>
      </c>
      <c r="AG60">
        <v>2</v>
      </c>
      <c r="AH60">
        <v>1.02430555555555</v>
      </c>
      <c r="AI60" t="s">
        <v>122</v>
      </c>
      <c r="AJ60">
        <v>2</v>
      </c>
      <c r="AK60">
        <v>0.778523489932885</v>
      </c>
      <c r="AL60" t="s">
        <v>137</v>
      </c>
      <c r="AM60">
        <v>2</v>
      </c>
      <c r="AN60">
        <v>1.0927536231884001</v>
      </c>
      <c r="AO60" t="s">
        <v>184</v>
      </c>
      <c r="AP60">
        <v>3</v>
      </c>
      <c r="AQ60">
        <v>0.787677725118483</v>
      </c>
      <c r="AR60" t="s">
        <v>187</v>
      </c>
      <c r="AS60">
        <v>3</v>
      </c>
      <c r="AT60">
        <v>0.78050212890911697</v>
      </c>
      <c r="AU60" t="s">
        <v>145</v>
      </c>
      <c r="AV60">
        <v>1</v>
      </c>
      <c r="AW60">
        <v>1.1927083333333299</v>
      </c>
      <c r="AX60" t="s">
        <v>134</v>
      </c>
      <c r="AY60">
        <v>2</v>
      </c>
      <c r="AZ60">
        <v>0.61578947368421</v>
      </c>
      <c r="BA60" t="s">
        <v>134</v>
      </c>
      <c r="BB60">
        <v>3</v>
      </c>
      <c r="BC60">
        <v>1.1196581196581099</v>
      </c>
      <c r="BD60" t="s">
        <v>187</v>
      </c>
      <c r="BE60">
        <v>3</v>
      </c>
      <c r="BF60">
        <v>1.58808724832214</v>
      </c>
      <c r="BG60" t="s">
        <v>145</v>
      </c>
      <c r="BH60">
        <v>1</v>
      </c>
      <c r="BI60">
        <v>1.05977584059775</v>
      </c>
      <c r="BJ60" t="s">
        <v>188</v>
      </c>
      <c r="BK60">
        <v>3</v>
      </c>
      <c r="BL60">
        <v>0.851515151515151</v>
      </c>
      <c r="BM60" t="s">
        <v>122</v>
      </c>
      <c r="BN60">
        <v>3</v>
      </c>
      <c r="BO60">
        <v>1.04950495049504</v>
      </c>
      <c r="BP60" t="s">
        <v>131</v>
      </c>
      <c r="BQ60">
        <v>1</v>
      </c>
      <c r="BR60">
        <v>1</v>
      </c>
      <c r="BS60" t="s">
        <v>181</v>
      </c>
      <c r="BT60">
        <v>2</v>
      </c>
      <c r="BU60">
        <v>0.99518029275258801</v>
      </c>
      <c r="BV60" t="s">
        <v>131</v>
      </c>
      <c r="BW60">
        <v>1</v>
      </c>
      <c r="BX60">
        <v>0.95584415584415505</v>
      </c>
      <c r="BY60" t="s">
        <v>131</v>
      </c>
      <c r="BZ60">
        <v>1</v>
      </c>
      <c r="CA60">
        <v>0.872282608695652</v>
      </c>
      <c r="CB60" t="s">
        <v>134</v>
      </c>
      <c r="CC60">
        <v>3</v>
      </c>
      <c r="CD60">
        <v>0.93913043478260805</v>
      </c>
      <c r="CE60" t="s">
        <v>181</v>
      </c>
      <c r="CF60">
        <v>2</v>
      </c>
      <c r="CG60">
        <v>0.90829694323144095</v>
      </c>
      <c r="CH60" t="s">
        <v>137</v>
      </c>
      <c r="CI60">
        <v>2</v>
      </c>
      <c r="CJ60">
        <v>1.01768707482993</v>
      </c>
      <c r="CK60" t="s">
        <v>198</v>
      </c>
      <c r="CL60">
        <v>2</v>
      </c>
      <c r="CM60">
        <v>0.90821256038647302</v>
      </c>
      <c r="CN60" t="s">
        <v>198</v>
      </c>
      <c r="CO60">
        <v>2</v>
      </c>
      <c r="CP60">
        <v>0.86968085106382897</v>
      </c>
      <c r="CQ60" t="s">
        <v>214</v>
      </c>
      <c r="CR60">
        <v>3</v>
      </c>
      <c r="CS60">
        <v>1.0529010238907801</v>
      </c>
      <c r="CT60" t="s">
        <v>222</v>
      </c>
      <c r="CU60">
        <v>3</v>
      </c>
      <c r="CV60">
        <v>1.21929824561403</v>
      </c>
      <c r="CW60" t="s">
        <v>223</v>
      </c>
      <c r="CX60">
        <v>3</v>
      </c>
      <c r="CY60">
        <v>0.96484375</v>
      </c>
      <c r="CZ60" t="s">
        <v>158</v>
      </c>
      <c r="DA60">
        <v>2</v>
      </c>
      <c r="DB60">
        <v>0.96650246305418697</v>
      </c>
      <c r="DC60" t="s">
        <v>145</v>
      </c>
      <c r="DD60">
        <v>1</v>
      </c>
      <c r="DE60">
        <v>1.2525050100200401</v>
      </c>
      <c r="DF60" t="s">
        <v>198</v>
      </c>
      <c r="DG60">
        <v>3</v>
      </c>
      <c r="DH60">
        <v>0.98722044728434499</v>
      </c>
    </row>
    <row r="61" spans="1:112" x14ac:dyDescent="0.4">
      <c r="A61">
        <v>59</v>
      </c>
      <c r="B61" t="s">
        <v>175</v>
      </c>
      <c r="C61">
        <v>2</v>
      </c>
      <c r="D61">
        <v>1.44910179640718</v>
      </c>
      <c r="E61" t="s">
        <v>134</v>
      </c>
      <c r="F61">
        <v>2</v>
      </c>
      <c r="G61">
        <v>0.80968858131487798</v>
      </c>
      <c r="H61" t="s">
        <v>122</v>
      </c>
      <c r="I61">
        <v>2</v>
      </c>
      <c r="J61">
        <v>0.66862170087976502</v>
      </c>
      <c r="K61" t="s">
        <v>175</v>
      </c>
      <c r="L61">
        <v>2</v>
      </c>
      <c r="M61">
        <v>1.30530973451327</v>
      </c>
      <c r="N61" t="s">
        <v>166</v>
      </c>
      <c r="O61">
        <v>2</v>
      </c>
      <c r="P61">
        <v>1.09615384615384</v>
      </c>
      <c r="Q61" t="s">
        <v>198</v>
      </c>
      <c r="R61">
        <v>2</v>
      </c>
      <c r="S61">
        <v>1.1589147286821699</v>
      </c>
      <c r="T61" t="s">
        <v>198</v>
      </c>
      <c r="U61">
        <v>2</v>
      </c>
      <c r="V61">
        <v>0.93645484949832702</v>
      </c>
      <c r="W61" t="s">
        <v>187</v>
      </c>
      <c r="X61">
        <v>3</v>
      </c>
      <c r="Y61">
        <v>0.89992150706436402</v>
      </c>
      <c r="Z61" t="s">
        <v>137</v>
      </c>
      <c r="AA61">
        <v>2</v>
      </c>
      <c r="AB61">
        <v>0.93786982248520701</v>
      </c>
      <c r="AC61" t="s">
        <v>131</v>
      </c>
      <c r="AD61">
        <v>1</v>
      </c>
      <c r="AE61">
        <v>1.08747044917257</v>
      </c>
      <c r="AF61" t="s">
        <v>131</v>
      </c>
      <c r="AG61">
        <v>1</v>
      </c>
      <c r="AH61">
        <v>1.38043478260869</v>
      </c>
      <c r="AI61" t="s">
        <v>169</v>
      </c>
      <c r="AJ61">
        <v>2</v>
      </c>
      <c r="AK61">
        <v>0.98075499629903695</v>
      </c>
      <c r="AL61" t="s">
        <v>186</v>
      </c>
      <c r="AM61">
        <v>2</v>
      </c>
      <c r="AN61">
        <v>1.11899123640952</v>
      </c>
      <c r="AO61" t="s">
        <v>137</v>
      </c>
      <c r="AP61">
        <v>2</v>
      </c>
      <c r="AQ61">
        <v>1.09151193633952</v>
      </c>
      <c r="AR61" t="s">
        <v>137</v>
      </c>
      <c r="AS61">
        <v>2</v>
      </c>
      <c r="AT61">
        <v>0.95139732685297695</v>
      </c>
      <c r="AU61" t="s">
        <v>150</v>
      </c>
      <c r="AV61">
        <v>3</v>
      </c>
      <c r="AW61">
        <v>1.22257053291536</v>
      </c>
      <c r="AX61" t="s">
        <v>184</v>
      </c>
      <c r="AY61">
        <v>3</v>
      </c>
      <c r="AZ61">
        <v>0.65818584070796404</v>
      </c>
      <c r="BA61" t="s">
        <v>188</v>
      </c>
      <c r="BB61">
        <v>3</v>
      </c>
      <c r="BC61">
        <v>1.1356932153392301</v>
      </c>
      <c r="BD61" t="s">
        <v>137</v>
      </c>
      <c r="BE61">
        <v>2</v>
      </c>
      <c r="BF61">
        <v>1.1392251815980601</v>
      </c>
      <c r="BG61" t="s">
        <v>203</v>
      </c>
      <c r="BH61">
        <v>3</v>
      </c>
      <c r="BI61">
        <v>1.5384615384615301</v>
      </c>
      <c r="BJ61" t="s">
        <v>137</v>
      </c>
      <c r="BK61">
        <v>2</v>
      </c>
      <c r="BL61">
        <v>0.947263681592039</v>
      </c>
      <c r="BM61" t="s">
        <v>169</v>
      </c>
      <c r="BN61">
        <v>2</v>
      </c>
      <c r="BO61">
        <v>0.75886524822695001</v>
      </c>
      <c r="BP61" t="s">
        <v>134</v>
      </c>
      <c r="BQ61">
        <v>3</v>
      </c>
      <c r="BR61">
        <v>1.15151515151515</v>
      </c>
      <c r="BS61" t="s">
        <v>186</v>
      </c>
      <c r="BT61">
        <v>3</v>
      </c>
      <c r="BU61">
        <v>1.0511679644048899</v>
      </c>
      <c r="BV61" t="s">
        <v>134</v>
      </c>
      <c r="BW61">
        <v>3</v>
      </c>
      <c r="BX61">
        <v>0.93311036789297597</v>
      </c>
      <c r="BY61" t="s">
        <v>134</v>
      </c>
      <c r="BZ61">
        <v>3</v>
      </c>
      <c r="CA61">
        <v>0.82437275985663006</v>
      </c>
      <c r="CB61" t="s">
        <v>182</v>
      </c>
      <c r="CC61">
        <v>3</v>
      </c>
      <c r="CD61">
        <v>0.90208877284595301</v>
      </c>
      <c r="CE61" t="s">
        <v>184</v>
      </c>
      <c r="CF61">
        <v>3</v>
      </c>
      <c r="CG61">
        <v>0.981905910735826</v>
      </c>
      <c r="CH61" t="s">
        <v>186</v>
      </c>
      <c r="CI61">
        <v>3</v>
      </c>
      <c r="CJ61">
        <v>1.8450704225352099</v>
      </c>
      <c r="CK61" t="s">
        <v>206</v>
      </c>
      <c r="CL61">
        <v>2</v>
      </c>
      <c r="CM61">
        <v>0.84425349087003199</v>
      </c>
      <c r="CN61" t="s">
        <v>206</v>
      </c>
      <c r="CO61">
        <v>2</v>
      </c>
      <c r="CP61">
        <v>1.0801526717557199</v>
      </c>
      <c r="CQ61" t="s">
        <v>223</v>
      </c>
      <c r="CR61">
        <v>3</v>
      </c>
      <c r="CS61">
        <v>0.98387096774193505</v>
      </c>
      <c r="CT61" t="s">
        <v>225</v>
      </c>
      <c r="CU61">
        <v>2</v>
      </c>
      <c r="CV61">
        <v>1.0723684210526301</v>
      </c>
      <c r="CW61" t="s">
        <v>222</v>
      </c>
      <c r="CX61">
        <v>3</v>
      </c>
      <c r="CY61">
        <v>0.86330935251798502</v>
      </c>
      <c r="CZ61" t="s">
        <v>217</v>
      </c>
      <c r="DA61">
        <v>3</v>
      </c>
      <c r="DB61">
        <v>0.84960381567812904</v>
      </c>
      <c r="DC61" t="s">
        <v>150</v>
      </c>
      <c r="DD61">
        <v>3</v>
      </c>
      <c r="DE61">
        <v>1.1605504587155899</v>
      </c>
      <c r="DF61" t="s">
        <v>206</v>
      </c>
      <c r="DG61">
        <v>2</v>
      </c>
      <c r="DH61">
        <v>1.0759668508287199</v>
      </c>
    </row>
    <row r="62" spans="1:112" x14ac:dyDescent="0.4">
      <c r="A62">
        <v>60</v>
      </c>
      <c r="B62" t="s">
        <v>131</v>
      </c>
      <c r="C62">
        <v>1</v>
      </c>
      <c r="D62">
        <v>0.950146627565982</v>
      </c>
      <c r="E62" t="s">
        <v>184</v>
      </c>
      <c r="F62">
        <v>2</v>
      </c>
      <c r="G62">
        <v>0.83870967741935398</v>
      </c>
      <c r="H62" t="s">
        <v>169</v>
      </c>
      <c r="I62">
        <v>2</v>
      </c>
      <c r="J62">
        <v>0.69381335197483396</v>
      </c>
      <c r="K62" t="s">
        <v>131</v>
      </c>
      <c r="L62">
        <v>1</v>
      </c>
      <c r="M62">
        <v>0.99418604651162701</v>
      </c>
      <c r="N62" t="s">
        <v>163</v>
      </c>
      <c r="O62">
        <v>1</v>
      </c>
      <c r="P62">
        <v>2.1908127208480499</v>
      </c>
      <c r="Q62" t="s">
        <v>157</v>
      </c>
      <c r="R62">
        <v>1</v>
      </c>
      <c r="S62">
        <v>1.1179245283018799</v>
      </c>
      <c r="T62" t="s">
        <v>206</v>
      </c>
      <c r="U62">
        <v>2</v>
      </c>
      <c r="V62">
        <v>0.88372093023255804</v>
      </c>
      <c r="W62" t="s">
        <v>137</v>
      </c>
      <c r="X62">
        <v>2</v>
      </c>
      <c r="Y62">
        <v>1.00996015936254</v>
      </c>
      <c r="Z62" t="s">
        <v>186</v>
      </c>
      <c r="AA62">
        <v>2</v>
      </c>
      <c r="AB62">
        <v>1.05245525031109</v>
      </c>
      <c r="AC62" t="s">
        <v>134</v>
      </c>
      <c r="AD62">
        <v>2</v>
      </c>
      <c r="AE62">
        <v>0.97767857142857095</v>
      </c>
      <c r="AF62" t="s">
        <v>134</v>
      </c>
      <c r="AG62">
        <v>2</v>
      </c>
      <c r="AH62">
        <v>1.2214611872146099</v>
      </c>
      <c r="AI62" t="s">
        <v>171</v>
      </c>
      <c r="AJ62">
        <v>2</v>
      </c>
      <c r="AK62">
        <v>1.0542372881355899</v>
      </c>
      <c r="AL62" t="s">
        <v>190</v>
      </c>
      <c r="AM62">
        <v>3</v>
      </c>
      <c r="AN62">
        <v>0.74821428571428505</v>
      </c>
      <c r="AO62" t="s">
        <v>186</v>
      </c>
      <c r="AP62">
        <v>3</v>
      </c>
      <c r="AQ62">
        <v>1.2254043282821201</v>
      </c>
      <c r="AR62" t="s">
        <v>186</v>
      </c>
      <c r="AS62">
        <v>3</v>
      </c>
      <c r="AT62">
        <v>0.81087622433158102</v>
      </c>
      <c r="AU62" t="s">
        <v>153</v>
      </c>
      <c r="AV62">
        <v>2</v>
      </c>
      <c r="AW62">
        <v>0.98329511955453597</v>
      </c>
      <c r="AX62" t="s">
        <v>187</v>
      </c>
      <c r="AY62">
        <v>3</v>
      </c>
      <c r="AZ62">
        <v>0.810447268526159</v>
      </c>
      <c r="BA62" t="s">
        <v>137</v>
      </c>
      <c r="BB62">
        <v>2</v>
      </c>
      <c r="BC62">
        <v>1.2649310872894299</v>
      </c>
      <c r="BD62" t="s">
        <v>186</v>
      </c>
      <c r="BE62">
        <v>3</v>
      </c>
      <c r="BF62">
        <v>1.1552121012824701</v>
      </c>
      <c r="BG62" t="s">
        <v>153</v>
      </c>
      <c r="BH62">
        <v>2</v>
      </c>
      <c r="BI62">
        <v>1.13142272262026</v>
      </c>
      <c r="BJ62" t="s">
        <v>186</v>
      </c>
      <c r="BK62">
        <v>3</v>
      </c>
      <c r="BL62">
        <v>1.16525423728813</v>
      </c>
      <c r="BM62" t="s">
        <v>171</v>
      </c>
      <c r="BN62">
        <v>2</v>
      </c>
      <c r="BO62">
        <v>0.86591606960081802</v>
      </c>
      <c r="BP62" t="s">
        <v>182</v>
      </c>
      <c r="BQ62">
        <v>3</v>
      </c>
      <c r="BR62">
        <v>0.97872340425531901</v>
      </c>
      <c r="BS62" t="s">
        <v>145</v>
      </c>
      <c r="BT62">
        <v>1</v>
      </c>
      <c r="BU62">
        <v>0.82324455205811098</v>
      </c>
      <c r="BV62" t="s">
        <v>182</v>
      </c>
      <c r="BW62">
        <v>3</v>
      </c>
      <c r="BX62">
        <v>0.980926430517711</v>
      </c>
      <c r="BY62" t="s">
        <v>182</v>
      </c>
      <c r="BZ62">
        <v>3</v>
      </c>
      <c r="CA62">
        <v>1.06388888888888</v>
      </c>
      <c r="CB62" t="s">
        <v>181</v>
      </c>
      <c r="CC62">
        <v>2</v>
      </c>
      <c r="CD62">
        <v>0.97033898305084698</v>
      </c>
      <c r="CE62" t="s">
        <v>137</v>
      </c>
      <c r="CF62">
        <v>2</v>
      </c>
      <c r="CG62">
        <v>1.1238532110091699</v>
      </c>
      <c r="CH62" t="s">
        <v>142</v>
      </c>
      <c r="CI62">
        <v>2</v>
      </c>
      <c r="CJ62">
        <v>1.13730929264909</v>
      </c>
      <c r="CK62" t="s">
        <v>210</v>
      </c>
      <c r="CL62">
        <v>3</v>
      </c>
      <c r="CM62">
        <v>0.71724137931034404</v>
      </c>
      <c r="CN62" t="s">
        <v>210</v>
      </c>
      <c r="CO62">
        <v>3</v>
      </c>
      <c r="CP62">
        <v>0.92788461538461497</v>
      </c>
      <c r="CQ62" t="s">
        <v>222</v>
      </c>
      <c r="CR62">
        <v>3</v>
      </c>
      <c r="CS62">
        <v>0.92934782608695599</v>
      </c>
      <c r="CT62" t="s">
        <v>209</v>
      </c>
      <c r="CU62">
        <v>3</v>
      </c>
      <c r="CV62">
        <v>1.1228813559322</v>
      </c>
      <c r="CW62" t="s">
        <v>225</v>
      </c>
      <c r="CX62">
        <v>3</v>
      </c>
      <c r="CY62">
        <v>0.90490797546012203</v>
      </c>
      <c r="CZ62" t="s">
        <v>214</v>
      </c>
      <c r="DA62">
        <v>3</v>
      </c>
      <c r="DB62">
        <v>1.11045655375552</v>
      </c>
      <c r="DC62" t="s">
        <v>153</v>
      </c>
      <c r="DD62">
        <v>3</v>
      </c>
      <c r="DE62">
        <v>1.14685314685314</v>
      </c>
      <c r="DF62" t="s">
        <v>210</v>
      </c>
      <c r="DG62">
        <v>3</v>
      </c>
      <c r="DH62">
        <v>0.95925925925925903</v>
      </c>
    </row>
    <row r="63" spans="1:112" x14ac:dyDescent="0.4">
      <c r="A63">
        <v>61</v>
      </c>
      <c r="B63" t="s">
        <v>177</v>
      </c>
      <c r="C63">
        <v>2</v>
      </c>
      <c r="D63">
        <v>0.93222003929273001</v>
      </c>
      <c r="E63" t="s">
        <v>187</v>
      </c>
      <c r="F63">
        <v>3</v>
      </c>
      <c r="G63">
        <v>0.529554751882373</v>
      </c>
      <c r="H63" t="s">
        <v>171</v>
      </c>
      <c r="I63">
        <v>2</v>
      </c>
      <c r="J63">
        <v>0.69101123595505598</v>
      </c>
      <c r="K63" t="s">
        <v>177</v>
      </c>
      <c r="L63">
        <v>2</v>
      </c>
      <c r="M63">
        <v>1.15023474178403</v>
      </c>
      <c r="N63" t="s">
        <v>122</v>
      </c>
      <c r="O63">
        <v>2</v>
      </c>
      <c r="P63">
        <v>1.496</v>
      </c>
      <c r="Q63" t="s">
        <v>165</v>
      </c>
      <c r="R63">
        <v>2</v>
      </c>
      <c r="S63">
        <v>1.10481586402266</v>
      </c>
      <c r="T63" t="s">
        <v>165</v>
      </c>
      <c r="U63">
        <v>2</v>
      </c>
      <c r="V63">
        <v>0.69316239316239303</v>
      </c>
      <c r="W63" t="s">
        <v>186</v>
      </c>
      <c r="X63">
        <v>2</v>
      </c>
      <c r="Y63">
        <v>0.98386438549678201</v>
      </c>
      <c r="Z63" t="s">
        <v>150</v>
      </c>
      <c r="AA63">
        <v>3</v>
      </c>
      <c r="AB63">
        <v>1.07543103448275</v>
      </c>
      <c r="AC63" t="s">
        <v>137</v>
      </c>
      <c r="AD63">
        <v>2</v>
      </c>
      <c r="AE63">
        <v>1.0494216614090399</v>
      </c>
      <c r="AF63" t="s">
        <v>137</v>
      </c>
      <c r="AG63">
        <v>2</v>
      </c>
      <c r="AH63">
        <v>1.2705410821643199</v>
      </c>
      <c r="AI63" t="s">
        <v>131</v>
      </c>
      <c r="AJ63">
        <v>1</v>
      </c>
      <c r="AK63">
        <v>1.04330708661417</v>
      </c>
      <c r="AL63" t="s">
        <v>150</v>
      </c>
      <c r="AM63">
        <v>2</v>
      </c>
      <c r="AN63">
        <v>1.1517412935323299</v>
      </c>
      <c r="AO63" t="s">
        <v>190</v>
      </c>
      <c r="AP63">
        <v>3</v>
      </c>
      <c r="AQ63">
        <v>0.82100238663484404</v>
      </c>
      <c r="AR63" t="s">
        <v>145</v>
      </c>
      <c r="AS63">
        <v>1</v>
      </c>
      <c r="AT63">
        <v>0.88479262672810999</v>
      </c>
      <c r="AU63" t="s">
        <v>199</v>
      </c>
      <c r="AV63">
        <v>3</v>
      </c>
      <c r="AW63">
        <v>1.09551656920077</v>
      </c>
      <c r="AX63" t="s">
        <v>137</v>
      </c>
      <c r="AY63">
        <v>2</v>
      </c>
      <c r="AZ63">
        <v>0.83184713375796104</v>
      </c>
      <c r="BA63" t="s">
        <v>186</v>
      </c>
      <c r="BB63">
        <v>3</v>
      </c>
      <c r="BC63">
        <v>0.96239887651561595</v>
      </c>
      <c r="BD63" t="s">
        <v>145</v>
      </c>
      <c r="BE63">
        <v>1</v>
      </c>
      <c r="BF63">
        <v>0.96052631578947301</v>
      </c>
      <c r="BG63" t="s">
        <v>198</v>
      </c>
      <c r="BH63">
        <v>2</v>
      </c>
      <c r="BI63">
        <v>1.0489296636085601</v>
      </c>
      <c r="BJ63" t="s">
        <v>145</v>
      </c>
      <c r="BK63">
        <v>1</v>
      </c>
      <c r="BL63">
        <v>0.84723854289071598</v>
      </c>
      <c r="BM63" t="s">
        <v>175</v>
      </c>
      <c r="BN63">
        <v>2</v>
      </c>
      <c r="BO63">
        <v>0.90909090909090895</v>
      </c>
      <c r="BP63" t="s">
        <v>137</v>
      </c>
      <c r="BQ63">
        <v>2</v>
      </c>
      <c r="BR63">
        <v>1.1167701863354</v>
      </c>
      <c r="BS63" t="s">
        <v>203</v>
      </c>
      <c r="BT63">
        <v>3</v>
      </c>
      <c r="BU63">
        <v>0.89567809239940299</v>
      </c>
      <c r="BV63" t="s">
        <v>137</v>
      </c>
      <c r="BW63">
        <v>2</v>
      </c>
      <c r="BX63">
        <v>1.0865497076023301</v>
      </c>
      <c r="BY63" t="s">
        <v>181</v>
      </c>
      <c r="BZ63">
        <v>2</v>
      </c>
      <c r="CA63">
        <v>1.18</v>
      </c>
      <c r="CB63" t="s">
        <v>184</v>
      </c>
      <c r="CC63">
        <v>3</v>
      </c>
      <c r="CD63">
        <v>0.93672316384180698</v>
      </c>
      <c r="CE63" t="s">
        <v>186</v>
      </c>
      <c r="CF63">
        <v>3</v>
      </c>
      <c r="CG63">
        <v>1.07250755287009</v>
      </c>
      <c r="CH63" t="s">
        <v>145</v>
      </c>
      <c r="CI63">
        <v>1</v>
      </c>
      <c r="CJ63">
        <v>1.11343283582089</v>
      </c>
      <c r="CK63" t="s">
        <v>158</v>
      </c>
      <c r="CL63">
        <v>2</v>
      </c>
      <c r="CM63">
        <v>0.80701754385964897</v>
      </c>
      <c r="CN63" t="s">
        <v>158</v>
      </c>
      <c r="CO63">
        <v>2</v>
      </c>
      <c r="CP63">
        <v>0.88695652173912998</v>
      </c>
      <c r="CQ63" t="s">
        <v>225</v>
      </c>
      <c r="CR63">
        <v>2</v>
      </c>
      <c r="CS63">
        <v>0.98064516129032198</v>
      </c>
      <c r="CT63" t="s">
        <v>228</v>
      </c>
      <c r="CU63">
        <v>3</v>
      </c>
      <c r="CV63">
        <v>0.95016611295680997</v>
      </c>
      <c r="CW63" t="s">
        <v>209</v>
      </c>
      <c r="CX63">
        <v>3</v>
      </c>
      <c r="CY63">
        <v>0.82358490566037701</v>
      </c>
      <c r="CZ63" t="s">
        <v>223</v>
      </c>
      <c r="DA63">
        <v>3</v>
      </c>
      <c r="DB63">
        <v>0.90688259109311697</v>
      </c>
      <c r="DC63" t="s">
        <v>155</v>
      </c>
      <c r="DD63">
        <v>1</v>
      </c>
      <c r="DE63">
        <v>1.1052631578947301</v>
      </c>
      <c r="DF63" t="s">
        <v>158</v>
      </c>
      <c r="DG63">
        <v>2</v>
      </c>
      <c r="DH63">
        <v>1.2191358024691299</v>
      </c>
    </row>
    <row r="64" spans="1:112" x14ac:dyDescent="0.4">
      <c r="A64">
        <v>62</v>
      </c>
      <c r="B64" t="s">
        <v>134</v>
      </c>
      <c r="C64">
        <v>2</v>
      </c>
      <c r="D64">
        <v>1.25652173913043</v>
      </c>
      <c r="E64" t="s">
        <v>137</v>
      </c>
      <c r="F64">
        <v>2</v>
      </c>
      <c r="G64">
        <v>0.85080147965474695</v>
      </c>
      <c r="H64" t="s">
        <v>131</v>
      </c>
      <c r="I64">
        <v>1</v>
      </c>
      <c r="J64">
        <v>0.78538812785388101</v>
      </c>
      <c r="K64" t="s">
        <v>134</v>
      </c>
      <c r="L64">
        <v>2</v>
      </c>
      <c r="M64">
        <v>0.91254752851710996</v>
      </c>
      <c r="N64" t="s">
        <v>123</v>
      </c>
      <c r="O64">
        <v>1</v>
      </c>
      <c r="P64">
        <v>1.2198787337722701</v>
      </c>
      <c r="Q64" t="s">
        <v>158</v>
      </c>
      <c r="R64">
        <v>2</v>
      </c>
      <c r="S64">
        <v>1.01185770750988</v>
      </c>
      <c r="T64" t="s">
        <v>158</v>
      </c>
      <c r="U64">
        <v>2</v>
      </c>
      <c r="V64">
        <v>0.83203125</v>
      </c>
      <c r="W64" t="s">
        <v>150</v>
      </c>
      <c r="X64">
        <v>3</v>
      </c>
      <c r="Y64">
        <v>1.0426966292134801</v>
      </c>
      <c r="Z64" t="s">
        <v>153</v>
      </c>
      <c r="AA64">
        <v>2</v>
      </c>
      <c r="AB64">
        <v>1.29194063498027</v>
      </c>
      <c r="AC64" t="s">
        <v>186</v>
      </c>
      <c r="AD64">
        <v>2</v>
      </c>
      <c r="AE64">
        <v>0.98910110656358896</v>
      </c>
      <c r="AF64" t="s">
        <v>186</v>
      </c>
      <c r="AG64">
        <v>2</v>
      </c>
      <c r="AH64">
        <v>1.0283520559071799</v>
      </c>
      <c r="AI64" t="s">
        <v>177</v>
      </c>
      <c r="AJ64">
        <v>2</v>
      </c>
      <c r="AK64">
        <v>1.1123227917120999</v>
      </c>
      <c r="AL64" t="s">
        <v>153</v>
      </c>
      <c r="AM64">
        <v>2</v>
      </c>
      <c r="AN64">
        <v>0.92949604122156504</v>
      </c>
      <c r="AO64" t="s">
        <v>150</v>
      </c>
      <c r="AP64">
        <v>3</v>
      </c>
      <c r="AQ64">
        <v>0.86717062634989195</v>
      </c>
      <c r="AR64" t="s">
        <v>150</v>
      </c>
      <c r="AS64">
        <v>3</v>
      </c>
      <c r="AT64">
        <v>1.1917808219178001</v>
      </c>
      <c r="AU64" t="s">
        <v>198</v>
      </c>
      <c r="AV64">
        <v>2</v>
      </c>
      <c r="AW64">
        <v>1.12292358803986</v>
      </c>
      <c r="AX64" t="s">
        <v>186</v>
      </c>
      <c r="AY64">
        <v>3</v>
      </c>
      <c r="AZ64">
        <v>0.821370548479334</v>
      </c>
      <c r="BA64" t="s">
        <v>145</v>
      </c>
      <c r="BB64">
        <v>1</v>
      </c>
      <c r="BC64">
        <v>0.98701298701298701</v>
      </c>
      <c r="BD64" t="s">
        <v>150</v>
      </c>
      <c r="BE64">
        <v>2</v>
      </c>
      <c r="BF64">
        <v>1.3432835820895499</v>
      </c>
      <c r="BG64" t="s">
        <v>215</v>
      </c>
      <c r="BH64">
        <v>3</v>
      </c>
      <c r="BI64">
        <v>1.0806754221388299</v>
      </c>
      <c r="BJ64" t="s">
        <v>153</v>
      </c>
      <c r="BK64">
        <v>2</v>
      </c>
      <c r="BL64">
        <v>1.3271214040166399</v>
      </c>
      <c r="BM64" t="s">
        <v>131</v>
      </c>
      <c r="BN64">
        <v>1</v>
      </c>
      <c r="BO64">
        <v>1.0505617977527999</v>
      </c>
      <c r="BP64" t="s">
        <v>186</v>
      </c>
      <c r="BQ64">
        <v>3</v>
      </c>
      <c r="BR64">
        <v>0.94831223628691896</v>
      </c>
      <c r="BS64" t="s">
        <v>153</v>
      </c>
      <c r="BT64">
        <v>2</v>
      </c>
      <c r="BU64">
        <v>1.1163479438145201</v>
      </c>
      <c r="BV64" t="s">
        <v>186</v>
      </c>
      <c r="BW64">
        <v>3</v>
      </c>
      <c r="BX64">
        <v>1.2962962962962901</v>
      </c>
      <c r="BY64" t="s">
        <v>184</v>
      </c>
      <c r="BZ64">
        <v>3</v>
      </c>
      <c r="CA64">
        <v>1.1389961389961301</v>
      </c>
      <c r="CB64" t="s">
        <v>137</v>
      </c>
      <c r="CC64">
        <v>2</v>
      </c>
      <c r="CD64">
        <v>0.78985507246376796</v>
      </c>
      <c r="CE64" t="s">
        <v>142</v>
      </c>
      <c r="CF64">
        <v>2</v>
      </c>
      <c r="CG64">
        <v>1.05409356725146</v>
      </c>
      <c r="CH64" t="s">
        <v>203</v>
      </c>
      <c r="CI64">
        <v>3</v>
      </c>
      <c r="CJ64">
        <v>1.0263522884882099</v>
      </c>
      <c r="CK64" t="s">
        <v>217</v>
      </c>
      <c r="CL64">
        <v>3</v>
      </c>
      <c r="CM64">
        <v>0.97240330291177701</v>
      </c>
      <c r="CN64" t="s">
        <v>217</v>
      </c>
      <c r="CO64">
        <v>3</v>
      </c>
      <c r="CP64">
        <v>0.99642458100558595</v>
      </c>
      <c r="CQ64" t="s">
        <v>209</v>
      </c>
      <c r="CR64">
        <v>3</v>
      </c>
      <c r="CS64">
        <v>0.92097560975609705</v>
      </c>
      <c r="CT64" t="s">
        <v>174</v>
      </c>
      <c r="CU64">
        <v>1</v>
      </c>
      <c r="CV64">
        <v>0.94576271186440597</v>
      </c>
      <c r="CW64" t="s">
        <v>174</v>
      </c>
      <c r="CX64">
        <v>1</v>
      </c>
      <c r="CY64">
        <v>0.95340501792114696</v>
      </c>
      <c r="CZ64" t="s">
        <v>222</v>
      </c>
      <c r="DA64">
        <v>3</v>
      </c>
      <c r="DB64">
        <v>0.86666666666666603</v>
      </c>
      <c r="DC64" t="s">
        <v>198</v>
      </c>
      <c r="DD64">
        <v>3</v>
      </c>
      <c r="DE64">
        <v>1.0162337662337599</v>
      </c>
      <c r="DF64" t="s">
        <v>217</v>
      </c>
      <c r="DG64">
        <v>3</v>
      </c>
      <c r="DH64">
        <v>0.95022624434389102</v>
      </c>
    </row>
    <row r="65" spans="1:112" x14ac:dyDescent="0.4">
      <c r="A65">
        <v>63</v>
      </c>
      <c r="B65" t="s">
        <v>184</v>
      </c>
      <c r="C65">
        <v>2</v>
      </c>
      <c r="D65">
        <v>0.89208633093525103</v>
      </c>
      <c r="E65" t="s">
        <v>186</v>
      </c>
      <c r="F65">
        <v>2</v>
      </c>
      <c r="G65">
        <v>0.88372915399521901</v>
      </c>
      <c r="H65" t="s">
        <v>177</v>
      </c>
      <c r="I65">
        <v>2</v>
      </c>
      <c r="J65">
        <v>0.40726577437858502</v>
      </c>
      <c r="K65" t="s">
        <v>137</v>
      </c>
      <c r="L65">
        <v>2</v>
      </c>
      <c r="M65">
        <v>0.96318289786223199</v>
      </c>
      <c r="N65" t="s">
        <v>169</v>
      </c>
      <c r="O65">
        <v>2</v>
      </c>
      <c r="P65">
        <v>1.4395182405306299</v>
      </c>
      <c r="Q65" t="s">
        <v>236</v>
      </c>
      <c r="R65">
        <v>3</v>
      </c>
      <c r="S65">
        <v>1.2310939148786399</v>
      </c>
      <c r="T65" t="s">
        <v>214</v>
      </c>
      <c r="U65">
        <v>3</v>
      </c>
      <c r="V65">
        <v>0.77922077922077904</v>
      </c>
      <c r="W65" t="s">
        <v>153</v>
      </c>
      <c r="X65">
        <v>2</v>
      </c>
      <c r="Y65">
        <v>1.0534336037997201</v>
      </c>
      <c r="Z65" t="s">
        <v>198</v>
      </c>
      <c r="AA65">
        <v>2</v>
      </c>
      <c r="AB65">
        <v>1.17441860465116</v>
      </c>
      <c r="AC65" t="s">
        <v>150</v>
      </c>
      <c r="AD65">
        <v>2</v>
      </c>
      <c r="AE65">
        <v>0.87775551102204397</v>
      </c>
      <c r="AF65" t="s">
        <v>193</v>
      </c>
      <c r="AG65">
        <v>2</v>
      </c>
      <c r="AH65">
        <v>1.20600858369098</v>
      </c>
      <c r="AI65" t="s">
        <v>134</v>
      </c>
      <c r="AJ65">
        <v>2</v>
      </c>
      <c r="AK65">
        <v>0.78130841121495298</v>
      </c>
      <c r="AL65" t="s">
        <v>198</v>
      </c>
      <c r="AM65">
        <v>2</v>
      </c>
      <c r="AN65">
        <v>1.0440251572327</v>
      </c>
      <c r="AO65" t="s">
        <v>153</v>
      </c>
      <c r="AP65">
        <v>2</v>
      </c>
      <c r="AQ65">
        <v>1.3677663601946899</v>
      </c>
      <c r="AR65" t="s">
        <v>153</v>
      </c>
      <c r="AS65">
        <v>2</v>
      </c>
      <c r="AT65">
        <v>0.90539739027283495</v>
      </c>
      <c r="AU65" t="s">
        <v>207</v>
      </c>
      <c r="AV65">
        <v>2</v>
      </c>
      <c r="AW65">
        <v>1.06930693069306</v>
      </c>
      <c r="AX65" t="s">
        <v>150</v>
      </c>
      <c r="AY65">
        <v>3</v>
      </c>
      <c r="AZ65">
        <v>1.1025641025641</v>
      </c>
      <c r="BA65" t="s">
        <v>150</v>
      </c>
      <c r="BB65">
        <v>2</v>
      </c>
      <c r="BC65">
        <v>1.03875968992248</v>
      </c>
      <c r="BD65" t="s">
        <v>200</v>
      </c>
      <c r="BE65">
        <v>3</v>
      </c>
      <c r="BF65">
        <v>0.60787366548042698</v>
      </c>
      <c r="BG65" t="s">
        <v>206</v>
      </c>
      <c r="BH65">
        <v>2</v>
      </c>
      <c r="BI65">
        <v>1.0286016949152501</v>
      </c>
      <c r="BJ65" t="s">
        <v>199</v>
      </c>
      <c r="BK65">
        <v>3</v>
      </c>
      <c r="BL65">
        <v>1.5578231292517</v>
      </c>
      <c r="BM65" t="s">
        <v>134</v>
      </c>
      <c r="BN65">
        <v>3</v>
      </c>
      <c r="BO65">
        <v>1.06451612903225</v>
      </c>
      <c r="BP65" t="s">
        <v>145</v>
      </c>
      <c r="BQ65">
        <v>1</v>
      </c>
      <c r="BR65">
        <v>1.1253405994550401</v>
      </c>
      <c r="BS65" t="s">
        <v>198</v>
      </c>
      <c r="BT65">
        <v>2</v>
      </c>
      <c r="BU65">
        <v>1.00539083557951</v>
      </c>
      <c r="BV65" t="s">
        <v>145</v>
      </c>
      <c r="BW65">
        <v>1</v>
      </c>
      <c r="BX65">
        <v>1.01176470588235</v>
      </c>
      <c r="BY65" t="s">
        <v>186</v>
      </c>
      <c r="BZ65">
        <v>3</v>
      </c>
      <c r="CA65">
        <v>1.1714285714285699</v>
      </c>
      <c r="CB65" t="s">
        <v>186</v>
      </c>
      <c r="CC65">
        <v>3</v>
      </c>
      <c r="CD65">
        <v>0.69198606271776997</v>
      </c>
      <c r="CE65" t="s">
        <v>145</v>
      </c>
      <c r="CF65">
        <v>1</v>
      </c>
      <c r="CG65">
        <v>1.046875</v>
      </c>
      <c r="CH65" t="s">
        <v>150</v>
      </c>
      <c r="CI65">
        <v>2</v>
      </c>
      <c r="CJ65">
        <v>0.79259259259259196</v>
      </c>
      <c r="CK65" t="s">
        <v>214</v>
      </c>
      <c r="CL65">
        <v>3</v>
      </c>
      <c r="CM65">
        <v>0.949659863945578</v>
      </c>
      <c r="CN65" t="s">
        <v>214</v>
      </c>
      <c r="CO65">
        <v>3</v>
      </c>
      <c r="CP65">
        <v>0.83954154727793695</v>
      </c>
      <c r="CQ65" t="s">
        <v>228</v>
      </c>
      <c r="CR65">
        <v>3</v>
      </c>
      <c r="CS65">
        <v>0.94062500000000004</v>
      </c>
      <c r="CT65" t="s">
        <v>178</v>
      </c>
      <c r="CU65">
        <v>1</v>
      </c>
      <c r="CV65">
        <v>1.04785894206549</v>
      </c>
      <c r="CW65" t="s">
        <v>231</v>
      </c>
      <c r="CX65">
        <v>3</v>
      </c>
      <c r="CY65">
        <v>1.1959459459459401</v>
      </c>
      <c r="CZ65" t="s">
        <v>225</v>
      </c>
      <c r="DA65">
        <v>3</v>
      </c>
      <c r="DB65">
        <v>0.92203389830508398</v>
      </c>
      <c r="DC65" t="s">
        <v>206</v>
      </c>
      <c r="DD65">
        <v>2</v>
      </c>
      <c r="DE65">
        <v>0.95263157894736805</v>
      </c>
      <c r="DF65" t="s">
        <v>214</v>
      </c>
      <c r="DG65">
        <v>3</v>
      </c>
      <c r="DH65">
        <v>0.90123456790123402</v>
      </c>
    </row>
    <row r="66" spans="1:112" x14ac:dyDescent="0.4">
      <c r="A66">
        <v>64</v>
      </c>
      <c r="B66" t="s">
        <v>187</v>
      </c>
      <c r="C66">
        <v>3</v>
      </c>
      <c r="D66">
        <v>1.0319995105237301</v>
      </c>
      <c r="E66" t="s">
        <v>190</v>
      </c>
      <c r="F66">
        <v>3</v>
      </c>
      <c r="G66">
        <v>0.86016949152542299</v>
      </c>
      <c r="H66" t="s">
        <v>134</v>
      </c>
      <c r="I66">
        <v>2</v>
      </c>
      <c r="J66">
        <v>0.56196581196581197</v>
      </c>
      <c r="K66" t="s">
        <v>186</v>
      </c>
      <c r="L66">
        <v>2</v>
      </c>
      <c r="M66">
        <v>0.88922015338171001</v>
      </c>
      <c r="N66" t="s">
        <v>171</v>
      </c>
      <c r="O66">
        <v>2</v>
      </c>
      <c r="P66">
        <v>1.05111821086261</v>
      </c>
      <c r="Q66" t="s">
        <v>214</v>
      </c>
      <c r="R66">
        <v>3</v>
      </c>
      <c r="S66">
        <v>0.93333333333333302</v>
      </c>
      <c r="T66" t="s">
        <v>212</v>
      </c>
      <c r="U66">
        <v>1</v>
      </c>
      <c r="V66">
        <v>1.27354260089686</v>
      </c>
      <c r="W66" t="s">
        <v>202</v>
      </c>
      <c r="X66">
        <v>3</v>
      </c>
      <c r="Y66">
        <v>0.845703125</v>
      </c>
      <c r="Z66" t="s">
        <v>206</v>
      </c>
      <c r="AA66">
        <v>2</v>
      </c>
      <c r="AB66">
        <v>1.2680851063829699</v>
      </c>
      <c r="AC66" t="s">
        <v>153</v>
      </c>
      <c r="AD66">
        <v>2</v>
      </c>
      <c r="AE66">
        <v>1</v>
      </c>
      <c r="AF66" t="s">
        <v>150</v>
      </c>
      <c r="AG66">
        <v>2</v>
      </c>
      <c r="AH66">
        <v>1.01940639269406</v>
      </c>
      <c r="AI66" t="s">
        <v>182</v>
      </c>
      <c r="AJ66">
        <v>3</v>
      </c>
      <c r="AK66">
        <v>0.69880418535126998</v>
      </c>
      <c r="AL66" t="s">
        <v>210</v>
      </c>
      <c r="AM66">
        <v>3</v>
      </c>
      <c r="AN66">
        <v>1.5882352941176401</v>
      </c>
      <c r="AO66" t="s">
        <v>199</v>
      </c>
      <c r="AP66">
        <v>3</v>
      </c>
      <c r="AQ66">
        <v>0.99074074074074003</v>
      </c>
      <c r="AR66" t="s">
        <v>199</v>
      </c>
      <c r="AS66">
        <v>3</v>
      </c>
      <c r="AT66">
        <v>0.95887850467289704</v>
      </c>
      <c r="AU66" t="s">
        <v>210</v>
      </c>
      <c r="AV66">
        <v>3</v>
      </c>
      <c r="AW66">
        <v>1.1857707509881401</v>
      </c>
      <c r="AX66" t="s">
        <v>153</v>
      </c>
      <c r="AY66">
        <v>2</v>
      </c>
      <c r="AZ66">
        <v>0.82011992005329704</v>
      </c>
      <c r="BA66" t="s">
        <v>153</v>
      </c>
      <c r="BB66">
        <v>2</v>
      </c>
      <c r="BC66">
        <v>1.2344976983482201</v>
      </c>
      <c r="BD66" t="s">
        <v>153</v>
      </c>
      <c r="BE66">
        <v>2</v>
      </c>
      <c r="BF66">
        <v>1.0715069094099501</v>
      </c>
      <c r="BG66" t="s">
        <v>216</v>
      </c>
      <c r="BH66">
        <v>3</v>
      </c>
      <c r="BI66">
        <v>1.1791907514450799</v>
      </c>
      <c r="BJ66" t="s">
        <v>198</v>
      </c>
      <c r="BK66">
        <v>2</v>
      </c>
      <c r="BL66">
        <v>1.1545189504373099</v>
      </c>
      <c r="BM66" t="s">
        <v>182</v>
      </c>
      <c r="BN66">
        <v>3</v>
      </c>
      <c r="BO66">
        <v>0.88888888888888795</v>
      </c>
      <c r="BP66" t="s">
        <v>203</v>
      </c>
      <c r="BQ66">
        <v>3</v>
      </c>
      <c r="BR66">
        <v>0.92297111416781297</v>
      </c>
      <c r="BS66" t="s">
        <v>207</v>
      </c>
      <c r="BT66">
        <v>2</v>
      </c>
      <c r="BU66">
        <v>0.98571428571428499</v>
      </c>
      <c r="BV66" t="s">
        <v>203</v>
      </c>
      <c r="BW66">
        <v>3</v>
      </c>
      <c r="BX66">
        <v>1.0099833610648901</v>
      </c>
      <c r="BY66" t="s">
        <v>145</v>
      </c>
      <c r="BZ66">
        <v>1</v>
      </c>
      <c r="CA66">
        <v>1.10029069767441</v>
      </c>
      <c r="CB66" t="s">
        <v>145</v>
      </c>
      <c r="CC66">
        <v>1</v>
      </c>
      <c r="CD66">
        <v>0.84544253632760902</v>
      </c>
      <c r="CE66" t="s">
        <v>203</v>
      </c>
      <c r="CF66">
        <v>3</v>
      </c>
      <c r="CG66">
        <v>1.1444444444444399</v>
      </c>
      <c r="CH66" t="s">
        <v>153</v>
      </c>
      <c r="CI66">
        <v>2</v>
      </c>
      <c r="CJ66">
        <v>1.4029255319148899</v>
      </c>
      <c r="CK66" t="s">
        <v>209</v>
      </c>
      <c r="CL66">
        <v>3</v>
      </c>
      <c r="CM66">
        <v>0.94656488549618301</v>
      </c>
      <c r="CN66" t="s">
        <v>225</v>
      </c>
      <c r="CO66">
        <v>2</v>
      </c>
      <c r="CP66">
        <v>0.85635359116022103</v>
      </c>
      <c r="CQ66" t="s">
        <v>174</v>
      </c>
      <c r="CR66">
        <v>1</v>
      </c>
      <c r="CS66">
        <v>1</v>
      </c>
      <c r="CT66" t="s">
        <v>185</v>
      </c>
      <c r="CU66">
        <v>3</v>
      </c>
      <c r="CV66">
        <v>1.05627705627705</v>
      </c>
      <c r="CW66" t="s">
        <v>178</v>
      </c>
      <c r="CX66">
        <v>1</v>
      </c>
      <c r="CY66">
        <v>1.11057692307692</v>
      </c>
      <c r="CZ66" t="s">
        <v>209</v>
      </c>
      <c r="DA66">
        <v>3</v>
      </c>
      <c r="DB66">
        <v>0.81672394043527996</v>
      </c>
      <c r="DC66" t="s">
        <v>210</v>
      </c>
      <c r="DD66">
        <v>3</v>
      </c>
      <c r="DE66">
        <v>1.2107623318385601</v>
      </c>
      <c r="DF66" t="s">
        <v>223</v>
      </c>
      <c r="DG66">
        <v>3</v>
      </c>
      <c r="DH66">
        <v>0.97663551401869098</v>
      </c>
    </row>
    <row r="67" spans="1:112" x14ac:dyDescent="0.4">
      <c r="A67">
        <v>65</v>
      </c>
      <c r="B67" t="s">
        <v>137</v>
      </c>
      <c r="C67">
        <v>2</v>
      </c>
      <c r="D67">
        <v>1.06570302233902</v>
      </c>
      <c r="E67" t="s">
        <v>193</v>
      </c>
      <c r="F67">
        <v>2</v>
      </c>
      <c r="G67">
        <v>0.70750000000000002</v>
      </c>
      <c r="H67" t="s">
        <v>184</v>
      </c>
      <c r="I67">
        <v>2</v>
      </c>
      <c r="J67">
        <v>0.63749999999999996</v>
      </c>
      <c r="K67" t="s">
        <v>193</v>
      </c>
      <c r="L67">
        <v>2</v>
      </c>
      <c r="M67">
        <v>1.0894568690095801</v>
      </c>
      <c r="N67" t="s">
        <v>125</v>
      </c>
      <c r="O67">
        <v>1</v>
      </c>
      <c r="P67">
        <v>1.5833333333333299</v>
      </c>
      <c r="Q67" t="s">
        <v>212</v>
      </c>
      <c r="R67">
        <v>1</v>
      </c>
      <c r="S67">
        <v>1.2159214830970499</v>
      </c>
      <c r="T67" t="s">
        <v>222</v>
      </c>
      <c r="U67">
        <v>2</v>
      </c>
      <c r="V67">
        <v>0.923684210526315</v>
      </c>
      <c r="W67" t="s">
        <v>198</v>
      </c>
      <c r="X67">
        <v>2</v>
      </c>
      <c r="Y67">
        <v>0.92142857142857104</v>
      </c>
      <c r="Z67" t="s">
        <v>210</v>
      </c>
      <c r="AA67">
        <v>3</v>
      </c>
      <c r="AB67">
        <v>1.1191969887076501</v>
      </c>
      <c r="AC67" t="s">
        <v>198</v>
      </c>
      <c r="AD67">
        <v>2</v>
      </c>
      <c r="AE67">
        <v>1.04290429042904</v>
      </c>
      <c r="AF67" t="s">
        <v>153</v>
      </c>
      <c r="AG67">
        <v>2</v>
      </c>
      <c r="AH67">
        <v>0.76290533662934401</v>
      </c>
      <c r="AI67" t="s">
        <v>184</v>
      </c>
      <c r="AJ67">
        <v>3</v>
      </c>
      <c r="AK67">
        <v>0.93875395987328403</v>
      </c>
      <c r="AL67" t="s">
        <v>158</v>
      </c>
      <c r="AM67">
        <v>2</v>
      </c>
      <c r="AN67">
        <v>0.98529411764705799</v>
      </c>
      <c r="AO67" t="s">
        <v>198</v>
      </c>
      <c r="AP67">
        <v>2</v>
      </c>
      <c r="AQ67">
        <v>0.95481927710843295</v>
      </c>
      <c r="AR67" t="s">
        <v>198</v>
      </c>
      <c r="AS67">
        <v>2</v>
      </c>
      <c r="AT67">
        <v>0.94952681388012605</v>
      </c>
      <c r="AU67" t="s">
        <v>158</v>
      </c>
      <c r="AV67">
        <v>2</v>
      </c>
      <c r="AW67">
        <v>1.12761276127612</v>
      </c>
      <c r="AX67" t="s">
        <v>199</v>
      </c>
      <c r="AY67">
        <v>3</v>
      </c>
      <c r="AZ67">
        <v>0.80960854092526602</v>
      </c>
      <c r="BA67" t="s">
        <v>198</v>
      </c>
      <c r="BB67">
        <v>2</v>
      </c>
      <c r="BC67">
        <v>1.08813559322033</v>
      </c>
      <c r="BD67" t="s">
        <v>199</v>
      </c>
      <c r="BE67">
        <v>3</v>
      </c>
      <c r="BF67">
        <v>0.95906432748537995</v>
      </c>
      <c r="BG67" t="s">
        <v>210</v>
      </c>
      <c r="BH67">
        <v>3</v>
      </c>
      <c r="BI67">
        <v>1.11881188118811</v>
      </c>
      <c r="BJ67" t="s">
        <v>210</v>
      </c>
      <c r="BK67">
        <v>3</v>
      </c>
      <c r="BL67">
        <v>1.2610619469026501</v>
      </c>
      <c r="BM67" t="s">
        <v>137</v>
      </c>
      <c r="BN67">
        <v>2</v>
      </c>
      <c r="BO67">
        <v>0.84558823529411697</v>
      </c>
      <c r="BP67" t="s">
        <v>153</v>
      </c>
      <c r="BQ67">
        <v>2</v>
      </c>
      <c r="BR67">
        <v>1.0311491143879199</v>
      </c>
      <c r="BS67" t="s">
        <v>216</v>
      </c>
      <c r="BT67">
        <v>3</v>
      </c>
      <c r="BU67">
        <v>0.93110236220472398</v>
      </c>
      <c r="BV67" t="s">
        <v>150</v>
      </c>
      <c r="BW67">
        <v>2</v>
      </c>
      <c r="BX67">
        <v>0.85882352941176399</v>
      </c>
      <c r="BY67" t="s">
        <v>203</v>
      </c>
      <c r="BZ67">
        <v>3</v>
      </c>
      <c r="CA67">
        <v>0.99835255354200902</v>
      </c>
      <c r="CB67" t="s">
        <v>203</v>
      </c>
      <c r="CC67">
        <v>3</v>
      </c>
      <c r="CD67">
        <v>1.0396039603960301</v>
      </c>
      <c r="CE67" t="s">
        <v>150</v>
      </c>
      <c r="CF67">
        <v>2</v>
      </c>
      <c r="CG67">
        <v>1.1842105263157801</v>
      </c>
      <c r="CH67" t="s">
        <v>155</v>
      </c>
      <c r="CI67">
        <v>1</v>
      </c>
      <c r="CJ67">
        <v>1.40869565217391</v>
      </c>
      <c r="CK67" t="s">
        <v>228</v>
      </c>
      <c r="CL67">
        <v>3</v>
      </c>
      <c r="CM67">
        <v>0.74403470715835096</v>
      </c>
      <c r="CN67" t="s">
        <v>209</v>
      </c>
      <c r="CO67">
        <v>3</v>
      </c>
      <c r="CP67">
        <v>0.82661290322580605</v>
      </c>
      <c r="CQ67" t="s">
        <v>178</v>
      </c>
      <c r="CR67">
        <v>1</v>
      </c>
      <c r="CS67">
        <v>1.17455621301775</v>
      </c>
      <c r="CT67" t="s">
        <v>238</v>
      </c>
      <c r="CU67">
        <v>2</v>
      </c>
      <c r="CV67">
        <v>1.1037234042553099</v>
      </c>
      <c r="CW67" t="s">
        <v>185</v>
      </c>
      <c r="CX67">
        <v>3</v>
      </c>
      <c r="CY67">
        <v>0.98360655737704905</v>
      </c>
      <c r="CZ67" t="s">
        <v>174</v>
      </c>
      <c r="DA67">
        <v>1</v>
      </c>
      <c r="DB67">
        <v>1</v>
      </c>
      <c r="DC67" t="s">
        <v>158</v>
      </c>
      <c r="DD67">
        <v>2</v>
      </c>
      <c r="DE67">
        <v>0.990825688073394</v>
      </c>
      <c r="DF67" t="s">
        <v>222</v>
      </c>
      <c r="DG67">
        <v>3</v>
      </c>
      <c r="DH67">
        <v>1.25471698113207</v>
      </c>
    </row>
    <row r="68" spans="1:112" x14ac:dyDescent="0.4">
      <c r="A68">
        <v>66</v>
      </c>
      <c r="B68" t="s">
        <v>186</v>
      </c>
      <c r="C68">
        <v>2</v>
      </c>
      <c r="D68">
        <v>1.0920648161020701</v>
      </c>
      <c r="E68" t="s">
        <v>150</v>
      </c>
      <c r="F68">
        <v>3</v>
      </c>
      <c r="G68">
        <v>0.86369593709043202</v>
      </c>
      <c r="H68" t="s">
        <v>137</v>
      </c>
      <c r="I68">
        <v>2</v>
      </c>
      <c r="J68">
        <v>0.61014492753623095</v>
      </c>
      <c r="K68" t="s">
        <v>145</v>
      </c>
      <c r="L68">
        <v>1</v>
      </c>
      <c r="M68">
        <v>1.0500758725341399</v>
      </c>
      <c r="N68" t="s">
        <v>175</v>
      </c>
      <c r="O68">
        <v>2</v>
      </c>
      <c r="P68">
        <v>1.71186440677966</v>
      </c>
      <c r="Q68" t="s">
        <v>222</v>
      </c>
      <c r="R68">
        <v>2</v>
      </c>
      <c r="S68">
        <v>1.31944444444444</v>
      </c>
      <c r="T68" t="s">
        <v>225</v>
      </c>
      <c r="U68">
        <v>2</v>
      </c>
      <c r="V68">
        <v>0.83333333333333304</v>
      </c>
      <c r="W68" t="s">
        <v>206</v>
      </c>
      <c r="X68">
        <v>2</v>
      </c>
      <c r="Y68">
        <v>1.1244019138755901</v>
      </c>
      <c r="Z68" t="s">
        <v>158</v>
      </c>
      <c r="AA68">
        <v>2</v>
      </c>
      <c r="AB68">
        <v>0.95575221238938002</v>
      </c>
      <c r="AC68" t="s">
        <v>206</v>
      </c>
      <c r="AD68">
        <v>2</v>
      </c>
      <c r="AE68">
        <v>0.88590604026845599</v>
      </c>
      <c r="AF68" t="s">
        <v>198</v>
      </c>
      <c r="AG68">
        <v>2</v>
      </c>
      <c r="AH68">
        <v>1.0506329113924</v>
      </c>
      <c r="AI68" t="s">
        <v>137</v>
      </c>
      <c r="AJ68">
        <v>2</v>
      </c>
      <c r="AK68">
        <v>1.08832807570977</v>
      </c>
      <c r="AL68" t="s">
        <v>162</v>
      </c>
      <c r="AM68">
        <v>1</v>
      </c>
      <c r="AN68">
        <v>1.0397435897435801</v>
      </c>
      <c r="AO68" t="s">
        <v>158</v>
      </c>
      <c r="AP68">
        <v>2</v>
      </c>
      <c r="AQ68">
        <v>1.0049751243781</v>
      </c>
      <c r="AR68" t="s">
        <v>158</v>
      </c>
      <c r="AS68">
        <v>2</v>
      </c>
      <c r="AT68">
        <v>0.9</v>
      </c>
      <c r="AU68" t="s">
        <v>236</v>
      </c>
      <c r="AV68">
        <v>2</v>
      </c>
      <c r="AW68">
        <v>1.1666855331673001</v>
      </c>
      <c r="AX68" t="s">
        <v>198</v>
      </c>
      <c r="AY68">
        <v>2</v>
      </c>
      <c r="AZ68">
        <v>0.87278106508875697</v>
      </c>
      <c r="BA68" t="s">
        <v>215</v>
      </c>
      <c r="BB68">
        <v>3</v>
      </c>
      <c r="BC68">
        <v>0.98827470686767105</v>
      </c>
      <c r="BD68" t="s">
        <v>198</v>
      </c>
      <c r="BE68">
        <v>2</v>
      </c>
      <c r="BF68">
        <v>1.0186915887850401</v>
      </c>
      <c r="BG68" t="s">
        <v>158</v>
      </c>
      <c r="BH68">
        <v>2</v>
      </c>
      <c r="BI68">
        <v>0.85393258426966201</v>
      </c>
      <c r="BJ68" t="s">
        <v>158</v>
      </c>
      <c r="BK68">
        <v>2</v>
      </c>
      <c r="BL68">
        <v>1.1008771929824499</v>
      </c>
      <c r="BM68" t="s">
        <v>186</v>
      </c>
      <c r="BN68">
        <v>3</v>
      </c>
      <c r="BO68">
        <v>1.1490909090909001</v>
      </c>
      <c r="BP68" t="s">
        <v>155</v>
      </c>
      <c r="BQ68">
        <v>1</v>
      </c>
      <c r="BR68">
        <v>1.2793017456359099</v>
      </c>
      <c r="BS68" t="s">
        <v>210</v>
      </c>
      <c r="BT68">
        <v>3</v>
      </c>
      <c r="BU68">
        <v>1.21167883211678</v>
      </c>
      <c r="BV68" t="s">
        <v>153</v>
      </c>
      <c r="BW68">
        <v>2</v>
      </c>
      <c r="BX68">
        <v>0.89964375047373601</v>
      </c>
      <c r="BY68" t="s">
        <v>150</v>
      </c>
      <c r="BZ68">
        <v>2</v>
      </c>
      <c r="CA68">
        <v>0.91780821917808197</v>
      </c>
      <c r="CB68" t="s">
        <v>150</v>
      </c>
      <c r="CC68">
        <v>2</v>
      </c>
      <c r="CD68">
        <v>0.85074626865671599</v>
      </c>
      <c r="CE68" t="s">
        <v>153</v>
      </c>
      <c r="CF68">
        <v>2</v>
      </c>
      <c r="CG68">
        <v>0.76414998475764595</v>
      </c>
      <c r="CH68" t="s">
        <v>198</v>
      </c>
      <c r="CI68">
        <v>2</v>
      </c>
      <c r="CJ68">
        <v>1.0534351145038101</v>
      </c>
      <c r="CK68" t="s">
        <v>174</v>
      </c>
      <c r="CL68">
        <v>1</v>
      </c>
      <c r="CM68">
        <v>0.943037974683544</v>
      </c>
      <c r="CN68" t="s">
        <v>228</v>
      </c>
      <c r="CO68">
        <v>3</v>
      </c>
      <c r="CP68">
        <v>0.93294460641399402</v>
      </c>
      <c r="CQ68" t="s">
        <v>185</v>
      </c>
      <c r="CR68">
        <v>3</v>
      </c>
      <c r="CS68">
        <v>0.93902439024390205</v>
      </c>
      <c r="CT68" t="s">
        <v>241</v>
      </c>
      <c r="CU68">
        <v>3</v>
      </c>
      <c r="CV68">
        <v>1.2243346007604501</v>
      </c>
      <c r="CW68" t="s">
        <v>238</v>
      </c>
      <c r="CX68">
        <v>2</v>
      </c>
      <c r="CY68">
        <v>0.99397590361445698</v>
      </c>
      <c r="CZ68" t="s">
        <v>231</v>
      </c>
      <c r="DA68">
        <v>3</v>
      </c>
      <c r="DB68">
        <v>0.92655367231638397</v>
      </c>
      <c r="DC68" t="s">
        <v>217</v>
      </c>
      <c r="DD68">
        <v>3</v>
      </c>
      <c r="DE68">
        <v>1.0005432814197699</v>
      </c>
      <c r="DF68" t="s">
        <v>225</v>
      </c>
      <c r="DG68">
        <v>3</v>
      </c>
      <c r="DH68">
        <v>0.93690851735015701</v>
      </c>
    </row>
    <row r="69" spans="1:112" x14ac:dyDescent="0.4">
      <c r="A69">
        <v>67</v>
      </c>
      <c r="B69" t="s">
        <v>190</v>
      </c>
      <c r="C69">
        <v>3</v>
      </c>
      <c r="D69">
        <v>1.1456310679611601</v>
      </c>
      <c r="E69" t="s">
        <v>153</v>
      </c>
      <c r="F69">
        <v>2</v>
      </c>
      <c r="G69">
        <v>1.1535181236673699</v>
      </c>
      <c r="H69" t="s">
        <v>186</v>
      </c>
      <c r="I69">
        <v>2</v>
      </c>
      <c r="J69">
        <v>0.85361012852729801</v>
      </c>
      <c r="K69" t="s">
        <v>153</v>
      </c>
      <c r="L69">
        <v>2</v>
      </c>
      <c r="M69">
        <v>0.83978891820580404</v>
      </c>
      <c r="N69" t="s">
        <v>131</v>
      </c>
      <c r="O69">
        <v>1</v>
      </c>
      <c r="P69">
        <v>1.26900584795321</v>
      </c>
      <c r="Q69" t="s">
        <v>225</v>
      </c>
      <c r="R69">
        <v>2</v>
      </c>
      <c r="S69">
        <v>0.99359673024523099</v>
      </c>
      <c r="T69" t="s">
        <v>209</v>
      </c>
      <c r="U69">
        <v>3</v>
      </c>
      <c r="V69">
        <v>0.89479768786127101</v>
      </c>
      <c r="W69" t="s">
        <v>165</v>
      </c>
      <c r="X69">
        <v>2</v>
      </c>
      <c r="Y69">
        <v>0.88779284833538796</v>
      </c>
      <c r="Z69" t="s">
        <v>214</v>
      </c>
      <c r="AA69">
        <v>3</v>
      </c>
      <c r="AB69">
        <v>1.26495726495726</v>
      </c>
      <c r="AC69" t="s">
        <v>210</v>
      </c>
      <c r="AD69">
        <v>3</v>
      </c>
      <c r="AE69">
        <v>1.17713004484304</v>
      </c>
      <c r="AF69" t="s">
        <v>206</v>
      </c>
      <c r="AG69">
        <v>2</v>
      </c>
      <c r="AH69">
        <v>1.2083333333333299</v>
      </c>
      <c r="AI69" t="s">
        <v>186</v>
      </c>
      <c r="AJ69">
        <v>2</v>
      </c>
      <c r="AK69">
        <v>0.86217791091041796</v>
      </c>
      <c r="AL69" t="s">
        <v>217</v>
      </c>
      <c r="AM69">
        <v>3</v>
      </c>
      <c r="AN69">
        <v>1.02161572052401</v>
      </c>
      <c r="AO69" t="s">
        <v>162</v>
      </c>
      <c r="AP69">
        <v>1</v>
      </c>
      <c r="AQ69">
        <v>0.97040690505548699</v>
      </c>
      <c r="AR69" t="s">
        <v>236</v>
      </c>
      <c r="AS69">
        <v>2</v>
      </c>
      <c r="AT69">
        <v>0.89290948602617803</v>
      </c>
      <c r="AU69" t="s">
        <v>162</v>
      </c>
      <c r="AV69">
        <v>1</v>
      </c>
      <c r="AW69">
        <v>1.08660130718954</v>
      </c>
      <c r="AX69" t="s">
        <v>158</v>
      </c>
      <c r="AY69">
        <v>2</v>
      </c>
      <c r="AZ69">
        <v>0.87804878048780399</v>
      </c>
      <c r="BA69" t="s">
        <v>207</v>
      </c>
      <c r="BB69">
        <v>2</v>
      </c>
      <c r="BC69">
        <v>1.4393939393939299</v>
      </c>
      <c r="BD69" t="s">
        <v>207</v>
      </c>
      <c r="BE69">
        <v>2</v>
      </c>
      <c r="BF69">
        <v>1.0350877192982399</v>
      </c>
      <c r="BG69" t="s">
        <v>236</v>
      </c>
      <c r="BH69">
        <v>2</v>
      </c>
      <c r="BI69">
        <v>1.6376729964596</v>
      </c>
      <c r="BJ69" t="s">
        <v>162</v>
      </c>
      <c r="BK69">
        <v>1</v>
      </c>
      <c r="BL69">
        <v>1.05486725663716</v>
      </c>
      <c r="BM69" t="s">
        <v>145</v>
      </c>
      <c r="BN69">
        <v>1</v>
      </c>
      <c r="BO69">
        <v>1.01803051317614</v>
      </c>
      <c r="BP69" t="s">
        <v>198</v>
      </c>
      <c r="BQ69">
        <v>2</v>
      </c>
      <c r="BR69">
        <v>1.03342618384401</v>
      </c>
      <c r="BS69" t="s">
        <v>158</v>
      </c>
      <c r="BT69">
        <v>2</v>
      </c>
      <c r="BU69">
        <v>0.90909090909090895</v>
      </c>
      <c r="BV69" t="s">
        <v>198</v>
      </c>
      <c r="BW69">
        <v>2</v>
      </c>
      <c r="BX69">
        <v>1.01876675603217</v>
      </c>
      <c r="BY69" t="s">
        <v>153</v>
      </c>
      <c r="BZ69">
        <v>2</v>
      </c>
      <c r="CA69">
        <v>1</v>
      </c>
      <c r="CB69" t="s">
        <v>153</v>
      </c>
      <c r="CC69">
        <v>2</v>
      </c>
      <c r="CD69">
        <v>0.82913472070098504</v>
      </c>
      <c r="CE69" t="s">
        <v>155</v>
      </c>
      <c r="CF69">
        <v>1</v>
      </c>
      <c r="CG69">
        <v>0.873417721518987</v>
      </c>
      <c r="CH69" t="s">
        <v>207</v>
      </c>
      <c r="CI69">
        <v>2</v>
      </c>
      <c r="CJ69">
        <v>1.19463869463869</v>
      </c>
      <c r="CK69" t="s">
        <v>231</v>
      </c>
      <c r="CL69">
        <v>3</v>
      </c>
      <c r="CM69">
        <v>0.82467532467532401</v>
      </c>
      <c r="CN69" t="s">
        <v>174</v>
      </c>
      <c r="CO69">
        <v>1</v>
      </c>
      <c r="CP69">
        <v>0.98993288590604001</v>
      </c>
      <c r="CQ69" t="s">
        <v>238</v>
      </c>
      <c r="CR69">
        <v>2</v>
      </c>
      <c r="CS69">
        <v>0.97916666666666596</v>
      </c>
      <c r="CT69" t="s">
        <v>189</v>
      </c>
      <c r="CU69">
        <v>2</v>
      </c>
      <c r="CV69">
        <v>1.09595959595959</v>
      </c>
      <c r="CW69" t="s">
        <v>241</v>
      </c>
      <c r="CX69">
        <v>3</v>
      </c>
      <c r="CY69">
        <v>0.92236024844720499</v>
      </c>
      <c r="CZ69" t="s">
        <v>178</v>
      </c>
      <c r="DA69">
        <v>1</v>
      </c>
      <c r="DB69">
        <v>1.08008658008658</v>
      </c>
      <c r="DC69" t="s">
        <v>214</v>
      </c>
      <c r="DD69">
        <v>3</v>
      </c>
      <c r="DE69">
        <v>1.07427055702917</v>
      </c>
      <c r="DF69" t="s">
        <v>209</v>
      </c>
      <c r="DG69">
        <v>3</v>
      </c>
      <c r="DH69">
        <v>1.12947658402203</v>
      </c>
    </row>
    <row r="70" spans="1:112" x14ac:dyDescent="0.4">
      <c r="A70">
        <v>68</v>
      </c>
      <c r="B70" t="s">
        <v>193</v>
      </c>
      <c r="C70">
        <v>2</v>
      </c>
      <c r="D70">
        <v>1.0859728506787301</v>
      </c>
      <c r="E70" t="s">
        <v>202</v>
      </c>
      <c r="F70">
        <v>2</v>
      </c>
      <c r="G70">
        <v>0.53353658536585302</v>
      </c>
      <c r="H70" t="s">
        <v>193</v>
      </c>
      <c r="I70">
        <v>2</v>
      </c>
      <c r="J70">
        <v>0.73733804475853904</v>
      </c>
      <c r="K70" t="s">
        <v>198</v>
      </c>
      <c r="L70">
        <v>2</v>
      </c>
      <c r="M70">
        <v>0.97466960352422904</v>
      </c>
      <c r="N70" t="s">
        <v>134</v>
      </c>
      <c r="O70">
        <v>2</v>
      </c>
      <c r="P70">
        <v>1.4</v>
      </c>
      <c r="Q70" t="s">
        <v>209</v>
      </c>
      <c r="R70">
        <v>3</v>
      </c>
      <c r="S70">
        <v>1.21148459383753</v>
      </c>
      <c r="T70" t="s">
        <v>164</v>
      </c>
      <c r="U70">
        <v>1</v>
      </c>
      <c r="V70">
        <v>1.20366795366795</v>
      </c>
      <c r="W70" t="s">
        <v>210</v>
      </c>
      <c r="X70">
        <v>3</v>
      </c>
      <c r="Y70">
        <v>1.0828804347826</v>
      </c>
      <c r="Z70" t="s">
        <v>222</v>
      </c>
      <c r="AA70">
        <v>2</v>
      </c>
      <c r="AB70">
        <v>0.58827838827838796</v>
      </c>
      <c r="AC70" t="s">
        <v>158</v>
      </c>
      <c r="AD70">
        <v>2</v>
      </c>
      <c r="AE70">
        <v>0.967592592592592</v>
      </c>
      <c r="AF70" t="s">
        <v>210</v>
      </c>
      <c r="AG70">
        <v>3</v>
      </c>
      <c r="AH70">
        <v>1.0047619047619001</v>
      </c>
      <c r="AI70" t="s">
        <v>190</v>
      </c>
      <c r="AJ70">
        <v>3</v>
      </c>
      <c r="AK70">
        <v>1.2962962962962901</v>
      </c>
      <c r="AL70" t="s">
        <v>214</v>
      </c>
      <c r="AM70">
        <v>3</v>
      </c>
      <c r="AN70">
        <v>1.01428571428571</v>
      </c>
      <c r="AO70" t="s">
        <v>217</v>
      </c>
      <c r="AP70">
        <v>3</v>
      </c>
      <c r="AQ70">
        <v>1.27441761060055</v>
      </c>
      <c r="AR70" t="s">
        <v>162</v>
      </c>
      <c r="AS70">
        <v>1</v>
      </c>
      <c r="AT70">
        <v>0.77763659466327795</v>
      </c>
      <c r="AU70" t="s">
        <v>217</v>
      </c>
      <c r="AV70">
        <v>3</v>
      </c>
      <c r="AW70">
        <v>1.3480392156862699</v>
      </c>
      <c r="AX70" t="s">
        <v>162</v>
      </c>
      <c r="AY70">
        <v>1</v>
      </c>
      <c r="AZ70">
        <v>0.79398496240601502</v>
      </c>
      <c r="BA70" t="s">
        <v>210</v>
      </c>
      <c r="BB70">
        <v>3</v>
      </c>
      <c r="BC70">
        <v>0.90550458715596305</v>
      </c>
      <c r="BD70" t="s">
        <v>210</v>
      </c>
      <c r="BE70">
        <v>3</v>
      </c>
      <c r="BF70">
        <v>1.0233029381965499</v>
      </c>
      <c r="BG70" t="s">
        <v>162</v>
      </c>
      <c r="BH70">
        <v>1</v>
      </c>
      <c r="BI70">
        <v>0.83333333333333304</v>
      </c>
      <c r="BJ70" t="s">
        <v>214</v>
      </c>
      <c r="BK70">
        <v>3</v>
      </c>
      <c r="BL70">
        <v>1.0365630712979801</v>
      </c>
      <c r="BM70" t="s">
        <v>203</v>
      </c>
      <c r="BN70">
        <v>3</v>
      </c>
      <c r="BO70">
        <v>0.85529411764705798</v>
      </c>
      <c r="BP70" t="s">
        <v>207</v>
      </c>
      <c r="BQ70">
        <v>2</v>
      </c>
      <c r="BR70">
        <v>0.96330275229357798</v>
      </c>
      <c r="BS70" t="s">
        <v>217</v>
      </c>
      <c r="BT70">
        <v>3</v>
      </c>
      <c r="BU70">
        <v>0.950754668713225</v>
      </c>
      <c r="BV70" t="s">
        <v>207</v>
      </c>
      <c r="BW70">
        <v>2</v>
      </c>
      <c r="BX70">
        <v>0.84830917874396095</v>
      </c>
      <c r="BY70" t="s">
        <v>155</v>
      </c>
      <c r="BZ70">
        <v>1</v>
      </c>
      <c r="CA70">
        <v>1.1148325358851601</v>
      </c>
      <c r="CB70" t="s">
        <v>198</v>
      </c>
      <c r="CC70">
        <v>2</v>
      </c>
      <c r="CD70">
        <v>0.91529411764705804</v>
      </c>
      <c r="CE70" t="s">
        <v>198</v>
      </c>
      <c r="CF70">
        <v>2</v>
      </c>
      <c r="CG70">
        <v>1.0102827763496101</v>
      </c>
      <c r="CH70" t="s">
        <v>206</v>
      </c>
      <c r="CI70">
        <v>2</v>
      </c>
      <c r="CJ70">
        <v>1.1381418092909501</v>
      </c>
      <c r="CK70" t="s">
        <v>178</v>
      </c>
      <c r="CL70">
        <v>1</v>
      </c>
      <c r="CM70">
        <v>0.77868852459016302</v>
      </c>
      <c r="CN70" t="s">
        <v>231</v>
      </c>
      <c r="CO70">
        <v>3</v>
      </c>
      <c r="CP70">
        <v>0.93385826771653502</v>
      </c>
      <c r="CQ70" t="s">
        <v>241</v>
      </c>
      <c r="CR70">
        <v>3</v>
      </c>
      <c r="CS70">
        <v>0.87375415282391999</v>
      </c>
      <c r="CT70" t="s">
        <v>247</v>
      </c>
      <c r="CU70">
        <v>2</v>
      </c>
      <c r="CV70">
        <v>0.88636363636363602</v>
      </c>
      <c r="CW70" t="s">
        <v>189</v>
      </c>
      <c r="CX70">
        <v>3</v>
      </c>
      <c r="CY70">
        <v>1.0426267281105901</v>
      </c>
      <c r="CZ70" t="s">
        <v>185</v>
      </c>
      <c r="DA70">
        <v>3</v>
      </c>
      <c r="DB70">
        <v>0.92500000000000004</v>
      </c>
      <c r="DC70" t="s">
        <v>223</v>
      </c>
      <c r="DD70">
        <v>3</v>
      </c>
      <c r="DE70">
        <v>0.95535714285714202</v>
      </c>
      <c r="DF70" t="s">
        <v>228</v>
      </c>
      <c r="DG70">
        <v>3</v>
      </c>
      <c r="DH70">
        <v>0.97839506172839497</v>
      </c>
    </row>
    <row r="71" spans="1:112" x14ac:dyDescent="0.4">
      <c r="A71">
        <v>69</v>
      </c>
      <c r="B71" t="s">
        <v>150</v>
      </c>
      <c r="C71">
        <v>2</v>
      </c>
      <c r="D71">
        <v>1.0269179004037601</v>
      </c>
      <c r="E71" t="s">
        <v>205</v>
      </c>
      <c r="F71">
        <v>3</v>
      </c>
      <c r="G71">
        <v>0.84378843788437796</v>
      </c>
      <c r="H71" t="s">
        <v>145</v>
      </c>
      <c r="I71">
        <v>1</v>
      </c>
      <c r="J71">
        <v>0.64734774066797596</v>
      </c>
      <c r="K71" t="s">
        <v>206</v>
      </c>
      <c r="L71">
        <v>3</v>
      </c>
      <c r="M71">
        <v>1.2717770034843201</v>
      </c>
      <c r="N71" t="s">
        <v>137</v>
      </c>
      <c r="O71">
        <v>2</v>
      </c>
      <c r="P71">
        <v>1.23551171393341</v>
      </c>
      <c r="Q71" t="s">
        <v>164</v>
      </c>
      <c r="R71">
        <v>1</v>
      </c>
      <c r="S71">
        <v>1.0329012961116599</v>
      </c>
      <c r="T71" t="s">
        <v>228</v>
      </c>
      <c r="U71">
        <v>2</v>
      </c>
      <c r="V71">
        <v>0.82417582417582402</v>
      </c>
      <c r="W71" t="s">
        <v>158</v>
      </c>
      <c r="X71">
        <v>2</v>
      </c>
      <c r="Y71">
        <v>1.0610328638497599</v>
      </c>
      <c r="Z71" t="s">
        <v>225</v>
      </c>
      <c r="AA71">
        <v>2</v>
      </c>
      <c r="AB71">
        <v>0.99159663865546199</v>
      </c>
      <c r="AC71" t="s">
        <v>162</v>
      </c>
      <c r="AD71">
        <v>1</v>
      </c>
      <c r="AE71">
        <v>1.5758468335787901</v>
      </c>
      <c r="AF71" t="s">
        <v>158</v>
      </c>
      <c r="AG71">
        <v>2</v>
      </c>
      <c r="AH71">
        <v>1</v>
      </c>
      <c r="AI71" t="s">
        <v>150</v>
      </c>
      <c r="AJ71">
        <v>2</v>
      </c>
      <c r="AK71">
        <v>0.90033594624860003</v>
      </c>
      <c r="AL71" t="s">
        <v>212</v>
      </c>
      <c r="AM71">
        <v>1</v>
      </c>
      <c r="AN71">
        <v>1.0197152245345</v>
      </c>
      <c r="AO71" t="s">
        <v>214</v>
      </c>
      <c r="AP71">
        <v>3</v>
      </c>
      <c r="AQ71">
        <v>0.95774647887323905</v>
      </c>
      <c r="AR71" t="s">
        <v>217</v>
      </c>
      <c r="AS71">
        <v>3</v>
      </c>
      <c r="AT71">
        <v>0.92369612611101704</v>
      </c>
      <c r="AU71" t="s">
        <v>214</v>
      </c>
      <c r="AV71">
        <v>3</v>
      </c>
      <c r="AW71">
        <v>1.16811091854419</v>
      </c>
      <c r="AX71" t="s">
        <v>217</v>
      </c>
      <c r="AY71">
        <v>3</v>
      </c>
      <c r="AZ71">
        <v>0.77737373737373705</v>
      </c>
      <c r="BA71" t="s">
        <v>158</v>
      </c>
      <c r="BB71">
        <v>2</v>
      </c>
      <c r="BC71">
        <v>1.12222222222222</v>
      </c>
      <c r="BD71" t="s">
        <v>158</v>
      </c>
      <c r="BE71">
        <v>2</v>
      </c>
      <c r="BF71">
        <v>1.3217821782178201</v>
      </c>
      <c r="BG71" t="s">
        <v>214</v>
      </c>
      <c r="BH71">
        <v>3</v>
      </c>
      <c r="BI71">
        <v>1.1552270327349501</v>
      </c>
      <c r="BJ71" t="s">
        <v>225</v>
      </c>
      <c r="BK71">
        <v>2</v>
      </c>
      <c r="BL71">
        <v>1.2236286919831201</v>
      </c>
      <c r="BM71" t="s">
        <v>153</v>
      </c>
      <c r="BN71">
        <v>2</v>
      </c>
      <c r="BO71">
        <v>0.78125426039536405</v>
      </c>
      <c r="BP71" t="s">
        <v>216</v>
      </c>
      <c r="BQ71">
        <v>3</v>
      </c>
      <c r="BR71">
        <v>0.99607843137254903</v>
      </c>
      <c r="BS71" t="s">
        <v>214</v>
      </c>
      <c r="BT71">
        <v>3</v>
      </c>
      <c r="BU71">
        <v>1.0317948717948699</v>
      </c>
      <c r="BV71" t="s">
        <v>216</v>
      </c>
      <c r="BW71">
        <v>3</v>
      </c>
      <c r="BX71">
        <v>1.06553911205074</v>
      </c>
      <c r="BY71" t="s">
        <v>198</v>
      </c>
      <c r="BZ71">
        <v>2</v>
      </c>
      <c r="CA71">
        <v>1.1184210526315701</v>
      </c>
      <c r="CB71" t="s">
        <v>207</v>
      </c>
      <c r="CC71">
        <v>2</v>
      </c>
      <c r="CD71">
        <v>1.0878661087866099</v>
      </c>
      <c r="CE71" t="s">
        <v>207</v>
      </c>
      <c r="CF71">
        <v>2</v>
      </c>
      <c r="CG71">
        <v>1.1000000000000001</v>
      </c>
      <c r="CH71" t="s">
        <v>216</v>
      </c>
      <c r="CI71">
        <v>3</v>
      </c>
      <c r="CJ71">
        <v>1.5194805194805101</v>
      </c>
      <c r="CK71" t="s">
        <v>185</v>
      </c>
      <c r="CL71">
        <v>3</v>
      </c>
      <c r="CM71">
        <v>0.80781758957654703</v>
      </c>
      <c r="CN71" t="s">
        <v>178</v>
      </c>
      <c r="CO71">
        <v>1</v>
      </c>
      <c r="CP71">
        <v>0.88947368421052597</v>
      </c>
      <c r="CQ71" t="s">
        <v>189</v>
      </c>
      <c r="CR71">
        <v>2</v>
      </c>
      <c r="CS71">
        <v>0.98385093167701798</v>
      </c>
      <c r="CT71" t="s">
        <v>249</v>
      </c>
      <c r="CU71">
        <v>2</v>
      </c>
      <c r="CV71">
        <v>1.13664596273291</v>
      </c>
      <c r="CW71" t="s">
        <v>247</v>
      </c>
      <c r="CX71">
        <v>2</v>
      </c>
      <c r="CY71">
        <v>1.07371794871794</v>
      </c>
      <c r="CZ71" t="s">
        <v>238</v>
      </c>
      <c r="DA71">
        <v>2</v>
      </c>
      <c r="DB71">
        <v>0.98545454545454503</v>
      </c>
      <c r="DC71" t="s">
        <v>222</v>
      </c>
      <c r="DD71">
        <v>3</v>
      </c>
      <c r="DE71">
        <v>1.0192307692307601</v>
      </c>
      <c r="DF71" t="s">
        <v>174</v>
      </c>
      <c r="DG71">
        <v>1</v>
      </c>
      <c r="DH71">
        <v>1.09030100334448</v>
      </c>
    </row>
    <row r="72" spans="1:112" x14ac:dyDescent="0.4">
      <c r="A72">
        <v>70</v>
      </c>
      <c r="B72" t="s">
        <v>153</v>
      </c>
      <c r="C72">
        <v>2</v>
      </c>
      <c r="D72">
        <v>1.1867201814850299</v>
      </c>
      <c r="E72" t="s">
        <v>198</v>
      </c>
      <c r="F72">
        <v>2</v>
      </c>
      <c r="G72">
        <v>0.82392026578072997</v>
      </c>
      <c r="H72" t="s">
        <v>150</v>
      </c>
      <c r="I72">
        <v>3</v>
      </c>
      <c r="J72">
        <v>0.64491654021244305</v>
      </c>
      <c r="K72" t="s">
        <v>165</v>
      </c>
      <c r="L72">
        <v>2</v>
      </c>
      <c r="M72">
        <v>0.72072334840309105</v>
      </c>
      <c r="N72" t="s">
        <v>186</v>
      </c>
      <c r="O72">
        <v>2</v>
      </c>
      <c r="P72">
        <v>1.2329249520274901</v>
      </c>
      <c r="Q72" t="s">
        <v>228</v>
      </c>
      <c r="R72">
        <v>2</v>
      </c>
      <c r="S72">
        <v>0.92857142857142805</v>
      </c>
      <c r="T72" t="s">
        <v>230</v>
      </c>
      <c r="U72">
        <v>3</v>
      </c>
      <c r="V72">
        <v>0.96965865992414602</v>
      </c>
      <c r="W72" t="s">
        <v>162</v>
      </c>
      <c r="X72">
        <v>1</v>
      </c>
      <c r="Y72">
        <v>1.0416666666666601</v>
      </c>
      <c r="Z72" t="s">
        <v>209</v>
      </c>
      <c r="AA72">
        <v>3</v>
      </c>
      <c r="AB72">
        <v>0.53157894736842104</v>
      </c>
      <c r="AC72" t="s">
        <v>217</v>
      </c>
      <c r="AD72">
        <v>3</v>
      </c>
      <c r="AE72">
        <v>1.3778353856124399</v>
      </c>
      <c r="AF72" t="s">
        <v>217</v>
      </c>
      <c r="AG72">
        <v>3</v>
      </c>
      <c r="AH72">
        <v>0.79147068046409497</v>
      </c>
      <c r="AI72" t="s">
        <v>153</v>
      </c>
      <c r="AJ72">
        <v>2</v>
      </c>
      <c r="AK72">
        <v>0.75831506718764896</v>
      </c>
      <c r="AL72" t="s">
        <v>225</v>
      </c>
      <c r="AM72">
        <v>2</v>
      </c>
      <c r="AN72">
        <v>1.09407665505226</v>
      </c>
      <c r="AO72" t="s">
        <v>212</v>
      </c>
      <c r="AP72">
        <v>1</v>
      </c>
      <c r="AQ72">
        <v>0.86680988184747498</v>
      </c>
      <c r="AR72" t="s">
        <v>214</v>
      </c>
      <c r="AS72">
        <v>3</v>
      </c>
      <c r="AT72">
        <v>0.84852941176470498</v>
      </c>
      <c r="AU72" t="s">
        <v>212</v>
      </c>
      <c r="AV72">
        <v>1</v>
      </c>
      <c r="AW72">
        <v>1.0074165636588299</v>
      </c>
      <c r="AX72" t="s">
        <v>214</v>
      </c>
      <c r="AY72">
        <v>3</v>
      </c>
      <c r="AZ72">
        <v>0.72329376854599403</v>
      </c>
      <c r="BA72" t="s">
        <v>236</v>
      </c>
      <c r="BB72">
        <v>2</v>
      </c>
      <c r="BC72">
        <v>1.24643720310025</v>
      </c>
      <c r="BD72" t="s">
        <v>162</v>
      </c>
      <c r="BE72">
        <v>1</v>
      </c>
      <c r="BF72">
        <v>1.11696869851729</v>
      </c>
      <c r="BG72" t="s">
        <v>212</v>
      </c>
      <c r="BH72">
        <v>1</v>
      </c>
      <c r="BI72">
        <v>1.04252400548696</v>
      </c>
      <c r="BJ72" t="s">
        <v>209</v>
      </c>
      <c r="BK72">
        <v>3</v>
      </c>
      <c r="BL72">
        <v>0.96339677891654396</v>
      </c>
      <c r="BM72" t="s">
        <v>198</v>
      </c>
      <c r="BN72">
        <v>2</v>
      </c>
      <c r="BO72">
        <v>0.90656565656565602</v>
      </c>
      <c r="BP72" t="s">
        <v>210</v>
      </c>
      <c r="BQ72">
        <v>3</v>
      </c>
      <c r="BR72">
        <v>0.89542483660130701</v>
      </c>
      <c r="BS72" t="s">
        <v>222</v>
      </c>
      <c r="BT72">
        <v>3</v>
      </c>
      <c r="BU72">
        <v>1.1646090534979401</v>
      </c>
      <c r="BV72" t="s">
        <v>210</v>
      </c>
      <c r="BW72">
        <v>3</v>
      </c>
      <c r="BX72">
        <v>1.3524096385542099</v>
      </c>
      <c r="BY72" t="s">
        <v>207</v>
      </c>
      <c r="BZ72">
        <v>2</v>
      </c>
      <c r="CA72">
        <v>0.81662870159453305</v>
      </c>
      <c r="CB72" t="s">
        <v>206</v>
      </c>
      <c r="CC72">
        <v>2</v>
      </c>
      <c r="CD72">
        <v>0.85714285714285698</v>
      </c>
      <c r="CE72" t="s">
        <v>206</v>
      </c>
      <c r="CF72">
        <v>2</v>
      </c>
      <c r="CG72">
        <v>1.0174129353233801</v>
      </c>
      <c r="CH72" t="s">
        <v>210</v>
      </c>
      <c r="CI72">
        <v>3</v>
      </c>
      <c r="CJ72">
        <v>0.93548387096774099</v>
      </c>
      <c r="CK72" t="s">
        <v>238</v>
      </c>
      <c r="CL72">
        <v>2</v>
      </c>
      <c r="CM72">
        <v>0.91638795986622001</v>
      </c>
      <c r="CN72" t="s">
        <v>185</v>
      </c>
      <c r="CO72">
        <v>3</v>
      </c>
      <c r="CP72">
        <v>0.99193548387096697</v>
      </c>
      <c r="CQ72" t="s">
        <v>247</v>
      </c>
      <c r="CR72">
        <v>2</v>
      </c>
      <c r="CS72">
        <v>0.99154929577464701</v>
      </c>
      <c r="CT72" t="s">
        <v>251</v>
      </c>
      <c r="CU72">
        <v>1</v>
      </c>
      <c r="CV72">
        <v>0.92842535787321001</v>
      </c>
      <c r="CW72" t="s">
        <v>249</v>
      </c>
      <c r="CX72">
        <v>2</v>
      </c>
      <c r="CY72">
        <v>1.1284153005464399</v>
      </c>
      <c r="CZ72" t="s">
        <v>241</v>
      </c>
      <c r="DA72">
        <v>3</v>
      </c>
      <c r="DB72">
        <v>1.13804713804713</v>
      </c>
      <c r="DC72" t="s">
        <v>225</v>
      </c>
      <c r="DD72">
        <v>3</v>
      </c>
      <c r="DE72">
        <v>1.1654411764705801</v>
      </c>
      <c r="DF72" t="s">
        <v>231</v>
      </c>
      <c r="DG72">
        <v>3</v>
      </c>
      <c r="DH72">
        <v>1.0048309178743899</v>
      </c>
    </row>
    <row r="73" spans="1:112" x14ac:dyDescent="0.4">
      <c r="A73">
        <v>71</v>
      </c>
      <c r="B73" t="s">
        <v>202</v>
      </c>
      <c r="C73">
        <v>2</v>
      </c>
      <c r="D73">
        <v>0.93714285714285706</v>
      </c>
      <c r="E73" t="s">
        <v>157</v>
      </c>
      <c r="F73">
        <v>2</v>
      </c>
      <c r="G73">
        <v>1.21606648199445</v>
      </c>
      <c r="H73" t="s">
        <v>200</v>
      </c>
      <c r="I73">
        <v>3</v>
      </c>
      <c r="J73">
        <v>0.34887824552558599</v>
      </c>
      <c r="K73" t="s">
        <v>158</v>
      </c>
      <c r="L73">
        <v>2</v>
      </c>
      <c r="M73">
        <v>0.83783783783783705</v>
      </c>
      <c r="N73" t="s">
        <v>193</v>
      </c>
      <c r="O73">
        <v>2</v>
      </c>
      <c r="P73">
        <v>2.1627565982404602</v>
      </c>
      <c r="Q73" t="s">
        <v>230</v>
      </c>
      <c r="R73">
        <v>3</v>
      </c>
      <c r="S73">
        <v>1.05186170212765</v>
      </c>
      <c r="T73" t="s">
        <v>168</v>
      </c>
      <c r="U73">
        <v>2</v>
      </c>
      <c r="V73">
        <v>1.1340206185567001</v>
      </c>
      <c r="W73" t="s">
        <v>214</v>
      </c>
      <c r="X73">
        <v>3</v>
      </c>
      <c r="Y73">
        <v>1.21875</v>
      </c>
      <c r="Z73" t="s">
        <v>164</v>
      </c>
      <c r="AA73">
        <v>1</v>
      </c>
      <c r="AB73">
        <v>1.0253267973856199</v>
      </c>
      <c r="AC73" t="s">
        <v>214</v>
      </c>
      <c r="AD73">
        <v>3</v>
      </c>
      <c r="AE73">
        <v>0.90945945945945905</v>
      </c>
      <c r="AF73" t="s">
        <v>214</v>
      </c>
      <c r="AG73">
        <v>3</v>
      </c>
      <c r="AH73">
        <v>1.2540861812778601</v>
      </c>
      <c r="AI73" t="s">
        <v>198</v>
      </c>
      <c r="AJ73">
        <v>2</v>
      </c>
      <c r="AK73">
        <v>0.95783132530120396</v>
      </c>
      <c r="AL73" t="s">
        <v>164</v>
      </c>
      <c r="AM73">
        <v>1</v>
      </c>
      <c r="AN73">
        <v>1.1647482014388399</v>
      </c>
      <c r="AO73" t="s">
        <v>225</v>
      </c>
      <c r="AP73">
        <v>2</v>
      </c>
      <c r="AQ73">
        <v>0.83757961783439405</v>
      </c>
      <c r="AR73" t="s">
        <v>212</v>
      </c>
      <c r="AS73">
        <v>1</v>
      </c>
      <c r="AT73">
        <v>1.0024783147459699</v>
      </c>
      <c r="AU73" t="s">
        <v>225</v>
      </c>
      <c r="AV73">
        <v>2</v>
      </c>
      <c r="AW73">
        <v>1.2139737991266299</v>
      </c>
      <c r="AX73" t="s">
        <v>212</v>
      </c>
      <c r="AY73">
        <v>1</v>
      </c>
      <c r="AZ73">
        <v>1.00736196319018</v>
      </c>
      <c r="BA73" t="s">
        <v>162</v>
      </c>
      <c r="BB73">
        <v>1</v>
      </c>
      <c r="BC73">
        <v>1.1496212121212099</v>
      </c>
      <c r="BD73" t="s">
        <v>214</v>
      </c>
      <c r="BE73">
        <v>3</v>
      </c>
      <c r="BF73">
        <v>0.98440748440748405</v>
      </c>
      <c r="BG73" t="s">
        <v>225</v>
      </c>
      <c r="BH73">
        <v>2</v>
      </c>
      <c r="BI73">
        <v>0.98956158663882998</v>
      </c>
      <c r="BJ73" t="s">
        <v>228</v>
      </c>
      <c r="BK73">
        <v>3</v>
      </c>
      <c r="BL73">
        <v>1.0454545454545401</v>
      </c>
      <c r="BM73" t="s">
        <v>216</v>
      </c>
      <c r="BN73">
        <v>3</v>
      </c>
      <c r="BO73">
        <v>0.89947089947089898</v>
      </c>
      <c r="BP73" t="s">
        <v>158</v>
      </c>
      <c r="BQ73">
        <v>2</v>
      </c>
      <c r="BR73">
        <v>1.0272373540855999</v>
      </c>
      <c r="BS73" t="s">
        <v>209</v>
      </c>
      <c r="BT73">
        <v>3</v>
      </c>
      <c r="BU73">
        <v>1.7409948542024001</v>
      </c>
      <c r="BV73" t="s">
        <v>158</v>
      </c>
      <c r="BW73">
        <v>2</v>
      </c>
      <c r="BX73">
        <v>1.24166666666666</v>
      </c>
      <c r="BY73" t="s">
        <v>216</v>
      </c>
      <c r="BZ73">
        <v>3</v>
      </c>
      <c r="CA73">
        <v>1.1626984126984099</v>
      </c>
      <c r="CB73" t="s">
        <v>216</v>
      </c>
      <c r="CC73">
        <v>3</v>
      </c>
      <c r="CD73">
        <v>0.83276450511945299</v>
      </c>
      <c r="CE73" t="s">
        <v>216</v>
      </c>
      <c r="CF73">
        <v>3</v>
      </c>
      <c r="CG73">
        <v>0.94672131147540906</v>
      </c>
      <c r="CH73" t="s">
        <v>158</v>
      </c>
      <c r="CI73">
        <v>2</v>
      </c>
      <c r="CJ73">
        <v>1.15384615384615</v>
      </c>
      <c r="CK73" t="s">
        <v>241</v>
      </c>
      <c r="CL73">
        <v>3</v>
      </c>
      <c r="CM73">
        <v>1.1791044776119399</v>
      </c>
      <c r="CN73" t="s">
        <v>238</v>
      </c>
      <c r="CO73">
        <v>2</v>
      </c>
      <c r="CP73">
        <v>0.934306569343065</v>
      </c>
      <c r="CQ73" t="s">
        <v>249</v>
      </c>
      <c r="CR73">
        <v>2</v>
      </c>
      <c r="CS73">
        <v>0.94152046783625698</v>
      </c>
      <c r="CT73" t="s">
        <v>254</v>
      </c>
      <c r="CU73">
        <v>3</v>
      </c>
      <c r="CV73">
        <v>1.2763636363636299</v>
      </c>
      <c r="CW73" t="s">
        <v>251</v>
      </c>
      <c r="CX73">
        <v>1</v>
      </c>
      <c r="CY73">
        <v>1.11233480176211</v>
      </c>
      <c r="CZ73" t="s">
        <v>189</v>
      </c>
      <c r="DA73">
        <v>3</v>
      </c>
      <c r="DB73">
        <v>1.04972375690607</v>
      </c>
      <c r="DC73" t="s">
        <v>209</v>
      </c>
      <c r="DD73">
        <v>3</v>
      </c>
      <c r="DE73">
        <v>1.0182328190743299</v>
      </c>
      <c r="DF73" t="s">
        <v>178</v>
      </c>
      <c r="DG73">
        <v>1</v>
      </c>
      <c r="DH73">
        <v>0.99470899470899399</v>
      </c>
    </row>
    <row r="74" spans="1:112" x14ac:dyDescent="0.4">
      <c r="A74">
        <v>72</v>
      </c>
      <c r="B74" t="s">
        <v>198</v>
      </c>
      <c r="C74">
        <v>2</v>
      </c>
      <c r="D74">
        <v>1.1576923076923</v>
      </c>
      <c r="E74" t="s">
        <v>165</v>
      </c>
      <c r="F74">
        <v>2</v>
      </c>
      <c r="G74">
        <v>0.62215332373675802</v>
      </c>
      <c r="H74" t="s">
        <v>202</v>
      </c>
      <c r="I74">
        <v>2</v>
      </c>
      <c r="J74">
        <v>0.46057142857142802</v>
      </c>
      <c r="K74" t="s">
        <v>162</v>
      </c>
      <c r="L74">
        <v>1</v>
      </c>
      <c r="M74">
        <v>1.48529411764705</v>
      </c>
      <c r="N74" t="s">
        <v>145</v>
      </c>
      <c r="O74">
        <v>1</v>
      </c>
      <c r="P74">
        <v>1.73121387283237</v>
      </c>
      <c r="Q74" t="s">
        <v>168</v>
      </c>
      <c r="R74">
        <v>2</v>
      </c>
      <c r="S74">
        <v>1.44776119402985</v>
      </c>
      <c r="T74" t="s">
        <v>170</v>
      </c>
      <c r="U74">
        <v>2</v>
      </c>
      <c r="V74">
        <v>1.13333333333333</v>
      </c>
      <c r="W74" t="s">
        <v>222</v>
      </c>
      <c r="X74">
        <v>2</v>
      </c>
      <c r="Y74">
        <v>0.77777777777777701</v>
      </c>
      <c r="Z74" t="s">
        <v>228</v>
      </c>
      <c r="AA74">
        <v>2</v>
      </c>
      <c r="AB74">
        <v>0.99682539682539595</v>
      </c>
      <c r="AC74" t="s">
        <v>225</v>
      </c>
      <c r="AD74">
        <v>2</v>
      </c>
      <c r="AE74">
        <v>1.07627118644067</v>
      </c>
      <c r="AF74" t="s">
        <v>212</v>
      </c>
      <c r="AG74">
        <v>1</v>
      </c>
      <c r="AH74">
        <v>0.88537549407114602</v>
      </c>
      <c r="AI74" t="s">
        <v>157</v>
      </c>
      <c r="AJ74">
        <v>1</v>
      </c>
      <c r="AK74">
        <v>1.01466992665036</v>
      </c>
      <c r="AL74" t="s">
        <v>228</v>
      </c>
      <c r="AM74">
        <v>3</v>
      </c>
      <c r="AN74">
        <v>1.1818181818181801</v>
      </c>
      <c r="AO74" t="s">
        <v>228</v>
      </c>
      <c r="AP74">
        <v>3</v>
      </c>
      <c r="AQ74">
        <v>0.91346153846153799</v>
      </c>
      <c r="AR74" t="s">
        <v>225</v>
      </c>
      <c r="AS74">
        <v>2</v>
      </c>
      <c r="AT74">
        <v>0.87072243346007605</v>
      </c>
      <c r="AU74" t="s">
        <v>228</v>
      </c>
      <c r="AV74">
        <v>3</v>
      </c>
      <c r="AW74">
        <v>1.5277044854881201</v>
      </c>
      <c r="AX74" t="s">
        <v>225</v>
      </c>
      <c r="AY74">
        <v>2</v>
      </c>
      <c r="AZ74">
        <v>1.0251798561151</v>
      </c>
      <c r="BA74" t="s">
        <v>217</v>
      </c>
      <c r="BB74">
        <v>3</v>
      </c>
      <c r="BC74">
        <v>1.34927234927234</v>
      </c>
      <c r="BD74" t="s">
        <v>212</v>
      </c>
      <c r="BE74">
        <v>1</v>
      </c>
      <c r="BF74">
        <v>0.85263157894736796</v>
      </c>
      <c r="BG74" t="s">
        <v>228</v>
      </c>
      <c r="BH74">
        <v>3</v>
      </c>
      <c r="BI74">
        <v>0.94346978557504801</v>
      </c>
      <c r="BJ74" t="s">
        <v>172</v>
      </c>
      <c r="BK74">
        <v>2</v>
      </c>
      <c r="BL74">
        <v>1.0457063711911301</v>
      </c>
      <c r="BM74" t="s">
        <v>210</v>
      </c>
      <c r="BN74">
        <v>3</v>
      </c>
      <c r="BO74">
        <v>1.07368421052631</v>
      </c>
      <c r="BP74" t="s">
        <v>162</v>
      </c>
      <c r="BQ74">
        <v>1</v>
      </c>
      <c r="BR74">
        <v>1.01549295774647</v>
      </c>
      <c r="BS74" t="s">
        <v>228</v>
      </c>
      <c r="BT74">
        <v>3</v>
      </c>
      <c r="BU74">
        <v>1.04712041884816</v>
      </c>
      <c r="BV74" t="s">
        <v>217</v>
      </c>
      <c r="BW74">
        <v>3</v>
      </c>
      <c r="BX74">
        <v>1.7579712094712701</v>
      </c>
      <c r="BY74" t="s">
        <v>158</v>
      </c>
      <c r="BZ74">
        <v>2</v>
      </c>
      <c r="CA74">
        <v>1.1040268456375799</v>
      </c>
      <c r="CB74" t="s">
        <v>158</v>
      </c>
      <c r="CC74">
        <v>2</v>
      </c>
      <c r="CD74">
        <v>0.82978723404255295</v>
      </c>
      <c r="CE74" t="s">
        <v>210</v>
      </c>
      <c r="CF74">
        <v>3</v>
      </c>
      <c r="CG74">
        <v>0.89855072463768104</v>
      </c>
      <c r="CH74" t="s">
        <v>214</v>
      </c>
      <c r="CI74">
        <v>3</v>
      </c>
      <c r="CJ74">
        <v>0.98923283983849197</v>
      </c>
      <c r="CK74" t="s">
        <v>189</v>
      </c>
      <c r="CL74">
        <v>2</v>
      </c>
      <c r="CM74">
        <v>0.904709748083242</v>
      </c>
      <c r="CN74" t="s">
        <v>241</v>
      </c>
      <c r="CO74">
        <v>3</v>
      </c>
      <c r="CP74">
        <v>0.95253164556962</v>
      </c>
      <c r="CQ74" t="s">
        <v>251</v>
      </c>
      <c r="CR74">
        <v>1</v>
      </c>
      <c r="CS74">
        <v>0.95414634146341404</v>
      </c>
      <c r="CT74" t="s">
        <v>544</v>
      </c>
      <c r="CU74">
        <v>3</v>
      </c>
      <c r="CV74">
        <v>1.22131147540983</v>
      </c>
      <c r="CW74" t="s">
        <v>254</v>
      </c>
      <c r="CX74">
        <v>3</v>
      </c>
      <c r="CY74">
        <v>1.0455840455840399</v>
      </c>
      <c r="CZ74" t="s">
        <v>247</v>
      </c>
      <c r="DA74">
        <v>2</v>
      </c>
      <c r="DB74">
        <v>1.11343283582089</v>
      </c>
      <c r="DC74" t="s">
        <v>228</v>
      </c>
      <c r="DD74">
        <v>3</v>
      </c>
      <c r="DE74">
        <v>1.0253164556962</v>
      </c>
      <c r="DF74" t="s">
        <v>185</v>
      </c>
      <c r="DG74">
        <v>3</v>
      </c>
      <c r="DH74">
        <v>1.07633587786259</v>
      </c>
    </row>
    <row r="75" spans="1:112" x14ac:dyDescent="0.4">
      <c r="A75">
        <v>73</v>
      </c>
      <c r="B75" t="s">
        <v>157</v>
      </c>
      <c r="C75">
        <v>1</v>
      </c>
      <c r="D75">
        <v>0.94010416666666596</v>
      </c>
      <c r="E75" t="s">
        <v>214</v>
      </c>
      <c r="F75">
        <v>3</v>
      </c>
      <c r="G75">
        <v>0.75463917525773105</v>
      </c>
      <c r="H75" t="s">
        <v>198</v>
      </c>
      <c r="I75">
        <v>2</v>
      </c>
      <c r="J75">
        <v>0.73225806451612896</v>
      </c>
      <c r="K75" t="s">
        <v>212</v>
      </c>
      <c r="L75">
        <v>1</v>
      </c>
      <c r="M75">
        <v>0.75728155339805803</v>
      </c>
      <c r="N75" t="s">
        <v>150</v>
      </c>
      <c r="O75">
        <v>3</v>
      </c>
      <c r="P75">
        <v>1.91115702479338</v>
      </c>
      <c r="Q75" t="s">
        <v>170</v>
      </c>
      <c r="R75">
        <v>2</v>
      </c>
      <c r="S75">
        <v>1.44974226804123</v>
      </c>
      <c r="T75" t="s">
        <v>172</v>
      </c>
      <c r="U75">
        <v>1</v>
      </c>
      <c r="V75">
        <v>1.0855263157894699</v>
      </c>
      <c r="W75" t="s">
        <v>225</v>
      </c>
      <c r="X75">
        <v>2</v>
      </c>
      <c r="Y75">
        <v>0.97902097902097895</v>
      </c>
      <c r="Z75" t="s">
        <v>230</v>
      </c>
      <c r="AA75">
        <v>3</v>
      </c>
      <c r="AB75">
        <v>1.0150375939849601</v>
      </c>
      <c r="AC75" t="s">
        <v>164</v>
      </c>
      <c r="AD75">
        <v>1</v>
      </c>
      <c r="AE75">
        <v>0.98247011952191199</v>
      </c>
      <c r="AF75" t="s">
        <v>225</v>
      </c>
      <c r="AG75">
        <v>2</v>
      </c>
      <c r="AH75">
        <v>0.929133858267716</v>
      </c>
      <c r="AI75" t="s">
        <v>210</v>
      </c>
      <c r="AJ75">
        <v>3</v>
      </c>
      <c r="AK75">
        <v>1.1279620853080501</v>
      </c>
      <c r="AL75" t="s">
        <v>167</v>
      </c>
      <c r="AM75">
        <v>2</v>
      </c>
      <c r="AN75">
        <v>1.1545454545454501</v>
      </c>
      <c r="AO75" t="s">
        <v>233</v>
      </c>
      <c r="AP75">
        <v>3</v>
      </c>
      <c r="AQ75">
        <v>1.0125348189415</v>
      </c>
      <c r="AR75" t="s">
        <v>164</v>
      </c>
      <c r="AS75">
        <v>2</v>
      </c>
      <c r="AT75">
        <v>0.95605022831050201</v>
      </c>
      <c r="AU75" t="s">
        <v>172</v>
      </c>
      <c r="AV75">
        <v>2</v>
      </c>
      <c r="AW75">
        <v>0.90948587979724804</v>
      </c>
      <c r="AX75" t="s">
        <v>228</v>
      </c>
      <c r="AY75">
        <v>3</v>
      </c>
      <c r="AZ75">
        <v>0.79447322970639001</v>
      </c>
      <c r="BA75" t="s">
        <v>214</v>
      </c>
      <c r="BB75">
        <v>3</v>
      </c>
      <c r="BC75">
        <v>0.98666666666666603</v>
      </c>
      <c r="BD75" t="s">
        <v>225</v>
      </c>
      <c r="BE75">
        <v>2</v>
      </c>
      <c r="BF75">
        <v>1.4088235294117599</v>
      </c>
      <c r="BG75" t="s">
        <v>237</v>
      </c>
      <c r="BH75">
        <v>3</v>
      </c>
      <c r="BI75">
        <v>0.96088264794383105</v>
      </c>
      <c r="BJ75" t="s">
        <v>237</v>
      </c>
      <c r="BK75">
        <v>3</v>
      </c>
      <c r="BL75">
        <v>1.2630480167014599</v>
      </c>
      <c r="BM75" t="s">
        <v>158</v>
      </c>
      <c r="BN75">
        <v>2</v>
      </c>
      <c r="BO75">
        <v>1.02390438247011</v>
      </c>
      <c r="BP75" t="s">
        <v>214</v>
      </c>
      <c r="BQ75">
        <v>3</v>
      </c>
      <c r="BR75">
        <v>0.94111969111969096</v>
      </c>
      <c r="BS75" t="s">
        <v>172</v>
      </c>
      <c r="BT75">
        <v>2</v>
      </c>
      <c r="BU75">
        <v>0.98958333333333304</v>
      </c>
      <c r="BV75" t="s">
        <v>214</v>
      </c>
      <c r="BW75">
        <v>3</v>
      </c>
      <c r="BX75">
        <v>1.0278330019880699</v>
      </c>
      <c r="BY75" t="s">
        <v>214</v>
      </c>
      <c r="BZ75">
        <v>3</v>
      </c>
      <c r="CA75">
        <v>1.1895551257253301</v>
      </c>
      <c r="CB75" t="s">
        <v>214</v>
      </c>
      <c r="CC75">
        <v>3</v>
      </c>
      <c r="CD75">
        <v>1.0243902439024299</v>
      </c>
      <c r="CE75" t="s">
        <v>158</v>
      </c>
      <c r="CF75">
        <v>2</v>
      </c>
      <c r="CG75">
        <v>0.90476190476190399</v>
      </c>
      <c r="CH75" t="s">
        <v>225</v>
      </c>
      <c r="CI75">
        <v>2</v>
      </c>
      <c r="CJ75">
        <v>0.94688221709006903</v>
      </c>
      <c r="CK75" t="s">
        <v>243</v>
      </c>
      <c r="CL75">
        <v>1</v>
      </c>
      <c r="CM75">
        <v>1.0350194552529099</v>
      </c>
      <c r="CN75" t="s">
        <v>189</v>
      </c>
      <c r="CO75">
        <v>2</v>
      </c>
      <c r="CP75">
        <v>0.97457627118643997</v>
      </c>
      <c r="CQ75" t="s">
        <v>254</v>
      </c>
      <c r="CR75">
        <v>3</v>
      </c>
      <c r="CS75">
        <v>1.3221153846153799</v>
      </c>
      <c r="CT75" t="s">
        <v>256</v>
      </c>
      <c r="CU75">
        <v>3</v>
      </c>
      <c r="CV75">
        <v>0.86738351254480195</v>
      </c>
      <c r="CW75" t="s">
        <v>256</v>
      </c>
      <c r="CX75">
        <v>3</v>
      </c>
      <c r="CY75">
        <v>1.13636363636363</v>
      </c>
      <c r="CZ75" t="s">
        <v>249</v>
      </c>
      <c r="DA75">
        <v>2</v>
      </c>
      <c r="DB75">
        <v>0.85714285714285698</v>
      </c>
      <c r="DC75" t="s">
        <v>174</v>
      </c>
      <c r="DD75">
        <v>1</v>
      </c>
      <c r="DE75">
        <v>1.12406015037593</v>
      </c>
      <c r="DF75" t="s">
        <v>238</v>
      </c>
      <c r="DG75">
        <v>2</v>
      </c>
      <c r="DH75">
        <v>1.0825</v>
      </c>
    </row>
    <row r="76" spans="1:112" x14ac:dyDescent="0.4">
      <c r="A76">
        <v>74</v>
      </c>
      <c r="B76" t="s">
        <v>206</v>
      </c>
      <c r="C76">
        <v>3</v>
      </c>
      <c r="D76">
        <v>3.0229746070133001</v>
      </c>
      <c r="E76" t="s">
        <v>222</v>
      </c>
      <c r="F76">
        <v>2</v>
      </c>
      <c r="G76">
        <v>0.75961538461538403</v>
      </c>
      <c r="H76" t="s">
        <v>206</v>
      </c>
      <c r="I76">
        <v>3</v>
      </c>
      <c r="J76">
        <v>0.83918128654970703</v>
      </c>
      <c r="K76" t="s">
        <v>222</v>
      </c>
      <c r="L76">
        <v>2</v>
      </c>
      <c r="M76">
        <v>1.1578947368421</v>
      </c>
      <c r="N76" t="s">
        <v>153</v>
      </c>
      <c r="O76">
        <v>2</v>
      </c>
      <c r="P76">
        <v>1.1702903104184901</v>
      </c>
      <c r="Q76" t="s">
        <v>172</v>
      </c>
      <c r="R76">
        <v>1</v>
      </c>
      <c r="S76">
        <v>0.94645080946450799</v>
      </c>
      <c r="T76" t="s">
        <v>231</v>
      </c>
      <c r="U76">
        <v>3</v>
      </c>
      <c r="V76">
        <v>0.89149560117301996</v>
      </c>
      <c r="W76" t="s">
        <v>209</v>
      </c>
      <c r="X76">
        <v>3</v>
      </c>
      <c r="Y76">
        <v>0.98191214470284205</v>
      </c>
      <c r="Z76" t="s">
        <v>168</v>
      </c>
      <c r="AA76">
        <v>2</v>
      </c>
      <c r="AB76">
        <v>0.95608108108108103</v>
      </c>
      <c r="AC76" t="s">
        <v>228</v>
      </c>
      <c r="AD76">
        <v>3</v>
      </c>
      <c r="AE76">
        <v>1.0828025477707</v>
      </c>
      <c r="AF76" t="s">
        <v>164</v>
      </c>
      <c r="AG76">
        <v>1</v>
      </c>
      <c r="AH76">
        <v>1.1224655312246501</v>
      </c>
      <c r="AI76" t="s">
        <v>158</v>
      </c>
      <c r="AJ76">
        <v>2</v>
      </c>
      <c r="AK76">
        <v>0.97607655502392299</v>
      </c>
      <c r="AL76" t="s">
        <v>168</v>
      </c>
      <c r="AM76">
        <v>1</v>
      </c>
      <c r="AN76">
        <v>1.0163934426229499</v>
      </c>
      <c r="AO76" t="s">
        <v>172</v>
      </c>
      <c r="AP76">
        <v>2</v>
      </c>
      <c r="AQ76">
        <v>1.09671848013816</v>
      </c>
      <c r="AR76" t="s">
        <v>228</v>
      </c>
      <c r="AS76">
        <v>3</v>
      </c>
      <c r="AT76">
        <v>0.99736842105263102</v>
      </c>
      <c r="AU76" t="s">
        <v>237</v>
      </c>
      <c r="AV76">
        <v>3</v>
      </c>
      <c r="AW76">
        <v>2.04663212435233</v>
      </c>
      <c r="AX76" t="s">
        <v>172</v>
      </c>
      <c r="AY76">
        <v>2</v>
      </c>
      <c r="AZ76">
        <v>1.0772292993630499</v>
      </c>
      <c r="BA76" t="s">
        <v>212</v>
      </c>
      <c r="BB76">
        <v>1</v>
      </c>
      <c r="BC76">
        <v>1.04141291108404</v>
      </c>
      <c r="BD76" t="s">
        <v>228</v>
      </c>
      <c r="BE76">
        <v>3</v>
      </c>
      <c r="BF76">
        <v>1.0342741935483799</v>
      </c>
      <c r="BG76" t="s">
        <v>234</v>
      </c>
      <c r="BH76">
        <v>2</v>
      </c>
      <c r="BI76">
        <v>0.92805755395683398</v>
      </c>
      <c r="BJ76" t="s">
        <v>234</v>
      </c>
      <c r="BK76">
        <v>2</v>
      </c>
      <c r="BL76">
        <v>0.85529715762273895</v>
      </c>
      <c r="BM76" t="s">
        <v>162</v>
      </c>
      <c r="BN76">
        <v>1</v>
      </c>
      <c r="BO76">
        <v>1.19127516778523</v>
      </c>
      <c r="BP76" t="s">
        <v>222</v>
      </c>
      <c r="BQ76">
        <v>3</v>
      </c>
      <c r="BR76">
        <v>0.95669291338582596</v>
      </c>
      <c r="BS76" t="s">
        <v>237</v>
      </c>
      <c r="BT76">
        <v>3</v>
      </c>
      <c r="BU76">
        <v>0.94581280788177302</v>
      </c>
      <c r="BV76" t="s">
        <v>222</v>
      </c>
      <c r="BW76">
        <v>3</v>
      </c>
      <c r="BX76">
        <v>1.0388692579505301</v>
      </c>
      <c r="BY76" t="s">
        <v>222</v>
      </c>
      <c r="BZ76">
        <v>3</v>
      </c>
      <c r="CA76">
        <v>1.03741496598639</v>
      </c>
      <c r="CB76" t="s">
        <v>223</v>
      </c>
      <c r="CC76">
        <v>3</v>
      </c>
      <c r="CD76">
        <v>0.95031712473572905</v>
      </c>
      <c r="CE76" t="s">
        <v>217</v>
      </c>
      <c r="CF76">
        <v>3</v>
      </c>
      <c r="CG76">
        <v>1.2715132218979299</v>
      </c>
      <c r="CH76" t="s">
        <v>209</v>
      </c>
      <c r="CI76">
        <v>3</v>
      </c>
      <c r="CJ76">
        <v>1.0274509803921501</v>
      </c>
      <c r="CK76" t="s">
        <v>247</v>
      </c>
      <c r="CL76">
        <v>2</v>
      </c>
      <c r="CM76">
        <v>0.80989583333333304</v>
      </c>
      <c r="CN76" t="s">
        <v>243</v>
      </c>
      <c r="CO76">
        <v>1</v>
      </c>
      <c r="CP76">
        <v>1.1672932330826999</v>
      </c>
      <c r="CQ76" t="s">
        <v>256</v>
      </c>
      <c r="CR76">
        <v>3</v>
      </c>
      <c r="CS76">
        <v>0.81262135922330003</v>
      </c>
      <c r="CT76" t="s">
        <v>194</v>
      </c>
      <c r="CU76">
        <v>2</v>
      </c>
      <c r="CV76">
        <v>1.3556085918854399</v>
      </c>
      <c r="CW76" t="s">
        <v>195</v>
      </c>
      <c r="CX76">
        <v>2</v>
      </c>
      <c r="CY76">
        <v>0.97128378378378299</v>
      </c>
      <c r="CZ76" t="s">
        <v>251</v>
      </c>
      <c r="DA76">
        <v>1</v>
      </c>
      <c r="DB76">
        <v>0.97326732673267302</v>
      </c>
      <c r="DC76" t="s">
        <v>231</v>
      </c>
      <c r="DD76">
        <v>3</v>
      </c>
      <c r="DE76">
        <v>1.0097560975609701</v>
      </c>
      <c r="DF76" t="s">
        <v>241</v>
      </c>
      <c r="DG76">
        <v>3</v>
      </c>
      <c r="DH76">
        <v>0.98863636363636298</v>
      </c>
    </row>
    <row r="77" spans="1:112" x14ac:dyDescent="0.4">
      <c r="A77">
        <v>75</v>
      </c>
      <c r="B77" t="s">
        <v>210</v>
      </c>
      <c r="C77">
        <v>2</v>
      </c>
      <c r="D77">
        <v>0.84671532846715303</v>
      </c>
      <c r="E77" t="s">
        <v>209</v>
      </c>
      <c r="F77">
        <v>2</v>
      </c>
      <c r="G77">
        <v>0.57714285714285696</v>
      </c>
      <c r="H77" t="s">
        <v>165</v>
      </c>
      <c r="I77">
        <v>2</v>
      </c>
      <c r="J77">
        <v>0.406798766018035</v>
      </c>
      <c r="K77" t="s">
        <v>225</v>
      </c>
      <c r="L77">
        <v>3</v>
      </c>
      <c r="M77">
        <v>0.82498090145148895</v>
      </c>
      <c r="N77" t="s">
        <v>198</v>
      </c>
      <c r="O77">
        <v>2</v>
      </c>
      <c r="P77">
        <v>1.4576271186440599</v>
      </c>
      <c r="Q77" t="s">
        <v>174</v>
      </c>
      <c r="R77">
        <v>1</v>
      </c>
      <c r="S77">
        <v>1.52958152958152</v>
      </c>
      <c r="T77" t="s">
        <v>176</v>
      </c>
      <c r="U77">
        <v>2</v>
      </c>
      <c r="V77">
        <v>1.1808972503617901</v>
      </c>
      <c r="W77" t="s">
        <v>164</v>
      </c>
      <c r="X77">
        <v>1</v>
      </c>
      <c r="Y77">
        <v>0.98155573376102601</v>
      </c>
      <c r="Z77" t="s">
        <v>170</v>
      </c>
      <c r="AA77">
        <v>2</v>
      </c>
      <c r="AB77">
        <v>0.93133047210300401</v>
      </c>
      <c r="AC77" t="s">
        <v>230</v>
      </c>
      <c r="AD77">
        <v>2</v>
      </c>
      <c r="AE77">
        <v>1.4049382716049299</v>
      </c>
      <c r="AF77" t="s">
        <v>228</v>
      </c>
      <c r="AG77">
        <v>3</v>
      </c>
      <c r="AH77">
        <v>1.04411764705882</v>
      </c>
      <c r="AI77" t="s">
        <v>217</v>
      </c>
      <c r="AJ77">
        <v>3</v>
      </c>
      <c r="AK77">
        <v>0.90729001584785995</v>
      </c>
      <c r="AL77" t="s">
        <v>172</v>
      </c>
      <c r="AM77">
        <v>2</v>
      </c>
      <c r="AN77">
        <v>1.2600652883568999</v>
      </c>
      <c r="AO77" t="s">
        <v>234</v>
      </c>
      <c r="AP77">
        <v>3</v>
      </c>
      <c r="AQ77">
        <v>1.4756097560975601</v>
      </c>
      <c r="AR77" t="s">
        <v>233</v>
      </c>
      <c r="AS77">
        <v>3</v>
      </c>
      <c r="AT77">
        <v>0.89133425034387803</v>
      </c>
      <c r="AU77" t="s">
        <v>178</v>
      </c>
      <c r="AV77">
        <v>1</v>
      </c>
      <c r="AW77">
        <v>1.1167785234899299</v>
      </c>
      <c r="AX77" t="s">
        <v>234</v>
      </c>
      <c r="AY77">
        <v>3</v>
      </c>
      <c r="AZ77">
        <v>0.76832844574780002</v>
      </c>
      <c r="BA77" t="s">
        <v>225</v>
      </c>
      <c r="BB77">
        <v>2</v>
      </c>
      <c r="BC77">
        <v>1.1929824561403499</v>
      </c>
      <c r="BD77" t="s">
        <v>237</v>
      </c>
      <c r="BE77">
        <v>3</v>
      </c>
      <c r="BF77">
        <v>0.92314814814814805</v>
      </c>
      <c r="BG77" t="s">
        <v>178</v>
      </c>
      <c r="BH77">
        <v>1</v>
      </c>
      <c r="BI77">
        <v>1.0927357032457401</v>
      </c>
      <c r="BJ77" t="s">
        <v>178</v>
      </c>
      <c r="BK77">
        <v>1</v>
      </c>
      <c r="BL77">
        <v>0.91089108910891003</v>
      </c>
      <c r="BM77" t="s">
        <v>217</v>
      </c>
      <c r="BN77">
        <v>3</v>
      </c>
      <c r="BO77">
        <v>0.88210606638687505</v>
      </c>
      <c r="BP77" t="s">
        <v>209</v>
      </c>
      <c r="BQ77">
        <v>3</v>
      </c>
      <c r="BR77">
        <v>1.16833667334669</v>
      </c>
      <c r="BS77" t="s">
        <v>234</v>
      </c>
      <c r="BT77">
        <v>3</v>
      </c>
      <c r="BU77">
        <v>0.98743718592964802</v>
      </c>
      <c r="BV77" t="s">
        <v>209</v>
      </c>
      <c r="BW77">
        <v>3</v>
      </c>
      <c r="BX77">
        <v>1.07389162561576</v>
      </c>
      <c r="BY77" t="s">
        <v>209</v>
      </c>
      <c r="BZ77">
        <v>3</v>
      </c>
      <c r="CA77">
        <v>0.97247706422018299</v>
      </c>
      <c r="CB77" t="s">
        <v>222</v>
      </c>
      <c r="CC77">
        <v>3</v>
      </c>
      <c r="CD77">
        <v>0.88196721311475401</v>
      </c>
      <c r="CE77" t="s">
        <v>214</v>
      </c>
      <c r="CF77">
        <v>3</v>
      </c>
      <c r="CG77">
        <v>1.1793650793650701</v>
      </c>
      <c r="CH77" t="s">
        <v>228</v>
      </c>
      <c r="CI77">
        <v>3</v>
      </c>
      <c r="CJ77">
        <v>1.21957671957671</v>
      </c>
      <c r="CK77" t="s">
        <v>251</v>
      </c>
      <c r="CL77">
        <v>1</v>
      </c>
      <c r="CM77">
        <v>0.76156862745097997</v>
      </c>
      <c r="CN77" t="s">
        <v>247</v>
      </c>
      <c r="CO77">
        <v>2</v>
      </c>
      <c r="CP77">
        <v>1.1414790996784501</v>
      </c>
      <c r="CQ77" t="s">
        <v>194</v>
      </c>
      <c r="CR77">
        <v>2</v>
      </c>
      <c r="CS77">
        <v>1.1416893732969999</v>
      </c>
      <c r="CT77" t="s">
        <v>195</v>
      </c>
      <c r="CU77">
        <v>2</v>
      </c>
      <c r="CV77">
        <v>1.17928286852589</v>
      </c>
      <c r="CW77" t="s">
        <v>262</v>
      </c>
      <c r="CX77">
        <v>3</v>
      </c>
      <c r="CY77">
        <v>0.94623655913978499</v>
      </c>
      <c r="CZ77" t="s">
        <v>254</v>
      </c>
      <c r="DA77">
        <v>3</v>
      </c>
      <c r="DB77">
        <v>0.76021798365122595</v>
      </c>
      <c r="DC77" t="s">
        <v>178</v>
      </c>
      <c r="DD77">
        <v>1</v>
      </c>
      <c r="DE77">
        <v>1.1362725450901801</v>
      </c>
      <c r="DF77" t="s">
        <v>189</v>
      </c>
      <c r="DG77">
        <v>3</v>
      </c>
      <c r="DH77">
        <v>1.06488156539649</v>
      </c>
    </row>
    <row r="78" spans="1:112" x14ac:dyDescent="0.4">
      <c r="A78">
        <v>76</v>
      </c>
      <c r="B78" t="s">
        <v>236</v>
      </c>
      <c r="C78">
        <v>2</v>
      </c>
      <c r="D78">
        <v>1.2012778144965801</v>
      </c>
      <c r="E78" t="s">
        <v>164</v>
      </c>
      <c r="F78">
        <v>1</v>
      </c>
      <c r="G78">
        <v>1.1293103448275801</v>
      </c>
      <c r="H78" t="s">
        <v>210</v>
      </c>
      <c r="I78">
        <v>2</v>
      </c>
      <c r="J78">
        <v>0.53596127247579495</v>
      </c>
      <c r="K78" t="s">
        <v>164</v>
      </c>
      <c r="L78">
        <v>1</v>
      </c>
      <c r="M78">
        <v>0.81224489795918298</v>
      </c>
      <c r="N78" t="s">
        <v>206</v>
      </c>
      <c r="O78">
        <v>3</v>
      </c>
      <c r="P78">
        <v>1.58630136986301</v>
      </c>
      <c r="Q78" t="s">
        <v>231</v>
      </c>
      <c r="R78">
        <v>3</v>
      </c>
      <c r="S78">
        <v>0.99272197962154296</v>
      </c>
      <c r="T78" t="s">
        <v>183</v>
      </c>
      <c r="U78">
        <v>2</v>
      </c>
      <c r="V78">
        <v>1.083460474639</v>
      </c>
      <c r="W78" t="s">
        <v>228</v>
      </c>
      <c r="X78">
        <v>2</v>
      </c>
      <c r="Y78">
        <v>1.05</v>
      </c>
      <c r="Z78" t="s">
        <v>172</v>
      </c>
      <c r="AA78">
        <v>1</v>
      </c>
      <c r="AB78">
        <v>0.97040690505548699</v>
      </c>
      <c r="AC78" t="s">
        <v>167</v>
      </c>
      <c r="AD78">
        <v>2</v>
      </c>
      <c r="AE78">
        <v>1.1005208333333301</v>
      </c>
      <c r="AF78" t="s">
        <v>168</v>
      </c>
      <c r="AG78">
        <v>1</v>
      </c>
      <c r="AH78">
        <v>1.0358422939068099</v>
      </c>
      <c r="AI78" t="s">
        <v>214</v>
      </c>
      <c r="AJ78">
        <v>3</v>
      </c>
      <c r="AK78">
        <v>0.82938388625592396</v>
      </c>
      <c r="AL78" t="s">
        <v>231</v>
      </c>
      <c r="AM78">
        <v>3</v>
      </c>
      <c r="AN78">
        <v>0.94588235294117595</v>
      </c>
      <c r="AO78" t="s">
        <v>231</v>
      </c>
      <c r="AP78">
        <v>3</v>
      </c>
      <c r="AQ78">
        <v>0.93905472636815901</v>
      </c>
      <c r="AR78" t="s">
        <v>172</v>
      </c>
      <c r="AS78">
        <v>2</v>
      </c>
      <c r="AT78">
        <v>1.08740157480314</v>
      </c>
      <c r="AU78" t="s">
        <v>183</v>
      </c>
      <c r="AV78">
        <v>3</v>
      </c>
      <c r="AW78">
        <v>1.0150250417362201</v>
      </c>
      <c r="AX78" t="s">
        <v>231</v>
      </c>
      <c r="AY78">
        <v>3</v>
      </c>
      <c r="AZ78">
        <v>0.86502177068214803</v>
      </c>
      <c r="BA78" t="s">
        <v>228</v>
      </c>
      <c r="BB78">
        <v>3</v>
      </c>
      <c r="BC78">
        <v>1.0782608695652101</v>
      </c>
      <c r="BD78" t="s">
        <v>234</v>
      </c>
      <c r="BE78">
        <v>2</v>
      </c>
      <c r="BF78">
        <v>0.69790794979079496</v>
      </c>
      <c r="BG78" t="s">
        <v>246</v>
      </c>
      <c r="BH78">
        <v>3</v>
      </c>
      <c r="BI78">
        <v>0.89509803921568598</v>
      </c>
      <c r="BJ78" t="s">
        <v>246</v>
      </c>
      <c r="BK78">
        <v>3</v>
      </c>
      <c r="BL78">
        <v>0.756845564074479</v>
      </c>
      <c r="BM78" t="s">
        <v>214</v>
      </c>
      <c r="BN78">
        <v>3</v>
      </c>
      <c r="BO78">
        <v>0.91358024691357997</v>
      </c>
      <c r="BP78" t="s">
        <v>164</v>
      </c>
      <c r="BQ78">
        <v>1</v>
      </c>
      <c r="BR78">
        <v>1.16005291005291</v>
      </c>
      <c r="BS78" t="s">
        <v>178</v>
      </c>
      <c r="BT78">
        <v>1</v>
      </c>
      <c r="BU78">
        <v>0.86717557251908395</v>
      </c>
      <c r="BV78" t="s">
        <v>228</v>
      </c>
      <c r="BW78">
        <v>3</v>
      </c>
      <c r="BX78">
        <v>1.0325</v>
      </c>
      <c r="BY78" t="s">
        <v>228</v>
      </c>
      <c r="BZ78">
        <v>3</v>
      </c>
      <c r="CA78">
        <v>0.87409200968523004</v>
      </c>
      <c r="CB78" t="s">
        <v>209</v>
      </c>
      <c r="CC78">
        <v>3</v>
      </c>
      <c r="CD78">
        <v>0.75377358490566004</v>
      </c>
      <c r="CE78" t="s">
        <v>223</v>
      </c>
      <c r="CF78">
        <v>3</v>
      </c>
      <c r="CG78">
        <v>1.4571746384872</v>
      </c>
      <c r="CH78" t="s">
        <v>174</v>
      </c>
      <c r="CI78">
        <v>1</v>
      </c>
      <c r="CJ78">
        <v>0.98442367601246095</v>
      </c>
      <c r="CK78" t="s">
        <v>256</v>
      </c>
      <c r="CL78">
        <v>3</v>
      </c>
      <c r="CM78">
        <v>0.93303571428571397</v>
      </c>
      <c r="CN78" t="s">
        <v>249</v>
      </c>
      <c r="CO78">
        <v>2</v>
      </c>
      <c r="CP78">
        <v>0.77904328018223201</v>
      </c>
      <c r="CQ78" t="s">
        <v>195</v>
      </c>
      <c r="CR78">
        <v>2</v>
      </c>
      <c r="CS78">
        <v>1.1461187214611801</v>
      </c>
      <c r="CT78" t="s">
        <v>262</v>
      </c>
      <c r="CU78">
        <v>3</v>
      </c>
      <c r="CV78">
        <v>0.95221843003412898</v>
      </c>
      <c r="CW78" t="s">
        <v>270</v>
      </c>
      <c r="CX78">
        <v>3</v>
      </c>
      <c r="CY78">
        <v>0.97297297297297303</v>
      </c>
      <c r="CZ78" t="s">
        <v>544</v>
      </c>
      <c r="DA78">
        <v>3</v>
      </c>
      <c r="DB78">
        <v>1.1825726141078801</v>
      </c>
      <c r="DC78" t="s">
        <v>185</v>
      </c>
      <c r="DD78">
        <v>3</v>
      </c>
      <c r="DE78">
        <v>1.1801801801801799</v>
      </c>
      <c r="DF78" t="s">
        <v>254</v>
      </c>
      <c r="DG78">
        <v>3</v>
      </c>
      <c r="DH78">
        <v>0.93162393162393098</v>
      </c>
    </row>
    <row r="79" spans="1:112" x14ac:dyDescent="0.4">
      <c r="A79">
        <v>77</v>
      </c>
      <c r="B79" t="s">
        <v>214</v>
      </c>
      <c r="C79">
        <v>3</v>
      </c>
      <c r="D79">
        <v>1.61666666666666</v>
      </c>
      <c r="E79" t="s">
        <v>228</v>
      </c>
      <c r="F79">
        <v>3</v>
      </c>
      <c r="G79">
        <v>1.0394736842105201</v>
      </c>
      <c r="H79" t="s">
        <v>158</v>
      </c>
      <c r="I79">
        <v>2</v>
      </c>
      <c r="J79">
        <v>0.74425287356321801</v>
      </c>
      <c r="K79" t="s">
        <v>168</v>
      </c>
      <c r="L79">
        <v>1</v>
      </c>
      <c r="M79">
        <v>0.84028776978417197</v>
      </c>
      <c r="N79" t="s">
        <v>165</v>
      </c>
      <c r="O79">
        <v>2</v>
      </c>
      <c r="P79">
        <v>2.1428571428571401</v>
      </c>
      <c r="Q79" t="s">
        <v>176</v>
      </c>
      <c r="R79">
        <v>2</v>
      </c>
      <c r="S79">
        <v>1.21228070175438</v>
      </c>
      <c r="T79" t="s">
        <v>185</v>
      </c>
      <c r="U79">
        <v>2</v>
      </c>
      <c r="V79">
        <v>0.83750000000000002</v>
      </c>
      <c r="W79" t="s">
        <v>230</v>
      </c>
      <c r="X79">
        <v>3</v>
      </c>
      <c r="Y79">
        <v>1.0404172099087301</v>
      </c>
      <c r="Z79" t="s">
        <v>176</v>
      </c>
      <c r="AA79">
        <v>2</v>
      </c>
      <c r="AB79">
        <v>1.2653333333333301</v>
      </c>
      <c r="AC79" t="s">
        <v>168</v>
      </c>
      <c r="AD79">
        <v>1</v>
      </c>
      <c r="AE79">
        <v>0.98586572438162501</v>
      </c>
      <c r="AF79" t="s">
        <v>170</v>
      </c>
      <c r="AG79">
        <v>1</v>
      </c>
      <c r="AH79">
        <v>1.0745098039215599</v>
      </c>
      <c r="AI79" t="s">
        <v>212</v>
      </c>
      <c r="AJ79">
        <v>1</v>
      </c>
      <c r="AK79">
        <v>0.81517857142857097</v>
      </c>
      <c r="AL79" t="s">
        <v>244</v>
      </c>
      <c r="AM79">
        <v>3</v>
      </c>
      <c r="AN79">
        <v>0.99632352941176405</v>
      </c>
      <c r="AO79" t="s">
        <v>180</v>
      </c>
      <c r="AP79">
        <v>3</v>
      </c>
      <c r="AQ79">
        <v>1.0506329113924</v>
      </c>
      <c r="AR79" t="s">
        <v>231</v>
      </c>
      <c r="AS79">
        <v>3</v>
      </c>
      <c r="AT79">
        <v>0.80927152317880702</v>
      </c>
      <c r="AU79" t="s">
        <v>185</v>
      </c>
      <c r="AV79">
        <v>2</v>
      </c>
      <c r="AW79">
        <v>1.1955307262569801</v>
      </c>
      <c r="AX79" t="s">
        <v>178</v>
      </c>
      <c r="AY79">
        <v>1</v>
      </c>
      <c r="AZ79">
        <v>0.87019230769230704</v>
      </c>
      <c r="BA79" t="s">
        <v>172</v>
      </c>
      <c r="BB79">
        <v>2</v>
      </c>
      <c r="BC79">
        <v>1.0332594235033199</v>
      </c>
      <c r="BD79" t="s">
        <v>178</v>
      </c>
      <c r="BE79">
        <v>1</v>
      </c>
      <c r="BF79">
        <v>0.87669376693766898</v>
      </c>
      <c r="BG79" t="s">
        <v>185</v>
      </c>
      <c r="BH79">
        <v>3</v>
      </c>
      <c r="BI79">
        <v>1.00823529411764</v>
      </c>
      <c r="BJ79" t="s">
        <v>185</v>
      </c>
      <c r="BK79">
        <v>3</v>
      </c>
      <c r="BL79">
        <v>1.08634772462077</v>
      </c>
      <c r="BM79" t="s">
        <v>222</v>
      </c>
      <c r="BN79">
        <v>3</v>
      </c>
      <c r="BO79">
        <v>0.96212121212121204</v>
      </c>
      <c r="BP79" t="s">
        <v>228</v>
      </c>
      <c r="BQ79">
        <v>3</v>
      </c>
      <c r="BR79">
        <v>0.92944038929440298</v>
      </c>
      <c r="BS79" t="s">
        <v>185</v>
      </c>
      <c r="BT79">
        <v>3</v>
      </c>
      <c r="BU79">
        <v>1.0807974816369299</v>
      </c>
      <c r="BV79" t="s">
        <v>172</v>
      </c>
      <c r="BW79">
        <v>2</v>
      </c>
      <c r="BX79">
        <v>1.04605263157894</v>
      </c>
      <c r="BY79" t="s">
        <v>172</v>
      </c>
      <c r="BZ79">
        <v>2</v>
      </c>
      <c r="CA79">
        <v>1.2968553459119401</v>
      </c>
      <c r="CB79" t="s">
        <v>228</v>
      </c>
      <c r="CC79">
        <v>3</v>
      </c>
      <c r="CD79">
        <v>1.0027700831024899</v>
      </c>
      <c r="CE79" t="s">
        <v>225</v>
      </c>
      <c r="CF79">
        <v>2</v>
      </c>
      <c r="CG79">
        <v>1.0509708737864001</v>
      </c>
      <c r="CH79" t="s">
        <v>231</v>
      </c>
      <c r="CI79">
        <v>3</v>
      </c>
      <c r="CJ79">
        <v>1.0026041666666601</v>
      </c>
      <c r="CK79" t="s">
        <v>194</v>
      </c>
      <c r="CL79">
        <v>2</v>
      </c>
      <c r="CM79">
        <v>0.63248730964467004</v>
      </c>
      <c r="CN79" t="s">
        <v>251</v>
      </c>
      <c r="CO79">
        <v>1</v>
      </c>
      <c r="CP79">
        <v>1.0556127703398499</v>
      </c>
      <c r="CQ79" t="s">
        <v>262</v>
      </c>
      <c r="CR79">
        <v>3</v>
      </c>
      <c r="CS79">
        <v>1.0732600732600699</v>
      </c>
      <c r="CT79" t="s">
        <v>197</v>
      </c>
      <c r="CU79">
        <v>1</v>
      </c>
      <c r="CV79">
        <v>1.12612612612612</v>
      </c>
      <c r="CW79" t="s">
        <v>266</v>
      </c>
      <c r="CX79">
        <v>2</v>
      </c>
      <c r="CY79">
        <v>0.86504424778761002</v>
      </c>
      <c r="CZ79" t="s">
        <v>256</v>
      </c>
      <c r="DA79">
        <v>3</v>
      </c>
      <c r="DB79">
        <v>0.95030303030302998</v>
      </c>
      <c r="DC79" t="s">
        <v>238</v>
      </c>
      <c r="DD79">
        <v>2</v>
      </c>
      <c r="DE79">
        <v>0.98400984009840098</v>
      </c>
      <c r="DF79" t="s">
        <v>196</v>
      </c>
      <c r="DG79">
        <v>3</v>
      </c>
      <c r="DH79">
        <v>1.5797872340425501</v>
      </c>
    </row>
    <row r="80" spans="1:112" x14ac:dyDescent="0.4">
      <c r="A80">
        <v>78</v>
      </c>
      <c r="B80" t="s">
        <v>212</v>
      </c>
      <c r="C80">
        <v>1</v>
      </c>
      <c r="D80">
        <v>1.15849056603773</v>
      </c>
      <c r="E80" t="s">
        <v>230</v>
      </c>
      <c r="F80">
        <v>2</v>
      </c>
      <c r="G80">
        <v>0.79111111111111099</v>
      </c>
      <c r="H80" t="s">
        <v>236</v>
      </c>
      <c r="I80">
        <v>2</v>
      </c>
      <c r="J80">
        <v>0.78247201349486195</v>
      </c>
      <c r="K80" t="s">
        <v>170</v>
      </c>
      <c r="L80">
        <v>1</v>
      </c>
      <c r="M80">
        <v>0.90039979141317505</v>
      </c>
      <c r="N80" t="s">
        <v>158</v>
      </c>
      <c r="O80">
        <v>2</v>
      </c>
      <c r="P80">
        <v>1.16589861751152</v>
      </c>
      <c r="Q80" t="s">
        <v>252</v>
      </c>
      <c r="R80">
        <v>3</v>
      </c>
      <c r="S80">
        <v>0.88698630136986301</v>
      </c>
      <c r="T80" t="s">
        <v>238</v>
      </c>
      <c r="U80">
        <v>3</v>
      </c>
      <c r="V80">
        <v>1.2276422764227599</v>
      </c>
      <c r="W80" t="s">
        <v>172</v>
      </c>
      <c r="X80">
        <v>1</v>
      </c>
      <c r="Y80">
        <v>0.98303030303030303</v>
      </c>
      <c r="Z80" t="s">
        <v>246</v>
      </c>
      <c r="AA80">
        <v>2</v>
      </c>
      <c r="AB80">
        <v>0.81379310344827505</v>
      </c>
      <c r="AC80" t="s">
        <v>170</v>
      </c>
      <c r="AD80">
        <v>1</v>
      </c>
      <c r="AE80">
        <v>1.17511520737327</v>
      </c>
      <c r="AF80" t="s">
        <v>172</v>
      </c>
      <c r="AG80">
        <v>2</v>
      </c>
      <c r="AH80">
        <v>1.11006711409395</v>
      </c>
      <c r="AI80" t="s">
        <v>225</v>
      </c>
      <c r="AJ80">
        <v>2</v>
      </c>
      <c r="AK80">
        <v>1.2161016949152501</v>
      </c>
      <c r="AL80" t="s">
        <v>183</v>
      </c>
      <c r="AM80">
        <v>2</v>
      </c>
      <c r="AN80">
        <v>0.77127659574467999</v>
      </c>
      <c r="AO80" t="s">
        <v>244</v>
      </c>
      <c r="AP80">
        <v>3</v>
      </c>
      <c r="AQ80">
        <v>0.955719557195572</v>
      </c>
      <c r="AR80" t="s">
        <v>178</v>
      </c>
      <c r="AS80">
        <v>1</v>
      </c>
      <c r="AT80">
        <v>0.92088998763906005</v>
      </c>
      <c r="AU80" t="s">
        <v>238</v>
      </c>
      <c r="AV80">
        <v>3</v>
      </c>
      <c r="AW80">
        <v>0.74529485570890797</v>
      </c>
      <c r="AX80" t="s">
        <v>183</v>
      </c>
      <c r="AY80">
        <v>3</v>
      </c>
      <c r="AZ80">
        <v>0.65707236842105199</v>
      </c>
      <c r="BA80" t="s">
        <v>237</v>
      </c>
      <c r="BB80">
        <v>3</v>
      </c>
      <c r="BC80">
        <v>1.14406779661016</v>
      </c>
      <c r="BD80" t="s">
        <v>185</v>
      </c>
      <c r="BE80">
        <v>3</v>
      </c>
      <c r="BF80">
        <v>0.98039215686274495</v>
      </c>
      <c r="BG80" t="s">
        <v>189</v>
      </c>
      <c r="BH80">
        <v>3</v>
      </c>
      <c r="BI80">
        <v>0.99576271186440601</v>
      </c>
      <c r="BJ80" t="s">
        <v>189</v>
      </c>
      <c r="BK80">
        <v>3</v>
      </c>
      <c r="BL80">
        <v>1.0872340425531899</v>
      </c>
      <c r="BM80" t="s">
        <v>209</v>
      </c>
      <c r="BN80">
        <v>3</v>
      </c>
      <c r="BO80">
        <v>0.75835866261398099</v>
      </c>
      <c r="BP80" t="s">
        <v>172</v>
      </c>
      <c r="BQ80">
        <v>2</v>
      </c>
      <c r="BR80">
        <v>1.1034482758620601</v>
      </c>
      <c r="BS80" t="s">
        <v>238</v>
      </c>
      <c r="BT80">
        <v>2</v>
      </c>
      <c r="BU80">
        <v>0.96177558569666999</v>
      </c>
      <c r="BV80" t="s">
        <v>237</v>
      </c>
      <c r="BW80">
        <v>3</v>
      </c>
      <c r="BX80">
        <v>1.2864583333333299</v>
      </c>
      <c r="BY80" t="s">
        <v>237</v>
      </c>
      <c r="BZ80">
        <v>3</v>
      </c>
      <c r="CA80">
        <v>0.874493927125506</v>
      </c>
      <c r="CB80" t="s">
        <v>237</v>
      </c>
      <c r="CC80">
        <v>3</v>
      </c>
      <c r="CD80">
        <v>1.2175925925925899</v>
      </c>
      <c r="CE80" t="s">
        <v>209</v>
      </c>
      <c r="CF80">
        <v>3</v>
      </c>
      <c r="CG80">
        <v>1.59574468085106</v>
      </c>
      <c r="CH80" t="s">
        <v>178</v>
      </c>
      <c r="CI80">
        <v>1</v>
      </c>
      <c r="CJ80">
        <v>0.91214953271027999</v>
      </c>
      <c r="CK80" t="s">
        <v>195</v>
      </c>
      <c r="CL80">
        <v>2</v>
      </c>
      <c r="CM80">
        <v>0.90018484288354805</v>
      </c>
      <c r="CN80" t="s">
        <v>254</v>
      </c>
      <c r="CO80">
        <v>3</v>
      </c>
      <c r="CP80">
        <v>1.1218985976267499</v>
      </c>
      <c r="CQ80" t="s">
        <v>266</v>
      </c>
      <c r="CR80">
        <v>2</v>
      </c>
      <c r="CS80">
        <v>1.3953488372092999</v>
      </c>
      <c r="CT80" t="s">
        <v>264</v>
      </c>
      <c r="CU80">
        <v>1</v>
      </c>
      <c r="CV80">
        <v>0.99249061326658305</v>
      </c>
      <c r="CW80" t="s">
        <v>264</v>
      </c>
      <c r="CX80">
        <v>1</v>
      </c>
      <c r="CY80">
        <v>1.00252206809583</v>
      </c>
      <c r="CZ80" t="s">
        <v>195</v>
      </c>
      <c r="DA80">
        <v>2</v>
      </c>
      <c r="DB80">
        <v>0.82260869565217298</v>
      </c>
      <c r="DC80" t="s">
        <v>241</v>
      </c>
      <c r="DD80">
        <v>3</v>
      </c>
      <c r="DE80">
        <v>1.0414201183431899</v>
      </c>
      <c r="DF80" t="s">
        <v>544</v>
      </c>
      <c r="DG80">
        <v>3</v>
      </c>
      <c r="DH80">
        <v>1.16412213740458</v>
      </c>
    </row>
    <row r="81" spans="1:112" x14ac:dyDescent="0.4">
      <c r="A81">
        <v>79</v>
      </c>
      <c r="B81" t="s">
        <v>222</v>
      </c>
      <c r="C81">
        <v>2</v>
      </c>
      <c r="D81">
        <v>0.86956521739130399</v>
      </c>
      <c r="E81" t="s">
        <v>221</v>
      </c>
      <c r="F81">
        <v>2</v>
      </c>
      <c r="G81">
        <v>0.99863013698630099</v>
      </c>
      <c r="H81" t="s">
        <v>214</v>
      </c>
      <c r="I81">
        <v>3</v>
      </c>
      <c r="J81">
        <v>0.487021857923497</v>
      </c>
      <c r="K81" t="s">
        <v>172</v>
      </c>
      <c r="L81">
        <v>2</v>
      </c>
      <c r="M81">
        <v>1.01204819277108</v>
      </c>
      <c r="N81" t="s">
        <v>236</v>
      </c>
      <c r="O81">
        <v>2</v>
      </c>
      <c r="P81">
        <v>1.2720357941834399</v>
      </c>
      <c r="Q81" t="s">
        <v>183</v>
      </c>
      <c r="R81">
        <v>2</v>
      </c>
      <c r="S81">
        <v>0.95524338758662097</v>
      </c>
      <c r="T81" t="s">
        <v>189</v>
      </c>
      <c r="U81">
        <v>3</v>
      </c>
      <c r="V81">
        <v>1.0208333333333299</v>
      </c>
      <c r="W81" t="s">
        <v>176</v>
      </c>
      <c r="X81">
        <v>2</v>
      </c>
      <c r="Y81">
        <v>0.91911764705882304</v>
      </c>
      <c r="Z81" t="s">
        <v>183</v>
      </c>
      <c r="AA81">
        <v>2</v>
      </c>
      <c r="AB81">
        <v>0.95069608526407001</v>
      </c>
      <c r="AC81" t="s">
        <v>172</v>
      </c>
      <c r="AD81">
        <v>2</v>
      </c>
      <c r="AE81">
        <v>0.94663278271918605</v>
      </c>
      <c r="AF81" t="s">
        <v>231</v>
      </c>
      <c r="AG81">
        <v>3</v>
      </c>
      <c r="AH81">
        <v>1.2002567394094901</v>
      </c>
      <c r="AI81" t="s">
        <v>164</v>
      </c>
      <c r="AJ81">
        <v>1</v>
      </c>
      <c r="AK81">
        <v>1.0043352601155999</v>
      </c>
      <c r="AL81" t="s">
        <v>185</v>
      </c>
      <c r="AM81">
        <v>2</v>
      </c>
      <c r="AN81">
        <v>1.1512195121951201</v>
      </c>
      <c r="AO81" t="s">
        <v>183</v>
      </c>
      <c r="AP81">
        <v>3</v>
      </c>
      <c r="AQ81">
        <v>1.19137931034482</v>
      </c>
      <c r="AR81" t="s">
        <v>244</v>
      </c>
      <c r="AS81">
        <v>3</v>
      </c>
      <c r="AT81">
        <v>0.84942084942084894</v>
      </c>
      <c r="AU81" t="s">
        <v>259</v>
      </c>
      <c r="AV81">
        <v>2</v>
      </c>
      <c r="AW81">
        <v>1.24709348622392</v>
      </c>
      <c r="AX81" t="s">
        <v>185</v>
      </c>
      <c r="AY81">
        <v>2</v>
      </c>
      <c r="AZ81">
        <v>0.76168224299065401</v>
      </c>
      <c r="BA81" t="s">
        <v>234</v>
      </c>
      <c r="BB81">
        <v>2</v>
      </c>
      <c r="BC81">
        <v>0.91221374045801495</v>
      </c>
      <c r="BD81" t="s">
        <v>259</v>
      </c>
      <c r="BE81">
        <v>2</v>
      </c>
      <c r="BF81">
        <v>1.0945482050386901</v>
      </c>
      <c r="BG81" t="s">
        <v>251</v>
      </c>
      <c r="BH81">
        <v>1</v>
      </c>
      <c r="BI81">
        <v>1.1971830985915399</v>
      </c>
      <c r="BJ81" t="s">
        <v>251</v>
      </c>
      <c r="BK81">
        <v>1</v>
      </c>
      <c r="BL81">
        <v>0.98039215686274495</v>
      </c>
      <c r="BM81" t="s">
        <v>228</v>
      </c>
      <c r="BN81">
        <v>3</v>
      </c>
      <c r="BO81">
        <v>0.812252964426877</v>
      </c>
      <c r="BP81" t="s">
        <v>237</v>
      </c>
      <c r="BQ81">
        <v>3</v>
      </c>
      <c r="BR81">
        <v>1.0049504950495001</v>
      </c>
      <c r="BS81" t="s">
        <v>189</v>
      </c>
      <c r="BT81">
        <v>3</v>
      </c>
      <c r="BU81">
        <v>1.09122807017543</v>
      </c>
      <c r="BV81" t="s">
        <v>234</v>
      </c>
      <c r="BW81">
        <v>3</v>
      </c>
      <c r="BX81">
        <v>0.853689567430025</v>
      </c>
      <c r="BY81" t="s">
        <v>178</v>
      </c>
      <c r="BZ81">
        <v>1</v>
      </c>
      <c r="CA81">
        <v>1.15570934256055</v>
      </c>
      <c r="CB81" t="s">
        <v>178</v>
      </c>
      <c r="CC81">
        <v>1</v>
      </c>
      <c r="CD81">
        <v>0.90568862275449102</v>
      </c>
      <c r="CE81" t="s">
        <v>228</v>
      </c>
      <c r="CF81">
        <v>3</v>
      </c>
      <c r="CG81">
        <v>1.04419889502762</v>
      </c>
      <c r="CH81" t="s">
        <v>185</v>
      </c>
      <c r="CI81">
        <v>3</v>
      </c>
      <c r="CJ81">
        <v>1.2329317269076301</v>
      </c>
      <c r="CK81" t="s">
        <v>262</v>
      </c>
      <c r="CL81">
        <v>3</v>
      </c>
      <c r="CM81">
        <v>0.85932721712538196</v>
      </c>
      <c r="CN81" t="s">
        <v>256</v>
      </c>
      <c r="CO81">
        <v>3</v>
      </c>
      <c r="CP81">
        <v>0.98564593301435399</v>
      </c>
      <c r="CQ81" t="s">
        <v>264</v>
      </c>
      <c r="CR81">
        <v>1</v>
      </c>
      <c r="CS81">
        <v>0.77198067632850198</v>
      </c>
      <c r="CT81" t="s">
        <v>272</v>
      </c>
      <c r="CU81">
        <v>2</v>
      </c>
      <c r="CV81">
        <v>1.0266159695817401</v>
      </c>
      <c r="CW81" t="s">
        <v>272</v>
      </c>
      <c r="CX81">
        <v>2</v>
      </c>
      <c r="CY81">
        <v>0.92407407407407405</v>
      </c>
      <c r="CZ81" t="s">
        <v>262</v>
      </c>
      <c r="DA81">
        <v>3</v>
      </c>
      <c r="DB81">
        <v>1.02272727272727</v>
      </c>
      <c r="DC81" t="s">
        <v>189</v>
      </c>
      <c r="DD81">
        <v>3</v>
      </c>
      <c r="DE81">
        <v>1.02210526315789</v>
      </c>
      <c r="DF81" t="s">
        <v>256</v>
      </c>
      <c r="DG81">
        <v>3</v>
      </c>
      <c r="DH81">
        <v>1.08839779005524</v>
      </c>
    </row>
    <row r="82" spans="1:112" x14ac:dyDescent="0.4">
      <c r="A82">
        <v>80</v>
      </c>
      <c r="B82" t="s">
        <v>228</v>
      </c>
      <c r="C82">
        <v>3</v>
      </c>
      <c r="D82">
        <v>1.4568690095846599</v>
      </c>
      <c r="E82" t="s">
        <v>168</v>
      </c>
      <c r="F82">
        <v>1</v>
      </c>
      <c r="G82">
        <v>0.79934210526315697</v>
      </c>
      <c r="H82" t="s">
        <v>222</v>
      </c>
      <c r="I82">
        <v>2</v>
      </c>
      <c r="J82">
        <v>0.52911392405063296</v>
      </c>
      <c r="K82" t="s">
        <v>174</v>
      </c>
      <c r="L82">
        <v>1</v>
      </c>
      <c r="M82">
        <v>1.17349397590361</v>
      </c>
      <c r="N82" t="s">
        <v>162</v>
      </c>
      <c r="O82">
        <v>1</v>
      </c>
      <c r="P82">
        <v>2.0891089108910799</v>
      </c>
      <c r="Q82" t="s">
        <v>185</v>
      </c>
      <c r="R82">
        <v>2</v>
      </c>
      <c r="S82">
        <v>0.952380952380952</v>
      </c>
      <c r="T82" t="s">
        <v>251</v>
      </c>
      <c r="U82">
        <v>1</v>
      </c>
      <c r="V82">
        <v>0.85147392290249402</v>
      </c>
      <c r="W82" t="s">
        <v>183</v>
      </c>
      <c r="X82">
        <v>2</v>
      </c>
      <c r="Y82">
        <v>1.0689185260556699</v>
      </c>
      <c r="Z82" t="s">
        <v>185</v>
      </c>
      <c r="AA82">
        <v>2</v>
      </c>
      <c r="AB82">
        <v>1.1054766734279899</v>
      </c>
      <c r="AC82" t="s">
        <v>231</v>
      </c>
      <c r="AD82">
        <v>3</v>
      </c>
      <c r="AE82">
        <v>0.94424242424242399</v>
      </c>
      <c r="AF82" t="s">
        <v>246</v>
      </c>
      <c r="AG82">
        <v>2</v>
      </c>
      <c r="AH82">
        <v>0.95769230769230695</v>
      </c>
      <c r="AI82" t="s">
        <v>228</v>
      </c>
      <c r="AJ82">
        <v>3</v>
      </c>
      <c r="AK82">
        <v>0.99154929577464701</v>
      </c>
      <c r="AL82" t="s">
        <v>238</v>
      </c>
      <c r="AM82">
        <v>3</v>
      </c>
      <c r="AN82">
        <v>1.26460481099656</v>
      </c>
      <c r="AO82" t="s">
        <v>185</v>
      </c>
      <c r="AP82">
        <v>2</v>
      </c>
      <c r="AQ82">
        <v>0.79661016949152497</v>
      </c>
      <c r="AR82" t="s">
        <v>183</v>
      </c>
      <c r="AS82">
        <v>3</v>
      </c>
      <c r="AT82">
        <v>0.86685962373371905</v>
      </c>
      <c r="AU82" t="s">
        <v>189</v>
      </c>
      <c r="AV82">
        <v>2</v>
      </c>
      <c r="AW82">
        <v>1.07692307692307</v>
      </c>
      <c r="AX82" t="s">
        <v>238</v>
      </c>
      <c r="AY82">
        <v>3</v>
      </c>
      <c r="AZ82">
        <v>1.0269360269360199</v>
      </c>
      <c r="BA82" t="s">
        <v>178</v>
      </c>
      <c r="BB82">
        <v>1</v>
      </c>
      <c r="BC82">
        <v>1.0193370165745801</v>
      </c>
      <c r="BD82" t="s">
        <v>189</v>
      </c>
      <c r="BE82">
        <v>3</v>
      </c>
      <c r="BF82">
        <v>1.05829596412556</v>
      </c>
      <c r="BG82" t="s">
        <v>254</v>
      </c>
      <c r="BH82">
        <v>2</v>
      </c>
      <c r="BI82">
        <v>0.96</v>
      </c>
      <c r="BJ82" t="s">
        <v>254</v>
      </c>
      <c r="BK82">
        <v>2</v>
      </c>
      <c r="BL82">
        <v>1.0361111111111101</v>
      </c>
      <c r="BM82" t="s">
        <v>172</v>
      </c>
      <c r="BN82">
        <v>2</v>
      </c>
      <c r="BO82">
        <v>0.92185430463576101</v>
      </c>
      <c r="BP82" t="s">
        <v>234</v>
      </c>
      <c r="BQ82">
        <v>3</v>
      </c>
      <c r="BR82">
        <v>0.810590631364562</v>
      </c>
      <c r="BS82" t="s">
        <v>247</v>
      </c>
      <c r="BT82">
        <v>2</v>
      </c>
      <c r="BU82">
        <v>0.98224852071005897</v>
      </c>
      <c r="BV82" t="s">
        <v>178</v>
      </c>
      <c r="BW82">
        <v>1</v>
      </c>
      <c r="BX82">
        <v>1.0176056338028101</v>
      </c>
      <c r="BY82" t="s">
        <v>185</v>
      </c>
      <c r="BZ82">
        <v>3</v>
      </c>
      <c r="CA82">
        <v>1.12121212121212</v>
      </c>
      <c r="CB82" t="s">
        <v>185</v>
      </c>
      <c r="CC82">
        <v>3</v>
      </c>
      <c r="CD82">
        <v>0.903474903474903</v>
      </c>
      <c r="CE82" t="s">
        <v>174</v>
      </c>
      <c r="CF82">
        <v>1</v>
      </c>
      <c r="CG82">
        <v>0.89664804469273696</v>
      </c>
      <c r="CH82" t="s">
        <v>238</v>
      </c>
      <c r="CI82">
        <v>2</v>
      </c>
      <c r="CJ82">
        <v>1.0135593220338901</v>
      </c>
      <c r="CK82" t="s">
        <v>280</v>
      </c>
      <c r="CL82">
        <v>3</v>
      </c>
      <c r="CM82">
        <v>0.93175074183976203</v>
      </c>
      <c r="CN82" t="s">
        <v>194</v>
      </c>
      <c r="CO82">
        <v>2</v>
      </c>
      <c r="CP82">
        <v>1.1781701444622701</v>
      </c>
      <c r="CQ82" t="s">
        <v>272</v>
      </c>
      <c r="CR82">
        <v>2</v>
      </c>
      <c r="CS82">
        <v>1.0756646216768899</v>
      </c>
      <c r="CT82" t="s">
        <v>204</v>
      </c>
      <c r="CU82">
        <v>3</v>
      </c>
      <c r="CV82">
        <v>0.96828046744574203</v>
      </c>
      <c r="CW82" t="s">
        <v>204</v>
      </c>
      <c r="CX82">
        <v>2</v>
      </c>
      <c r="CY82">
        <v>0.986206896551724</v>
      </c>
      <c r="CZ82" t="s">
        <v>266</v>
      </c>
      <c r="DA82">
        <v>2</v>
      </c>
      <c r="DB82">
        <v>1.14578005115089</v>
      </c>
      <c r="DC82" t="s">
        <v>247</v>
      </c>
      <c r="DD82">
        <v>2</v>
      </c>
      <c r="DE82">
        <v>1.3297587131367199</v>
      </c>
      <c r="DF82" t="s">
        <v>195</v>
      </c>
      <c r="DG82">
        <v>2</v>
      </c>
      <c r="DH82">
        <v>1.0302013422818701</v>
      </c>
    </row>
    <row r="83" spans="1:112" x14ac:dyDescent="0.4">
      <c r="A83">
        <v>81</v>
      </c>
      <c r="B83" t="s">
        <v>230</v>
      </c>
      <c r="C83">
        <v>3</v>
      </c>
      <c r="D83">
        <v>0.89641434262948205</v>
      </c>
      <c r="E83" t="s">
        <v>170</v>
      </c>
      <c r="F83">
        <v>1</v>
      </c>
      <c r="G83">
        <v>0.816039395005276</v>
      </c>
      <c r="H83" t="s">
        <v>209</v>
      </c>
      <c r="I83">
        <v>2</v>
      </c>
      <c r="J83">
        <v>0.48349834983498302</v>
      </c>
      <c r="K83" t="s">
        <v>176</v>
      </c>
      <c r="L83">
        <v>2</v>
      </c>
      <c r="M83">
        <v>1.0677361853832401</v>
      </c>
      <c r="N83" t="s">
        <v>212</v>
      </c>
      <c r="O83">
        <v>1</v>
      </c>
      <c r="P83">
        <v>1.67948717948717</v>
      </c>
      <c r="Q83" t="s">
        <v>189</v>
      </c>
      <c r="R83">
        <v>3</v>
      </c>
      <c r="S83">
        <v>1.0105263157894699</v>
      </c>
      <c r="T83" t="s">
        <v>254</v>
      </c>
      <c r="U83">
        <v>3</v>
      </c>
      <c r="V83">
        <v>0.82005899705014695</v>
      </c>
      <c r="W83" t="s">
        <v>185</v>
      </c>
      <c r="X83">
        <v>2</v>
      </c>
      <c r="Y83">
        <v>0.98109452736318403</v>
      </c>
      <c r="Z83" t="s">
        <v>238</v>
      </c>
      <c r="AA83">
        <v>3</v>
      </c>
      <c r="AB83">
        <v>1.07560137457044</v>
      </c>
      <c r="AC83" t="s">
        <v>176</v>
      </c>
      <c r="AD83">
        <v>2</v>
      </c>
      <c r="AE83">
        <v>1.2328767123287601</v>
      </c>
      <c r="AF83" t="s">
        <v>183</v>
      </c>
      <c r="AG83">
        <v>2</v>
      </c>
      <c r="AH83">
        <v>0.83105022831050201</v>
      </c>
      <c r="AI83" t="s">
        <v>167</v>
      </c>
      <c r="AJ83">
        <v>2</v>
      </c>
      <c r="AK83">
        <v>1.01354464203446</v>
      </c>
      <c r="AL83" t="s">
        <v>189</v>
      </c>
      <c r="AM83">
        <v>3</v>
      </c>
      <c r="AN83">
        <v>0.84408602150537604</v>
      </c>
      <c r="AO83" t="s">
        <v>238</v>
      </c>
      <c r="AP83">
        <v>3</v>
      </c>
      <c r="AQ83">
        <v>0.96467391304347805</v>
      </c>
      <c r="AR83" t="s">
        <v>185</v>
      </c>
      <c r="AS83">
        <v>2</v>
      </c>
      <c r="AT83">
        <v>0.95212765957446799</v>
      </c>
      <c r="AU83" t="s">
        <v>251</v>
      </c>
      <c r="AV83">
        <v>1</v>
      </c>
      <c r="AW83">
        <v>1.4120603015075299</v>
      </c>
      <c r="AX83" t="s">
        <v>259</v>
      </c>
      <c r="AY83">
        <v>2</v>
      </c>
      <c r="AZ83">
        <v>1.1383053444863001</v>
      </c>
      <c r="BA83" t="s">
        <v>185</v>
      </c>
      <c r="BB83">
        <v>3</v>
      </c>
      <c r="BC83">
        <v>1.0638036809815901</v>
      </c>
      <c r="BD83" t="s">
        <v>251</v>
      </c>
      <c r="BE83">
        <v>1</v>
      </c>
      <c r="BF83">
        <v>0.95945945945945899</v>
      </c>
      <c r="BG83" t="s">
        <v>192</v>
      </c>
      <c r="BH83">
        <v>2</v>
      </c>
      <c r="BI83">
        <v>0.95820029525869399</v>
      </c>
      <c r="BJ83" t="s">
        <v>196</v>
      </c>
      <c r="BK83">
        <v>3</v>
      </c>
      <c r="BL83">
        <v>1.0188758850937301</v>
      </c>
      <c r="BM83" t="s">
        <v>237</v>
      </c>
      <c r="BN83">
        <v>3</v>
      </c>
      <c r="BO83">
        <v>0.834710743801652</v>
      </c>
      <c r="BP83" t="s">
        <v>178</v>
      </c>
      <c r="BQ83">
        <v>1</v>
      </c>
      <c r="BR83">
        <v>1.0155038759689901</v>
      </c>
      <c r="BS83" t="s">
        <v>249</v>
      </c>
      <c r="BT83">
        <v>3</v>
      </c>
      <c r="BU83">
        <v>1.17631578947368</v>
      </c>
      <c r="BV83" t="s">
        <v>185</v>
      </c>
      <c r="BW83">
        <v>3</v>
      </c>
      <c r="BX83">
        <v>1.1213592233009699</v>
      </c>
      <c r="BY83" t="s">
        <v>238</v>
      </c>
      <c r="BZ83">
        <v>2</v>
      </c>
      <c r="CA83">
        <v>1.0438388625592401</v>
      </c>
      <c r="CB83" t="s">
        <v>238</v>
      </c>
      <c r="CC83">
        <v>2</v>
      </c>
      <c r="CD83">
        <v>0.98637911464245098</v>
      </c>
      <c r="CE83" t="s">
        <v>231</v>
      </c>
      <c r="CF83">
        <v>3</v>
      </c>
      <c r="CG83">
        <v>0.85238623751387299</v>
      </c>
      <c r="CH83" t="s">
        <v>255</v>
      </c>
      <c r="CI83">
        <v>3</v>
      </c>
      <c r="CJ83">
        <v>2.75714285714285</v>
      </c>
      <c r="CK83" t="s">
        <v>272</v>
      </c>
      <c r="CL83">
        <v>2</v>
      </c>
      <c r="CM83">
        <v>1.10212765957446</v>
      </c>
      <c r="CN83" t="s">
        <v>195</v>
      </c>
      <c r="CO83">
        <v>2</v>
      </c>
      <c r="CP83">
        <v>0.89938398357289495</v>
      </c>
      <c r="CQ83" t="s">
        <v>306</v>
      </c>
      <c r="CR83">
        <v>3</v>
      </c>
      <c r="CS83">
        <v>1.15800415800415</v>
      </c>
      <c r="CT83" t="s">
        <v>284</v>
      </c>
      <c r="CU83">
        <v>3</v>
      </c>
      <c r="CV83">
        <v>0.83063829787234</v>
      </c>
      <c r="CW83" t="s">
        <v>284</v>
      </c>
      <c r="CX83">
        <v>3</v>
      </c>
      <c r="CY83">
        <v>0.85758196721311397</v>
      </c>
      <c r="CZ83" t="s">
        <v>264</v>
      </c>
      <c r="DA83">
        <v>1</v>
      </c>
      <c r="DB83">
        <v>0.87421383647798701</v>
      </c>
      <c r="DC83" t="s">
        <v>251</v>
      </c>
      <c r="DD83">
        <v>1</v>
      </c>
      <c r="DE83">
        <v>1.1800610376398699</v>
      </c>
      <c r="DF83" t="s">
        <v>267</v>
      </c>
      <c r="DG83">
        <v>3</v>
      </c>
      <c r="DH83">
        <v>1.04330708661417</v>
      </c>
    </row>
    <row r="84" spans="1:112" x14ac:dyDescent="0.4">
      <c r="A84">
        <v>82</v>
      </c>
      <c r="B84" t="s">
        <v>221</v>
      </c>
      <c r="C84">
        <v>2</v>
      </c>
      <c r="D84">
        <v>1.0735294117647001</v>
      </c>
      <c r="E84" t="s">
        <v>172</v>
      </c>
      <c r="F84">
        <v>2</v>
      </c>
      <c r="G84">
        <v>0.9375</v>
      </c>
      <c r="H84" t="s">
        <v>228</v>
      </c>
      <c r="I84">
        <v>3</v>
      </c>
      <c r="J84">
        <v>0.588607594936708</v>
      </c>
      <c r="K84" t="s">
        <v>252</v>
      </c>
      <c r="L84">
        <v>3</v>
      </c>
      <c r="M84">
        <v>0.64583333333333304</v>
      </c>
      <c r="N84" t="s">
        <v>222</v>
      </c>
      <c r="O84">
        <v>2</v>
      </c>
      <c r="P84">
        <v>1.1900826446280901</v>
      </c>
      <c r="Q84" t="s">
        <v>247</v>
      </c>
      <c r="R84">
        <v>3</v>
      </c>
      <c r="S84">
        <v>1.6588235294117599</v>
      </c>
      <c r="T84" t="s">
        <v>196</v>
      </c>
      <c r="U84">
        <v>2</v>
      </c>
      <c r="V84">
        <v>0.78387008558007798</v>
      </c>
      <c r="W84" t="s">
        <v>238</v>
      </c>
      <c r="X84">
        <v>3</v>
      </c>
      <c r="Y84">
        <v>0.96357615894039705</v>
      </c>
      <c r="Z84" t="s">
        <v>189</v>
      </c>
      <c r="AA84">
        <v>3</v>
      </c>
      <c r="AB84">
        <v>1.3203342618384399</v>
      </c>
      <c r="AC84" t="s">
        <v>246</v>
      </c>
      <c r="AD84">
        <v>2</v>
      </c>
      <c r="AE84">
        <v>1.1016949152542299</v>
      </c>
      <c r="AF84" t="s">
        <v>185</v>
      </c>
      <c r="AG84">
        <v>2</v>
      </c>
      <c r="AH84">
        <v>0.96296296296296202</v>
      </c>
      <c r="AI84" t="s">
        <v>168</v>
      </c>
      <c r="AJ84">
        <v>1</v>
      </c>
      <c r="AK84">
        <v>1.0553633217992999</v>
      </c>
      <c r="AL84" t="s">
        <v>254</v>
      </c>
      <c r="AM84">
        <v>2</v>
      </c>
      <c r="AN84">
        <v>1.6059701492537299</v>
      </c>
      <c r="AO84" t="s">
        <v>259</v>
      </c>
      <c r="AP84">
        <v>2</v>
      </c>
      <c r="AQ84">
        <v>1.1309427880741301</v>
      </c>
      <c r="AR84" t="s">
        <v>238</v>
      </c>
      <c r="AS84">
        <v>3</v>
      </c>
      <c r="AT84">
        <v>1.1225352112675999</v>
      </c>
      <c r="AU84" t="s">
        <v>254</v>
      </c>
      <c r="AV84">
        <v>2</v>
      </c>
      <c r="AW84">
        <v>1.01821493624772</v>
      </c>
      <c r="AX84" t="s">
        <v>189</v>
      </c>
      <c r="AY84">
        <v>2</v>
      </c>
      <c r="AZ84">
        <v>0.76923076923076905</v>
      </c>
      <c r="BA84" t="s">
        <v>189</v>
      </c>
      <c r="BB84">
        <v>3</v>
      </c>
      <c r="BC84">
        <v>1.0619047619047599</v>
      </c>
      <c r="BD84" t="s">
        <v>254</v>
      </c>
      <c r="BE84">
        <v>2</v>
      </c>
      <c r="BF84">
        <v>0.84080717488789203</v>
      </c>
      <c r="BG84" t="s">
        <v>261</v>
      </c>
      <c r="BH84">
        <v>2</v>
      </c>
      <c r="BI84">
        <v>1.2870813397129099</v>
      </c>
      <c r="BJ84" t="s">
        <v>192</v>
      </c>
      <c r="BK84">
        <v>2</v>
      </c>
      <c r="BL84">
        <v>0.75305899424926903</v>
      </c>
      <c r="BM84" t="s">
        <v>178</v>
      </c>
      <c r="BN84">
        <v>1</v>
      </c>
      <c r="BO84">
        <v>1.0015527950310501</v>
      </c>
      <c r="BP84" t="s">
        <v>185</v>
      </c>
      <c r="BQ84">
        <v>3</v>
      </c>
      <c r="BR84">
        <v>1.07683615819209</v>
      </c>
      <c r="BS84" t="s">
        <v>251</v>
      </c>
      <c r="BT84">
        <v>1</v>
      </c>
      <c r="BU84">
        <v>0.86981132075471701</v>
      </c>
      <c r="BV84" t="s">
        <v>238</v>
      </c>
      <c r="BW84">
        <v>2</v>
      </c>
      <c r="BX84">
        <v>1.08205128205128</v>
      </c>
      <c r="BY84" t="s">
        <v>189</v>
      </c>
      <c r="BZ84">
        <v>3</v>
      </c>
      <c r="CA84">
        <v>1.4119402985074601</v>
      </c>
      <c r="CB84" t="s">
        <v>241</v>
      </c>
      <c r="CC84">
        <v>3</v>
      </c>
      <c r="CD84">
        <v>1.0170940170940099</v>
      </c>
      <c r="CE84" t="s">
        <v>178</v>
      </c>
      <c r="CF84">
        <v>1</v>
      </c>
      <c r="CG84">
        <v>0.88429752066115697</v>
      </c>
      <c r="CH84" t="s">
        <v>241</v>
      </c>
      <c r="CI84">
        <v>3</v>
      </c>
      <c r="CJ84">
        <v>1.0894308943089399</v>
      </c>
      <c r="CK84" t="s">
        <v>287</v>
      </c>
      <c r="CL84">
        <v>3</v>
      </c>
      <c r="CM84">
        <v>0.87467018469656899</v>
      </c>
      <c r="CN84" t="s">
        <v>262</v>
      </c>
      <c r="CO84">
        <v>3</v>
      </c>
      <c r="CP84">
        <v>0.97153024911032004</v>
      </c>
      <c r="CQ84" t="s">
        <v>204</v>
      </c>
      <c r="CR84">
        <v>3</v>
      </c>
      <c r="CS84">
        <v>0.99501661129568097</v>
      </c>
      <c r="CT84" t="s">
        <v>277</v>
      </c>
      <c r="CU84">
        <v>3</v>
      </c>
      <c r="CV84">
        <v>0.94468085106382904</v>
      </c>
      <c r="CW84" t="s">
        <v>277</v>
      </c>
      <c r="CX84">
        <v>3</v>
      </c>
      <c r="CY84">
        <v>1.1756756756756701</v>
      </c>
      <c r="CZ84" t="s">
        <v>272</v>
      </c>
      <c r="DA84">
        <v>2</v>
      </c>
      <c r="DB84">
        <v>1</v>
      </c>
      <c r="DC84" t="s">
        <v>254</v>
      </c>
      <c r="DD84">
        <v>3</v>
      </c>
      <c r="DE84">
        <v>1.25806451612903</v>
      </c>
      <c r="DF84" t="s">
        <v>272</v>
      </c>
      <c r="DG84">
        <v>2</v>
      </c>
      <c r="DH84">
        <v>1.04414587332053</v>
      </c>
    </row>
    <row r="85" spans="1:112" x14ac:dyDescent="0.4">
      <c r="A85">
        <v>83</v>
      </c>
      <c r="B85" t="s">
        <v>168</v>
      </c>
      <c r="C85">
        <v>1</v>
      </c>
      <c r="D85">
        <v>1.16923076923076</v>
      </c>
      <c r="E85" t="s">
        <v>174</v>
      </c>
      <c r="F85">
        <v>1</v>
      </c>
      <c r="G85">
        <v>0.85357142857142798</v>
      </c>
      <c r="H85" t="s">
        <v>230</v>
      </c>
      <c r="I85">
        <v>2</v>
      </c>
      <c r="J85">
        <v>0.67415730337078605</v>
      </c>
      <c r="K85" t="s">
        <v>178</v>
      </c>
      <c r="L85">
        <v>1</v>
      </c>
      <c r="M85">
        <v>0.92647058823529405</v>
      </c>
      <c r="N85" t="s">
        <v>225</v>
      </c>
      <c r="O85">
        <v>3</v>
      </c>
      <c r="P85">
        <v>1.3593851282526099</v>
      </c>
      <c r="Q85" t="s">
        <v>251</v>
      </c>
      <c r="R85">
        <v>1</v>
      </c>
      <c r="S85">
        <v>1.0478989494747299</v>
      </c>
      <c r="T85" t="s">
        <v>271</v>
      </c>
      <c r="U85">
        <v>2</v>
      </c>
      <c r="V85">
        <v>0.91203703703703698</v>
      </c>
      <c r="W85" t="s">
        <v>259</v>
      </c>
      <c r="X85">
        <v>3</v>
      </c>
      <c r="Y85">
        <v>0.83783016188582704</v>
      </c>
      <c r="Z85" t="s">
        <v>247</v>
      </c>
      <c r="AA85">
        <v>3</v>
      </c>
      <c r="AB85">
        <v>1.45746164574616</v>
      </c>
      <c r="AC85" t="s">
        <v>183</v>
      </c>
      <c r="AD85">
        <v>2</v>
      </c>
      <c r="AE85">
        <v>0.97892845329304301</v>
      </c>
      <c r="AF85" t="s">
        <v>238</v>
      </c>
      <c r="AG85">
        <v>3</v>
      </c>
      <c r="AH85">
        <v>1.1448692152917499</v>
      </c>
      <c r="AI85" t="s">
        <v>172</v>
      </c>
      <c r="AJ85">
        <v>2</v>
      </c>
      <c r="AK85">
        <v>1.1112454655380799</v>
      </c>
      <c r="AL85" t="s">
        <v>196</v>
      </c>
      <c r="AM85">
        <v>2</v>
      </c>
      <c r="AN85">
        <v>0.916904761904761</v>
      </c>
      <c r="AO85" t="s">
        <v>189</v>
      </c>
      <c r="AP85">
        <v>2</v>
      </c>
      <c r="AQ85">
        <v>0.984076433121019</v>
      </c>
      <c r="AR85" t="s">
        <v>259</v>
      </c>
      <c r="AS85">
        <v>2</v>
      </c>
      <c r="AT85">
        <v>0.89476309226932604</v>
      </c>
      <c r="AU85" t="s">
        <v>196</v>
      </c>
      <c r="AV85">
        <v>3</v>
      </c>
      <c r="AW85">
        <v>1.03950325825073</v>
      </c>
      <c r="AX85" t="s">
        <v>251</v>
      </c>
      <c r="AY85">
        <v>1</v>
      </c>
      <c r="AZ85">
        <v>0.75444839857651202</v>
      </c>
      <c r="BA85" t="s">
        <v>251</v>
      </c>
      <c r="BB85">
        <v>1</v>
      </c>
      <c r="BC85">
        <v>1.0471698113207499</v>
      </c>
      <c r="BD85" t="s">
        <v>192</v>
      </c>
      <c r="BE85">
        <v>2</v>
      </c>
      <c r="BF85">
        <v>0.98193035094225101</v>
      </c>
      <c r="BG85" t="s">
        <v>195</v>
      </c>
      <c r="BH85">
        <v>1</v>
      </c>
      <c r="BI85">
        <v>1.02622572348569</v>
      </c>
      <c r="BJ85" t="s">
        <v>256</v>
      </c>
      <c r="BK85">
        <v>3</v>
      </c>
      <c r="BL85">
        <v>1.0274509803921501</v>
      </c>
      <c r="BM85" t="s">
        <v>185</v>
      </c>
      <c r="BN85">
        <v>3</v>
      </c>
      <c r="BO85">
        <v>0.95059076262083697</v>
      </c>
      <c r="BP85" t="s">
        <v>238</v>
      </c>
      <c r="BQ85">
        <v>2</v>
      </c>
      <c r="BR85">
        <v>0.95749704840613903</v>
      </c>
      <c r="BS85" t="s">
        <v>254</v>
      </c>
      <c r="BT85">
        <v>2</v>
      </c>
      <c r="BU85">
        <v>0.91803278688524503</v>
      </c>
      <c r="BV85" t="s">
        <v>189</v>
      </c>
      <c r="BW85">
        <v>3</v>
      </c>
      <c r="BX85">
        <v>1.0771704180064301</v>
      </c>
      <c r="BY85" t="s">
        <v>251</v>
      </c>
      <c r="BZ85">
        <v>2</v>
      </c>
      <c r="CA85">
        <v>1.3747099767981401</v>
      </c>
      <c r="CB85" t="s">
        <v>189</v>
      </c>
      <c r="CC85">
        <v>3</v>
      </c>
      <c r="CD85">
        <v>0.91754756871035903</v>
      </c>
      <c r="CE85" t="s">
        <v>185</v>
      </c>
      <c r="CF85">
        <v>3</v>
      </c>
      <c r="CG85">
        <v>1.0641025641025601</v>
      </c>
      <c r="CH85" t="s">
        <v>189</v>
      </c>
      <c r="CI85">
        <v>3</v>
      </c>
      <c r="CJ85">
        <v>1.1000000000000001</v>
      </c>
      <c r="CK85" t="s">
        <v>306</v>
      </c>
      <c r="CL85">
        <v>3</v>
      </c>
      <c r="CM85">
        <v>0.82981927710843295</v>
      </c>
      <c r="CN85" t="s">
        <v>270</v>
      </c>
      <c r="CO85">
        <v>3</v>
      </c>
      <c r="CP85">
        <v>1.01837270341207</v>
      </c>
      <c r="CQ85" t="s">
        <v>284</v>
      </c>
      <c r="CR85">
        <v>3</v>
      </c>
      <c r="CS85">
        <v>1.10849056603773</v>
      </c>
      <c r="CT85" t="s">
        <v>281</v>
      </c>
      <c r="CU85">
        <v>2</v>
      </c>
      <c r="CV85">
        <v>0.95789473684210502</v>
      </c>
      <c r="CW85" t="s">
        <v>299</v>
      </c>
      <c r="CX85">
        <v>3</v>
      </c>
      <c r="CY85">
        <v>1</v>
      </c>
      <c r="CZ85" t="s">
        <v>276</v>
      </c>
      <c r="DA85">
        <v>3</v>
      </c>
      <c r="DB85">
        <v>0.71799628942486005</v>
      </c>
      <c r="DC85" t="s">
        <v>256</v>
      </c>
      <c r="DD85">
        <v>3</v>
      </c>
      <c r="DE85">
        <v>0.92346938775510201</v>
      </c>
      <c r="DF85" t="s">
        <v>204</v>
      </c>
      <c r="DG85">
        <v>2</v>
      </c>
      <c r="DH85">
        <v>1.03313840155945</v>
      </c>
    </row>
    <row r="86" spans="1:112" x14ac:dyDescent="0.4">
      <c r="A86">
        <v>84</v>
      </c>
      <c r="B86" t="s">
        <v>170</v>
      </c>
      <c r="C86">
        <v>1</v>
      </c>
      <c r="D86">
        <v>1.18646189800517</v>
      </c>
      <c r="E86" t="s">
        <v>231</v>
      </c>
      <c r="F86">
        <v>2</v>
      </c>
      <c r="G86">
        <v>0.82912032355915</v>
      </c>
      <c r="H86" t="s">
        <v>168</v>
      </c>
      <c r="I86">
        <v>1</v>
      </c>
      <c r="J86">
        <v>0.57201646090534897</v>
      </c>
      <c r="K86" t="s">
        <v>183</v>
      </c>
      <c r="L86">
        <v>2</v>
      </c>
      <c r="M86">
        <v>0.96000488937782602</v>
      </c>
      <c r="N86" t="s">
        <v>164</v>
      </c>
      <c r="O86">
        <v>1</v>
      </c>
      <c r="P86">
        <v>1.00804020100502</v>
      </c>
      <c r="Q86" t="s">
        <v>254</v>
      </c>
      <c r="R86">
        <v>3</v>
      </c>
      <c r="S86">
        <v>1.2889733840304101</v>
      </c>
      <c r="T86" t="s">
        <v>256</v>
      </c>
      <c r="U86">
        <v>2</v>
      </c>
      <c r="V86">
        <v>1.00314960629921</v>
      </c>
      <c r="W86" t="s">
        <v>189</v>
      </c>
      <c r="X86">
        <v>3</v>
      </c>
      <c r="Y86">
        <v>0.91581632653061196</v>
      </c>
      <c r="Z86" t="s">
        <v>251</v>
      </c>
      <c r="AA86">
        <v>1</v>
      </c>
      <c r="AB86">
        <v>0.98987412980803002</v>
      </c>
      <c r="AC86" t="s">
        <v>185</v>
      </c>
      <c r="AD86">
        <v>2</v>
      </c>
      <c r="AE86">
        <v>1.11467889908256</v>
      </c>
      <c r="AF86" t="s">
        <v>189</v>
      </c>
      <c r="AG86">
        <v>3</v>
      </c>
      <c r="AH86">
        <v>1.4489112227805601</v>
      </c>
      <c r="AI86" t="s">
        <v>231</v>
      </c>
      <c r="AJ86">
        <v>3</v>
      </c>
      <c r="AK86">
        <v>0.90909090909090895</v>
      </c>
      <c r="AL86" t="s">
        <v>271</v>
      </c>
      <c r="AM86">
        <v>2</v>
      </c>
      <c r="AN86">
        <v>1.22085889570552</v>
      </c>
      <c r="AO86" t="s">
        <v>251</v>
      </c>
      <c r="AP86">
        <v>1</v>
      </c>
      <c r="AQ86">
        <v>0.85189813161965899</v>
      </c>
      <c r="AR86" t="s">
        <v>189</v>
      </c>
      <c r="AS86">
        <v>2</v>
      </c>
      <c r="AT86">
        <v>0.82038834951456296</v>
      </c>
      <c r="AU86" t="s">
        <v>256</v>
      </c>
      <c r="AV86">
        <v>3</v>
      </c>
      <c r="AW86">
        <v>0.97455968688845396</v>
      </c>
      <c r="AX86" t="s">
        <v>254</v>
      </c>
      <c r="AY86">
        <v>2</v>
      </c>
      <c r="AZ86">
        <v>0.82468694096601003</v>
      </c>
      <c r="BA86" t="s">
        <v>254</v>
      </c>
      <c r="BB86">
        <v>2</v>
      </c>
      <c r="BC86">
        <v>0.96746203904555295</v>
      </c>
      <c r="BD86" t="s">
        <v>261</v>
      </c>
      <c r="BE86">
        <v>2</v>
      </c>
      <c r="BF86">
        <v>0.92580287929125105</v>
      </c>
      <c r="BG86" t="s">
        <v>262</v>
      </c>
      <c r="BH86">
        <v>3</v>
      </c>
      <c r="BI86">
        <v>1.0337078651685301</v>
      </c>
      <c r="BJ86" t="s">
        <v>261</v>
      </c>
      <c r="BK86">
        <v>2</v>
      </c>
      <c r="BL86">
        <v>1.1914498141263901</v>
      </c>
      <c r="BM86" t="s">
        <v>238</v>
      </c>
      <c r="BN86">
        <v>2</v>
      </c>
      <c r="BO86">
        <v>0.97356321839080395</v>
      </c>
      <c r="BP86" t="s">
        <v>189</v>
      </c>
      <c r="BQ86">
        <v>3</v>
      </c>
      <c r="BR86">
        <v>1.05555555555555</v>
      </c>
      <c r="BS86" t="s">
        <v>196</v>
      </c>
      <c r="BT86">
        <v>3</v>
      </c>
      <c r="BU86">
        <v>1.13036981695928</v>
      </c>
      <c r="BV86" t="s">
        <v>247</v>
      </c>
      <c r="BW86">
        <v>2</v>
      </c>
      <c r="BX86">
        <v>1.17469879518072</v>
      </c>
      <c r="BY86" t="s">
        <v>254</v>
      </c>
      <c r="BZ86">
        <v>3</v>
      </c>
      <c r="CA86">
        <v>0.94007490636704105</v>
      </c>
      <c r="CB86" t="s">
        <v>247</v>
      </c>
      <c r="CC86">
        <v>2</v>
      </c>
      <c r="CD86">
        <v>0.88</v>
      </c>
      <c r="CE86" t="s">
        <v>238</v>
      </c>
      <c r="CF86">
        <v>2</v>
      </c>
      <c r="CG86">
        <v>1.01841196777905</v>
      </c>
      <c r="CH86" t="s">
        <v>247</v>
      </c>
      <c r="CI86">
        <v>2</v>
      </c>
      <c r="CJ86">
        <v>1.0696378830083499</v>
      </c>
      <c r="CK86" t="s">
        <v>204</v>
      </c>
      <c r="CL86">
        <v>3</v>
      </c>
      <c r="CM86">
        <v>1.1663947797716101</v>
      </c>
      <c r="CN86" t="s">
        <v>197</v>
      </c>
      <c r="CO86">
        <v>1</v>
      </c>
      <c r="CP86">
        <v>1.42011834319526</v>
      </c>
      <c r="CQ86" t="s">
        <v>277</v>
      </c>
      <c r="CR86">
        <v>3</v>
      </c>
      <c r="CS86">
        <v>0.95141700404858298</v>
      </c>
      <c r="CT86" t="s">
        <v>285</v>
      </c>
      <c r="CU86">
        <v>3</v>
      </c>
      <c r="CV86">
        <v>0.98285714285714199</v>
      </c>
      <c r="CW86" t="s">
        <v>281</v>
      </c>
      <c r="CX86">
        <v>2</v>
      </c>
      <c r="CY86">
        <v>1.06122448979591</v>
      </c>
      <c r="CZ86" t="s">
        <v>306</v>
      </c>
      <c r="DA86">
        <v>3</v>
      </c>
      <c r="DB86">
        <v>0.92170022371364602</v>
      </c>
      <c r="DC86" t="s">
        <v>195</v>
      </c>
      <c r="DD86">
        <v>2</v>
      </c>
      <c r="DE86">
        <v>1.26004228329809</v>
      </c>
      <c r="DF86" t="s">
        <v>277</v>
      </c>
      <c r="DG86">
        <v>3</v>
      </c>
      <c r="DH86">
        <v>1.0141509433962199</v>
      </c>
    </row>
    <row r="87" spans="1:112" x14ac:dyDescent="0.4">
      <c r="A87">
        <v>85</v>
      </c>
      <c r="B87" t="s">
        <v>172</v>
      </c>
      <c r="C87">
        <v>1</v>
      </c>
      <c r="D87">
        <v>1.0246305418719199</v>
      </c>
      <c r="E87" t="s">
        <v>176</v>
      </c>
      <c r="F87">
        <v>2</v>
      </c>
      <c r="G87">
        <v>0.84210526315789402</v>
      </c>
      <c r="H87" t="s">
        <v>170</v>
      </c>
      <c r="I87">
        <v>1</v>
      </c>
      <c r="J87">
        <v>0.49594827586206802</v>
      </c>
      <c r="K87" t="s">
        <v>185</v>
      </c>
      <c r="L87">
        <v>2</v>
      </c>
      <c r="M87">
        <v>1.1773399014778301</v>
      </c>
      <c r="N87" t="s">
        <v>228</v>
      </c>
      <c r="O87">
        <v>3</v>
      </c>
      <c r="P87">
        <v>1.27272727272727</v>
      </c>
      <c r="Q87" t="s">
        <v>196</v>
      </c>
      <c r="R87">
        <v>2</v>
      </c>
      <c r="S87">
        <v>0.97185917078356499</v>
      </c>
      <c r="T87" t="s">
        <v>261</v>
      </c>
      <c r="U87">
        <v>2</v>
      </c>
      <c r="V87">
        <v>1.12025208652699</v>
      </c>
      <c r="W87" t="s">
        <v>247</v>
      </c>
      <c r="X87">
        <v>3</v>
      </c>
      <c r="Y87">
        <v>1.20504201680672</v>
      </c>
      <c r="Z87" t="s">
        <v>254</v>
      </c>
      <c r="AA87">
        <v>3</v>
      </c>
      <c r="AB87">
        <v>0.96031746031746001</v>
      </c>
      <c r="AC87" t="s">
        <v>238</v>
      </c>
      <c r="AD87">
        <v>3</v>
      </c>
      <c r="AE87">
        <v>1.05857294994675</v>
      </c>
      <c r="AF87" t="s">
        <v>247</v>
      </c>
      <c r="AG87">
        <v>2</v>
      </c>
      <c r="AH87">
        <v>1.4439461883408</v>
      </c>
      <c r="AI87" t="s">
        <v>246</v>
      </c>
      <c r="AJ87">
        <v>2</v>
      </c>
      <c r="AK87">
        <v>0.72771084337349401</v>
      </c>
      <c r="AL87" t="s">
        <v>256</v>
      </c>
      <c r="AM87">
        <v>3</v>
      </c>
      <c r="AN87">
        <v>0.89285714285714202</v>
      </c>
      <c r="AO87" t="s">
        <v>254</v>
      </c>
      <c r="AP87">
        <v>2</v>
      </c>
      <c r="AQ87">
        <v>1.0371747211895901</v>
      </c>
      <c r="AR87" t="s">
        <v>251</v>
      </c>
      <c r="AS87">
        <v>1</v>
      </c>
      <c r="AT87">
        <v>0.69497799818397699</v>
      </c>
      <c r="AU87" t="s">
        <v>261</v>
      </c>
      <c r="AV87">
        <v>2</v>
      </c>
      <c r="AW87">
        <v>1.03975535168195</v>
      </c>
      <c r="AX87" t="s">
        <v>256</v>
      </c>
      <c r="AY87">
        <v>3</v>
      </c>
      <c r="AZ87">
        <v>0.96385542168674698</v>
      </c>
      <c r="BA87" t="s">
        <v>192</v>
      </c>
      <c r="BB87">
        <v>2</v>
      </c>
      <c r="BC87">
        <v>1.17342458166857</v>
      </c>
      <c r="BD87" t="s">
        <v>195</v>
      </c>
      <c r="BE87">
        <v>1</v>
      </c>
      <c r="BF87">
        <v>0.760683365683827</v>
      </c>
      <c r="BG87" t="s">
        <v>266</v>
      </c>
      <c r="BH87">
        <v>2</v>
      </c>
      <c r="BI87">
        <v>1.05074971164936</v>
      </c>
      <c r="BJ87" t="s">
        <v>195</v>
      </c>
      <c r="BK87">
        <v>1</v>
      </c>
      <c r="BL87">
        <v>0.61313494099538202</v>
      </c>
      <c r="BM87" t="s">
        <v>189</v>
      </c>
      <c r="BN87">
        <v>3</v>
      </c>
      <c r="BO87">
        <v>1.05675146771037</v>
      </c>
      <c r="BP87" t="s">
        <v>247</v>
      </c>
      <c r="BQ87">
        <v>2</v>
      </c>
      <c r="BR87">
        <v>1.0562499999999999</v>
      </c>
      <c r="BS87" t="s">
        <v>256</v>
      </c>
      <c r="BT87">
        <v>3</v>
      </c>
      <c r="BU87">
        <v>1.10332103321033</v>
      </c>
      <c r="BV87" t="s">
        <v>251</v>
      </c>
      <c r="BW87">
        <v>1</v>
      </c>
      <c r="BX87">
        <v>0.934924078091106</v>
      </c>
      <c r="BY87" t="s">
        <v>256</v>
      </c>
      <c r="BZ87">
        <v>3</v>
      </c>
      <c r="CA87">
        <v>1.2257575757575701</v>
      </c>
      <c r="CB87" t="s">
        <v>251</v>
      </c>
      <c r="CC87">
        <v>2</v>
      </c>
      <c r="CD87">
        <v>1.0042194092826999</v>
      </c>
      <c r="CE87" t="s">
        <v>241</v>
      </c>
      <c r="CF87">
        <v>3</v>
      </c>
      <c r="CG87">
        <v>1.03361344537815</v>
      </c>
      <c r="CH87" t="s">
        <v>251</v>
      </c>
      <c r="CI87">
        <v>2</v>
      </c>
      <c r="CJ87">
        <v>1.0365853658536499</v>
      </c>
      <c r="CK87" t="s">
        <v>284</v>
      </c>
      <c r="CL87">
        <v>3</v>
      </c>
      <c r="CM87">
        <v>0.92538860103626897</v>
      </c>
      <c r="CN87" t="s">
        <v>266</v>
      </c>
      <c r="CO87">
        <v>2</v>
      </c>
      <c r="CP87">
        <v>1.1821305841924299</v>
      </c>
      <c r="CQ87" t="s">
        <v>299</v>
      </c>
      <c r="CR87">
        <v>3</v>
      </c>
      <c r="CS87">
        <v>0.83730158730158699</v>
      </c>
      <c r="CT87" t="s">
        <v>288</v>
      </c>
      <c r="CU87">
        <v>3</v>
      </c>
      <c r="CV87">
        <v>1.02079395085066</v>
      </c>
      <c r="CW87" t="s">
        <v>285</v>
      </c>
      <c r="CX87">
        <v>3</v>
      </c>
      <c r="CY87">
        <v>0.92587209302325502</v>
      </c>
      <c r="CZ87" t="s">
        <v>204</v>
      </c>
      <c r="DA87">
        <v>2</v>
      </c>
      <c r="DB87">
        <v>0.95104895104895104</v>
      </c>
      <c r="DC87" t="s">
        <v>262</v>
      </c>
      <c r="DD87">
        <v>3</v>
      </c>
      <c r="DE87">
        <v>1.0333333333333301</v>
      </c>
      <c r="DF87" t="s">
        <v>281</v>
      </c>
      <c r="DG87">
        <v>2</v>
      </c>
      <c r="DH87">
        <v>1.2134062927496501</v>
      </c>
    </row>
    <row r="88" spans="1:112" x14ac:dyDescent="0.4">
      <c r="A88">
        <v>86</v>
      </c>
      <c r="B88" t="s">
        <v>174</v>
      </c>
      <c r="C88">
        <v>1</v>
      </c>
      <c r="D88">
        <v>1.2574850299401099</v>
      </c>
      <c r="E88" t="s">
        <v>185</v>
      </c>
      <c r="F88">
        <v>2</v>
      </c>
      <c r="G88">
        <v>0.92592592592592504</v>
      </c>
      <c r="H88" t="s">
        <v>172</v>
      </c>
      <c r="I88">
        <v>2</v>
      </c>
      <c r="J88">
        <v>0.76615384615384596</v>
      </c>
      <c r="K88" t="s">
        <v>259</v>
      </c>
      <c r="L88">
        <v>3</v>
      </c>
      <c r="M88">
        <v>0.62563775510204001</v>
      </c>
      <c r="N88" t="s">
        <v>230</v>
      </c>
      <c r="O88">
        <v>2</v>
      </c>
      <c r="P88">
        <v>1.7208237986270001</v>
      </c>
      <c r="Q88" t="s">
        <v>271</v>
      </c>
      <c r="R88">
        <v>2</v>
      </c>
      <c r="S88">
        <v>1.1134020618556699</v>
      </c>
      <c r="T88" t="s">
        <v>262</v>
      </c>
      <c r="U88">
        <v>3</v>
      </c>
      <c r="V88">
        <v>0.927659574468085</v>
      </c>
      <c r="W88" t="s">
        <v>251</v>
      </c>
      <c r="X88">
        <v>1</v>
      </c>
      <c r="Y88">
        <v>0.99663606419510797</v>
      </c>
      <c r="Z88" t="s">
        <v>196</v>
      </c>
      <c r="AA88">
        <v>2</v>
      </c>
      <c r="AB88">
        <v>0.90707918917988695</v>
      </c>
      <c r="AC88" t="s">
        <v>259</v>
      </c>
      <c r="AD88">
        <v>3</v>
      </c>
      <c r="AE88">
        <v>1.4266983016982999</v>
      </c>
      <c r="AF88" t="s">
        <v>249</v>
      </c>
      <c r="AG88">
        <v>2</v>
      </c>
      <c r="AH88">
        <v>0.65211330993927696</v>
      </c>
      <c r="AI88" t="s">
        <v>183</v>
      </c>
      <c r="AJ88">
        <v>2</v>
      </c>
      <c r="AK88">
        <v>0.82637362637362599</v>
      </c>
      <c r="AL88" t="s">
        <v>261</v>
      </c>
      <c r="AM88">
        <v>2</v>
      </c>
      <c r="AN88">
        <v>0.83333333333333304</v>
      </c>
      <c r="AO88" t="s">
        <v>196</v>
      </c>
      <c r="AP88">
        <v>3</v>
      </c>
      <c r="AQ88">
        <v>0.90301838730818196</v>
      </c>
      <c r="AR88" t="s">
        <v>254</v>
      </c>
      <c r="AS88">
        <v>2</v>
      </c>
      <c r="AT88">
        <v>0.98387096774193505</v>
      </c>
      <c r="AU88" t="s">
        <v>262</v>
      </c>
      <c r="AV88">
        <v>3</v>
      </c>
      <c r="AW88">
        <v>1.234375</v>
      </c>
      <c r="AX88" t="s">
        <v>261</v>
      </c>
      <c r="AY88">
        <v>2</v>
      </c>
      <c r="AZ88">
        <v>0.86666666666666603</v>
      </c>
      <c r="BA88" t="s">
        <v>256</v>
      </c>
      <c r="BB88">
        <v>3</v>
      </c>
      <c r="BC88">
        <v>0.93958333333333299</v>
      </c>
      <c r="BD88" t="s">
        <v>262</v>
      </c>
      <c r="BE88">
        <v>3</v>
      </c>
      <c r="BF88">
        <v>0.96739130434782605</v>
      </c>
      <c r="BG88" t="s">
        <v>201</v>
      </c>
      <c r="BH88">
        <v>2</v>
      </c>
      <c r="BI88">
        <v>1.05893517617286</v>
      </c>
      <c r="BJ88" t="s">
        <v>262</v>
      </c>
      <c r="BK88">
        <v>3</v>
      </c>
      <c r="BL88">
        <v>1.1630434782608601</v>
      </c>
      <c r="BM88" t="s">
        <v>247</v>
      </c>
      <c r="BN88">
        <v>2</v>
      </c>
      <c r="BO88">
        <v>0.99378881987577605</v>
      </c>
      <c r="BP88" t="s">
        <v>251</v>
      </c>
      <c r="BQ88">
        <v>1</v>
      </c>
      <c r="BR88">
        <v>0.97247706422018299</v>
      </c>
      <c r="BS88" t="s">
        <v>195</v>
      </c>
      <c r="BT88">
        <v>1</v>
      </c>
      <c r="BU88">
        <v>1.1917631917631899</v>
      </c>
      <c r="BV88" t="s">
        <v>254</v>
      </c>
      <c r="BW88">
        <v>2</v>
      </c>
      <c r="BX88">
        <v>0.95357142857142796</v>
      </c>
      <c r="BY88" t="s">
        <v>195</v>
      </c>
      <c r="BZ88">
        <v>2</v>
      </c>
      <c r="CA88">
        <v>1.1116138763197501</v>
      </c>
      <c r="CB88" t="s">
        <v>254</v>
      </c>
      <c r="CC88">
        <v>3</v>
      </c>
      <c r="CD88">
        <v>0.81274900398406302</v>
      </c>
      <c r="CE88" t="s">
        <v>189</v>
      </c>
      <c r="CF88">
        <v>3</v>
      </c>
      <c r="CG88">
        <v>0.95622119815668205</v>
      </c>
      <c r="CH88" t="s">
        <v>254</v>
      </c>
      <c r="CI88">
        <v>3</v>
      </c>
      <c r="CJ88">
        <v>1.0877192982456101</v>
      </c>
      <c r="CK88" t="s">
        <v>277</v>
      </c>
      <c r="CL88">
        <v>3</v>
      </c>
      <c r="CM88">
        <v>0.96031746031746001</v>
      </c>
      <c r="CN88" t="s">
        <v>306</v>
      </c>
      <c r="CO88">
        <v>3</v>
      </c>
      <c r="CP88">
        <v>0.87295825771324798</v>
      </c>
      <c r="CQ88" t="s">
        <v>288</v>
      </c>
      <c r="CR88">
        <v>3</v>
      </c>
      <c r="CS88">
        <v>0.81510015408320402</v>
      </c>
      <c r="CT88" t="s">
        <v>294</v>
      </c>
      <c r="CU88">
        <v>3</v>
      </c>
      <c r="CV88">
        <v>0.93267651888341496</v>
      </c>
      <c r="CW88" t="s">
        <v>288</v>
      </c>
      <c r="CX88">
        <v>3</v>
      </c>
      <c r="CY88">
        <v>0.937037037037037</v>
      </c>
      <c r="CZ88" t="s">
        <v>284</v>
      </c>
      <c r="DA88">
        <v>3</v>
      </c>
      <c r="DB88">
        <v>1.0011947431302199</v>
      </c>
      <c r="DC88" t="s">
        <v>265</v>
      </c>
      <c r="DD88">
        <v>3</v>
      </c>
      <c r="DE88">
        <v>1.63043478260869</v>
      </c>
      <c r="DF88" t="s">
        <v>285</v>
      </c>
      <c r="DG88">
        <v>3</v>
      </c>
      <c r="DH88">
        <v>0.98377581120943902</v>
      </c>
    </row>
    <row r="89" spans="1:112" x14ac:dyDescent="0.4">
      <c r="A89">
        <v>87</v>
      </c>
      <c r="B89" t="s">
        <v>231</v>
      </c>
      <c r="C89">
        <v>3</v>
      </c>
      <c r="D89">
        <v>0.88303571428571404</v>
      </c>
      <c r="E89" t="s">
        <v>259</v>
      </c>
      <c r="F89">
        <v>3</v>
      </c>
      <c r="G89">
        <v>0.66328235445315498</v>
      </c>
      <c r="H89" t="s">
        <v>174</v>
      </c>
      <c r="I89">
        <v>1</v>
      </c>
      <c r="J89">
        <v>0.57880055788005502</v>
      </c>
      <c r="K89" t="s">
        <v>243</v>
      </c>
      <c r="L89">
        <v>1</v>
      </c>
      <c r="M89">
        <v>0.92903225806451595</v>
      </c>
      <c r="N89" t="s">
        <v>221</v>
      </c>
      <c r="O89">
        <v>2</v>
      </c>
      <c r="P89">
        <v>1.24376731301939</v>
      </c>
      <c r="Q89" t="s">
        <v>256</v>
      </c>
      <c r="R89">
        <v>2</v>
      </c>
      <c r="S89">
        <v>0.96651445966514404</v>
      </c>
      <c r="T89" t="s">
        <v>266</v>
      </c>
      <c r="U89">
        <v>2</v>
      </c>
      <c r="V89">
        <v>0.90374331550802101</v>
      </c>
      <c r="W89" t="s">
        <v>254</v>
      </c>
      <c r="X89">
        <v>3</v>
      </c>
      <c r="Y89">
        <v>0.90647482014388403</v>
      </c>
      <c r="Z89" t="s">
        <v>271</v>
      </c>
      <c r="AA89">
        <v>2</v>
      </c>
      <c r="AB89">
        <v>0.96850393700787396</v>
      </c>
      <c r="AC89" t="s">
        <v>189</v>
      </c>
      <c r="AD89">
        <v>3</v>
      </c>
      <c r="AE89">
        <v>1.25949367088607</v>
      </c>
      <c r="AF89" t="s">
        <v>251</v>
      </c>
      <c r="AG89">
        <v>1</v>
      </c>
      <c r="AH89">
        <v>1.09121742234916</v>
      </c>
      <c r="AI89" t="s">
        <v>185</v>
      </c>
      <c r="AJ89">
        <v>2</v>
      </c>
      <c r="AK89">
        <v>0.87606837606837595</v>
      </c>
      <c r="AL89" t="s">
        <v>262</v>
      </c>
      <c r="AM89">
        <v>3</v>
      </c>
      <c r="AN89">
        <v>0.94560669456066904</v>
      </c>
      <c r="AO89" t="s">
        <v>256</v>
      </c>
      <c r="AP89">
        <v>3</v>
      </c>
      <c r="AQ89">
        <v>0.97299999999999998</v>
      </c>
      <c r="AR89" t="s">
        <v>196</v>
      </c>
      <c r="AS89">
        <v>3</v>
      </c>
      <c r="AT89">
        <v>0.84683956838472896</v>
      </c>
      <c r="AU89" t="s">
        <v>266</v>
      </c>
      <c r="AV89">
        <v>2</v>
      </c>
      <c r="AW89">
        <v>1.10752688172043</v>
      </c>
      <c r="AX89" t="s">
        <v>262</v>
      </c>
      <c r="AY89">
        <v>3</v>
      </c>
      <c r="AZ89">
        <v>0.873417721518987</v>
      </c>
      <c r="BA89" t="s">
        <v>261</v>
      </c>
      <c r="BB89">
        <v>2</v>
      </c>
      <c r="BC89">
        <v>1.0214932126696801</v>
      </c>
      <c r="BD89" t="s">
        <v>266</v>
      </c>
      <c r="BE89">
        <v>2</v>
      </c>
      <c r="BF89">
        <v>0.619285714285714</v>
      </c>
      <c r="BG89" t="s">
        <v>272</v>
      </c>
      <c r="BH89">
        <v>2</v>
      </c>
      <c r="BI89">
        <v>0.95975232198142402</v>
      </c>
      <c r="BJ89" t="s">
        <v>197</v>
      </c>
      <c r="BK89">
        <v>1</v>
      </c>
      <c r="BL89">
        <v>1.03237410071942</v>
      </c>
      <c r="BM89" t="s">
        <v>251</v>
      </c>
      <c r="BN89">
        <v>1</v>
      </c>
      <c r="BO89">
        <v>0.872</v>
      </c>
      <c r="BP89" t="s">
        <v>254</v>
      </c>
      <c r="BQ89">
        <v>2</v>
      </c>
      <c r="BR89">
        <v>0.99673202614378997</v>
      </c>
      <c r="BS89" t="s">
        <v>262</v>
      </c>
      <c r="BT89">
        <v>3</v>
      </c>
      <c r="BU89">
        <v>1.16422287390029</v>
      </c>
      <c r="BV89" t="s">
        <v>196</v>
      </c>
      <c r="BW89">
        <v>3</v>
      </c>
      <c r="BX89">
        <v>0.61759984892833497</v>
      </c>
      <c r="BY89" t="s">
        <v>262</v>
      </c>
      <c r="BZ89">
        <v>3</v>
      </c>
      <c r="CA89">
        <v>0.73819742489270301</v>
      </c>
      <c r="CB89" t="s">
        <v>256</v>
      </c>
      <c r="CC89">
        <v>3</v>
      </c>
      <c r="CD89">
        <v>0.94437577255871397</v>
      </c>
      <c r="CE89" t="s">
        <v>247</v>
      </c>
      <c r="CF89">
        <v>2</v>
      </c>
      <c r="CG89">
        <v>1.01988636363636</v>
      </c>
      <c r="CH89" t="s">
        <v>256</v>
      </c>
      <c r="CI89">
        <v>3</v>
      </c>
      <c r="CJ89">
        <v>1.30232558139534</v>
      </c>
      <c r="CK89" t="s">
        <v>285</v>
      </c>
      <c r="CL89">
        <v>3</v>
      </c>
      <c r="CM89">
        <v>0.86122448979591804</v>
      </c>
      <c r="CN89" t="s">
        <v>204</v>
      </c>
      <c r="CO89">
        <v>3</v>
      </c>
      <c r="CP89">
        <v>0.84195804195804103</v>
      </c>
      <c r="CQ89" t="s">
        <v>294</v>
      </c>
      <c r="CR89">
        <v>3</v>
      </c>
      <c r="CS89">
        <v>0.93981481481481399</v>
      </c>
      <c r="CT89" t="s">
        <v>219</v>
      </c>
      <c r="CU89">
        <v>3</v>
      </c>
      <c r="CV89">
        <v>1.15568862275449</v>
      </c>
      <c r="CW89" t="s">
        <v>294</v>
      </c>
      <c r="CX89">
        <v>3</v>
      </c>
      <c r="CY89">
        <v>0.97535211267605604</v>
      </c>
      <c r="CZ89" t="s">
        <v>277</v>
      </c>
      <c r="DA89">
        <v>3</v>
      </c>
      <c r="DB89">
        <v>0.77777777777777701</v>
      </c>
      <c r="DC89" t="s">
        <v>197</v>
      </c>
      <c r="DD89">
        <v>1</v>
      </c>
      <c r="DE89">
        <v>1.397616468039</v>
      </c>
      <c r="DF89" t="s">
        <v>288</v>
      </c>
      <c r="DG89">
        <v>3</v>
      </c>
      <c r="DH89">
        <v>1.0192719486081301</v>
      </c>
    </row>
    <row r="90" spans="1:112" x14ac:dyDescent="0.4">
      <c r="A90">
        <v>88</v>
      </c>
      <c r="B90" t="s">
        <v>176</v>
      </c>
      <c r="C90">
        <v>2</v>
      </c>
      <c r="D90">
        <v>1.13506493506493</v>
      </c>
      <c r="E90" t="s">
        <v>241</v>
      </c>
      <c r="F90">
        <v>3</v>
      </c>
      <c r="G90">
        <v>0.90217391304347805</v>
      </c>
      <c r="H90" t="s">
        <v>231</v>
      </c>
      <c r="I90">
        <v>2</v>
      </c>
      <c r="J90">
        <v>0.65975609756097497</v>
      </c>
      <c r="K90" t="s">
        <v>249</v>
      </c>
      <c r="L90">
        <v>1</v>
      </c>
      <c r="M90">
        <v>0.93717278013212302</v>
      </c>
      <c r="N90" t="s">
        <v>168</v>
      </c>
      <c r="O90">
        <v>1</v>
      </c>
      <c r="P90">
        <v>1.7208904109589001</v>
      </c>
      <c r="Q90" t="s">
        <v>261</v>
      </c>
      <c r="R90">
        <v>2</v>
      </c>
      <c r="S90">
        <v>1.0778410134018701</v>
      </c>
      <c r="T90" t="s">
        <v>311</v>
      </c>
      <c r="U90">
        <v>3</v>
      </c>
      <c r="V90">
        <v>0.73117729771187501</v>
      </c>
      <c r="W90" t="s">
        <v>196</v>
      </c>
      <c r="X90">
        <v>2</v>
      </c>
      <c r="Y90">
        <v>0.89445601649958395</v>
      </c>
      <c r="Z90" t="s">
        <v>192</v>
      </c>
      <c r="AA90">
        <v>2</v>
      </c>
      <c r="AB90">
        <v>1.1581959131594699</v>
      </c>
      <c r="AC90" t="s">
        <v>247</v>
      </c>
      <c r="AD90">
        <v>2</v>
      </c>
      <c r="AE90">
        <v>1.06698564593301</v>
      </c>
      <c r="AF90" t="s">
        <v>254</v>
      </c>
      <c r="AG90">
        <v>2</v>
      </c>
      <c r="AH90">
        <v>1.1911357340720199</v>
      </c>
      <c r="AI90" t="s">
        <v>238</v>
      </c>
      <c r="AJ90">
        <v>3</v>
      </c>
      <c r="AK90">
        <v>1.02284710017574</v>
      </c>
      <c r="AL90" t="s">
        <v>266</v>
      </c>
      <c r="AM90">
        <v>2</v>
      </c>
      <c r="AN90">
        <v>1.55737704918032</v>
      </c>
      <c r="AO90" t="s">
        <v>261</v>
      </c>
      <c r="AP90">
        <v>2</v>
      </c>
      <c r="AQ90">
        <v>0.91996285979572801</v>
      </c>
      <c r="AR90" t="s">
        <v>256</v>
      </c>
      <c r="AS90">
        <v>3</v>
      </c>
      <c r="AT90">
        <v>1.05035971223021</v>
      </c>
      <c r="AU90" t="s">
        <v>291</v>
      </c>
      <c r="AV90">
        <v>3</v>
      </c>
      <c r="AW90">
        <v>1.36263736263736</v>
      </c>
      <c r="AX90" t="s">
        <v>266</v>
      </c>
      <c r="AY90">
        <v>2</v>
      </c>
      <c r="AZ90">
        <v>0.64951456310679601</v>
      </c>
      <c r="BA90" t="s">
        <v>262</v>
      </c>
      <c r="BB90">
        <v>3</v>
      </c>
      <c r="BC90">
        <v>1</v>
      </c>
      <c r="BD90" t="s">
        <v>201</v>
      </c>
      <c r="BE90">
        <v>2</v>
      </c>
      <c r="BF90">
        <v>0.57766157825194597</v>
      </c>
      <c r="BG90" t="s">
        <v>276</v>
      </c>
      <c r="BH90">
        <v>3</v>
      </c>
      <c r="BI90">
        <v>0.96615720524017401</v>
      </c>
      <c r="BJ90" t="s">
        <v>266</v>
      </c>
      <c r="BK90">
        <v>2</v>
      </c>
      <c r="BL90">
        <v>1.0537870472008699</v>
      </c>
      <c r="BM90" t="s">
        <v>254</v>
      </c>
      <c r="BN90">
        <v>2</v>
      </c>
      <c r="BO90">
        <v>0.82037533512064298</v>
      </c>
      <c r="BP90" t="s">
        <v>196</v>
      </c>
      <c r="BQ90">
        <v>3</v>
      </c>
      <c r="BR90">
        <v>0.83048218400992702</v>
      </c>
      <c r="BS90" t="s">
        <v>265</v>
      </c>
      <c r="BT90">
        <v>2</v>
      </c>
      <c r="BU90">
        <v>0.82378854625550602</v>
      </c>
      <c r="BV90" t="s">
        <v>256</v>
      </c>
      <c r="BW90">
        <v>3</v>
      </c>
      <c r="BX90">
        <v>1.10367892976588</v>
      </c>
      <c r="BY90" t="s">
        <v>265</v>
      </c>
      <c r="BZ90">
        <v>3</v>
      </c>
      <c r="CA90">
        <v>0.88443935926773398</v>
      </c>
      <c r="CB90" t="s">
        <v>195</v>
      </c>
      <c r="CC90">
        <v>2</v>
      </c>
      <c r="CD90">
        <v>0.72591587516960598</v>
      </c>
      <c r="CE90" t="s">
        <v>251</v>
      </c>
      <c r="CF90">
        <v>2</v>
      </c>
      <c r="CG90">
        <v>1.03361344537815</v>
      </c>
      <c r="CH90" t="s">
        <v>194</v>
      </c>
      <c r="CI90">
        <v>1</v>
      </c>
      <c r="CJ90">
        <v>0.95631067961164995</v>
      </c>
      <c r="CK90" t="s">
        <v>288</v>
      </c>
      <c r="CL90">
        <v>3</v>
      </c>
      <c r="CM90">
        <v>0.901935483870967</v>
      </c>
      <c r="CN90" t="s">
        <v>284</v>
      </c>
      <c r="CO90">
        <v>3</v>
      </c>
      <c r="CP90">
        <v>1.18701007838745</v>
      </c>
      <c r="CQ90" t="s">
        <v>350</v>
      </c>
      <c r="CR90">
        <v>3</v>
      </c>
      <c r="CS90">
        <v>0.82019977802441701</v>
      </c>
      <c r="CT90" t="s">
        <v>224</v>
      </c>
      <c r="CU90">
        <v>2</v>
      </c>
      <c r="CV90">
        <v>1.1902071563088501</v>
      </c>
      <c r="CW90" t="s">
        <v>350</v>
      </c>
      <c r="CX90">
        <v>3</v>
      </c>
      <c r="CY90">
        <v>0.986093552465233</v>
      </c>
      <c r="CZ90" t="s">
        <v>281</v>
      </c>
      <c r="DA90">
        <v>2</v>
      </c>
      <c r="DB90">
        <v>1.04881656804733</v>
      </c>
      <c r="DC90" t="s">
        <v>264</v>
      </c>
      <c r="DD90">
        <v>1</v>
      </c>
      <c r="DE90">
        <v>1.2848920863309301</v>
      </c>
      <c r="DF90" t="s">
        <v>294</v>
      </c>
      <c r="DG90">
        <v>3</v>
      </c>
      <c r="DH90">
        <v>1.0036496350364901</v>
      </c>
    </row>
    <row r="91" spans="1:112" x14ac:dyDescent="0.4">
      <c r="A91">
        <v>89</v>
      </c>
      <c r="B91" t="s">
        <v>185</v>
      </c>
      <c r="C91">
        <v>2</v>
      </c>
      <c r="D91">
        <v>0.88888888888888795</v>
      </c>
      <c r="E91" t="s">
        <v>189</v>
      </c>
      <c r="F91">
        <v>2</v>
      </c>
      <c r="G91">
        <v>0.63220005619555997</v>
      </c>
      <c r="H91" t="s">
        <v>176</v>
      </c>
      <c r="I91">
        <v>2</v>
      </c>
      <c r="J91">
        <v>0.76222826086956497</v>
      </c>
      <c r="K91" t="s">
        <v>251</v>
      </c>
      <c r="L91">
        <v>1</v>
      </c>
      <c r="M91">
        <v>1.31893855312279</v>
      </c>
      <c r="N91" t="s">
        <v>170</v>
      </c>
      <c r="O91">
        <v>1</v>
      </c>
      <c r="P91">
        <v>1.49806949806949</v>
      </c>
      <c r="Q91" t="s">
        <v>262</v>
      </c>
      <c r="R91">
        <v>3</v>
      </c>
      <c r="S91">
        <v>1.16336633663366</v>
      </c>
      <c r="T91" t="s">
        <v>297</v>
      </c>
      <c r="U91">
        <v>3</v>
      </c>
      <c r="V91">
        <v>0.84199999999999997</v>
      </c>
      <c r="W91" t="s">
        <v>271</v>
      </c>
      <c r="X91">
        <v>2</v>
      </c>
      <c r="Y91">
        <v>1.2893401015228401</v>
      </c>
      <c r="Z91" t="s">
        <v>256</v>
      </c>
      <c r="AA91">
        <v>2</v>
      </c>
      <c r="AB91">
        <v>0.89527027027026995</v>
      </c>
      <c r="AC91" t="s">
        <v>251</v>
      </c>
      <c r="AD91">
        <v>1</v>
      </c>
      <c r="AE91">
        <v>1.19386232862115</v>
      </c>
      <c r="AF91" t="s">
        <v>196</v>
      </c>
      <c r="AG91">
        <v>2</v>
      </c>
      <c r="AH91">
        <v>1.14477090419418</v>
      </c>
      <c r="AI91" t="s">
        <v>189</v>
      </c>
      <c r="AJ91">
        <v>3</v>
      </c>
      <c r="AK91">
        <v>0.86011560693641598</v>
      </c>
      <c r="AL91" t="s">
        <v>201</v>
      </c>
      <c r="AM91">
        <v>3</v>
      </c>
      <c r="AN91">
        <v>1.92166562073166</v>
      </c>
      <c r="AO91" t="s">
        <v>262</v>
      </c>
      <c r="AP91">
        <v>3</v>
      </c>
      <c r="AQ91">
        <v>1.3672566371681401</v>
      </c>
      <c r="AR91" t="s">
        <v>261</v>
      </c>
      <c r="AS91">
        <v>2</v>
      </c>
      <c r="AT91">
        <v>0.99010900282599901</v>
      </c>
      <c r="AU91" t="s">
        <v>279</v>
      </c>
      <c r="AV91">
        <v>2</v>
      </c>
      <c r="AW91">
        <v>1.2307692307692299</v>
      </c>
      <c r="AX91" t="s">
        <v>272</v>
      </c>
      <c r="AY91">
        <v>2</v>
      </c>
      <c r="AZ91">
        <v>1.0087719298245601</v>
      </c>
      <c r="BA91" t="s">
        <v>266</v>
      </c>
      <c r="BB91">
        <v>2</v>
      </c>
      <c r="BC91">
        <v>1.0463378176382601</v>
      </c>
      <c r="BD91" t="s">
        <v>293</v>
      </c>
      <c r="BE91">
        <v>2</v>
      </c>
      <c r="BF91">
        <v>0.88547008547008499</v>
      </c>
      <c r="BG91" t="s">
        <v>204</v>
      </c>
      <c r="BH91">
        <v>2</v>
      </c>
      <c r="BI91">
        <v>0.97371565113500602</v>
      </c>
      <c r="BJ91" t="s">
        <v>201</v>
      </c>
      <c r="BK91">
        <v>2</v>
      </c>
      <c r="BL91">
        <v>1.30736706650121</v>
      </c>
      <c r="BM91" t="s">
        <v>196</v>
      </c>
      <c r="BN91">
        <v>3</v>
      </c>
      <c r="BO91">
        <v>0.81248762220261705</v>
      </c>
      <c r="BP91" t="s">
        <v>192</v>
      </c>
      <c r="BQ91">
        <v>2</v>
      </c>
      <c r="BR91">
        <v>1.1428539925463601</v>
      </c>
      <c r="BS91" t="s">
        <v>266</v>
      </c>
      <c r="BT91">
        <v>2</v>
      </c>
      <c r="BU91">
        <v>0.95487804878048699</v>
      </c>
      <c r="BV91" t="s">
        <v>195</v>
      </c>
      <c r="BW91">
        <v>1</v>
      </c>
      <c r="BX91">
        <v>0.99442044636428994</v>
      </c>
      <c r="BY91" t="s">
        <v>266</v>
      </c>
      <c r="BZ91">
        <v>2</v>
      </c>
      <c r="CA91">
        <v>1.08421052631578</v>
      </c>
      <c r="CB91" t="s">
        <v>262</v>
      </c>
      <c r="CC91">
        <v>3</v>
      </c>
      <c r="CD91">
        <v>0.87790697674418605</v>
      </c>
      <c r="CE91" t="s">
        <v>254</v>
      </c>
      <c r="CF91">
        <v>3</v>
      </c>
      <c r="CG91">
        <v>0.89411764705882302</v>
      </c>
      <c r="CH91" t="s">
        <v>195</v>
      </c>
      <c r="CI91">
        <v>2</v>
      </c>
      <c r="CJ91">
        <v>0.89273927392739205</v>
      </c>
      <c r="CK91" t="s">
        <v>294</v>
      </c>
      <c r="CL91">
        <v>3</v>
      </c>
      <c r="CM91">
        <v>1.13105413105413</v>
      </c>
      <c r="CN91" t="s">
        <v>277</v>
      </c>
      <c r="CO91">
        <v>3</v>
      </c>
      <c r="CP91">
        <v>1.0206611570247901</v>
      </c>
      <c r="CQ91" t="s">
        <v>226</v>
      </c>
      <c r="CR91">
        <v>1</v>
      </c>
      <c r="CS91">
        <v>1.1368642957825501</v>
      </c>
      <c r="CT91" t="s">
        <v>350</v>
      </c>
      <c r="CU91">
        <v>3</v>
      </c>
      <c r="CV91">
        <v>1.07036535859269</v>
      </c>
      <c r="CW91" t="s">
        <v>226</v>
      </c>
      <c r="CX91">
        <v>1</v>
      </c>
      <c r="CY91">
        <v>1.25571002466689</v>
      </c>
      <c r="CZ91" t="s">
        <v>288</v>
      </c>
      <c r="DA91">
        <v>3</v>
      </c>
      <c r="DB91">
        <v>0.86462450592885298</v>
      </c>
      <c r="DC91" t="s">
        <v>272</v>
      </c>
      <c r="DD91">
        <v>2</v>
      </c>
      <c r="DE91">
        <v>1.0440881763526999</v>
      </c>
      <c r="DF91" t="s">
        <v>309</v>
      </c>
      <c r="DG91">
        <v>3</v>
      </c>
      <c r="DH91">
        <v>1.0893665158371</v>
      </c>
    </row>
    <row r="92" spans="1:112" x14ac:dyDescent="0.4">
      <c r="A92">
        <v>90</v>
      </c>
      <c r="B92" t="s">
        <v>259</v>
      </c>
      <c r="C92">
        <v>2</v>
      </c>
      <c r="D92">
        <v>0.77453712920565398</v>
      </c>
      <c r="E92" t="s">
        <v>247</v>
      </c>
      <c r="F92">
        <v>2</v>
      </c>
      <c r="G92">
        <v>0.79479768786127103</v>
      </c>
      <c r="H92" t="s">
        <v>183</v>
      </c>
      <c r="I92">
        <v>2</v>
      </c>
      <c r="J92">
        <v>0.57291520770889903</v>
      </c>
      <c r="K92" t="s">
        <v>196</v>
      </c>
      <c r="L92">
        <v>2</v>
      </c>
      <c r="M92">
        <v>1.58241025641025</v>
      </c>
      <c r="N92" t="s">
        <v>172</v>
      </c>
      <c r="O92">
        <v>2</v>
      </c>
      <c r="P92">
        <v>1.0621693121693101</v>
      </c>
      <c r="Q92" t="s">
        <v>266</v>
      </c>
      <c r="R92">
        <v>2</v>
      </c>
      <c r="S92">
        <v>1.06735159817351</v>
      </c>
      <c r="T92" t="s">
        <v>279</v>
      </c>
      <c r="U92">
        <v>2</v>
      </c>
      <c r="V92">
        <v>0.98909090909090902</v>
      </c>
      <c r="W92" t="s">
        <v>256</v>
      </c>
      <c r="X92">
        <v>2</v>
      </c>
      <c r="Y92">
        <v>0.92935635792778604</v>
      </c>
      <c r="Z92" t="s">
        <v>261</v>
      </c>
      <c r="AA92">
        <v>2</v>
      </c>
      <c r="AB92">
        <v>0.90825158684362295</v>
      </c>
      <c r="AC92" t="s">
        <v>254</v>
      </c>
      <c r="AD92">
        <v>2</v>
      </c>
      <c r="AE92">
        <v>1.49173553719008</v>
      </c>
      <c r="AF92" t="s">
        <v>256</v>
      </c>
      <c r="AG92">
        <v>3</v>
      </c>
      <c r="AH92">
        <v>0.95486111111111105</v>
      </c>
      <c r="AI92" t="s">
        <v>249</v>
      </c>
      <c r="AJ92">
        <v>2</v>
      </c>
      <c r="AK92">
        <v>0.39616037572528701</v>
      </c>
      <c r="AL92" t="s">
        <v>297</v>
      </c>
      <c r="AM92">
        <v>3</v>
      </c>
      <c r="AN92">
        <v>0.86601307189542398</v>
      </c>
      <c r="AO92" t="s">
        <v>291</v>
      </c>
      <c r="AP92">
        <v>3</v>
      </c>
      <c r="AQ92">
        <v>1.02659574468085</v>
      </c>
      <c r="AR92" t="s">
        <v>262</v>
      </c>
      <c r="AS92">
        <v>3</v>
      </c>
      <c r="AT92">
        <v>0.82847896440129398</v>
      </c>
      <c r="AU92" t="s">
        <v>272</v>
      </c>
      <c r="AV92">
        <v>2</v>
      </c>
      <c r="AW92">
        <v>1.1399999999999999</v>
      </c>
      <c r="AX92" t="s">
        <v>276</v>
      </c>
      <c r="AY92">
        <v>3</v>
      </c>
      <c r="AZ92">
        <v>0.83545105323145696</v>
      </c>
      <c r="BA92" t="s">
        <v>201</v>
      </c>
      <c r="BB92">
        <v>2</v>
      </c>
      <c r="BC92">
        <v>1.53833845089305</v>
      </c>
      <c r="BD92" t="s">
        <v>272</v>
      </c>
      <c r="BE92">
        <v>2</v>
      </c>
      <c r="BF92">
        <v>1.2817460317460301</v>
      </c>
      <c r="BG92" t="s">
        <v>277</v>
      </c>
      <c r="BH92">
        <v>2</v>
      </c>
      <c r="BI92">
        <v>1.2462987886944801</v>
      </c>
      <c r="BJ92" t="s">
        <v>280</v>
      </c>
      <c r="BK92">
        <v>3</v>
      </c>
      <c r="BL92">
        <v>0.73863636363636298</v>
      </c>
      <c r="BM92" t="s">
        <v>192</v>
      </c>
      <c r="BN92">
        <v>2</v>
      </c>
      <c r="BO92">
        <v>1.0787914832877299</v>
      </c>
      <c r="BP92" t="s">
        <v>256</v>
      </c>
      <c r="BQ92">
        <v>3</v>
      </c>
      <c r="BR92">
        <v>1.0627450980392099</v>
      </c>
      <c r="BS92" t="s">
        <v>264</v>
      </c>
      <c r="BT92">
        <v>1</v>
      </c>
      <c r="BU92">
        <v>0.92826086956521703</v>
      </c>
      <c r="BV92" t="s">
        <v>262</v>
      </c>
      <c r="BW92">
        <v>3</v>
      </c>
      <c r="BX92">
        <v>1.1738035264483599</v>
      </c>
      <c r="BY92" t="s">
        <v>264</v>
      </c>
      <c r="BZ92">
        <v>1</v>
      </c>
      <c r="CA92">
        <v>1.3578826237054</v>
      </c>
      <c r="CB92" t="s">
        <v>265</v>
      </c>
      <c r="CC92">
        <v>3</v>
      </c>
      <c r="CD92">
        <v>0.81888745148771003</v>
      </c>
      <c r="CE92" t="s">
        <v>256</v>
      </c>
      <c r="CF92">
        <v>3</v>
      </c>
      <c r="CG92">
        <v>1.12565445026178</v>
      </c>
      <c r="CH92" t="s">
        <v>262</v>
      </c>
      <c r="CI92">
        <v>3</v>
      </c>
      <c r="CJ92">
        <v>0.99695121951219501</v>
      </c>
      <c r="CK92" t="s">
        <v>226</v>
      </c>
      <c r="CL92">
        <v>1</v>
      </c>
      <c r="CM92">
        <v>0.70385116926019298</v>
      </c>
      <c r="CN92" t="s">
        <v>299</v>
      </c>
      <c r="CO92">
        <v>3</v>
      </c>
      <c r="CP92">
        <v>0.70786516853932502</v>
      </c>
      <c r="CQ92" t="s">
        <v>302</v>
      </c>
      <c r="CR92">
        <v>3</v>
      </c>
      <c r="CS92">
        <v>0.76173285198555896</v>
      </c>
      <c r="CT92" t="s">
        <v>226</v>
      </c>
      <c r="CU92">
        <v>1</v>
      </c>
      <c r="CV92">
        <v>1.0631123887688001</v>
      </c>
      <c r="CW92" t="s">
        <v>302</v>
      </c>
      <c r="CX92">
        <v>3</v>
      </c>
      <c r="CY92">
        <v>1.02992518703241</v>
      </c>
      <c r="CZ92" t="s">
        <v>294</v>
      </c>
      <c r="DA92">
        <v>3</v>
      </c>
      <c r="DB92">
        <v>0.92960288808664204</v>
      </c>
      <c r="DC92" t="s">
        <v>204</v>
      </c>
      <c r="DD92">
        <v>2</v>
      </c>
      <c r="DE92">
        <v>0.94301470588235203</v>
      </c>
      <c r="DF92" t="s">
        <v>229</v>
      </c>
      <c r="DG92">
        <v>1</v>
      </c>
      <c r="DH92">
        <v>1.17554240631163</v>
      </c>
    </row>
    <row r="93" spans="1:112" x14ac:dyDescent="0.4">
      <c r="A93">
        <v>91</v>
      </c>
      <c r="B93" t="s">
        <v>241</v>
      </c>
      <c r="C93">
        <v>3</v>
      </c>
      <c r="D93">
        <v>0.98571428571428499</v>
      </c>
      <c r="E93" t="s">
        <v>273</v>
      </c>
      <c r="F93">
        <v>3</v>
      </c>
      <c r="G93">
        <v>0.74788946202580597</v>
      </c>
      <c r="H93" t="s">
        <v>185</v>
      </c>
      <c r="I93">
        <v>2</v>
      </c>
      <c r="J93">
        <v>0.81200000000000006</v>
      </c>
      <c r="K93" t="s">
        <v>271</v>
      </c>
      <c r="L93">
        <v>2</v>
      </c>
      <c r="M93">
        <v>0.93614457831325304</v>
      </c>
      <c r="N93" t="s">
        <v>174</v>
      </c>
      <c r="O93">
        <v>1</v>
      </c>
      <c r="P93">
        <v>1.4229979466119</v>
      </c>
      <c r="Q93" t="s">
        <v>201</v>
      </c>
      <c r="R93">
        <v>3</v>
      </c>
      <c r="S93">
        <v>0.97629599785119503</v>
      </c>
      <c r="T93" t="s">
        <v>272</v>
      </c>
      <c r="U93">
        <v>2</v>
      </c>
      <c r="V93">
        <v>1.01133501259445</v>
      </c>
      <c r="W93" t="s">
        <v>261</v>
      </c>
      <c r="X93">
        <v>2</v>
      </c>
      <c r="Y93">
        <v>1.0539759768891499</v>
      </c>
      <c r="Z93" t="s">
        <v>262</v>
      </c>
      <c r="AA93">
        <v>3</v>
      </c>
      <c r="AB93">
        <v>0.87654320987654299</v>
      </c>
      <c r="AC93" t="s">
        <v>196</v>
      </c>
      <c r="AD93">
        <v>2</v>
      </c>
      <c r="AE93">
        <v>1.0894386058099601</v>
      </c>
      <c r="AF93" t="s">
        <v>261</v>
      </c>
      <c r="AG93">
        <v>2</v>
      </c>
      <c r="AH93">
        <v>1.10328328658637</v>
      </c>
      <c r="AI93" t="s">
        <v>254</v>
      </c>
      <c r="AJ93">
        <v>2</v>
      </c>
      <c r="AK93">
        <v>0.77906976744185996</v>
      </c>
      <c r="AL93" t="s">
        <v>291</v>
      </c>
      <c r="AM93">
        <v>3</v>
      </c>
      <c r="AN93">
        <v>0.98172323759791102</v>
      </c>
      <c r="AO93" t="s">
        <v>279</v>
      </c>
      <c r="AP93">
        <v>2</v>
      </c>
      <c r="AQ93">
        <v>1.1111111111111101</v>
      </c>
      <c r="AR93" t="s">
        <v>201</v>
      </c>
      <c r="AS93">
        <v>2</v>
      </c>
      <c r="AT93">
        <v>0.83064647894994803</v>
      </c>
      <c r="AU93" t="s">
        <v>301</v>
      </c>
      <c r="AV93">
        <v>3</v>
      </c>
      <c r="AW93">
        <v>1.06181818181818</v>
      </c>
      <c r="AX93" t="s">
        <v>292</v>
      </c>
      <c r="AY93">
        <v>3</v>
      </c>
      <c r="AZ93">
        <v>0.87132867132867098</v>
      </c>
      <c r="BA93" t="s">
        <v>293</v>
      </c>
      <c r="BB93">
        <v>2</v>
      </c>
      <c r="BC93">
        <v>1.15384615384615</v>
      </c>
      <c r="BD93" t="s">
        <v>204</v>
      </c>
      <c r="BE93">
        <v>2</v>
      </c>
      <c r="BF93">
        <v>0.87552301255230103</v>
      </c>
      <c r="BG93" t="s">
        <v>269</v>
      </c>
      <c r="BH93">
        <v>2</v>
      </c>
      <c r="BI93">
        <v>1.72486772486772</v>
      </c>
      <c r="BJ93" t="s">
        <v>291</v>
      </c>
      <c r="BK93">
        <v>3</v>
      </c>
      <c r="BL93">
        <v>1.08757062146892</v>
      </c>
      <c r="BM93" t="s">
        <v>256</v>
      </c>
      <c r="BN93">
        <v>3</v>
      </c>
      <c r="BO93">
        <v>0.97328244274809095</v>
      </c>
      <c r="BP93" t="s">
        <v>195</v>
      </c>
      <c r="BQ93">
        <v>1</v>
      </c>
      <c r="BR93">
        <v>0.85452434777295705</v>
      </c>
      <c r="BS93" t="s">
        <v>293</v>
      </c>
      <c r="BT93">
        <v>2</v>
      </c>
      <c r="BU93">
        <v>1.0318021201413401</v>
      </c>
      <c r="BV93" t="s">
        <v>265</v>
      </c>
      <c r="BW93">
        <v>2</v>
      </c>
      <c r="BX93">
        <v>0.77896613190730801</v>
      </c>
      <c r="BY93" t="s">
        <v>293</v>
      </c>
      <c r="BZ93">
        <v>3</v>
      </c>
      <c r="CA93">
        <v>1.14410480349344</v>
      </c>
      <c r="CB93" t="s">
        <v>266</v>
      </c>
      <c r="CC93">
        <v>2</v>
      </c>
      <c r="CD93">
        <v>1.0915395284327301</v>
      </c>
      <c r="CE93" t="s">
        <v>194</v>
      </c>
      <c r="CF93">
        <v>1</v>
      </c>
      <c r="CG93">
        <v>0.84983498349834896</v>
      </c>
      <c r="CH93" t="s">
        <v>270</v>
      </c>
      <c r="CI93">
        <v>3</v>
      </c>
      <c r="CJ93">
        <v>1.0254237288135499</v>
      </c>
      <c r="CK93" t="s">
        <v>302</v>
      </c>
      <c r="CL93">
        <v>3</v>
      </c>
      <c r="CM93">
        <v>1.2163616792249701</v>
      </c>
      <c r="CN93" t="s">
        <v>288</v>
      </c>
      <c r="CO93">
        <v>3</v>
      </c>
      <c r="CP93">
        <v>0.92846924177396195</v>
      </c>
      <c r="CQ93" t="s">
        <v>240</v>
      </c>
      <c r="CR93">
        <v>1</v>
      </c>
      <c r="CS93">
        <v>1.19973718791064</v>
      </c>
      <c r="CT93" t="s">
        <v>302</v>
      </c>
      <c r="CU93">
        <v>3</v>
      </c>
      <c r="CV93">
        <v>0.95023696682464398</v>
      </c>
      <c r="CW93" t="s">
        <v>229</v>
      </c>
      <c r="CX93">
        <v>1</v>
      </c>
      <c r="CY93">
        <v>1.0733752620545001</v>
      </c>
      <c r="CZ93" t="s">
        <v>350</v>
      </c>
      <c r="DA93">
        <v>3</v>
      </c>
      <c r="DB93">
        <v>0.93076923076923002</v>
      </c>
      <c r="DC93" t="s">
        <v>284</v>
      </c>
      <c r="DD93">
        <v>3</v>
      </c>
      <c r="DE93">
        <v>1.59904534606205</v>
      </c>
      <c r="DF93" t="s">
        <v>316</v>
      </c>
      <c r="DG93">
        <v>3</v>
      </c>
      <c r="DH93">
        <v>0.82621082621082598</v>
      </c>
    </row>
    <row r="94" spans="1:112" x14ac:dyDescent="0.4">
      <c r="A94">
        <v>92</v>
      </c>
      <c r="B94" t="s">
        <v>189</v>
      </c>
      <c r="C94">
        <v>2</v>
      </c>
      <c r="D94">
        <v>0.86733481585280403</v>
      </c>
      <c r="E94" t="s">
        <v>251</v>
      </c>
      <c r="F94">
        <v>1</v>
      </c>
      <c r="G94">
        <v>0.87416363983941803</v>
      </c>
      <c r="H94" t="s">
        <v>241</v>
      </c>
      <c r="I94">
        <v>3</v>
      </c>
      <c r="J94">
        <v>0.67871485943775101</v>
      </c>
      <c r="K94" t="s">
        <v>256</v>
      </c>
      <c r="L94">
        <v>3</v>
      </c>
      <c r="M94">
        <v>1.02564102564102</v>
      </c>
      <c r="N94" t="s">
        <v>176</v>
      </c>
      <c r="O94">
        <v>2</v>
      </c>
      <c r="P94">
        <v>0.95158597662771205</v>
      </c>
      <c r="Q94" t="s">
        <v>293</v>
      </c>
      <c r="R94">
        <v>2</v>
      </c>
      <c r="S94">
        <v>1.31078224101479</v>
      </c>
      <c r="T94" t="s">
        <v>319</v>
      </c>
      <c r="U94">
        <v>3</v>
      </c>
      <c r="V94">
        <v>1.0314088803524999</v>
      </c>
      <c r="W94" t="s">
        <v>262</v>
      </c>
      <c r="X94">
        <v>3</v>
      </c>
      <c r="Y94">
        <v>1.11467889908256</v>
      </c>
      <c r="Z94" t="s">
        <v>266</v>
      </c>
      <c r="AA94">
        <v>2</v>
      </c>
      <c r="AB94">
        <v>1.0826873385012901</v>
      </c>
      <c r="AC94" t="s">
        <v>271</v>
      </c>
      <c r="AD94">
        <v>2</v>
      </c>
      <c r="AE94">
        <v>0.98373983739837401</v>
      </c>
      <c r="AF94" t="s">
        <v>262</v>
      </c>
      <c r="AG94">
        <v>3</v>
      </c>
      <c r="AH94">
        <v>1.0382978723404199</v>
      </c>
      <c r="AI94" t="s">
        <v>196</v>
      </c>
      <c r="AJ94">
        <v>2</v>
      </c>
      <c r="AK94">
        <v>0.89439633317784495</v>
      </c>
      <c r="AL94" t="s">
        <v>279</v>
      </c>
      <c r="AM94">
        <v>2</v>
      </c>
      <c r="AN94">
        <v>1.0609756097560901</v>
      </c>
      <c r="AO94" t="s">
        <v>272</v>
      </c>
      <c r="AP94">
        <v>2</v>
      </c>
      <c r="AQ94">
        <v>1.1055618615209899</v>
      </c>
      <c r="AR94" t="s">
        <v>291</v>
      </c>
      <c r="AS94">
        <v>3</v>
      </c>
      <c r="AT94">
        <v>0.94300518134714995</v>
      </c>
      <c r="AU94" t="s">
        <v>220</v>
      </c>
      <c r="AV94">
        <v>2</v>
      </c>
      <c r="AW94">
        <v>0.96654719235364395</v>
      </c>
      <c r="AX94" t="s">
        <v>286</v>
      </c>
      <c r="AY94">
        <v>3</v>
      </c>
      <c r="AZ94">
        <v>0.81660470879801705</v>
      </c>
      <c r="BA94" t="s">
        <v>272</v>
      </c>
      <c r="BB94">
        <v>2</v>
      </c>
      <c r="BC94">
        <v>1.09565217391304</v>
      </c>
      <c r="BD94" t="s">
        <v>286</v>
      </c>
      <c r="BE94">
        <v>3</v>
      </c>
      <c r="BF94">
        <v>1.1521739130434701</v>
      </c>
      <c r="BG94" t="s">
        <v>286</v>
      </c>
      <c r="BH94">
        <v>3</v>
      </c>
      <c r="BI94">
        <v>1.16627358490566</v>
      </c>
      <c r="BJ94" t="s">
        <v>272</v>
      </c>
      <c r="BK94">
        <v>2</v>
      </c>
      <c r="BL94">
        <v>1.2</v>
      </c>
      <c r="BM94" t="s">
        <v>195</v>
      </c>
      <c r="BN94">
        <v>1</v>
      </c>
      <c r="BO94">
        <v>1.0535564853556401</v>
      </c>
      <c r="BP94" t="s">
        <v>262</v>
      </c>
      <c r="BQ94">
        <v>3</v>
      </c>
      <c r="BR94">
        <v>1.1328903654485001</v>
      </c>
      <c r="BS94" t="s">
        <v>272</v>
      </c>
      <c r="BT94">
        <v>2</v>
      </c>
      <c r="BU94">
        <v>0.98457583547557803</v>
      </c>
      <c r="BV94" t="s">
        <v>266</v>
      </c>
      <c r="BW94">
        <v>2</v>
      </c>
      <c r="BX94">
        <v>0.84929757343550405</v>
      </c>
      <c r="BY94" t="s">
        <v>272</v>
      </c>
      <c r="BZ94">
        <v>2</v>
      </c>
      <c r="CA94">
        <v>1.01442307692307</v>
      </c>
      <c r="CB94" t="s">
        <v>267</v>
      </c>
      <c r="CC94">
        <v>3</v>
      </c>
      <c r="CD94">
        <v>0.91566265060240903</v>
      </c>
      <c r="CE94" t="s">
        <v>195</v>
      </c>
      <c r="CF94">
        <v>2</v>
      </c>
      <c r="CG94">
        <v>1.13271028037383</v>
      </c>
      <c r="CH94" t="s">
        <v>266</v>
      </c>
      <c r="CI94">
        <v>2</v>
      </c>
      <c r="CJ94">
        <v>1.77659574468085</v>
      </c>
      <c r="CK94" t="s">
        <v>229</v>
      </c>
      <c r="CL94">
        <v>1</v>
      </c>
      <c r="CM94">
        <v>0.952755905511811</v>
      </c>
      <c r="CN94" t="s">
        <v>350</v>
      </c>
      <c r="CO94">
        <v>3</v>
      </c>
      <c r="CP94">
        <v>1.2342465753424601</v>
      </c>
      <c r="CQ94" t="s">
        <v>258</v>
      </c>
      <c r="CR94">
        <v>2</v>
      </c>
      <c r="CS94">
        <v>1.01271860095389</v>
      </c>
      <c r="CT94" t="s">
        <v>235</v>
      </c>
      <c r="CU94">
        <v>1</v>
      </c>
      <c r="CV94">
        <v>0.90859212114561605</v>
      </c>
      <c r="CW94" t="s">
        <v>240</v>
      </c>
      <c r="CX94">
        <v>2</v>
      </c>
      <c r="CY94">
        <v>0.892747701736465</v>
      </c>
      <c r="CZ94" t="s">
        <v>226</v>
      </c>
      <c r="DA94">
        <v>1</v>
      </c>
      <c r="DB94">
        <v>1.0327204583001099</v>
      </c>
      <c r="DC94" t="s">
        <v>277</v>
      </c>
      <c r="DD94">
        <v>3</v>
      </c>
      <c r="DE94">
        <v>1.04433497536945</v>
      </c>
      <c r="DF94" t="s">
        <v>320</v>
      </c>
      <c r="DG94">
        <v>3</v>
      </c>
      <c r="DH94">
        <v>1.22857142857142</v>
      </c>
    </row>
    <row r="95" spans="1:112" x14ac:dyDescent="0.4">
      <c r="A95">
        <v>93</v>
      </c>
      <c r="B95" t="s">
        <v>247</v>
      </c>
      <c r="C95">
        <v>3</v>
      </c>
      <c r="D95">
        <v>0.89986996098829597</v>
      </c>
      <c r="E95" t="s">
        <v>254</v>
      </c>
      <c r="F95">
        <v>3</v>
      </c>
      <c r="G95">
        <v>1.20600858369098</v>
      </c>
      <c r="H95" t="s">
        <v>247</v>
      </c>
      <c r="I95">
        <v>2</v>
      </c>
      <c r="J95">
        <v>0.381818181818181</v>
      </c>
      <c r="K95" t="s">
        <v>261</v>
      </c>
      <c r="L95">
        <v>2</v>
      </c>
      <c r="M95">
        <v>0.86389337641357</v>
      </c>
      <c r="N95" t="s">
        <v>178</v>
      </c>
      <c r="O95">
        <v>1</v>
      </c>
      <c r="P95">
        <v>1.3333333333333299</v>
      </c>
      <c r="Q95" t="s">
        <v>297</v>
      </c>
      <c r="R95">
        <v>3</v>
      </c>
      <c r="S95">
        <v>1.28865979381443</v>
      </c>
      <c r="T95" t="s">
        <v>204</v>
      </c>
      <c r="U95">
        <v>2</v>
      </c>
      <c r="V95">
        <v>0.89554794520547898</v>
      </c>
      <c r="W95" t="s">
        <v>270</v>
      </c>
      <c r="X95">
        <v>3</v>
      </c>
      <c r="Y95">
        <v>0.811328811856317</v>
      </c>
      <c r="Z95" t="s">
        <v>293</v>
      </c>
      <c r="AA95">
        <v>2</v>
      </c>
      <c r="AB95">
        <v>1.12544169611307</v>
      </c>
      <c r="AC95" t="s">
        <v>256</v>
      </c>
      <c r="AD95">
        <v>3</v>
      </c>
      <c r="AE95">
        <v>1.08679245283018</v>
      </c>
      <c r="AF95" t="s">
        <v>266</v>
      </c>
      <c r="AG95">
        <v>2</v>
      </c>
      <c r="AH95">
        <v>1.1319942611190801</v>
      </c>
      <c r="AI95" t="s">
        <v>271</v>
      </c>
      <c r="AJ95">
        <v>2</v>
      </c>
      <c r="AK95">
        <v>1.3092369477911601</v>
      </c>
      <c r="AL95" t="s">
        <v>272</v>
      </c>
      <c r="AM95">
        <v>2</v>
      </c>
      <c r="AN95">
        <v>1.0426035502958499</v>
      </c>
      <c r="AO95" t="s">
        <v>306</v>
      </c>
      <c r="AP95">
        <v>3</v>
      </c>
      <c r="AQ95">
        <v>1.29411764705882</v>
      </c>
      <c r="AR95" t="s">
        <v>272</v>
      </c>
      <c r="AS95">
        <v>2</v>
      </c>
      <c r="AT95">
        <v>1.0266940451745299</v>
      </c>
      <c r="AU95" t="s">
        <v>296</v>
      </c>
      <c r="AV95">
        <v>2</v>
      </c>
      <c r="AW95">
        <v>0.94977029096477705</v>
      </c>
      <c r="AX95" t="s">
        <v>301</v>
      </c>
      <c r="AY95">
        <v>3</v>
      </c>
      <c r="AZ95">
        <v>0.852739726027397</v>
      </c>
      <c r="BA95" t="s">
        <v>204</v>
      </c>
      <c r="BB95">
        <v>2</v>
      </c>
      <c r="BC95">
        <v>1.17879161528976</v>
      </c>
      <c r="BD95" t="s">
        <v>301</v>
      </c>
      <c r="BE95">
        <v>3</v>
      </c>
      <c r="BF95">
        <v>1.34615384615384</v>
      </c>
      <c r="BG95" t="s">
        <v>281</v>
      </c>
      <c r="BH95">
        <v>2</v>
      </c>
      <c r="BI95">
        <v>1.1153846153846101</v>
      </c>
      <c r="BJ95" t="s">
        <v>276</v>
      </c>
      <c r="BK95">
        <v>3</v>
      </c>
      <c r="BL95">
        <v>1.055330781848</v>
      </c>
      <c r="BM95" t="s">
        <v>262</v>
      </c>
      <c r="BN95">
        <v>3</v>
      </c>
      <c r="BO95">
        <v>0.93769470404984401</v>
      </c>
      <c r="BP95" t="s">
        <v>265</v>
      </c>
      <c r="BQ95">
        <v>2</v>
      </c>
      <c r="BR95">
        <v>0.91655450874831701</v>
      </c>
      <c r="BS95" t="s">
        <v>276</v>
      </c>
      <c r="BT95">
        <v>3</v>
      </c>
      <c r="BU95">
        <v>1.15383613390647</v>
      </c>
      <c r="BV95" t="s">
        <v>264</v>
      </c>
      <c r="BW95">
        <v>1</v>
      </c>
      <c r="BX95">
        <v>1.0175644028102999</v>
      </c>
      <c r="BY95" t="s">
        <v>306</v>
      </c>
      <c r="BZ95">
        <v>2</v>
      </c>
      <c r="CA95">
        <v>1.23522595596755</v>
      </c>
      <c r="CB95" t="s">
        <v>280</v>
      </c>
      <c r="CC95">
        <v>3</v>
      </c>
      <c r="CD95">
        <v>0.80367231638418002</v>
      </c>
      <c r="CE95" t="s">
        <v>262</v>
      </c>
      <c r="CF95">
        <v>3</v>
      </c>
      <c r="CG95">
        <v>1.0860927152317801</v>
      </c>
      <c r="CH95" t="s">
        <v>274</v>
      </c>
      <c r="CI95">
        <v>3</v>
      </c>
      <c r="CJ95">
        <v>1.06841505131128</v>
      </c>
      <c r="CK95" t="s">
        <v>325</v>
      </c>
      <c r="CL95">
        <v>3</v>
      </c>
      <c r="CM95">
        <v>0.83832335329341301</v>
      </c>
      <c r="CN95" t="s">
        <v>226</v>
      </c>
      <c r="CO95">
        <v>1</v>
      </c>
      <c r="CP95">
        <v>0.99015611876883503</v>
      </c>
      <c r="CQ95" t="s">
        <v>316</v>
      </c>
      <c r="CR95">
        <v>3</v>
      </c>
      <c r="CS95">
        <v>0.96912521440823296</v>
      </c>
      <c r="CT95" t="s">
        <v>316</v>
      </c>
      <c r="CU95">
        <v>3</v>
      </c>
      <c r="CV95">
        <v>1.1929203539822999</v>
      </c>
      <c r="CW95" t="s">
        <v>235</v>
      </c>
      <c r="CX95">
        <v>1</v>
      </c>
      <c r="CY95">
        <v>1.0147342995169</v>
      </c>
      <c r="CZ95" t="s">
        <v>302</v>
      </c>
      <c r="DA95">
        <v>3</v>
      </c>
      <c r="DB95">
        <v>0.98668280871670699</v>
      </c>
      <c r="DC95" t="s">
        <v>285</v>
      </c>
      <c r="DD95">
        <v>3</v>
      </c>
      <c r="DE95">
        <v>1.00593471810089</v>
      </c>
      <c r="DF95" t="s">
        <v>322</v>
      </c>
      <c r="DG95">
        <v>1</v>
      </c>
      <c r="DH95">
        <v>1.0313901345291401</v>
      </c>
    </row>
    <row r="96" spans="1:112" x14ac:dyDescent="0.4">
      <c r="A96">
        <v>94</v>
      </c>
      <c r="B96" t="s">
        <v>249</v>
      </c>
      <c r="C96">
        <v>2</v>
      </c>
      <c r="D96">
        <v>1.0149254212519501</v>
      </c>
      <c r="E96" t="s">
        <v>196</v>
      </c>
      <c r="F96">
        <v>2</v>
      </c>
      <c r="G96">
        <v>0.48648695993385299</v>
      </c>
      <c r="H96" t="s">
        <v>249</v>
      </c>
      <c r="I96">
        <v>1</v>
      </c>
      <c r="J96">
        <v>0.32372883189887902</v>
      </c>
      <c r="K96" t="s">
        <v>195</v>
      </c>
      <c r="L96">
        <v>1</v>
      </c>
      <c r="M96">
        <v>0.958515761821366</v>
      </c>
      <c r="N96" t="s">
        <v>183</v>
      </c>
      <c r="O96">
        <v>2</v>
      </c>
      <c r="P96">
        <v>1.3541597697929599</v>
      </c>
      <c r="Q96" t="s">
        <v>279</v>
      </c>
      <c r="R96">
        <v>2</v>
      </c>
      <c r="S96">
        <v>1</v>
      </c>
      <c r="T96" t="s">
        <v>277</v>
      </c>
      <c r="U96">
        <v>3</v>
      </c>
      <c r="V96">
        <v>1.29790026246719</v>
      </c>
      <c r="W96" t="s">
        <v>266</v>
      </c>
      <c r="X96">
        <v>2</v>
      </c>
      <c r="Y96">
        <v>0.91597633136094603</v>
      </c>
      <c r="Z96" t="s">
        <v>297</v>
      </c>
      <c r="AA96">
        <v>3</v>
      </c>
      <c r="AB96">
        <v>0.88048780487804801</v>
      </c>
      <c r="AC96" t="s">
        <v>261</v>
      </c>
      <c r="AD96">
        <v>2</v>
      </c>
      <c r="AE96">
        <v>0.96267471410419303</v>
      </c>
      <c r="AF96" t="s">
        <v>201</v>
      </c>
      <c r="AG96">
        <v>3</v>
      </c>
      <c r="AH96">
        <v>1.23551838642233</v>
      </c>
      <c r="AI96" t="s">
        <v>256</v>
      </c>
      <c r="AJ96">
        <v>3</v>
      </c>
      <c r="AK96">
        <v>1.0181818181818101</v>
      </c>
      <c r="AL96" t="s">
        <v>306</v>
      </c>
      <c r="AM96">
        <v>3</v>
      </c>
      <c r="AN96">
        <v>0.95695364238410596</v>
      </c>
      <c r="AO96" t="s">
        <v>292</v>
      </c>
      <c r="AP96">
        <v>3</v>
      </c>
      <c r="AQ96">
        <v>0.96614268440145101</v>
      </c>
      <c r="AR96" t="s">
        <v>292</v>
      </c>
      <c r="AS96">
        <v>3</v>
      </c>
      <c r="AT96">
        <v>0.77471839799749598</v>
      </c>
      <c r="AU96" t="s">
        <v>294</v>
      </c>
      <c r="AV96">
        <v>3</v>
      </c>
      <c r="AW96">
        <v>1.1837524177949701</v>
      </c>
      <c r="AX96" t="s">
        <v>298</v>
      </c>
      <c r="AY96">
        <v>3</v>
      </c>
      <c r="AZ96">
        <v>0.90046296296296202</v>
      </c>
      <c r="BA96" t="s">
        <v>301</v>
      </c>
      <c r="BB96">
        <v>3</v>
      </c>
      <c r="BC96">
        <v>1.14859437751004</v>
      </c>
      <c r="BD96" t="s">
        <v>281</v>
      </c>
      <c r="BE96">
        <v>2</v>
      </c>
      <c r="BF96">
        <v>1.39853300733496</v>
      </c>
      <c r="BG96" t="s">
        <v>220</v>
      </c>
      <c r="BH96">
        <v>3</v>
      </c>
      <c r="BI96">
        <v>1.0023094688221701</v>
      </c>
      <c r="BJ96" t="s">
        <v>204</v>
      </c>
      <c r="BK96">
        <v>2</v>
      </c>
      <c r="BL96">
        <v>1.20736196319018</v>
      </c>
      <c r="BM96" t="s">
        <v>197</v>
      </c>
      <c r="BN96">
        <v>1</v>
      </c>
      <c r="BO96">
        <v>1.1777003484320501</v>
      </c>
      <c r="BP96" t="s">
        <v>266</v>
      </c>
      <c r="BQ96">
        <v>2</v>
      </c>
      <c r="BR96">
        <v>1.57088122605363</v>
      </c>
      <c r="BS96" t="s">
        <v>204</v>
      </c>
      <c r="BT96">
        <v>2</v>
      </c>
      <c r="BU96">
        <v>0.96332046332046295</v>
      </c>
      <c r="BV96" t="s">
        <v>293</v>
      </c>
      <c r="BW96">
        <v>2</v>
      </c>
      <c r="BX96">
        <v>1.1763698630136901</v>
      </c>
      <c r="BY96" t="s">
        <v>292</v>
      </c>
      <c r="BZ96">
        <v>3</v>
      </c>
      <c r="CA96">
        <v>1.00456621004566</v>
      </c>
      <c r="CB96" t="s">
        <v>293</v>
      </c>
      <c r="CC96">
        <v>3</v>
      </c>
      <c r="CD96">
        <v>1.0356234096692101</v>
      </c>
      <c r="CE96" t="s">
        <v>265</v>
      </c>
      <c r="CF96">
        <v>3</v>
      </c>
      <c r="CG96">
        <v>1.260663507109</v>
      </c>
      <c r="CH96" t="s">
        <v>272</v>
      </c>
      <c r="CI96">
        <v>2</v>
      </c>
      <c r="CJ96">
        <v>1.13801452784503</v>
      </c>
      <c r="CK96" t="s">
        <v>235</v>
      </c>
      <c r="CL96">
        <v>1</v>
      </c>
      <c r="CM96">
        <v>0.62847579814624099</v>
      </c>
      <c r="CN96" t="s">
        <v>302</v>
      </c>
      <c r="CO96">
        <v>3</v>
      </c>
      <c r="CP96">
        <v>0.980530973451327</v>
      </c>
      <c r="CQ96" t="s">
        <v>111</v>
      </c>
      <c r="CR96">
        <v>2</v>
      </c>
      <c r="CS96">
        <v>0.67940199335548102</v>
      </c>
      <c r="CT96" t="s">
        <v>322</v>
      </c>
      <c r="CU96">
        <v>1</v>
      </c>
      <c r="CV96">
        <v>0.84566210045662105</v>
      </c>
      <c r="CW96" t="s">
        <v>258</v>
      </c>
      <c r="CX96">
        <v>2</v>
      </c>
      <c r="CY96">
        <v>1.05980528511821</v>
      </c>
      <c r="CZ96" t="s">
        <v>309</v>
      </c>
      <c r="DA96">
        <v>3</v>
      </c>
      <c r="DB96">
        <v>1.1042183622828701</v>
      </c>
      <c r="DC96" t="s">
        <v>288</v>
      </c>
      <c r="DD96">
        <v>3</v>
      </c>
      <c r="DE96">
        <v>1.0674285714285701</v>
      </c>
      <c r="DF96" t="s">
        <v>328</v>
      </c>
      <c r="DG96">
        <v>3</v>
      </c>
      <c r="DH96">
        <v>0.78463792078202699</v>
      </c>
    </row>
    <row r="97" spans="1:112" x14ac:dyDescent="0.4">
      <c r="A97">
        <v>95</v>
      </c>
      <c r="B97" t="s">
        <v>273</v>
      </c>
      <c r="C97">
        <v>3</v>
      </c>
      <c r="D97">
        <v>0.95838065335025702</v>
      </c>
      <c r="E97" t="s">
        <v>283</v>
      </c>
      <c r="F97">
        <v>3</v>
      </c>
      <c r="G97">
        <v>0.54822335025380697</v>
      </c>
      <c r="H97" t="s">
        <v>251</v>
      </c>
      <c r="I97">
        <v>1</v>
      </c>
      <c r="J97">
        <v>0.54185118364222795</v>
      </c>
      <c r="K97" t="s">
        <v>265</v>
      </c>
      <c r="L97">
        <v>2</v>
      </c>
      <c r="M97">
        <v>1.3196480938416399</v>
      </c>
      <c r="N97" t="s">
        <v>185</v>
      </c>
      <c r="O97">
        <v>2</v>
      </c>
      <c r="P97">
        <v>1.31799163179916</v>
      </c>
      <c r="Q97" t="s">
        <v>272</v>
      </c>
      <c r="R97">
        <v>2</v>
      </c>
      <c r="S97">
        <v>0.90950744558991903</v>
      </c>
      <c r="T97" t="s">
        <v>208</v>
      </c>
      <c r="U97">
        <v>2</v>
      </c>
      <c r="V97">
        <v>0.95108695652173902</v>
      </c>
      <c r="W97" t="s">
        <v>293</v>
      </c>
      <c r="X97">
        <v>2</v>
      </c>
      <c r="Y97">
        <v>1.0500927643784701</v>
      </c>
      <c r="Z97" t="s">
        <v>279</v>
      </c>
      <c r="AA97">
        <v>2</v>
      </c>
      <c r="AB97">
        <v>1.0884615384615299</v>
      </c>
      <c r="AC97" t="s">
        <v>262</v>
      </c>
      <c r="AD97">
        <v>3</v>
      </c>
      <c r="AE97">
        <v>1.10328638497652</v>
      </c>
      <c r="AF97" t="s">
        <v>293</v>
      </c>
      <c r="AG97">
        <v>3</v>
      </c>
      <c r="AH97">
        <v>1.3063063063063001</v>
      </c>
      <c r="AI97" t="s">
        <v>261</v>
      </c>
      <c r="AJ97">
        <v>2</v>
      </c>
      <c r="AK97">
        <v>0.96635262449528903</v>
      </c>
      <c r="AL97" t="s">
        <v>204</v>
      </c>
      <c r="AM97">
        <v>2</v>
      </c>
      <c r="AN97">
        <v>1.3212851405622399</v>
      </c>
      <c r="AO97" t="s">
        <v>284</v>
      </c>
      <c r="AP97">
        <v>3</v>
      </c>
      <c r="AQ97">
        <v>0.62868654311039396</v>
      </c>
      <c r="AR97" t="s">
        <v>286</v>
      </c>
      <c r="AS97">
        <v>3</v>
      </c>
      <c r="AT97">
        <v>0.934306569343065</v>
      </c>
      <c r="AU97" t="s">
        <v>313</v>
      </c>
      <c r="AV97">
        <v>3</v>
      </c>
      <c r="AW97">
        <v>1.0931506849315</v>
      </c>
      <c r="AX97" t="s">
        <v>220</v>
      </c>
      <c r="AY97">
        <v>2</v>
      </c>
      <c r="AZ97">
        <v>0.95797280593325096</v>
      </c>
      <c r="BA97" t="s">
        <v>298</v>
      </c>
      <c r="BB97">
        <v>3</v>
      </c>
      <c r="BC97">
        <v>1.1722365038560401</v>
      </c>
      <c r="BD97" t="s">
        <v>220</v>
      </c>
      <c r="BE97">
        <v>3</v>
      </c>
      <c r="BF97">
        <v>1.0358851674641101</v>
      </c>
      <c r="BG97" t="s">
        <v>294</v>
      </c>
      <c r="BH97">
        <v>3</v>
      </c>
      <c r="BI97">
        <v>0.89837398373983701</v>
      </c>
      <c r="BJ97" t="s">
        <v>277</v>
      </c>
      <c r="BK97">
        <v>2</v>
      </c>
      <c r="BL97">
        <v>1.5172786177105799</v>
      </c>
      <c r="BM97" t="s">
        <v>266</v>
      </c>
      <c r="BN97">
        <v>2</v>
      </c>
      <c r="BO97">
        <v>1.0874999999999999</v>
      </c>
      <c r="BP97" t="s">
        <v>264</v>
      </c>
      <c r="BQ97">
        <v>1</v>
      </c>
      <c r="BR97">
        <v>0.98395721925133695</v>
      </c>
      <c r="BS97" t="s">
        <v>292</v>
      </c>
      <c r="BT97">
        <v>3</v>
      </c>
      <c r="BU97">
        <v>0.99583333333333302</v>
      </c>
      <c r="BV97" t="s">
        <v>272</v>
      </c>
      <c r="BW97">
        <v>2</v>
      </c>
      <c r="BX97">
        <v>1.0861618798955599</v>
      </c>
      <c r="BY97" t="s">
        <v>284</v>
      </c>
      <c r="BZ97">
        <v>2</v>
      </c>
      <c r="CA97">
        <v>0.94380853277835497</v>
      </c>
      <c r="CB97" t="s">
        <v>272</v>
      </c>
      <c r="CC97">
        <v>2</v>
      </c>
      <c r="CD97">
        <v>0.90047393364928896</v>
      </c>
      <c r="CE97" t="s">
        <v>197</v>
      </c>
      <c r="CF97">
        <v>1</v>
      </c>
      <c r="CG97">
        <v>1.0186567164179099</v>
      </c>
      <c r="CH97" t="s">
        <v>204</v>
      </c>
      <c r="CI97">
        <v>2</v>
      </c>
      <c r="CJ97">
        <v>1.2678386763185101</v>
      </c>
      <c r="CK97" t="s">
        <v>316</v>
      </c>
      <c r="CL97">
        <v>3</v>
      </c>
      <c r="CM97">
        <v>0.84941520467836196</v>
      </c>
      <c r="CN97" t="s">
        <v>229</v>
      </c>
      <c r="CO97">
        <v>1</v>
      </c>
      <c r="CP97">
        <v>1.37190082644628</v>
      </c>
      <c r="CQ97" t="s">
        <v>245</v>
      </c>
      <c r="CR97">
        <v>1</v>
      </c>
      <c r="CS97">
        <v>1.32848232848232</v>
      </c>
      <c r="CT97" t="s">
        <v>250</v>
      </c>
      <c r="CU97">
        <v>2</v>
      </c>
      <c r="CV97">
        <v>1.28292682926829</v>
      </c>
      <c r="CW97" t="s">
        <v>316</v>
      </c>
      <c r="CX97">
        <v>3</v>
      </c>
      <c r="CY97">
        <v>1.2804154302670601</v>
      </c>
      <c r="CZ97" t="s">
        <v>229</v>
      </c>
      <c r="DA97">
        <v>1</v>
      </c>
      <c r="DB97">
        <v>0.908203125</v>
      </c>
      <c r="DC97" t="s">
        <v>294</v>
      </c>
      <c r="DD97">
        <v>3</v>
      </c>
      <c r="DE97">
        <v>1.06407766990291</v>
      </c>
      <c r="DF97" t="s">
        <v>257</v>
      </c>
      <c r="DG97">
        <v>1</v>
      </c>
      <c r="DH97">
        <v>1.0764705882352901</v>
      </c>
    </row>
    <row r="98" spans="1:112" x14ac:dyDescent="0.4">
      <c r="A98">
        <v>96</v>
      </c>
      <c r="B98" t="s">
        <v>251</v>
      </c>
      <c r="C98">
        <v>1</v>
      </c>
      <c r="D98">
        <v>1</v>
      </c>
      <c r="E98" t="s">
        <v>256</v>
      </c>
      <c r="F98">
        <v>3</v>
      </c>
      <c r="G98">
        <v>0.89763147330389403</v>
      </c>
      <c r="H98" t="s">
        <v>254</v>
      </c>
      <c r="I98">
        <v>3</v>
      </c>
      <c r="J98">
        <v>0.69822064056939503</v>
      </c>
      <c r="K98" t="s">
        <v>197</v>
      </c>
      <c r="L98">
        <v>1</v>
      </c>
      <c r="M98">
        <v>0.96801346801346799</v>
      </c>
      <c r="N98" t="s">
        <v>243</v>
      </c>
      <c r="O98">
        <v>1</v>
      </c>
      <c r="P98">
        <v>1.69444444444444</v>
      </c>
      <c r="Q98" t="s">
        <v>319</v>
      </c>
      <c r="R98">
        <v>3</v>
      </c>
      <c r="S98">
        <v>0.87336775976054903</v>
      </c>
      <c r="T98" t="s">
        <v>299</v>
      </c>
      <c r="U98">
        <v>3</v>
      </c>
      <c r="V98">
        <v>0.90845070422535201</v>
      </c>
      <c r="W98" t="s">
        <v>297</v>
      </c>
      <c r="X98">
        <v>3</v>
      </c>
      <c r="Y98">
        <v>0.97387173396674498</v>
      </c>
      <c r="Z98" t="s">
        <v>272</v>
      </c>
      <c r="AA98">
        <v>2</v>
      </c>
      <c r="AB98">
        <v>0.98069498069497996</v>
      </c>
      <c r="AC98" t="s">
        <v>266</v>
      </c>
      <c r="AD98">
        <v>2</v>
      </c>
      <c r="AE98">
        <v>1.6634844868734999</v>
      </c>
      <c r="AF98" t="s">
        <v>297</v>
      </c>
      <c r="AG98">
        <v>3</v>
      </c>
      <c r="AH98">
        <v>0.97647058823529398</v>
      </c>
      <c r="AI98" t="s">
        <v>262</v>
      </c>
      <c r="AJ98">
        <v>3</v>
      </c>
      <c r="AK98">
        <v>0.97950819672131095</v>
      </c>
      <c r="AL98" t="s">
        <v>277</v>
      </c>
      <c r="AM98">
        <v>2</v>
      </c>
      <c r="AN98">
        <v>1.8777943368107299</v>
      </c>
      <c r="AO98" t="s">
        <v>301</v>
      </c>
      <c r="AP98">
        <v>3</v>
      </c>
      <c r="AQ98">
        <v>1.12380952380952</v>
      </c>
      <c r="AR98" t="s">
        <v>208</v>
      </c>
      <c r="AS98">
        <v>2</v>
      </c>
      <c r="AT98">
        <v>1.5796703296703201</v>
      </c>
      <c r="AU98" t="s">
        <v>321</v>
      </c>
      <c r="AV98">
        <v>3</v>
      </c>
      <c r="AW98">
        <v>0.97021276595744599</v>
      </c>
      <c r="AX98" t="s">
        <v>296</v>
      </c>
      <c r="AY98">
        <v>2</v>
      </c>
      <c r="AZ98">
        <v>0.96356014188971295</v>
      </c>
      <c r="BA98" t="s">
        <v>220</v>
      </c>
      <c r="BB98">
        <v>3</v>
      </c>
      <c r="BC98">
        <v>1.0787096774193501</v>
      </c>
      <c r="BD98" t="s">
        <v>296</v>
      </c>
      <c r="BE98">
        <v>3</v>
      </c>
      <c r="BF98">
        <v>1.8167738164815801</v>
      </c>
      <c r="BG98" t="s">
        <v>224</v>
      </c>
      <c r="BH98">
        <v>2</v>
      </c>
      <c r="BI98">
        <v>1.0925196850393699</v>
      </c>
      <c r="BJ98" t="s">
        <v>286</v>
      </c>
      <c r="BK98">
        <v>3</v>
      </c>
      <c r="BL98">
        <v>1.31850353892821</v>
      </c>
      <c r="BM98" t="s">
        <v>201</v>
      </c>
      <c r="BN98">
        <v>2</v>
      </c>
      <c r="BO98">
        <v>1.41227545962667</v>
      </c>
      <c r="BP98" t="s">
        <v>293</v>
      </c>
      <c r="BQ98">
        <v>2</v>
      </c>
      <c r="BR98">
        <v>0.82507288629737596</v>
      </c>
      <c r="BS98" t="s">
        <v>284</v>
      </c>
      <c r="BT98">
        <v>2</v>
      </c>
      <c r="BU98">
        <v>0.91796875</v>
      </c>
      <c r="BV98" t="s">
        <v>276</v>
      </c>
      <c r="BW98">
        <v>3</v>
      </c>
      <c r="BX98">
        <v>1.0838037179197699</v>
      </c>
      <c r="BY98" t="s">
        <v>208</v>
      </c>
      <c r="BZ98">
        <v>2</v>
      </c>
      <c r="CA98">
        <v>1.15300546448087</v>
      </c>
      <c r="CB98" t="s">
        <v>276</v>
      </c>
      <c r="CC98">
        <v>3</v>
      </c>
      <c r="CD98">
        <v>1.2951511431640299</v>
      </c>
      <c r="CE98" t="s">
        <v>266</v>
      </c>
      <c r="CF98">
        <v>2</v>
      </c>
      <c r="CG98">
        <v>1.1944091486658099</v>
      </c>
      <c r="CH98" t="s">
        <v>284</v>
      </c>
      <c r="CI98">
        <v>2</v>
      </c>
      <c r="CJ98">
        <v>0.77200000000000002</v>
      </c>
      <c r="CK98" t="s">
        <v>111</v>
      </c>
      <c r="CL98">
        <v>2</v>
      </c>
      <c r="CM98">
        <v>0.86848072562358203</v>
      </c>
      <c r="CN98" t="s">
        <v>240</v>
      </c>
      <c r="CO98">
        <v>1</v>
      </c>
      <c r="CP98">
        <v>0.93145654834761304</v>
      </c>
      <c r="CQ98" t="s">
        <v>322</v>
      </c>
      <c r="CR98">
        <v>1</v>
      </c>
      <c r="CS98">
        <v>0.90495867768594995</v>
      </c>
      <c r="CT98" t="s">
        <v>253</v>
      </c>
      <c r="CU98">
        <v>2</v>
      </c>
      <c r="CV98">
        <v>0.89228295819935599</v>
      </c>
      <c r="CW98" t="s">
        <v>339</v>
      </c>
      <c r="CX98">
        <v>2</v>
      </c>
      <c r="CY98">
        <v>1.0071794871794799</v>
      </c>
      <c r="CZ98" t="s">
        <v>240</v>
      </c>
      <c r="DA98">
        <v>2</v>
      </c>
      <c r="DB98">
        <v>0.84210526315789402</v>
      </c>
      <c r="DC98" t="s">
        <v>224</v>
      </c>
      <c r="DD98">
        <v>2</v>
      </c>
      <c r="DE98">
        <v>1.10079051383399</v>
      </c>
      <c r="DF98" t="s">
        <v>334</v>
      </c>
      <c r="DG98">
        <v>3</v>
      </c>
      <c r="DH98">
        <v>1.0249632892804601</v>
      </c>
    </row>
    <row r="99" spans="1:112" x14ac:dyDescent="0.4">
      <c r="A99">
        <v>97</v>
      </c>
      <c r="B99" t="s">
        <v>196</v>
      </c>
      <c r="C99">
        <v>2</v>
      </c>
      <c r="D99">
        <v>1.1384605566502</v>
      </c>
      <c r="E99" t="s">
        <v>261</v>
      </c>
      <c r="F99">
        <v>2</v>
      </c>
      <c r="G99">
        <v>0.84876103674166903</v>
      </c>
      <c r="H99" t="s">
        <v>196</v>
      </c>
      <c r="I99">
        <v>2</v>
      </c>
      <c r="J99">
        <v>0.421296729729145</v>
      </c>
      <c r="K99" t="s">
        <v>266</v>
      </c>
      <c r="L99">
        <v>2</v>
      </c>
      <c r="M99">
        <v>0.955696202531645</v>
      </c>
      <c r="N99" t="s">
        <v>249</v>
      </c>
      <c r="O99">
        <v>1</v>
      </c>
      <c r="P99">
        <v>1.37802597738315</v>
      </c>
      <c r="Q99" t="s">
        <v>204</v>
      </c>
      <c r="R99">
        <v>2</v>
      </c>
      <c r="S99">
        <v>0.78284182305630001</v>
      </c>
      <c r="T99" t="s">
        <v>281</v>
      </c>
      <c r="U99">
        <v>2</v>
      </c>
      <c r="V99">
        <v>0.920208152645273</v>
      </c>
      <c r="W99" t="s">
        <v>279</v>
      </c>
      <c r="X99">
        <v>2</v>
      </c>
      <c r="Y99">
        <v>0.95588235294117596</v>
      </c>
      <c r="Z99" t="s">
        <v>319</v>
      </c>
      <c r="AA99">
        <v>3</v>
      </c>
      <c r="AB99">
        <v>0.81450414757954603</v>
      </c>
      <c r="AC99" t="s">
        <v>201</v>
      </c>
      <c r="AD99">
        <v>3</v>
      </c>
      <c r="AE99">
        <v>1.5206657939031201</v>
      </c>
      <c r="AF99" t="s">
        <v>291</v>
      </c>
      <c r="AG99">
        <v>3</v>
      </c>
      <c r="AH99">
        <v>1.1493902439024299</v>
      </c>
      <c r="AI99" t="s">
        <v>266</v>
      </c>
      <c r="AJ99">
        <v>2</v>
      </c>
      <c r="AK99">
        <v>1.1596958174904901</v>
      </c>
      <c r="AL99" t="s">
        <v>281</v>
      </c>
      <c r="AM99">
        <v>2</v>
      </c>
      <c r="AN99">
        <v>0.870488322717622</v>
      </c>
      <c r="AO99" t="s">
        <v>281</v>
      </c>
      <c r="AP99">
        <v>2</v>
      </c>
      <c r="AQ99">
        <v>0.92073170731707299</v>
      </c>
      <c r="AR99" t="s">
        <v>301</v>
      </c>
      <c r="AS99">
        <v>3</v>
      </c>
      <c r="AT99">
        <v>1.16525423728813</v>
      </c>
      <c r="AU99" t="s">
        <v>224</v>
      </c>
      <c r="AV99">
        <v>2</v>
      </c>
      <c r="AW99">
        <v>1.02739726027397</v>
      </c>
      <c r="AX99" t="s">
        <v>294</v>
      </c>
      <c r="AY99">
        <v>3</v>
      </c>
      <c r="AZ99">
        <v>0.828431372549019</v>
      </c>
      <c r="BA99" t="s">
        <v>296</v>
      </c>
      <c r="BB99">
        <v>3</v>
      </c>
      <c r="BC99">
        <v>1.1452476572958501</v>
      </c>
      <c r="BD99" t="s">
        <v>288</v>
      </c>
      <c r="BE99">
        <v>3</v>
      </c>
      <c r="BF99">
        <v>1.3037037037037</v>
      </c>
      <c r="BG99" t="s">
        <v>302</v>
      </c>
      <c r="BH99">
        <v>2</v>
      </c>
      <c r="BI99">
        <v>1.0065445026177999</v>
      </c>
      <c r="BJ99" t="s">
        <v>281</v>
      </c>
      <c r="BK99">
        <v>2</v>
      </c>
      <c r="BL99">
        <v>1.1293103448275801</v>
      </c>
      <c r="BM99" t="s">
        <v>280</v>
      </c>
      <c r="BN99">
        <v>3</v>
      </c>
      <c r="BO99">
        <v>0.93384615384615299</v>
      </c>
      <c r="BP99" t="s">
        <v>291</v>
      </c>
      <c r="BQ99">
        <v>3</v>
      </c>
      <c r="BR99">
        <v>1.318407960199</v>
      </c>
      <c r="BS99" t="s">
        <v>286</v>
      </c>
      <c r="BT99">
        <v>3</v>
      </c>
      <c r="BU99">
        <v>1.1599999999999999</v>
      </c>
      <c r="BV99" t="s">
        <v>204</v>
      </c>
      <c r="BW99">
        <v>2</v>
      </c>
      <c r="BX99">
        <v>1.17034068136272</v>
      </c>
      <c r="BY99" t="s">
        <v>288</v>
      </c>
      <c r="BZ99">
        <v>3</v>
      </c>
      <c r="CA99">
        <v>0.95244755244755197</v>
      </c>
      <c r="CB99" t="s">
        <v>204</v>
      </c>
      <c r="CC99">
        <v>2</v>
      </c>
      <c r="CD99">
        <v>0.89421157684630703</v>
      </c>
      <c r="CE99" t="s">
        <v>293</v>
      </c>
      <c r="CF99">
        <v>3</v>
      </c>
      <c r="CG99">
        <v>1.27027027027027</v>
      </c>
      <c r="CH99" t="s">
        <v>277</v>
      </c>
      <c r="CI99">
        <v>2</v>
      </c>
      <c r="CJ99">
        <v>0.78996865203761701</v>
      </c>
      <c r="CK99" t="s">
        <v>328</v>
      </c>
      <c r="CL99">
        <v>2</v>
      </c>
      <c r="CM99">
        <v>0.87451507391160999</v>
      </c>
      <c r="CN99" t="s">
        <v>258</v>
      </c>
      <c r="CO99">
        <v>2</v>
      </c>
      <c r="CP99">
        <v>1.16697588126159</v>
      </c>
      <c r="CQ99" t="s">
        <v>332</v>
      </c>
      <c r="CR99">
        <v>3</v>
      </c>
      <c r="CS99">
        <v>0.97381342062193099</v>
      </c>
      <c r="CT99" t="s">
        <v>257</v>
      </c>
      <c r="CU99">
        <v>1</v>
      </c>
      <c r="CV99">
        <v>1.0240963855421601</v>
      </c>
      <c r="CW99" t="s">
        <v>111</v>
      </c>
      <c r="CX99">
        <v>3</v>
      </c>
      <c r="CY99">
        <v>0.91726251276812998</v>
      </c>
      <c r="CZ99" t="s">
        <v>235</v>
      </c>
      <c r="DA99">
        <v>1</v>
      </c>
      <c r="DB99">
        <v>0.98786003332539796</v>
      </c>
      <c r="DC99" t="s">
        <v>226</v>
      </c>
      <c r="DD99">
        <v>1</v>
      </c>
      <c r="DE99">
        <v>1.15845855087227</v>
      </c>
      <c r="DF99" t="s">
        <v>338</v>
      </c>
      <c r="DG99">
        <v>3</v>
      </c>
      <c r="DH99">
        <v>1.02225312934631</v>
      </c>
    </row>
    <row r="100" spans="1:112" x14ac:dyDescent="0.4">
      <c r="A100">
        <v>98</v>
      </c>
      <c r="B100" t="s">
        <v>256</v>
      </c>
      <c r="C100">
        <v>3</v>
      </c>
      <c r="D100">
        <v>1.0440067057837299</v>
      </c>
      <c r="E100" t="s">
        <v>262</v>
      </c>
      <c r="F100">
        <v>3</v>
      </c>
      <c r="G100">
        <v>0.77857142857142803</v>
      </c>
      <c r="H100" t="s">
        <v>271</v>
      </c>
      <c r="I100">
        <v>2</v>
      </c>
      <c r="J100">
        <v>0.74107142857142805</v>
      </c>
      <c r="K100" t="s">
        <v>264</v>
      </c>
      <c r="L100">
        <v>1</v>
      </c>
      <c r="M100">
        <v>1.3618275607958701</v>
      </c>
      <c r="N100" t="s">
        <v>251</v>
      </c>
      <c r="O100">
        <v>1</v>
      </c>
      <c r="P100">
        <v>1.2233782129742901</v>
      </c>
      <c r="Q100" t="s">
        <v>208</v>
      </c>
      <c r="R100">
        <v>2</v>
      </c>
      <c r="S100">
        <v>1.40816326530612</v>
      </c>
      <c r="T100" t="s">
        <v>220</v>
      </c>
      <c r="U100">
        <v>2</v>
      </c>
      <c r="V100">
        <v>1.1627620221948201</v>
      </c>
      <c r="W100" t="s">
        <v>272</v>
      </c>
      <c r="X100">
        <v>2</v>
      </c>
      <c r="Y100">
        <v>0.96762141967621396</v>
      </c>
      <c r="Z100" t="s">
        <v>306</v>
      </c>
      <c r="AA100">
        <v>3</v>
      </c>
      <c r="AB100">
        <v>1.1043165467625899</v>
      </c>
      <c r="AC100" t="s">
        <v>293</v>
      </c>
      <c r="AD100">
        <v>3</v>
      </c>
      <c r="AE100">
        <v>1.04552590266875</v>
      </c>
      <c r="AF100" t="s">
        <v>272</v>
      </c>
      <c r="AG100">
        <v>2</v>
      </c>
      <c r="AH100">
        <v>1.1024691358024601</v>
      </c>
      <c r="AI100" t="s">
        <v>201</v>
      </c>
      <c r="AJ100">
        <v>3</v>
      </c>
      <c r="AK100">
        <v>0.89883203928595101</v>
      </c>
      <c r="AL100" t="s">
        <v>220</v>
      </c>
      <c r="AM100">
        <v>2</v>
      </c>
      <c r="AN100">
        <v>1.03869407496977</v>
      </c>
      <c r="AO100" t="s">
        <v>220</v>
      </c>
      <c r="AP100">
        <v>2</v>
      </c>
      <c r="AQ100">
        <v>0.95343422584400395</v>
      </c>
      <c r="AR100" t="s">
        <v>220</v>
      </c>
      <c r="AS100">
        <v>2</v>
      </c>
      <c r="AT100">
        <v>1.0219780219780199</v>
      </c>
      <c r="AU100" t="s">
        <v>302</v>
      </c>
      <c r="AV100">
        <v>2</v>
      </c>
      <c r="AW100">
        <v>1.28799149840595</v>
      </c>
      <c r="AX100" t="s">
        <v>313</v>
      </c>
      <c r="AY100">
        <v>3</v>
      </c>
      <c r="AZ100">
        <v>0.94611528822055102</v>
      </c>
      <c r="BA100" t="s">
        <v>288</v>
      </c>
      <c r="BB100">
        <v>3</v>
      </c>
      <c r="BC100">
        <v>1.09756097560975</v>
      </c>
      <c r="BD100" t="s">
        <v>294</v>
      </c>
      <c r="BE100">
        <v>3</v>
      </c>
      <c r="BF100">
        <v>0.97233201581027595</v>
      </c>
      <c r="BG100" t="s">
        <v>229</v>
      </c>
      <c r="BH100">
        <v>1</v>
      </c>
      <c r="BI100">
        <v>1.1916167664670601</v>
      </c>
      <c r="BJ100" t="s">
        <v>220</v>
      </c>
      <c r="BK100">
        <v>3</v>
      </c>
      <c r="BL100">
        <v>1.3306451612903201</v>
      </c>
      <c r="BM100" t="s">
        <v>293</v>
      </c>
      <c r="BN100">
        <v>2</v>
      </c>
      <c r="BO100">
        <v>0.80327868852458995</v>
      </c>
      <c r="BP100" t="s">
        <v>272</v>
      </c>
      <c r="BQ100">
        <v>2</v>
      </c>
      <c r="BR100">
        <v>0.97250000000000003</v>
      </c>
      <c r="BS100" t="s">
        <v>299</v>
      </c>
      <c r="BT100">
        <v>3</v>
      </c>
      <c r="BU100">
        <v>1.27519379844961</v>
      </c>
      <c r="BV100" t="s">
        <v>292</v>
      </c>
      <c r="BW100">
        <v>3</v>
      </c>
      <c r="BX100">
        <v>1.2217573221757301</v>
      </c>
      <c r="BY100" t="s">
        <v>294</v>
      </c>
      <c r="BZ100">
        <v>3</v>
      </c>
      <c r="CA100">
        <v>0.99797160243407701</v>
      </c>
      <c r="CB100" t="s">
        <v>292</v>
      </c>
      <c r="CC100">
        <v>3</v>
      </c>
      <c r="CD100">
        <v>1.5454545454545401</v>
      </c>
      <c r="CE100" t="s">
        <v>272</v>
      </c>
      <c r="CF100">
        <v>2</v>
      </c>
      <c r="CG100">
        <v>1.0868421052631501</v>
      </c>
      <c r="CH100" t="s">
        <v>285</v>
      </c>
      <c r="CI100">
        <v>3</v>
      </c>
      <c r="CJ100">
        <v>1.0068493150684901</v>
      </c>
      <c r="CK100" t="s">
        <v>257</v>
      </c>
      <c r="CL100">
        <v>1</v>
      </c>
      <c r="CM100">
        <v>0.92393736017896999</v>
      </c>
      <c r="CN100" t="s">
        <v>316</v>
      </c>
      <c r="CO100">
        <v>3</v>
      </c>
      <c r="CP100">
        <v>1.0034423407917299</v>
      </c>
      <c r="CQ100" t="s">
        <v>250</v>
      </c>
      <c r="CR100">
        <v>2</v>
      </c>
      <c r="CS100">
        <v>0.67213114754098302</v>
      </c>
      <c r="CT100" t="s">
        <v>334</v>
      </c>
      <c r="CU100">
        <v>3</v>
      </c>
      <c r="CV100">
        <v>0.85423728813559296</v>
      </c>
      <c r="CW100" t="s">
        <v>322</v>
      </c>
      <c r="CX100">
        <v>1</v>
      </c>
      <c r="CY100">
        <v>0.98272138228941597</v>
      </c>
      <c r="CZ100" t="s">
        <v>258</v>
      </c>
      <c r="DA100">
        <v>2</v>
      </c>
      <c r="DB100">
        <v>0.81233595800524905</v>
      </c>
      <c r="DC100" t="s">
        <v>302</v>
      </c>
      <c r="DD100">
        <v>3</v>
      </c>
      <c r="DE100">
        <v>0.98036809815950898</v>
      </c>
      <c r="DF100" t="s">
        <v>342</v>
      </c>
      <c r="DG100">
        <v>3</v>
      </c>
      <c r="DH100">
        <v>1.1299093655589101</v>
      </c>
    </row>
    <row r="101" spans="1:112" x14ac:dyDescent="0.4">
      <c r="A101">
        <v>99</v>
      </c>
      <c r="B101" t="s">
        <v>261</v>
      </c>
      <c r="C101">
        <v>2</v>
      </c>
      <c r="D101">
        <v>0.93826830571886599</v>
      </c>
      <c r="E101" t="s">
        <v>270</v>
      </c>
      <c r="F101">
        <v>2</v>
      </c>
      <c r="G101">
        <v>0.48993202238757899</v>
      </c>
      <c r="H101" t="s">
        <v>256</v>
      </c>
      <c r="I101">
        <v>3</v>
      </c>
      <c r="J101">
        <v>0.93023255813953398</v>
      </c>
      <c r="K101" t="s">
        <v>293</v>
      </c>
      <c r="L101">
        <v>3</v>
      </c>
      <c r="M101">
        <v>0.93516209476309198</v>
      </c>
      <c r="N101" t="s">
        <v>196</v>
      </c>
      <c r="O101">
        <v>2</v>
      </c>
      <c r="P101">
        <v>1.38194466949692</v>
      </c>
      <c r="Q101" t="s">
        <v>299</v>
      </c>
      <c r="R101">
        <v>3</v>
      </c>
      <c r="S101">
        <v>0.81375358166189105</v>
      </c>
      <c r="T101" t="s">
        <v>294</v>
      </c>
      <c r="U101">
        <v>2</v>
      </c>
      <c r="V101">
        <v>0.85806451612903201</v>
      </c>
      <c r="W101" t="s">
        <v>319</v>
      </c>
      <c r="X101">
        <v>3</v>
      </c>
      <c r="Y101">
        <v>1.1796837915799401</v>
      </c>
      <c r="Z101" t="s">
        <v>204</v>
      </c>
      <c r="AA101">
        <v>2</v>
      </c>
      <c r="AB101">
        <v>1.15357142857142</v>
      </c>
      <c r="AC101" t="s">
        <v>297</v>
      </c>
      <c r="AD101">
        <v>3</v>
      </c>
      <c r="AE101">
        <v>0.94182825484764499</v>
      </c>
      <c r="AF101" t="s">
        <v>306</v>
      </c>
      <c r="AG101">
        <v>3</v>
      </c>
      <c r="AH101">
        <v>1.17077464788732</v>
      </c>
      <c r="AI101" t="s">
        <v>297</v>
      </c>
      <c r="AJ101">
        <v>3</v>
      </c>
      <c r="AK101">
        <v>0.92168674698795106</v>
      </c>
      <c r="AL101" t="s">
        <v>288</v>
      </c>
      <c r="AM101">
        <v>3</v>
      </c>
      <c r="AN101">
        <v>1.47708333333333</v>
      </c>
      <c r="AO101" t="s">
        <v>296</v>
      </c>
      <c r="AP101">
        <v>2</v>
      </c>
      <c r="AQ101">
        <v>0.86835384258184301</v>
      </c>
      <c r="AR101" t="s">
        <v>296</v>
      </c>
      <c r="AS101">
        <v>2</v>
      </c>
      <c r="AT101">
        <v>0.87299465240641705</v>
      </c>
      <c r="AU101" t="s">
        <v>307</v>
      </c>
      <c r="AV101">
        <v>2</v>
      </c>
      <c r="AW101">
        <v>1.2390109890109799</v>
      </c>
      <c r="AX101" t="s">
        <v>321</v>
      </c>
      <c r="AY101">
        <v>3</v>
      </c>
      <c r="AZ101">
        <v>0.64473684210526305</v>
      </c>
      <c r="BA101" t="s">
        <v>294</v>
      </c>
      <c r="BB101">
        <v>3</v>
      </c>
      <c r="BC101">
        <v>0.99802761341222801</v>
      </c>
      <c r="BD101" t="s">
        <v>313</v>
      </c>
      <c r="BE101">
        <v>2</v>
      </c>
      <c r="BF101">
        <v>1.25791855203619</v>
      </c>
      <c r="BG101" t="s">
        <v>327</v>
      </c>
      <c r="BH101">
        <v>3</v>
      </c>
      <c r="BI101">
        <v>1.0331950207468801</v>
      </c>
      <c r="BJ101" t="s">
        <v>224</v>
      </c>
      <c r="BK101">
        <v>2</v>
      </c>
      <c r="BL101">
        <v>1.2018018018018</v>
      </c>
      <c r="BM101" t="s">
        <v>291</v>
      </c>
      <c r="BN101">
        <v>3</v>
      </c>
      <c r="BO101">
        <v>1.0441558441558401</v>
      </c>
      <c r="BP101" t="s">
        <v>276</v>
      </c>
      <c r="BQ101">
        <v>3</v>
      </c>
      <c r="BR101">
        <v>0.99563375410686406</v>
      </c>
      <c r="BS101" t="s">
        <v>281</v>
      </c>
      <c r="BT101">
        <v>2</v>
      </c>
      <c r="BU101">
        <v>1.0251071647274901</v>
      </c>
      <c r="BV101" t="s">
        <v>284</v>
      </c>
      <c r="BW101">
        <v>2</v>
      </c>
      <c r="BX101">
        <v>0.81787234042553103</v>
      </c>
      <c r="BY101" t="s">
        <v>219</v>
      </c>
      <c r="BZ101">
        <v>3</v>
      </c>
      <c r="CA101">
        <v>1.2472527472527399</v>
      </c>
      <c r="CB101" t="s">
        <v>284</v>
      </c>
      <c r="CC101">
        <v>2</v>
      </c>
      <c r="CD101">
        <v>0.84674751929437697</v>
      </c>
      <c r="CE101" t="s">
        <v>306</v>
      </c>
      <c r="CF101">
        <v>2</v>
      </c>
      <c r="CG101">
        <v>1.4982332155477001</v>
      </c>
      <c r="CH101" t="s">
        <v>288</v>
      </c>
      <c r="CI101">
        <v>3</v>
      </c>
      <c r="CJ101">
        <v>1.1567164179104401</v>
      </c>
      <c r="CK101" t="s">
        <v>338</v>
      </c>
      <c r="CL101">
        <v>3</v>
      </c>
      <c r="CM101">
        <v>0.83137829912023398</v>
      </c>
      <c r="CN101" t="s">
        <v>111</v>
      </c>
      <c r="CO101">
        <v>2</v>
      </c>
      <c r="CP101">
        <v>0.78590078328981705</v>
      </c>
      <c r="CQ101" t="s">
        <v>253</v>
      </c>
      <c r="CR101">
        <v>2</v>
      </c>
      <c r="CS101">
        <v>0.88226950354609901</v>
      </c>
      <c r="CT101" t="s">
        <v>338</v>
      </c>
      <c r="CU101">
        <v>3</v>
      </c>
      <c r="CV101">
        <v>1.0504347826086899</v>
      </c>
      <c r="CW101" t="s">
        <v>250</v>
      </c>
      <c r="CX101">
        <v>3</v>
      </c>
      <c r="CY101">
        <v>0.77376425855513298</v>
      </c>
      <c r="CZ101" t="s">
        <v>316</v>
      </c>
      <c r="DA101">
        <v>3</v>
      </c>
      <c r="DB101">
        <v>0.69640787949015004</v>
      </c>
      <c r="DC101" t="s">
        <v>309</v>
      </c>
      <c r="DD101">
        <v>3</v>
      </c>
      <c r="DE101">
        <v>0.99325842696629196</v>
      </c>
      <c r="DF101" t="s">
        <v>348</v>
      </c>
      <c r="DG101">
        <v>3</v>
      </c>
      <c r="DH101">
        <v>1.0200729927007299</v>
      </c>
    </row>
    <row r="102" spans="1:112" x14ac:dyDescent="0.4">
      <c r="A102">
        <v>100</v>
      </c>
      <c r="B102" t="s">
        <v>262</v>
      </c>
      <c r="C102">
        <v>2</v>
      </c>
      <c r="D102">
        <v>0.89743589743589702</v>
      </c>
      <c r="E102" t="s">
        <v>197</v>
      </c>
      <c r="F102">
        <v>1</v>
      </c>
      <c r="G102">
        <v>1.0451693851944699</v>
      </c>
      <c r="H102" t="s">
        <v>261</v>
      </c>
      <c r="I102">
        <v>2</v>
      </c>
      <c r="J102">
        <v>0.830872483221476</v>
      </c>
      <c r="K102" t="s">
        <v>272</v>
      </c>
      <c r="L102">
        <v>2</v>
      </c>
      <c r="M102">
        <v>1.0049019607843099</v>
      </c>
      <c r="N102" t="s">
        <v>271</v>
      </c>
      <c r="O102">
        <v>2</v>
      </c>
      <c r="P102">
        <v>1.24839124839124</v>
      </c>
      <c r="Q102" t="s">
        <v>281</v>
      </c>
      <c r="R102">
        <v>2</v>
      </c>
      <c r="S102">
        <v>1.03687050359712</v>
      </c>
      <c r="T102" t="s">
        <v>304</v>
      </c>
      <c r="U102">
        <v>2</v>
      </c>
      <c r="V102">
        <v>1.2893462469733601</v>
      </c>
      <c r="W102" t="s">
        <v>204</v>
      </c>
      <c r="X102">
        <v>2</v>
      </c>
      <c r="Y102">
        <v>1.07074569789674</v>
      </c>
      <c r="Z102" t="s">
        <v>277</v>
      </c>
      <c r="AA102">
        <v>3</v>
      </c>
      <c r="AB102">
        <v>1.27768014059753</v>
      </c>
      <c r="AC102" t="s">
        <v>279</v>
      </c>
      <c r="AD102">
        <v>2</v>
      </c>
      <c r="AE102">
        <v>0.97526501766784401</v>
      </c>
      <c r="AF102" t="s">
        <v>204</v>
      </c>
      <c r="AG102">
        <v>2</v>
      </c>
      <c r="AH102">
        <v>1.38055555555555</v>
      </c>
      <c r="AI102" t="s">
        <v>291</v>
      </c>
      <c r="AJ102">
        <v>3</v>
      </c>
      <c r="AK102">
        <v>1.01591511936339</v>
      </c>
      <c r="AL102" t="s">
        <v>294</v>
      </c>
      <c r="AM102">
        <v>2</v>
      </c>
      <c r="AN102">
        <v>0.80704041720990805</v>
      </c>
      <c r="AO102" t="s">
        <v>294</v>
      </c>
      <c r="AP102">
        <v>3</v>
      </c>
      <c r="AQ102">
        <v>1.00807754442649</v>
      </c>
      <c r="AR102" t="s">
        <v>294</v>
      </c>
      <c r="AS102">
        <v>3</v>
      </c>
      <c r="AT102">
        <v>0.82852564102564097</v>
      </c>
      <c r="AU102" t="s">
        <v>229</v>
      </c>
      <c r="AV102">
        <v>1</v>
      </c>
      <c r="AW102">
        <v>1.09197651663405</v>
      </c>
      <c r="AX102" t="s">
        <v>224</v>
      </c>
      <c r="AY102">
        <v>2</v>
      </c>
      <c r="AZ102">
        <v>0.76416666666666599</v>
      </c>
      <c r="BA102" t="s">
        <v>313</v>
      </c>
      <c r="BB102">
        <v>2</v>
      </c>
      <c r="BC102">
        <v>1.17086092715231</v>
      </c>
      <c r="BD102" t="s">
        <v>224</v>
      </c>
      <c r="BE102">
        <v>2</v>
      </c>
      <c r="BF102">
        <v>0.96761904761904705</v>
      </c>
      <c r="BG102" t="s">
        <v>258</v>
      </c>
      <c r="BH102">
        <v>1</v>
      </c>
      <c r="BI102">
        <v>1.04424778761061</v>
      </c>
      <c r="BJ102" t="s">
        <v>302</v>
      </c>
      <c r="BK102">
        <v>2</v>
      </c>
      <c r="BL102">
        <v>1.5084525357607199</v>
      </c>
      <c r="BM102" t="s">
        <v>272</v>
      </c>
      <c r="BN102">
        <v>2</v>
      </c>
      <c r="BO102">
        <v>1.0752688172042999</v>
      </c>
      <c r="BP102" t="s">
        <v>204</v>
      </c>
      <c r="BQ102">
        <v>2</v>
      </c>
      <c r="BR102">
        <v>1.0277777777777699</v>
      </c>
      <c r="BS102" t="s">
        <v>294</v>
      </c>
      <c r="BT102">
        <v>3</v>
      </c>
      <c r="BU102">
        <v>1.05704099821746</v>
      </c>
      <c r="BV102" t="s">
        <v>324</v>
      </c>
      <c r="BW102">
        <v>3</v>
      </c>
      <c r="BX102">
        <v>1.57392686804451</v>
      </c>
      <c r="BY102" t="s">
        <v>224</v>
      </c>
      <c r="BZ102">
        <v>2</v>
      </c>
      <c r="CA102">
        <v>0.924193548387096</v>
      </c>
      <c r="CB102" t="s">
        <v>285</v>
      </c>
      <c r="CC102">
        <v>3</v>
      </c>
      <c r="CD102">
        <v>0.83449235048678705</v>
      </c>
      <c r="CE102" t="s">
        <v>204</v>
      </c>
      <c r="CF102">
        <v>2</v>
      </c>
      <c r="CG102">
        <v>1.0792410714285701</v>
      </c>
      <c r="CH102" t="s">
        <v>219</v>
      </c>
      <c r="CI102">
        <v>3</v>
      </c>
      <c r="CJ102">
        <v>1.1191489361702101</v>
      </c>
      <c r="CK102" t="s">
        <v>348</v>
      </c>
      <c r="CL102">
        <v>3</v>
      </c>
      <c r="CM102">
        <v>0.83735909822866295</v>
      </c>
      <c r="CN102" t="s">
        <v>322</v>
      </c>
      <c r="CO102">
        <v>1</v>
      </c>
      <c r="CP102">
        <v>1.1578947368421</v>
      </c>
      <c r="CQ102" t="s">
        <v>328</v>
      </c>
      <c r="CR102">
        <v>2</v>
      </c>
      <c r="CS102">
        <v>0.75242200414303895</v>
      </c>
      <c r="CT102" t="s">
        <v>352</v>
      </c>
      <c r="CU102">
        <v>2</v>
      </c>
      <c r="CV102">
        <v>1.03209109730848</v>
      </c>
      <c r="CW102" t="s">
        <v>253</v>
      </c>
      <c r="CX102">
        <v>2</v>
      </c>
      <c r="CY102">
        <v>0.98918918918918897</v>
      </c>
      <c r="CZ102" t="s">
        <v>242</v>
      </c>
      <c r="DA102">
        <v>1</v>
      </c>
      <c r="DB102">
        <v>1.1881188118811801</v>
      </c>
      <c r="DC102" t="s">
        <v>229</v>
      </c>
      <c r="DD102">
        <v>1</v>
      </c>
      <c r="DE102">
        <v>1.09032258064516</v>
      </c>
      <c r="DF102" t="s">
        <v>353</v>
      </c>
      <c r="DG102">
        <v>3</v>
      </c>
      <c r="DH102">
        <v>0.95752427184466005</v>
      </c>
    </row>
    <row r="103" spans="1:112" x14ac:dyDescent="0.4">
      <c r="A103">
        <v>101</v>
      </c>
      <c r="B103" t="s">
        <v>197</v>
      </c>
      <c r="C103">
        <v>1</v>
      </c>
      <c r="D103">
        <v>1.2003012048192701</v>
      </c>
      <c r="E103" t="s">
        <v>305</v>
      </c>
      <c r="F103">
        <v>3</v>
      </c>
      <c r="G103">
        <v>0.48998159161710497</v>
      </c>
      <c r="H103" t="s">
        <v>262</v>
      </c>
      <c r="I103">
        <v>3</v>
      </c>
      <c r="J103">
        <v>0.652293577981651</v>
      </c>
      <c r="K103" t="s">
        <v>276</v>
      </c>
      <c r="L103">
        <v>3</v>
      </c>
      <c r="M103">
        <v>0.78769942377797797</v>
      </c>
      <c r="N103" t="s">
        <v>256</v>
      </c>
      <c r="O103">
        <v>3</v>
      </c>
      <c r="P103">
        <v>1.0265625</v>
      </c>
      <c r="Q103" t="s">
        <v>220</v>
      </c>
      <c r="R103">
        <v>2</v>
      </c>
      <c r="S103">
        <v>1.0546163849154699</v>
      </c>
      <c r="T103" t="s">
        <v>219</v>
      </c>
      <c r="U103">
        <v>3</v>
      </c>
      <c r="V103">
        <v>0.97041420118343102</v>
      </c>
      <c r="W103" t="s">
        <v>277</v>
      </c>
      <c r="X103">
        <v>3</v>
      </c>
      <c r="Y103">
        <v>1.1506572295247699</v>
      </c>
      <c r="Z103" t="s">
        <v>208</v>
      </c>
      <c r="AA103">
        <v>2</v>
      </c>
      <c r="AB103">
        <v>1.1771523178807899</v>
      </c>
      <c r="AC103" t="s">
        <v>272</v>
      </c>
      <c r="AD103">
        <v>2</v>
      </c>
      <c r="AE103">
        <v>1.0629921259842501</v>
      </c>
      <c r="AF103" t="s">
        <v>208</v>
      </c>
      <c r="AG103">
        <v>2</v>
      </c>
      <c r="AH103">
        <v>1.2362804878048701</v>
      </c>
      <c r="AI103" t="s">
        <v>279</v>
      </c>
      <c r="AJ103">
        <v>2</v>
      </c>
      <c r="AK103">
        <v>0.93181818181818099</v>
      </c>
      <c r="AL103" t="s">
        <v>313</v>
      </c>
      <c r="AM103">
        <v>3</v>
      </c>
      <c r="AN103">
        <v>1.0151006711409301</v>
      </c>
      <c r="AO103" t="s">
        <v>313</v>
      </c>
      <c r="AP103">
        <v>3</v>
      </c>
      <c r="AQ103">
        <v>1.03305785123966</v>
      </c>
      <c r="AR103" t="s">
        <v>313</v>
      </c>
      <c r="AS103">
        <v>3</v>
      </c>
      <c r="AT103">
        <v>1.1679999999999999</v>
      </c>
      <c r="AU103" t="s">
        <v>327</v>
      </c>
      <c r="AV103">
        <v>3</v>
      </c>
      <c r="AW103">
        <v>1.0903614457831301</v>
      </c>
      <c r="AX103" t="s">
        <v>302</v>
      </c>
      <c r="AY103">
        <v>2</v>
      </c>
      <c r="AZ103">
        <v>0.69059405940593999</v>
      </c>
      <c r="BA103" t="s">
        <v>224</v>
      </c>
      <c r="BB103">
        <v>2</v>
      </c>
      <c r="BC103">
        <v>1.1450381679389301</v>
      </c>
      <c r="BD103" t="s">
        <v>302</v>
      </c>
      <c r="BE103">
        <v>2</v>
      </c>
      <c r="BF103">
        <v>1.03523035230352</v>
      </c>
      <c r="BG103" t="s">
        <v>339</v>
      </c>
      <c r="BH103">
        <v>2</v>
      </c>
      <c r="BI103">
        <v>1.01932367149758</v>
      </c>
      <c r="BJ103" t="s">
        <v>229</v>
      </c>
      <c r="BK103">
        <v>1</v>
      </c>
      <c r="BL103">
        <v>0.90703517587939697</v>
      </c>
      <c r="BM103" t="s">
        <v>204</v>
      </c>
      <c r="BN103">
        <v>2</v>
      </c>
      <c r="BO103">
        <v>1.0243902439024299</v>
      </c>
      <c r="BP103" t="s">
        <v>286</v>
      </c>
      <c r="BQ103">
        <v>3</v>
      </c>
      <c r="BR103">
        <v>1.0831889081455801</v>
      </c>
      <c r="BS103" t="s">
        <v>224</v>
      </c>
      <c r="BT103">
        <v>2</v>
      </c>
      <c r="BU103">
        <v>1.0598911070780399</v>
      </c>
      <c r="BV103" t="s">
        <v>286</v>
      </c>
      <c r="BW103">
        <v>3</v>
      </c>
      <c r="BX103">
        <v>1.01931034482758</v>
      </c>
      <c r="BY103" t="s">
        <v>226</v>
      </c>
      <c r="BZ103">
        <v>1</v>
      </c>
      <c r="CA103">
        <v>0.77837712358809197</v>
      </c>
      <c r="CB103" t="s">
        <v>288</v>
      </c>
      <c r="CC103">
        <v>3</v>
      </c>
      <c r="CD103">
        <v>0.82378854625550602</v>
      </c>
      <c r="CE103" t="s">
        <v>284</v>
      </c>
      <c r="CF103">
        <v>2</v>
      </c>
      <c r="CG103">
        <v>1.6276041666666601</v>
      </c>
      <c r="CH103" t="s">
        <v>224</v>
      </c>
      <c r="CI103">
        <v>2</v>
      </c>
      <c r="CJ103">
        <v>1.17592592592592</v>
      </c>
      <c r="CK103" t="s">
        <v>341</v>
      </c>
      <c r="CL103">
        <v>3</v>
      </c>
      <c r="CM103">
        <v>0.94366197183098499</v>
      </c>
      <c r="CN103" t="s">
        <v>328</v>
      </c>
      <c r="CO103">
        <v>2</v>
      </c>
      <c r="CP103">
        <v>0.92376534261138499</v>
      </c>
      <c r="CQ103" t="s">
        <v>257</v>
      </c>
      <c r="CR103">
        <v>1</v>
      </c>
      <c r="CS103">
        <v>0.99799599198396705</v>
      </c>
      <c r="CT103" t="s">
        <v>275</v>
      </c>
      <c r="CU103">
        <v>2</v>
      </c>
      <c r="CV103">
        <v>1.0247678018575801</v>
      </c>
      <c r="CW103" t="s">
        <v>257</v>
      </c>
      <c r="CX103">
        <v>1</v>
      </c>
      <c r="CY103">
        <v>1.0215686274509801</v>
      </c>
      <c r="CZ103" t="s">
        <v>245</v>
      </c>
      <c r="DA103">
        <v>1</v>
      </c>
      <c r="DB103">
        <v>1.19962686567164</v>
      </c>
      <c r="DC103" t="s">
        <v>240</v>
      </c>
      <c r="DD103">
        <v>2</v>
      </c>
      <c r="DE103">
        <v>1.2105978260869501</v>
      </c>
      <c r="DF103" t="s">
        <v>358</v>
      </c>
      <c r="DG103">
        <v>3</v>
      </c>
      <c r="DH103">
        <v>1.1411901983663899</v>
      </c>
    </row>
    <row r="104" spans="1:112" x14ac:dyDescent="0.4">
      <c r="A104">
        <v>102</v>
      </c>
      <c r="B104" t="s">
        <v>305</v>
      </c>
      <c r="C104">
        <v>2</v>
      </c>
      <c r="D104">
        <v>0.95053502927518596</v>
      </c>
      <c r="E104" t="s">
        <v>266</v>
      </c>
      <c r="F104">
        <v>2</v>
      </c>
      <c r="G104">
        <v>0.59226519337016503</v>
      </c>
      <c r="H104" t="s">
        <v>270</v>
      </c>
      <c r="I104">
        <v>2</v>
      </c>
      <c r="J104">
        <v>0.40383857836915099</v>
      </c>
      <c r="K104" t="s">
        <v>269</v>
      </c>
      <c r="L104">
        <v>2</v>
      </c>
      <c r="M104">
        <v>1.34565217391304</v>
      </c>
      <c r="N104" t="s">
        <v>261</v>
      </c>
      <c r="O104">
        <v>2</v>
      </c>
      <c r="P104">
        <v>1.2732585320243099</v>
      </c>
      <c r="Q104" t="s">
        <v>294</v>
      </c>
      <c r="R104">
        <v>2</v>
      </c>
      <c r="S104">
        <v>1.17044228694714</v>
      </c>
      <c r="T104" t="s">
        <v>336</v>
      </c>
      <c r="U104">
        <v>2</v>
      </c>
      <c r="V104">
        <v>0.913274336283185</v>
      </c>
      <c r="W104" t="s">
        <v>208</v>
      </c>
      <c r="X104">
        <v>2</v>
      </c>
      <c r="Y104">
        <v>1.15047619047619</v>
      </c>
      <c r="Z104" t="s">
        <v>281</v>
      </c>
      <c r="AA104">
        <v>2</v>
      </c>
      <c r="AB104">
        <v>0.87222222222222201</v>
      </c>
      <c r="AC104" t="s">
        <v>306</v>
      </c>
      <c r="AD104">
        <v>3</v>
      </c>
      <c r="AE104">
        <v>0.925081433224755</v>
      </c>
      <c r="AF104" t="s">
        <v>281</v>
      </c>
      <c r="AG104">
        <v>2</v>
      </c>
      <c r="AH104">
        <v>0.96392333709131905</v>
      </c>
      <c r="AI104" t="s">
        <v>272</v>
      </c>
      <c r="AJ104">
        <v>2</v>
      </c>
      <c r="AK104">
        <v>0.94624860022396395</v>
      </c>
      <c r="AL104" t="s">
        <v>224</v>
      </c>
      <c r="AM104">
        <v>2</v>
      </c>
      <c r="AN104">
        <v>1.1076320939334601</v>
      </c>
      <c r="AO104" t="s">
        <v>224</v>
      </c>
      <c r="AP104">
        <v>2</v>
      </c>
      <c r="AQ104">
        <v>1.2314487632508799</v>
      </c>
      <c r="AR104" t="s">
        <v>224</v>
      </c>
      <c r="AS104">
        <v>2</v>
      </c>
      <c r="AT104">
        <v>0.83787661406025804</v>
      </c>
      <c r="AU104" t="s">
        <v>258</v>
      </c>
      <c r="AV104">
        <v>1</v>
      </c>
      <c r="AW104">
        <v>1.38053097345132</v>
      </c>
      <c r="AX104" t="s">
        <v>307</v>
      </c>
      <c r="AY104">
        <v>2</v>
      </c>
      <c r="AZ104">
        <v>0.76940133037694003</v>
      </c>
      <c r="BA104" t="s">
        <v>302</v>
      </c>
      <c r="BB104">
        <v>2</v>
      </c>
      <c r="BC104">
        <v>0.88172043010752599</v>
      </c>
      <c r="BD104" t="s">
        <v>307</v>
      </c>
      <c r="BE104">
        <v>2</v>
      </c>
      <c r="BF104">
        <v>1.4765525982256</v>
      </c>
      <c r="BG104" t="s">
        <v>111</v>
      </c>
      <c r="BH104">
        <v>2</v>
      </c>
      <c r="BI104">
        <v>1.2390832114199499</v>
      </c>
      <c r="BJ104" t="s">
        <v>327</v>
      </c>
      <c r="BK104">
        <v>3</v>
      </c>
      <c r="BL104">
        <v>0.97389558232931694</v>
      </c>
      <c r="BM104" t="s">
        <v>292</v>
      </c>
      <c r="BN104">
        <v>3</v>
      </c>
      <c r="BO104">
        <v>0.83866666666666601</v>
      </c>
      <c r="BP104" t="s">
        <v>281</v>
      </c>
      <c r="BQ104">
        <v>2</v>
      </c>
      <c r="BR104">
        <v>1.3032721468475601</v>
      </c>
      <c r="BS104" t="s">
        <v>302</v>
      </c>
      <c r="BT104">
        <v>2</v>
      </c>
      <c r="BU104">
        <v>0.86581469648562304</v>
      </c>
      <c r="BV104" t="s">
        <v>208</v>
      </c>
      <c r="BW104">
        <v>2</v>
      </c>
      <c r="BX104">
        <v>1.00136798905608</v>
      </c>
      <c r="BY104" t="s">
        <v>302</v>
      </c>
      <c r="BZ104">
        <v>2</v>
      </c>
      <c r="CA104">
        <v>1.1261363636363599</v>
      </c>
      <c r="CB104" t="s">
        <v>294</v>
      </c>
      <c r="CC104">
        <v>3</v>
      </c>
      <c r="CD104">
        <v>0.91666666666666596</v>
      </c>
      <c r="CE104" t="s">
        <v>277</v>
      </c>
      <c r="CF104">
        <v>2</v>
      </c>
      <c r="CG104">
        <v>1</v>
      </c>
      <c r="CH104" t="s">
        <v>226</v>
      </c>
      <c r="CI104">
        <v>1</v>
      </c>
      <c r="CJ104">
        <v>1.08332862443728</v>
      </c>
      <c r="CK104" t="s">
        <v>352</v>
      </c>
      <c r="CL104">
        <v>2</v>
      </c>
      <c r="CM104">
        <v>1.1854199683042701</v>
      </c>
      <c r="CN104" t="s">
        <v>257</v>
      </c>
      <c r="CO104">
        <v>1</v>
      </c>
      <c r="CP104">
        <v>1.20823244552058</v>
      </c>
      <c r="CQ104" t="s">
        <v>338</v>
      </c>
      <c r="CR104">
        <v>3</v>
      </c>
      <c r="CS104">
        <v>0.80419580419580405</v>
      </c>
      <c r="CT104" t="s">
        <v>359</v>
      </c>
      <c r="CU104">
        <v>3</v>
      </c>
      <c r="CV104">
        <v>1.0260989010988999</v>
      </c>
      <c r="CW104" t="s">
        <v>334</v>
      </c>
      <c r="CX104">
        <v>3</v>
      </c>
      <c r="CY104">
        <v>0.96031746031746001</v>
      </c>
      <c r="CZ104" t="s">
        <v>322</v>
      </c>
      <c r="DA104">
        <v>1</v>
      </c>
      <c r="DB104">
        <v>0.75604395604395602</v>
      </c>
      <c r="DC104" t="s">
        <v>258</v>
      </c>
      <c r="DD104">
        <v>2</v>
      </c>
      <c r="DE104">
        <v>1.17932148626817</v>
      </c>
      <c r="DF104" t="s">
        <v>352</v>
      </c>
      <c r="DG104">
        <v>2</v>
      </c>
      <c r="DH104">
        <v>1.13122171945701</v>
      </c>
    </row>
    <row r="105" spans="1:112" x14ac:dyDescent="0.4">
      <c r="A105">
        <v>103</v>
      </c>
      <c r="B105" t="s">
        <v>266</v>
      </c>
      <c r="C105">
        <v>2</v>
      </c>
      <c r="D105">
        <v>0.97732181425485898</v>
      </c>
      <c r="E105" t="s">
        <v>201</v>
      </c>
      <c r="F105">
        <v>2</v>
      </c>
      <c r="G105">
        <v>0.68360660977402699</v>
      </c>
      <c r="H105" t="s">
        <v>197</v>
      </c>
      <c r="I105">
        <v>1</v>
      </c>
      <c r="J105">
        <v>0.713085234093637</v>
      </c>
      <c r="K105" t="s">
        <v>208</v>
      </c>
      <c r="L105">
        <v>2</v>
      </c>
      <c r="M105">
        <v>0.87656250000000002</v>
      </c>
      <c r="N105" t="s">
        <v>195</v>
      </c>
      <c r="O105">
        <v>1</v>
      </c>
      <c r="P105">
        <v>1.68952837729816</v>
      </c>
      <c r="Q105" t="s">
        <v>304</v>
      </c>
      <c r="R105">
        <v>2</v>
      </c>
      <c r="S105">
        <v>1.1253405994550401</v>
      </c>
      <c r="T105" t="s">
        <v>313</v>
      </c>
      <c r="U105">
        <v>2</v>
      </c>
      <c r="V105">
        <v>0.80269058295964102</v>
      </c>
      <c r="W105" t="s">
        <v>281</v>
      </c>
      <c r="X105">
        <v>2</v>
      </c>
      <c r="Y105">
        <v>1.01790763430725</v>
      </c>
      <c r="Z105" t="s">
        <v>220</v>
      </c>
      <c r="AA105">
        <v>2</v>
      </c>
      <c r="AB105">
        <v>0.94226579520697096</v>
      </c>
      <c r="AC105" t="s">
        <v>204</v>
      </c>
      <c r="AD105">
        <v>2</v>
      </c>
      <c r="AE105">
        <v>1.1145510835913299</v>
      </c>
      <c r="AF105" t="s">
        <v>220</v>
      </c>
      <c r="AG105">
        <v>2</v>
      </c>
      <c r="AH105">
        <v>1.0076169749727899</v>
      </c>
      <c r="AI105" t="s">
        <v>306</v>
      </c>
      <c r="AJ105">
        <v>3</v>
      </c>
      <c r="AK105">
        <v>1.3624060150375901</v>
      </c>
      <c r="AL105" t="s">
        <v>302</v>
      </c>
      <c r="AM105">
        <v>2</v>
      </c>
      <c r="AN105">
        <v>1.1491228070175401</v>
      </c>
      <c r="AO105" t="s">
        <v>302</v>
      </c>
      <c r="AP105">
        <v>2</v>
      </c>
      <c r="AQ105">
        <v>1.0549618320610601</v>
      </c>
      <c r="AR105" t="s">
        <v>302</v>
      </c>
      <c r="AS105">
        <v>2</v>
      </c>
      <c r="AT105">
        <v>0.68089725036179405</v>
      </c>
      <c r="AU105" t="s">
        <v>111</v>
      </c>
      <c r="AV105">
        <v>2</v>
      </c>
      <c r="AW105">
        <v>1.1883536775130501</v>
      </c>
      <c r="AX105" t="s">
        <v>229</v>
      </c>
      <c r="AY105">
        <v>1</v>
      </c>
      <c r="AZ105">
        <v>0.74014336917562695</v>
      </c>
      <c r="BA105" t="s">
        <v>307</v>
      </c>
      <c r="BB105">
        <v>2</v>
      </c>
      <c r="BC105">
        <v>1.1368876080691599</v>
      </c>
      <c r="BD105" t="s">
        <v>229</v>
      </c>
      <c r="BE105">
        <v>1</v>
      </c>
      <c r="BF105">
        <v>0.799043062200956</v>
      </c>
      <c r="BG105" t="s">
        <v>332</v>
      </c>
      <c r="BH105">
        <v>3</v>
      </c>
      <c r="BI105">
        <v>0.93857493857493801</v>
      </c>
      <c r="BJ105" t="s">
        <v>258</v>
      </c>
      <c r="BK105">
        <v>1</v>
      </c>
      <c r="BL105">
        <v>1.16525423728813</v>
      </c>
      <c r="BM105" t="s">
        <v>286</v>
      </c>
      <c r="BN105">
        <v>3</v>
      </c>
      <c r="BO105">
        <v>0.88496932515337401</v>
      </c>
      <c r="BP105" t="s">
        <v>224</v>
      </c>
      <c r="BQ105">
        <v>2</v>
      </c>
      <c r="BR105">
        <v>0.90625</v>
      </c>
      <c r="BS105" t="s">
        <v>309</v>
      </c>
      <c r="BT105">
        <v>3</v>
      </c>
      <c r="BU105">
        <v>1.0052367941712199</v>
      </c>
      <c r="BV105" t="s">
        <v>281</v>
      </c>
      <c r="BW105">
        <v>2</v>
      </c>
      <c r="BX105">
        <v>1.2568697729988001</v>
      </c>
      <c r="BY105" t="s">
        <v>309</v>
      </c>
      <c r="BZ105">
        <v>3</v>
      </c>
      <c r="CA105">
        <v>1.03300733496332</v>
      </c>
      <c r="CB105" t="s">
        <v>224</v>
      </c>
      <c r="CC105">
        <v>2</v>
      </c>
      <c r="CD105">
        <v>0.79406631762652702</v>
      </c>
      <c r="CE105" t="s">
        <v>286</v>
      </c>
      <c r="CF105">
        <v>3</v>
      </c>
      <c r="CG105">
        <v>1.1572327044025099</v>
      </c>
      <c r="CH105" t="s">
        <v>302</v>
      </c>
      <c r="CI105">
        <v>2</v>
      </c>
      <c r="CJ105">
        <v>1.13569682151589</v>
      </c>
      <c r="CK105" t="s">
        <v>355</v>
      </c>
      <c r="CL105">
        <v>3</v>
      </c>
      <c r="CM105">
        <v>0.92238267148014397</v>
      </c>
      <c r="CN105" t="s">
        <v>338</v>
      </c>
      <c r="CO105">
        <v>3</v>
      </c>
      <c r="CP105">
        <v>1.2610229276895899</v>
      </c>
      <c r="CQ105" t="s">
        <v>346</v>
      </c>
      <c r="CR105">
        <v>3</v>
      </c>
      <c r="CS105">
        <v>1.05925925925925</v>
      </c>
      <c r="CT105" t="s">
        <v>278</v>
      </c>
      <c r="CU105">
        <v>1</v>
      </c>
      <c r="CV105">
        <v>1.0715502555366201</v>
      </c>
      <c r="CW105" t="s">
        <v>338</v>
      </c>
      <c r="CX105">
        <v>3</v>
      </c>
      <c r="CY105">
        <v>1.0645695364238399</v>
      </c>
      <c r="CZ105" t="s">
        <v>250</v>
      </c>
      <c r="DA105">
        <v>3</v>
      </c>
      <c r="DB105">
        <v>0.97788697788697698</v>
      </c>
      <c r="DC105" t="s">
        <v>316</v>
      </c>
      <c r="DD105">
        <v>3</v>
      </c>
      <c r="DE105">
        <v>1.1680532445923399</v>
      </c>
      <c r="DF105" t="s">
        <v>275</v>
      </c>
      <c r="DG105">
        <v>2</v>
      </c>
      <c r="DH105">
        <v>1.02272727272727</v>
      </c>
    </row>
    <row r="106" spans="1:112" x14ac:dyDescent="0.4">
      <c r="A106">
        <v>104</v>
      </c>
      <c r="B106" t="s">
        <v>201</v>
      </c>
      <c r="C106">
        <v>2</v>
      </c>
      <c r="D106">
        <v>1.11147820526484</v>
      </c>
      <c r="E106" t="s">
        <v>297</v>
      </c>
      <c r="F106">
        <v>2</v>
      </c>
      <c r="G106">
        <v>0.795053003533568</v>
      </c>
      <c r="H106" t="s">
        <v>266</v>
      </c>
      <c r="I106">
        <v>2</v>
      </c>
      <c r="J106">
        <v>0.58955223880596996</v>
      </c>
      <c r="K106" t="s">
        <v>281</v>
      </c>
      <c r="L106">
        <v>2</v>
      </c>
      <c r="M106">
        <v>0.97110552763819002</v>
      </c>
      <c r="N106" t="s">
        <v>197</v>
      </c>
      <c r="O106">
        <v>1</v>
      </c>
      <c r="P106">
        <v>1.8</v>
      </c>
      <c r="Q106" t="s">
        <v>336</v>
      </c>
      <c r="R106">
        <v>2</v>
      </c>
      <c r="S106">
        <v>0.95117845117845101</v>
      </c>
      <c r="T106" t="s">
        <v>224</v>
      </c>
      <c r="U106">
        <v>2</v>
      </c>
      <c r="V106">
        <v>0.82769726247987097</v>
      </c>
      <c r="W106" t="s">
        <v>220</v>
      </c>
      <c r="X106">
        <v>2</v>
      </c>
      <c r="Y106">
        <v>0.97348886532343504</v>
      </c>
      <c r="Z106" t="s">
        <v>294</v>
      </c>
      <c r="AA106">
        <v>2</v>
      </c>
      <c r="AB106">
        <v>0.94431279620853004</v>
      </c>
      <c r="AC106" t="s">
        <v>277</v>
      </c>
      <c r="AD106">
        <v>2</v>
      </c>
      <c r="AE106">
        <v>1.0398899587345201</v>
      </c>
      <c r="AF106" t="s">
        <v>288</v>
      </c>
      <c r="AG106">
        <v>3</v>
      </c>
      <c r="AH106">
        <v>1.1183355006501901</v>
      </c>
      <c r="AI106" t="s">
        <v>204</v>
      </c>
      <c r="AJ106">
        <v>2</v>
      </c>
      <c r="AK106">
        <v>1.0020120724346</v>
      </c>
      <c r="AL106" t="s">
        <v>307</v>
      </c>
      <c r="AM106">
        <v>2</v>
      </c>
      <c r="AN106">
        <v>1.3370473537604399</v>
      </c>
      <c r="AO106" t="s">
        <v>307</v>
      </c>
      <c r="AP106">
        <v>2</v>
      </c>
      <c r="AQ106">
        <v>0.87395833333333295</v>
      </c>
      <c r="AR106" t="s">
        <v>307</v>
      </c>
      <c r="AS106">
        <v>2</v>
      </c>
      <c r="AT106">
        <v>0.86769964243146602</v>
      </c>
      <c r="AU106" t="s">
        <v>337</v>
      </c>
      <c r="AV106">
        <v>2</v>
      </c>
      <c r="AW106">
        <v>1.1879997724468701</v>
      </c>
      <c r="AX106" t="s">
        <v>327</v>
      </c>
      <c r="AY106">
        <v>3</v>
      </c>
      <c r="AZ106">
        <v>1.24309392265193</v>
      </c>
      <c r="BA106" t="s">
        <v>229</v>
      </c>
      <c r="BB106">
        <v>1</v>
      </c>
      <c r="BC106">
        <v>1.01210653753026</v>
      </c>
      <c r="BD106" t="s">
        <v>327</v>
      </c>
      <c r="BE106">
        <v>3</v>
      </c>
      <c r="BF106">
        <v>1.0663716814159201</v>
      </c>
      <c r="BG106" t="s">
        <v>250</v>
      </c>
      <c r="BH106">
        <v>2</v>
      </c>
      <c r="BI106">
        <v>1.19708746956358</v>
      </c>
      <c r="BJ106" t="s">
        <v>339</v>
      </c>
      <c r="BK106">
        <v>2</v>
      </c>
      <c r="BL106">
        <v>1.3459715639810399</v>
      </c>
      <c r="BM106" t="s">
        <v>281</v>
      </c>
      <c r="BN106">
        <v>2</v>
      </c>
      <c r="BO106">
        <v>0.86953504510756396</v>
      </c>
      <c r="BP106" t="s">
        <v>302</v>
      </c>
      <c r="BQ106">
        <v>2</v>
      </c>
      <c r="BR106">
        <v>1.1635687732341999</v>
      </c>
      <c r="BS106" t="s">
        <v>229</v>
      </c>
      <c r="BT106">
        <v>1</v>
      </c>
      <c r="BU106">
        <v>0.95671981776765302</v>
      </c>
      <c r="BV106" t="s">
        <v>294</v>
      </c>
      <c r="BW106">
        <v>3</v>
      </c>
      <c r="BX106">
        <v>0.83136593591905505</v>
      </c>
      <c r="BY106" t="s">
        <v>229</v>
      </c>
      <c r="BZ106">
        <v>1</v>
      </c>
      <c r="CA106">
        <v>0.87234042553191404</v>
      </c>
      <c r="CB106" t="s">
        <v>226</v>
      </c>
      <c r="CC106">
        <v>1</v>
      </c>
      <c r="CD106">
        <v>0.85764177745687398</v>
      </c>
      <c r="CE106" t="s">
        <v>288</v>
      </c>
      <c r="CF106">
        <v>3</v>
      </c>
      <c r="CG106">
        <v>1.19429590017825</v>
      </c>
      <c r="CH106" t="s">
        <v>229</v>
      </c>
      <c r="CI106">
        <v>1</v>
      </c>
      <c r="CJ106">
        <v>1.3510638297872299</v>
      </c>
      <c r="CK106" t="s">
        <v>359</v>
      </c>
      <c r="CL106">
        <v>3</v>
      </c>
      <c r="CM106">
        <v>1.07692307692307</v>
      </c>
      <c r="CN106" t="s">
        <v>346</v>
      </c>
      <c r="CO106">
        <v>3</v>
      </c>
      <c r="CP106">
        <v>1.08346709470304</v>
      </c>
      <c r="CQ106" t="s">
        <v>351</v>
      </c>
      <c r="CR106">
        <v>3</v>
      </c>
      <c r="CS106">
        <v>1.0327102803738299</v>
      </c>
      <c r="CT106" t="s">
        <v>364</v>
      </c>
      <c r="CU106">
        <v>3</v>
      </c>
      <c r="CV106">
        <v>0.95118733509234799</v>
      </c>
      <c r="CW106" t="s">
        <v>358</v>
      </c>
      <c r="CX106">
        <v>3</v>
      </c>
      <c r="CY106">
        <v>1.0945945945945901</v>
      </c>
      <c r="CZ106" t="s">
        <v>253</v>
      </c>
      <c r="DA106">
        <v>2</v>
      </c>
      <c r="DB106">
        <v>1.10382513661202</v>
      </c>
      <c r="DC106" t="s">
        <v>322</v>
      </c>
      <c r="DD106">
        <v>1</v>
      </c>
      <c r="DE106">
        <v>0.97238372093023195</v>
      </c>
      <c r="DF106" t="s">
        <v>359</v>
      </c>
      <c r="DG106">
        <v>3</v>
      </c>
      <c r="DH106">
        <v>1.03489932885906</v>
      </c>
    </row>
    <row r="107" spans="1:112" x14ac:dyDescent="0.4">
      <c r="A107">
        <v>105</v>
      </c>
      <c r="B107" t="s">
        <v>297</v>
      </c>
      <c r="C107">
        <v>3</v>
      </c>
      <c r="D107">
        <v>1.0017699115044201</v>
      </c>
      <c r="E107" t="s">
        <v>291</v>
      </c>
      <c r="F107">
        <v>3</v>
      </c>
      <c r="G107">
        <v>1.0186915887850401</v>
      </c>
      <c r="H107" t="s">
        <v>201</v>
      </c>
      <c r="I107">
        <v>2</v>
      </c>
      <c r="J107">
        <v>0.52272302225546996</v>
      </c>
      <c r="K107" t="s">
        <v>220</v>
      </c>
      <c r="L107">
        <v>2</v>
      </c>
      <c r="M107">
        <v>0.82270408163265296</v>
      </c>
      <c r="N107" t="s">
        <v>279</v>
      </c>
      <c r="O107">
        <v>2</v>
      </c>
      <c r="P107">
        <v>1.2114537444933899</v>
      </c>
      <c r="Q107" t="s">
        <v>313</v>
      </c>
      <c r="R107">
        <v>2</v>
      </c>
      <c r="S107">
        <v>1.06698564593301</v>
      </c>
      <c r="T107" t="s">
        <v>302</v>
      </c>
      <c r="U107">
        <v>2</v>
      </c>
      <c r="V107">
        <v>0.80861244019138701</v>
      </c>
      <c r="W107" t="s">
        <v>294</v>
      </c>
      <c r="X107">
        <v>2</v>
      </c>
      <c r="Y107">
        <v>0.90655209452201901</v>
      </c>
      <c r="Z107" t="s">
        <v>219</v>
      </c>
      <c r="AA107">
        <v>3</v>
      </c>
      <c r="AB107">
        <v>0.83526011560693603</v>
      </c>
      <c r="AC107" t="s">
        <v>281</v>
      </c>
      <c r="AD107">
        <v>2</v>
      </c>
      <c r="AE107">
        <v>0.94161358811040297</v>
      </c>
      <c r="AF107" t="s">
        <v>218</v>
      </c>
      <c r="AG107">
        <v>3</v>
      </c>
      <c r="AH107">
        <v>1.03045133224578</v>
      </c>
      <c r="AI107" t="s">
        <v>284</v>
      </c>
      <c r="AJ107">
        <v>3</v>
      </c>
      <c r="AK107">
        <v>1.3221654363051201</v>
      </c>
      <c r="AL107" t="s">
        <v>315</v>
      </c>
      <c r="AM107">
        <v>2</v>
      </c>
      <c r="AN107">
        <v>1.4163934426229501</v>
      </c>
      <c r="AO107" t="s">
        <v>325</v>
      </c>
      <c r="AP107">
        <v>3</v>
      </c>
      <c r="AQ107">
        <v>0.78973105134474297</v>
      </c>
      <c r="AR107" t="s">
        <v>327</v>
      </c>
      <c r="AS107">
        <v>3</v>
      </c>
      <c r="AT107">
        <v>0.81372549019607798</v>
      </c>
      <c r="AU107" t="s">
        <v>340</v>
      </c>
      <c r="AV107">
        <v>2</v>
      </c>
      <c r="AW107">
        <v>1.0978723404255299</v>
      </c>
      <c r="AX107" t="s">
        <v>332</v>
      </c>
      <c r="AY107">
        <v>3</v>
      </c>
      <c r="AZ107">
        <v>0.79300291545189505</v>
      </c>
      <c r="BA107" t="s">
        <v>327</v>
      </c>
      <c r="BB107">
        <v>3</v>
      </c>
      <c r="BC107">
        <v>1.00444444444444</v>
      </c>
      <c r="BD107" t="s">
        <v>258</v>
      </c>
      <c r="BE107">
        <v>1</v>
      </c>
      <c r="BF107">
        <v>0.92244897959183603</v>
      </c>
      <c r="BG107" t="s">
        <v>340</v>
      </c>
      <c r="BH107">
        <v>3</v>
      </c>
      <c r="BI107">
        <v>1.11803278688524</v>
      </c>
      <c r="BJ107" t="s">
        <v>332</v>
      </c>
      <c r="BK107">
        <v>3</v>
      </c>
      <c r="BL107">
        <v>1.7565445026177999</v>
      </c>
      <c r="BM107" t="s">
        <v>294</v>
      </c>
      <c r="BN107">
        <v>3</v>
      </c>
      <c r="BO107">
        <v>0.94377510040160595</v>
      </c>
      <c r="BP107" t="s">
        <v>309</v>
      </c>
      <c r="BQ107">
        <v>3</v>
      </c>
      <c r="BR107">
        <v>1.0358490566037699</v>
      </c>
      <c r="BS107" t="s">
        <v>327</v>
      </c>
      <c r="BT107">
        <v>2</v>
      </c>
      <c r="BU107">
        <v>1.18518518518518</v>
      </c>
      <c r="BV107" t="s">
        <v>224</v>
      </c>
      <c r="BW107">
        <v>2</v>
      </c>
      <c r="BX107">
        <v>1.0616438356164299</v>
      </c>
      <c r="BY107" t="s">
        <v>111</v>
      </c>
      <c r="BZ107">
        <v>2</v>
      </c>
      <c r="CA107">
        <v>0.86832740213523096</v>
      </c>
      <c r="CB107" t="s">
        <v>302</v>
      </c>
      <c r="CC107">
        <v>2</v>
      </c>
      <c r="CD107">
        <v>0.93642785065590295</v>
      </c>
      <c r="CE107" t="s">
        <v>224</v>
      </c>
      <c r="CF107">
        <v>2</v>
      </c>
      <c r="CG107">
        <v>1.1868131868131799</v>
      </c>
      <c r="CH107" t="s">
        <v>325</v>
      </c>
      <c r="CI107">
        <v>3</v>
      </c>
      <c r="CJ107">
        <v>1.00602409638554</v>
      </c>
      <c r="CK107" t="s">
        <v>278</v>
      </c>
      <c r="CL107">
        <v>1</v>
      </c>
      <c r="CM107">
        <v>1.03896103896103</v>
      </c>
      <c r="CN107" t="s">
        <v>351</v>
      </c>
      <c r="CO107">
        <v>3</v>
      </c>
      <c r="CP107">
        <v>0.79357231149567298</v>
      </c>
      <c r="CQ107" t="s">
        <v>352</v>
      </c>
      <c r="CR107">
        <v>2</v>
      </c>
      <c r="CS107">
        <v>1.0454545454545401</v>
      </c>
      <c r="CT107" t="s">
        <v>366</v>
      </c>
      <c r="CU107">
        <v>3</v>
      </c>
      <c r="CV107">
        <v>1.05720572057205</v>
      </c>
      <c r="CW107" t="s">
        <v>352</v>
      </c>
      <c r="CX107">
        <v>2</v>
      </c>
      <c r="CY107">
        <v>0.88565697091273798</v>
      </c>
      <c r="CZ107" t="s">
        <v>257</v>
      </c>
      <c r="DA107">
        <v>1</v>
      </c>
      <c r="DB107">
        <v>0.95585412667946201</v>
      </c>
      <c r="DC107" t="s">
        <v>250</v>
      </c>
      <c r="DD107">
        <v>3</v>
      </c>
      <c r="DE107">
        <v>1.0502512562813999</v>
      </c>
      <c r="DF107" t="s">
        <v>278</v>
      </c>
      <c r="DG107">
        <v>1</v>
      </c>
      <c r="DH107">
        <v>0.97935779816513702</v>
      </c>
    </row>
    <row r="108" spans="1:112" x14ac:dyDescent="0.4">
      <c r="A108">
        <v>106</v>
      </c>
      <c r="B108" t="s">
        <v>279</v>
      </c>
      <c r="C108">
        <v>2</v>
      </c>
      <c r="D108">
        <v>1.2270916334661299</v>
      </c>
      <c r="E108" t="s">
        <v>318</v>
      </c>
      <c r="F108">
        <v>3</v>
      </c>
      <c r="G108">
        <v>0.89075630252100801</v>
      </c>
      <c r="H108" t="s">
        <v>297</v>
      </c>
      <c r="I108">
        <v>2</v>
      </c>
      <c r="J108">
        <v>0.371111111111111</v>
      </c>
      <c r="K108" t="s">
        <v>294</v>
      </c>
      <c r="L108">
        <v>2</v>
      </c>
      <c r="M108">
        <v>0.80113636363636298</v>
      </c>
      <c r="N108" t="s">
        <v>272</v>
      </c>
      <c r="O108">
        <v>2</v>
      </c>
      <c r="P108">
        <v>1.41951219512195</v>
      </c>
      <c r="Q108" t="s">
        <v>224</v>
      </c>
      <c r="R108">
        <v>2</v>
      </c>
      <c r="S108">
        <v>0.84032476319350402</v>
      </c>
      <c r="T108" t="s">
        <v>229</v>
      </c>
      <c r="U108">
        <v>2</v>
      </c>
      <c r="V108">
        <v>0.94230769230769196</v>
      </c>
      <c r="W108" t="s">
        <v>219</v>
      </c>
      <c r="X108">
        <v>3</v>
      </c>
      <c r="Y108">
        <v>1.0548780487804801</v>
      </c>
      <c r="Z108" t="s">
        <v>336</v>
      </c>
      <c r="AA108">
        <v>2</v>
      </c>
      <c r="AB108">
        <v>1.0087873462214401</v>
      </c>
      <c r="AC108" t="s">
        <v>220</v>
      </c>
      <c r="AD108">
        <v>2</v>
      </c>
      <c r="AE108">
        <v>1.06242774566474</v>
      </c>
      <c r="AF108" t="s">
        <v>294</v>
      </c>
      <c r="AG108">
        <v>2</v>
      </c>
      <c r="AH108">
        <v>1.14039408866995</v>
      </c>
      <c r="AI108" t="s">
        <v>277</v>
      </c>
      <c r="AJ108">
        <v>2</v>
      </c>
      <c r="AK108">
        <v>1.0633914421552999</v>
      </c>
      <c r="AL108" t="s">
        <v>327</v>
      </c>
      <c r="AM108">
        <v>2</v>
      </c>
      <c r="AN108">
        <v>0.901913875598086</v>
      </c>
      <c r="AO108" t="s">
        <v>327</v>
      </c>
      <c r="AP108">
        <v>3</v>
      </c>
      <c r="AQ108">
        <v>1.08222811671087</v>
      </c>
      <c r="AR108" t="s">
        <v>258</v>
      </c>
      <c r="AS108">
        <v>1</v>
      </c>
      <c r="AT108">
        <v>0.82481751824817495</v>
      </c>
      <c r="AU108" t="s">
        <v>328</v>
      </c>
      <c r="AV108">
        <v>3</v>
      </c>
      <c r="AW108">
        <v>1.1445490045451601</v>
      </c>
      <c r="AX108" t="s">
        <v>337</v>
      </c>
      <c r="AY108">
        <v>2</v>
      </c>
      <c r="AZ108">
        <v>0.65589137113415896</v>
      </c>
      <c r="BA108" t="s">
        <v>258</v>
      </c>
      <c r="BB108">
        <v>1</v>
      </c>
      <c r="BC108">
        <v>1.03813559322033</v>
      </c>
      <c r="BD108" t="s">
        <v>111</v>
      </c>
      <c r="BE108">
        <v>2</v>
      </c>
      <c r="BF108">
        <v>0.84781628204164405</v>
      </c>
      <c r="BG108" t="s">
        <v>345</v>
      </c>
      <c r="BH108">
        <v>3</v>
      </c>
      <c r="BI108">
        <v>0.78372093023255796</v>
      </c>
      <c r="BJ108" t="s">
        <v>340</v>
      </c>
      <c r="BK108">
        <v>3</v>
      </c>
      <c r="BL108">
        <v>0.94134897360703795</v>
      </c>
      <c r="BM108" t="s">
        <v>224</v>
      </c>
      <c r="BN108">
        <v>2</v>
      </c>
      <c r="BO108">
        <v>0.91154422788605605</v>
      </c>
      <c r="BP108" t="s">
        <v>229</v>
      </c>
      <c r="BQ108">
        <v>1</v>
      </c>
      <c r="BR108">
        <v>1.24011299435028</v>
      </c>
      <c r="BS108" t="s">
        <v>111</v>
      </c>
      <c r="BT108">
        <v>2</v>
      </c>
      <c r="BU108">
        <v>0.875</v>
      </c>
      <c r="BV108" t="s">
        <v>302</v>
      </c>
      <c r="BW108">
        <v>2</v>
      </c>
      <c r="BX108">
        <v>0.81180811808118003</v>
      </c>
      <c r="BY108" t="s">
        <v>245</v>
      </c>
      <c r="BZ108">
        <v>1</v>
      </c>
      <c r="CA108">
        <v>1.0155279503105501</v>
      </c>
      <c r="CB108" t="s">
        <v>309</v>
      </c>
      <c r="CC108">
        <v>3</v>
      </c>
      <c r="CD108">
        <v>0.92899408284023599</v>
      </c>
      <c r="CE108" t="s">
        <v>226</v>
      </c>
      <c r="CF108">
        <v>1</v>
      </c>
      <c r="CG108">
        <v>0.971659696739538</v>
      </c>
      <c r="CH108" t="s">
        <v>235</v>
      </c>
      <c r="CI108">
        <v>1</v>
      </c>
      <c r="CJ108">
        <v>0.90864428588138901</v>
      </c>
      <c r="CK108" t="s">
        <v>363</v>
      </c>
      <c r="CL108">
        <v>3</v>
      </c>
      <c r="CM108">
        <v>0.73106060606060597</v>
      </c>
      <c r="CN108" t="s">
        <v>352</v>
      </c>
      <c r="CO108">
        <v>2</v>
      </c>
      <c r="CP108">
        <v>0.82352941176470495</v>
      </c>
      <c r="CQ108" t="s">
        <v>275</v>
      </c>
      <c r="CR108">
        <v>2</v>
      </c>
      <c r="CS108">
        <v>0.96851574212893499</v>
      </c>
      <c r="CT108" t="s">
        <v>303</v>
      </c>
      <c r="CU108">
        <v>3</v>
      </c>
      <c r="CV108">
        <v>0.85736196319018398</v>
      </c>
      <c r="CW108" t="s">
        <v>275</v>
      </c>
      <c r="CX108">
        <v>2</v>
      </c>
      <c r="CY108">
        <v>1.08006042296072</v>
      </c>
      <c r="CZ108" t="s">
        <v>334</v>
      </c>
      <c r="DA108">
        <v>3</v>
      </c>
      <c r="DB108">
        <v>0.91460055096418702</v>
      </c>
      <c r="DC108" t="s">
        <v>328</v>
      </c>
      <c r="DD108">
        <v>3</v>
      </c>
      <c r="DE108">
        <v>1.0768233640481</v>
      </c>
      <c r="DF108" t="s">
        <v>364</v>
      </c>
      <c r="DG108">
        <v>3</v>
      </c>
      <c r="DH108">
        <v>1.12181303116147</v>
      </c>
    </row>
    <row r="109" spans="1:112" x14ac:dyDescent="0.4">
      <c r="A109">
        <v>107</v>
      </c>
      <c r="B109" t="s">
        <v>272</v>
      </c>
      <c r="C109">
        <v>2</v>
      </c>
      <c r="D109">
        <v>1.09965635738831</v>
      </c>
      <c r="E109" t="s">
        <v>279</v>
      </c>
      <c r="F109">
        <v>2</v>
      </c>
      <c r="G109">
        <v>1.06493506493506</v>
      </c>
      <c r="H109" t="s">
        <v>291</v>
      </c>
      <c r="I109">
        <v>3</v>
      </c>
      <c r="J109">
        <v>0.43669724770642199</v>
      </c>
      <c r="K109" t="s">
        <v>304</v>
      </c>
      <c r="L109">
        <v>3</v>
      </c>
      <c r="M109">
        <v>0.96870554765291605</v>
      </c>
      <c r="N109" t="s">
        <v>204</v>
      </c>
      <c r="O109">
        <v>3</v>
      </c>
      <c r="P109">
        <v>1.33214285714285</v>
      </c>
      <c r="Q109" t="s">
        <v>302</v>
      </c>
      <c r="R109">
        <v>2</v>
      </c>
      <c r="S109">
        <v>0.84501347708894803</v>
      </c>
      <c r="T109" t="s">
        <v>315</v>
      </c>
      <c r="U109">
        <v>2</v>
      </c>
      <c r="V109">
        <v>1.3483146067415701</v>
      </c>
      <c r="W109" t="s">
        <v>336</v>
      </c>
      <c r="X109">
        <v>2</v>
      </c>
      <c r="Y109">
        <v>1.1027131782945701</v>
      </c>
      <c r="Z109" t="s">
        <v>313</v>
      </c>
      <c r="AA109">
        <v>2</v>
      </c>
      <c r="AB109">
        <v>0.99267399267399203</v>
      </c>
      <c r="AC109" t="s">
        <v>288</v>
      </c>
      <c r="AD109">
        <v>3</v>
      </c>
      <c r="AE109">
        <v>0.88901734104046204</v>
      </c>
      <c r="AF109" t="s">
        <v>336</v>
      </c>
      <c r="AG109">
        <v>3</v>
      </c>
      <c r="AH109">
        <v>0.99255121042830496</v>
      </c>
      <c r="AI109" t="s">
        <v>312</v>
      </c>
      <c r="AJ109">
        <v>2</v>
      </c>
      <c r="AK109">
        <v>1.3</v>
      </c>
      <c r="AL109" t="s">
        <v>258</v>
      </c>
      <c r="AM109">
        <v>1</v>
      </c>
      <c r="AN109">
        <v>1.02023121387283</v>
      </c>
      <c r="AO109" t="s">
        <v>258</v>
      </c>
      <c r="AP109">
        <v>1</v>
      </c>
      <c r="AQ109">
        <v>0.77620396600566499</v>
      </c>
      <c r="AR109" t="s">
        <v>111</v>
      </c>
      <c r="AS109">
        <v>2</v>
      </c>
      <c r="AT109">
        <v>0.74256002054178905</v>
      </c>
      <c r="AU109" t="s">
        <v>263</v>
      </c>
      <c r="AV109">
        <v>1</v>
      </c>
      <c r="AW109">
        <v>1.45588235294117</v>
      </c>
      <c r="AX109" t="s">
        <v>340</v>
      </c>
      <c r="AY109">
        <v>2</v>
      </c>
      <c r="AZ109">
        <v>0.71317829457364301</v>
      </c>
      <c r="BA109" t="s">
        <v>339</v>
      </c>
      <c r="BB109">
        <v>2</v>
      </c>
      <c r="BC109">
        <v>1.22535211267605</v>
      </c>
      <c r="BD109" t="s">
        <v>332</v>
      </c>
      <c r="BE109">
        <v>3</v>
      </c>
      <c r="BF109">
        <v>1.0598958333333299</v>
      </c>
      <c r="BG109" t="s">
        <v>328</v>
      </c>
      <c r="BH109">
        <v>3</v>
      </c>
      <c r="BI109">
        <v>0.938132687493196</v>
      </c>
      <c r="BJ109" t="s">
        <v>328</v>
      </c>
      <c r="BK109">
        <v>3</v>
      </c>
      <c r="BL109">
        <v>1.1736210822491899</v>
      </c>
      <c r="BM109" t="s">
        <v>226</v>
      </c>
      <c r="BN109">
        <v>1</v>
      </c>
      <c r="BO109">
        <v>1.14898972602739</v>
      </c>
      <c r="BP109" t="s">
        <v>327</v>
      </c>
      <c r="BQ109">
        <v>2</v>
      </c>
      <c r="BR109">
        <v>1.1344537815125999</v>
      </c>
      <c r="BS109" t="s">
        <v>332</v>
      </c>
      <c r="BT109">
        <v>3</v>
      </c>
      <c r="BU109">
        <v>0.85132382892057001</v>
      </c>
      <c r="BV109" t="s">
        <v>309</v>
      </c>
      <c r="BW109">
        <v>3</v>
      </c>
      <c r="BX109">
        <v>0.92638731596828905</v>
      </c>
      <c r="BY109" t="s">
        <v>332</v>
      </c>
      <c r="BZ109">
        <v>3</v>
      </c>
      <c r="CA109">
        <v>1.0857142857142801</v>
      </c>
      <c r="CB109" t="s">
        <v>229</v>
      </c>
      <c r="CC109">
        <v>1</v>
      </c>
      <c r="CD109">
        <v>0.76829268292682895</v>
      </c>
      <c r="CE109" t="s">
        <v>302</v>
      </c>
      <c r="CF109">
        <v>2</v>
      </c>
      <c r="CG109">
        <v>0.881465517241379</v>
      </c>
      <c r="CH109" t="s">
        <v>316</v>
      </c>
      <c r="CI109">
        <v>2</v>
      </c>
      <c r="CJ109">
        <v>0.93061224489795902</v>
      </c>
      <c r="CK109" t="s">
        <v>364</v>
      </c>
      <c r="CL109">
        <v>3</v>
      </c>
      <c r="CM109">
        <v>0.85283018867924498</v>
      </c>
      <c r="CN109" t="s">
        <v>355</v>
      </c>
      <c r="CO109">
        <v>3</v>
      </c>
      <c r="CP109">
        <v>0.86692759295499</v>
      </c>
      <c r="CQ109" t="s">
        <v>359</v>
      </c>
      <c r="CR109">
        <v>3</v>
      </c>
      <c r="CS109">
        <v>0.97981157469717295</v>
      </c>
      <c r="CT109" t="s">
        <v>289</v>
      </c>
      <c r="CU109">
        <v>2</v>
      </c>
      <c r="CV109">
        <v>1.13506493506493</v>
      </c>
      <c r="CW109" t="s">
        <v>359</v>
      </c>
      <c r="CX109">
        <v>3</v>
      </c>
      <c r="CY109">
        <v>1.0562248995983901</v>
      </c>
      <c r="CZ109" t="s">
        <v>338</v>
      </c>
      <c r="DA109">
        <v>3</v>
      </c>
      <c r="DB109">
        <v>1.1119751166407399</v>
      </c>
      <c r="DC109" t="s">
        <v>334</v>
      </c>
      <c r="DD109">
        <v>3</v>
      </c>
      <c r="DE109">
        <v>1.0256024096385501</v>
      </c>
      <c r="DF109" t="s">
        <v>366</v>
      </c>
      <c r="DG109">
        <v>3</v>
      </c>
      <c r="DH109">
        <v>1.04615384615384</v>
      </c>
    </row>
    <row r="110" spans="1:112" x14ac:dyDescent="0.4">
      <c r="A110">
        <v>108</v>
      </c>
      <c r="B110" t="s">
        <v>204</v>
      </c>
      <c r="C110">
        <v>2</v>
      </c>
      <c r="D110">
        <v>1.0261044176706799</v>
      </c>
      <c r="E110" t="s">
        <v>272</v>
      </c>
      <c r="F110">
        <v>2</v>
      </c>
      <c r="G110">
        <v>0.91249999999999998</v>
      </c>
      <c r="H110" t="s">
        <v>318</v>
      </c>
      <c r="I110">
        <v>3</v>
      </c>
      <c r="J110">
        <v>0.490566037735849</v>
      </c>
      <c r="K110" t="s">
        <v>336</v>
      </c>
      <c r="L110">
        <v>3</v>
      </c>
      <c r="M110">
        <v>1.0674373795761001</v>
      </c>
      <c r="N110" t="s">
        <v>269</v>
      </c>
      <c r="O110">
        <v>2</v>
      </c>
      <c r="P110">
        <v>1.9224555735056501</v>
      </c>
      <c r="Q110" t="s">
        <v>227</v>
      </c>
      <c r="R110">
        <v>2</v>
      </c>
      <c r="S110">
        <v>0.97199999999999998</v>
      </c>
      <c r="T110" t="s">
        <v>360</v>
      </c>
      <c r="U110">
        <v>3</v>
      </c>
      <c r="V110">
        <v>0.90580771107857405</v>
      </c>
      <c r="W110" t="s">
        <v>313</v>
      </c>
      <c r="X110">
        <v>2</v>
      </c>
      <c r="Y110">
        <v>1.0167597765363099</v>
      </c>
      <c r="Z110" t="s">
        <v>224</v>
      </c>
      <c r="AA110">
        <v>2</v>
      </c>
      <c r="AB110">
        <v>0.82929292929292897</v>
      </c>
      <c r="AC110" t="s">
        <v>294</v>
      </c>
      <c r="AD110">
        <v>2</v>
      </c>
      <c r="AE110">
        <v>1.0188205771643599</v>
      </c>
      <c r="AF110" t="s">
        <v>313</v>
      </c>
      <c r="AG110">
        <v>3</v>
      </c>
      <c r="AH110">
        <v>1.0155709342560499</v>
      </c>
      <c r="AI110" t="s">
        <v>281</v>
      </c>
      <c r="AJ110">
        <v>2</v>
      </c>
      <c r="AK110">
        <v>1.1017543859649099</v>
      </c>
      <c r="AL110" t="s">
        <v>111</v>
      </c>
      <c r="AM110">
        <v>2</v>
      </c>
      <c r="AN110">
        <v>0.81331134589940701</v>
      </c>
      <c r="AO110" t="s">
        <v>111</v>
      </c>
      <c r="AP110">
        <v>2</v>
      </c>
      <c r="AQ110">
        <v>0.91818931981610197</v>
      </c>
      <c r="AR110" t="s">
        <v>332</v>
      </c>
      <c r="AS110">
        <v>3</v>
      </c>
      <c r="AT110">
        <v>0.94276094276094202</v>
      </c>
      <c r="AU110" t="s">
        <v>334</v>
      </c>
      <c r="AV110">
        <v>3</v>
      </c>
      <c r="AW110">
        <v>1.00630914826498</v>
      </c>
      <c r="AX110" t="s">
        <v>345</v>
      </c>
      <c r="AY110">
        <v>3</v>
      </c>
      <c r="AZ110">
        <v>1.4877384196185199</v>
      </c>
      <c r="BA110" t="s">
        <v>337</v>
      </c>
      <c r="BB110">
        <v>2</v>
      </c>
      <c r="BC110">
        <v>0.87063773088997498</v>
      </c>
      <c r="BD110" t="s">
        <v>337</v>
      </c>
      <c r="BE110">
        <v>2</v>
      </c>
      <c r="BF110">
        <v>0.93396295636313997</v>
      </c>
      <c r="BG110" t="s">
        <v>263</v>
      </c>
      <c r="BH110">
        <v>2</v>
      </c>
      <c r="BI110">
        <v>1.1956521739130399</v>
      </c>
      <c r="BJ110" t="s">
        <v>347</v>
      </c>
      <c r="BK110">
        <v>3</v>
      </c>
      <c r="BL110">
        <v>1.57271095152603</v>
      </c>
      <c r="BM110" t="s">
        <v>302</v>
      </c>
      <c r="BN110">
        <v>2</v>
      </c>
      <c r="BO110">
        <v>0.92758620689655102</v>
      </c>
      <c r="BP110" t="s">
        <v>332</v>
      </c>
      <c r="BQ110">
        <v>3</v>
      </c>
      <c r="BR110">
        <v>1.03805496828752</v>
      </c>
      <c r="BS110" t="s">
        <v>345</v>
      </c>
      <c r="BT110">
        <v>3</v>
      </c>
      <c r="BU110">
        <v>1.0467706013363001</v>
      </c>
      <c r="BV110" t="s">
        <v>229</v>
      </c>
      <c r="BW110">
        <v>1</v>
      </c>
      <c r="BX110">
        <v>0.89523809523809506</v>
      </c>
      <c r="BY110" t="s">
        <v>354</v>
      </c>
      <c r="BZ110">
        <v>3</v>
      </c>
      <c r="CA110">
        <v>1.3125</v>
      </c>
      <c r="CB110" t="s">
        <v>325</v>
      </c>
      <c r="CC110">
        <v>3</v>
      </c>
      <c r="CD110">
        <v>0.78959810874704495</v>
      </c>
      <c r="CE110" t="s">
        <v>229</v>
      </c>
      <c r="CF110">
        <v>1</v>
      </c>
      <c r="CG110">
        <v>1.11904761904761</v>
      </c>
      <c r="CH110" t="s">
        <v>111</v>
      </c>
      <c r="CI110">
        <v>2</v>
      </c>
      <c r="CJ110">
        <v>0.74117647058823499</v>
      </c>
      <c r="CK110" t="s">
        <v>366</v>
      </c>
      <c r="CL110">
        <v>3</v>
      </c>
      <c r="CM110">
        <v>0.88530465949820702</v>
      </c>
      <c r="CN110" t="s">
        <v>275</v>
      </c>
      <c r="CO110">
        <v>2</v>
      </c>
      <c r="CP110">
        <v>0.92254495159059402</v>
      </c>
      <c r="CQ110" t="s">
        <v>278</v>
      </c>
      <c r="CR110">
        <v>1</v>
      </c>
      <c r="CS110">
        <v>1.1991828396322699</v>
      </c>
      <c r="CT110" t="s">
        <v>374</v>
      </c>
      <c r="CU110">
        <v>2</v>
      </c>
      <c r="CV110">
        <v>1.1281138790035501</v>
      </c>
      <c r="CW110" t="s">
        <v>278</v>
      </c>
      <c r="CX110">
        <v>1</v>
      </c>
      <c r="CY110">
        <v>0.92209856915739197</v>
      </c>
      <c r="CZ110" t="s">
        <v>342</v>
      </c>
      <c r="DA110">
        <v>3</v>
      </c>
      <c r="DB110">
        <v>1.0833333333333299</v>
      </c>
      <c r="DC110" t="s">
        <v>338</v>
      </c>
      <c r="DD110">
        <v>3</v>
      </c>
      <c r="DE110">
        <v>1.0055944055943999</v>
      </c>
      <c r="DF110" t="s">
        <v>289</v>
      </c>
      <c r="DG110">
        <v>2</v>
      </c>
      <c r="DH110">
        <v>1.0525657071339101</v>
      </c>
    </row>
    <row r="111" spans="1:112" x14ac:dyDescent="0.4">
      <c r="A111">
        <v>109</v>
      </c>
      <c r="B111" t="s">
        <v>330</v>
      </c>
      <c r="C111">
        <v>2</v>
      </c>
      <c r="D111">
        <v>0.73092369477911601</v>
      </c>
      <c r="E111" t="s">
        <v>276</v>
      </c>
      <c r="F111">
        <v>3</v>
      </c>
      <c r="G111">
        <v>0.77081904239264598</v>
      </c>
      <c r="H111" t="s">
        <v>272</v>
      </c>
      <c r="I111">
        <v>2</v>
      </c>
      <c r="J111">
        <v>0.69863013698630105</v>
      </c>
      <c r="K111" t="s">
        <v>313</v>
      </c>
      <c r="L111">
        <v>2</v>
      </c>
      <c r="M111">
        <v>1.1779141104294399</v>
      </c>
      <c r="N111" t="s">
        <v>208</v>
      </c>
      <c r="O111">
        <v>2</v>
      </c>
      <c r="P111">
        <v>1.3975044563279799</v>
      </c>
      <c r="Q111" t="s">
        <v>229</v>
      </c>
      <c r="R111">
        <v>2</v>
      </c>
      <c r="S111">
        <v>1.2621359223300901</v>
      </c>
      <c r="T111" t="s">
        <v>232</v>
      </c>
      <c r="U111">
        <v>1</v>
      </c>
      <c r="V111">
        <v>1.5641025641025601</v>
      </c>
      <c r="W111" t="s">
        <v>224</v>
      </c>
      <c r="X111">
        <v>2</v>
      </c>
      <c r="Y111">
        <v>0.96303501945525205</v>
      </c>
      <c r="Z111" t="s">
        <v>302</v>
      </c>
      <c r="AA111">
        <v>2</v>
      </c>
      <c r="AB111">
        <v>0.902061855670103</v>
      </c>
      <c r="AC111" t="s">
        <v>336</v>
      </c>
      <c r="AD111">
        <v>3</v>
      </c>
      <c r="AE111">
        <v>0.93554006968641101</v>
      </c>
      <c r="AF111" t="s">
        <v>224</v>
      </c>
      <c r="AG111">
        <v>2</v>
      </c>
      <c r="AH111">
        <v>1.2431332655137299</v>
      </c>
      <c r="AI111" t="s">
        <v>220</v>
      </c>
      <c r="AJ111">
        <v>2</v>
      </c>
      <c r="AK111">
        <v>0.89308855291576605</v>
      </c>
      <c r="AL111" t="s">
        <v>340</v>
      </c>
      <c r="AM111">
        <v>3</v>
      </c>
      <c r="AN111">
        <v>0.84126984126984095</v>
      </c>
      <c r="AO111" t="s">
        <v>340</v>
      </c>
      <c r="AP111">
        <v>2</v>
      </c>
      <c r="AQ111">
        <v>0.87169811320754698</v>
      </c>
      <c r="AR111" t="s">
        <v>337</v>
      </c>
      <c r="AS111">
        <v>2</v>
      </c>
      <c r="AT111">
        <v>0.77399460892705496</v>
      </c>
      <c r="AU111" t="s">
        <v>342</v>
      </c>
      <c r="AV111">
        <v>3</v>
      </c>
      <c r="AW111">
        <v>1.1111111111111101</v>
      </c>
      <c r="AX111" t="s">
        <v>354</v>
      </c>
      <c r="AY111">
        <v>3</v>
      </c>
      <c r="AZ111">
        <v>0.84818481848184801</v>
      </c>
      <c r="BA111" t="s">
        <v>328</v>
      </c>
      <c r="BB111">
        <v>3</v>
      </c>
      <c r="BC111">
        <v>1.0991210479956499</v>
      </c>
      <c r="BD111" t="s">
        <v>340</v>
      </c>
      <c r="BE111">
        <v>3</v>
      </c>
      <c r="BF111">
        <v>0.871428571428571</v>
      </c>
      <c r="BG111" t="s">
        <v>356</v>
      </c>
      <c r="BH111">
        <v>3</v>
      </c>
      <c r="BI111">
        <v>0.99270072992700698</v>
      </c>
      <c r="BJ111" t="s">
        <v>263</v>
      </c>
      <c r="BK111">
        <v>2</v>
      </c>
      <c r="BL111">
        <v>1.0909090909090899</v>
      </c>
      <c r="BM111" t="s">
        <v>309</v>
      </c>
      <c r="BN111">
        <v>3</v>
      </c>
      <c r="BO111">
        <v>0.94474153297682695</v>
      </c>
      <c r="BP111" t="s">
        <v>345</v>
      </c>
      <c r="BQ111">
        <v>3</v>
      </c>
      <c r="BR111">
        <v>0.93933054393305404</v>
      </c>
      <c r="BS111" t="s">
        <v>328</v>
      </c>
      <c r="BT111">
        <v>2</v>
      </c>
      <c r="BU111">
        <v>1.16304729777215</v>
      </c>
      <c r="BV111" t="s">
        <v>111</v>
      </c>
      <c r="BW111">
        <v>2</v>
      </c>
      <c r="BX111">
        <v>0.95578231292517002</v>
      </c>
      <c r="BY111" t="s">
        <v>328</v>
      </c>
      <c r="BZ111">
        <v>2</v>
      </c>
      <c r="CA111">
        <v>1.0464147683353699</v>
      </c>
      <c r="CB111" t="s">
        <v>111</v>
      </c>
      <c r="CC111">
        <v>2</v>
      </c>
      <c r="CD111">
        <v>0.83606557377049096</v>
      </c>
      <c r="CE111" t="s">
        <v>240</v>
      </c>
      <c r="CF111">
        <v>1</v>
      </c>
      <c r="CG111">
        <v>1.1529411764705799</v>
      </c>
      <c r="CH111" t="s">
        <v>332</v>
      </c>
      <c r="CI111">
        <v>3</v>
      </c>
      <c r="CJ111">
        <v>1.60569105691056</v>
      </c>
      <c r="CK111" t="s">
        <v>303</v>
      </c>
      <c r="CL111">
        <v>3</v>
      </c>
      <c r="CM111">
        <v>1.2478813559322</v>
      </c>
      <c r="CN111" t="s">
        <v>359</v>
      </c>
      <c r="CO111">
        <v>3</v>
      </c>
      <c r="CP111">
        <v>0.915024630541871</v>
      </c>
      <c r="CQ111" t="s">
        <v>364</v>
      </c>
      <c r="CR111">
        <v>3</v>
      </c>
      <c r="CS111">
        <v>0.917675544794188</v>
      </c>
      <c r="CT111" t="s">
        <v>381</v>
      </c>
      <c r="CU111">
        <v>2</v>
      </c>
      <c r="CV111">
        <v>1.1911423864175801</v>
      </c>
      <c r="CW111" t="s">
        <v>362</v>
      </c>
      <c r="CX111">
        <v>3</v>
      </c>
      <c r="CY111">
        <v>1.0145560407569101</v>
      </c>
      <c r="CZ111" t="s">
        <v>352</v>
      </c>
      <c r="DA111">
        <v>2</v>
      </c>
      <c r="DB111">
        <v>1.06908267270668</v>
      </c>
      <c r="DC111" t="s">
        <v>342</v>
      </c>
      <c r="DD111">
        <v>3</v>
      </c>
      <c r="DE111">
        <v>1.15734265734265</v>
      </c>
      <c r="DF111" t="s">
        <v>374</v>
      </c>
      <c r="DG111">
        <v>2</v>
      </c>
      <c r="DH111">
        <v>1.11247803163444</v>
      </c>
    </row>
    <row r="112" spans="1:112" x14ac:dyDescent="0.4">
      <c r="A112">
        <v>110</v>
      </c>
      <c r="B112" t="s">
        <v>286</v>
      </c>
      <c r="C112">
        <v>3</v>
      </c>
      <c r="D112">
        <v>1.0922619047619</v>
      </c>
      <c r="E112" t="s">
        <v>204</v>
      </c>
      <c r="F112">
        <v>3</v>
      </c>
      <c r="G112">
        <v>0.92172211350293498</v>
      </c>
      <c r="H112" t="s">
        <v>204</v>
      </c>
      <c r="I112">
        <v>3</v>
      </c>
      <c r="J112">
        <v>0.69426751592356595</v>
      </c>
      <c r="K112" t="s">
        <v>224</v>
      </c>
      <c r="L112">
        <v>2</v>
      </c>
      <c r="M112">
        <v>1.0579710144927501</v>
      </c>
      <c r="N112" t="s">
        <v>281</v>
      </c>
      <c r="O112">
        <v>2</v>
      </c>
      <c r="P112">
        <v>1.4385510996119</v>
      </c>
      <c r="Q112" t="s">
        <v>315</v>
      </c>
      <c r="R112">
        <v>2</v>
      </c>
      <c r="S112">
        <v>1.4584425799685301</v>
      </c>
      <c r="T112" t="s">
        <v>327</v>
      </c>
      <c r="U112">
        <v>2</v>
      </c>
      <c r="V112">
        <v>1.0323768902675401</v>
      </c>
      <c r="W112" t="s">
        <v>350</v>
      </c>
      <c r="X112">
        <v>2</v>
      </c>
      <c r="Y112">
        <v>0.75221882729521305</v>
      </c>
      <c r="Z112" t="s">
        <v>307</v>
      </c>
      <c r="AA112">
        <v>2</v>
      </c>
      <c r="AB112">
        <v>1.2911725955204201</v>
      </c>
      <c r="AC112" t="s">
        <v>313</v>
      </c>
      <c r="AD112">
        <v>3</v>
      </c>
      <c r="AE112">
        <v>1.0664206642066401</v>
      </c>
      <c r="AF112" t="s">
        <v>350</v>
      </c>
      <c r="AG112">
        <v>3</v>
      </c>
      <c r="AH112">
        <v>0.78348214285714202</v>
      </c>
      <c r="AI112" t="s">
        <v>218</v>
      </c>
      <c r="AJ112">
        <v>3</v>
      </c>
      <c r="AK112">
        <v>0.72189973614775704</v>
      </c>
      <c r="AL112" t="s">
        <v>328</v>
      </c>
      <c r="AM112">
        <v>3</v>
      </c>
      <c r="AN112">
        <v>1.2024828131955001</v>
      </c>
      <c r="AO112" t="s">
        <v>328</v>
      </c>
      <c r="AP112">
        <v>3</v>
      </c>
      <c r="AQ112">
        <v>1.04579854398881</v>
      </c>
      <c r="AR112" t="s">
        <v>340</v>
      </c>
      <c r="AS112">
        <v>2</v>
      </c>
      <c r="AT112">
        <v>0.81385281385281305</v>
      </c>
      <c r="AU112" t="s">
        <v>358</v>
      </c>
      <c r="AV112">
        <v>2</v>
      </c>
      <c r="AW112">
        <v>1.16525423728813</v>
      </c>
      <c r="AX112" t="s">
        <v>328</v>
      </c>
      <c r="AY112">
        <v>3</v>
      </c>
      <c r="AZ112">
        <v>0.99481701064563599</v>
      </c>
      <c r="BA112" t="s">
        <v>263</v>
      </c>
      <c r="BB112">
        <v>2</v>
      </c>
      <c r="BC112">
        <v>0.88535031847133705</v>
      </c>
      <c r="BD112" t="s">
        <v>345</v>
      </c>
      <c r="BE112">
        <v>3</v>
      </c>
      <c r="BF112">
        <v>0.990783410138248</v>
      </c>
      <c r="BG112" t="s">
        <v>358</v>
      </c>
      <c r="BH112">
        <v>2</v>
      </c>
      <c r="BI112">
        <v>0.93867334167709604</v>
      </c>
      <c r="BJ112" t="s">
        <v>356</v>
      </c>
      <c r="BK112">
        <v>3</v>
      </c>
      <c r="BL112">
        <v>0.95220588235294101</v>
      </c>
      <c r="BM112" t="s">
        <v>229</v>
      </c>
      <c r="BN112">
        <v>1</v>
      </c>
      <c r="BO112">
        <v>0.980609418282548</v>
      </c>
      <c r="BP112" t="s">
        <v>354</v>
      </c>
      <c r="BQ112">
        <v>3</v>
      </c>
      <c r="BR112">
        <v>0.91900311526479705</v>
      </c>
      <c r="BS112" t="s">
        <v>263</v>
      </c>
      <c r="BT112">
        <v>2</v>
      </c>
      <c r="BU112">
        <v>1.28008752735229</v>
      </c>
      <c r="BV112" t="s">
        <v>332</v>
      </c>
      <c r="BW112">
        <v>3</v>
      </c>
      <c r="BX112">
        <v>1.0047846889952099</v>
      </c>
      <c r="BY112" t="s">
        <v>342</v>
      </c>
      <c r="BZ112">
        <v>3</v>
      </c>
      <c r="CA112">
        <v>1.0880000000000001</v>
      </c>
      <c r="CB112" t="s">
        <v>245</v>
      </c>
      <c r="CC112">
        <v>1</v>
      </c>
      <c r="CD112">
        <v>1.07645259938837</v>
      </c>
      <c r="CE112" t="s">
        <v>325</v>
      </c>
      <c r="CF112">
        <v>3</v>
      </c>
      <c r="CG112">
        <v>0.99401197604790403</v>
      </c>
      <c r="CH112" t="s">
        <v>250</v>
      </c>
      <c r="CI112">
        <v>2</v>
      </c>
      <c r="CJ112">
        <v>1.5984916035072001</v>
      </c>
      <c r="CK112" t="s">
        <v>289</v>
      </c>
      <c r="CL112">
        <v>2</v>
      </c>
      <c r="CM112">
        <v>0.94444444444444398</v>
      </c>
      <c r="CN112" t="s">
        <v>278</v>
      </c>
      <c r="CO112">
        <v>1</v>
      </c>
      <c r="CP112">
        <v>1.01979166666666</v>
      </c>
      <c r="CQ112" t="s">
        <v>366</v>
      </c>
      <c r="CR112">
        <v>3</v>
      </c>
      <c r="CS112">
        <v>0.9</v>
      </c>
      <c r="CT112" t="s">
        <v>383</v>
      </c>
      <c r="CU112">
        <v>3</v>
      </c>
      <c r="CV112">
        <v>1.0053619302949</v>
      </c>
      <c r="CW112" t="s">
        <v>364</v>
      </c>
      <c r="CX112">
        <v>3</v>
      </c>
      <c r="CY112">
        <v>1.00416088765603</v>
      </c>
      <c r="CZ112" t="s">
        <v>359</v>
      </c>
      <c r="DA112">
        <v>3</v>
      </c>
      <c r="DB112">
        <v>0.94043092522179905</v>
      </c>
      <c r="DC112" t="s">
        <v>351</v>
      </c>
      <c r="DD112">
        <v>3</v>
      </c>
      <c r="DE112">
        <v>1.0757575757575699</v>
      </c>
      <c r="DF112" t="s">
        <v>380</v>
      </c>
      <c r="DG112">
        <v>3</v>
      </c>
      <c r="DH112">
        <v>1.02666666666666</v>
      </c>
    </row>
    <row r="113" spans="1:112" x14ac:dyDescent="0.4">
      <c r="A113">
        <v>111</v>
      </c>
      <c r="B113" t="s">
        <v>208</v>
      </c>
      <c r="C113">
        <v>2</v>
      </c>
      <c r="D113">
        <v>1.0042283298097201</v>
      </c>
      <c r="E113" t="s">
        <v>330</v>
      </c>
      <c r="F113">
        <v>2</v>
      </c>
      <c r="G113">
        <v>0.82637362637362599</v>
      </c>
      <c r="H113" t="s">
        <v>330</v>
      </c>
      <c r="I113">
        <v>2</v>
      </c>
      <c r="J113">
        <v>0.253324468085106</v>
      </c>
      <c r="K113" t="s">
        <v>302</v>
      </c>
      <c r="L113">
        <v>2</v>
      </c>
      <c r="M113">
        <v>1.1220095693779899</v>
      </c>
      <c r="N113" t="s">
        <v>220</v>
      </c>
      <c r="O113">
        <v>2</v>
      </c>
      <c r="P113">
        <v>1.1922480620155</v>
      </c>
      <c r="Q113" t="s">
        <v>360</v>
      </c>
      <c r="R113">
        <v>3</v>
      </c>
      <c r="S113">
        <v>1.75578406169665</v>
      </c>
      <c r="T113" t="s">
        <v>258</v>
      </c>
      <c r="U113">
        <v>1</v>
      </c>
      <c r="V113">
        <v>0.65506072874493904</v>
      </c>
      <c r="W113" t="s">
        <v>302</v>
      </c>
      <c r="X113">
        <v>2</v>
      </c>
      <c r="Y113">
        <v>1.5305719921104499</v>
      </c>
      <c r="Z113" t="s">
        <v>229</v>
      </c>
      <c r="AA113">
        <v>2</v>
      </c>
      <c r="AB113">
        <v>1.0327868852458999</v>
      </c>
      <c r="AC113" t="s">
        <v>224</v>
      </c>
      <c r="AD113">
        <v>2</v>
      </c>
      <c r="AE113">
        <v>1.1973203410475</v>
      </c>
      <c r="AF113" t="s">
        <v>302</v>
      </c>
      <c r="AG113">
        <v>2</v>
      </c>
      <c r="AH113">
        <v>1.5838068181818099</v>
      </c>
      <c r="AI113" t="s">
        <v>294</v>
      </c>
      <c r="AJ113">
        <v>2</v>
      </c>
      <c r="AK113">
        <v>0.82829373650107996</v>
      </c>
      <c r="AL113" t="s">
        <v>263</v>
      </c>
      <c r="AM113">
        <v>1</v>
      </c>
      <c r="AN113">
        <v>0.92647058823529405</v>
      </c>
      <c r="AO113" t="s">
        <v>263</v>
      </c>
      <c r="AP113">
        <v>1</v>
      </c>
      <c r="AQ113">
        <v>0.88007054673721297</v>
      </c>
      <c r="AR113" t="s">
        <v>354</v>
      </c>
      <c r="AS113">
        <v>3</v>
      </c>
      <c r="AT113">
        <v>0.78142857142857103</v>
      </c>
      <c r="AU113" t="s">
        <v>352</v>
      </c>
      <c r="AV113">
        <v>2</v>
      </c>
      <c r="AW113">
        <v>0.99814224386814898</v>
      </c>
      <c r="AX113" t="s">
        <v>347</v>
      </c>
      <c r="AY113">
        <v>3</v>
      </c>
      <c r="AZ113">
        <v>0.78157503714710197</v>
      </c>
      <c r="BA113" t="s">
        <v>356</v>
      </c>
      <c r="BB113">
        <v>3</v>
      </c>
      <c r="BC113">
        <v>1.1090909090909</v>
      </c>
      <c r="BD113" t="s">
        <v>328</v>
      </c>
      <c r="BE113">
        <v>3</v>
      </c>
      <c r="BF113">
        <v>1.25317146364752</v>
      </c>
      <c r="BG113" t="s">
        <v>352</v>
      </c>
      <c r="BH113">
        <v>2</v>
      </c>
      <c r="BI113">
        <v>1.1040327293980099</v>
      </c>
      <c r="BJ113" t="s">
        <v>358</v>
      </c>
      <c r="BK113">
        <v>2</v>
      </c>
      <c r="BL113">
        <v>0.86</v>
      </c>
      <c r="BM113" t="s">
        <v>327</v>
      </c>
      <c r="BN113">
        <v>2</v>
      </c>
      <c r="BO113">
        <v>0.98144329896907201</v>
      </c>
      <c r="BP113" t="s">
        <v>328</v>
      </c>
      <c r="BQ113">
        <v>2</v>
      </c>
      <c r="BR113">
        <v>1.0222227543763001</v>
      </c>
      <c r="BS113" t="s">
        <v>334</v>
      </c>
      <c r="BT113">
        <v>3</v>
      </c>
      <c r="BU113">
        <v>0.90190735694822799</v>
      </c>
      <c r="BV113" t="s">
        <v>354</v>
      </c>
      <c r="BW113">
        <v>3</v>
      </c>
      <c r="BX113">
        <v>1.26732673267326</v>
      </c>
      <c r="BY113" t="s">
        <v>348</v>
      </c>
      <c r="BZ113">
        <v>3</v>
      </c>
      <c r="CA113">
        <v>0.95550061804697095</v>
      </c>
      <c r="CB113" t="s">
        <v>332</v>
      </c>
      <c r="CC113">
        <v>3</v>
      </c>
      <c r="CD113">
        <v>1.0109649122807001</v>
      </c>
      <c r="CE113" t="s">
        <v>235</v>
      </c>
      <c r="CF113">
        <v>1</v>
      </c>
      <c r="CG113">
        <v>0.91203925961487098</v>
      </c>
      <c r="CH113" t="s">
        <v>337</v>
      </c>
      <c r="CI113">
        <v>3</v>
      </c>
      <c r="CJ113">
        <v>1.04602510460251</v>
      </c>
      <c r="CK113" t="s">
        <v>374</v>
      </c>
      <c r="CL113">
        <v>2</v>
      </c>
      <c r="CM113">
        <v>0.91486486486486396</v>
      </c>
      <c r="CN113" t="s">
        <v>363</v>
      </c>
      <c r="CO113">
        <v>3</v>
      </c>
      <c r="CP113">
        <v>0.84628670120898097</v>
      </c>
      <c r="CQ113" t="s">
        <v>303</v>
      </c>
      <c r="CR113">
        <v>3</v>
      </c>
      <c r="CS113">
        <v>0.94767441860465096</v>
      </c>
      <c r="CT113" t="s">
        <v>386</v>
      </c>
      <c r="CU113">
        <v>3</v>
      </c>
      <c r="CV113">
        <v>1.0310880829015501</v>
      </c>
      <c r="CW113" t="s">
        <v>366</v>
      </c>
      <c r="CX113">
        <v>3</v>
      </c>
      <c r="CY113">
        <v>0.946930280957336</v>
      </c>
      <c r="CZ113" t="s">
        <v>278</v>
      </c>
      <c r="DA113">
        <v>1</v>
      </c>
      <c r="DB113">
        <v>0.80172413793103403</v>
      </c>
      <c r="DC113" t="s">
        <v>352</v>
      </c>
      <c r="DD113">
        <v>2</v>
      </c>
      <c r="DE113">
        <v>0.93644067796610098</v>
      </c>
      <c r="DF113" t="s">
        <v>381</v>
      </c>
      <c r="DG113">
        <v>2</v>
      </c>
      <c r="DH113">
        <v>1.1327014218009399</v>
      </c>
    </row>
    <row r="114" spans="1:112" x14ac:dyDescent="0.4">
      <c r="A114">
        <v>112</v>
      </c>
      <c r="B114" t="s">
        <v>281</v>
      </c>
      <c r="C114">
        <v>2</v>
      </c>
      <c r="D114">
        <v>0.95709779179810694</v>
      </c>
      <c r="E114" t="s">
        <v>286</v>
      </c>
      <c r="F114">
        <v>3</v>
      </c>
      <c r="G114">
        <v>0.87057220708446803</v>
      </c>
      <c r="H114" t="s">
        <v>208</v>
      </c>
      <c r="I114">
        <v>2</v>
      </c>
      <c r="J114">
        <v>0.92086330935251803</v>
      </c>
      <c r="K114" t="s">
        <v>307</v>
      </c>
      <c r="L114">
        <v>2</v>
      </c>
      <c r="M114">
        <v>0.94481605351170495</v>
      </c>
      <c r="N114" t="s">
        <v>294</v>
      </c>
      <c r="O114">
        <v>2</v>
      </c>
      <c r="P114">
        <v>1.3148936170212699</v>
      </c>
      <c r="Q114" t="s">
        <v>327</v>
      </c>
      <c r="R114">
        <v>2</v>
      </c>
      <c r="S114">
        <v>1.01977066034005</v>
      </c>
      <c r="T114" t="s">
        <v>339</v>
      </c>
      <c r="U114">
        <v>2</v>
      </c>
      <c r="V114">
        <v>0.94678792569659398</v>
      </c>
      <c r="W114" t="s">
        <v>229</v>
      </c>
      <c r="X114">
        <v>2</v>
      </c>
      <c r="Y114">
        <v>1.24489795918367</v>
      </c>
      <c r="Z114" t="s">
        <v>327</v>
      </c>
      <c r="AA114">
        <v>2</v>
      </c>
      <c r="AB114">
        <v>0.96251228529976096</v>
      </c>
      <c r="AC114" t="s">
        <v>302</v>
      </c>
      <c r="AD114">
        <v>2</v>
      </c>
      <c r="AE114">
        <v>1.00571428571428</v>
      </c>
      <c r="AF114" t="s">
        <v>307</v>
      </c>
      <c r="AG114">
        <v>2</v>
      </c>
      <c r="AH114">
        <v>1.0909090909090899</v>
      </c>
      <c r="AI114" t="s">
        <v>336</v>
      </c>
      <c r="AJ114">
        <v>3</v>
      </c>
      <c r="AK114">
        <v>0.80300187617260699</v>
      </c>
      <c r="AL114" t="s">
        <v>356</v>
      </c>
      <c r="AM114">
        <v>3</v>
      </c>
      <c r="AN114">
        <v>1.2160493827160399</v>
      </c>
      <c r="AO114" t="s">
        <v>356</v>
      </c>
      <c r="AP114">
        <v>3</v>
      </c>
      <c r="AQ114">
        <v>0.81218274111675104</v>
      </c>
      <c r="AR114" t="s">
        <v>328</v>
      </c>
      <c r="AS114">
        <v>3</v>
      </c>
      <c r="AT114">
        <v>0.92153855229779902</v>
      </c>
      <c r="AU114" t="s">
        <v>275</v>
      </c>
      <c r="AV114">
        <v>2</v>
      </c>
      <c r="AW114">
        <v>0.98952879581151798</v>
      </c>
      <c r="AX114" t="s">
        <v>263</v>
      </c>
      <c r="AY114">
        <v>1</v>
      </c>
      <c r="AZ114">
        <v>0.95151515151515098</v>
      </c>
      <c r="BA114" t="s">
        <v>358</v>
      </c>
      <c r="BB114">
        <v>2</v>
      </c>
      <c r="BC114">
        <v>1.12445414847161</v>
      </c>
      <c r="BD114" t="s">
        <v>263</v>
      </c>
      <c r="BE114">
        <v>2</v>
      </c>
      <c r="BF114">
        <v>0.99280575539568305</v>
      </c>
      <c r="BG114" t="s">
        <v>275</v>
      </c>
      <c r="BH114">
        <v>2</v>
      </c>
      <c r="BI114">
        <v>1.04318181818181</v>
      </c>
      <c r="BJ114" t="s">
        <v>352</v>
      </c>
      <c r="BK114">
        <v>2</v>
      </c>
      <c r="BL114">
        <v>1.14790894653255</v>
      </c>
      <c r="BM114" t="s">
        <v>332</v>
      </c>
      <c r="BN114">
        <v>3</v>
      </c>
      <c r="BO114">
        <v>0.70491803278688503</v>
      </c>
      <c r="BP114" t="s">
        <v>263</v>
      </c>
      <c r="BQ114">
        <v>2</v>
      </c>
      <c r="BR114">
        <v>1.0627906976744099</v>
      </c>
      <c r="BS114" t="s">
        <v>358</v>
      </c>
      <c r="BT114">
        <v>2</v>
      </c>
      <c r="BU114">
        <v>1.2004008016032</v>
      </c>
      <c r="BV114" t="s">
        <v>328</v>
      </c>
      <c r="BW114">
        <v>2</v>
      </c>
      <c r="BX114">
        <v>1.10746872922835</v>
      </c>
      <c r="BY114" t="s">
        <v>358</v>
      </c>
      <c r="BZ114">
        <v>3</v>
      </c>
      <c r="CA114">
        <v>1.1168224299065399</v>
      </c>
      <c r="CB114" t="s">
        <v>337</v>
      </c>
      <c r="CC114">
        <v>3</v>
      </c>
      <c r="CD114">
        <v>0.46037735849056599</v>
      </c>
      <c r="CE114" t="s">
        <v>258</v>
      </c>
      <c r="CF114">
        <v>1</v>
      </c>
      <c r="CG114">
        <v>1</v>
      </c>
      <c r="CH114" t="s">
        <v>328</v>
      </c>
      <c r="CI114">
        <v>2</v>
      </c>
      <c r="CJ114">
        <v>1.2499947176030499</v>
      </c>
      <c r="CK114" t="s">
        <v>381</v>
      </c>
      <c r="CL114">
        <v>2</v>
      </c>
      <c r="CM114">
        <v>0.78229774831100796</v>
      </c>
      <c r="CN114" t="s">
        <v>364</v>
      </c>
      <c r="CO114">
        <v>3</v>
      </c>
      <c r="CP114">
        <v>0.91371681415929196</v>
      </c>
      <c r="CQ114" t="s">
        <v>289</v>
      </c>
      <c r="CR114">
        <v>2</v>
      </c>
      <c r="CS114">
        <v>0.66379310344827502</v>
      </c>
      <c r="CT114" t="s">
        <v>390</v>
      </c>
      <c r="CU114">
        <v>2</v>
      </c>
      <c r="CV114">
        <v>1.1256410256410201</v>
      </c>
      <c r="CW114" t="s">
        <v>303</v>
      </c>
      <c r="CX114">
        <v>3</v>
      </c>
      <c r="CY114">
        <v>1.00178890876565</v>
      </c>
      <c r="CZ114" t="s">
        <v>362</v>
      </c>
      <c r="DA114">
        <v>3</v>
      </c>
      <c r="DB114">
        <v>1.0846484935437499</v>
      </c>
      <c r="DC114" t="s">
        <v>275</v>
      </c>
      <c r="DD114">
        <v>2</v>
      </c>
      <c r="DE114">
        <v>1.002849002849</v>
      </c>
      <c r="DF114" t="s">
        <v>383</v>
      </c>
      <c r="DG114">
        <v>3</v>
      </c>
      <c r="DH114">
        <v>1.0875912408759101</v>
      </c>
    </row>
    <row r="115" spans="1:112" x14ac:dyDescent="0.4">
      <c r="A115">
        <v>113</v>
      </c>
      <c r="B115" t="s">
        <v>220</v>
      </c>
      <c r="C115">
        <v>2</v>
      </c>
      <c r="D115">
        <v>0.86934023285899098</v>
      </c>
      <c r="E115" t="s">
        <v>208</v>
      </c>
      <c r="F115">
        <v>2</v>
      </c>
      <c r="G115">
        <v>0.731578947368421</v>
      </c>
      <c r="H115" t="s">
        <v>281</v>
      </c>
      <c r="I115">
        <v>2</v>
      </c>
      <c r="J115">
        <v>0.79839518555667</v>
      </c>
      <c r="K115" t="s">
        <v>227</v>
      </c>
      <c r="L115">
        <v>2</v>
      </c>
      <c r="M115">
        <v>0.80451127819548796</v>
      </c>
      <c r="N115" t="s">
        <v>304</v>
      </c>
      <c r="O115">
        <v>3</v>
      </c>
      <c r="P115">
        <v>1.0778267254038101</v>
      </c>
      <c r="Q115" t="s">
        <v>258</v>
      </c>
      <c r="R115">
        <v>1</v>
      </c>
      <c r="S115">
        <v>0.89492753623188404</v>
      </c>
      <c r="T115" t="s">
        <v>111</v>
      </c>
      <c r="U115">
        <v>2</v>
      </c>
      <c r="V115">
        <v>1.03112128849818</v>
      </c>
      <c r="W115" t="s">
        <v>360</v>
      </c>
      <c r="X115">
        <v>3</v>
      </c>
      <c r="Y115">
        <v>1.1185344827586201</v>
      </c>
      <c r="Z115" t="s">
        <v>258</v>
      </c>
      <c r="AA115">
        <v>1</v>
      </c>
      <c r="AB115">
        <v>0.94615384615384601</v>
      </c>
      <c r="AC115" t="s">
        <v>307</v>
      </c>
      <c r="AD115">
        <v>2</v>
      </c>
      <c r="AE115">
        <v>0.78571428571428503</v>
      </c>
      <c r="AF115" t="s">
        <v>227</v>
      </c>
      <c r="AG115">
        <v>2</v>
      </c>
      <c r="AH115">
        <v>1.4361001317522999</v>
      </c>
      <c r="AI115" t="s">
        <v>313</v>
      </c>
      <c r="AJ115">
        <v>3</v>
      </c>
      <c r="AK115">
        <v>1.0153321976149901</v>
      </c>
      <c r="AL115" t="s">
        <v>342</v>
      </c>
      <c r="AM115">
        <v>2</v>
      </c>
      <c r="AN115">
        <v>0.83280757097791802</v>
      </c>
      <c r="AO115" t="s">
        <v>342</v>
      </c>
      <c r="AP115">
        <v>3</v>
      </c>
      <c r="AQ115">
        <v>1.39772727272727</v>
      </c>
      <c r="AR115" t="s">
        <v>347</v>
      </c>
      <c r="AS115">
        <v>3</v>
      </c>
      <c r="AT115">
        <v>0.80884676145339596</v>
      </c>
      <c r="AU115" t="s">
        <v>359</v>
      </c>
      <c r="AV115">
        <v>3</v>
      </c>
      <c r="AW115">
        <v>1.0811359026369101</v>
      </c>
      <c r="AX115" t="s">
        <v>356</v>
      </c>
      <c r="AY115">
        <v>3</v>
      </c>
      <c r="AZ115">
        <v>0.6875</v>
      </c>
      <c r="BA115" t="s">
        <v>352</v>
      </c>
      <c r="BB115">
        <v>2</v>
      </c>
      <c r="BC115">
        <v>1.0252256334730501</v>
      </c>
      <c r="BD115" t="s">
        <v>356</v>
      </c>
      <c r="BE115">
        <v>3</v>
      </c>
      <c r="BF115">
        <v>1.1229508196721301</v>
      </c>
      <c r="BG115" t="s">
        <v>359</v>
      </c>
      <c r="BH115">
        <v>3</v>
      </c>
      <c r="BI115">
        <v>1.07846410684474</v>
      </c>
      <c r="BJ115" t="s">
        <v>275</v>
      </c>
      <c r="BK115">
        <v>2</v>
      </c>
      <c r="BL115">
        <v>1.2287581699346399</v>
      </c>
      <c r="BM115" t="s">
        <v>340</v>
      </c>
      <c r="BN115">
        <v>3</v>
      </c>
      <c r="BO115">
        <v>0.83956386292834895</v>
      </c>
      <c r="BP115" t="s">
        <v>356</v>
      </c>
      <c r="BQ115">
        <v>3</v>
      </c>
      <c r="BR115">
        <v>0.86071428571428499</v>
      </c>
      <c r="BS115" t="s">
        <v>352</v>
      </c>
      <c r="BT115">
        <v>2</v>
      </c>
      <c r="BU115">
        <v>1.06132010472647</v>
      </c>
      <c r="BV115" t="s">
        <v>334</v>
      </c>
      <c r="BW115">
        <v>3</v>
      </c>
      <c r="BX115">
        <v>1.9577039274924399</v>
      </c>
      <c r="BY115" t="s">
        <v>352</v>
      </c>
      <c r="BZ115">
        <v>2</v>
      </c>
      <c r="CA115">
        <v>0.99530259305289304</v>
      </c>
      <c r="CB115" t="s">
        <v>328</v>
      </c>
      <c r="CC115">
        <v>2</v>
      </c>
      <c r="CD115">
        <v>0.85887597876056898</v>
      </c>
      <c r="CE115" t="s">
        <v>316</v>
      </c>
      <c r="CF115">
        <v>2</v>
      </c>
      <c r="CG115">
        <v>0.866745283018867</v>
      </c>
      <c r="CH115" t="s">
        <v>338</v>
      </c>
      <c r="CI115">
        <v>2</v>
      </c>
      <c r="CJ115">
        <v>1.0133729569093599</v>
      </c>
      <c r="CK115" t="s">
        <v>382</v>
      </c>
      <c r="CL115">
        <v>3</v>
      </c>
      <c r="CM115">
        <v>0.79022082018927398</v>
      </c>
      <c r="CN115" t="s">
        <v>366</v>
      </c>
      <c r="CO115">
        <v>3</v>
      </c>
      <c r="CP115">
        <v>0.81781376518218596</v>
      </c>
      <c r="CQ115" t="s">
        <v>374</v>
      </c>
      <c r="CR115">
        <v>2</v>
      </c>
      <c r="CS115">
        <v>0.851515151515151</v>
      </c>
      <c r="CT115" t="s">
        <v>393</v>
      </c>
      <c r="CU115">
        <v>3</v>
      </c>
      <c r="CV115">
        <v>1.0172413793103401</v>
      </c>
      <c r="CW115" t="s">
        <v>289</v>
      </c>
      <c r="CX115">
        <v>2</v>
      </c>
      <c r="CY115">
        <v>0.97597254004576595</v>
      </c>
      <c r="CZ115" t="s">
        <v>364</v>
      </c>
      <c r="DA115">
        <v>3</v>
      </c>
      <c r="DB115">
        <v>0.88674033149171205</v>
      </c>
      <c r="DC115" t="s">
        <v>359</v>
      </c>
      <c r="DD115">
        <v>3</v>
      </c>
      <c r="DE115">
        <v>1.0040431266846299</v>
      </c>
      <c r="DF115" t="s">
        <v>386</v>
      </c>
      <c r="DG115">
        <v>3</v>
      </c>
      <c r="DH115">
        <v>1.0526315789473599</v>
      </c>
    </row>
    <row r="116" spans="1:112" x14ac:dyDescent="0.4">
      <c r="A116">
        <v>114</v>
      </c>
      <c r="B116" t="s">
        <v>290</v>
      </c>
      <c r="C116">
        <v>2</v>
      </c>
      <c r="D116">
        <v>1.1985711045588501</v>
      </c>
      <c r="E116" t="s">
        <v>281</v>
      </c>
      <c r="F116">
        <v>2</v>
      </c>
      <c r="G116">
        <v>0.65721819380355895</v>
      </c>
      <c r="H116" t="s">
        <v>220</v>
      </c>
      <c r="I116">
        <v>2</v>
      </c>
      <c r="J116">
        <v>1.2810457516339799</v>
      </c>
      <c r="K116" t="s">
        <v>229</v>
      </c>
      <c r="L116">
        <v>1</v>
      </c>
      <c r="M116">
        <v>1.3927855711422801</v>
      </c>
      <c r="N116" t="s">
        <v>336</v>
      </c>
      <c r="O116">
        <v>3</v>
      </c>
      <c r="P116">
        <v>1.0722021660649801</v>
      </c>
      <c r="Q116" t="s">
        <v>339</v>
      </c>
      <c r="R116">
        <v>2</v>
      </c>
      <c r="S116">
        <v>1.0050563982886001</v>
      </c>
      <c r="T116" t="s">
        <v>245</v>
      </c>
      <c r="U116">
        <v>1</v>
      </c>
      <c r="V116">
        <v>1.00106609808102</v>
      </c>
      <c r="W116" t="s">
        <v>327</v>
      </c>
      <c r="X116">
        <v>2</v>
      </c>
      <c r="Y116">
        <v>1.0031455399061</v>
      </c>
      <c r="Z116" t="s">
        <v>316</v>
      </c>
      <c r="AA116">
        <v>3</v>
      </c>
      <c r="AB116">
        <v>2.30846774193548</v>
      </c>
      <c r="AC116" t="s">
        <v>229</v>
      </c>
      <c r="AD116">
        <v>1</v>
      </c>
      <c r="AE116">
        <v>1.7047619047619</v>
      </c>
      <c r="AF116" t="s">
        <v>327</v>
      </c>
      <c r="AG116">
        <v>2</v>
      </c>
      <c r="AH116">
        <v>0.91407678244972501</v>
      </c>
      <c r="AI116" t="s">
        <v>224</v>
      </c>
      <c r="AJ116">
        <v>2</v>
      </c>
      <c r="AK116">
        <v>0.83633387888707</v>
      </c>
      <c r="AL116" t="s">
        <v>379</v>
      </c>
      <c r="AM116">
        <v>3</v>
      </c>
      <c r="AN116">
        <v>1.3265306122448901</v>
      </c>
      <c r="AO116" t="s">
        <v>358</v>
      </c>
      <c r="AP116">
        <v>2</v>
      </c>
      <c r="AQ116">
        <v>0.97326203208556095</v>
      </c>
      <c r="AR116" t="s">
        <v>263</v>
      </c>
      <c r="AS116">
        <v>1</v>
      </c>
      <c r="AT116">
        <v>0.68136272545090104</v>
      </c>
      <c r="AU116" t="s">
        <v>278</v>
      </c>
      <c r="AV116">
        <v>1</v>
      </c>
      <c r="AW116">
        <v>1.00199600798403</v>
      </c>
      <c r="AX116" t="s">
        <v>334</v>
      </c>
      <c r="AY116">
        <v>3</v>
      </c>
      <c r="AZ116">
        <v>0.82445141065830696</v>
      </c>
      <c r="BA116" t="s">
        <v>275</v>
      </c>
      <c r="BB116">
        <v>2</v>
      </c>
      <c r="BC116">
        <v>1.0856353591160199</v>
      </c>
      <c r="BD116" t="s">
        <v>358</v>
      </c>
      <c r="BE116">
        <v>2</v>
      </c>
      <c r="BF116">
        <v>0.77572815533980499</v>
      </c>
      <c r="BG116" t="s">
        <v>278</v>
      </c>
      <c r="BH116">
        <v>1</v>
      </c>
      <c r="BI116">
        <v>1.22284644194756</v>
      </c>
      <c r="BJ116" t="s">
        <v>359</v>
      </c>
      <c r="BK116">
        <v>3</v>
      </c>
      <c r="BL116">
        <v>1.19040247678018</v>
      </c>
      <c r="BM116" t="s">
        <v>345</v>
      </c>
      <c r="BN116">
        <v>3</v>
      </c>
      <c r="BO116">
        <v>0.96370967741935398</v>
      </c>
      <c r="BP116" t="s">
        <v>348</v>
      </c>
      <c r="BQ116">
        <v>3</v>
      </c>
      <c r="BR116">
        <v>1.27296587926509</v>
      </c>
      <c r="BS116" t="s">
        <v>359</v>
      </c>
      <c r="BT116">
        <v>3</v>
      </c>
      <c r="BU116">
        <v>1.01036269430051</v>
      </c>
      <c r="BV116" t="s">
        <v>342</v>
      </c>
      <c r="BW116">
        <v>3</v>
      </c>
      <c r="BX116">
        <v>0.93984962406015005</v>
      </c>
      <c r="BY116" t="s">
        <v>355</v>
      </c>
      <c r="BZ116">
        <v>3</v>
      </c>
      <c r="CA116">
        <v>1.0587084148727901</v>
      </c>
      <c r="CB116" t="s">
        <v>338</v>
      </c>
      <c r="CC116">
        <v>2</v>
      </c>
      <c r="CD116">
        <v>0.83440860215053703</v>
      </c>
      <c r="CE116" t="s">
        <v>111</v>
      </c>
      <c r="CF116">
        <v>2</v>
      </c>
      <c r="CG116">
        <v>1.1666666666666601</v>
      </c>
      <c r="CH116" t="s">
        <v>348</v>
      </c>
      <c r="CI116">
        <v>3</v>
      </c>
      <c r="CJ116">
        <v>0.96728971962616805</v>
      </c>
      <c r="CK116" t="s">
        <v>383</v>
      </c>
      <c r="CL116">
        <v>3</v>
      </c>
      <c r="CM116">
        <v>0.81756756756756699</v>
      </c>
      <c r="CN116" t="s">
        <v>303</v>
      </c>
      <c r="CO116">
        <v>3</v>
      </c>
      <c r="CP116">
        <v>1.16808149405772</v>
      </c>
      <c r="CQ116" t="s">
        <v>381</v>
      </c>
      <c r="CR116">
        <v>2</v>
      </c>
      <c r="CS116">
        <v>0.90443237782548302</v>
      </c>
      <c r="CT116" t="s">
        <v>395</v>
      </c>
      <c r="CU116">
        <v>1</v>
      </c>
      <c r="CV116">
        <v>0.91400000000000003</v>
      </c>
      <c r="CW116" t="s">
        <v>374</v>
      </c>
      <c r="CX116">
        <v>2</v>
      </c>
      <c r="CY116">
        <v>1.00788643533123</v>
      </c>
      <c r="CZ116" t="s">
        <v>366</v>
      </c>
      <c r="DA116">
        <v>3</v>
      </c>
      <c r="DB116">
        <v>1.09450549450549</v>
      </c>
      <c r="DC116" t="s">
        <v>278</v>
      </c>
      <c r="DD116">
        <v>1</v>
      </c>
      <c r="DE116">
        <v>0.93763440860214997</v>
      </c>
      <c r="DF116" t="s">
        <v>390</v>
      </c>
      <c r="DG116">
        <v>2</v>
      </c>
      <c r="DH116">
        <v>1.0429104477611899</v>
      </c>
    </row>
    <row r="117" spans="1:112" x14ac:dyDescent="0.4">
      <c r="A117">
        <v>115</v>
      </c>
      <c r="B117" t="s">
        <v>294</v>
      </c>
      <c r="C117">
        <v>2</v>
      </c>
      <c r="D117">
        <v>1.16647791619479</v>
      </c>
      <c r="E117" t="s">
        <v>220</v>
      </c>
      <c r="F117">
        <v>2</v>
      </c>
      <c r="G117">
        <v>0.91071428571428503</v>
      </c>
      <c r="H117" t="s">
        <v>288</v>
      </c>
      <c r="I117">
        <v>3</v>
      </c>
      <c r="J117">
        <v>0.52294685990338097</v>
      </c>
      <c r="K117" t="s">
        <v>315</v>
      </c>
      <c r="L117">
        <v>2</v>
      </c>
      <c r="M117">
        <v>1.6119704902427401</v>
      </c>
      <c r="N117" t="s">
        <v>313</v>
      </c>
      <c r="O117">
        <v>2</v>
      </c>
      <c r="P117">
        <v>1.0885416666666601</v>
      </c>
      <c r="Q117" t="s">
        <v>111</v>
      </c>
      <c r="R117">
        <v>2</v>
      </c>
      <c r="S117">
        <v>0.910921028685024</v>
      </c>
      <c r="T117" t="s">
        <v>357</v>
      </c>
      <c r="U117">
        <v>2</v>
      </c>
      <c r="V117">
        <v>0.71612903225806401</v>
      </c>
      <c r="W117" t="s">
        <v>258</v>
      </c>
      <c r="X117">
        <v>1</v>
      </c>
      <c r="Y117">
        <v>1.60692212608158</v>
      </c>
      <c r="Z117" t="s">
        <v>339</v>
      </c>
      <c r="AA117">
        <v>2</v>
      </c>
      <c r="AB117">
        <v>1.2180183946488199</v>
      </c>
      <c r="AC117" t="s">
        <v>360</v>
      </c>
      <c r="AD117">
        <v>2</v>
      </c>
      <c r="AE117">
        <v>0.95398428731761997</v>
      </c>
      <c r="AF117" t="s">
        <v>339</v>
      </c>
      <c r="AG117">
        <v>3</v>
      </c>
      <c r="AH117">
        <v>1.0738742706154301</v>
      </c>
      <c r="AI117" t="s">
        <v>302</v>
      </c>
      <c r="AJ117">
        <v>2</v>
      </c>
      <c r="AK117">
        <v>1.0224215246636701</v>
      </c>
      <c r="AL117" t="s">
        <v>358</v>
      </c>
      <c r="AM117">
        <v>2</v>
      </c>
      <c r="AN117">
        <v>0.98421052631578898</v>
      </c>
      <c r="AO117" t="s">
        <v>352</v>
      </c>
      <c r="AP117">
        <v>2</v>
      </c>
      <c r="AQ117">
        <v>0.94946313792658898</v>
      </c>
      <c r="AR117" t="s">
        <v>356</v>
      </c>
      <c r="AS117">
        <v>3</v>
      </c>
      <c r="AT117">
        <v>0.63437500000000002</v>
      </c>
      <c r="AU117" t="s">
        <v>368</v>
      </c>
      <c r="AV117">
        <v>2</v>
      </c>
      <c r="AW117">
        <v>1.0724637681159399</v>
      </c>
      <c r="AX117" t="s">
        <v>342</v>
      </c>
      <c r="AY117">
        <v>3</v>
      </c>
      <c r="AZ117">
        <v>0.69333333333333302</v>
      </c>
      <c r="BA117" t="s">
        <v>359</v>
      </c>
      <c r="BB117">
        <v>3</v>
      </c>
      <c r="BC117">
        <v>1.06944444444444</v>
      </c>
      <c r="BD117" t="s">
        <v>352</v>
      </c>
      <c r="BE117">
        <v>2</v>
      </c>
      <c r="BF117">
        <v>0.94533868650778996</v>
      </c>
      <c r="BG117" t="s">
        <v>365</v>
      </c>
      <c r="BH117">
        <v>2</v>
      </c>
      <c r="BI117">
        <v>1.19241325786973</v>
      </c>
      <c r="BJ117" t="s">
        <v>278</v>
      </c>
      <c r="BK117">
        <v>1</v>
      </c>
      <c r="BL117">
        <v>0.82082695252679905</v>
      </c>
      <c r="BM117" t="s">
        <v>328</v>
      </c>
      <c r="BN117">
        <v>2</v>
      </c>
      <c r="BO117">
        <v>1.0321057834898599</v>
      </c>
      <c r="BP117" t="s">
        <v>358</v>
      </c>
      <c r="BQ117">
        <v>2</v>
      </c>
      <c r="BR117">
        <v>0.96332046332046295</v>
      </c>
      <c r="BS117" t="s">
        <v>278</v>
      </c>
      <c r="BT117">
        <v>1</v>
      </c>
      <c r="BU117">
        <v>1.15625</v>
      </c>
      <c r="BV117" t="s">
        <v>348</v>
      </c>
      <c r="BW117">
        <v>3</v>
      </c>
      <c r="BX117">
        <v>1.0630749014454599</v>
      </c>
      <c r="BY117" t="s">
        <v>359</v>
      </c>
      <c r="BZ117">
        <v>3</v>
      </c>
      <c r="CA117">
        <v>1.05026455026455</v>
      </c>
      <c r="CB117" t="s">
        <v>342</v>
      </c>
      <c r="CC117">
        <v>3</v>
      </c>
      <c r="CD117">
        <v>0.77205882352941102</v>
      </c>
      <c r="CE117" t="s">
        <v>332</v>
      </c>
      <c r="CF117">
        <v>3</v>
      </c>
      <c r="CG117">
        <v>1.0672451193058501</v>
      </c>
      <c r="CH117" t="s">
        <v>351</v>
      </c>
      <c r="CI117">
        <v>3</v>
      </c>
      <c r="CJ117">
        <v>1.17070063694267</v>
      </c>
      <c r="CK117" t="s">
        <v>392</v>
      </c>
      <c r="CL117">
        <v>2</v>
      </c>
      <c r="CM117">
        <v>0.73478260869565204</v>
      </c>
      <c r="CN117" t="s">
        <v>374</v>
      </c>
      <c r="CO117">
        <v>2</v>
      </c>
      <c r="CP117">
        <v>0.97488921713441601</v>
      </c>
      <c r="CQ117" t="s">
        <v>382</v>
      </c>
      <c r="CR117">
        <v>3</v>
      </c>
      <c r="CS117">
        <v>1.0114122681883</v>
      </c>
      <c r="CT117" t="s">
        <v>396</v>
      </c>
      <c r="CU117">
        <v>1</v>
      </c>
      <c r="CV117">
        <v>0.97854077253218796</v>
      </c>
      <c r="CW117" t="s">
        <v>380</v>
      </c>
      <c r="CX117">
        <v>3</v>
      </c>
      <c r="CY117">
        <v>0.96685082872928096</v>
      </c>
      <c r="CZ117" t="s">
        <v>303</v>
      </c>
      <c r="DA117">
        <v>3</v>
      </c>
      <c r="DB117">
        <v>0.87321428571428505</v>
      </c>
      <c r="DC117" t="s">
        <v>364</v>
      </c>
      <c r="DD117">
        <v>3</v>
      </c>
      <c r="DE117">
        <v>1.0996884735202399</v>
      </c>
      <c r="DF117" t="s">
        <v>395</v>
      </c>
      <c r="DG117">
        <v>1</v>
      </c>
      <c r="DH117">
        <v>1.24025974025974</v>
      </c>
    </row>
    <row r="118" spans="1:112" x14ac:dyDescent="0.4">
      <c r="A118">
        <v>116</v>
      </c>
      <c r="B118" t="s">
        <v>304</v>
      </c>
      <c r="C118">
        <v>2</v>
      </c>
      <c r="D118">
        <v>1.12817089452603</v>
      </c>
      <c r="E118" t="s">
        <v>290</v>
      </c>
      <c r="F118">
        <v>3</v>
      </c>
      <c r="G118">
        <v>0.76161415460308401</v>
      </c>
      <c r="H118" t="s">
        <v>294</v>
      </c>
      <c r="I118">
        <v>2</v>
      </c>
      <c r="J118">
        <v>0.76855895196506496</v>
      </c>
      <c r="K118" t="s">
        <v>232</v>
      </c>
      <c r="L118">
        <v>1</v>
      </c>
      <c r="M118">
        <v>1.29768786127167</v>
      </c>
      <c r="N118" t="s">
        <v>224</v>
      </c>
      <c r="O118">
        <v>2</v>
      </c>
      <c r="P118">
        <v>1.8405977584059701</v>
      </c>
      <c r="Q118" t="s">
        <v>245</v>
      </c>
      <c r="R118">
        <v>1</v>
      </c>
      <c r="S118">
        <v>1.2213541666666601</v>
      </c>
      <c r="T118" t="s">
        <v>253</v>
      </c>
      <c r="U118">
        <v>2</v>
      </c>
      <c r="V118">
        <v>0.84496124031007702</v>
      </c>
      <c r="W118" t="s">
        <v>339</v>
      </c>
      <c r="X118">
        <v>2</v>
      </c>
      <c r="Y118">
        <v>0.97772327815246196</v>
      </c>
      <c r="Z118" t="s">
        <v>111</v>
      </c>
      <c r="AA118">
        <v>2</v>
      </c>
      <c r="AB118">
        <v>0.66246154853066297</v>
      </c>
      <c r="AC118" t="s">
        <v>327</v>
      </c>
      <c r="AD118">
        <v>2</v>
      </c>
      <c r="AE118">
        <v>1.03729456384323</v>
      </c>
      <c r="AF118" t="s">
        <v>111</v>
      </c>
      <c r="AG118">
        <v>2</v>
      </c>
      <c r="AH118">
        <v>1.2340774506880201</v>
      </c>
      <c r="AI118" t="s">
        <v>307</v>
      </c>
      <c r="AJ118">
        <v>2</v>
      </c>
      <c r="AK118">
        <v>0.85476190476190395</v>
      </c>
      <c r="AL118" t="s">
        <v>352</v>
      </c>
      <c r="AM118">
        <v>2</v>
      </c>
      <c r="AN118">
        <v>1.2752659886793301</v>
      </c>
      <c r="AO118" t="s">
        <v>275</v>
      </c>
      <c r="AP118">
        <v>2</v>
      </c>
      <c r="AQ118">
        <v>0.98449612403100695</v>
      </c>
      <c r="AR118" t="s">
        <v>334</v>
      </c>
      <c r="AS118">
        <v>3</v>
      </c>
      <c r="AT118">
        <v>0.875690607734806</v>
      </c>
      <c r="AU118" t="s">
        <v>365</v>
      </c>
      <c r="AV118">
        <v>2</v>
      </c>
      <c r="AW118">
        <v>1.1821274860203199</v>
      </c>
      <c r="AX118" t="s">
        <v>358</v>
      </c>
      <c r="AY118">
        <v>2</v>
      </c>
      <c r="AZ118">
        <v>0.66618181818181799</v>
      </c>
      <c r="BA118" t="s">
        <v>278</v>
      </c>
      <c r="BB118">
        <v>1</v>
      </c>
      <c r="BC118">
        <v>1.0933333333333299</v>
      </c>
      <c r="BD118" t="s">
        <v>275</v>
      </c>
      <c r="BE118">
        <v>2</v>
      </c>
      <c r="BF118">
        <v>1.11959287531806</v>
      </c>
      <c r="BG118" t="s">
        <v>367</v>
      </c>
      <c r="BH118">
        <v>2</v>
      </c>
      <c r="BI118">
        <v>1.0732196589769301</v>
      </c>
      <c r="BJ118" t="s">
        <v>372</v>
      </c>
      <c r="BK118">
        <v>3</v>
      </c>
      <c r="BL118">
        <v>1.21130551816958</v>
      </c>
      <c r="BM118" t="s">
        <v>263</v>
      </c>
      <c r="BN118">
        <v>2</v>
      </c>
      <c r="BO118">
        <v>0.79629629629629595</v>
      </c>
      <c r="BP118" t="s">
        <v>352</v>
      </c>
      <c r="BQ118">
        <v>2</v>
      </c>
      <c r="BR118">
        <v>1.0519678190910999</v>
      </c>
      <c r="BS118" t="s">
        <v>368</v>
      </c>
      <c r="BT118">
        <v>3</v>
      </c>
      <c r="BU118">
        <v>2.3037037037036998</v>
      </c>
      <c r="BV118" t="s">
        <v>353</v>
      </c>
      <c r="BW118">
        <v>3</v>
      </c>
      <c r="BX118">
        <v>1.97358490566037</v>
      </c>
      <c r="BY118" t="s">
        <v>278</v>
      </c>
      <c r="BZ118">
        <v>1</v>
      </c>
      <c r="CA118">
        <v>1.0792838874680299</v>
      </c>
      <c r="CB118" t="s">
        <v>348</v>
      </c>
      <c r="CC118">
        <v>3</v>
      </c>
      <c r="CD118">
        <v>0.80465717981888696</v>
      </c>
      <c r="CE118" t="s">
        <v>253</v>
      </c>
      <c r="CF118">
        <v>2</v>
      </c>
      <c r="CG118">
        <v>1.2490774907749</v>
      </c>
      <c r="CH118" t="s">
        <v>352</v>
      </c>
      <c r="CI118">
        <v>2</v>
      </c>
      <c r="CJ118">
        <v>1.0307089186540299</v>
      </c>
      <c r="CK118" t="s">
        <v>386</v>
      </c>
      <c r="CL118">
        <v>3</v>
      </c>
      <c r="CM118">
        <v>0.71103896103896103</v>
      </c>
      <c r="CN118" t="s">
        <v>375</v>
      </c>
      <c r="CO118">
        <v>3</v>
      </c>
      <c r="CP118">
        <v>1.00329489291598</v>
      </c>
      <c r="CQ118" t="s">
        <v>383</v>
      </c>
      <c r="CR118">
        <v>3</v>
      </c>
      <c r="CS118">
        <v>1.03899721448467</v>
      </c>
      <c r="CT118" t="s">
        <v>397</v>
      </c>
      <c r="CU118">
        <v>3</v>
      </c>
      <c r="CV118">
        <v>1.10010537407797</v>
      </c>
      <c r="CW118" t="s">
        <v>381</v>
      </c>
      <c r="CX118">
        <v>2</v>
      </c>
      <c r="CY118">
        <v>1.1686046511627901</v>
      </c>
      <c r="CZ118" t="s">
        <v>289</v>
      </c>
      <c r="DA118">
        <v>2</v>
      </c>
      <c r="DB118">
        <v>0.94841735052754905</v>
      </c>
      <c r="DC118" t="s">
        <v>366</v>
      </c>
      <c r="DD118">
        <v>3</v>
      </c>
      <c r="DE118">
        <v>0.91365461847389495</v>
      </c>
      <c r="DF118" t="s">
        <v>396</v>
      </c>
      <c r="DG118">
        <v>1</v>
      </c>
      <c r="DH118">
        <v>1.0445344129554599</v>
      </c>
    </row>
    <row r="119" spans="1:112" x14ac:dyDescent="0.4">
      <c r="A119">
        <v>117</v>
      </c>
      <c r="B119" t="s">
        <v>219</v>
      </c>
      <c r="C119">
        <v>2</v>
      </c>
      <c r="D119">
        <v>1.1435768261964701</v>
      </c>
      <c r="E119" t="s">
        <v>294</v>
      </c>
      <c r="F119">
        <v>2</v>
      </c>
      <c r="G119">
        <v>1.11165048543689</v>
      </c>
      <c r="H119" t="s">
        <v>219</v>
      </c>
      <c r="I119">
        <v>3</v>
      </c>
      <c r="J119">
        <v>0.51288659793814395</v>
      </c>
      <c r="K119" t="s">
        <v>327</v>
      </c>
      <c r="L119">
        <v>2</v>
      </c>
      <c r="M119">
        <v>1.1886970172684399</v>
      </c>
      <c r="N119" t="s">
        <v>226</v>
      </c>
      <c r="O119">
        <v>1</v>
      </c>
      <c r="P119">
        <v>1.2112618664085899</v>
      </c>
      <c r="Q119" t="s">
        <v>357</v>
      </c>
      <c r="R119">
        <v>2</v>
      </c>
      <c r="S119">
        <v>0.95975232198142402</v>
      </c>
      <c r="T119" t="s">
        <v>328</v>
      </c>
      <c r="U119">
        <v>2</v>
      </c>
      <c r="V119">
        <v>0.97900971333807096</v>
      </c>
      <c r="W119" t="s">
        <v>111</v>
      </c>
      <c r="X119">
        <v>2</v>
      </c>
      <c r="Y119">
        <v>0.91091470049036405</v>
      </c>
      <c r="Z119" t="s">
        <v>245</v>
      </c>
      <c r="AA119">
        <v>1</v>
      </c>
      <c r="AB119">
        <v>1.05439330543933</v>
      </c>
      <c r="AC119" t="s">
        <v>258</v>
      </c>
      <c r="AD119">
        <v>1</v>
      </c>
      <c r="AE119">
        <v>1.3048780487804801</v>
      </c>
      <c r="AF119" t="s">
        <v>328</v>
      </c>
      <c r="AG119">
        <v>3</v>
      </c>
      <c r="AH119">
        <v>1.0287751391887201</v>
      </c>
      <c r="AI119" t="s">
        <v>360</v>
      </c>
      <c r="AJ119">
        <v>2</v>
      </c>
      <c r="AK119">
        <v>1.1170212765957399</v>
      </c>
      <c r="AL119" t="s">
        <v>275</v>
      </c>
      <c r="AM119">
        <v>2</v>
      </c>
      <c r="AN119">
        <v>0.97974683544303798</v>
      </c>
      <c r="AO119" t="s">
        <v>359</v>
      </c>
      <c r="AP119">
        <v>3</v>
      </c>
      <c r="AQ119">
        <v>1.0794979079497899</v>
      </c>
      <c r="AR119" t="s">
        <v>342</v>
      </c>
      <c r="AS119">
        <v>3</v>
      </c>
      <c r="AT119">
        <v>0.73170731707317005</v>
      </c>
      <c r="AU119" t="s">
        <v>371</v>
      </c>
      <c r="AV119">
        <v>3</v>
      </c>
      <c r="AW119">
        <v>1.3802149178255301</v>
      </c>
      <c r="AX119" t="s">
        <v>352</v>
      </c>
      <c r="AY119">
        <v>2</v>
      </c>
      <c r="AZ119">
        <v>0.66603787821625204</v>
      </c>
      <c r="BA119" t="s">
        <v>365</v>
      </c>
      <c r="BB119">
        <v>2</v>
      </c>
      <c r="BC119">
        <v>1.00445192615367</v>
      </c>
      <c r="BD119" t="s">
        <v>359</v>
      </c>
      <c r="BE119">
        <v>3</v>
      </c>
      <c r="BF119">
        <v>1.1113172541743901</v>
      </c>
      <c r="BG119" t="s">
        <v>364</v>
      </c>
      <c r="BH119">
        <v>3</v>
      </c>
      <c r="BI119">
        <v>1.25426356589147</v>
      </c>
      <c r="BJ119" t="s">
        <v>365</v>
      </c>
      <c r="BK119">
        <v>2</v>
      </c>
      <c r="BL119">
        <v>0.808140457821379</v>
      </c>
      <c r="BM119" t="s">
        <v>356</v>
      </c>
      <c r="BN119">
        <v>3</v>
      </c>
      <c r="BO119">
        <v>0.86486486486486402</v>
      </c>
      <c r="BP119" t="s">
        <v>275</v>
      </c>
      <c r="BQ119">
        <v>2</v>
      </c>
      <c r="BR119">
        <v>1.3150442477876101</v>
      </c>
      <c r="BS119" t="s">
        <v>372</v>
      </c>
      <c r="BT119">
        <v>3</v>
      </c>
      <c r="BU119">
        <v>0.946938775510204</v>
      </c>
      <c r="BV119" t="s">
        <v>358</v>
      </c>
      <c r="BW119">
        <v>2</v>
      </c>
      <c r="BX119">
        <v>1.07178631051752</v>
      </c>
      <c r="BY119" t="s">
        <v>365</v>
      </c>
      <c r="BZ119">
        <v>3</v>
      </c>
      <c r="CA119">
        <v>0.80000423495532103</v>
      </c>
      <c r="CB119" t="s">
        <v>352</v>
      </c>
      <c r="CC119">
        <v>2</v>
      </c>
      <c r="CD119">
        <v>0.89796825396825397</v>
      </c>
      <c r="CE119" t="s">
        <v>337</v>
      </c>
      <c r="CF119">
        <v>3</v>
      </c>
      <c r="CG119">
        <v>1.0883424408014499</v>
      </c>
      <c r="CH119" t="s">
        <v>275</v>
      </c>
      <c r="CI119">
        <v>2</v>
      </c>
      <c r="CJ119">
        <v>1.0558659217877</v>
      </c>
      <c r="CK119" t="s">
        <v>395</v>
      </c>
      <c r="CL119">
        <v>1</v>
      </c>
      <c r="CM119">
        <v>1.0573122529644201</v>
      </c>
      <c r="CN119" t="s">
        <v>381</v>
      </c>
      <c r="CO119">
        <v>2</v>
      </c>
      <c r="CP119">
        <v>0.91063810213773899</v>
      </c>
      <c r="CQ119" t="s">
        <v>386</v>
      </c>
      <c r="CR119">
        <v>3</v>
      </c>
      <c r="CS119">
        <v>0.86353467561521202</v>
      </c>
      <c r="CT119" t="s">
        <v>402</v>
      </c>
      <c r="CU119">
        <v>2</v>
      </c>
      <c r="CV119">
        <v>1.0976331360946701</v>
      </c>
      <c r="CW119" t="s">
        <v>383</v>
      </c>
      <c r="CX119">
        <v>3</v>
      </c>
      <c r="CY119">
        <v>0.98133333333333295</v>
      </c>
      <c r="CZ119" t="s">
        <v>374</v>
      </c>
      <c r="DA119">
        <v>2</v>
      </c>
      <c r="DB119">
        <v>0.96870109546165795</v>
      </c>
      <c r="DC119" t="s">
        <v>303</v>
      </c>
      <c r="DD119">
        <v>3</v>
      </c>
      <c r="DE119">
        <v>1.02862985685071</v>
      </c>
      <c r="DF119" t="s">
        <v>397</v>
      </c>
      <c r="DG119">
        <v>3</v>
      </c>
      <c r="DH119">
        <v>0.98926380368098099</v>
      </c>
    </row>
    <row r="120" spans="1:112" x14ac:dyDescent="0.4">
      <c r="A120">
        <v>118</v>
      </c>
      <c r="B120" t="s">
        <v>336</v>
      </c>
      <c r="C120">
        <v>3</v>
      </c>
      <c r="D120">
        <v>1.0094637223974701</v>
      </c>
      <c r="E120" t="s">
        <v>304</v>
      </c>
      <c r="F120">
        <v>3</v>
      </c>
      <c r="G120">
        <v>1.1029585798816499</v>
      </c>
      <c r="H120" t="s">
        <v>336</v>
      </c>
      <c r="I120">
        <v>3</v>
      </c>
      <c r="J120">
        <v>0.81093749999999998</v>
      </c>
      <c r="K120" t="s">
        <v>239</v>
      </c>
      <c r="L120">
        <v>2</v>
      </c>
      <c r="M120">
        <v>0.91616676664666996</v>
      </c>
      <c r="N120" t="s">
        <v>302</v>
      </c>
      <c r="O120">
        <v>2</v>
      </c>
      <c r="P120">
        <v>1.5820895522388001</v>
      </c>
      <c r="Q120" t="s">
        <v>370</v>
      </c>
      <c r="R120">
        <v>2</v>
      </c>
      <c r="S120">
        <v>1.1370786516853899</v>
      </c>
      <c r="T120" t="s">
        <v>378</v>
      </c>
      <c r="U120">
        <v>3</v>
      </c>
      <c r="V120">
        <v>0.92</v>
      </c>
      <c r="W120" t="s">
        <v>245</v>
      </c>
      <c r="X120">
        <v>1</v>
      </c>
      <c r="Y120">
        <v>1.27263045793397</v>
      </c>
      <c r="Z120" t="s">
        <v>357</v>
      </c>
      <c r="AA120">
        <v>2</v>
      </c>
      <c r="AB120">
        <v>1.9861878453038599</v>
      </c>
      <c r="AC120" t="s">
        <v>339</v>
      </c>
      <c r="AD120">
        <v>3</v>
      </c>
      <c r="AE120">
        <v>1.5587781019392399</v>
      </c>
      <c r="AF120" t="s">
        <v>347</v>
      </c>
      <c r="AG120">
        <v>3</v>
      </c>
      <c r="AH120">
        <v>1.00852272727272</v>
      </c>
      <c r="AI120" t="s">
        <v>327</v>
      </c>
      <c r="AJ120">
        <v>2</v>
      </c>
      <c r="AK120">
        <v>1.07179487179487</v>
      </c>
      <c r="AL120" t="s">
        <v>359</v>
      </c>
      <c r="AM120">
        <v>3</v>
      </c>
      <c r="AN120">
        <v>0.98556701030927796</v>
      </c>
      <c r="AO120" t="s">
        <v>278</v>
      </c>
      <c r="AP120">
        <v>1</v>
      </c>
      <c r="AQ120">
        <v>0.75544388609715196</v>
      </c>
      <c r="AR120" t="s">
        <v>358</v>
      </c>
      <c r="AS120">
        <v>2</v>
      </c>
      <c r="AT120">
        <v>0.64835164835164805</v>
      </c>
      <c r="AU120" t="s">
        <v>369</v>
      </c>
      <c r="AV120">
        <v>3</v>
      </c>
      <c r="AW120">
        <v>1.15151515151515</v>
      </c>
      <c r="AX120" t="s">
        <v>275</v>
      </c>
      <c r="AY120">
        <v>2</v>
      </c>
      <c r="AZ120">
        <v>0.95767195767195701</v>
      </c>
      <c r="BA120" t="s">
        <v>369</v>
      </c>
      <c r="BB120">
        <v>3</v>
      </c>
      <c r="BC120">
        <v>1.0944</v>
      </c>
      <c r="BD120" t="s">
        <v>278</v>
      </c>
      <c r="BE120">
        <v>1</v>
      </c>
      <c r="BF120">
        <v>1.08536585365853</v>
      </c>
      <c r="BG120" t="s">
        <v>366</v>
      </c>
      <c r="BH120">
        <v>3</v>
      </c>
      <c r="BI120">
        <v>1.06666666666666</v>
      </c>
      <c r="BJ120" t="s">
        <v>367</v>
      </c>
      <c r="BK120">
        <v>2</v>
      </c>
      <c r="BL120">
        <v>0.96074766355140095</v>
      </c>
      <c r="BM120" t="s">
        <v>348</v>
      </c>
      <c r="BN120">
        <v>3</v>
      </c>
      <c r="BO120">
        <v>1.25535420098846</v>
      </c>
      <c r="BP120" t="s">
        <v>359</v>
      </c>
      <c r="BQ120">
        <v>3</v>
      </c>
      <c r="BR120">
        <v>1.0293333333333301</v>
      </c>
      <c r="BS120" t="s">
        <v>365</v>
      </c>
      <c r="BT120">
        <v>3</v>
      </c>
      <c r="BU120">
        <v>1.2399876258239499</v>
      </c>
      <c r="BV120" t="s">
        <v>352</v>
      </c>
      <c r="BW120">
        <v>2</v>
      </c>
      <c r="BX120">
        <v>1.0272872846879599</v>
      </c>
      <c r="BY120" t="s">
        <v>367</v>
      </c>
      <c r="BZ120">
        <v>2</v>
      </c>
      <c r="CA120">
        <v>1.4125874125874101</v>
      </c>
      <c r="CB120" t="s">
        <v>355</v>
      </c>
      <c r="CC120">
        <v>3</v>
      </c>
      <c r="CD120">
        <v>0.84103512014787396</v>
      </c>
      <c r="CE120" t="s">
        <v>328</v>
      </c>
      <c r="CF120">
        <v>2</v>
      </c>
      <c r="CG120">
        <v>0.95774562379844097</v>
      </c>
      <c r="CH120" t="s">
        <v>359</v>
      </c>
      <c r="CI120">
        <v>3</v>
      </c>
      <c r="CJ120">
        <v>1.06798866855524</v>
      </c>
      <c r="CK120" t="s">
        <v>396</v>
      </c>
      <c r="CL120">
        <v>1</v>
      </c>
      <c r="CM120">
        <v>0.90721649484536004</v>
      </c>
      <c r="CN120" t="s">
        <v>383</v>
      </c>
      <c r="CO120">
        <v>3</v>
      </c>
      <c r="CP120">
        <v>0.98898071625344297</v>
      </c>
      <c r="CQ120" t="s">
        <v>390</v>
      </c>
      <c r="CR120">
        <v>2</v>
      </c>
      <c r="CS120">
        <v>0.79591836734693799</v>
      </c>
      <c r="CT120" t="s">
        <v>404</v>
      </c>
      <c r="CU120">
        <v>1</v>
      </c>
      <c r="CV120">
        <v>1.07422969187675</v>
      </c>
      <c r="CW120" t="s">
        <v>386</v>
      </c>
      <c r="CX120">
        <v>3</v>
      </c>
      <c r="CY120">
        <v>0.947236180904522</v>
      </c>
      <c r="CZ120" t="s">
        <v>380</v>
      </c>
      <c r="DA120">
        <v>3</v>
      </c>
      <c r="DB120">
        <v>0.88</v>
      </c>
      <c r="DC120" t="s">
        <v>289</v>
      </c>
      <c r="DD120">
        <v>2</v>
      </c>
      <c r="DE120">
        <v>0.98763906056860296</v>
      </c>
      <c r="DF120" t="s">
        <v>412</v>
      </c>
      <c r="DG120">
        <v>3</v>
      </c>
      <c r="DH120">
        <v>1.26605504587155</v>
      </c>
    </row>
    <row r="121" spans="1:112" x14ac:dyDescent="0.4">
      <c r="A121">
        <v>119</v>
      </c>
      <c r="B121" t="s">
        <v>313</v>
      </c>
      <c r="C121">
        <v>2</v>
      </c>
      <c r="D121">
        <v>1.00493218249075</v>
      </c>
      <c r="E121" t="s">
        <v>219</v>
      </c>
      <c r="F121">
        <v>3</v>
      </c>
      <c r="G121">
        <v>0.85462555066079204</v>
      </c>
      <c r="H121" t="s">
        <v>313</v>
      </c>
      <c r="I121">
        <v>2</v>
      </c>
      <c r="J121">
        <v>0.74316109422492405</v>
      </c>
      <c r="K121" t="s">
        <v>258</v>
      </c>
      <c r="L121">
        <v>1</v>
      </c>
      <c r="M121">
        <v>0.93333333333333302</v>
      </c>
      <c r="N121" t="s">
        <v>307</v>
      </c>
      <c r="O121">
        <v>2</v>
      </c>
      <c r="P121">
        <v>1.3982300884955701</v>
      </c>
      <c r="Q121" t="s">
        <v>328</v>
      </c>
      <c r="R121">
        <v>2</v>
      </c>
      <c r="S121">
        <v>0.97275995575221197</v>
      </c>
      <c r="T121" t="s">
        <v>338</v>
      </c>
      <c r="U121">
        <v>3</v>
      </c>
      <c r="V121">
        <v>0.85455369279564997</v>
      </c>
      <c r="W121" t="s">
        <v>357</v>
      </c>
      <c r="X121">
        <v>2</v>
      </c>
      <c r="Y121">
        <v>0.81531531531531498</v>
      </c>
      <c r="Z121" t="s">
        <v>253</v>
      </c>
      <c r="AA121">
        <v>2</v>
      </c>
      <c r="AB121">
        <v>1.4814814814814801</v>
      </c>
      <c r="AC121" t="s">
        <v>111</v>
      </c>
      <c r="AD121">
        <v>2</v>
      </c>
      <c r="AE121">
        <v>1.15953268950527</v>
      </c>
      <c r="AF121" t="s">
        <v>263</v>
      </c>
      <c r="AG121">
        <v>1</v>
      </c>
      <c r="AH121">
        <v>1.2309090909090901</v>
      </c>
      <c r="AI121" t="s">
        <v>258</v>
      </c>
      <c r="AJ121">
        <v>1</v>
      </c>
      <c r="AK121">
        <v>0.99425287356321801</v>
      </c>
      <c r="AL121" t="s">
        <v>278</v>
      </c>
      <c r="AM121">
        <v>1</v>
      </c>
      <c r="AN121">
        <v>1.0815217391304299</v>
      </c>
      <c r="AO121" t="s">
        <v>368</v>
      </c>
      <c r="AP121">
        <v>2</v>
      </c>
      <c r="AQ121">
        <v>0.78443113772454998</v>
      </c>
      <c r="AR121" t="s">
        <v>352</v>
      </c>
      <c r="AS121">
        <v>2</v>
      </c>
      <c r="AT121">
        <v>0.77266114484123105</v>
      </c>
      <c r="AU121" t="s">
        <v>364</v>
      </c>
      <c r="AV121">
        <v>2</v>
      </c>
      <c r="AW121">
        <v>1.2230576441102701</v>
      </c>
      <c r="AX121" t="s">
        <v>359</v>
      </c>
      <c r="AY121">
        <v>3</v>
      </c>
      <c r="AZ121">
        <v>0.94559099437148197</v>
      </c>
      <c r="BA121" t="s">
        <v>364</v>
      </c>
      <c r="BB121">
        <v>3</v>
      </c>
      <c r="BC121">
        <v>0.89389920424403102</v>
      </c>
      <c r="BD121" t="s">
        <v>365</v>
      </c>
      <c r="BE121">
        <v>2</v>
      </c>
      <c r="BF121">
        <v>0.73171373564730802</v>
      </c>
      <c r="BG121" t="s">
        <v>289</v>
      </c>
      <c r="BH121">
        <v>2</v>
      </c>
      <c r="BI121">
        <v>1.4540059347181</v>
      </c>
      <c r="BJ121" t="s">
        <v>364</v>
      </c>
      <c r="BK121">
        <v>3</v>
      </c>
      <c r="BL121">
        <v>1.19406674907292</v>
      </c>
      <c r="BM121" t="s">
        <v>351</v>
      </c>
      <c r="BN121">
        <v>3</v>
      </c>
      <c r="BO121">
        <v>0.84262295081967198</v>
      </c>
      <c r="BP121" t="s">
        <v>278</v>
      </c>
      <c r="BQ121">
        <v>1</v>
      </c>
      <c r="BR121">
        <v>1.04234527687296</v>
      </c>
      <c r="BS121" t="s">
        <v>367</v>
      </c>
      <c r="BT121">
        <v>2</v>
      </c>
      <c r="BU121">
        <v>1.0261233019853699</v>
      </c>
      <c r="BV121" t="s">
        <v>359</v>
      </c>
      <c r="BW121">
        <v>3</v>
      </c>
      <c r="BX121">
        <v>0.96923076923076901</v>
      </c>
      <c r="BY121" t="s">
        <v>364</v>
      </c>
      <c r="BZ121">
        <v>3</v>
      </c>
      <c r="CA121">
        <v>1.31196581196581</v>
      </c>
      <c r="CB121" t="s">
        <v>359</v>
      </c>
      <c r="CC121">
        <v>3</v>
      </c>
      <c r="CD121">
        <v>0.93954659949622099</v>
      </c>
      <c r="CE121" t="s">
        <v>334</v>
      </c>
      <c r="CF121">
        <v>3</v>
      </c>
      <c r="CG121">
        <v>0.91866028708133896</v>
      </c>
      <c r="CH121" t="s">
        <v>278</v>
      </c>
      <c r="CI121">
        <v>1</v>
      </c>
      <c r="CJ121">
        <v>1.0335570469798601</v>
      </c>
      <c r="CK121" t="s">
        <v>397</v>
      </c>
      <c r="CL121">
        <v>3</v>
      </c>
      <c r="CM121">
        <v>0.978984238178634</v>
      </c>
      <c r="CN121" t="s">
        <v>386</v>
      </c>
      <c r="CO121">
        <v>3</v>
      </c>
      <c r="CP121">
        <v>1.02054794520547</v>
      </c>
      <c r="CQ121" t="s">
        <v>393</v>
      </c>
      <c r="CR121">
        <v>3</v>
      </c>
      <c r="CS121">
        <v>0.98166431593794001</v>
      </c>
      <c r="CT121" t="s">
        <v>333</v>
      </c>
      <c r="CU121">
        <v>1</v>
      </c>
      <c r="CV121">
        <v>1.1107266435986101</v>
      </c>
      <c r="CW121" t="s">
        <v>390</v>
      </c>
      <c r="CX121">
        <v>2</v>
      </c>
      <c r="CY121">
        <v>1.1753986332574</v>
      </c>
      <c r="CZ121" t="s">
        <v>381</v>
      </c>
      <c r="DA121">
        <v>2</v>
      </c>
      <c r="DB121">
        <v>1.09452736318407</v>
      </c>
      <c r="DC121" t="s">
        <v>374</v>
      </c>
      <c r="DD121">
        <v>2</v>
      </c>
      <c r="DE121">
        <v>0.91922455573505601</v>
      </c>
      <c r="DF121" t="s">
        <v>333</v>
      </c>
      <c r="DG121">
        <v>1</v>
      </c>
      <c r="DH121">
        <v>1.0689655172413699</v>
      </c>
    </row>
    <row r="122" spans="1:112" x14ac:dyDescent="0.4">
      <c r="A122">
        <v>120</v>
      </c>
      <c r="B122" t="s">
        <v>229</v>
      </c>
      <c r="C122">
        <v>1</v>
      </c>
      <c r="D122">
        <v>0.78917342799188595</v>
      </c>
      <c r="E122" t="s">
        <v>336</v>
      </c>
      <c r="F122">
        <v>3</v>
      </c>
      <c r="G122">
        <v>1</v>
      </c>
      <c r="H122" t="s">
        <v>224</v>
      </c>
      <c r="I122">
        <v>2</v>
      </c>
      <c r="J122">
        <v>0.80402542372881303</v>
      </c>
      <c r="K122" t="s">
        <v>111</v>
      </c>
      <c r="L122">
        <v>2</v>
      </c>
      <c r="M122">
        <v>1.1263185481229101</v>
      </c>
      <c r="N122" t="s">
        <v>227</v>
      </c>
      <c r="O122">
        <v>2</v>
      </c>
      <c r="P122">
        <v>1.1682242990654199</v>
      </c>
      <c r="Q122" t="s">
        <v>347</v>
      </c>
      <c r="R122">
        <v>3</v>
      </c>
      <c r="S122">
        <v>1.2978003384094701</v>
      </c>
      <c r="T122" t="s">
        <v>342</v>
      </c>
      <c r="U122">
        <v>2</v>
      </c>
      <c r="V122">
        <v>0.89195402298850501</v>
      </c>
      <c r="W122" t="s">
        <v>253</v>
      </c>
      <c r="X122">
        <v>2</v>
      </c>
      <c r="Y122">
        <v>1.07339449541284</v>
      </c>
      <c r="Z122" t="s">
        <v>328</v>
      </c>
      <c r="AA122">
        <v>2</v>
      </c>
      <c r="AB122">
        <v>1.00437363323961</v>
      </c>
      <c r="AC122" t="s">
        <v>245</v>
      </c>
      <c r="AD122">
        <v>1</v>
      </c>
      <c r="AE122">
        <v>1.48412698412698</v>
      </c>
      <c r="AF122" t="s">
        <v>356</v>
      </c>
      <c r="AG122">
        <v>3</v>
      </c>
      <c r="AH122">
        <v>1.04126984126984</v>
      </c>
      <c r="AI122" t="s">
        <v>339</v>
      </c>
      <c r="AJ122">
        <v>3</v>
      </c>
      <c r="AK122">
        <v>1.25907320073815</v>
      </c>
      <c r="AL122" t="s">
        <v>368</v>
      </c>
      <c r="AM122">
        <v>3</v>
      </c>
      <c r="AN122">
        <v>0.87894736842105203</v>
      </c>
      <c r="AO122" t="s">
        <v>372</v>
      </c>
      <c r="AP122">
        <v>3</v>
      </c>
      <c r="AQ122">
        <v>0.89863013698630101</v>
      </c>
      <c r="AR122" t="s">
        <v>275</v>
      </c>
      <c r="AS122">
        <v>2</v>
      </c>
      <c r="AT122">
        <v>1.0026246719160099</v>
      </c>
      <c r="AU122" t="s">
        <v>366</v>
      </c>
      <c r="AV122">
        <v>3</v>
      </c>
      <c r="AW122">
        <v>1.1139817629179301</v>
      </c>
      <c r="AX122" t="s">
        <v>278</v>
      </c>
      <c r="AY122">
        <v>1</v>
      </c>
      <c r="AZ122">
        <v>0.89641434262948205</v>
      </c>
      <c r="BA122" t="s">
        <v>303</v>
      </c>
      <c r="BB122">
        <v>2</v>
      </c>
      <c r="BC122">
        <v>0.77617460488119505</v>
      </c>
      <c r="BD122" t="s">
        <v>367</v>
      </c>
      <c r="BE122">
        <v>2</v>
      </c>
      <c r="BF122">
        <v>1.0010040160642499</v>
      </c>
      <c r="BG122" t="s">
        <v>377</v>
      </c>
      <c r="BH122">
        <v>3</v>
      </c>
      <c r="BI122">
        <v>1.08210526315789</v>
      </c>
      <c r="BJ122" t="s">
        <v>366</v>
      </c>
      <c r="BK122">
        <v>3</v>
      </c>
      <c r="BL122">
        <v>1.1479591836734599</v>
      </c>
      <c r="BM122" t="s">
        <v>358</v>
      </c>
      <c r="BN122">
        <v>2</v>
      </c>
      <c r="BO122">
        <v>0.80310077519379797</v>
      </c>
      <c r="BP122" t="s">
        <v>368</v>
      </c>
      <c r="BQ122">
        <v>3</v>
      </c>
      <c r="BR122">
        <v>1.3235294117647001</v>
      </c>
      <c r="BS122" t="s">
        <v>364</v>
      </c>
      <c r="BT122">
        <v>3</v>
      </c>
      <c r="BU122">
        <v>1.0887573964496999</v>
      </c>
      <c r="BV122" t="s">
        <v>278</v>
      </c>
      <c r="BW122">
        <v>1</v>
      </c>
      <c r="BX122">
        <v>1.05675675675675</v>
      </c>
      <c r="BY122" t="s">
        <v>366</v>
      </c>
      <c r="BZ122">
        <v>3</v>
      </c>
      <c r="CA122">
        <v>1.11363636363636</v>
      </c>
      <c r="CB122" t="s">
        <v>278</v>
      </c>
      <c r="CC122">
        <v>1</v>
      </c>
      <c r="CD122">
        <v>1.09004739336492</v>
      </c>
      <c r="CE122" t="s">
        <v>338</v>
      </c>
      <c r="CF122">
        <v>2</v>
      </c>
      <c r="CG122">
        <v>0.86726804123711299</v>
      </c>
      <c r="CH122" t="s">
        <v>363</v>
      </c>
      <c r="CI122">
        <v>3</v>
      </c>
      <c r="CJ122">
        <v>1.13793103448275</v>
      </c>
      <c r="CK122" t="s">
        <v>402</v>
      </c>
      <c r="CL122">
        <v>2</v>
      </c>
      <c r="CM122">
        <v>1.3232161874334301</v>
      </c>
      <c r="CN122" t="s">
        <v>393</v>
      </c>
      <c r="CO122">
        <v>3</v>
      </c>
      <c r="CP122">
        <v>1.05037037037037</v>
      </c>
      <c r="CQ122" t="s">
        <v>395</v>
      </c>
      <c r="CR122">
        <v>1</v>
      </c>
      <c r="CS122">
        <v>1.0638297872340401</v>
      </c>
      <c r="CT122" t="s">
        <v>407</v>
      </c>
      <c r="CU122">
        <v>3</v>
      </c>
      <c r="CV122">
        <v>0.87346221441124705</v>
      </c>
      <c r="CW122" t="s">
        <v>393</v>
      </c>
      <c r="CX122">
        <v>3</v>
      </c>
      <c r="CY122">
        <v>1.00847457627118</v>
      </c>
      <c r="CZ122" t="s">
        <v>383</v>
      </c>
      <c r="DA122">
        <v>3</v>
      </c>
      <c r="DB122">
        <v>1.1385869565217299</v>
      </c>
      <c r="DC122" t="s">
        <v>380</v>
      </c>
      <c r="DD122">
        <v>3</v>
      </c>
      <c r="DE122">
        <v>0.97402597402597402</v>
      </c>
      <c r="DF122" t="s">
        <v>407</v>
      </c>
      <c r="DG122">
        <v>3</v>
      </c>
      <c r="DH122">
        <v>1.1452145214521401</v>
      </c>
    </row>
    <row r="123" spans="1:112" x14ac:dyDescent="0.4">
      <c r="A123">
        <v>121</v>
      </c>
      <c r="B123" t="s">
        <v>232</v>
      </c>
      <c r="C123">
        <v>1</v>
      </c>
      <c r="D123">
        <v>0.90378006872852201</v>
      </c>
      <c r="E123" t="s">
        <v>313</v>
      </c>
      <c r="F123">
        <v>2</v>
      </c>
      <c r="G123">
        <v>0.80736196319018405</v>
      </c>
      <c r="H123" t="s">
        <v>302</v>
      </c>
      <c r="I123">
        <v>2</v>
      </c>
      <c r="J123">
        <v>0.54285714285714204</v>
      </c>
      <c r="K123" t="s">
        <v>245</v>
      </c>
      <c r="L123">
        <v>1</v>
      </c>
      <c r="M123">
        <v>1.0621468926553601</v>
      </c>
      <c r="N123" t="s">
        <v>229</v>
      </c>
      <c r="O123">
        <v>1</v>
      </c>
      <c r="P123">
        <v>1.4820143884892001</v>
      </c>
      <c r="Q123" t="s">
        <v>338</v>
      </c>
      <c r="R123">
        <v>3</v>
      </c>
      <c r="S123">
        <v>1.18464841653247</v>
      </c>
      <c r="T123" t="s">
        <v>358</v>
      </c>
      <c r="U123">
        <v>2</v>
      </c>
      <c r="V123">
        <v>0.8</v>
      </c>
      <c r="W123" t="s">
        <v>370</v>
      </c>
      <c r="X123">
        <v>2</v>
      </c>
      <c r="Y123">
        <v>0.461409395973154</v>
      </c>
      <c r="Z123" t="s">
        <v>347</v>
      </c>
      <c r="AA123">
        <v>3</v>
      </c>
      <c r="AB123">
        <v>1.1083333333333301</v>
      </c>
      <c r="AC123" t="s">
        <v>328</v>
      </c>
      <c r="AD123">
        <v>3</v>
      </c>
      <c r="AE123">
        <v>0.91249351995852701</v>
      </c>
      <c r="AF123" t="s">
        <v>334</v>
      </c>
      <c r="AG123">
        <v>3</v>
      </c>
      <c r="AH123">
        <v>1.4055555555555499</v>
      </c>
      <c r="AI123" t="s">
        <v>111</v>
      </c>
      <c r="AJ123">
        <v>2</v>
      </c>
      <c r="AK123">
        <v>0.90016397687062999</v>
      </c>
      <c r="AL123" t="s">
        <v>372</v>
      </c>
      <c r="AM123">
        <v>3</v>
      </c>
      <c r="AN123">
        <v>0.83811710677382301</v>
      </c>
      <c r="AO123" t="s">
        <v>365</v>
      </c>
      <c r="AP123">
        <v>2</v>
      </c>
      <c r="AQ123">
        <v>0.81242303702432195</v>
      </c>
      <c r="AR123" t="s">
        <v>359</v>
      </c>
      <c r="AS123">
        <v>3</v>
      </c>
      <c r="AT123">
        <v>0.95542635658914699</v>
      </c>
      <c r="AU123" t="s">
        <v>303</v>
      </c>
      <c r="AV123">
        <v>2</v>
      </c>
      <c r="AW123">
        <v>1.0321955806299901</v>
      </c>
      <c r="AX123" t="s">
        <v>368</v>
      </c>
      <c r="AY123">
        <v>2</v>
      </c>
      <c r="AZ123">
        <v>0.80630630630630595</v>
      </c>
      <c r="BA123" t="s">
        <v>289</v>
      </c>
      <c r="BB123">
        <v>2</v>
      </c>
      <c r="BC123">
        <v>1.10585585585585</v>
      </c>
      <c r="BD123" t="s">
        <v>369</v>
      </c>
      <c r="BE123">
        <v>3</v>
      </c>
      <c r="BF123">
        <v>1.3918128654970701</v>
      </c>
      <c r="BG123" t="s">
        <v>374</v>
      </c>
      <c r="BH123">
        <v>2</v>
      </c>
      <c r="BI123">
        <v>0.87123287671232796</v>
      </c>
      <c r="BJ123" t="s">
        <v>289</v>
      </c>
      <c r="BK123">
        <v>2</v>
      </c>
      <c r="BL123">
        <v>1.12244897959183</v>
      </c>
      <c r="BM123" t="s">
        <v>352</v>
      </c>
      <c r="BN123">
        <v>2</v>
      </c>
      <c r="BO123">
        <v>1.27255118981737</v>
      </c>
      <c r="BP123" t="s">
        <v>372</v>
      </c>
      <c r="BQ123">
        <v>3</v>
      </c>
      <c r="BR123">
        <v>1.0337552742616001</v>
      </c>
      <c r="BS123" t="s">
        <v>366</v>
      </c>
      <c r="BT123">
        <v>3</v>
      </c>
      <c r="BU123">
        <v>1.2555803571428501</v>
      </c>
      <c r="BV123" t="s">
        <v>372</v>
      </c>
      <c r="BW123">
        <v>3</v>
      </c>
      <c r="BX123">
        <v>1.22198275862068</v>
      </c>
      <c r="BY123" t="s">
        <v>303</v>
      </c>
      <c r="BZ123">
        <v>3</v>
      </c>
      <c r="CA123">
        <v>0.92884615384615299</v>
      </c>
      <c r="CB123" t="s">
        <v>365</v>
      </c>
      <c r="CC123">
        <v>3</v>
      </c>
      <c r="CD123">
        <v>0.66313755591434798</v>
      </c>
      <c r="CE123" t="s">
        <v>348</v>
      </c>
      <c r="CF123">
        <v>3</v>
      </c>
      <c r="CG123">
        <v>1.0321543408360101</v>
      </c>
      <c r="CH123" t="s">
        <v>364</v>
      </c>
      <c r="CI123">
        <v>3</v>
      </c>
      <c r="CJ123">
        <v>1.17777777777777</v>
      </c>
      <c r="CK123" t="s">
        <v>404</v>
      </c>
      <c r="CL123">
        <v>1</v>
      </c>
      <c r="CM123">
        <v>0.86722488038277501</v>
      </c>
      <c r="CN123" t="s">
        <v>395</v>
      </c>
      <c r="CO123">
        <v>1</v>
      </c>
      <c r="CP123">
        <v>0.87850467289719603</v>
      </c>
      <c r="CQ123" t="s">
        <v>396</v>
      </c>
      <c r="CR123">
        <v>1</v>
      </c>
      <c r="CS123">
        <v>0.87593984962406002</v>
      </c>
      <c r="CT123" t="s">
        <v>408</v>
      </c>
      <c r="CU123">
        <v>2</v>
      </c>
      <c r="CV123">
        <v>1.0475184794086501</v>
      </c>
      <c r="CW123" t="s">
        <v>395</v>
      </c>
      <c r="CX123">
        <v>1</v>
      </c>
      <c r="CY123">
        <v>0.88840262582056895</v>
      </c>
      <c r="CZ123" t="s">
        <v>386</v>
      </c>
      <c r="DA123">
        <v>3</v>
      </c>
      <c r="DB123">
        <v>0.95490716180371304</v>
      </c>
      <c r="DC123" t="s">
        <v>381</v>
      </c>
      <c r="DD123">
        <v>2</v>
      </c>
      <c r="DE123">
        <v>0.96682551319648002</v>
      </c>
      <c r="DF123" t="s">
        <v>408</v>
      </c>
      <c r="DG123">
        <v>3</v>
      </c>
      <c r="DH123">
        <v>1.09717514124293</v>
      </c>
    </row>
    <row r="124" spans="1:112" x14ac:dyDescent="0.4">
      <c r="A124">
        <v>122</v>
      </c>
      <c r="B124" t="s">
        <v>327</v>
      </c>
      <c r="C124">
        <v>2</v>
      </c>
      <c r="D124">
        <v>1.08221544341945</v>
      </c>
      <c r="E124" t="s">
        <v>229</v>
      </c>
      <c r="F124">
        <v>1</v>
      </c>
      <c r="G124">
        <v>0.83132530120481896</v>
      </c>
      <c r="H124" t="s">
        <v>227</v>
      </c>
      <c r="I124">
        <v>2</v>
      </c>
      <c r="J124">
        <v>0.844444444444444</v>
      </c>
      <c r="K124" t="s">
        <v>250</v>
      </c>
      <c r="L124">
        <v>2</v>
      </c>
      <c r="M124">
        <v>1.2973959078552</v>
      </c>
      <c r="N124" t="s">
        <v>315</v>
      </c>
      <c r="O124">
        <v>2</v>
      </c>
      <c r="P124">
        <v>1.1261533918948801</v>
      </c>
      <c r="Q124" t="s">
        <v>342</v>
      </c>
      <c r="R124">
        <v>2</v>
      </c>
      <c r="S124">
        <v>0.88775510204081598</v>
      </c>
      <c r="T124" t="s">
        <v>352</v>
      </c>
      <c r="U124">
        <v>2</v>
      </c>
      <c r="V124">
        <v>0.94197825115447598</v>
      </c>
      <c r="W124" t="s">
        <v>328</v>
      </c>
      <c r="X124">
        <v>2</v>
      </c>
      <c r="Y124">
        <v>0.92953247507501602</v>
      </c>
      <c r="Z124" t="s">
        <v>338</v>
      </c>
      <c r="AA124">
        <v>3</v>
      </c>
      <c r="AB124">
        <v>1.30067753158762</v>
      </c>
      <c r="AC124" t="s">
        <v>263</v>
      </c>
      <c r="AD124">
        <v>1</v>
      </c>
      <c r="AE124">
        <v>1.12244897959183</v>
      </c>
      <c r="AF124" t="s">
        <v>342</v>
      </c>
      <c r="AG124">
        <v>2</v>
      </c>
      <c r="AH124">
        <v>1.1825095057034201</v>
      </c>
      <c r="AI124" t="s">
        <v>328</v>
      </c>
      <c r="AJ124">
        <v>3</v>
      </c>
      <c r="AK124">
        <v>1.11654747770384</v>
      </c>
      <c r="AL124" t="s">
        <v>365</v>
      </c>
      <c r="AM124">
        <v>2</v>
      </c>
      <c r="AN124">
        <v>0.86735843194117102</v>
      </c>
      <c r="AO124" t="s">
        <v>367</v>
      </c>
      <c r="AP124">
        <v>2</v>
      </c>
      <c r="AQ124">
        <v>0.75771901314817502</v>
      </c>
      <c r="AR124" t="s">
        <v>278</v>
      </c>
      <c r="AS124">
        <v>1</v>
      </c>
      <c r="AT124">
        <v>1.11086474501108</v>
      </c>
      <c r="AU124" t="s">
        <v>289</v>
      </c>
      <c r="AV124">
        <v>2</v>
      </c>
      <c r="AW124">
        <v>0.98</v>
      </c>
      <c r="AX124" t="s">
        <v>372</v>
      </c>
      <c r="AY124">
        <v>3</v>
      </c>
      <c r="AZ124">
        <v>0.87752161383285299</v>
      </c>
      <c r="BA124" t="s">
        <v>295</v>
      </c>
      <c r="BB124">
        <v>1</v>
      </c>
      <c r="BC124">
        <v>1.20746887966804</v>
      </c>
      <c r="BD124" t="s">
        <v>364</v>
      </c>
      <c r="BE124">
        <v>3</v>
      </c>
      <c r="BF124">
        <v>0.95697329376854601</v>
      </c>
      <c r="BG124" t="s">
        <v>381</v>
      </c>
      <c r="BH124">
        <v>2</v>
      </c>
      <c r="BI124">
        <v>0.874711330143085</v>
      </c>
      <c r="BJ124" t="s">
        <v>377</v>
      </c>
      <c r="BK124">
        <v>3</v>
      </c>
      <c r="BL124">
        <v>1.11867704280155</v>
      </c>
      <c r="BM124" t="s">
        <v>275</v>
      </c>
      <c r="BN124">
        <v>2</v>
      </c>
      <c r="BO124">
        <v>1.00177304964539</v>
      </c>
      <c r="BP124" t="s">
        <v>365</v>
      </c>
      <c r="BQ124">
        <v>3</v>
      </c>
      <c r="BR124">
        <v>0.89589817933739802</v>
      </c>
      <c r="BS124" t="s">
        <v>289</v>
      </c>
      <c r="BT124">
        <v>2</v>
      </c>
      <c r="BU124">
        <v>0.95736434108527102</v>
      </c>
      <c r="BV124" t="s">
        <v>365</v>
      </c>
      <c r="BW124">
        <v>3</v>
      </c>
      <c r="BX124">
        <v>0.90630997159745097</v>
      </c>
      <c r="BY124" t="s">
        <v>289</v>
      </c>
      <c r="BZ124">
        <v>2</v>
      </c>
      <c r="CA124">
        <v>1.16143497757847</v>
      </c>
      <c r="CB124" t="s">
        <v>363</v>
      </c>
      <c r="CC124">
        <v>3</v>
      </c>
      <c r="CD124">
        <v>0.98632218844984798</v>
      </c>
      <c r="CE124" t="s">
        <v>351</v>
      </c>
      <c r="CF124">
        <v>3</v>
      </c>
      <c r="CG124">
        <v>1.13768115942028</v>
      </c>
      <c r="CH124" t="s">
        <v>366</v>
      </c>
      <c r="CI124">
        <v>3</v>
      </c>
      <c r="CJ124">
        <v>1.28571428571428</v>
      </c>
      <c r="CK124" t="s">
        <v>333</v>
      </c>
      <c r="CL124">
        <v>1</v>
      </c>
      <c r="CM124">
        <v>0.99654576856649302</v>
      </c>
      <c r="CN124" t="s">
        <v>396</v>
      </c>
      <c r="CO124">
        <v>1</v>
      </c>
      <c r="CP124">
        <v>1.00757575757575</v>
      </c>
      <c r="CQ124" t="s">
        <v>397</v>
      </c>
      <c r="CR124">
        <v>3</v>
      </c>
      <c r="CS124">
        <v>0.891917293233082</v>
      </c>
      <c r="CT124" t="s">
        <v>417</v>
      </c>
      <c r="CU124">
        <v>3</v>
      </c>
      <c r="CV124">
        <v>0.99785177228786204</v>
      </c>
      <c r="CW124" t="s">
        <v>396</v>
      </c>
      <c r="CX124">
        <v>1</v>
      </c>
      <c r="CY124">
        <v>1.03070175438596</v>
      </c>
      <c r="CZ124" t="s">
        <v>390</v>
      </c>
      <c r="DA124">
        <v>2</v>
      </c>
      <c r="DB124">
        <v>1.0891472868217</v>
      </c>
      <c r="DC124" t="s">
        <v>383</v>
      </c>
      <c r="DD124">
        <v>3</v>
      </c>
      <c r="DE124">
        <v>0.98090692124104994</v>
      </c>
      <c r="DF124" t="s">
        <v>414</v>
      </c>
      <c r="DG124">
        <v>3</v>
      </c>
      <c r="DH124">
        <v>1.01982378854625</v>
      </c>
    </row>
    <row r="125" spans="1:112" x14ac:dyDescent="0.4">
      <c r="A125">
        <v>123</v>
      </c>
      <c r="B125" t="s">
        <v>239</v>
      </c>
      <c r="C125">
        <v>2</v>
      </c>
      <c r="D125">
        <v>1.2734868773433301</v>
      </c>
      <c r="E125" t="s">
        <v>315</v>
      </c>
      <c r="F125">
        <v>2</v>
      </c>
      <c r="G125">
        <v>0.92337164750957801</v>
      </c>
      <c r="H125" t="s">
        <v>229</v>
      </c>
      <c r="I125">
        <v>1</v>
      </c>
      <c r="J125">
        <v>0.48212560386473402</v>
      </c>
      <c r="K125" t="s">
        <v>357</v>
      </c>
      <c r="L125">
        <v>2</v>
      </c>
      <c r="M125">
        <v>0.88541666666666596</v>
      </c>
      <c r="N125" t="s">
        <v>232</v>
      </c>
      <c r="O125">
        <v>1</v>
      </c>
      <c r="P125">
        <v>1.5812917594654701</v>
      </c>
      <c r="Q125" t="s">
        <v>379</v>
      </c>
      <c r="R125">
        <v>3</v>
      </c>
      <c r="S125">
        <v>1.2126245847176</v>
      </c>
      <c r="T125" t="s">
        <v>275</v>
      </c>
      <c r="U125">
        <v>2</v>
      </c>
      <c r="V125">
        <v>1.0022779043280099</v>
      </c>
      <c r="W125" t="s">
        <v>338</v>
      </c>
      <c r="X125">
        <v>3</v>
      </c>
      <c r="Y125">
        <v>1.44777306468716</v>
      </c>
      <c r="Z125" t="s">
        <v>342</v>
      </c>
      <c r="AA125">
        <v>2</v>
      </c>
      <c r="AB125">
        <v>0.66323907455012798</v>
      </c>
      <c r="AC125" t="s">
        <v>356</v>
      </c>
      <c r="AD125">
        <v>3</v>
      </c>
      <c r="AE125">
        <v>1.0161290322580601</v>
      </c>
      <c r="AF125" t="s">
        <v>379</v>
      </c>
      <c r="AG125">
        <v>3</v>
      </c>
      <c r="AH125">
        <v>1.24302788844621</v>
      </c>
      <c r="AI125" t="s">
        <v>347</v>
      </c>
      <c r="AJ125">
        <v>3</v>
      </c>
      <c r="AK125">
        <v>0.953521126760563</v>
      </c>
      <c r="AL125" t="s">
        <v>367</v>
      </c>
      <c r="AM125">
        <v>2</v>
      </c>
      <c r="AN125">
        <v>0.82811353070712002</v>
      </c>
      <c r="AO125" t="s">
        <v>369</v>
      </c>
      <c r="AP125">
        <v>3</v>
      </c>
      <c r="AQ125">
        <v>1.23563218390804</v>
      </c>
      <c r="AR125" t="s">
        <v>368</v>
      </c>
      <c r="AS125">
        <v>2</v>
      </c>
      <c r="AT125">
        <v>0.79007633587786197</v>
      </c>
      <c r="AU125" t="s">
        <v>377</v>
      </c>
      <c r="AV125">
        <v>3</v>
      </c>
      <c r="AW125">
        <v>1.23267326732673</v>
      </c>
      <c r="AX125" t="s">
        <v>365</v>
      </c>
      <c r="AY125">
        <v>2</v>
      </c>
      <c r="AZ125">
        <v>0.65261485382240703</v>
      </c>
      <c r="BA125" t="s">
        <v>377</v>
      </c>
      <c r="BB125">
        <v>3</v>
      </c>
      <c r="BC125">
        <v>0.92827586206896495</v>
      </c>
      <c r="BD125" t="s">
        <v>289</v>
      </c>
      <c r="BE125">
        <v>2</v>
      </c>
      <c r="BF125">
        <v>1.3727087576374699</v>
      </c>
      <c r="BG125" t="s">
        <v>390</v>
      </c>
      <c r="BH125">
        <v>2</v>
      </c>
      <c r="BI125">
        <v>1.0304878048780399</v>
      </c>
      <c r="BJ125" t="s">
        <v>373</v>
      </c>
      <c r="BK125">
        <v>3</v>
      </c>
      <c r="BL125">
        <v>1.36363636363636</v>
      </c>
      <c r="BM125" t="s">
        <v>359</v>
      </c>
      <c r="BN125">
        <v>3</v>
      </c>
      <c r="BO125">
        <v>0.97529258777633199</v>
      </c>
      <c r="BP125" t="s">
        <v>367</v>
      </c>
      <c r="BQ125">
        <v>2</v>
      </c>
      <c r="BR125">
        <v>0.99068322981366397</v>
      </c>
      <c r="BS125" t="s">
        <v>373</v>
      </c>
      <c r="BT125">
        <v>3</v>
      </c>
      <c r="BU125">
        <v>0.91111111111111098</v>
      </c>
      <c r="BV125" t="s">
        <v>367</v>
      </c>
      <c r="BW125">
        <v>2</v>
      </c>
      <c r="BX125">
        <v>1.16496945010183</v>
      </c>
      <c r="BY125" t="s">
        <v>373</v>
      </c>
      <c r="BZ125">
        <v>3</v>
      </c>
      <c r="CA125">
        <v>0.92957746478873204</v>
      </c>
      <c r="CB125" t="s">
        <v>364</v>
      </c>
      <c r="CC125">
        <v>3</v>
      </c>
      <c r="CD125">
        <v>0.84039087947882696</v>
      </c>
      <c r="CE125" t="s">
        <v>352</v>
      </c>
      <c r="CF125">
        <v>2</v>
      </c>
      <c r="CG125">
        <v>1.08216078625468</v>
      </c>
      <c r="CH125" t="s">
        <v>303</v>
      </c>
      <c r="CI125">
        <v>3</v>
      </c>
      <c r="CJ125">
        <v>1.03964757709251</v>
      </c>
      <c r="CK125" t="s">
        <v>407</v>
      </c>
      <c r="CL125">
        <v>3</v>
      </c>
      <c r="CM125">
        <v>0.83742331288343497</v>
      </c>
      <c r="CN125" t="s">
        <v>397</v>
      </c>
      <c r="CO125">
        <v>3</v>
      </c>
      <c r="CP125">
        <v>0.95169946332736999</v>
      </c>
      <c r="CQ125" t="s">
        <v>402</v>
      </c>
      <c r="CR125">
        <v>2</v>
      </c>
      <c r="CS125">
        <v>0.94150417827298005</v>
      </c>
      <c r="CT125" t="s">
        <v>418</v>
      </c>
      <c r="CU125">
        <v>2</v>
      </c>
      <c r="CV125">
        <v>1.0302547770700601</v>
      </c>
      <c r="CW125" t="s">
        <v>397</v>
      </c>
      <c r="CX125">
        <v>3</v>
      </c>
      <c r="CY125">
        <v>1.16858237547892</v>
      </c>
      <c r="CZ125" t="s">
        <v>393</v>
      </c>
      <c r="DA125">
        <v>3</v>
      </c>
      <c r="DB125">
        <v>0.98039215686274495</v>
      </c>
      <c r="DC125" t="s">
        <v>386</v>
      </c>
      <c r="DD125">
        <v>3</v>
      </c>
      <c r="DE125">
        <v>1.00277777777777</v>
      </c>
      <c r="DF125" t="s">
        <v>417</v>
      </c>
      <c r="DG125">
        <v>3</v>
      </c>
      <c r="DH125">
        <v>0.93694581280788103</v>
      </c>
    </row>
    <row r="126" spans="1:112" x14ac:dyDescent="0.4">
      <c r="A126">
        <v>124</v>
      </c>
      <c r="B126" t="s">
        <v>245</v>
      </c>
      <c r="C126">
        <v>1</v>
      </c>
      <c r="D126">
        <v>0.94432548179871501</v>
      </c>
      <c r="E126" t="s">
        <v>232</v>
      </c>
      <c r="F126">
        <v>1</v>
      </c>
      <c r="G126">
        <v>0.96577946768060796</v>
      </c>
      <c r="H126" t="s">
        <v>315</v>
      </c>
      <c r="I126">
        <v>2</v>
      </c>
      <c r="J126">
        <v>0.61177840867729405</v>
      </c>
      <c r="K126" t="s">
        <v>253</v>
      </c>
      <c r="L126">
        <v>2</v>
      </c>
      <c r="M126">
        <v>1.1378205128205101</v>
      </c>
      <c r="N126" t="s">
        <v>235</v>
      </c>
      <c r="O126">
        <v>1</v>
      </c>
      <c r="P126">
        <v>1.3871190400339799</v>
      </c>
      <c r="Q126" t="s">
        <v>358</v>
      </c>
      <c r="R126">
        <v>2</v>
      </c>
      <c r="S126">
        <v>1.36663105413105</v>
      </c>
      <c r="T126" t="s">
        <v>359</v>
      </c>
      <c r="U126">
        <v>2</v>
      </c>
      <c r="V126">
        <v>0.934333958724202</v>
      </c>
      <c r="W126" t="s">
        <v>342</v>
      </c>
      <c r="X126">
        <v>2</v>
      </c>
      <c r="Y126">
        <v>1.00257731958762</v>
      </c>
      <c r="Z126" t="s">
        <v>379</v>
      </c>
      <c r="AA126">
        <v>3</v>
      </c>
      <c r="AB126">
        <v>1.17948717948717</v>
      </c>
      <c r="AC126" t="s">
        <v>334</v>
      </c>
      <c r="AD126">
        <v>3</v>
      </c>
      <c r="AE126">
        <v>1.1612903225806399</v>
      </c>
      <c r="AF126" t="s">
        <v>358</v>
      </c>
      <c r="AG126">
        <v>2</v>
      </c>
      <c r="AH126">
        <v>1.34230769230769</v>
      </c>
      <c r="AI126" t="s">
        <v>356</v>
      </c>
      <c r="AJ126">
        <v>3</v>
      </c>
      <c r="AK126">
        <v>0.98780487804878003</v>
      </c>
      <c r="AL126" t="s">
        <v>369</v>
      </c>
      <c r="AM126">
        <v>3</v>
      </c>
      <c r="AN126">
        <v>1.01162790697674</v>
      </c>
      <c r="AO126" t="s">
        <v>364</v>
      </c>
      <c r="AP126">
        <v>2</v>
      </c>
      <c r="AQ126">
        <v>0.88571428571428501</v>
      </c>
      <c r="AR126" t="s">
        <v>365</v>
      </c>
      <c r="AS126">
        <v>2</v>
      </c>
      <c r="AT126">
        <v>0.85588697305688999</v>
      </c>
      <c r="AU126" t="s">
        <v>373</v>
      </c>
      <c r="AV126">
        <v>2</v>
      </c>
      <c r="AW126">
        <v>1.2884990253411299</v>
      </c>
      <c r="AX126" t="s">
        <v>369</v>
      </c>
      <c r="AY126">
        <v>3</v>
      </c>
      <c r="AZ126">
        <v>0.91374269005847897</v>
      </c>
      <c r="BA126" t="s">
        <v>374</v>
      </c>
      <c r="BB126">
        <v>2</v>
      </c>
      <c r="BC126">
        <v>1.2364793213149501</v>
      </c>
      <c r="BD126" t="s">
        <v>377</v>
      </c>
      <c r="BE126">
        <v>3</v>
      </c>
      <c r="BF126">
        <v>1.4115898959881099</v>
      </c>
      <c r="BG126" t="s">
        <v>395</v>
      </c>
      <c r="BH126">
        <v>1</v>
      </c>
      <c r="BI126">
        <v>1.08507670850767</v>
      </c>
      <c r="BJ126" t="s">
        <v>374</v>
      </c>
      <c r="BK126">
        <v>2</v>
      </c>
      <c r="BL126">
        <v>1.17767295597484</v>
      </c>
      <c r="BM126" t="s">
        <v>278</v>
      </c>
      <c r="BN126">
        <v>1</v>
      </c>
      <c r="BO126">
        <v>1.1455223880597001</v>
      </c>
      <c r="BP126" t="s">
        <v>364</v>
      </c>
      <c r="BQ126">
        <v>3</v>
      </c>
      <c r="BR126">
        <v>0.91598915989159801</v>
      </c>
      <c r="BS126" t="s">
        <v>374</v>
      </c>
      <c r="BT126">
        <v>2</v>
      </c>
      <c r="BU126">
        <v>0.90152565880721203</v>
      </c>
      <c r="BV126" t="s">
        <v>364</v>
      </c>
      <c r="BW126">
        <v>3</v>
      </c>
      <c r="BX126">
        <v>0.95380434782608603</v>
      </c>
      <c r="BY126" t="s">
        <v>374</v>
      </c>
      <c r="BZ126">
        <v>2</v>
      </c>
      <c r="CA126">
        <v>0.99144079885877301</v>
      </c>
      <c r="CB126" t="s">
        <v>366</v>
      </c>
      <c r="CC126">
        <v>3</v>
      </c>
      <c r="CD126">
        <v>0.91020408163265298</v>
      </c>
      <c r="CE126" t="s">
        <v>359</v>
      </c>
      <c r="CF126">
        <v>3</v>
      </c>
      <c r="CG126">
        <v>0.94638069705093797</v>
      </c>
      <c r="CH126" t="s">
        <v>289</v>
      </c>
      <c r="CI126">
        <v>2</v>
      </c>
      <c r="CJ126">
        <v>1.0034843205574899</v>
      </c>
      <c r="CK126" t="s">
        <v>408</v>
      </c>
      <c r="CL126">
        <v>2</v>
      </c>
      <c r="CM126">
        <v>1.03343465045592</v>
      </c>
      <c r="CN126" t="s">
        <v>404</v>
      </c>
      <c r="CO126">
        <v>1</v>
      </c>
      <c r="CP126">
        <v>0.86758620689655097</v>
      </c>
      <c r="CQ126" t="s">
        <v>404</v>
      </c>
      <c r="CR126">
        <v>1</v>
      </c>
      <c r="CS126">
        <v>1.13513513513513</v>
      </c>
      <c r="CT126" t="s">
        <v>419</v>
      </c>
      <c r="CU126">
        <v>1</v>
      </c>
      <c r="CV126">
        <v>1.46969696969696</v>
      </c>
      <c r="CW126" t="s">
        <v>404</v>
      </c>
      <c r="CX126">
        <v>1</v>
      </c>
      <c r="CY126">
        <v>1.15384615384615</v>
      </c>
      <c r="CZ126" t="s">
        <v>395</v>
      </c>
      <c r="DA126">
        <v>1</v>
      </c>
      <c r="DB126">
        <v>1.0689655172413699</v>
      </c>
      <c r="DC126" t="s">
        <v>390</v>
      </c>
      <c r="DD126">
        <v>2</v>
      </c>
      <c r="DE126">
        <v>0.95373665480426995</v>
      </c>
      <c r="DF126" t="s">
        <v>418</v>
      </c>
      <c r="DG126">
        <v>2</v>
      </c>
      <c r="DH126">
        <v>1.12187958883994</v>
      </c>
    </row>
    <row r="127" spans="1:112" x14ac:dyDescent="0.4">
      <c r="A127">
        <v>125</v>
      </c>
      <c r="B127" t="s">
        <v>357</v>
      </c>
      <c r="C127">
        <v>2</v>
      </c>
      <c r="D127">
        <v>0.92870722433459996</v>
      </c>
      <c r="E127" t="s">
        <v>327</v>
      </c>
      <c r="F127">
        <v>2</v>
      </c>
      <c r="G127">
        <v>0.89227738911906496</v>
      </c>
      <c r="H127" t="s">
        <v>232</v>
      </c>
      <c r="I127">
        <v>1</v>
      </c>
      <c r="J127">
        <v>0.54488188976377905</v>
      </c>
      <c r="K127" t="s">
        <v>337</v>
      </c>
      <c r="L127">
        <v>1</v>
      </c>
      <c r="M127">
        <v>1.0743253816532199</v>
      </c>
      <c r="N127" t="s">
        <v>327</v>
      </c>
      <c r="O127">
        <v>2</v>
      </c>
      <c r="P127">
        <v>1.0687797147385101</v>
      </c>
      <c r="Q127" t="s">
        <v>352</v>
      </c>
      <c r="R127">
        <v>2</v>
      </c>
      <c r="S127">
        <v>0.96150678554803504</v>
      </c>
      <c r="T127" t="s">
        <v>278</v>
      </c>
      <c r="U127">
        <v>1</v>
      </c>
      <c r="V127">
        <v>1.01754385964912</v>
      </c>
      <c r="W127" t="s">
        <v>379</v>
      </c>
      <c r="X127">
        <v>3</v>
      </c>
      <c r="Y127">
        <v>1.0636363636363599</v>
      </c>
      <c r="Z127" t="s">
        <v>358</v>
      </c>
      <c r="AA127">
        <v>2</v>
      </c>
      <c r="AB127">
        <v>0.93660968660968602</v>
      </c>
      <c r="AC127" t="s">
        <v>342</v>
      </c>
      <c r="AD127">
        <v>2</v>
      </c>
      <c r="AE127">
        <v>1.0193798449612399</v>
      </c>
      <c r="AF127" t="s">
        <v>352</v>
      </c>
      <c r="AG127">
        <v>2</v>
      </c>
      <c r="AH127">
        <v>1.1090589270008699</v>
      </c>
      <c r="AI127" t="s">
        <v>334</v>
      </c>
      <c r="AJ127">
        <v>3</v>
      </c>
      <c r="AK127">
        <v>0.80434782608695599</v>
      </c>
      <c r="AL127" t="s">
        <v>364</v>
      </c>
      <c r="AM127">
        <v>2</v>
      </c>
      <c r="AN127">
        <v>0.78592814371257402</v>
      </c>
      <c r="AO127" t="s">
        <v>366</v>
      </c>
      <c r="AP127">
        <v>3</v>
      </c>
      <c r="AQ127">
        <v>0.99771949828962303</v>
      </c>
      <c r="AR127" t="s">
        <v>364</v>
      </c>
      <c r="AS127">
        <v>2</v>
      </c>
      <c r="AT127">
        <v>0.85806451612903201</v>
      </c>
      <c r="AU127" t="s">
        <v>374</v>
      </c>
      <c r="AV127">
        <v>2</v>
      </c>
      <c r="AW127">
        <v>1.1931243680485299</v>
      </c>
      <c r="AX127" t="s">
        <v>364</v>
      </c>
      <c r="AY127">
        <v>2</v>
      </c>
      <c r="AZ127">
        <v>0.77254098360655699</v>
      </c>
      <c r="BA127" t="s">
        <v>381</v>
      </c>
      <c r="BB127">
        <v>2</v>
      </c>
      <c r="BC127">
        <v>1.4694927154642701</v>
      </c>
      <c r="BD127" t="s">
        <v>374</v>
      </c>
      <c r="BE127">
        <v>2</v>
      </c>
      <c r="BF127">
        <v>1.2521440823327601</v>
      </c>
      <c r="BG127" t="s">
        <v>401</v>
      </c>
      <c r="BH127">
        <v>3</v>
      </c>
      <c r="BI127">
        <v>0.94019471488177997</v>
      </c>
      <c r="BJ127" t="s">
        <v>381</v>
      </c>
      <c r="BK127">
        <v>2</v>
      </c>
      <c r="BL127">
        <v>1.07885031504742</v>
      </c>
      <c r="BM127" t="s">
        <v>372</v>
      </c>
      <c r="BN127">
        <v>3</v>
      </c>
      <c r="BO127">
        <v>1.0533333333333299</v>
      </c>
      <c r="BP127" t="s">
        <v>366</v>
      </c>
      <c r="BQ127">
        <v>3</v>
      </c>
      <c r="BR127">
        <v>1.08869987849331</v>
      </c>
      <c r="BS127" t="s">
        <v>381</v>
      </c>
      <c r="BT127">
        <v>2</v>
      </c>
      <c r="BU127">
        <v>1.0669140703662101</v>
      </c>
      <c r="BV127" t="s">
        <v>366</v>
      </c>
      <c r="BW127">
        <v>3</v>
      </c>
      <c r="BX127">
        <v>0.97777777777777697</v>
      </c>
      <c r="BY127" t="s">
        <v>381</v>
      </c>
      <c r="BZ127">
        <v>2</v>
      </c>
      <c r="CA127">
        <v>1.1460501123782501</v>
      </c>
      <c r="CB127" t="s">
        <v>303</v>
      </c>
      <c r="CC127">
        <v>3</v>
      </c>
      <c r="CD127">
        <v>0.84057971014492705</v>
      </c>
      <c r="CE127" t="s">
        <v>278</v>
      </c>
      <c r="CF127">
        <v>1</v>
      </c>
      <c r="CG127">
        <v>0.97173913043478199</v>
      </c>
      <c r="CH127" t="s">
        <v>373</v>
      </c>
      <c r="CI127">
        <v>3</v>
      </c>
      <c r="CJ127">
        <v>1.13466334164588</v>
      </c>
      <c r="CK127" t="s">
        <v>335</v>
      </c>
      <c r="CL127">
        <v>3</v>
      </c>
      <c r="CM127">
        <v>0.875</v>
      </c>
      <c r="CN127" t="s">
        <v>333</v>
      </c>
      <c r="CO127">
        <v>1</v>
      </c>
      <c r="CP127">
        <v>1.0381282495667199</v>
      </c>
      <c r="CQ127" t="s">
        <v>333</v>
      </c>
      <c r="CR127">
        <v>1</v>
      </c>
      <c r="CS127">
        <v>0.96494156928213604</v>
      </c>
      <c r="CT127" t="s">
        <v>422</v>
      </c>
      <c r="CU127">
        <v>3</v>
      </c>
      <c r="CV127">
        <v>1.13054499366286</v>
      </c>
      <c r="CW127" t="s">
        <v>407</v>
      </c>
      <c r="CX127">
        <v>3</v>
      </c>
      <c r="CY127">
        <v>1.0845070422535199</v>
      </c>
      <c r="CZ127" t="s">
        <v>396</v>
      </c>
      <c r="DA127">
        <v>1</v>
      </c>
      <c r="DB127">
        <v>1.1106382978723399</v>
      </c>
      <c r="DC127" t="s">
        <v>395</v>
      </c>
      <c r="DD127">
        <v>1</v>
      </c>
      <c r="DE127">
        <v>1.06451612903225</v>
      </c>
      <c r="DF127" t="s">
        <v>420</v>
      </c>
      <c r="DG127">
        <v>1</v>
      </c>
      <c r="DH127">
        <v>1.18978102189781</v>
      </c>
    </row>
    <row r="128" spans="1:112" x14ac:dyDescent="0.4">
      <c r="A128">
        <v>126</v>
      </c>
      <c r="B128" t="s">
        <v>253</v>
      </c>
      <c r="C128">
        <v>2</v>
      </c>
      <c r="D128">
        <v>0.93894736842105198</v>
      </c>
      <c r="E128" t="s">
        <v>239</v>
      </c>
      <c r="F128">
        <v>2</v>
      </c>
      <c r="G128">
        <v>0.92605989232839803</v>
      </c>
      <c r="H128" t="s">
        <v>327</v>
      </c>
      <c r="I128">
        <v>2</v>
      </c>
      <c r="J128">
        <v>0.60611250666057703</v>
      </c>
      <c r="K128" t="s">
        <v>370</v>
      </c>
      <c r="L128">
        <v>2</v>
      </c>
      <c r="M128">
        <v>1.0130718954248299</v>
      </c>
      <c r="N128" t="s">
        <v>239</v>
      </c>
      <c r="O128">
        <v>2</v>
      </c>
      <c r="P128">
        <v>2.0644950073661801</v>
      </c>
      <c r="Q128" t="s">
        <v>275</v>
      </c>
      <c r="R128">
        <v>2</v>
      </c>
      <c r="S128">
        <v>1.1057934508816101</v>
      </c>
      <c r="T128" t="s">
        <v>368</v>
      </c>
      <c r="U128">
        <v>2</v>
      </c>
      <c r="V128">
        <v>0.80645161290322498</v>
      </c>
      <c r="W128" t="s">
        <v>358</v>
      </c>
      <c r="X128">
        <v>2</v>
      </c>
      <c r="Y128">
        <v>0.76221498371335505</v>
      </c>
      <c r="Z128" t="s">
        <v>352</v>
      </c>
      <c r="AA128">
        <v>2</v>
      </c>
      <c r="AB128">
        <v>1.0513069817882601</v>
      </c>
      <c r="AC128" t="s">
        <v>358</v>
      </c>
      <c r="AD128">
        <v>2</v>
      </c>
      <c r="AE128">
        <v>0.98859315589353602</v>
      </c>
      <c r="AF128" t="s">
        <v>275</v>
      </c>
      <c r="AG128">
        <v>2</v>
      </c>
      <c r="AH128">
        <v>1.0358851674641101</v>
      </c>
      <c r="AI128" t="s">
        <v>342</v>
      </c>
      <c r="AJ128">
        <v>2</v>
      </c>
      <c r="AK128">
        <v>1.0192926045016</v>
      </c>
      <c r="AL128" t="s">
        <v>366</v>
      </c>
      <c r="AM128">
        <v>3</v>
      </c>
      <c r="AN128">
        <v>0.696031746031746</v>
      </c>
      <c r="AO128" t="s">
        <v>303</v>
      </c>
      <c r="AP128">
        <v>2</v>
      </c>
      <c r="AQ128">
        <v>0.72382435070551299</v>
      </c>
      <c r="AR128" t="s">
        <v>366</v>
      </c>
      <c r="AS128">
        <v>3</v>
      </c>
      <c r="AT128">
        <v>0.752</v>
      </c>
      <c r="AU128" t="s">
        <v>375</v>
      </c>
      <c r="AV128">
        <v>3</v>
      </c>
      <c r="AW128">
        <v>1.6910935738444099</v>
      </c>
      <c r="AX128" t="s">
        <v>366</v>
      </c>
      <c r="AY128">
        <v>3</v>
      </c>
      <c r="AZ128">
        <v>0.834924965893588</v>
      </c>
      <c r="BA128" t="s">
        <v>389</v>
      </c>
      <c r="BB128">
        <v>2</v>
      </c>
      <c r="BC128">
        <v>1.02090592334494</v>
      </c>
      <c r="BD128" t="s">
        <v>381</v>
      </c>
      <c r="BE128">
        <v>2</v>
      </c>
      <c r="BF128">
        <v>1.0034521065016599</v>
      </c>
      <c r="BG128" t="s">
        <v>403</v>
      </c>
      <c r="BH128">
        <v>3</v>
      </c>
      <c r="BI128">
        <v>0.93777777777777704</v>
      </c>
      <c r="BJ128" t="s">
        <v>383</v>
      </c>
      <c r="BK128">
        <v>2</v>
      </c>
      <c r="BL128">
        <v>1.28292682926829</v>
      </c>
      <c r="BM128" t="s">
        <v>365</v>
      </c>
      <c r="BN128">
        <v>3</v>
      </c>
      <c r="BO128">
        <v>0.92138760116288199</v>
      </c>
      <c r="BP128" t="s">
        <v>289</v>
      </c>
      <c r="BQ128">
        <v>2</v>
      </c>
      <c r="BR128">
        <v>1.20560747663551</v>
      </c>
      <c r="BS128" t="s">
        <v>382</v>
      </c>
      <c r="BT128">
        <v>3</v>
      </c>
      <c r="BU128">
        <v>0.84190476190476105</v>
      </c>
      <c r="BV128" t="s">
        <v>303</v>
      </c>
      <c r="BW128">
        <v>3</v>
      </c>
      <c r="BX128">
        <v>0.873949579831932</v>
      </c>
      <c r="BY128" t="s">
        <v>386</v>
      </c>
      <c r="BZ128">
        <v>2</v>
      </c>
      <c r="CA128">
        <v>1.31066176470588</v>
      </c>
      <c r="CB128" t="s">
        <v>289</v>
      </c>
      <c r="CC128">
        <v>2</v>
      </c>
      <c r="CD128">
        <v>1.0540540540540499</v>
      </c>
      <c r="CE128" t="s">
        <v>363</v>
      </c>
      <c r="CF128">
        <v>3</v>
      </c>
      <c r="CG128">
        <v>1.07241910631741</v>
      </c>
      <c r="CH128" t="s">
        <v>374</v>
      </c>
      <c r="CI128">
        <v>2</v>
      </c>
      <c r="CJ128">
        <v>1.1195158850226901</v>
      </c>
      <c r="CK128" t="s">
        <v>417</v>
      </c>
      <c r="CL128">
        <v>3</v>
      </c>
      <c r="CM128">
        <v>0.8</v>
      </c>
      <c r="CN128" t="s">
        <v>408</v>
      </c>
      <c r="CO128">
        <v>2</v>
      </c>
      <c r="CP128">
        <v>0.957843137254902</v>
      </c>
      <c r="CQ128" t="s">
        <v>407</v>
      </c>
      <c r="CR128">
        <v>3</v>
      </c>
      <c r="CS128">
        <v>1.2029598308667999</v>
      </c>
      <c r="CT128" t="s">
        <v>343</v>
      </c>
      <c r="CU128">
        <v>1</v>
      </c>
      <c r="CV128">
        <v>1.03515625</v>
      </c>
      <c r="CW128" t="s">
        <v>408</v>
      </c>
      <c r="CX128">
        <v>3</v>
      </c>
      <c r="CY128">
        <v>0.97580645161290303</v>
      </c>
      <c r="CZ128" t="s">
        <v>397</v>
      </c>
      <c r="DA128">
        <v>3</v>
      </c>
      <c r="DB128">
        <v>0.96721311475409799</v>
      </c>
      <c r="DC128" t="s">
        <v>396</v>
      </c>
      <c r="DD128">
        <v>1</v>
      </c>
      <c r="DE128">
        <v>0.94636015325670497</v>
      </c>
      <c r="DF128" t="s">
        <v>422</v>
      </c>
      <c r="DG128">
        <v>3</v>
      </c>
      <c r="DH128">
        <v>0.91963109354413697</v>
      </c>
    </row>
    <row r="129" spans="1:112" x14ac:dyDescent="0.4">
      <c r="A129">
        <v>127</v>
      </c>
      <c r="B129" t="s">
        <v>344</v>
      </c>
      <c r="C129">
        <v>2</v>
      </c>
      <c r="D129">
        <v>1.6486332574031799</v>
      </c>
      <c r="E129" t="s">
        <v>339</v>
      </c>
      <c r="F129">
        <v>3</v>
      </c>
      <c r="G129">
        <v>1.1257035647279501</v>
      </c>
      <c r="H129" t="s">
        <v>239</v>
      </c>
      <c r="I129">
        <v>2</v>
      </c>
      <c r="J129">
        <v>0.60568625669906395</v>
      </c>
      <c r="K129" t="s">
        <v>328</v>
      </c>
      <c r="L129">
        <v>2</v>
      </c>
      <c r="M129">
        <v>0.783662498006788</v>
      </c>
      <c r="N129" t="s">
        <v>258</v>
      </c>
      <c r="O129">
        <v>1</v>
      </c>
      <c r="P129">
        <v>1.1596638655462099</v>
      </c>
      <c r="Q129" t="s">
        <v>359</v>
      </c>
      <c r="R129">
        <v>2</v>
      </c>
      <c r="S129">
        <v>0.97262773722627704</v>
      </c>
      <c r="T129" t="s">
        <v>372</v>
      </c>
      <c r="U129">
        <v>2</v>
      </c>
      <c r="V129">
        <v>1.0469432314410401</v>
      </c>
      <c r="W129" t="s">
        <v>352</v>
      </c>
      <c r="X129">
        <v>2</v>
      </c>
      <c r="Y129">
        <v>1.0572072428243799</v>
      </c>
      <c r="Z129" t="s">
        <v>275</v>
      </c>
      <c r="AA129">
        <v>2</v>
      </c>
      <c r="AB129">
        <v>0.99014778325123098</v>
      </c>
      <c r="AC129" t="s">
        <v>352</v>
      </c>
      <c r="AD129">
        <v>2</v>
      </c>
      <c r="AE129">
        <v>1.2942055276918101</v>
      </c>
      <c r="AF129" t="s">
        <v>359</v>
      </c>
      <c r="AG129">
        <v>3</v>
      </c>
      <c r="AH129">
        <v>1.0210526315789401</v>
      </c>
      <c r="AI129" t="s">
        <v>394</v>
      </c>
      <c r="AJ129">
        <v>3</v>
      </c>
      <c r="AK129">
        <v>0.450555426085605</v>
      </c>
      <c r="AL129" t="s">
        <v>376</v>
      </c>
      <c r="AM129">
        <v>2</v>
      </c>
      <c r="AN129">
        <v>1.14838709677419</v>
      </c>
      <c r="AO129" t="s">
        <v>289</v>
      </c>
      <c r="AP129">
        <v>2</v>
      </c>
      <c r="AQ129">
        <v>0.92351816443594603</v>
      </c>
      <c r="AR129" t="s">
        <v>303</v>
      </c>
      <c r="AS129">
        <v>2</v>
      </c>
      <c r="AT129">
        <v>0.90770202451264803</v>
      </c>
      <c r="AU129" t="s">
        <v>381</v>
      </c>
      <c r="AV129">
        <v>2</v>
      </c>
      <c r="AW129">
        <v>0.92195783503883599</v>
      </c>
      <c r="AX129" t="s">
        <v>303</v>
      </c>
      <c r="AY129">
        <v>2</v>
      </c>
      <c r="AZ129">
        <v>0.84728624264397701</v>
      </c>
      <c r="BA129" t="s">
        <v>386</v>
      </c>
      <c r="BB129">
        <v>3</v>
      </c>
      <c r="BC129">
        <v>0.94827586206896497</v>
      </c>
      <c r="BD129" t="s">
        <v>389</v>
      </c>
      <c r="BE129">
        <v>2</v>
      </c>
      <c r="BF129">
        <v>1.0358361774744</v>
      </c>
      <c r="BG129" t="s">
        <v>396</v>
      </c>
      <c r="BH129">
        <v>1</v>
      </c>
      <c r="BI129">
        <v>1.1391304347825999</v>
      </c>
      <c r="BJ129" t="s">
        <v>389</v>
      </c>
      <c r="BK129">
        <v>2</v>
      </c>
      <c r="BL129">
        <v>1.16614420062695</v>
      </c>
      <c r="BM129" t="s">
        <v>367</v>
      </c>
      <c r="BN129">
        <v>2</v>
      </c>
      <c r="BO129">
        <v>0.93968871595330705</v>
      </c>
      <c r="BP129" t="s">
        <v>373</v>
      </c>
      <c r="BQ129">
        <v>3</v>
      </c>
      <c r="BR129">
        <v>0.86872586872586799</v>
      </c>
      <c r="BS129" t="s">
        <v>395</v>
      </c>
      <c r="BT129">
        <v>1</v>
      </c>
      <c r="BU129">
        <v>0.86096938775510201</v>
      </c>
      <c r="BV129" t="s">
        <v>289</v>
      </c>
      <c r="BW129">
        <v>2</v>
      </c>
      <c r="BX129">
        <v>0.90283400809716596</v>
      </c>
      <c r="BY129" t="s">
        <v>395</v>
      </c>
      <c r="BZ129">
        <v>1</v>
      </c>
      <c r="CA129">
        <v>1.11409395973154</v>
      </c>
      <c r="CB129" t="s">
        <v>373</v>
      </c>
      <c r="CC129">
        <v>3</v>
      </c>
      <c r="CD129">
        <v>0.81818181818181801</v>
      </c>
      <c r="CE129" t="s">
        <v>364</v>
      </c>
      <c r="CF129">
        <v>3</v>
      </c>
      <c r="CG129">
        <v>1.16279069767441</v>
      </c>
      <c r="CH129" t="s">
        <v>381</v>
      </c>
      <c r="CI129">
        <v>2</v>
      </c>
      <c r="CJ129">
        <v>1.22692906259312</v>
      </c>
      <c r="CK129" t="s">
        <v>418</v>
      </c>
      <c r="CL129">
        <v>2</v>
      </c>
      <c r="CM129">
        <v>1.0014727540500701</v>
      </c>
      <c r="CN129" t="s">
        <v>335</v>
      </c>
      <c r="CO129">
        <v>3</v>
      </c>
      <c r="CP129">
        <v>1.0714285714285701</v>
      </c>
      <c r="CQ129" t="s">
        <v>408</v>
      </c>
      <c r="CR129">
        <v>2</v>
      </c>
      <c r="CS129">
        <v>0.969293756397134</v>
      </c>
      <c r="CT129" t="s">
        <v>424</v>
      </c>
      <c r="CU129">
        <v>1</v>
      </c>
      <c r="CV129">
        <v>1.18734177215189</v>
      </c>
      <c r="CW129" t="s">
        <v>417</v>
      </c>
      <c r="CX129">
        <v>3</v>
      </c>
      <c r="CY129">
        <v>1.27556512378902</v>
      </c>
      <c r="CZ129" t="s">
        <v>407</v>
      </c>
      <c r="DA129">
        <v>3</v>
      </c>
      <c r="DB129">
        <v>1.07792207792207</v>
      </c>
      <c r="DC129" t="s">
        <v>397</v>
      </c>
      <c r="DD129">
        <v>3</v>
      </c>
      <c r="DE129">
        <v>1.10508474576271</v>
      </c>
      <c r="DF129" t="s">
        <v>343</v>
      </c>
      <c r="DG129">
        <v>1</v>
      </c>
      <c r="DH129">
        <v>1.0377936670071499</v>
      </c>
    </row>
    <row r="130" spans="1:112" x14ac:dyDescent="0.4">
      <c r="A130">
        <v>128</v>
      </c>
      <c r="B130" t="s">
        <v>328</v>
      </c>
      <c r="C130">
        <v>3</v>
      </c>
      <c r="D130">
        <v>0.95269565217391305</v>
      </c>
      <c r="E130" t="s">
        <v>245</v>
      </c>
      <c r="F130">
        <v>1</v>
      </c>
      <c r="G130">
        <v>0.73696145124716494</v>
      </c>
      <c r="H130" t="s">
        <v>258</v>
      </c>
      <c r="I130">
        <v>1</v>
      </c>
      <c r="J130">
        <v>0.806962025316455</v>
      </c>
      <c r="K130" t="s">
        <v>257</v>
      </c>
      <c r="L130">
        <v>1</v>
      </c>
      <c r="M130">
        <v>1.2016129032258001</v>
      </c>
      <c r="N130" t="s">
        <v>111</v>
      </c>
      <c r="O130">
        <v>2</v>
      </c>
      <c r="P130">
        <v>1.38504643902817</v>
      </c>
      <c r="Q130" t="s">
        <v>278</v>
      </c>
      <c r="R130">
        <v>1</v>
      </c>
      <c r="S130">
        <v>1.1058201058201</v>
      </c>
      <c r="T130" t="s">
        <v>282</v>
      </c>
      <c r="U130">
        <v>1</v>
      </c>
      <c r="V130">
        <v>0.99184782608695599</v>
      </c>
      <c r="W130" t="s">
        <v>275</v>
      </c>
      <c r="X130">
        <v>2</v>
      </c>
      <c r="Y130">
        <v>0.92272727272727195</v>
      </c>
      <c r="Z130" t="s">
        <v>359</v>
      </c>
      <c r="AA130">
        <v>2</v>
      </c>
      <c r="AB130">
        <v>0.99791666666666601</v>
      </c>
      <c r="AC130" t="s">
        <v>275</v>
      </c>
      <c r="AD130">
        <v>2</v>
      </c>
      <c r="AE130">
        <v>1.0398009950248699</v>
      </c>
      <c r="AF130" t="s">
        <v>278</v>
      </c>
      <c r="AG130">
        <v>1</v>
      </c>
      <c r="AH130">
        <v>0.95025728987993097</v>
      </c>
      <c r="AI130" t="s">
        <v>358</v>
      </c>
      <c r="AJ130">
        <v>2</v>
      </c>
      <c r="AK130">
        <v>1.08882521489971</v>
      </c>
      <c r="AL130" t="s">
        <v>303</v>
      </c>
      <c r="AM130">
        <v>2</v>
      </c>
      <c r="AN130">
        <v>0.95228794314558296</v>
      </c>
      <c r="AO130" t="s">
        <v>377</v>
      </c>
      <c r="AP130">
        <v>3</v>
      </c>
      <c r="AQ130">
        <v>1.0745614035087701</v>
      </c>
      <c r="AR130" t="s">
        <v>289</v>
      </c>
      <c r="AS130">
        <v>2</v>
      </c>
      <c r="AT130">
        <v>1.0351966873706</v>
      </c>
      <c r="AU130" t="s">
        <v>389</v>
      </c>
      <c r="AV130">
        <v>2</v>
      </c>
      <c r="AW130">
        <v>0.98846787479406895</v>
      </c>
      <c r="AX130" t="s">
        <v>289</v>
      </c>
      <c r="AY130">
        <v>2</v>
      </c>
      <c r="AZ130">
        <v>0.90612244897959104</v>
      </c>
      <c r="BA130" t="s">
        <v>390</v>
      </c>
      <c r="BB130">
        <v>2</v>
      </c>
      <c r="BC130">
        <v>0.99348534201954397</v>
      </c>
      <c r="BD130" t="s">
        <v>386</v>
      </c>
      <c r="BE130">
        <v>3</v>
      </c>
      <c r="BF130">
        <v>1.52272727272727</v>
      </c>
      <c r="BG130" t="s">
        <v>397</v>
      </c>
      <c r="BH130">
        <v>2</v>
      </c>
      <c r="BI130">
        <v>0.99</v>
      </c>
      <c r="BJ130" t="s">
        <v>387</v>
      </c>
      <c r="BK130">
        <v>2</v>
      </c>
      <c r="BL130">
        <v>1.1439114391143901</v>
      </c>
      <c r="BM130" t="s">
        <v>364</v>
      </c>
      <c r="BN130">
        <v>3</v>
      </c>
      <c r="BO130">
        <v>0.76397515527950299</v>
      </c>
      <c r="BP130" t="s">
        <v>374</v>
      </c>
      <c r="BQ130">
        <v>2</v>
      </c>
      <c r="BR130">
        <v>0.96133333333333304</v>
      </c>
      <c r="BS130" t="s">
        <v>396</v>
      </c>
      <c r="BT130">
        <v>1</v>
      </c>
      <c r="BU130">
        <v>1.18777292576419</v>
      </c>
      <c r="BV130" t="s">
        <v>373</v>
      </c>
      <c r="BW130">
        <v>3</v>
      </c>
      <c r="BX130">
        <v>1.0390243902439</v>
      </c>
      <c r="BY130" t="s">
        <v>308</v>
      </c>
      <c r="BZ130">
        <v>2</v>
      </c>
      <c r="CA130">
        <v>1.0081300813008101</v>
      </c>
      <c r="CB130" t="s">
        <v>374</v>
      </c>
      <c r="CC130">
        <v>2</v>
      </c>
      <c r="CD130">
        <v>1.0359712230215801</v>
      </c>
      <c r="CE130" t="s">
        <v>366</v>
      </c>
      <c r="CF130">
        <v>3</v>
      </c>
      <c r="CG130">
        <v>0.97309417040358703</v>
      </c>
      <c r="CH130" t="s">
        <v>383</v>
      </c>
      <c r="CI130">
        <v>3</v>
      </c>
      <c r="CJ130">
        <v>0.90612244897959104</v>
      </c>
      <c r="CK130" t="s">
        <v>419</v>
      </c>
      <c r="CL130">
        <v>1</v>
      </c>
      <c r="CM130">
        <v>0.67522935779816495</v>
      </c>
      <c r="CN130" t="s">
        <v>417</v>
      </c>
      <c r="CO130">
        <v>3</v>
      </c>
      <c r="CP130">
        <v>1.0673076923076901</v>
      </c>
      <c r="CQ130" t="s">
        <v>335</v>
      </c>
      <c r="CR130">
        <v>3</v>
      </c>
      <c r="CS130">
        <v>1.37333333333333</v>
      </c>
      <c r="CT130" t="s">
        <v>431</v>
      </c>
      <c r="CU130">
        <v>2</v>
      </c>
      <c r="CV130">
        <v>1.0862422997946599</v>
      </c>
      <c r="CW130" t="s">
        <v>418</v>
      </c>
      <c r="CX130">
        <v>2</v>
      </c>
      <c r="CY130">
        <v>1.1174652241112799</v>
      </c>
      <c r="CZ130" t="s">
        <v>408</v>
      </c>
      <c r="DA130">
        <v>3</v>
      </c>
      <c r="DB130">
        <v>0.93904958677685901</v>
      </c>
      <c r="DC130" t="s">
        <v>333</v>
      </c>
      <c r="DD130">
        <v>1</v>
      </c>
      <c r="DE130">
        <v>1.02010050251256</v>
      </c>
      <c r="DF130" t="s">
        <v>423</v>
      </c>
      <c r="DG130">
        <v>2</v>
      </c>
      <c r="DH130">
        <v>1.0058139534883701</v>
      </c>
    </row>
    <row r="131" spans="1:112" x14ac:dyDescent="0.4">
      <c r="A131">
        <v>129</v>
      </c>
      <c r="B131" t="s">
        <v>257</v>
      </c>
      <c r="C131">
        <v>1</v>
      </c>
      <c r="D131">
        <v>1.25925925925925</v>
      </c>
      <c r="E131" t="s">
        <v>357</v>
      </c>
      <c r="F131">
        <v>2</v>
      </c>
      <c r="G131">
        <v>0.62743091095189296</v>
      </c>
      <c r="H131" t="s">
        <v>111</v>
      </c>
      <c r="I131">
        <v>2</v>
      </c>
      <c r="J131">
        <v>0.790351255717614</v>
      </c>
      <c r="K131" t="s">
        <v>263</v>
      </c>
      <c r="L131">
        <v>1</v>
      </c>
      <c r="M131">
        <v>0.94389438943894299</v>
      </c>
      <c r="N131" t="s">
        <v>245</v>
      </c>
      <c r="O131">
        <v>1</v>
      </c>
      <c r="P131">
        <v>1.63404255319148</v>
      </c>
      <c r="Q131" t="s">
        <v>368</v>
      </c>
      <c r="R131">
        <v>2</v>
      </c>
      <c r="S131">
        <v>0.97567954220314701</v>
      </c>
      <c r="T131" t="s">
        <v>365</v>
      </c>
      <c r="U131">
        <v>2</v>
      </c>
      <c r="V131">
        <v>0.904299406908873</v>
      </c>
      <c r="W131" t="s">
        <v>359</v>
      </c>
      <c r="X131">
        <v>2</v>
      </c>
      <c r="Y131">
        <v>0.96385542168674698</v>
      </c>
      <c r="Z131" t="s">
        <v>278</v>
      </c>
      <c r="AA131">
        <v>1</v>
      </c>
      <c r="AB131">
        <v>0.88948787061994605</v>
      </c>
      <c r="AC131" t="s">
        <v>359</v>
      </c>
      <c r="AD131">
        <v>3</v>
      </c>
      <c r="AE131">
        <v>0.99164926931106401</v>
      </c>
      <c r="AF131" t="s">
        <v>368</v>
      </c>
      <c r="AG131">
        <v>3</v>
      </c>
      <c r="AH131">
        <v>0.95833333333333304</v>
      </c>
      <c r="AI131" t="s">
        <v>352</v>
      </c>
      <c r="AJ131">
        <v>2</v>
      </c>
      <c r="AK131">
        <v>1.0551397700237899</v>
      </c>
      <c r="AL131" t="s">
        <v>289</v>
      </c>
      <c r="AM131">
        <v>2</v>
      </c>
      <c r="AN131">
        <v>1.0828157349896399</v>
      </c>
      <c r="AO131" t="s">
        <v>373</v>
      </c>
      <c r="AP131">
        <v>2</v>
      </c>
      <c r="AQ131">
        <v>0.77139364303178404</v>
      </c>
      <c r="AR131" t="s">
        <v>377</v>
      </c>
      <c r="AS131">
        <v>3</v>
      </c>
      <c r="AT131">
        <v>0.82448979591836702</v>
      </c>
      <c r="AU131" t="s">
        <v>406</v>
      </c>
      <c r="AV131">
        <v>3</v>
      </c>
      <c r="AW131">
        <v>1.2167949146871799</v>
      </c>
      <c r="AX131" t="s">
        <v>295</v>
      </c>
      <c r="AY131">
        <v>1</v>
      </c>
      <c r="AZ131">
        <v>0.82817869415807499</v>
      </c>
      <c r="BA131" t="s">
        <v>395</v>
      </c>
      <c r="BB131">
        <v>1</v>
      </c>
      <c r="BC131">
        <v>1.0126782884310599</v>
      </c>
      <c r="BD131" t="s">
        <v>390</v>
      </c>
      <c r="BE131">
        <v>2</v>
      </c>
      <c r="BF131">
        <v>1.0754098360655699</v>
      </c>
      <c r="BG131" t="s">
        <v>310</v>
      </c>
      <c r="BH131">
        <v>2</v>
      </c>
      <c r="BI131">
        <v>1.0298769771528899</v>
      </c>
      <c r="BJ131" t="s">
        <v>390</v>
      </c>
      <c r="BK131">
        <v>2</v>
      </c>
      <c r="BL131">
        <v>1.44970414201183</v>
      </c>
      <c r="BM131" t="s">
        <v>366</v>
      </c>
      <c r="BN131">
        <v>3</v>
      </c>
      <c r="BO131">
        <v>0.91444444444444395</v>
      </c>
      <c r="BP131" t="s">
        <v>381</v>
      </c>
      <c r="BQ131">
        <v>2</v>
      </c>
      <c r="BR131">
        <v>1</v>
      </c>
      <c r="BS131" t="s">
        <v>410</v>
      </c>
      <c r="BT131">
        <v>3</v>
      </c>
      <c r="BU131">
        <v>1.18148148148148</v>
      </c>
      <c r="BV131" t="s">
        <v>374</v>
      </c>
      <c r="BW131">
        <v>2</v>
      </c>
      <c r="BX131">
        <v>1.0784615384615299</v>
      </c>
      <c r="BY131" t="s">
        <v>396</v>
      </c>
      <c r="BZ131">
        <v>1</v>
      </c>
      <c r="CA131">
        <v>1.25714285714285</v>
      </c>
      <c r="CB131" t="s">
        <v>375</v>
      </c>
      <c r="CC131">
        <v>2</v>
      </c>
      <c r="CD131">
        <v>0.93416927899686497</v>
      </c>
      <c r="CE131" t="s">
        <v>303</v>
      </c>
      <c r="CF131">
        <v>3</v>
      </c>
      <c r="CG131">
        <v>1.11822660098522</v>
      </c>
      <c r="CH131" t="s">
        <v>386</v>
      </c>
      <c r="CI131">
        <v>2</v>
      </c>
      <c r="CJ131">
        <v>1.12820512820512</v>
      </c>
      <c r="CK131" t="s">
        <v>420</v>
      </c>
      <c r="CL131">
        <v>1</v>
      </c>
      <c r="CM131">
        <v>0.78803418803418801</v>
      </c>
      <c r="CN131" t="s">
        <v>418</v>
      </c>
      <c r="CO131">
        <v>2</v>
      </c>
      <c r="CP131">
        <v>0.97647058823529398</v>
      </c>
      <c r="CQ131" t="s">
        <v>417</v>
      </c>
      <c r="CR131">
        <v>3</v>
      </c>
      <c r="CS131">
        <v>0.93193193193193102</v>
      </c>
      <c r="CT131" t="s">
        <v>426</v>
      </c>
      <c r="CU131">
        <v>1</v>
      </c>
      <c r="CV131">
        <v>1.5158924205378901</v>
      </c>
      <c r="CW131" t="s">
        <v>343</v>
      </c>
      <c r="CX131">
        <v>1</v>
      </c>
      <c r="CY131">
        <v>1.0679245283018799</v>
      </c>
      <c r="CZ131" t="s">
        <v>414</v>
      </c>
      <c r="DA131">
        <v>3</v>
      </c>
      <c r="DB131">
        <v>1.24515235457063</v>
      </c>
      <c r="DC131" t="s">
        <v>407</v>
      </c>
      <c r="DD131">
        <v>3</v>
      </c>
      <c r="DE131">
        <v>1.0430292598967199</v>
      </c>
      <c r="DF131" t="s">
        <v>431</v>
      </c>
      <c r="DG131">
        <v>2</v>
      </c>
      <c r="DH131">
        <v>1.0445344129554599</v>
      </c>
    </row>
    <row r="132" spans="1:112" x14ac:dyDescent="0.4">
      <c r="A132">
        <v>130</v>
      </c>
      <c r="B132" t="s">
        <v>388</v>
      </c>
      <c r="C132">
        <v>3</v>
      </c>
      <c r="D132">
        <v>0.96385542168674698</v>
      </c>
      <c r="E132" t="s">
        <v>328</v>
      </c>
      <c r="F132">
        <v>2</v>
      </c>
      <c r="G132">
        <v>0.89896961583708501</v>
      </c>
      <c r="H132" t="s">
        <v>245</v>
      </c>
      <c r="I132">
        <v>1</v>
      </c>
      <c r="J132">
        <v>0.68076923076923002</v>
      </c>
      <c r="K132" t="s">
        <v>342</v>
      </c>
      <c r="L132">
        <v>2</v>
      </c>
      <c r="M132">
        <v>1.40425531914893</v>
      </c>
      <c r="N132" t="s">
        <v>248</v>
      </c>
      <c r="O132">
        <v>1</v>
      </c>
      <c r="P132">
        <v>1.0944178885728999</v>
      </c>
      <c r="Q132" t="s">
        <v>372</v>
      </c>
      <c r="R132">
        <v>2</v>
      </c>
      <c r="S132">
        <v>0.85607476635514002</v>
      </c>
      <c r="T132" t="s">
        <v>364</v>
      </c>
      <c r="U132">
        <v>2</v>
      </c>
      <c r="V132">
        <v>0.78497409326424805</v>
      </c>
      <c r="W132" t="s">
        <v>278</v>
      </c>
      <c r="X132">
        <v>1</v>
      </c>
      <c r="Y132">
        <v>1.16300940438871</v>
      </c>
      <c r="Z132" t="s">
        <v>368</v>
      </c>
      <c r="AA132">
        <v>2</v>
      </c>
      <c r="AB132">
        <v>1.1739130434782601</v>
      </c>
      <c r="AC132" t="s">
        <v>278</v>
      </c>
      <c r="AD132">
        <v>1</v>
      </c>
      <c r="AE132">
        <v>0.88333333333333297</v>
      </c>
      <c r="AF132" t="s">
        <v>372</v>
      </c>
      <c r="AG132">
        <v>3</v>
      </c>
      <c r="AH132">
        <v>1.04314159292035</v>
      </c>
      <c r="AI132" t="s">
        <v>275</v>
      </c>
      <c r="AJ132">
        <v>2</v>
      </c>
      <c r="AK132">
        <v>0.91224018475750501</v>
      </c>
      <c r="AL132" t="s">
        <v>377</v>
      </c>
      <c r="AM132">
        <v>2</v>
      </c>
      <c r="AN132">
        <v>0.96746817538896701</v>
      </c>
      <c r="AO132" t="s">
        <v>374</v>
      </c>
      <c r="AP132">
        <v>2</v>
      </c>
      <c r="AQ132">
        <v>1.07561436672967</v>
      </c>
      <c r="AR132" t="s">
        <v>373</v>
      </c>
      <c r="AS132">
        <v>2</v>
      </c>
      <c r="AT132">
        <v>0.812995245641838</v>
      </c>
      <c r="AU132" t="s">
        <v>386</v>
      </c>
      <c r="AV132">
        <v>3</v>
      </c>
      <c r="AW132">
        <v>1.0444444444444401</v>
      </c>
      <c r="AX132" t="s">
        <v>377</v>
      </c>
      <c r="AY132">
        <v>3</v>
      </c>
      <c r="AZ132">
        <v>0.97054886211512703</v>
      </c>
      <c r="BA132" t="s">
        <v>403</v>
      </c>
      <c r="BB132">
        <v>3</v>
      </c>
      <c r="BC132">
        <v>1.09820485744456</v>
      </c>
      <c r="BD132" t="s">
        <v>395</v>
      </c>
      <c r="BE132">
        <v>1</v>
      </c>
      <c r="BF132">
        <v>1.1220657276995301</v>
      </c>
      <c r="BG132" t="s">
        <v>410</v>
      </c>
      <c r="BH132">
        <v>3</v>
      </c>
      <c r="BI132">
        <v>1.3852040816326501</v>
      </c>
      <c r="BJ132" t="s">
        <v>395</v>
      </c>
      <c r="BK132">
        <v>1</v>
      </c>
      <c r="BL132">
        <v>0.93958868894601499</v>
      </c>
      <c r="BM132" t="s">
        <v>289</v>
      </c>
      <c r="BN132">
        <v>2</v>
      </c>
      <c r="BO132">
        <v>0.972727272727272</v>
      </c>
      <c r="BP132" t="s">
        <v>395</v>
      </c>
      <c r="BQ132">
        <v>1</v>
      </c>
      <c r="BR132">
        <v>1.15124816446402</v>
      </c>
      <c r="BS132" t="s">
        <v>402</v>
      </c>
      <c r="BT132">
        <v>2</v>
      </c>
      <c r="BU132">
        <v>0.29608645472668099</v>
      </c>
      <c r="BV132" t="s">
        <v>381</v>
      </c>
      <c r="BW132">
        <v>2</v>
      </c>
      <c r="BX132">
        <v>1.29565615984037</v>
      </c>
      <c r="BY132" t="s">
        <v>397</v>
      </c>
      <c r="BZ132">
        <v>2</v>
      </c>
      <c r="CA132">
        <v>0.96</v>
      </c>
      <c r="CB132" t="s">
        <v>381</v>
      </c>
      <c r="CC132">
        <v>2</v>
      </c>
      <c r="CD132">
        <v>0.96017795532957995</v>
      </c>
      <c r="CE132" t="s">
        <v>289</v>
      </c>
      <c r="CF132">
        <v>2</v>
      </c>
      <c r="CG132">
        <v>1.05128205128205</v>
      </c>
      <c r="CH132" t="s">
        <v>395</v>
      </c>
      <c r="CI132">
        <v>1</v>
      </c>
      <c r="CJ132">
        <v>1.012</v>
      </c>
      <c r="CK132" t="s">
        <v>421</v>
      </c>
      <c r="CL132">
        <v>3</v>
      </c>
      <c r="CM132">
        <v>1.0376811594202899</v>
      </c>
      <c r="CN132" t="s">
        <v>419</v>
      </c>
      <c r="CO132">
        <v>1</v>
      </c>
      <c r="CP132">
        <v>1.2826086956521701</v>
      </c>
      <c r="CQ132" t="s">
        <v>418</v>
      </c>
      <c r="CR132">
        <v>2</v>
      </c>
      <c r="CS132">
        <v>0.94578313253012003</v>
      </c>
      <c r="CT132" t="s">
        <v>430</v>
      </c>
      <c r="CU132">
        <v>3</v>
      </c>
      <c r="CV132">
        <v>0.99706055261610804</v>
      </c>
      <c r="CW132" t="s">
        <v>423</v>
      </c>
      <c r="CX132">
        <v>2</v>
      </c>
      <c r="CY132">
        <v>0.69487750556792804</v>
      </c>
      <c r="CZ132" t="s">
        <v>418</v>
      </c>
      <c r="DA132">
        <v>2</v>
      </c>
      <c r="DB132">
        <v>0.97372060857538001</v>
      </c>
      <c r="DC132" t="s">
        <v>408</v>
      </c>
      <c r="DD132">
        <v>3</v>
      </c>
      <c r="DE132">
        <v>0.97359735973597294</v>
      </c>
      <c r="DF132" t="s">
        <v>434</v>
      </c>
      <c r="DG132">
        <v>3</v>
      </c>
      <c r="DH132">
        <v>1.12616822429906</v>
      </c>
    </row>
    <row r="133" spans="1:112" x14ac:dyDescent="0.4">
      <c r="A133">
        <v>131</v>
      </c>
      <c r="B133" t="s">
        <v>399</v>
      </c>
      <c r="C133">
        <v>3</v>
      </c>
      <c r="D133">
        <v>0.76176176176176102</v>
      </c>
      <c r="E133" t="s">
        <v>388</v>
      </c>
      <c r="F133">
        <v>3</v>
      </c>
      <c r="G133">
        <v>0.91</v>
      </c>
      <c r="H133" t="s">
        <v>357</v>
      </c>
      <c r="I133">
        <v>2</v>
      </c>
      <c r="J133">
        <v>0.62642740619902104</v>
      </c>
      <c r="K133" t="s">
        <v>268</v>
      </c>
      <c r="L133">
        <v>2</v>
      </c>
      <c r="M133">
        <v>1.1036269430051799</v>
      </c>
      <c r="N133" t="s">
        <v>357</v>
      </c>
      <c r="O133">
        <v>2</v>
      </c>
      <c r="P133">
        <v>1.9</v>
      </c>
      <c r="Q133" t="s">
        <v>282</v>
      </c>
      <c r="R133">
        <v>1</v>
      </c>
      <c r="S133">
        <v>1.00272479564032</v>
      </c>
      <c r="T133" t="s">
        <v>366</v>
      </c>
      <c r="U133">
        <v>3</v>
      </c>
      <c r="V133">
        <v>0.85215053763440796</v>
      </c>
      <c r="W133" t="s">
        <v>368</v>
      </c>
      <c r="X133">
        <v>2</v>
      </c>
      <c r="Y133">
        <v>1.0036363636363601</v>
      </c>
      <c r="Z133" t="s">
        <v>372</v>
      </c>
      <c r="AA133">
        <v>2</v>
      </c>
      <c r="AB133">
        <v>0.97890295358649704</v>
      </c>
      <c r="AC133" t="s">
        <v>368</v>
      </c>
      <c r="AD133">
        <v>3</v>
      </c>
      <c r="AE133">
        <v>1.25925925925925</v>
      </c>
      <c r="AF133" t="s">
        <v>365</v>
      </c>
      <c r="AG133">
        <v>2</v>
      </c>
      <c r="AH133">
        <v>0.99897596723095095</v>
      </c>
      <c r="AI133" t="s">
        <v>359</v>
      </c>
      <c r="AJ133">
        <v>3</v>
      </c>
      <c r="AK133">
        <v>1</v>
      </c>
      <c r="AL133" t="s">
        <v>373</v>
      </c>
      <c r="AM133">
        <v>3</v>
      </c>
      <c r="AN133">
        <v>0.92013498312710895</v>
      </c>
      <c r="AO133" t="s">
        <v>381</v>
      </c>
      <c r="AP133">
        <v>2</v>
      </c>
      <c r="AQ133">
        <v>1.3066125394677399</v>
      </c>
      <c r="AR133" t="s">
        <v>374</v>
      </c>
      <c r="AS133">
        <v>2</v>
      </c>
      <c r="AT133">
        <v>0.86906854130052702</v>
      </c>
      <c r="AU133" t="s">
        <v>390</v>
      </c>
      <c r="AV133">
        <v>2</v>
      </c>
      <c r="AW133">
        <v>1.15465444287729</v>
      </c>
      <c r="AX133" t="s">
        <v>374</v>
      </c>
      <c r="AY133">
        <v>2</v>
      </c>
      <c r="AZ133">
        <v>0.79915254237288103</v>
      </c>
      <c r="BA133" t="s">
        <v>396</v>
      </c>
      <c r="BB133">
        <v>1</v>
      </c>
      <c r="BC133">
        <v>1.00416666666666</v>
      </c>
      <c r="BD133" t="s">
        <v>401</v>
      </c>
      <c r="BE133">
        <v>3</v>
      </c>
      <c r="BF133">
        <v>0.97162162162162102</v>
      </c>
      <c r="BG133" t="s">
        <v>412</v>
      </c>
      <c r="BH133">
        <v>3</v>
      </c>
      <c r="BI133">
        <v>1.2196467991169899</v>
      </c>
      <c r="BJ133" t="s">
        <v>401</v>
      </c>
      <c r="BK133">
        <v>3</v>
      </c>
      <c r="BL133">
        <v>0.92751479289940797</v>
      </c>
      <c r="BM133" t="s">
        <v>373</v>
      </c>
      <c r="BN133">
        <v>3</v>
      </c>
      <c r="BO133">
        <v>1.0156862745098001</v>
      </c>
      <c r="BP133" t="s">
        <v>396</v>
      </c>
      <c r="BQ133">
        <v>1</v>
      </c>
      <c r="BR133">
        <v>1.01327433628318</v>
      </c>
      <c r="BS133" t="s">
        <v>409</v>
      </c>
      <c r="BT133">
        <v>3</v>
      </c>
      <c r="BU133">
        <v>1.24291497975708</v>
      </c>
      <c r="BV133" t="s">
        <v>395</v>
      </c>
      <c r="BW133">
        <v>1</v>
      </c>
      <c r="BX133">
        <v>0.88296296296296295</v>
      </c>
      <c r="BY133" t="s">
        <v>410</v>
      </c>
      <c r="BZ133">
        <v>3</v>
      </c>
      <c r="CA133">
        <v>1.98125</v>
      </c>
      <c r="CB133" t="s">
        <v>383</v>
      </c>
      <c r="CC133">
        <v>3</v>
      </c>
      <c r="CD133">
        <v>0.81848739495798295</v>
      </c>
      <c r="CE133" t="s">
        <v>374</v>
      </c>
      <c r="CF133">
        <v>2</v>
      </c>
      <c r="CG133">
        <v>0.91805555555555496</v>
      </c>
      <c r="CH133" t="s">
        <v>396</v>
      </c>
      <c r="CI133">
        <v>1</v>
      </c>
      <c r="CJ133">
        <v>1.07777777777777</v>
      </c>
      <c r="CK133" t="s">
        <v>343</v>
      </c>
      <c r="CL133">
        <v>1</v>
      </c>
      <c r="CM133">
        <v>0.77403846153846101</v>
      </c>
      <c r="CN133" t="s">
        <v>420</v>
      </c>
      <c r="CO133">
        <v>1</v>
      </c>
      <c r="CP133">
        <v>1.1019522776572599</v>
      </c>
      <c r="CQ133" t="s">
        <v>419</v>
      </c>
      <c r="CR133">
        <v>1</v>
      </c>
      <c r="CS133">
        <v>0.69915254237288105</v>
      </c>
      <c r="CT133" t="s">
        <v>432</v>
      </c>
      <c r="CU133">
        <v>1</v>
      </c>
      <c r="CV133">
        <v>1.08768656716417</v>
      </c>
      <c r="CW133" t="s">
        <v>431</v>
      </c>
      <c r="CX133">
        <v>2</v>
      </c>
      <c r="CY133">
        <v>0.99621928166351603</v>
      </c>
      <c r="CZ133" t="s">
        <v>422</v>
      </c>
      <c r="DA133">
        <v>3</v>
      </c>
      <c r="DB133">
        <v>0.97179788484136298</v>
      </c>
      <c r="DC133" t="s">
        <v>414</v>
      </c>
      <c r="DD133">
        <v>3</v>
      </c>
      <c r="DE133">
        <v>1.01001112347052</v>
      </c>
      <c r="DF133" t="s">
        <v>430</v>
      </c>
      <c r="DG133">
        <v>3</v>
      </c>
      <c r="DH133">
        <v>1</v>
      </c>
    </row>
    <row r="134" spans="1:112" x14ac:dyDescent="0.4">
      <c r="A134">
        <v>132</v>
      </c>
      <c r="B134" t="s">
        <v>338</v>
      </c>
      <c r="C134">
        <v>3</v>
      </c>
      <c r="D134">
        <v>1.1134447975680499</v>
      </c>
      <c r="E134" t="s">
        <v>342</v>
      </c>
      <c r="F134">
        <v>2</v>
      </c>
      <c r="G134">
        <v>0.58767123287671197</v>
      </c>
      <c r="H134" t="s">
        <v>328</v>
      </c>
      <c r="I134">
        <v>2</v>
      </c>
      <c r="J134">
        <v>0.99047855418424602</v>
      </c>
      <c r="K134" t="s">
        <v>352</v>
      </c>
      <c r="L134">
        <v>2</v>
      </c>
      <c r="M134">
        <v>1.2289241004989899</v>
      </c>
      <c r="N134" t="s">
        <v>253</v>
      </c>
      <c r="O134">
        <v>2</v>
      </c>
      <c r="P134">
        <v>1.44225352112676</v>
      </c>
      <c r="Q134" t="s">
        <v>365</v>
      </c>
      <c r="R134">
        <v>2</v>
      </c>
      <c r="S134">
        <v>1.12770695571159</v>
      </c>
      <c r="T134" t="s">
        <v>376</v>
      </c>
      <c r="U134">
        <v>2</v>
      </c>
      <c r="V134">
        <v>1.0977739321953901</v>
      </c>
      <c r="W134" t="s">
        <v>365</v>
      </c>
      <c r="X134">
        <v>2</v>
      </c>
      <c r="Y134">
        <v>1.1878737010985401</v>
      </c>
      <c r="Z134" t="s">
        <v>365</v>
      </c>
      <c r="AA134">
        <v>2</v>
      </c>
      <c r="AB134">
        <v>0.93193144372119696</v>
      </c>
      <c r="AC134" t="s">
        <v>372</v>
      </c>
      <c r="AD134">
        <v>3</v>
      </c>
      <c r="AE134">
        <v>0.97413793103448199</v>
      </c>
      <c r="AF134" t="s">
        <v>367</v>
      </c>
      <c r="AG134">
        <v>2</v>
      </c>
      <c r="AH134">
        <v>1.12220457045093</v>
      </c>
      <c r="AI134" t="s">
        <v>278</v>
      </c>
      <c r="AJ134">
        <v>1</v>
      </c>
      <c r="AK134">
        <v>0.99638989169674996</v>
      </c>
      <c r="AL134" t="s">
        <v>374</v>
      </c>
      <c r="AM134">
        <v>2</v>
      </c>
      <c r="AN134">
        <v>1.1575492341356599</v>
      </c>
      <c r="AO134" t="s">
        <v>384</v>
      </c>
      <c r="AP134">
        <v>3</v>
      </c>
      <c r="AQ134">
        <v>1.21687136393018</v>
      </c>
      <c r="AR134" t="s">
        <v>375</v>
      </c>
      <c r="AS134">
        <v>3</v>
      </c>
      <c r="AT134">
        <v>0.83679245283018799</v>
      </c>
      <c r="AU134" t="s">
        <v>395</v>
      </c>
      <c r="AV134">
        <v>1</v>
      </c>
      <c r="AW134">
        <v>1.0695035460992901</v>
      </c>
      <c r="AX134" t="s">
        <v>381</v>
      </c>
      <c r="AY134">
        <v>2</v>
      </c>
      <c r="AZ134">
        <v>0.84648301684942495</v>
      </c>
      <c r="BA134" t="s">
        <v>397</v>
      </c>
      <c r="BB134">
        <v>2</v>
      </c>
      <c r="BC134">
        <v>1.07073954983922</v>
      </c>
      <c r="BD134" t="s">
        <v>396</v>
      </c>
      <c r="BE134">
        <v>1</v>
      </c>
      <c r="BF134">
        <v>0.95435684647302899</v>
      </c>
      <c r="BG134" t="s">
        <v>402</v>
      </c>
      <c r="BH134">
        <v>2</v>
      </c>
      <c r="BI134">
        <v>1.66553303529798</v>
      </c>
      <c r="BJ134" t="s">
        <v>403</v>
      </c>
      <c r="BK134">
        <v>3</v>
      </c>
      <c r="BL134">
        <v>1.1800947867298499</v>
      </c>
      <c r="BM134" t="s">
        <v>374</v>
      </c>
      <c r="BN134">
        <v>2</v>
      </c>
      <c r="BO134">
        <v>1.00133511348464</v>
      </c>
      <c r="BP134" t="s">
        <v>397</v>
      </c>
      <c r="BQ134">
        <v>2</v>
      </c>
      <c r="BR134">
        <v>1.1575456053067901</v>
      </c>
      <c r="BS134" t="s">
        <v>329</v>
      </c>
      <c r="BT134">
        <v>2</v>
      </c>
      <c r="BU134">
        <v>0.96153846153846101</v>
      </c>
      <c r="BV134" t="s">
        <v>396</v>
      </c>
      <c r="BW134">
        <v>1</v>
      </c>
      <c r="BX134">
        <v>1.02941176470588</v>
      </c>
      <c r="BY134" t="s">
        <v>329</v>
      </c>
      <c r="BZ134">
        <v>2</v>
      </c>
      <c r="CA134">
        <v>1.0044313146233299</v>
      </c>
      <c r="CB134" t="s">
        <v>395</v>
      </c>
      <c r="CC134">
        <v>1</v>
      </c>
      <c r="CD134">
        <v>0.90361445783132499</v>
      </c>
      <c r="CE134" t="s">
        <v>381</v>
      </c>
      <c r="CF134">
        <v>2</v>
      </c>
      <c r="CG134">
        <v>0.85671463963537997</v>
      </c>
      <c r="CH134" t="s">
        <v>397</v>
      </c>
      <c r="CI134">
        <v>2</v>
      </c>
      <c r="CJ134">
        <v>1.01061946902654</v>
      </c>
      <c r="CK134" t="s">
        <v>423</v>
      </c>
      <c r="CL134">
        <v>2</v>
      </c>
      <c r="CM134">
        <v>1.0071867822478999</v>
      </c>
      <c r="CN134" t="s">
        <v>343</v>
      </c>
      <c r="CO134">
        <v>1</v>
      </c>
      <c r="CP134">
        <v>0.95279503105590002</v>
      </c>
      <c r="CQ134" t="s">
        <v>420</v>
      </c>
      <c r="CR134">
        <v>1</v>
      </c>
      <c r="CS134">
        <v>0.964566929133858</v>
      </c>
      <c r="CT134" t="s">
        <v>433</v>
      </c>
      <c r="CU134">
        <v>1</v>
      </c>
      <c r="CV134">
        <v>1.0421607378129101</v>
      </c>
      <c r="CW134" t="s">
        <v>434</v>
      </c>
      <c r="CX134">
        <v>3</v>
      </c>
      <c r="CY134">
        <v>0.96897038081805298</v>
      </c>
      <c r="CZ134" t="s">
        <v>343</v>
      </c>
      <c r="DA134">
        <v>1</v>
      </c>
      <c r="DB134">
        <v>1.00942285041224</v>
      </c>
      <c r="DC134" t="s">
        <v>417</v>
      </c>
      <c r="DD134">
        <v>3</v>
      </c>
      <c r="DE134">
        <v>1.0617154811715399</v>
      </c>
      <c r="DF134" t="s">
        <v>433</v>
      </c>
      <c r="DG134">
        <v>1</v>
      </c>
      <c r="DH134">
        <v>1.0588865096359701</v>
      </c>
    </row>
    <row r="135" spans="1:112" x14ac:dyDescent="0.4">
      <c r="A135">
        <v>133</v>
      </c>
      <c r="B135" t="s">
        <v>342</v>
      </c>
      <c r="C135">
        <v>2</v>
      </c>
      <c r="D135">
        <v>0.90796019900497504</v>
      </c>
      <c r="E135" t="s">
        <v>358</v>
      </c>
      <c r="F135">
        <v>2</v>
      </c>
      <c r="G135">
        <v>0.60383147791196201</v>
      </c>
      <c r="H135" t="s">
        <v>388</v>
      </c>
      <c r="I135">
        <v>3</v>
      </c>
      <c r="J135">
        <v>0.40659340659340598</v>
      </c>
      <c r="K135" t="s">
        <v>405</v>
      </c>
      <c r="L135">
        <v>2</v>
      </c>
      <c r="M135">
        <v>0.87872559095580605</v>
      </c>
      <c r="N135" t="s">
        <v>337</v>
      </c>
      <c r="O135">
        <v>1</v>
      </c>
      <c r="P135">
        <v>1.6540879747605199</v>
      </c>
      <c r="Q135" t="s">
        <v>367</v>
      </c>
      <c r="R135">
        <v>2</v>
      </c>
      <c r="S135">
        <v>1.6224567844577</v>
      </c>
      <c r="T135" t="s">
        <v>303</v>
      </c>
      <c r="U135">
        <v>2</v>
      </c>
      <c r="V135">
        <v>0.815794596278128</v>
      </c>
      <c r="W135" t="s">
        <v>367</v>
      </c>
      <c r="X135">
        <v>2</v>
      </c>
      <c r="Y135">
        <v>1.0469742360695</v>
      </c>
      <c r="Z135" t="s">
        <v>367</v>
      </c>
      <c r="AA135">
        <v>2</v>
      </c>
      <c r="AB135">
        <v>1.0146503376445</v>
      </c>
      <c r="AC135" t="s">
        <v>365</v>
      </c>
      <c r="AD135">
        <v>2</v>
      </c>
      <c r="AE135">
        <v>1.0483356928630301</v>
      </c>
      <c r="AF135" t="s">
        <v>364</v>
      </c>
      <c r="AG135">
        <v>2</v>
      </c>
      <c r="AH135">
        <v>1.24090121317157</v>
      </c>
      <c r="AI135" t="s">
        <v>368</v>
      </c>
      <c r="AJ135">
        <v>3</v>
      </c>
      <c r="AK135">
        <v>0.97186700767263401</v>
      </c>
      <c r="AL135" t="s">
        <v>381</v>
      </c>
      <c r="AM135">
        <v>2</v>
      </c>
      <c r="AN135">
        <v>1.5327286302923</v>
      </c>
      <c r="AO135" t="s">
        <v>389</v>
      </c>
      <c r="AP135">
        <v>2</v>
      </c>
      <c r="AQ135">
        <v>1.2816091954022899</v>
      </c>
      <c r="AR135" t="s">
        <v>381</v>
      </c>
      <c r="AS135">
        <v>2</v>
      </c>
      <c r="AT135">
        <v>1.0080089479280201</v>
      </c>
      <c r="AU135" t="s">
        <v>403</v>
      </c>
      <c r="AV135">
        <v>3</v>
      </c>
      <c r="AW135">
        <v>1.1741293532338299</v>
      </c>
      <c r="AX135" t="s">
        <v>389</v>
      </c>
      <c r="AY135">
        <v>2</v>
      </c>
      <c r="AZ135">
        <v>0.956666666666666</v>
      </c>
      <c r="BA135" t="s">
        <v>310</v>
      </c>
      <c r="BB135">
        <v>2</v>
      </c>
      <c r="BC135">
        <v>1.10093896713615</v>
      </c>
      <c r="BD135" t="s">
        <v>397</v>
      </c>
      <c r="BE135">
        <v>2</v>
      </c>
      <c r="BF135">
        <v>1.001001001001</v>
      </c>
      <c r="BG135" t="s">
        <v>409</v>
      </c>
      <c r="BH135">
        <v>3</v>
      </c>
      <c r="BI135">
        <v>1.23309352517985</v>
      </c>
      <c r="BJ135" t="s">
        <v>396</v>
      </c>
      <c r="BK135">
        <v>1</v>
      </c>
      <c r="BL135">
        <v>0.95801526717557195</v>
      </c>
      <c r="BM135" t="s">
        <v>381</v>
      </c>
      <c r="BN135">
        <v>2</v>
      </c>
      <c r="BO135">
        <v>0.87697256385998101</v>
      </c>
      <c r="BP135" t="s">
        <v>410</v>
      </c>
      <c r="BQ135">
        <v>3</v>
      </c>
      <c r="BR135">
        <v>0.77697841726618699</v>
      </c>
      <c r="BS135" t="s">
        <v>404</v>
      </c>
      <c r="BT135">
        <v>1</v>
      </c>
      <c r="BU135">
        <v>0.88188976377952699</v>
      </c>
      <c r="BV135" t="s">
        <v>410</v>
      </c>
      <c r="BW135">
        <v>3</v>
      </c>
      <c r="BX135">
        <v>1.00313479623824</v>
      </c>
      <c r="BY135" t="s">
        <v>404</v>
      </c>
      <c r="BZ135">
        <v>1</v>
      </c>
      <c r="CA135">
        <v>1.2982689747003899</v>
      </c>
      <c r="CB135" t="s">
        <v>308</v>
      </c>
      <c r="CC135">
        <v>2</v>
      </c>
      <c r="CD135">
        <v>0.94758064516129004</v>
      </c>
      <c r="CE135" t="s">
        <v>383</v>
      </c>
      <c r="CF135">
        <v>3</v>
      </c>
      <c r="CG135">
        <v>1.00616016427104</v>
      </c>
      <c r="CH135" t="s">
        <v>412</v>
      </c>
      <c r="CI135">
        <v>3</v>
      </c>
      <c r="CJ135">
        <v>0.965753424657534</v>
      </c>
      <c r="CK135" t="s">
        <v>425</v>
      </c>
      <c r="CL135">
        <v>1</v>
      </c>
      <c r="CM135">
        <v>0.42062500000000003</v>
      </c>
      <c r="CN135" t="s">
        <v>424</v>
      </c>
      <c r="CO135">
        <v>1</v>
      </c>
      <c r="CP135">
        <v>0.76534546576187501</v>
      </c>
      <c r="CQ135" t="s">
        <v>422</v>
      </c>
      <c r="CR135">
        <v>3</v>
      </c>
      <c r="CS135">
        <v>0.85760869565217301</v>
      </c>
      <c r="CT135" t="s">
        <v>436</v>
      </c>
      <c r="CU135">
        <v>3</v>
      </c>
      <c r="CV135">
        <v>1.1468354430379699</v>
      </c>
      <c r="CW135" t="s">
        <v>426</v>
      </c>
      <c r="CX135">
        <v>2</v>
      </c>
      <c r="CY135">
        <v>1.31774193548387</v>
      </c>
      <c r="CZ135" t="s">
        <v>423</v>
      </c>
      <c r="DA135">
        <v>2</v>
      </c>
      <c r="DB135">
        <v>1.0064102564102499</v>
      </c>
      <c r="DC135" t="s">
        <v>418</v>
      </c>
      <c r="DD135">
        <v>2</v>
      </c>
      <c r="DE135">
        <v>0.96732954545454497</v>
      </c>
      <c r="DF135" t="s">
        <v>436</v>
      </c>
      <c r="DG135">
        <v>3</v>
      </c>
      <c r="DH135">
        <v>1.1463414634146301</v>
      </c>
    </row>
    <row r="136" spans="1:112" x14ac:dyDescent="0.4">
      <c r="A136">
        <v>134</v>
      </c>
      <c r="B136" t="s">
        <v>358</v>
      </c>
      <c r="C136">
        <v>2</v>
      </c>
      <c r="D136">
        <v>0.97000801312626395</v>
      </c>
      <c r="E136" t="s">
        <v>352</v>
      </c>
      <c r="F136">
        <v>2</v>
      </c>
      <c r="G136">
        <v>0.85999797782346399</v>
      </c>
      <c r="H136" t="s">
        <v>338</v>
      </c>
      <c r="I136">
        <v>2</v>
      </c>
      <c r="J136">
        <v>0.41693613581244898</v>
      </c>
      <c r="K136" t="s">
        <v>275</v>
      </c>
      <c r="L136">
        <v>2</v>
      </c>
      <c r="M136">
        <v>1.1086350974930299</v>
      </c>
      <c r="N136" t="s">
        <v>370</v>
      </c>
      <c r="O136">
        <v>2</v>
      </c>
      <c r="P136">
        <v>1.43548387096774</v>
      </c>
      <c r="Q136" t="s">
        <v>364</v>
      </c>
      <c r="R136">
        <v>2</v>
      </c>
      <c r="S136">
        <v>1.0873239436619699</v>
      </c>
      <c r="T136" t="s">
        <v>289</v>
      </c>
      <c r="U136">
        <v>2</v>
      </c>
      <c r="V136">
        <v>0.87445255474452499</v>
      </c>
      <c r="W136" t="s">
        <v>364</v>
      </c>
      <c r="X136">
        <v>2</v>
      </c>
      <c r="Y136">
        <v>1.0033003300329999</v>
      </c>
      <c r="Z136" t="s">
        <v>371</v>
      </c>
      <c r="AA136">
        <v>3</v>
      </c>
      <c r="AB136">
        <v>0.93422479219371102</v>
      </c>
      <c r="AC136" t="s">
        <v>367</v>
      </c>
      <c r="AD136">
        <v>2</v>
      </c>
      <c r="AE136">
        <v>0.92306824591088499</v>
      </c>
      <c r="AF136" t="s">
        <v>366</v>
      </c>
      <c r="AG136">
        <v>3</v>
      </c>
      <c r="AH136">
        <v>1.06865284974093</v>
      </c>
      <c r="AI136" t="s">
        <v>372</v>
      </c>
      <c r="AJ136">
        <v>3</v>
      </c>
      <c r="AK136">
        <v>0.92364793213149499</v>
      </c>
      <c r="AL136" t="s">
        <v>384</v>
      </c>
      <c r="AM136">
        <v>3</v>
      </c>
      <c r="AN136">
        <v>1.0595890410958899</v>
      </c>
      <c r="AO136" t="s">
        <v>386</v>
      </c>
      <c r="AP136">
        <v>3</v>
      </c>
      <c r="AQ136">
        <v>0.82542372881355897</v>
      </c>
      <c r="AR136" t="s">
        <v>389</v>
      </c>
      <c r="AS136">
        <v>2</v>
      </c>
      <c r="AT136">
        <v>0.907324364723467</v>
      </c>
      <c r="AU136" t="s">
        <v>396</v>
      </c>
      <c r="AV136">
        <v>1</v>
      </c>
      <c r="AW136">
        <v>0.89347079037800603</v>
      </c>
      <c r="AX136" t="s">
        <v>386</v>
      </c>
      <c r="AY136">
        <v>3</v>
      </c>
      <c r="AZ136">
        <v>0.98723404255319103</v>
      </c>
      <c r="BA136" t="s">
        <v>314</v>
      </c>
      <c r="BB136">
        <v>3</v>
      </c>
      <c r="BC136">
        <v>0.82984282829882405</v>
      </c>
      <c r="BD136" t="s">
        <v>310</v>
      </c>
      <c r="BE136">
        <v>2</v>
      </c>
      <c r="BF136">
        <v>1.21321961620469</v>
      </c>
      <c r="BG136" t="s">
        <v>329</v>
      </c>
      <c r="BH136">
        <v>2</v>
      </c>
      <c r="BI136">
        <v>1.0416666666666601</v>
      </c>
      <c r="BJ136" t="s">
        <v>397</v>
      </c>
      <c r="BK136">
        <v>2</v>
      </c>
      <c r="BL136">
        <v>1.2888888888888801</v>
      </c>
      <c r="BM136" t="s">
        <v>382</v>
      </c>
      <c r="BN136">
        <v>3</v>
      </c>
      <c r="BO136">
        <v>0.71833648393194705</v>
      </c>
      <c r="BP136" t="s">
        <v>412</v>
      </c>
      <c r="BQ136">
        <v>3</v>
      </c>
      <c r="BR136">
        <v>0.93237250554323703</v>
      </c>
      <c r="BS136" t="s">
        <v>333</v>
      </c>
      <c r="BT136">
        <v>1</v>
      </c>
      <c r="BU136">
        <v>0.89925925925925898</v>
      </c>
      <c r="BV136" t="s">
        <v>329</v>
      </c>
      <c r="BW136">
        <v>2</v>
      </c>
      <c r="BX136">
        <v>1.0831999999999999</v>
      </c>
      <c r="BY136" t="s">
        <v>333</v>
      </c>
      <c r="BZ136">
        <v>1</v>
      </c>
      <c r="CA136">
        <v>1.1513157894736801</v>
      </c>
      <c r="CB136" t="s">
        <v>396</v>
      </c>
      <c r="CC136">
        <v>1</v>
      </c>
      <c r="CD136">
        <v>0.85511363636363602</v>
      </c>
      <c r="CE136" t="s">
        <v>386</v>
      </c>
      <c r="CF136">
        <v>2</v>
      </c>
      <c r="CG136">
        <v>1.0224719101123501</v>
      </c>
      <c r="CH136" t="s">
        <v>402</v>
      </c>
      <c r="CI136">
        <v>2</v>
      </c>
      <c r="CJ136">
        <v>0.82767739092111003</v>
      </c>
      <c r="CK136" t="s">
        <v>430</v>
      </c>
      <c r="CL136">
        <v>3</v>
      </c>
      <c r="CM136">
        <v>0.97905445840813798</v>
      </c>
      <c r="CN136" t="s">
        <v>434</v>
      </c>
      <c r="CO136">
        <v>3</v>
      </c>
      <c r="CP136">
        <v>1.0296296296296199</v>
      </c>
      <c r="CQ136" t="s">
        <v>343</v>
      </c>
      <c r="CR136">
        <v>1</v>
      </c>
      <c r="CS136">
        <v>1.00130378096479</v>
      </c>
      <c r="CT136" t="s">
        <v>440</v>
      </c>
      <c r="CU136">
        <v>2</v>
      </c>
      <c r="CV136">
        <v>0.95019157088122597</v>
      </c>
      <c r="CW136" t="s">
        <v>430</v>
      </c>
      <c r="CX136">
        <v>3</v>
      </c>
      <c r="CY136">
        <v>0.92323113207547103</v>
      </c>
      <c r="CZ136" t="s">
        <v>427</v>
      </c>
      <c r="DA136">
        <v>2</v>
      </c>
      <c r="DB136">
        <v>1.00664451827242</v>
      </c>
      <c r="DC136" t="s">
        <v>343</v>
      </c>
      <c r="DD136">
        <v>1</v>
      </c>
      <c r="DE136">
        <v>1.14235705950991</v>
      </c>
      <c r="DF136" t="s">
        <v>440</v>
      </c>
      <c r="DG136">
        <v>2</v>
      </c>
      <c r="DH136">
        <v>1.12406015037593</v>
      </c>
    </row>
    <row r="137" spans="1:112" x14ac:dyDescent="0.4">
      <c r="A137">
        <v>135</v>
      </c>
      <c r="B137" t="s">
        <v>352</v>
      </c>
      <c r="C137">
        <v>2</v>
      </c>
      <c r="D137">
        <v>1.01783815306507</v>
      </c>
      <c r="E137" t="s">
        <v>400</v>
      </c>
      <c r="F137">
        <v>3</v>
      </c>
      <c r="G137">
        <v>0.52222222222222203</v>
      </c>
      <c r="H137" t="s">
        <v>342</v>
      </c>
      <c r="I137">
        <v>2</v>
      </c>
      <c r="J137">
        <v>0.65734265734265696</v>
      </c>
      <c r="K137" t="s">
        <v>359</v>
      </c>
      <c r="L137">
        <v>2</v>
      </c>
      <c r="M137">
        <v>0.91481481481481397</v>
      </c>
      <c r="N137" t="s">
        <v>328</v>
      </c>
      <c r="O137">
        <v>2</v>
      </c>
      <c r="P137">
        <v>1.2613220161618499</v>
      </c>
      <c r="Q137" t="s">
        <v>376</v>
      </c>
      <c r="R137">
        <v>2</v>
      </c>
      <c r="S137">
        <v>1.07975199592322</v>
      </c>
      <c r="T137" t="s">
        <v>374</v>
      </c>
      <c r="U137">
        <v>2</v>
      </c>
      <c r="V137">
        <v>0.76923076923076905</v>
      </c>
      <c r="W137" t="s">
        <v>366</v>
      </c>
      <c r="X137">
        <v>3</v>
      </c>
      <c r="Y137">
        <v>1.18611987381703</v>
      </c>
      <c r="Z137" t="s">
        <v>364</v>
      </c>
      <c r="AA137">
        <v>2</v>
      </c>
      <c r="AB137">
        <v>0.90460526315789402</v>
      </c>
      <c r="AC137" t="s">
        <v>371</v>
      </c>
      <c r="AD137">
        <v>3</v>
      </c>
      <c r="AE137">
        <v>0.80154738878143095</v>
      </c>
      <c r="AF137" t="s">
        <v>303</v>
      </c>
      <c r="AG137">
        <v>2</v>
      </c>
      <c r="AH137">
        <v>1.01904198324051</v>
      </c>
      <c r="AI137" t="s">
        <v>365</v>
      </c>
      <c r="AJ137">
        <v>2</v>
      </c>
      <c r="AK137">
        <v>0.98974276836339103</v>
      </c>
      <c r="AL137" t="s">
        <v>389</v>
      </c>
      <c r="AM137">
        <v>2</v>
      </c>
      <c r="AN137">
        <v>0.884745762711864</v>
      </c>
      <c r="AO137" t="s">
        <v>390</v>
      </c>
      <c r="AP137">
        <v>2</v>
      </c>
      <c r="AQ137">
        <v>0.94659602971623402</v>
      </c>
      <c r="AR137" t="s">
        <v>406</v>
      </c>
      <c r="AS137">
        <v>3</v>
      </c>
      <c r="AT137">
        <v>0.88171091445427696</v>
      </c>
      <c r="AU137" t="s">
        <v>397</v>
      </c>
      <c r="AV137">
        <v>2</v>
      </c>
      <c r="AW137">
        <v>1.0910746812386101</v>
      </c>
      <c r="AX137" t="s">
        <v>390</v>
      </c>
      <c r="AY137">
        <v>2</v>
      </c>
      <c r="AZ137">
        <v>0.93751908630061598</v>
      </c>
      <c r="BA137" t="s">
        <v>323</v>
      </c>
      <c r="BB137">
        <v>2</v>
      </c>
      <c r="BC137">
        <v>1.3045045045045001</v>
      </c>
      <c r="BD137" t="s">
        <v>410</v>
      </c>
      <c r="BE137">
        <v>3</v>
      </c>
      <c r="BF137">
        <v>1.0453333333333299</v>
      </c>
      <c r="BG137" t="s">
        <v>404</v>
      </c>
      <c r="BH137">
        <v>1</v>
      </c>
      <c r="BI137">
        <v>1.07152682255845</v>
      </c>
      <c r="BJ137" t="s">
        <v>310</v>
      </c>
      <c r="BK137">
        <v>2</v>
      </c>
      <c r="BL137">
        <v>1.1996587030716701</v>
      </c>
      <c r="BM137" t="s">
        <v>395</v>
      </c>
      <c r="BN137">
        <v>1</v>
      </c>
      <c r="BO137">
        <v>0.93160054719562202</v>
      </c>
      <c r="BP137" t="s">
        <v>402</v>
      </c>
      <c r="BQ137">
        <v>2</v>
      </c>
      <c r="BR137">
        <v>0.340174173745449</v>
      </c>
      <c r="BS137" t="s">
        <v>407</v>
      </c>
      <c r="BT137">
        <v>3</v>
      </c>
      <c r="BU137">
        <v>1.0701754385964899</v>
      </c>
      <c r="BV137" t="s">
        <v>404</v>
      </c>
      <c r="BW137">
        <v>1</v>
      </c>
      <c r="BX137">
        <v>1.11755952380952</v>
      </c>
      <c r="BY137" t="s">
        <v>407</v>
      </c>
      <c r="BZ137">
        <v>3</v>
      </c>
      <c r="CA137">
        <v>1.1473214285714199</v>
      </c>
      <c r="CB137" t="s">
        <v>397</v>
      </c>
      <c r="CC137">
        <v>2</v>
      </c>
      <c r="CD137">
        <v>0.98166666666666602</v>
      </c>
      <c r="CE137" t="s">
        <v>395</v>
      </c>
      <c r="CF137">
        <v>1</v>
      </c>
      <c r="CG137">
        <v>0.83333333333333304</v>
      </c>
      <c r="CH137" t="s">
        <v>404</v>
      </c>
      <c r="CI137">
        <v>1</v>
      </c>
      <c r="CJ137">
        <v>1.11466666666666</v>
      </c>
      <c r="CK137" t="s">
        <v>433</v>
      </c>
      <c r="CL137">
        <v>1</v>
      </c>
      <c r="CM137">
        <v>0.94391408114558395</v>
      </c>
      <c r="CN137" t="s">
        <v>426</v>
      </c>
      <c r="CO137">
        <v>1</v>
      </c>
      <c r="CP137">
        <v>1.02694610778443</v>
      </c>
      <c r="CQ137" t="s">
        <v>423</v>
      </c>
      <c r="CR137">
        <v>2</v>
      </c>
      <c r="CS137">
        <v>1.15544569993722</v>
      </c>
      <c r="CT137" t="s">
        <v>441</v>
      </c>
      <c r="CU137">
        <v>2</v>
      </c>
      <c r="CV137">
        <v>1.12561983471074</v>
      </c>
      <c r="CW137" t="s">
        <v>433</v>
      </c>
      <c r="CX137">
        <v>1</v>
      </c>
      <c r="CY137">
        <v>1.0366624525916499</v>
      </c>
      <c r="CZ137" t="s">
        <v>434</v>
      </c>
      <c r="DA137">
        <v>3</v>
      </c>
      <c r="DB137">
        <v>0.90393013100436603</v>
      </c>
      <c r="DC137" t="s">
        <v>423</v>
      </c>
      <c r="DD137">
        <v>2</v>
      </c>
      <c r="DE137">
        <v>1.09554140127388</v>
      </c>
      <c r="DF137" t="s">
        <v>441</v>
      </c>
      <c r="DG137">
        <v>2</v>
      </c>
      <c r="DH137">
        <v>1.03164556962025</v>
      </c>
    </row>
    <row r="138" spans="1:112" x14ac:dyDescent="0.4">
      <c r="A138">
        <v>136</v>
      </c>
      <c r="B138" t="s">
        <v>275</v>
      </c>
      <c r="C138">
        <v>2</v>
      </c>
      <c r="D138">
        <v>0.92338709677419295</v>
      </c>
      <c r="E138" t="s">
        <v>275</v>
      </c>
      <c r="F138">
        <v>2</v>
      </c>
      <c r="G138">
        <v>0.95196506550218296</v>
      </c>
      <c r="H138" t="s">
        <v>358</v>
      </c>
      <c r="I138">
        <v>2</v>
      </c>
      <c r="J138">
        <v>0.323908794788273</v>
      </c>
      <c r="K138" t="s">
        <v>278</v>
      </c>
      <c r="L138">
        <v>1</v>
      </c>
      <c r="M138">
        <v>0.86175942549371598</v>
      </c>
      <c r="N138" t="s">
        <v>257</v>
      </c>
      <c r="O138">
        <v>1</v>
      </c>
      <c r="P138">
        <v>1.5838926174496599</v>
      </c>
      <c r="Q138" t="s">
        <v>289</v>
      </c>
      <c r="R138">
        <v>2</v>
      </c>
      <c r="S138">
        <v>1.22321428571428</v>
      </c>
      <c r="T138" t="s">
        <v>375</v>
      </c>
      <c r="U138">
        <v>2</v>
      </c>
      <c r="V138">
        <v>0.82529335071707899</v>
      </c>
      <c r="W138" t="s">
        <v>303</v>
      </c>
      <c r="X138">
        <v>2</v>
      </c>
      <c r="Y138">
        <v>1.00645446085566</v>
      </c>
      <c r="Z138" t="s">
        <v>366</v>
      </c>
      <c r="AA138">
        <v>3</v>
      </c>
      <c r="AB138">
        <v>0.97074468085106302</v>
      </c>
      <c r="AC138" t="s">
        <v>364</v>
      </c>
      <c r="AD138">
        <v>2</v>
      </c>
      <c r="AE138">
        <v>1.0490909090909</v>
      </c>
      <c r="AF138" t="s">
        <v>289</v>
      </c>
      <c r="AG138">
        <v>2</v>
      </c>
      <c r="AH138">
        <v>1.22706422018348</v>
      </c>
      <c r="AI138" t="s">
        <v>367</v>
      </c>
      <c r="AJ138">
        <v>2</v>
      </c>
      <c r="AK138">
        <v>0.89012305346836496</v>
      </c>
      <c r="AL138" t="s">
        <v>387</v>
      </c>
      <c r="AM138">
        <v>2</v>
      </c>
      <c r="AN138">
        <v>1.48467966573816</v>
      </c>
      <c r="AO138" t="s">
        <v>308</v>
      </c>
      <c r="AP138">
        <v>2</v>
      </c>
      <c r="AQ138">
        <v>1.3223684210526301</v>
      </c>
      <c r="AR138" t="s">
        <v>395</v>
      </c>
      <c r="AS138">
        <v>1</v>
      </c>
      <c r="AT138">
        <v>0.80756013745704402</v>
      </c>
      <c r="AU138" t="s">
        <v>310</v>
      </c>
      <c r="AV138">
        <v>2</v>
      </c>
      <c r="AW138">
        <v>0.99353448275862</v>
      </c>
      <c r="AX138" t="s">
        <v>395</v>
      </c>
      <c r="AY138">
        <v>1</v>
      </c>
      <c r="AZ138">
        <v>0.83687002652519804</v>
      </c>
      <c r="BA138" t="s">
        <v>410</v>
      </c>
      <c r="BB138">
        <v>3</v>
      </c>
      <c r="BC138">
        <v>0.98425196850393704</v>
      </c>
      <c r="BD138" t="s">
        <v>402</v>
      </c>
      <c r="BE138">
        <v>2</v>
      </c>
      <c r="BF138">
        <v>0.78465594232528102</v>
      </c>
      <c r="BG138" t="s">
        <v>333</v>
      </c>
      <c r="BH138">
        <v>1</v>
      </c>
      <c r="BI138">
        <v>0.94960212201591498</v>
      </c>
      <c r="BJ138" t="s">
        <v>410</v>
      </c>
      <c r="BK138">
        <v>3</v>
      </c>
      <c r="BL138">
        <v>1.33885819521178</v>
      </c>
      <c r="BM138" t="s">
        <v>396</v>
      </c>
      <c r="BN138">
        <v>1</v>
      </c>
      <c r="BO138">
        <v>0.90039840637450197</v>
      </c>
      <c r="BP138" t="s">
        <v>409</v>
      </c>
      <c r="BQ138">
        <v>3</v>
      </c>
      <c r="BR138">
        <v>1.0061099796334001</v>
      </c>
      <c r="BS138" t="s">
        <v>408</v>
      </c>
      <c r="BT138">
        <v>3</v>
      </c>
      <c r="BU138">
        <v>1.1251360174102201</v>
      </c>
      <c r="BV138" t="s">
        <v>333</v>
      </c>
      <c r="BW138">
        <v>1</v>
      </c>
      <c r="BX138">
        <v>1.0016474464579901</v>
      </c>
      <c r="BY138" t="s">
        <v>408</v>
      </c>
      <c r="BZ138">
        <v>3</v>
      </c>
      <c r="CA138">
        <v>1.9311377245508901</v>
      </c>
      <c r="CB138" t="s">
        <v>412</v>
      </c>
      <c r="CC138">
        <v>3</v>
      </c>
      <c r="CD138">
        <v>0.84021739130434703</v>
      </c>
      <c r="CE138" t="s">
        <v>308</v>
      </c>
      <c r="CF138">
        <v>2</v>
      </c>
      <c r="CG138">
        <v>1.28936170212765</v>
      </c>
      <c r="CH138" t="s">
        <v>333</v>
      </c>
      <c r="CI138">
        <v>1</v>
      </c>
      <c r="CJ138">
        <v>0.94607843137254899</v>
      </c>
      <c r="CK138" t="s">
        <v>436</v>
      </c>
      <c r="CL138">
        <v>3</v>
      </c>
      <c r="CM138">
        <v>0.97714285714285698</v>
      </c>
      <c r="CN138" t="s">
        <v>430</v>
      </c>
      <c r="CO138">
        <v>3</v>
      </c>
      <c r="CP138">
        <v>1.0977995110024401</v>
      </c>
      <c r="CQ138" t="s">
        <v>434</v>
      </c>
      <c r="CR138">
        <v>3</v>
      </c>
      <c r="CS138">
        <v>1.2273381294964001</v>
      </c>
      <c r="CT138" t="s">
        <v>446</v>
      </c>
      <c r="CU138">
        <v>3</v>
      </c>
      <c r="CV138">
        <v>1.05223880597014</v>
      </c>
      <c r="CW138" t="s">
        <v>436</v>
      </c>
      <c r="CX138">
        <v>3</v>
      </c>
      <c r="CY138">
        <v>1.06181015452538</v>
      </c>
      <c r="CZ138" t="s">
        <v>426</v>
      </c>
      <c r="DA138">
        <v>2</v>
      </c>
      <c r="DB138">
        <v>0.95593635250917997</v>
      </c>
      <c r="DC138" t="s">
        <v>427</v>
      </c>
      <c r="DD138">
        <v>2</v>
      </c>
      <c r="DE138">
        <v>0.96809680968096801</v>
      </c>
      <c r="DF138" t="s">
        <v>446</v>
      </c>
      <c r="DG138">
        <v>3</v>
      </c>
      <c r="DH138">
        <v>1</v>
      </c>
    </row>
    <row r="139" spans="1:112" x14ac:dyDescent="0.4">
      <c r="A139">
        <v>137</v>
      </c>
      <c r="B139" t="s">
        <v>359</v>
      </c>
      <c r="C139">
        <v>2</v>
      </c>
      <c r="D139">
        <v>0.91282051282051202</v>
      </c>
      <c r="E139" t="s">
        <v>359</v>
      </c>
      <c r="F139">
        <v>2</v>
      </c>
      <c r="G139">
        <v>0.85814606741572996</v>
      </c>
      <c r="H139" t="s">
        <v>352</v>
      </c>
      <c r="I139">
        <v>2</v>
      </c>
      <c r="J139">
        <v>0.89532468550378097</v>
      </c>
      <c r="K139" t="s">
        <v>372</v>
      </c>
      <c r="L139">
        <v>3</v>
      </c>
      <c r="M139">
        <v>1.06321839080459</v>
      </c>
      <c r="N139" t="s">
        <v>263</v>
      </c>
      <c r="O139">
        <v>1</v>
      </c>
      <c r="P139">
        <v>1.42657342657342</v>
      </c>
      <c r="Q139" t="s">
        <v>374</v>
      </c>
      <c r="R139">
        <v>2</v>
      </c>
      <c r="S139">
        <v>0.99236641221374</v>
      </c>
      <c r="T139" t="s">
        <v>381</v>
      </c>
      <c r="U139">
        <v>2</v>
      </c>
      <c r="V139">
        <v>0.91881150281838098</v>
      </c>
      <c r="W139" t="s">
        <v>289</v>
      </c>
      <c r="X139">
        <v>2</v>
      </c>
      <c r="Y139">
        <v>0.81803005008347196</v>
      </c>
      <c r="Z139" t="s">
        <v>303</v>
      </c>
      <c r="AA139">
        <v>2</v>
      </c>
      <c r="AB139">
        <v>1.1004160789008799</v>
      </c>
      <c r="AC139" t="s">
        <v>366</v>
      </c>
      <c r="AD139">
        <v>3</v>
      </c>
      <c r="AE139">
        <v>1.0575342465753399</v>
      </c>
      <c r="AF139" t="s">
        <v>398</v>
      </c>
      <c r="AG139">
        <v>2</v>
      </c>
      <c r="AH139">
        <v>1.7879543151379</v>
      </c>
      <c r="AI139" t="s">
        <v>364</v>
      </c>
      <c r="AJ139">
        <v>2</v>
      </c>
      <c r="AK139">
        <v>0.93296089385474801</v>
      </c>
      <c r="AL139" t="s">
        <v>386</v>
      </c>
      <c r="AM139">
        <v>3</v>
      </c>
      <c r="AN139">
        <v>0.929133858267716</v>
      </c>
      <c r="AO139" t="s">
        <v>396</v>
      </c>
      <c r="AP139">
        <v>1</v>
      </c>
      <c r="AQ139">
        <v>0.84210526315789402</v>
      </c>
      <c r="AR139" t="s">
        <v>401</v>
      </c>
      <c r="AS139">
        <v>3</v>
      </c>
      <c r="AT139">
        <v>0.84293193717277404</v>
      </c>
      <c r="AU139" t="s">
        <v>323</v>
      </c>
      <c r="AV139">
        <v>2</v>
      </c>
      <c r="AW139">
        <v>1.1276948590381399</v>
      </c>
      <c r="AX139" t="s">
        <v>396</v>
      </c>
      <c r="AY139">
        <v>1</v>
      </c>
      <c r="AZ139">
        <v>0.92307692307692302</v>
      </c>
      <c r="BA139" t="s">
        <v>402</v>
      </c>
      <c r="BB139">
        <v>2</v>
      </c>
      <c r="BC139">
        <v>0.85108428880178699</v>
      </c>
      <c r="BD139" t="s">
        <v>409</v>
      </c>
      <c r="BE139">
        <v>3</v>
      </c>
      <c r="BF139">
        <v>0.89793281653746704</v>
      </c>
      <c r="BG139" t="s">
        <v>407</v>
      </c>
      <c r="BH139">
        <v>3</v>
      </c>
      <c r="BI139">
        <v>1.3254716981132</v>
      </c>
      <c r="BJ139" t="s">
        <v>402</v>
      </c>
      <c r="BK139">
        <v>2</v>
      </c>
      <c r="BL139">
        <v>0.669413934493717</v>
      </c>
      <c r="BM139" t="s">
        <v>397</v>
      </c>
      <c r="BN139">
        <v>2</v>
      </c>
      <c r="BO139">
        <v>0.94514106583072099</v>
      </c>
      <c r="BP139" t="s">
        <v>329</v>
      </c>
      <c r="BQ139">
        <v>2</v>
      </c>
      <c r="BR139">
        <v>1.04838709677419</v>
      </c>
      <c r="BS139" t="s">
        <v>418</v>
      </c>
      <c r="BT139">
        <v>2</v>
      </c>
      <c r="BU139">
        <v>0.985611510791366</v>
      </c>
      <c r="BV139" t="s">
        <v>407</v>
      </c>
      <c r="BW139">
        <v>3</v>
      </c>
      <c r="BX139">
        <v>0.91803278688524503</v>
      </c>
      <c r="BY139" t="s">
        <v>417</v>
      </c>
      <c r="BZ139">
        <v>2</v>
      </c>
      <c r="CA139">
        <v>1.1471471471471399</v>
      </c>
      <c r="CB139" t="s">
        <v>409</v>
      </c>
      <c r="CC139">
        <v>3</v>
      </c>
      <c r="CD139">
        <v>1.24416796267496</v>
      </c>
      <c r="CE139" t="s">
        <v>396</v>
      </c>
      <c r="CF139">
        <v>1</v>
      </c>
      <c r="CG139">
        <v>0.89700996677740796</v>
      </c>
      <c r="CH139" t="s">
        <v>407</v>
      </c>
      <c r="CI139">
        <v>3</v>
      </c>
      <c r="CJ139">
        <v>1.4954128440366901</v>
      </c>
      <c r="CK139" t="s">
        <v>440</v>
      </c>
      <c r="CL139">
        <v>2</v>
      </c>
      <c r="CM139">
        <v>1.05570291777188</v>
      </c>
      <c r="CN139" t="s">
        <v>442</v>
      </c>
      <c r="CO139">
        <v>1</v>
      </c>
      <c r="CP139">
        <v>0.87844036697247696</v>
      </c>
      <c r="CQ139" t="s">
        <v>426</v>
      </c>
      <c r="CR139">
        <v>1</v>
      </c>
      <c r="CS139">
        <v>0.59620991253644295</v>
      </c>
      <c r="CT139" t="s">
        <v>457</v>
      </c>
      <c r="CU139">
        <v>1</v>
      </c>
      <c r="CV139">
        <v>1.0746089049338099</v>
      </c>
      <c r="CW139" t="s">
        <v>440</v>
      </c>
      <c r="CX139">
        <v>2</v>
      </c>
      <c r="CY139">
        <v>1.01209677419354</v>
      </c>
      <c r="CZ139" t="s">
        <v>433</v>
      </c>
      <c r="DA139">
        <v>1</v>
      </c>
      <c r="DB139">
        <v>1.0756097560975599</v>
      </c>
      <c r="DC139" t="s">
        <v>431</v>
      </c>
      <c r="DD139">
        <v>2</v>
      </c>
      <c r="DE139">
        <v>1.0270270270270201</v>
      </c>
      <c r="DF139" t="s">
        <v>458</v>
      </c>
      <c r="DG139">
        <v>1</v>
      </c>
      <c r="DH139">
        <v>1.16700201207243</v>
      </c>
    </row>
    <row r="140" spans="1:112" x14ac:dyDescent="0.4">
      <c r="A140">
        <v>138</v>
      </c>
      <c r="B140" t="s">
        <v>278</v>
      </c>
      <c r="C140">
        <v>1</v>
      </c>
      <c r="D140">
        <v>1.00300751879699</v>
      </c>
      <c r="E140" t="s">
        <v>278</v>
      </c>
      <c r="F140">
        <v>1</v>
      </c>
      <c r="G140">
        <v>0.992503748125937</v>
      </c>
      <c r="H140" t="s">
        <v>275</v>
      </c>
      <c r="I140">
        <v>2</v>
      </c>
      <c r="J140">
        <v>0.82339449541284404</v>
      </c>
      <c r="K140" t="s">
        <v>282</v>
      </c>
      <c r="L140">
        <v>1</v>
      </c>
      <c r="M140">
        <v>0.89743589743589702</v>
      </c>
      <c r="N140" t="s">
        <v>342</v>
      </c>
      <c r="O140">
        <v>2</v>
      </c>
      <c r="P140">
        <v>1.2373737373737299</v>
      </c>
      <c r="Q140" t="s">
        <v>381</v>
      </c>
      <c r="R140">
        <v>2</v>
      </c>
      <c r="S140">
        <v>0.96612516152852101</v>
      </c>
      <c r="T140" t="s">
        <v>384</v>
      </c>
      <c r="U140">
        <v>3</v>
      </c>
      <c r="V140">
        <v>0.97466063348416199</v>
      </c>
      <c r="W140" t="s">
        <v>374</v>
      </c>
      <c r="X140">
        <v>2</v>
      </c>
      <c r="Y140">
        <v>1.05833333333333</v>
      </c>
      <c r="Z140" t="s">
        <v>289</v>
      </c>
      <c r="AA140">
        <v>2</v>
      </c>
      <c r="AB140">
        <v>0.89591836734693797</v>
      </c>
      <c r="AC140" t="s">
        <v>303</v>
      </c>
      <c r="AD140">
        <v>2</v>
      </c>
      <c r="AE140">
        <v>1.01942260045244</v>
      </c>
      <c r="AF140" t="s">
        <v>377</v>
      </c>
      <c r="AG140">
        <v>2</v>
      </c>
      <c r="AH140">
        <v>1.0108564535585001</v>
      </c>
      <c r="AI140" t="s">
        <v>366</v>
      </c>
      <c r="AJ140">
        <v>3</v>
      </c>
      <c r="AK140">
        <v>1.52727272727272</v>
      </c>
      <c r="AL140" t="s">
        <v>390</v>
      </c>
      <c r="AM140">
        <v>3</v>
      </c>
      <c r="AN140">
        <v>1.0465872156013001</v>
      </c>
      <c r="AO140" t="s">
        <v>397</v>
      </c>
      <c r="AP140">
        <v>2</v>
      </c>
      <c r="AQ140">
        <v>1.0035211267605599</v>
      </c>
      <c r="AR140" t="s">
        <v>396</v>
      </c>
      <c r="AS140">
        <v>1</v>
      </c>
      <c r="AT140">
        <v>0.90937500000000004</v>
      </c>
      <c r="AU140" t="s">
        <v>410</v>
      </c>
      <c r="AV140">
        <v>3</v>
      </c>
      <c r="AW140">
        <v>1.01453488372093</v>
      </c>
      <c r="AX140" t="s">
        <v>397</v>
      </c>
      <c r="AY140">
        <v>2</v>
      </c>
      <c r="AZ140">
        <v>0.77879799666110106</v>
      </c>
      <c r="BA140" t="s">
        <v>409</v>
      </c>
      <c r="BB140">
        <v>3</v>
      </c>
      <c r="BC140">
        <v>1.0130890052356001</v>
      </c>
      <c r="BD140" t="s">
        <v>329</v>
      </c>
      <c r="BE140">
        <v>2</v>
      </c>
      <c r="BF140">
        <v>1.01298701298701</v>
      </c>
      <c r="BG140" t="s">
        <v>416</v>
      </c>
      <c r="BH140">
        <v>1</v>
      </c>
      <c r="BI140">
        <v>1.13788487282463</v>
      </c>
      <c r="BJ140" t="s">
        <v>409</v>
      </c>
      <c r="BK140">
        <v>3</v>
      </c>
      <c r="BL140">
        <v>1.3138856476079299</v>
      </c>
      <c r="BM140" t="s">
        <v>410</v>
      </c>
      <c r="BN140">
        <v>3</v>
      </c>
      <c r="BO140">
        <v>0.955983493810178</v>
      </c>
      <c r="BP140" t="s">
        <v>404</v>
      </c>
      <c r="BQ140">
        <v>1</v>
      </c>
      <c r="BR140">
        <v>1.0524861878453</v>
      </c>
      <c r="BS140" t="s">
        <v>420</v>
      </c>
      <c r="BT140">
        <v>1</v>
      </c>
      <c r="BU140">
        <v>0.99795081967213095</v>
      </c>
      <c r="BV140" t="s">
        <v>408</v>
      </c>
      <c r="BW140">
        <v>3</v>
      </c>
      <c r="BX140">
        <v>1.2920696324951599</v>
      </c>
      <c r="BY140" t="s">
        <v>418</v>
      </c>
      <c r="BZ140">
        <v>2</v>
      </c>
      <c r="CA140">
        <v>1.29235880398671</v>
      </c>
      <c r="CB140" t="s">
        <v>407</v>
      </c>
      <c r="CC140">
        <v>3</v>
      </c>
      <c r="CD140">
        <v>0.79377431906614704</v>
      </c>
      <c r="CE140" t="s">
        <v>397</v>
      </c>
      <c r="CF140">
        <v>2</v>
      </c>
      <c r="CG140">
        <v>0.95925297113752095</v>
      </c>
      <c r="CH140" t="s">
        <v>408</v>
      </c>
      <c r="CI140">
        <v>3</v>
      </c>
      <c r="CJ140">
        <v>0.86200873362445396</v>
      </c>
      <c r="CK140" t="s">
        <v>441</v>
      </c>
      <c r="CL140">
        <v>2</v>
      </c>
      <c r="CM140">
        <v>0.73684210526315697</v>
      </c>
      <c r="CN140" t="s">
        <v>433</v>
      </c>
      <c r="CO140">
        <v>1</v>
      </c>
      <c r="CP140">
        <v>1.0480404551200999</v>
      </c>
      <c r="CQ140" t="s">
        <v>442</v>
      </c>
      <c r="CR140">
        <v>1</v>
      </c>
      <c r="CS140">
        <v>0.99477806788511702</v>
      </c>
      <c r="CT140" t="s">
        <v>452</v>
      </c>
      <c r="CU140">
        <v>2</v>
      </c>
      <c r="CV140">
        <v>1.0401785714285701</v>
      </c>
      <c r="CW140" t="s">
        <v>446</v>
      </c>
      <c r="CX140">
        <v>3</v>
      </c>
      <c r="CY140">
        <v>0.94680851063829696</v>
      </c>
      <c r="CZ140" t="s">
        <v>436</v>
      </c>
      <c r="DA140">
        <v>3</v>
      </c>
      <c r="DB140">
        <v>1.29521829521829</v>
      </c>
      <c r="DC140" t="s">
        <v>426</v>
      </c>
      <c r="DD140">
        <v>2</v>
      </c>
      <c r="DE140">
        <v>1.1843790012804001</v>
      </c>
      <c r="DF140" t="s">
        <v>452</v>
      </c>
      <c r="DG140">
        <v>2</v>
      </c>
      <c r="DH140">
        <v>1.1082706766917201</v>
      </c>
    </row>
    <row r="141" spans="1:112" x14ac:dyDescent="0.4">
      <c r="A141">
        <v>139</v>
      </c>
      <c r="B141" t="s">
        <v>372</v>
      </c>
      <c r="C141">
        <v>3</v>
      </c>
      <c r="D141">
        <v>1.6110381077529501</v>
      </c>
      <c r="E141" t="s">
        <v>282</v>
      </c>
      <c r="F141">
        <v>1</v>
      </c>
      <c r="G141">
        <v>0.97857142857142798</v>
      </c>
      <c r="H141" t="s">
        <v>359</v>
      </c>
      <c r="I141">
        <v>2</v>
      </c>
      <c r="J141">
        <v>0.88379705400982</v>
      </c>
      <c r="K141" t="s">
        <v>365</v>
      </c>
      <c r="L141">
        <v>2</v>
      </c>
      <c r="M141">
        <v>0.92041931005851096</v>
      </c>
      <c r="N141" t="s">
        <v>358</v>
      </c>
      <c r="O141">
        <v>2</v>
      </c>
      <c r="P141">
        <v>1.7647428511574299</v>
      </c>
      <c r="Q141" t="s">
        <v>389</v>
      </c>
      <c r="R141">
        <v>2</v>
      </c>
      <c r="S141">
        <v>0.98805460750853202</v>
      </c>
      <c r="T141" t="s">
        <v>389</v>
      </c>
      <c r="U141">
        <v>2</v>
      </c>
      <c r="V141">
        <v>1</v>
      </c>
      <c r="W141" t="s">
        <v>375</v>
      </c>
      <c r="X141">
        <v>2</v>
      </c>
      <c r="Y141">
        <v>1.0173775671406</v>
      </c>
      <c r="Z141" t="s">
        <v>384</v>
      </c>
      <c r="AA141">
        <v>3</v>
      </c>
      <c r="AB141">
        <v>0.99134377576257204</v>
      </c>
      <c r="AC141" t="s">
        <v>289</v>
      </c>
      <c r="AD141">
        <v>2</v>
      </c>
      <c r="AE141">
        <v>0.993166287015945</v>
      </c>
      <c r="AF141" t="s">
        <v>374</v>
      </c>
      <c r="AG141">
        <v>2</v>
      </c>
      <c r="AH141">
        <v>0.98116760828625205</v>
      </c>
      <c r="AI141" t="s">
        <v>303</v>
      </c>
      <c r="AJ141">
        <v>2</v>
      </c>
      <c r="AK141">
        <v>0.88130865349717402</v>
      </c>
      <c r="AL141" t="s">
        <v>395</v>
      </c>
      <c r="AM141">
        <v>1</v>
      </c>
      <c r="AN141">
        <v>1.27551020408163</v>
      </c>
      <c r="AO141" t="s">
        <v>310</v>
      </c>
      <c r="AP141">
        <v>2</v>
      </c>
      <c r="AQ141">
        <v>1.12745098039215</v>
      </c>
      <c r="AR141" t="s">
        <v>310</v>
      </c>
      <c r="AS141">
        <v>2</v>
      </c>
      <c r="AT141">
        <v>1.0086956521739101</v>
      </c>
      <c r="AU141" t="s">
        <v>402</v>
      </c>
      <c r="AV141">
        <v>1</v>
      </c>
      <c r="AW141">
        <v>1.31542010752092</v>
      </c>
      <c r="AX141" t="s">
        <v>310</v>
      </c>
      <c r="AY141">
        <v>2</v>
      </c>
      <c r="AZ141">
        <v>0.92407809110629002</v>
      </c>
      <c r="BA141" t="s">
        <v>329</v>
      </c>
      <c r="BB141">
        <v>2</v>
      </c>
      <c r="BC141">
        <v>1.10394265232974</v>
      </c>
      <c r="BD141" t="s">
        <v>404</v>
      </c>
      <c r="BE141">
        <v>1</v>
      </c>
      <c r="BF141">
        <v>1.01112656467315</v>
      </c>
      <c r="BG141" t="s">
        <v>417</v>
      </c>
      <c r="BH141">
        <v>2</v>
      </c>
      <c r="BI141">
        <v>1.01315789473684</v>
      </c>
      <c r="BJ141" t="s">
        <v>329</v>
      </c>
      <c r="BK141">
        <v>2</v>
      </c>
      <c r="BL141">
        <v>1.1107692307692301</v>
      </c>
      <c r="BM141" t="s">
        <v>402</v>
      </c>
      <c r="BN141">
        <v>2</v>
      </c>
      <c r="BO141">
        <v>0.68922425986740898</v>
      </c>
      <c r="BP141" t="s">
        <v>333</v>
      </c>
      <c r="BQ141">
        <v>1</v>
      </c>
      <c r="BR141">
        <v>0.93490304709141203</v>
      </c>
      <c r="BS141" t="s">
        <v>421</v>
      </c>
      <c r="BT141">
        <v>3</v>
      </c>
      <c r="BU141">
        <v>0.96458155918556898</v>
      </c>
      <c r="BV141" t="s">
        <v>417</v>
      </c>
      <c r="BW141">
        <v>2</v>
      </c>
      <c r="BX141">
        <v>1.05047318611987</v>
      </c>
      <c r="BY141" t="s">
        <v>419</v>
      </c>
      <c r="BZ141">
        <v>1</v>
      </c>
      <c r="CA141">
        <v>0.85991058122205599</v>
      </c>
      <c r="CB141" t="s">
        <v>408</v>
      </c>
      <c r="CC141">
        <v>3</v>
      </c>
      <c r="CD141">
        <v>0.74806201550387597</v>
      </c>
      <c r="CE141" t="s">
        <v>333</v>
      </c>
      <c r="CF141">
        <v>1</v>
      </c>
      <c r="CG141">
        <v>0.94009216589861699</v>
      </c>
      <c r="CH141" t="s">
        <v>417</v>
      </c>
      <c r="CI141">
        <v>2</v>
      </c>
      <c r="CJ141">
        <v>0.92125984251968496</v>
      </c>
      <c r="CK141" t="s">
        <v>444</v>
      </c>
      <c r="CL141">
        <v>1</v>
      </c>
      <c r="CM141">
        <v>0.80470162748643703</v>
      </c>
      <c r="CN141" t="s">
        <v>436</v>
      </c>
      <c r="CO141">
        <v>3</v>
      </c>
      <c r="CP141">
        <v>0.93567251461988299</v>
      </c>
      <c r="CQ141" t="s">
        <v>433</v>
      </c>
      <c r="CR141">
        <v>1</v>
      </c>
      <c r="CS141">
        <v>0.91556091676718898</v>
      </c>
      <c r="CT141" t="s">
        <v>454</v>
      </c>
      <c r="CU141">
        <v>2</v>
      </c>
      <c r="CV141">
        <v>0.971857410881801</v>
      </c>
      <c r="CW141" t="s">
        <v>457</v>
      </c>
      <c r="CX141">
        <v>1</v>
      </c>
      <c r="CY141">
        <v>0.89809630459126499</v>
      </c>
      <c r="CZ141" t="s">
        <v>440</v>
      </c>
      <c r="DA141">
        <v>2</v>
      </c>
      <c r="DB141">
        <v>0.94820717131474097</v>
      </c>
      <c r="DC141" t="s">
        <v>433</v>
      </c>
      <c r="DD141">
        <v>1</v>
      </c>
      <c r="DE141">
        <v>1.0589569160997701</v>
      </c>
      <c r="DF141" t="s">
        <v>454</v>
      </c>
      <c r="DG141">
        <v>2</v>
      </c>
      <c r="DH141">
        <v>1.34575569358178</v>
      </c>
    </row>
    <row r="142" spans="1:112" x14ac:dyDescent="0.4">
      <c r="A142">
        <v>140</v>
      </c>
      <c r="B142" t="s">
        <v>282</v>
      </c>
      <c r="C142">
        <v>1</v>
      </c>
      <c r="D142">
        <v>1.3125</v>
      </c>
      <c r="E142" t="s">
        <v>365</v>
      </c>
      <c r="F142">
        <v>2</v>
      </c>
      <c r="G142">
        <v>0.76190500482066603</v>
      </c>
      <c r="H142" t="s">
        <v>278</v>
      </c>
      <c r="I142">
        <v>1</v>
      </c>
      <c r="J142">
        <v>0.841389728096676</v>
      </c>
      <c r="K142" t="s">
        <v>367</v>
      </c>
      <c r="L142">
        <v>2</v>
      </c>
      <c r="M142">
        <v>1.5635917030567601</v>
      </c>
      <c r="N142" t="s">
        <v>352</v>
      </c>
      <c r="O142">
        <v>2</v>
      </c>
      <c r="P142">
        <v>0.99469297620743602</v>
      </c>
      <c r="Q142" t="s">
        <v>387</v>
      </c>
      <c r="R142">
        <v>2</v>
      </c>
      <c r="S142">
        <v>1.22977346278317</v>
      </c>
      <c r="T142" t="s">
        <v>387</v>
      </c>
      <c r="U142">
        <v>2</v>
      </c>
      <c r="V142">
        <v>1.34649122807017</v>
      </c>
      <c r="W142" t="s">
        <v>381</v>
      </c>
      <c r="X142">
        <v>2</v>
      </c>
      <c r="Y142">
        <v>0.87150106059975796</v>
      </c>
      <c r="Z142" t="s">
        <v>389</v>
      </c>
      <c r="AA142">
        <v>2</v>
      </c>
      <c r="AB142">
        <v>0.95667870036100999</v>
      </c>
      <c r="AC142" t="s">
        <v>377</v>
      </c>
      <c r="AD142">
        <v>2</v>
      </c>
      <c r="AE142">
        <v>0.96395348837209305</v>
      </c>
      <c r="AF142" t="s">
        <v>381</v>
      </c>
      <c r="AG142">
        <v>2</v>
      </c>
      <c r="AH142">
        <v>1.0139928322968199</v>
      </c>
      <c r="AI142" t="s">
        <v>289</v>
      </c>
      <c r="AJ142">
        <v>2</v>
      </c>
      <c r="AK142">
        <v>0.90280373831775695</v>
      </c>
      <c r="AL142" t="s">
        <v>308</v>
      </c>
      <c r="AM142">
        <v>2</v>
      </c>
      <c r="AN142">
        <v>0.86956521739130399</v>
      </c>
      <c r="AO142" t="s">
        <v>314</v>
      </c>
      <c r="AP142">
        <v>2</v>
      </c>
      <c r="AQ142">
        <v>0.84065833026848102</v>
      </c>
      <c r="AR142" t="s">
        <v>314</v>
      </c>
      <c r="AS142">
        <v>2</v>
      </c>
      <c r="AT142">
        <v>0.47460716759633897</v>
      </c>
      <c r="AU142" t="s">
        <v>409</v>
      </c>
      <c r="AV142">
        <v>2</v>
      </c>
      <c r="AW142">
        <v>1.07420357420357</v>
      </c>
      <c r="AX142" t="s">
        <v>323</v>
      </c>
      <c r="AY142">
        <v>2</v>
      </c>
      <c r="AZ142">
        <v>0.81617647058823495</v>
      </c>
      <c r="BA142" t="s">
        <v>404</v>
      </c>
      <c r="BB142">
        <v>1</v>
      </c>
      <c r="BC142">
        <v>1.0828313253012001</v>
      </c>
      <c r="BD142" t="s">
        <v>333</v>
      </c>
      <c r="BE142">
        <v>1</v>
      </c>
      <c r="BF142">
        <v>1.0959302325581299</v>
      </c>
      <c r="BG142" t="s">
        <v>418</v>
      </c>
      <c r="BH142">
        <v>2</v>
      </c>
      <c r="BI142">
        <v>1.0350241545893699</v>
      </c>
      <c r="BJ142" t="s">
        <v>404</v>
      </c>
      <c r="BK142">
        <v>1</v>
      </c>
      <c r="BL142">
        <v>0.96405648267008903</v>
      </c>
      <c r="BM142" t="s">
        <v>404</v>
      </c>
      <c r="BN142">
        <v>1</v>
      </c>
      <c r="BO142">
        <v>0.96404793608521899</v>
      </c>
      <c r="BP142" t="s">
        <v>407</v>
      </c>
      <c r="BQ142">
        <v>3</v>
      </c>
      <c r="BR142">
        <v>0.95198329853862196</v>
      </c>
      <c r="BS142" t="s">
        <v>435</v>
      </c>
      <c r="BT142">
        <v>3</v>
      </c>
      <c r="BU142">
        <v>1.0592991913746601</v>
      </c>
      <c r="BV142" t="s">
        <v>418</v>
      </c>
      <c r="BW142">
        <v>2</v>
      </c>
      <c r="BX142">
        <v>1.2554744525547401</v>
      </c>
      <c r="BY142" t="s">
        <v>435</v>
      </c>
      <c r="BZ142">
        <v>3</v>
      </c>
      <c r="CA142">
        <v>1.3826998689384</v>
      </c>
      <c r="CB142" t="s">
        <v>418</v>
      </c>
      <c r="CC142">
        <v>2</v>
      </c>
      <c r="CD142">
        <v>0.82005141388174796</v>
      </c>
      <c r="CE142" t="s">
        <v>407</v>
      </c>
      <c r="CF142">
        <v>3</v>
      </c>
      <c r="CG142">
        <v>1.0686274509803899</v>
      </c>
      <c r="CH142" t="s">
        <v>418</v>
      </c>
      <c r="CI142">
        <v>2</v>
      </c>
      <c r="CJ142">
        <v>1.22342342342342</v>
      </c>
      <c r="CK142" t="s">
        <v>446</v>
      </c>
      <c r="CL142">
        <v>3</v>
      </c>
      <c r="CM142">
        <v>0.96206373292867897</v>
      </c>
      <c r="CN142" t="s">
        <v>440</v>
      </c>
      <c r="CO142">
        <v>2</v>
      </c>
      <c r="CP142">
        <v>0.75376884422110502</v>
      </c>
      <c r="CQ142" t="s">
        <v>440</v>
      </c>
      <c r="CR142">
        <v>2</v>
      </c>
      <c r="CS142">
        <v>0.87</v>
      </c>
      <c r="CT142" t="s">
        <v>460</v>
      </c>
      <c r="CU142">
        <v>3</v>
      </c>
      <c r="CV142">
        <v>1.0274656679151</v>
      </c>
      <c r="CW142" t="s">
        <v>452</v>
      </c>
      <c r="CX142">
        <v>2</v>
      </c>
      <c r="CY142">
        <v>0.92417739628039997</v>
      </c>
      <c r="CZ142" t="s">
        <v>444</v>
      </c>
      <c r="DA142">
        <v>1</v>
      </c>
      <c r="DB142">
        <v>0.87184466019417395</v>
      </c>
      <c r="DC142" t="s">
        <v>440</v>
      </c>
      <c r="DD142">
        <v>2</v>
      </c>
      <c r="DE142">
        <v>1.1176470588235199</v>
      </c>
      <c r="DF142" t="s">
        <v>456</v>
      </c>
      <c r="DG142">
        <v>2</v>
      </c>
      <c r="DH142">
        <v>1.1116279069767401</v>
      </c>
    </row>
    <row r="143" spans="1:112" x14ac:dyDescent="0.4">
      <c r="A143">
        <v>141</v>
      </c>
      <c r="B143" t="s">
        <v>365</v>
      </c>
      <c r="C143">
        <v>2</v>
      </c>
      <c r="D143">
        <v>1.2564076269828499</v>
      </c>
      <c r="E143" t="s">
        <v>415</v>
      </c>
      <c r="F143">
        <v>3</v>
      </c>
      <c r="G143">
        <v>0.88938053097345104</v>
      </c>
      <c r="H143" t="s">
        <v>368</v>
      </c>
      <c r="I143">
        <v>2</v>
      </c>
      <c r="J143">
        <v>0.423208191126279</v>
      </c>
      <c r="K143" t="s">
        <v>369</v>
      </c>
      <c r="L143">
        <v>3</v>
      </c>
      <c r="M143">
        <v>1.2129629629629599</v>
      </c>
      <c r="N143" t="s">
        <v>275</v>
      </c>
      <c r="O143">
        <v>2</v>
      </c>
      <c r="P143">
        <v>0.99748743718592903</v>
      </c>
      <c r="Q143" t="s">
        <v>392</v>
      </c>
      <c r="R143">
        <v>2</v>
      </c>
      <c r="S143">
        <v>0.98172323759791102</v>
      </c>
      <c r="T143" t="s">
        <v>392</v>
      </c>
      <c r="U143">
        <v>2</v>
      </c>
      <c r="V143">
        <v>0.98404255319148903</v>
      </c>
      <c r="W143" t="s">
        <v>389</v>
      </c>
      <c r="X143">
        <v>2</v>
      </c>
      <c r="Y143">
        <v>0.95682210708117399</v>
      </c>
      <c r="Z143" t="s">
        <v>387</v>
      </c>
      <c r="AA143">
        <v>2</v>
      </c>
      <c r="AB143">
        <v>1.0437956204379499</v>
      </c>
      <c r="AC143" t="s">
        <v>381</v>
      </c>
      <c r="AD143">
        <v>2</v>
      </c>
      <c r="AE143">
        <v>0.97277621122789004</v>
      </c>
      <c r="AF143" t="s">
        <v>384</v>
      </c>
      <c r="AG143">
        <v>3</v>
      </c>
      <c r="AH143">
        <v>1.09810387469084</v>
      </c>
      <c r="AI143" t="s">
        <v>398</v>
      </c>
      <c r="AJ143">
        <v>2</v>
      </c>
      <c r="AK143">
        <v>1.26628370098039</v>
      </c>
      <c r="AL143" t="s">
        <v>396</v>
      </c>
      <c r="AM143">
        <v>1</v>
      </c>
      <c r="AN143">
        <v>1.12426035502958</v>
      </c>
      <c r="AO143" t="s">
        <v>323</v>
      </c>
      <c r="AP143">
        <v>2</v>
      </c>
      <c r="AQ143">
        <v>0.95462478184991195</v>
      </c>
      <c r="AR143" t="s">
        <v>323</v>
      </c>
      <c r="AS143">
        <v>2</v>
      </c>
      <c r="AT143">
        <v>1.10237659963436</v>
      </c>
      <c r="AU143" t="s">
        <v>329</v>
      </c>
      <c r="AV143">
        <v>2</v>
      </c>
      <c r="AW143">
        <v>1.0621242484969899</v>
      </c>
      <c r="AX143" t="s">
        <v>410</v>
      </c>
      <c r="AY143">
        <v>3</v>
      </c>
      <c r="AZ143">
        <v>1.0916905444125999</v>
      </c>
      <c r="BA143" t="s">
        <v>333</v>
      </c>
      <c r="BB143">
        <v>1</v>
      </c>
      <c r="BC143">
        <v>1.2307692307692299</v>
      </c>
      <c r="BD143" t="s">
        <v>407</v>
      </c>
      <c r="BE143">
        <v>3</v>
      </c>
      <c r="BF143">
        <v>1.0707070707070701</v>
      </c>
      <c r="BG143" t="s">
        <v>419</v>
      </c>
      <c r="BH143">
        <v>1</v>
      </c>
      <c r="BI143">
        <v>1.0787207872078699</v>
      </c>
      <c r="BJ143" t="s">
        <v>333</v>
      </c>
      <c r="BK143">
        <v>1</v>
      </c>
      <c r="BL143">
        <v>1.0810055865921699</v>
      </c>
      <c r="BM143" t="s">
        <v>333</v>
      </c>
      <c r="BN143">
        <v>1</v>
      </c>
      <c r="BO143">
        <v>0.93281653746769999</v>
      </c>
      <c r="BP143" t="s">
        <v>408</v>
      </c>
      <c r="BQ143">
        <v>3</v>
      </c>
      <c r="BR143">
        <v>1.0466970387243699</v>
      </c>
      <c r="BS143" t="s">
        <v>343</v>
      </c>
      <c r="BT143">
        <v>1</v>
      </c>
      <c r="BU143">
        <v>1.05792682926829</v>
      </c>
      <c r="BV143" t="s">
        <v>419</v>
      </c>
      <c r="BW143">
        <v>1</v>
      </c>
      <c r="BX143">
        <v>0.92679558011049701</v>
      </c>
      <c r="BY143" t="s">
        <v>343</v>
      </c>
      <c r="BZ143">
        <v>1</v>
      </c>
      <c r="CA143">
        <v>0.967409948542024</v>
      </c>
      <c r="CB143" t="s">
        <v>419</v>
      </c>
      <c r="CC143">
        <v>1</v>
      </c>
      <c r="CD143">
        <v>0.90467937608318805</v>
      </c>
      <c r="CE143" t="s">
        <v>408</v>
      </c>
      <c r="CF143">
        <v>3</v>
      </c>
      <c r="CG143">
        <v>1.18652849740932</v>
      </c>
      <c r="CH143" t="s">
        <v>419</v>
      </c>
      <c r="CI143">
        <v>1</v>
      </c>
      <c r="CJ143">
        <v>0.93803786574870895</v>
      </c>
      <c r="CK143" t="s">
        <v>452</v>
      </c>
      <c r="CL143">
        <v>2</v>
      </c>
      <c r="CM143">
        <v>0.79171894604767801</v>
      </c>
      <c r="CN143" t="s">
        <v>441</v>
      </c>
      <c r="CO143">
        <v>2</v>
      </c>
      <c r="CP143">
        <v>1.1111111111111101</v>
      </c>
      <c r="CQ143" t="s">
        <v>462</v>
      </c>
      <c r="CR143">
        <v>3</v>
      </c>
      <c r="CS143">
        <v>0.95656894679695903</v>
      </c>
      <c r="CT143" t="s">
        <v>468</v>
      </c>
      <c r="CU143">
        <v>3</v>
      </c>
      <c r="CV143">
        <v>0.76453900709219802</v>
      </c>
      <c r="CW143" t="s">
        <v>454</v>
      </c>
      <c r="CX143">
        <v>2</v>
      </c>
      <c r="CY143">
        <v>0.84942084942084894</v>
      </c>
      <c r="CZ143" t="s">
        <v>446</v>
      </c>
      <c r="DA143">
        <v>3</v>
      </c>
      <c r="DB143">
        <v>0.95880149812733995</v>
      </c>
      <c r="DC143" t="s">
        <v>441</v>
      </c>
      <c r="DD143">
        <v>2</v>
      </c>
      <c r="DE143">
        <v>0.99059561128526596</v>
      </c>
      <c r="DF143" t="s">
        <v>460</v>
      </c>
      <c r="DG143">
        <v>3</v>
      </c>
      <c r="DH143">
        <v>0.96090794451450101</v>
      </c>
    </row>
    <row r="144" spans="1:112" x14ac:dyDescent="0.4">
      <c r="A144">
        <v>142</v>
      </c>
      <c r="B144" t="s">
        <v>415</v>
      </c>
      <c r="C144">
        <v>3</v>
      </c>
      <c r="D144">
        <v>0.91497975708502</v>
      </c>
      <c r="E144" t="s">
        <v>369</v>
      </c>
      <c r="F144">
        <v>3</v>
      </c>
      <c r="G144">
        <v>1.00358422939068</v>
      </c>
      <c r="H144" t="s">
        <v>372</v>
      </c>
      <c r="I144">
        <v>3</v>
      </c>
      <c r="J144">
        <v>0.75324675324675305</v>
      </c>
      <c r="K144" t="s">
        <v>364</v>
      </c>
      <c r="L144">
        <v>2</v>
      </c>
      <c r="M144">
        <v>1.17737789203084</v>
      </c>
      <c r="N144" t="s">
        <v>359</v>
      </c>
      <c r="O144">
        <v>2</v>
      </c>
      <c r="P144">
        <v>1.1093117408906801</v>
      </c>
      <c r="Q144" t="s">
        <v>395</v>
      </c>
      <c r="R144">
        <v>1</v>
      </c>
      <c r="S144">
        <v>1.1854166666666599</v>
      </c>
      <c r="T144" t="s">
        <v>390</v>
      </c>
      <c r="U144">
        <v>3</v>
      </c>
      <c r="V144">
        <v>0.90546197039305698</v>
      </c>
      <c r="W144" t="s">
        <v>387</v>
      </c>
      <c r="X144">
        <v>2</v>
      </c>
      <c r="Y144">
        <v>0.89250814332247497</v>
      </c>
      <c r="Z144" t="s">
        <v>392</v>
      </c>
      <c r="AA144">
        <v>2</v>
      </c>
      <c r="AB144">
        <v>1.8968253968253901</v>
      </c>
      <c r="AC144" t="s">
        <v>384</v>
      </c>
      <c r="AD144">
        <v>3</v>
      </c>
      <c r="AE144">
        <v>1.0087318087318</v>
      </c>
      <c r="AF144" t="s">
        <v>389</v>
      </c>
      <c r="AG144">
        <v>2</v>
      </c>
      <c r="AH144">
        <v>1.15469613259668</v>
      </c>
      <c r="AI144" t="s">
        <v>377</v>
      </c>
      <c r="AJ144">
        <v>2</v>
      </c>
      <c r="AK144">
        <v>0.84367541766109699</v>
      </c>
      <c r="AL144" t="s">
        <v>397</v>
      </c>
      <c r="AM144">
        <v>2</v>
      </c>
      <c r="AN144">
        <v>1.0327272727272701</v>
      </c>
      <c r="AO144" t="s">
        <v>410</v>
      </c>
      <c r="AP144">
        <v>3</v>
      </c>
      <c r="AQ144">
        <v>0.98663697104676995</v>
      </c>
      <c r="AR144" t="s">
        <v>410</v>
      </c>
      <c r="AS144">
        <v>3</v>
      </c>
      <c r="AT144">
        <v>0.77652370203160204</v>
      </c>
      <c r="AU144" t="s">
        <v>404</v>
      </c>
      <c r="AV144">
        <v>1</v>
      </c>
      <c r="AW144">
        <v>1.0431034482758601</v>
      </c>
      <c r="AX144" t="s">
        <v>402</v>
      </c>
      <c r="AY144">
        <v>1</v>
      </c>
      <c r="AZ144">
        <v>0.57510019855377004</v>
      </c>
      <c r="BA144" t="s">
        <v>407</v>
      </c>
      <c r="BB144">
        <v>3</v>
      </c>
      <c r="BC144">
        <v>0.99248120300751796</v>
      </c>
      <c r="BD144" t="s">
        <v>417</v>
      </c>
      <c r="BE144">
        <v>2</v>
      </c>
      <c r="BF144">
        <v>0.90118577075098805</v>
      </c>
      <c r="BG144" t="s">
        <v>428</v>
      </c>
      <c r="BH144">
        <v>3</v>
      </c>
      <c r="BI144">
        <v>1.21333333333333</v>
      </c>
      <c r="BJ144" t="s">
        <v>407</v>
      </c>
      <c r="BK144">
        <v>3</v>
      </c>
      <c r="BL144">
        <v>1.35409252669039</v>
      </c>
      <c r="BM144" t="s">
        <v>407</v>
      </c>
      <c r="BN144">
        <v>3</v>
      </c>
      <c r="BO144">
        <v>0.62943495400788396</v>
      </c>
      <c r="BP144" t="s">
        <v>418</v>
      </c>
      <c r="BQ144">
        <v>2</v>
      </c>
      <c r="BR144">
        <v>0.97788944723617999</v>
      </c>
      <c r="BS144" t="s">
        <v>423</v>
      </c>
      <c r="BT144">
        <v>3</v>
      </c>
      <c r="BU144">
        <v>0.80416989271098305</v>
      </c>
      <c r="BV144" t="s">
        <v>420</v>
      </c>
      <c r="BW144">
        <v>1</v>
      </c>
      <c r="BX144">
        <v>1.11498973305954</v>
      </c>
      <c r="BY144" t="s">
        <v>423</v>
      </c>
      <c r="BZ144">
        <v>3</v>
      </c>
      <c r="CA144">
        <v>1.0831021181565901</v>
      </c>
      <c r="CB144" t="s">
        <v>343</v>
      </c>
      <c r="CC144">
        <v>1</v>
      </c>
      <c r="CD144">
        <v>1.0195035460992901</v>
      </c>
      <c r="CE144" t="s">
        <v>417</v>
      </c>
      <c r="CF144">
        <v>2</v>
      </c>
      <c r="CG144">
        <v>0.83828382838283799</v>
      </c>
      <c r="CH144" t="s">
        <v>421</v>
      </c>
      <c r="CI144">
        <v>3</v>
      </c>
      <c r="CJ144">
        <v>1.0470409711684301</v>
      </c>
      <c r="CK144" t="s">
        <v>459</v>
      </c>
      <c r="CL144">
        <v>2</v>
      </c>
      <c r="CM144">
        <v>0.77845777233782099</v>
      </c>
      <c r="CN144" t="s">
        <v>444</v>
      </c>
      <c r="CO144">
        <v>1</v>
      </c>
      <c r="CP144">
        <v>1.2179775280898799</v>
      </c>
      <c r="CQ144" t="s">
        <v>441</v>
      </c>
      <c r="CR144">
        <v>2</v>
      </c>
      <c r="CS144">
        <v>1.0803571428571399</v>
      </c>
      <c r="CT144" t="s">
        <v>463</v>
      </c>
      <c r="CU144">
        <v>1</v>
      </c>
      <c r="CV144">
        <v>0.98867924528301798</v>
      </c>
      <c r="CW144" t="s">
        <v>460</v>
      </c>
      <c r="CX144">
        <v>3</v>
      </c>
      <c r="CY144">
        <v>0.97569866342648803</v>
      </c>
      <c r="CZ144" t="s">
        <v>457</v>
      </c>
      <c r="DA144">
        <v>1</v>
      </c>
      <c r="DB144">
        <v>0.99875311720698201</v>
      </c>
      <c r="DC144" t="s">
        <v>444</v>
      </c>
      <c r="DD144">
        <v>1</v>
      </c>
      <c r="DE144">
        <v>1.3318485523385299</v>
      </c>
      <c r="DF144" t="s">
        <v>473</v>
      </c>
      <c r="DG144">
        <v>3</v>
      </c>
      <c r="DH144">
        <v>1.1768488745980701</v>
      </c>
    </row>
    <row r="145" spans="1:112" x14ac:dyDescent="0.4">
      <c r="A145">
        <v>143</v>
      </c>
      <c r="B145" t="s">
        <v>364</v>
      </c>
      <c r="C145">
        <v>2</v>
      </c>
      <c r="D145">
        <v>0.82</v>
      </c>
      <c r="E145" t="s">
        <v>364</v>
      </c>
      <c r="F145">
        <v>2</v>
      </c>
      <c r="G145">
        <v>0.84634146341463401</v>
      </c>
      <c r="H145" t="s">
        <v>365</v>
      </c>
      <c r="I145">
        <v>2</v>
      </c>
      <c r="J145">
        <v>0.51607222962432298</v>
      </c>
      <c r="K145" t="s">
        <v>376</v>
      </c>
      <c r="L145">
        <v>2</v>
      </c>
      <c r="M145">
        <v>0.95387025060630504</v>
      </c>
      <c r="N145" t="s">
        <v>278</v>
      </c>
      <c r="O145">
        <v>1</v>
      </c>
      <c r="P145">
        <v>1.1812499999999999</v>
      </c>
      <c r="Q145" t="s">
        <v>308</v>
      </c>
      <c r="R145">
        <v>2</v>
      </c>
      <c r="S145">
        <v>1.0341880341880301</v>
      </c>
      <c r="T145" t="s">
        <v>395</v>
      </c>
      <c r="U145">
        <v>1</v>
      </c>
      <c r="V145">
        <v>1.2653778558875199</v>
      </c>
      <c r="W145" t="s">
        <v>392</v>
      </c>
      <c r="X145">
        <v>2</v>
      </c>
      <c r="Y145">
        <v>1.0216216216216201</v>
      </c>
      <c r="Z145" t="s">
        <v>390</v>
      </c>
      <c r="AA145">
        <v>3</v>
      </c>
      <c r="AB145">
        <v>1.0907662557408699</v>
      </c>
      <c r="AC145" t="s">
        <v>389</v>
      </c>
      <c r="AD145">
        <v>2</v>
      </c>
      <c r="AE145">
        <v>1.0245283018867899</v>
      </c>
      <c r="AF145" t="s">
        <v>387</v>
      </c>
      <c r="AG145">
        <v>2</v>
      </c>
      <c r="AH145">
        <v>0.88188976377952699</v>
      </c>
      <c r="AI145" t="s">
        <v>374</v>
      </c>
      <c r="AJ145">
        <v>2</v>
      </c>
      <c r="AK145">
        <v>0.87715930902111305</v>
      </c>
      <c r="AL145" t="s">
        <v>310</v>
      </c>
      <c r="AM145">
        <v>2</v>
      </c>
      <c r="AN145">
        <v>1.07368421052631</v>
      </c>
      <c r="AO145" t="s">
        <v>402</v>
      </c>
      <c r="AP145">
        <v>1</v>
      </c>
      <c r="AQ145">
        <v>1.0667497960251799</v>
      </c>
      <c r="AR145" t="s">
        <v>402</v>
      </c>
      <c r="AS145">
        <v>1</v>
      </c>
      <c r="AT145">
        <v>0.69434543136830396</v>
      </c>
      <c r="AU145" t="s">
        <v>333</v>
      </c>
      <c r="AV145">
        <v>1</v>
      </c>
      <c r="AW145">
        <v>0.905555555555555</v>
      </c>
      <c r="AX145" t="s">
        <v>329</v>
      </c>
      <c r="AY145">
        <v>2</v>
      </c>
      <c r="AZ145">
        <v>1.0528301886792399</v>
      </c>
      <c r="BA145" t="s">
        <v>408</v>
      </c>
      <c r="BB145">
        <v>3</v>
      </c>
      <c r="BC145">
        <v>0.98281417830289997</v>
      </c>
      <c r="BD145" t="s">
        <v>418</v>
      </c>
      <c r="BE145">
        <v>2</v>
      </c>
      <c r="BF145">
        <v>0.86430062630480098</v>
      </c>
      <c r="BG145" t="s">
        <v>343</v>
      </c>
      <c r="BH145">
        <v>1</v>
      </c>
      <c r="BI145">
        <v>0.91199018301291701</v>
      </c>
      <c r="BJ145" t="s">
        <v>418</v>
      </c>
      <c r="BK145">
        <v>2</v>
      </c>
      <c r="BL145">
        <v>1.31621936989498</v>
      </c>
      <c r="BM145" t="s">
        <v>418</v>
      </c>
      <c r="BN145">
        <v>2</v>
      </c>
      <c r="BO145">
        <v>0.88209219858155996</v>
      </c>
      <c r="BP145" t="s">
        <v>421</v>
      </c>
      <c r="BQ145">
        <v>3</v>
      </c>
      <c r="BR145">
        <v>1.0143709753415999</v>
      </c>
      <c r="BS145" t="s">
        <v>424</v>
      </c>
      <c r="BT145">
        <v>2</v>
      </c>
      <c r="BU145">
        <v>1.0720242608036299</v>
      </c>
      <c r="BV145" t="s">
        <v>421</v>
      </c>
      <c r="BW145">
        <v>3</v>
      </c>
      <c r="BX145">
        <v>1.24407078935751</v>
      </c>
      <c r="BY145" t="s">
        <v>424</v>
      </c>
      <c r="BZ145">
        <v>2</v>
      </c>
      <c r="CA145">
        <v>1.13865390323538</v>
      </c>
      <c r="CB145" t="s">
        <v>423</v>
      </c>
      <c r="CC145">
        <v>3</v>
      </c>
      <c r="CD145">
        <v>1.1769447047797501</v>
      </c>
      <c r="CE145" t="s">
        <v>418</v>
      </c>
      <c r="CF145">
        <v>2</v>
      </c>
      <c r="CG145">
        <v>0.86990595611285204</v>
      </c>
      <c r="CH145" t="s">
        <v>343</v>
      </c>
      <c r="CI145">
        <v>1</v>
      </c>
      <c r="CJ145">
        <v>1.2264150943396199</v>
      </c>
      <c r="CK145" t="s">
        <v>464</v>
      </c>
      <c r="CL145">
        <v>3</v>
      </c>
      <c r="CM145">
        <v>0.72636262513904304</v>
      </c>
      <c r="CN145" t="s">
        <v>446</v>
      </c>
      <c r="CO145">
        <v>3</v>
      </c>
      <c r="CP145">
        <v>0.96214511041009398</v>
      </c>
      <c r="CQ145" t="s">
        <v>446</v>
      </c>
      <c r="CR145">
        <v>3</v>
      </c>
      <c r="CS145">
        <v>0.878688524590163</v>
      </c>
      <c r="CT145" t="s">
        <v>466</v>
      </c>
      <c r="CU145">
        <v>3</v>
      </c>
      <c r="CV145">
        <v>1.0124223602484399</v>
      </c>
      <c r="CW145" t="s">
        <v>473</v>
      </c>
      <c r="CX145">
        <v>3</v>
      </c>
      <c r="CY145">
        <v>1.05580693815987</v>
      </c>
      <c r="CZ145" t="s">
        <v>452</v>
      </c>
      <c r="DA145">
        <v>2</v>
      </c>
      <c r="DB145">
        <v>1.07739938080495</v>
      </c>
      <c r="DC145" t="s">
        <v>446</v>
      </c>
      <c r="DD145">
        <v>3</v>
      </c>
      <c r="DE145">
        <v>1.01953125</v>
      </c>
      <c r="DF145" t="s">
        <v>463</v>
      </c>
      <c r="DG145">
        <v>1</v>
      </c>
      <c r="DH145">
        <v>1.3135135135135101</v>
      </c>
    </row>
    <row r="146" spans="1:112" x14ac:dyDescent="0.4">
      <c r="A146">
        <v>144</v>
      </c>
      <c r="B146" t="s">
        <v>366</v>
      </c>
      <c r="C146">
        <v>3</v>
      </c>
      <c r="D146">
        <v>1.0770270270270199</v>
      </c>
      <c r="E146" t="s">
        <v>366</v>
      </c>
      <c r="F146">
        <v>3</v>
      </c>
      <c r="G146">
        <v>0.84567126725219499</v>
      </c>
      <c r="H146" t="s">
        <v>367</v>
      </c>
      <c r="I146">
        <v>2</v>
      </c>
      <c r="J146">
        <v>0.65137777777777695</v>
      </c>
      <c r="K146" t="s">
        <v>303</v>
      </c>
      <c r="L146">
        <v>2</v>
      </c>
      <c r="M146">
        <v>1.7665325879465501</v>
      </c>
      <c r="N146" t="s">
        <v>372</v>
      </c>
      <c r="O146">
        <v>3</v>
      </c>
      <c r="P146">
        <v>1.4459459459459401</v>
      </c>
      <c r="Q146" t="s">
        <v>396</v>
      </c>
      <c r="R146">
        <v>1</v>
      </c>
      <c r="S146">
        <v>1.39462809917355</v>
      </c>
      <c r="T146" t="s">
        <v>308</v>
      </c>
      <c r="U146">
        <v>2</v>
      </c>
      <c r="V146">
        <v>0.81227863046044801</v>
      </c>
      <c r="W146" t="s">
        <v>390</v>
      </c>
      <c r="X146">
        <v>3</v>
      </c>
      <c r="Y146">
        <v>0.93291239147592697</v>
      </c>
      <c r="Z146" t="s">
        <v>395</v>
      </c>
      <c r="AA146">
        <v>1</v>
      </c>
      <c r="AB146">
        <v>1.0141065830721001</v>
      </c>
      <c r="AC146" t="s">
        <v>387</v>
      </c>
      <c r="AD146">
        <v>2</v>
      </c>
      <c r="AE146">
        <v>1.3321678321678301</v>
      </c>
      <c r="AF146" t="s">
        <v>390</v>
      </c>
      <c r="AG146">
        <v>3</v>
      </c>
      <c r="AH146">
        <v>1.57531130268199</v>
      </c>
      <c r="AI146" t="s">
        <v>375</v>
      </c>
      <c r="AJ146">
        <v>2</v>
      </c>
      <c r="AK146">
        <v>0.83725135623869795</v>
      </c>
      <c r="AL146" t="s">
        <v>314</v>
      </c>
      <c r="AM146">
        <v>2</v>
      </c>
      <c r="AN146">
        <v>1.0152783396085501</v>
      </c>
      <c r="AO146" t="s">
        <v>329</v>
      </c>
      <c r="AP146">
        <v>2</v>
      </c>
      <c r="AQ146">
        <v>0.93346774193548299</v>
      </c>
      <c r="AR146" t="s">
        <v>329</v>
      </c>
      <c r="AS146">
        <v>2</v>
      </c>
      <c r="AT146">
        <v>1.07775377969762</v>
      </c>
      <c r="AU146" t="s">
        <v>407</v>
      </c>
      <c r="AV146">
        <v>2</v>
      </c>
      <c r="AW146">
        <v>1.25</v>
      </c>
      <c r="AX146" t="s">
        <v>404</v>
      </c>
      <c r="AY146">
        <v>1</v>
      </c>
      <c r="AZ146">
        <v>0.78394332939787403</v>
      </c>
      <c r="BA146" t="s">
        <v>416</v>
      </c>
      <c r="BB146">
        <v>1</v>
      </c>
      <c r="BC146">
        <v>1.39963167587476</v>
      </c>
      <c r="BD146" t="s">
        <v>428</v>
      </c>
      <c r="BE146">
        <v>3</v>
      </c>
      <c r="BF146">
        <v>1.25</v>
      </c>
      <c r="BG146" t="s">
        <v>423</v>
      </c>
      <c r="BH146">
        <v>3</v>
      </c>
      <c r="BI146">
        <v>1.10270208381039</v>
      </c>
      <c r="BJ146" t="s">
        <v>428</v>
      </c>
      <c r="BK146">
        <v>3</v>
      </c>
      <c r="BL146">
        <v>1.3598901098901099</v>
      </c>
      <c r="BM146" t="s">
        <v>421</v>
      </c>
      <c r="BN146">
        <v>3</v>
      </c>
      <c r="BO146">
        <v>1.0182719603374499</v>
      </c>
      <c r="BP146" t="s">
        <v>343</v>
      </c>
      <c r="BQ146">
        <v>1</v>
      </c>
      <c r="BR146">
        <v>1.2227399813606701</v>
      </c>
      <c r="BS146" t="s">
        <v>430</v>
      </c>
      <c r="BT146">
        <v>3</v>
      </c>
      <c r="BU146">
        <v>1.0454096742349399</v>
      </c>
      <c r="BV146" t="s">
        <v>343</v>
      </c>
      <c r="BW146">
        <v>1</v>
      </c>
      <c r="BX146">
        <v>0.84005763688760804</v>
      </c>
      <c r="BY146" t="s">
        <v>426</v>
      </c>
      <c r="BZ146">
        <v>1</v>
      </c>
      <c r="CA146">
        <v>0.96734693877551003</v>
      </c>
      <c r="CB146" t="s">
        <v>426</v>
      </c>
      <c r="CC146">
        <v>1</v>
      </c>
      <c r="CD146">
        <v>0.88185654008438796</v>
      </c>
      <c r="CE146" t="s">
        <v>419</v>
      </c>
      <c r="CF146">
        <v>1</v>
      </c>
      <c r="CG146">
        <v>1.1130268199233699</v>
      </c>
      <c r="CH146" t="s">
        <v>423</v>
      </c>
      <c r="CI146">
        <v>3</v>
      </c>
      <c r="CJ146">
        <v>1.2900358422939</v>
      </c>
      <c r="CK146" t="s">
        <v>463</v>
      </c>
      <c r="CL146">
        <v>1</v>
      </c>
      <c r="CM146">
        <v>0.936491935483871</v>
      </c>
      <c r="CN146" t="s">
        <v>452</v>
      </c>
      <c r="CO146">
        <v>2</v>
      </c>
      <c r="CP146">
        <v>0.96038034865293098</v>
      </c>
      <c r="CQ146" t="s">
        <v>452</v>
      </c>
      <c r="CR146">
        <v>2</v>
      </c>
      <c r="CS146">
        <v>1.1089108910890999</v>
      </c>
      <c r="CT146" t="s">
        <v>465</v>
      </c>
      <c r="CU146">
        <v>2</v>
      </c>
      <c r="CV146">
        <v>0.97455470737913397</v>
      </c>
      <c r="CW146" t="s">
        <v>463</v>
      </c>
      <c r="CX146">
        <v>1</v>
      </c>
      <c r="CY146">
        <v>0.94274809160305295</v>
      </c>
      <c r="CZ146" t="s">
        <v>454</v>
      </c>
      <c r="DA146">
        <v>2</v>
      </c>
      <c r="DB146">
        <v>1.03977272727272</v>
      </c>
      <c r="DC146" t="s">
        <v>458</v>
      </c>
      <c r="DD146">
        <v>1</v>
      </c>
      <c r="DE146">
        <v>0.92037037037036995</v>
      </c>
      <c r="DF146" t="s">
        <v>467</v>
      </c>
      <c r="DG146">
        <v>2</v>
      </c>
      <c r="DH146">
        <v>1.02369668246445</v>
      </c>
    </row>
    <row r="147" spans="1:112" x14ac:dyDescent="0.4">
      <c r="A147">
        <v>145</v>
      </c>
      <c r="B147" t="s">
        <v>376</v>
      </c>
      <c r="C147">
        <v>2</v>
      </c>
      <c r="D147">
        <v>1.1118313023939099</v>
      </c>
      <c r="E147" t="s">
        <v>376</v>
      </c>
      <c r="F147">
        <v>2</v>
      </c>
      <c r="G147">
        <v>0.96451612903225803</v>
      </c>
      <c r="H147" t="s">
        <v>371</v>
      </c>
      <c r="I147">
        <v>2</v>
      </c>
      <c r="J147">
        <v>0.59869100930072305</v>
      </c>
      <c r="K147" t="s">
        <v>289</v>
      </c>
      <c r="L147">
        <v>2</v>
      </c>
      <c r="M147">
        <v>0.72190201729106596</v>
      </c>
      <c r="N147" t="s">
        <v>282</v>
      </c>
      <c r="O147">
        <v>1</v>
      </c>
      <c r="P147">
        <v>1.04857142857142</v>
      </c>
      <c r="Q147" t="s">
        <v>310</v>
      </c>
      <c r="R147">
        <v>2</v>
      </c>
      <c r="S147">
        <v>1.09253731343283</v>
      </c>
      <c r="T147" t="s">
        <v>396</v>
      </c>
      <c r="U147">
        <v>1</v>
      </c>
      <c r="V147">
        <v>0.99629629629629601</v>
      </c>
      <c r="W147" t="s">
        <v>308</v>
      </c>
      <c r="X147">
        <v>2</v>
      </c>
      <c r="Y147">
        <v>1.0901162790697601</v>
      </c>
      <c r="Z147" t="s">
        <v>308</v>
      </c>
      <c r="AA147">
        <v>2</v>
      </c>
      <c r="AB147">
        <v>1.04</v>
      </c>
      <c r="AC147" t="s">
        <v>390</v>
      </c>
      <c r="AD147">
        <v>3</v>
      </c>
      <c r="AE147">
        <v>0.92542936288088595</v>
      </c>
      <c r="AF147" t="s">
        <v>395</v>
      </c>
      <c r="AG147">
        <v>1</v>
      </c>
      <c r="AH147">
        <v>1.21879021879021</v>
      </c>
      <c r="AI147" t="s">
        <v>381</v>
      </c>
      <c r="AJ147">
        <v>2</v>
      </c>
      <c r="AK147">
        <v>0.93975934925543803</v>
      </c>
      <c r="AL147" t="s">
        <v>323</v>
      </c>
      <c r="AM147">
        <v>2</v>
      </c>
      <c r="AN147">
        <v>1.01957295373665</v>
      </c>
      <c r="AO147" t="s">
        <v>333</v>
      </c>
      <c r="AP147">
        <v>1</v>
      </c>
      <c r="AQ147">
        <v>0.97609561752988006</v>
      </c>
      <c r="AR147" t="s">
        <v>333</v>
      </c>
      <c r="AS147">
        <v>1</v>
      </c>
      <c r="AT147">
        <v>0.97959183673469297</v>
      </c>
      <c r="AU147" t="s">
        <v>408</v>
      </c>
      <c r="AV147">
        <v>2</v>
      </c>
      <c r="AW147">
        <v>1.22509960159362</v>
      </c>
      <c r="AX147" t="s">
        <v>333</v>
      </c>
      <c r="AY147">
        <v>1</v>
      </c>
      <c r="AZ147">
        <v>0.85736196319018398</v>
      </c>
      <c r="BA147" t="s">
        <v>418</v>
      </c>
      <c r="BB147">
        <v>2</v>
      </c>
      <c r="BC147">
        <v>0.98458376156217797</v>
      </c>
      <c r="BD147" t="s">
        <v>343</v>
      </c>
      <c r="BE147">
        <v>1</v>
      </c>
      <c r="BF147">
        <v>1.3754446460980001</v>
      </c>
      <c r="BG147" t="s">
        <v>438</v>
      </c>
      <c r="BH147">
        <v>3</v>
      </c>
      <c r="BI147">
        <v>1.08792497069167</v>
      </c>
      <c r="BJ147" t="s">
        <v>435</v>
      </c>
      <c r="BK147">
        <v>3</v>
      </c>
      <c r="BL147">
        <v>1.32450331125827</v>
      </c>
      <c r="BM147" t="s">
        <v>343</v>
      </c>
      <c r="BN147">
        <v>1</v>
      </c>
      <c r="BO147">
        <v>0.99819524810687099</v>
      </c>
      <c r="BP147" t="s">
        <v>423</v>
      </c>
      <c r="BQ147">
        <v>3</v>
      </c>
      <c r="BR147">
        <v>1.03514998855049</v>
      </c>
      <c r="BS147" t="s">
        <v>455</v>
      </c>
      <c r="BT147">
        <v>1</v>
      </c>
      <c r="BU147">
        <v>0.95252461098761498</v>
      </c>
      <c r="BV147" t="s">
        <v>423</v>
      </c>
      <c r="BW147">
        <v>3</v>
      </c>
      <c r="BX147">
        <v>1.0162299704284401</v>
      </c>
      <c r="BY147" t="s">
        <v>455</v>
      </c>
      <c r="BZ147">
        <v>1</v>
      </c>
      <c r="CA147">
        <v>1.1458333333333299</v>
      </c>
      <c r="CB147" t="s">
        <v>433</v>
      </c>
      <c r="CC147">
        <v>1</v>
      </c>
      <c r="CD147">
        <v>0.94476190476190403</v>
      </c>
      <c r="CE147" t="s">
        <v>343</v>
      </c>
      <c r="CF147">
        <v>1</v>
      </c>
      <c r="CG147">
        <v>0.73739130434782596</v>
      </c>
      <c r="CH147" t="s">
        <v>424</v>
      </c>
      <c r="CI147">
        <v>2</v>
      </c>
      <c r="CJ147">
        <v>1.18057799875699</v>
      </c>
      <c r="CK147" t="s">
        <v>465</v>
      </c>
      <c r="CL147">
        <v>2</v>
      </c>
      <c r="CM147">
        <v>0.78139534883720896</v>
      </c>
      <c r="CN147" t="s">
        <v>459</v>
      </c>
      <c r="CO147">
        <v>2</v>
      </c>
      <c r="CP147">
        <v>1.03459119496855</v>
      </c>
      <c r="CQ147" t="s">
        <v>454</v>
      </c>
      <c r="CR147">
        <v>2</v>
      </c>
      <c r="CS147">
        <v>0.91896551724137898</v>
      </c>
      <c r="CT147" t="s">
        <v>467</v>
      </c>
      <c r="CU147">
        <v>2</v>
      </c>
      <c r="CV147">
        <v>1.03381642512077</v>
      </c>
      <c r="CW147" t="s">
        <v>466</v>
      </c>
      <c r="CX147">
        <v>3</v>
      </c>
      <c r="CY147">
        <v>0.82515337423312796</v>
      </c>
      <c r="CZ147" t="s">
        <v>456</v>
      </c>
      <c r="DA147">
        <v>2</v>
      </c>
      <c r="DB147">
        <v>1.0044247787610601</v>
      </c>
      <c r="DC147" t="s">
        <v>457</v>
      </c>
      <c r="DD147">
        <v>1</v>
      </c>
      <c r="DE147">
        <v>1.1835205992509299</v>
      </c>
      <c r="DF147" t="s">
        <v>471</v>
      </c>
      <c r="DG147">
        <v>3</v>
      </c>
      <c r="DH147">
        <v>1.2429906542056</v>
      </c>
    </row>
    <row r="148" spans="1:112" x14ac:dyDescent="0.4">
      <c r="A148">
        <v>146</v>
      </c>
      <c r="B148" t="s">
        <v>289</v>
      </c>
      <c r="C148">
        <v>2</v>
      </c>
      <c r="D148">
        <v>1.1037394451145901</v>
      </c>
      <c r="E148" t="s">
        <v>289</v>
      </c>
      <c r="F148">
        <v>2</v>
      </c>
      <c r="G148">
        <v>0.92896174863387904</v>
      </c>
      <c r="H148" t="s">
        <v>364</v>
      </c>
      <c r="I148">
        <v>2</v>
      </c>
      <c r="J148">
        <v>0.56051873198847202</v>
      </c>
      <c r="K148" t="s">
        <v>377</v>
      </c>
      <c r="L148">
        <v>2</v>
      </c>
      <c r="M148">
        <v>1.7698504027617901</v>
      </c>
      <c r="N148" t="s">
        <v>365</v>
      </c>
      <c r="O148">
        <v>2</v>
      </c>
      <c r="P148">
        <v>1.86089224046796</v>
      </c>
      <c r="Q148" t="s">
        <v>450</v>
      </c>
      <c r="R148">
        <v>3</v>
      </c>
      <c r="S148">
        <v>0.93276901528530498</v>
      </c>
      <c r="T148" t="s">
        <v>397</v>
      </c>
      <c r="U148">
        <v>2</v>
      </c>
      <c r="V148">
        <v>1.02767975803125</v>
      </c>
      <c r="W148" t="s">
        <v>396</v>
      </c>
      <c r="X148">
        <v>1</v>
      </c>
      <c r="Y148">
        <v>0.98141263940520396</v>
      </c>
      <c r="Z148" t="s">
        <v>396</v>
      </c>
      <c r="AA148">
        <v>1</v>
      </c>
      <c r="AB148">
        <v>1.00757575757575</v>
      </c>
      <c r="AC148" t="s">
        <v>395</v>
      </c>
      <c r="AD148">
        <v>1</v>
      </c>
      <c r="AE148">
        <v>1.2009273570324499</v>
      </c>
      <c r="AF148" t="s">
        <v>308</v>
      </c>
      <c r="AG148">
        <v>2</v>
      </c>
      <c r="AH148">
        <v>1.0596627756160799</v>
      </c>
      <c r="AI148" t="s">
        <v>384</v>
      </c>
      <c r="AJ148">
        <v>3</v>
      </c>
      <c r="AK148">
        <v>1.0960960960960899</v>
      </c>
      <c r="AL148" t="s">
        <v>410</v>
      </c>
      <c r="AM148">
        <v>3</v>
      </c>
      <c r="AN148">
        <v>1.2201086956521701</v>
      </c>
      <c r="AO148" t="s">
        <v>407</v>
      </c>
      <c r="AP148">
        <v>2</v>
      </c>
      <c r="AQ148">
        <v>0.84011220196353398</v>
      </c>
      <c r="AR148" t="s">
        <v>407</v>
      </c>
      <c r="AS148">
        <v>2</v>
      </c>
      <c r="AT148">
        <v>0.69449081803004997</v>
      </c>
      <c r="AU148" t="s">
        <v>416</v>
      </c>
      <c r="AV148">
        <v>1</v>
      </c>
      <c r="AW148">
        <v>0.953383458646616</v>
      </c>
      <c r="AX148" t="s">
        <v>407</v>
      </c>
      <c r="AY148">
        <v>2</v>
      </c>
      <c r="AZ148">
        <v>0.76730769230769202</v>
      </c>
      <c r="BA148" t="s">
        <v>420</v>
      </c>
      <c r="BB148">
        <v>1</v>
      </c>
      <c r="BC148">
        <v>1.2416267942583701</v>
      </c>
      <c r="BD148" t="s">
        <v>423</v>
      </c>
      <c r="BE148">
        <v>3</v>
      </c>
      <c r="BF148">
        <v>0.99566803465572196</v>
      </c>
      <c r="BG148" t="s">
        <v>424</v>
      </c>
      <c r="BH148">
        <v>2</v>
      </c>
      <c r="BI148">
        <v>1.4339602980253201</v>
      </c>
      <c r="BJ148" t="s">
        <v>343</v>
      </c>
      <c r="BK148">
        <v>1</v>
      </c>
      <c r="BL148">
        <v>0.77762345009187295</v>
      </c>
      <c r="BM148" t="s">
        <v>423</v>
      </c>
      <c r="BN148">
        <v>3</v>
      </c>
      <c r="BO148">
        <v>1.11780892045818</v>
      </c>
      <c r="BP148" t="s">
        <v>424</v>
      </c>
      <c r="BQ148">
        <v>2</v>
      </c>
      <c r="BR148">
        <v>1.10796521395394</v>
      </c>
      <c r="BS148" t="s">
        <v>433</v>
      </c>
      <c r="BT148">
        <v>1</v>
      </c>
      <c r="BU148">
        <v>0.99887640449438198</v>
      </c>
      <c r="BV148" t="s">
        <v>424</v>
      </c>
      <c r="BW148">
        <v>2</v>
      </c>
      <c r="BX148">
        <v>1.12122472751476</v>
      </c>
      <c r="BY148" t="s">
        <v>433</v>
      </c>
      <c r="BZ148">
        <v>1</v>
      </c>
      <c r="CA148">
        <v>1.18376550169109</v>
      </c>
      <c r="CB148" t="s">
        <v>440</v>
      </c>
      <c r="CC148">
        <v>2</v>
      </c>
      <c r="CD148">
        <v>1.02424242424242</v>
      </c>
      <c r="CE148" t="s">
        <v>423</v>
      </c>
      <c r="CF148">
        <v>3</v>
      </c>
      <c r="CG148">
        <v>1.1108456760630601</v>
      </c>
      <c r="CH148" t="s">
        <v>430</v>
      </c>
      <c r="CI148">
        <v>3</v>
      </c>
      <c r="CJ148">
        <v>1.1928897772701299</v>
      </c>
      <c r="CK148" t="s">
        <v>467</v>
      </c>
      <c r="CL148">
        <v>2</v>
      </c>
      <c r="CM148">
        <v>1.0380622837370199</v>
      </c>
      <c r="CN148" t="s">
        <v>460</v>
      </c>
      <c r="CO148">
        <v>3</v>
      </c>
      <c r="CP148">
        <v>0.91323692992213501</v>
      </c>
      <c r="CQ148" t="s">
        <v>459</v>
      </c>
      <c r="CR148">
        <v>2</v>
      </c>
      <c r="CS148">
        <v>1.1869300911854099</v>
      </c>
      <c r="CT148" t="s">
        <v>471</v>
      </c>
      <c r="CU148">
        <v>2</v>
      </c>
      <c r="CV148">
        <v>1.0811232449297901</v>
      </c>
      <c r="CW148" t="s">
        <v>467</v>
      </c>
      <c r="CX148">
        <v>2</v>
      </c>
      <c r="CY148">
        <v>1.12616822429906</v>
      </c>
      <c r="CZ148" t="s">
        <v>460</v>
      </c>
      <c r="DA148">
        <v>3</v>
      </c>
      <c r="DB148">
        <v>0.97633872976338698</v>
      </c>
      <c r="DC148" t="s">
        <v>452</v>
      </c>
      <c r="DD148">
        <v>2</v>
      </c>
      <c r="DE148">
        <v>0.95545977011494199</v>
      </c>
      <c r="DF148" t="s">
        <v>472</v>
      </c>
      <c r="DG148">
        <v>3</v>
      </c>
      <c r="DH148">
        <v>1.10537190082644</v>
      </c>
    </row>
    <row r="149" spans="1:112" x14ac:dyDescent="0.4">
      <c r="A149">
        <v>147</v>
      </c>
      <c r="B149" t="s">
        <v>398</v>
      </c>
      <c r="C149">
        <v>2</v>
      </c>
      <c r="D149">
        <v>0.96020239624570602</v>
      </c>
      <c r="E149" t="s">
        <v>398</v>
      </c>
      <c r="F149">
        <v>2</v>
      </c>
      <c r="G149">
        <v>0.86943344709897596</v>
      </c>
      <c r="H149" t="s">
        <v>366</v>
      </c>
      <c r="I149">
        <v>3</v>
      </c>
      <c r="J149">
        <v>0.666172106824925</v>
      </c>
      <c r="K149" t="s">
        <v>374</v>
      </c>
      <c r="L149">
        <v>2</v>
      </c>
      <c r="M149">
        <v>1.08053691275167</v>
      </c>
      <c r="N149" t="s">
        <v>364</v>
      </c>
      <c r="O149">
        <v>2</v>
      </c>
      <c r="P149">
        <v>1.5502183406113501</v>
      </c>
      <c r="Q149" t="s">
        <v>314</v>
      </c>
      <c r="R149">
        <v>3</v>
      </c>
      <c r="S149">
        <v>1.1053270865868401</v>
      </c>
      <c r="T149" t="s">
        <v>310</v>
      </c>
      <c r="U149">
        <v>2</v>
      </c>
      <c r="V149">
        <v>0.93169398907103795</v>
      </c>
      <c r="W149" t="s">
        <v>397</v>
      </c>
      <c r="X149">
        <v>2</v>
      </c>
      <c r="Y149">
        <v>1.00111482720178</v>
      </c>
      <c r="Z149" t="s">
        <v>397</v>
      </c>
      <c r="AA149">
        <v>2</v>
      </c>
      <c r="AB149">
        <v>1.0133630289532201</v>
      </c>
      <c r="AC149" t="s">
        <v>308</v>
      </c>
      <c r="AD149">
        <v>2</v>
      </c>
      <c r="AE149">
        <v>0.98846153846153795</v>
      </c>
      <c r="AF149" t="s">
        <v>396</v>
      </c>
      <c r="AG149">
        <v>1</v>
      </c>
      <c r="AH149">
        <v>1.11724137931034</v>
      </c>
      <c r="AI149" t="s">
        <v>389</v>
      </c>
      <c r="AJ149">
        <v>2</v>
      </c>
      <c r="AK149">
        <v>0.94098883572567704</v>
      </c>
      <c r="AL149" t="s">
        <v>329</v>
      </c>
      <c r="AM149">
        <v>2</v>
      </c>
      <c r="AN149">
        <v>0.98412698412698396</v>
      </c>
      <c r="AO149" t="s">
        <v>408</v>
      </c>
      <c r="AP149">
        <v>2</v>
      </c>
      <c r="AQ149">
        <v>0.82668711656441696</v>
      </c>
      <c r="AR149" t="s">
        <v>408</v>
      </c>
      <c r="AS149">
        <v>2</v>
      </c>
      <c r="AT149">
        <v>0.93135435992578797</v>
      </c>
      <c r="AU149" t="s">
        <v>418</v>
      </c>
      <c r="AV149">
        <v>2</v>
      </c>
      <c r="AW149">
        <v>0.99605522682445702</v>
      </c>
      <c r="AX149" t="s">
        <v>408</v>
      </c>
      <c r="AY149">
        <v>2</v>
      </c>
      <c r="AZ149">
        <v>0.75691056910569099</v>
      </c>
      <c r="BA149" t="s">
        <v>428</v>
      </c>
      <c r="BB149">
        <v>3</v>
      </c>
      <c r="BC149">
        <v>0.98059244126659795</v>
      </c>
      <c r="BD149" t="s">
        <v>438</v>
      </c>
      <c r="BE149">
        <v>3</v>
      </c>
      <c r="BF149">
        <v>1.1253298153034299</v>
      </c>
      <c r="BG149" t="s">
        <v>431</v>
      </c>
      <c r="BH149">
        <v>2</v>
      </c>
      <c r="BI149">
        <v>1.1452380952380901</v>
      </c>
      <c r="BJ149" t="s">
        <v>423</v>
      </c>
      <c r="BK149">
        <v>3</v>
      </c>
      <c r="BL149">
        <v>1.62257294154293</v>
      </c>
      <c r="BM149" t="s">
        <v>430</v>
      </c>
      <c r="BN149">
        <v>3</v>
      </c>
      <c r="BO149">
        <v>1.15991237677984</v>
      </c>
      <c r="BP149" t="s">
        <v>455</v>
      </c>
      <c r="BQ149">
        <v>1</v>
      </c>
      <c r="BR149">
        <v>1.13970322113644</v>
      </c>
      <c r="BS149" t="s">
        <v>440</v>
      </c>
      <c r="BT149">
        <v>2</v>
      </c>
      <c r="BU149">
        <v>1.0225641025640999</v>
      </c>
      <c r="BV149" t="s">
        <v>455</v>
      </c>
      <c r="BW149">
        <v>1</v>
      </c>
      <c r="BX149">
        <v>1.0001666944490699</v>
      </c>
      <c r="BY149" t="s">
        <v>436</v>
      </c>
      <c r="BZ149">
        <v>3</v>
      </c>
      <c r="CA149">
        <v>0.854599406528189</v>
      </c>
      <c r="CB149" t="s">
        <v>448</v>
      </c>
      <c r="CC149">
        <v>2</v>
      </c>
      <c r="CD149">
        <v>1.2173913043478199</v>
      </c>
      <c r="CE149" t="s">
        <v>425</v>
      </c>
      <c r="CF149">
        <v>1</v>
      </c>
      <c r="CG149">
        <v>1.04922279792746</v>
      </c>
      <c r="CH149" t="s">
        <v>433</v>
      </c>
      <c r="CI149">
        <v>1</v>
      </c>
      <c r="CJ149">
        <v>0.95881006864988505</v>
      </c>
      <c r="CK149" t="s">
        <v>471</v>
      </c>
      <c r="CL149">
        <v>2</v>
      </c>
      <c r="CM149">
        <v>0.78793103448275803</v>
      </c>
      <c r="CN149" t="s">
        <v>463</v>
      </c>
      <c r="CO149">
        <v>1</v>
      </c>
      <c r="CP149">
        <v>1.08719052744886</v>
      </c>
      <c r="CQ149" t="s">
        <v>460</v>
      </c>
      <c r="CR149">
        <v>3</v>
      </c>
      <c r="CS149">
        <v>0.97563946406820901</v>
      </c>
      <c r="CT149" t="s">
        <v>472</v>
      </c>
      <c r="CU149">
        <v>3</v>
      </c>
      <c r="CV149">
        <v>1.16157760814249</v>
      </c>
      <c r="CW149" t="s">
        <v>471</v>
      </c>
      <c r="CX149">
        <v>3</v>
      </c>
      <c r="CY149">
        <v>1.2886002886002801</v>
      </c>
      <c r="CZ149" t="s">
        <v>473</v>
      </c>
      <c r="DA149">
        <v>3</v>
      </c>
      <c r="DB149">
        <v>0.81285714285714195</v>
      </c>
      <c r="DC149" t="s">
        <v>454</v>
      </c>
      <c r="DD149">
        <v>2</v>
      </c>
      <c r="DE149">
        <v>1.0557377049180301</v>
      </c>
      <c r="DF149" t="s">
        <v>484</v>
      </c>
      <c r="DG149">
        <v>2</v>
      </c>
      <c r="DH149">
        <v>0.90259740259740195</v>
      </c>
    </row>
    <row r="150" spans="1:112" x14ac:dyDescent="0.4">
      <c r="A150">
        <v>148</v>
      </c>
      <c r="B150" t="s">
        <v>377</v>
      </c>
      <c r="C150">
        <v>2</v>
      </c>
      <c r="D150">
        <v>1.0572370146904499</v>
      </c>
      <c r="E150" t="s">
        <v>377</v>
      </c>
      <c r="F150">
        <v>2</v>
      </c>
      <c r="G150">
        <v>0.57999782888513196</v>
      </c>
      <c r="H150" t="s">
        <v>289</v>
      </c>
      <c r="I150">
        <v>2</v>
      </c>
      <c r="J150">
        <v>0.81647058823529395</v>
      </c>
      <c r="K150" t="s">
        <v>375</v>
      </c>
      <c r="L150">
        <v>2</v>
      </c>
      <c r="M150">
        <v>1.49071618037135</v>
      </c>
      <c r="N150" t="s">
        <v>376</v>
      </c>
      <c r="O150">
        <v>2</v>
      </c>
      <c r="P150">
        <v>1.2473118279569799</v>
      </c>
      <c r="Q150" t="s">
        <v>323</v>
      </c>
      <c r="R150">
        <v>2</v>
      </c>
      <c r="S150">
        <v>1.0646950092421399</v>
      </c>
      <c r="T150" t="s">
        <v>450</v>
      </c>
      <c r="U150">
        <v>3</v>
      </c>
      <c r="V150">
        <v>0.85578115819024603</v>
      </c>
      <c r="W150" t="s">
        <v>310</v>
      </c>
      <c r="X150">
        <v>2</v>
      </c>
      <c r="Y150">
        <v>1.15542521994134</v>
      </c>
      <c r="Z150" t="s">
        <v>310</v>
      </c>
      <c r="AA150">
        <v>2</v>
      </c>
      <c r="AB150">
        <v>1.04314720812182</v>
      </c>
      <c r="AC150" t="s">
        <v>396</v>
      </c>
      <c r="AD150">
        <v>1</v>
      </c>
      <c r="AE150">
        <v>1.09022556390977</v>
      </c>
      <c r="AF150" t="s">
        <v>397</v>
      </c>
      <c r="AG150">
        <v>2</v>
      </c>
      <c r="AH150">
        <v>1.15409836065573</v>
      </c>
      <c r="AI150" t="s">
        <v>387</v>
      </c>
      <c r="AJ150">
        <v>2</v>
      </c>
      <c r="AK150">
        <v>1.06845238095238</v>
      </c>
      <c r="AL150" t="s">
        <v>333</v>
      </c>
      <c r="AM150">
        <v>1</v>
      </c>
      <c r="AN150">
        <v>0.96291560102301699</v>
      </c>
      <c r="AO150" t="s">
        <v>416</v>
      </c>
      <c r="AP150">
        <v>1</v>
      </c>
      <c r="AQ150">
        <v>0.86695652173912996</v>
      </c>
      <c r="AR150" t="s">
        <v>416</v>
      </c>
      <c r="AS150">
        <v>1</v>
      </c>
      <c r="AT150">
        <v>1.33400200601805</v>
      </c>
      <c r="AU150" t="s">
        <v>428</v>
      </c>
      <c r="AV150">
        <v>2</v>
      </c>
      <c r="AW150">
        <v>1.0056818181818099</v>
      </c>
      <c r="AX150" t="s">
        <v>416</v>
      </c>
      <c r="AY150">
        <v>1</v>
      </c>
      <c r="AZ150">
        <v>0.85646687697160795</v>
      </c>
      <c r="BA150" t="s">
        <v>343</v>
      </c>
      <c r="BB150">
        <v>1</v>
      </c>
      <c r="BC150">
        <v>1.3784649254478101</v>
      </c>
      <c r="BD150" t="s">
        <v>424</v>
      </c>
      <c r="BE150">
        <v>2</v>
      </c>
      <c r="BF150">
        <v>0.98058550043427095</v>
      </c>
      <c r="BG150" t="s">
        <v>453</v>
      </c>
      <c r="BH150">
        <v>2</v>
      </c>
      <c r="BI150">
        <v>1.4295676429567601</v>
      </c>
      <c r="BJ150" t="s">
        <v>438</v>
      </c>
      <c r="BK150">
        <v>3</v>
      </c>
      <c r="BL150">
        <v>1.47629310344827</v>
      </c>
      <c r="BM150" t="s">
        <v>455</v>
      </c>
      <c r="BN150">
        <v>1</v>
      </c>
      <c r="BO150">
        <v>0.928817547693083</v>
      </c>
      <c r="BP150" t="s">
        <v>433</v>
      </c>
      <c r="BQ150">
        <v>1</v>
      </c>
      <c r="BR150">
        <v>1.0880195599022</v>
      </c>
      <c r="BS150" t="s">
        <v>448</v>
      </c>
      <c r="BT150">
        <v>2</v>
      </c>
      <c r="BU150">
        <v>0.99654576856649302</v>
      </c>
      <c r="BV150" t="s">
        <v>433</v>
      </c>
      <c r="BW150">
        <v>1</v>
      </c>
      <c r="BX150">
        <v>0.99775028121484799</v>
      </c>
      <c r="BY150" t="s">
        <v>440</v>
      </c>
      <c r="BZ150">
        <v>2</v>
      </c>
      <c r="CA150">
        <v>1.5137614678899001</v>
      </c>
      <c r="CB150" t="s">
        <v>452</v>
      </c>
      <c r="CC150">
        <v>2</v>
      </c>
      <c r="CD150">
        <v>0.86635944700460799</v>
      </c>
      <c r="CE150" t="s">
        <v>426</v>
      </c>
      <c r="CF150">
        <v>1</v>
      </c>
      <c r="CG150">
        <v>1.23444976076555</v>
      </c>
      <c r="CH150" t="s">
        <v>440</v>
      </c>
      <c r="CI150">
        <v>2</v>
      </c>
      <c r="CJ150">
        <v>1.25249169435215</v>
      </c>
      <c r="CK150" t="s">
        <v>472</v>
      </c>
      <c r="CL150">
        <v>3</v>
      </c>
      <c r="CM150">
        <v>1.6853035143769901</v>
      </c>
      <c r="CN150" t="s">
        <v>465</v>
      </c>
      <c r="CO150">
        <v>2</v>
      </c>
      <c r="CP150">
        <v>0.95</v>
      </c>
      <c r="CQ150" t="s">
        <v>464</v>
      </c>
      <c r="CR150">
        <v>3</v>
      </c>
      <c r="CS150">
        <v>0.89167767503302497</v>
      </c>
      <c r="CT150" t="s">
        <v>481</v>
      </c>
      <c r="CU150">
        <v>1</v>
      </c>
      <c r="CV150">
        <v>1.2398081534772101</v>
      </c>
      <c r="CW150" t="s">
        <v>472</v>
      </c>
      <c r="CX150">
        <v>3</v>
      </c>
      <c r="CY150">
        <v>1.1336254107338399</v>
      </c>
      <c r="CZ150" t="s">
        <v>463</v>
      </c>
      <c r="DA150">
        <v>1</v>
      </c>
      <c r="DB150">
        <v>1.1012145748987801</v>
      </c>
      <c r="DC150" t="s">
        <v>456</v>
      </c>
      <c r="DD150">
        <v>2</v>
      </c>
      <c r="DE150">
        <v>0.94713656387665202</v>
      </c>
      <c r="DF150" t="s">
        <v>481</v>
      </c>
      <c r="DG150">
        <v>1</v>
      </c>
      <c r="DH150">
        <v>1.1645390070921899</v>
      </c>
    </row>
    <row r="151" spans="1:112" x14ac:dyDescent="0.4">
      <c r="A151">
        <v>149</v>
      </c>
      <c r="B151" t="s">
        <v>375</v>
      </c>
      <c r="C151">
        <v>2</v>
      </c>
      <c r="D151">
        <v>1.07098765432098</v>
      </c>
      <c r="E151" t="s">
        <v>381</v>
      </c>
      <c r="F151">
        <v>2</v>
      </c>
      <c r="G151">
        <v>0.91406070903623304</v>
      </c>
      <c r="H151" t="s">
        <v>375</v>
      </c>
      <c r="I151">
        <v>2</v>
      </c>
      <c r="J151">
        <v>0.749502982107355</v>
      </c>
      <c r="K151" t="s">
        <v>381</v>
      </c>
      <c r="L151">
        <v>2</v>
      </c>
      <c r="M151">
        <v>1.18938053097345</v>
      </c>
      <c r="N151" t="s">
        <v>289</v>
      </c>
      <c r="O151">
        <v>2</v>
      </c>
      <c r="P151">
        <v>1.11776447105788</v>
      </c>
      <c r="Q151" t="s">
        <v>402</v>
      </c>
      <c r="R151">
        <v>1</v>
      </c>
      <c r="S151">
        <v>0.84090668201020502</v>
      </c>
      <c r="T151" t="s">
        <v>314</v>
      </c>
      <c r="U151">
        <v>3</v>
      </c>
      <c r="V151">
        <v>1.3367660910518</v>
      </c>
      <c r="W151" t="s">
        <v>323</v>
      </c>
      <c r="X151">
        <v>2</v>
      </c>
      <c r="Y151">
        <v>0.97037037037036999</v>
      </c>
      <c r="Z151" t="s">
        <v>323</v>
      </c>
      <c r="AA151">
        <v>2</v>
      </c>
      <c r="AB151">
        <v>1.03053435114503</v>
      </c>
      <c r="AC151" t="s">
        <v>397</v>
      </c>
      <c r="AD151">
        <v>2</v>
      </c>
      <c r="AE151">
        <v>1.0054945054944999</v>
      </c>
      <c r="AF151" t="s">
        <v>310</v>
      </c>
      <c r="AG151">
        <v>2</v>
      </c>
      <c r="AH151">
        <v>1.02122015915119</v>
      </c>
      <c r="AI151" t="s">
        <v>386</v>
      </c>
      <c r="AJ151">
        <v>3</v>
      </c>
      <c r="AK151">
        <v>1.19248826291079</v>
      </c>
      <c r="AL151" t="s">
        <v>407</v>
      </c>
      <c r="AM151">
        <v>2</v>
      </c>
      <c r="AN151">
        <v>0.83003492433061699</v>
      </c>
      <c r="AO151" t="s">
        <v>335</v>
      </c>
      <c r="AP151">
        <v>3</v>
      </c>
      <c r="AQ151">
        <v>1.19928825622775</v>
      </c>
      <c r="AR151" t="s">
        <v>335</v>
      </c>
      <c r="AS151">
        <v>3</v>
      </c>
      <c r="AT151">
        <v>1.4480712166172101</v>
      </c>
      <c r="AU151" t="s">
        <v>343</v>
      </c>
      <c r="AV151">
        <v>1</v>
      </c>
      <c r="AW151">
        <v>1.0223207003425501</v>
      </c>
      <c r="AX151" t="s">
        <v>429</v>
      </c>
      <c r="AY151">
        <v>3</v>
      </c>
      <c r="AZ151">
        <v>0.80212340360055301</v>
      </c>
      <c r="BA151" t="s">
        <v>423</v>
      </c>
      <c r="BB151">
        <v>3</v>
      </c>
      <c r="BC151">
        <v>0.88902401945880205</v>
      </c>
      <c r="BD151" t="s">
        <v>431</v>
      </c>
      <c r="BE151">
        <v>2</v>
      </c>
      <c r="BF151">
        <v>0.96551724137931005</v>
      </c>
      <c r="BG151" t="s">
        <v>455</v>
      </c>
      <c r="BH151">
        <v>1</v>
      </c>
      <c r="BI151">
        <v>1.2956659410251301</v>
      </c>
      <c r="BJ151" t="s">
        <v>424</v>
      </c>
      <c r="BK151">
        <v>2</v>
      </c>
      <c r="BL151">
        <v>1.0931981687377299</v>
      </c>
      <c r="BM151" t="s">
        <v>433</v>
      </c>
      <c r="BN151">
        <v>1</v>
      </c>
      <c r="BO151">
        <v>1.0086313193588099</v>
      </c>
      <c r="BP151" t="s">
        <v>440</v>
      </c>
      <c r="BQ151">
        <v>2</v>
      </c>
      <c r="BR151">
        <v>0.98784194528875302</v>
      </c>
      <c r="BS151" t="s">
        <v>446</v>
      </c>
      <c r="BT151">
        <v>3</v>
      </c>
      <c r="BU151">
        <v>1.0188087774294601</v>
      </c>
      <c r="BV151" t="s">
        <v>440</v>
      </c>
      <c r="BW151">
        <v>2</v>
      </c>
      <c r="BX151">
        <v>1.0932798395185499</v>
      </c>
      <c r="BY151" t="s">
        <v>448</v>
      </c>
      <c r="BZ151">
        <v>2</v>
      </c>
      <c r="CA151">
        <v>1.2</v>
      </c>
      <c r="CB151" t="s">
        <v>456</v>
      </c>
      <c r="CC151">
        <v>2</v>
      </c>
      <c r="CD151">
        <v>1.03004291845493</v>
      </c>
      <c r="CE151" t="s">
        <v>433</v>
      </c>
      <c r="CF151">
        <v>1</v>
      </c>
      <c r="CG151">
        <v>0.88104838709677402</v>
      </c>
      <c r="CH151" t="s">
        <v>462</v>
      </c>
      <c r="CI151">
        <v>3</v>
      </c>
      <c r="CJ151">
        <v>1.9020771513353101</v>
      </c>
      <c r="CK151" t="s">
        <v>481</v>
      </c>
      <c r="CL151">
        <v>1</v>
      </c>
      <c r="CM151">
        <v>0.91582491582491499</v>
      </c>
      <c r="CN151" t="s">
        <v>467</v>
      </c>
      <c r="CO151">
        <v>2</v>
      </c>
      <c r="CP151">
        <v>0.86</v>
      </c>
      <c r="CQ151" t="s">
        <v>463</v>
      </c>
      <c r="CR151">
        <v>1</v>
      </c>
      <c r="CS151">
        <v>1.04950495049504</v>
      </c>
      <c r="CT151" t="s">
        <v>483</v>
      </c>
      <c r="CU151">
        <v>1</v>
      </c>
      <c r="CV151">
        <v>1.04411764705882</v>
      </c>
      <c r="CW151" t="s">
        <v>484</v>
      </c>
      <c r="CX151">
        <v>2</v>
      </c>
      <c r="CY151">
        <v>0.91639871382636595</v>
      </c>
      <c r="CZ151" t="s">
        <v>467</v>
      </c>
      <c r="DA151">
        <v>2</v>
      </c>
      <c r="DB151">
        <v>1.07053941908713</v>
      </c>
      <c r="DC151" t="s">
        <v>460</v>
      </c>
      <c r="DD151">
        <v>3</v>
      </c>
      <c r="DE151">
        <v>1.0114795918367301</v>
      </c>
      <c r="DF151" t="s">
        <v>492</v>
      </c>
      <c r="DG151">
        <v>3</v>
      </c>
      <c r="DH151">
        <v>0.98345153664302598</v>
      </c>
    </row>
    <row r="152" spans="1:112" x14ac:dyDescent="0.4">
      <c r="A152">
        <v>150</v>
      </c>
      <c r="B152" t="s">
        <v>300</v>
      </c>
      <c r="C152">
        <v>1</v>
      </c>
      <c r="D152">
        <v>1.39240506329113</v>
      </c>
      <c r="E152" t="s">
        <v>389</v>
      </c>
      <c r="F152">
        <v>2</v>
      </c>
      <c r="G152">
        <v>0.876595744680851</v>
      </c>
      <c r="H152" t="s">
        <v>389</v>
      </c>
      <c r="I152">
        <v>2</v>
      </c>
      <c r="J152">
        <v>0.67961165048543604</v>
      </c>
      <c r="K152" t="s">
        <v>300</v>
      </c>
      <c r="L152">
        <v>2</v>
      </c>
      <c r="M152">
        <v>0.85749385749385698</v>
      </c>
      <c r="N152" t="s">
        <v>398</v>
      </c>
      <c r="O152">
        <v>2</v>
      </c>
      <c r="P152">
        <v>1.1441581843861099</v>
      </c>
      <c r="Q152" t="s">
        <v>409</v>
      </c>
      <c r="R152">
        <v>3</v>
      </c>
      <c r="S152">
        <v>1.23406720741599</v>
      </c>
      <c r="T152" t="s">
        <v>323</v>
      </c>
      <c r="U152">
        <v>2</v>
      </c>
      <c r="V152">
        <v>0.9375</v>
      </c>
      <c r="W152" t="s">
        <v>402</v>
      </c>
      <c r="X152">
        <v>1</v>
      </c>
      <c r="Y152">
        <v>1.07762623755147</v>
      </c>
      <c r="Z152" t="s">
        <v>409</v>
      </c>
      <c r="AA152">
        <v>3</v>
      </c>
      <c r="AB152">
        <v>1.47565457050987</v>
      </c>
      <c r="AC152" t="s">
        <v>310</v>
      </c>
      <c r="AD152">
        <v>2</v>
      </c>
      <c r="AE152">
        <v>0.91727493917274905</v>
      </c>
      <c r="AF152" t="s">
        <v>323</v>
      </c>
      <c r="AG152">
        <v>2</v>
      </c>
      <c r="AH152">
        <v>1.02150537634408</v>
      </c>
      <c r="AI152" t="s">
        <v>390</v>
      </c>
      <c r="AJ152">
        <v>3</v>
      </c>
      <c r="AK152">
        <v>1.1925970966025601</v>
      </c>
      <c r="AL152" t="s">
        <v>408</v>
      </c>
      <c r="AM152">
        <v>2</v>
      </c>
      <c r="AN152">
        <v>0.83482714468629904</v>
      </c>
      <c r="AO152" t="s">
        <v>429</v>
      </c>
      <c r="AP152">
        <v>3</v>
      </c>
      <c r="AQ152">
        <v>0.92385261797026497</v>
      </c>
      <c r="AR152" t="s">
        <v>418</v>
      </c>
      <c r="AS152">
        <v>2</v>
      </c>
      <c r="AT152">
        <v>0.99803149606299202</v>
      </c>
      <c r="AU152" t="s">
        <v>423</v>
      </c>
      <c r="AV152">
        <v>2</v>
      </c>
      <c r="AW152">
        <v>1.0348932676518801</v>
      </c>
      <c r="AX152" t="s">
        <v>417</v>
      </c>
      <c r="AY152">
        <v>2</v>
      </c>
      <c r="AZ152">
        <v>1.0614754098360599</v>
      </c>
      <c r="BA152" t="s">
        <v>438</v>
      </c>
      <c r="BB152">
        <v>3</v>
      </c>
      <c r="BC152">
        <v>1.1415662650602401</v>
      </c>
      <c r="BD152" t="s">
        <v>451</v>
      </c>
      <c r="BE152">
        <v>3</v>
      </c>
      <c r="BF152">
        <v>1.1322033898305</v>
      </c>
      <c r="BG152" t="s">
        <v>433</v>
      </c>
      <c r="BH152">
        <v>1</v>
      </c>
      <c r="BI152">
        <v>1.23088023088023</v>
      </c>
      <c r="BJ152" t="s">
        <v>455</v>
      </c>
      <c r="BK152">
        <v>1</v>
      </c>
      <c r="BL152">
        <v>0.90873682602718797</v>
      </c>
      <c r="BM152" t="s">
        <v>440</v>
      </c>
      <c r="BN152">
        <v>2</v>
      </c>
      <c r="BO152">
        <v>0.87733333333333297</v>
      </c>
      <c r="BP152" t="s">
        <v>446</v>
      </c>
      <c r="BQ152">
        <v>3</v>
      </c>
      <c r="BR152">
        <v>1.21139240506329</v>
      </c>
      <c r="BS152" t="s">
        <v>457</v>
      </c>
      <c r="BT152">
        <v>1</v>
      </c>
      <c r="BU152">
        <v>0.94587945879458701</v>
      </c>
      <c r="BV152" t="s">
        <v>448</v>
      </c>
      <c r="BW152">
        <v>2</v>
      </c>
      <c r="BX152">
        <v>0.99653379549393395</v>
      </c>
      <c r="BY152" t="s">
        <v>457</v>
      </c>
      <c r="BZ152">
        <v>1</v>
      </c>
      <c r="CA152">
        <v>1.31524547803617</v>
      </c>
      <c r="CB152" t="s">
        <v>464</v>
      </c>
      <c r="CC152">
        <v>3</v>
      </c>
      <c r="CD152">
        <v>0.86529725459213902</v>
      </c>
      <c r="CE152" t="s">
        <v>440</v>
      </c>
      <c r="CF152">
        <v>2</v>
      </c>
      <c r="CG152">
        <v>0.890532544378698</v>
      </c>
      <c r="CH152" t="s">
        <v>441</v>
      </c>
      <c r="CI152">
        <v>1</v>
      </c>
      <c r="CJ152">
        <v>1.0523076923076899</v>
      </c>
      <c r="CK152" t="s">
        <v>483</v>
      </c>
      <c r="CL152">
        <v>1</v>
      </c>
      <c r="CM152">
        <v>0.96363636363636296</v>
      </c>
      <c r="CN152" t="s">
        <v>471</v>
      </c>
      <c r="CO152">
        <v>2</v>
      </c>
      <c r="CP152">
        <v>0.79102844638949599</v>
      </c>
      <c r="CQ152" t="s">
        <v>466</v>
      </c>
      <c r="CR152">
        <v>3</v>
      </c>
      <c r="CS152">
        <v>0.93063583815028905</v>
      </c>
      <c r="CT152" t="s">
        <v>492</v>
      </c>
      <c r="CU152">
        <v>3</v>
      </c>
      <c r="CV152">
        <v>1.13413304252998</v>
      </c>
      <c r="CW152" t="s">
        <v>481</v>
      </c>
      <c r="CX152">
        <v>1</v>
      </c>
      <c r="CY152">
        <v>1.1334622823984499</v>
      </c>
      <c r="CZ152" t="s">
        <v>471</v>
      </c>
      <c r="DA152">
        <v>3</v>
      </c>
      <c r="DB152">
        <v>0.680851063829787</v>
      </c>
      <c r="DC152" t="s">
        <v>473</v>
      </c>
      <c r="DD152">
        <v>3</v>
      </c>
      <c r="DE152">
        <v>1.09314586994727</v>
      </c>
      <c r="DF152" t="s">
        <v>488</v>
      </c>
      <c r="DG152">
        <v>3</v>
      </c>
      <c r="DH152">
        <v>1.0328124999999999</v>
      </c>
    </row>
    <row r="153" spans="1:112" x14ac:dyDescent="0.4">
      <c r="A153">
        <v>151</v>
      </c>
      <c r="B153" t="s">
        <v>389</v>
      </c>
      <c r="C153">
        <v>2</v>
      </c>
      <c r="D153">
        <v>0.91085271317829397</v>
      </c>
      <c r="E153" t="s">
        <v>387</v>
      </c>
      <c r="F153">
        <v>2</v>
      </c>
      <c r="G153">
        <v>0.877470355731225</v>
      </c>
      <c r="H153" t="s">
        <v>387</v>
      </c>
      <c r="I153">
        <v>2</v>
      </c>
      <c r="J153">
        <v>0.65765765765765705</v>
      </c>
      <c r="K153" t="s">
        <v>389</v>
      </c>
      <c r="L153">
        <v>2</v>
      </c>
      <c r="M153">
        <v>0.90595238095238095</v>
      </c>
      <c r="N153" t="s">
        <v>374</v>
      </c>
      <c r="O153">
        <v>2</v>
      </c>
      <c r="P153">
        <v>1.2204968944099299</v>
      </c>
      <c r="Q153" t="s">
        <v>329</v>
      </c>
      <c r="R153">
        <v>2</v>
      </c>
      <c r="S153">
        <v>1.0622710622710601</v>
      </c>
      <c r="T153" t="s">
        <v>402</v>
      </c>
      <c r="U153">
        <v>1</v>
      </c>
      <c r="V153">
        <v>0.98648804379141397</v>
      </c>
      <c r="W153" t="s">
        <v>409</v>
      </c>
      <c r="X153">
        <v>3</v>
      </c>
      <c r="Y153">
        <v>0.95797579757975704</v>
      </c>
      <c r="Z153" t="s">
        <v>329</v>
      </c>
      <c r="AA153">
        <v>2</v>
      </c>
      <c r="AB153">
        <v>0.87615526802218102</v>
      </c>
      <c r="AC153" t="s">
        <v>323</v>
      </c>
      <c r="AD153">
        <v>2</v>
      </c>
      <c r="AE153">
        <v>1.0333333333333301</v>
      </c>
      <c r="AF153" t="s">
        <v>402</v>
      </c>
      <c r="AG153">
        <v>1</v>
      </c>
      <c r="AH153">
        <v>1.0524026309542001</v>
      </c>
      <c r="AI153" t="s">
        <v>308</v>
      </c>
      <c r="AJ153">
        <v>2</v>
      </c>
      <c r="AK153">
        <v>1.0697674418604599</v>
      </c>
      <c r="AL153" t="s">
        <v>416</v>
      </c>
      <c r="AM153">
        <v>1</v>
      </c>
      <c r="AN153">
        <v>1.0141093474426801</v>
      </c>
      <c r="AO153" t="s">
        <v>418</v>
      </c>
      <c r="AP153">
        <v>2</v>
      </c>
      <c r="AQ153">
        <v>1.27</v>
      </c>
      <c r="AR153" t="s">
        <v>420</v>
      </c>
      <c r="AS153">
        <v>1</v>
      </c>
      <c r="AT153">
        <v>1.23684210526315</v>
      </c>
      <c r="AU153" t="s">
        <v>438</v>
      </c>
      <c r="AV153">
        <v>3</v>
      </c>
      <c r="AW153">
        <v>1.1401734104046199</v>
      </c>
      <c r="AX153" t="s">
        <v>418</v>
      </c>
      <c r="AY153">
        <v>2</v>
      </c>
      <c r="AZ153">
        <v>0.963366336633663</v>
      </c>
      <c r="BA153" t="s">
        <v>424</v>
      </c>
      <c r="BB153">
        <v>2</v>
      </c>
      <c r="BC153">
        <v>0.98564810152079696</v>
      </c>
      <c r="BD153" t="s">
        <v>453</v>
      </c>
      <c r="BE153">
        <v>2</v>
      </c>
      <c r="BF153">
        <v>1.15088282504012</v>
      </c>
      <c r="BG153" t="s">
        <v>440</v>
      </c>
      <c r="BH153">
        <v>2</v>
      </c>
      <c r="BI153">
        <v>1.06532663316582</v>
      </c>
      <c r="BJ153" t="s">
        <v>433</v>
      </c>
      <c r="BK153">
        <v>1</v>
      </c>
      <c r="BL153">
        <v>0.950762016412661</v>
      </c>
      <c r="BM153" t="s">
        <v>448</v>
      </c>
      <c r="BN153">
        <v>2</v>
      </c>
      <c r="BO153">
        <v>1.1198501872659099</v>
      </c>
      <c r="BP153" t="s">
        <v>452</v>
      </c>
      <c r="BQ153">
        <v>2</v>
      </c>
      <c r="BR153">
        <v>0.97477064220183396</v>
      </c>
      <c r="BS153" t="s">
        <v>452</v>
      </c>
      <c r="BT153">
        <v>2</v>
      </c>
      <c r="BU153">
        <v>0.81764705882352895</v>
      </c>
      <c r="BV153" t="s">
        <v>446</v>
      </c>
      <c r="BW153">
        <v>3</v>
      </c>
      <c r="BX153">
        <v>1.3538461538461499</v>
      </c>
      <c r="BY153" t="s">
        <v>452</v>
      </c>
      <c r="BZ153">
        <v>2</v>
      </c>
      <c r="CA153">
        <v>0.97894736842105201</v>
      </c>
      <c r="CB153" t="s">
        <v>463</v>
      </c>
      <c r="CC153">
        <v>1</v>
      </c>
      <c r="CD153">
        <v>0.96631823461091704</v>
      </c>
      <c r="CE153" t="s">
        <v>441</v>
      </c>
      <c r="CF153">
        <v>1</v>
      </c>
      <c r="CG153">
        <v>0.84745762711864403</v>
      </c>
      <c r="CH153" t="s">
        <v>446</v>
      </c>
      <c r="CI153">
        <v>3</v>
      </c>
      <c r="CJ153">
        <v>1.04107424960505</v>
      </c>
      <c r="CK153" t="s">
        <v>495</v>
      </c>
      <c r="CL153">
        <v>3</v>
      </c>
      <c r="CM153">
        <v>1.7164461247637</v>
      </c>
      <c r="CN153" t="s">
        <v>472</v>
      </c>
      <c r="CO153">
        <v>3</v>
      </c>
      <c r="CP153">
        <v>0.913744075829383</v>
      </c>
      <c r="CQ153" t="s">
        <v>467</v>
      </c>
      <c r="CR153">
        <v>2</v>
      </c>
      <c r="CS153">
        <v>0.80232558139534804</v>
      </c>
      <c r="CT153" t="s">
        <v>486</v>
      </c>
      <c r="CU153">
        <v>3</v>
      </c>
      <c r="CV153">
        <v>0.990783410138248</v>
      </c>
      <c r="CW153" t="s">
        <v>483</v>
      </c>
      <c r="CX153">
        <v>1</v>
      </c>
      <c r="CY153">
        <v>0.88732394366197098</v>
      </c>
      <c r="CZ153" t="s">
        <v>472</v>
      </c>
      <c r="DA153">
        <v>3</v>
      </c>
      <c r="DB153">
        <v>0.87536231884057902</v>
      </c>
      <c r="DC153" t="s">
        <v>463</v>
      </c>
      <c r="DD153">
        <v>1</v>
      </c>
      <c r="DE153">
        <v>1.0202205882352899</v>
      </c>
      <c r="DF153" t="s">
        <v>493</v>
      </c>
      <c r="DG153">
        <v>2</v>
      </c>
      <c r="DH153">
        <v>1.4170616113743999</v>
      </c>
    </row>
    <row r="154" spans="1:112" x14ac:dyDescent="0.4">
      <c r="A154">
        <v>152</v>
      </c>
      <c r="B154" t="s">
        <v>387</v>
      </c>
      <c r="C154">
        <v>2</v>
      </c>
      <c r="D154">
        <v>1.1605504587155899</v>
      </c>
      <c r="E154" t="s">
        <v>395</v>
      </c>
      <c r="F154">
        <v>1</v>
      </c>
      <c r="G154">
        <v>0.85878962536022996</v>
      </c>
      <c r="H154" t="s">
        <v>390</v>
      </c>
      <c r="I154">
        <v>2</v>
      </c>
      <c r="J154">
        <v>0.391677255400254</v>
      </c>
      <c r="K154" t="s">
        <v>387</v>
      </c>
      <c r="L154">
        <v>2</v>
      </c>
      <c r="M154">
        <v>1.0753424657534201</v>
      </c>
      <c r="N154" t="s">
        <v>375</v>
      </c>
      <c r="O154">
        <v>2</v>
      </c>
      <c r="P154">
        <v>1.6512455516014199</v>
      </c>
      <c r="Q154" t="s">
        <v>333</v>
      </c>
      <c r="R154">
        <v>1</v>
      </c>
      <c r="S154">
        <v>1.1470588235294099</v>
      </c>
      <c r="T154" t="s">
        <v>409</v>
      </c>
      <c r="U154">
        <v>3</v>
      </c>
      <c r="V154">
        <v>1.0669014084507</v>
      </c>
      <c r="W154" t="s">
        <v>329</v>
      </c>
      <c r="X154">
        <v>2</v>
      </c>
      <c r="Y154">
        <v>1.00185185185185</v>
      </c>
      <c r="Z154" t="s">
        <v>408</v>
      </c>
      <c r="AA154">
        <v>2</v>
      </c>
      <c r="AB154">
        <v>0.85373134328358202</v>
      </c>
      <c r="AC154" t="s">
        <v>329</v>
      </c>
      <c r="AD154">
        <v>2</v>
      </c>
      <c r="AE154">
        <v>1.05696202531645</v>
      </c>
      <c r="AF154" t="s">
        <v>409</v>
      </c>
      <c r="AG154">
        <v>2</v>
      </c>
      <c r="AH154">
        <v>1.2866793329111199</v>
      </c>
      <c r="AI154" t="s">
        <v>396</v>
      </c>
      <c r="AJ154">
        <v>1</v>
      </c>
      <c r="AK154">
        <v>1.0432098765432001</v>
      </c>
      <c r="AL154" t="s">
        <v>417</v>
      </c>
      <c r="AM154">
        <v>3</v>
      </c>
      <c r="AN154">
        <v>1.6497890295358599</v>
      </c>
      <c r="AO154" t="s">
        <v>428</v>
      </c>
      <c r="AP154">
        <v>2</v>
      </c>
      <c r="AQ154">
        <v>0.94915254237288105</v>
      </c>
      <c r="AR154" t="s">
        <v>428</v>
      </c>
      <c r="AS154">
        <v>2</v>
      </c>
      <c r="AT154">
        <v>0.94285714285714195</v>
      </c>
      <c r="AU154" t="s">
        <v>424</v>
      </c>
      <c r="AV154">
        <v>1</v>
      </c>
      <c r="AW154">
        <v>1.2018165390651001</v>
      </c>
      <c r="AX154" t="s">
        <v>428</v>
      </c>
      <c r="AY154">
        <v>2</v>
      </c>
      <c r="AZ154">
        <v>0.92184557438794701</v>
      </c>
      <c r="BA154" t="s">
        <v>451</v>
      </c>
      <c r="BB154">
        <v>3</v>
      </c>
      <c r="BC154">
        <v>1.1967545638945201</v>
      </c>
      <c r="BD154" t="s">
        <v>455</v>
      </c>
      <c r="BE154">
        <v>1</v>
      </c>
      <c r="BF154">
        <v>0.93974335131113995</v>
      </c>
      <c r="BG154" t="s">
        <v>447</v>
      </c>
      <c r="BH154">
        <v>3</v>
      </c>
      <c r="BI154">
        <v>0.97830802603036804</v>
      </c>
      <c r="BJ154" t="s">
        <v>440</v>
      </c>
      <c r="BK154">
        <v>2</v>
      </c>
      <c r="BL154">
        <v>1.3266509433962199</v>
      </c>
      <c r="BM154" t="s">
        <v>446</v>
      </c>
      <c r="BN154">
        <v>3</v>
      </c>
      <c r="BO154">
        <v>1.1285714285714199</v>
      </c>
      <c r="BP154" t="s">
        <v>456</v>
      </c>
      <c r="BQ154">
        <v>2</v>
      </c>
      <c r="BR154">
        <v>1.0547195622434999</v>
      </c>
      <c r="BS154" t="s">
        <v>456</v>
      </c>
      <c r="BT154">
        <v>2</v>
      </c>
      <c r="BU154">
        <v>1.14656290531776</v>
      </c>
      <c r="BV154" t="s">
        <v>475</v>
      </c>
      <c r="BW154">
        <v>3</v>
      </c>
      <c r="BX154">
        <v>1.1256038647342901</v>
      </c>
      <c r="BY154" t="s">
        <v>456</v>
      </c>
      <c r="BZ154">
        <v>2</v>
      </c>
      <c r="CA154">
        <v>1.0130434782608599</v>
      </c>
      <c r="CB154" t="s">
        <v>467</v>
      </c>
      <c r="CC154">
        <v>2</v>
      </c>
      <c r="CD154">
        <v>1.0087719298245601</v>
      </c>
      <c r="CE154" t="s">
        <v>452</v>
      </c>
      <c r="CF154">
        <v>2</v>
      </c>
      <c r="CG154">
        <v>0.98581560283687897</v>
      </c>
      <c r="CH154" t="s">
        <v>452</v>
      </c>
      <c r="CI154">
        <v>2</v>
      </c>
      <c r="CJ154">
        <v>1.4334532374100699</v>
      </c>
      <c r="CK154" t="s">
        <v>488</v>
      </c>
      <c r="CL154">
        <v>2</v>
      </c>
      <c r="CM154">
        <v>0.83928571428571397</v>
      </c>
      <c r="CN154" t="s">
        <v>477</v>
      </c>
      <c r="CO154">
        <v>3</v>
      </c>
      <c r="CP154">
        <v>0.88310394052845598</v>
      </c>
      <c r="CQ154" t="s">
        <v>471</v>
      </c>
      <c r="CR154">
        <v>2</v>
      </c>
      <c r="CS154">
        <v>0.88658367911479896</v>
      </c>
      <c r="CT154" t="s">
        <v>488</v>
      </c>
      <c r="CU154">
        <v>2</v>
      </c>
      <c r="CV154">
        <v>1.0354729729729699</v>
      </c>
      <c r="CW154" t="s">
        <v>486</v>
      </c>
      <c r="CX154">
        <v>3</v>
      </c>
      <c r="CY154">
        <v>0.89395348837209299</v>
      </c>
      <c r="CZ154" t="s">
        <v>479</v>
      </c>
      <c r="DA154">
        <v>3</v>
      </c>
      <c r="DB154">
        <v>0.89720670391061397</v>
      </c>
      <c r="DC154" t="s">
        <v>467</v>
      </c>
      <c r="DD154">
        <v>2</v>
      </c>
      <c r="DE154">
        <v>0.81782945736434098</v>
      </c>
      <c r="DF154" t="s">
        <v>491</v>
      </c>
      <c r="DG154">
        <v>1</v>
      </c>
      <c r="DH154">
        <v>1.09385113268608</v>
      </c>
    </row>
    <row r="155" spans="1:112" x14ac:dyDescent="0.4">
      <c r="A155">
        <v>153</v>
      </c>
      <c r="B155" t="s">
        <v>395</v>
      </c>
      <c r="C155">
        <v>1</v>
      </c>
      <c r="D155">
        <v>1.07931570762052</v>
      </c>
      <c r="E155" t="s">
        <v>308</v>
      </c>
      <c r="F155">
        <v>2</v>
      </c>
      <c r="G155">
        <v>0.66890982503364704</v>
      </c>
      <c r="H155" t="s">
        <v>395</v>
      </c>
      <c r="I155">
        <v>1</v>
      </c>
      <c r="J155">
        <v>0.60067114093959695</v>
      </c>
      <c r="K155" t="s">
        <v>395</v>
      </c>
      <c r="L155">
        <v>1</v>
      </c>
      <c r="M155">
        <v>0.92178770949720601</v>
      </c>
      <c r="N155" t="s">
        <v>381</v>
      </c>
      <c r="O155">
        <v>2</v>
      </c>
      <c r="P155">
        <v>1.08932593307593</v>
      </c>
      <c r="Q155" t="s">
        <v>407</v>
      </c>
      <c r="R155">
        <v>2</v>
      </c>
      <c r="S155">
        <v>1.07838983050847</v>
      </c>
      <c r="T155" t="s">
        <v>329</v>
      </c>
      <c r="U155">
        <v>2</v>
      </c>
      <c r="V155">
        <v>0.93103448275862</v>
      </c>
      <c r="W155" t="s">
        <v>333</v>
      </c>
      <c r="X155">
        <v>1</v>
      </c>
      <c r="Y155">
        <v>1.1584415584415499</v>
      </c>
      <c r="Z155" t="s">
        <v>335</v>
      </c>
      <c r="AA155">
        <v>3</v>
      </c>
      <c r="AB155">
        <v>0.80668604651162701</v>
      </c>
      <c r="AC155" t="s">
        <v>407</v>
      </c>
      <c r="AD155">
        <v>2</v>
      </c>
      <c r="AE155">
        <v>1.0526315789473599</v>
      </c>
      <c r="AF155" t="s">
        <v>329</v>
      </c>
      <c r="AG155">
        <v>2</v>
      </c>
      <c r="AH155">
        <v>1.0658682634730501</v>
      </c>
      <c r="AI155" t="s">
        <v>310</v>
      </c>
      <c r="AJ155">
        <v>2</v>
      </c>
      <c r="AK155">
        <v>0.98701298701298701</v>
      </c>
      <c r="AL155" t="s">
        <v>418</v>
      </c>
      <c r="AM155">
        <v>2</v>
      </c>
      <c r="AN155">
        <v>0.986436498150431</v>
      </c>
      <c r="AO155" t="s">
        <v>343</v>
      </c>
      <c r="AP155">
        <v>1</v>
      </c>
      <c r="AQ155">
        <v>0.91924704834038695</v>
      </c>
      <c r="AR155" t="s">
        <v>343</v>
      </c>
      <c r="AS155">
        <v>1</v>
      </c>
      <c r="AT155">
        <v>1.1142008966436401</v>
      </c>
      <c r="AU155" t="s">
        <v>431</v>
      </c>
      <c r="AV155">
        <v>2</v>
      </c>
      <c r="AW155">
        <v>1.06395348837209</v>
      </c>
      <c r="AX155" t="s">
        <v>343</v>
      </c>
      <c r="AY155">
        <v>1</v>
      </c>
      <c r="AZ155">
        <v>1.0630002925298501</v>
      </c>
      <c r="BA155" t="s">
        <v>453</v>
      </c>
      <c r="BB155">
        <v>2</v>
      </c>
      <c r="BC155">
        <v>0.93403298350824504</v>
      </c>
      <c r="BD155" t="s">
        <v>433</v>
      </c>
      <c r="BE155">
        <v>1</v>
      </c>
      <c r="BF155">
        <v>0.98158640226628802</v>
      </c>
      <c r="BG155" t="s">
        <v>462</v>
      </c>
      <c r="BH155">
        <v>3</v>
      </c>
      <c r="BI155">
        <v>1.3035143769968001</v>
      </c>
      <c r="BJ155" t="s">
        <v>447</v>
      </c>
      <c r="BK155">
        <v>3</v>
      </c>
      <c r="BL155">
        <v>1.31263858093126</v>
      </c>
      <c r="BM155" t="s">
        <v>452</v>
      </c>
      <c r="BN155">
        <v>2</v>
      </c>
      <c r="BO155">
        <v>0.979775280898876</v>
      </c>
      <c r="BP155" t="s">
        <v>463</v>
      </c>
      <c r="BQ155">
        <v>1</v>
      </c>
      <c r="BR155">
        <v>0.99823633156966396</v>
      </c>
      <c r="BS155" t="s">
        <v>463</v>
      </c>
      <c r="BT155">
        <v>1</v>
      </c>
      <c r="BU155">
        <v>0.87544169611307399</v>
      </c>
      <c r="BV155" t="s">
        <v>457</v>
      </c>
      <c r="BW155">
        <v>1</v>
      </c>
      <c r="BX155">
        <v>1.00650195058517</v>
      </c>
      <c r="BY155" t="s">
        <v>463</v>
      </c>
      <c r="BZ155">
        <v>1</v>
      </c>
      <c r="CA155">
        <v>0.99307958477508596</v>
      </c>
      <c r="CB155" t="s">
        <v>471</v>
      </c>
      <c r="CC155">
        <v>2</v>
      </c>
      <c r="CD155">
        <v>0.86136071887034604</v>
      </c>
      <c r="CE155" t="s">
        <v>456</v>
      </c>
      <c r="CF155">
        <v>2</v>
      </c>
      <c r="CG155">
        <v>0.95833333333333304</v>
      </c>
      <c r="CH155" t="s">
        <v>454</v>
      </c>
      <c r="CI155">
        <v>2</v>
      </c>
      <c r="CJ155">
        <v>1.48672566371681</v>
      </c>
      <c r="CK155" t="s">
        <v>493</v>
      </c>
      <c r="CL155">
        <v>2</v>
      </c>
      <c r="CM155">
        <v>1.04975922953451</v>
      </c>
      <c r="CN155" t="s">
        <v>479</v>
      </c>
      <c r="CO155">
        <v>2</v>
      </c>
      <c r="CP155">
        <v>1.15816326530612</v>
      </c>
      <c r="CQ155" t="s">
        <v>472</v>
      </c>
      <c r="CR155">
        <v>3</v>
      </c>
      <c r="CS155">
        <v>0.81535269709543501</v>
      </c>
      <c r="CT155" t="s">
        <v>490</v>
      </c>
      <c r="CU155">
        <v>3</v>
      </c>
      <c r="CV155">
        <v>1.0281690140844999</v>
      </c>
      <c r="CW155" t="s">
        <v>488</v>
      </c>
      <c r="CX155">
        <v>3</v>
      </c>
      <c r="CY155">
        <v>1.04567699836867</v>
      </c>
      <c r="CZ155" t="s">
        <v>484</v>
      </c>
      <c r="DA155">
        <v>2</v>
      </c>
      <c r="DB155">
        <v>1.2163742690058399</v>
      </c>
      <c r="DC155" t="s">
        <v>471</v>
      </c>
      <c r="DD155">
        <v>3</v>
      </c>
      <c r="DE155">
        <v>1.0559210526315701</v>
      </c>
      <c r="DF155" t="s">
        <v>494</v>
      </c>
      <c r="DG155">
        <v>2</v>
      </c>
      <c r="DH155">
        <v>1.3412322274881501</v>
      </c>
    </row>
    <row r="156" spans="1:112" x14ac:dyDescent="0.4">
      <c r="A156">
        <v>154</v>
      </c>
      <c r="B156" t="s">
        <v>308</v>
      </c>
      <c r="C156">
        <v>2</v>
      </c>
      <c r="D156">
        <v>0.78458289334741205</v>
      </c>
      <c r="E156" t="s">
        <v>403</v>
      </c>
      <c r="F156">
        <v>3</v>
      </c>
      <c r="G156">
        <v>0.66952380952380897</v>
      </c>
      <c r="H156" t="s">
        <v>308</v>
      </c>
      <c r="I156">
        <v>2</v>
      </c>
      <c r="J156">
        <v>0.76156941649899401</v>
      </c>
      <c r="K156" t="s">
        <v>308</v>
      </c>
      <c r="L156">
        <v>2</v>
      </c>
      <c r="M156">
        <v>1.3949801849405501</v>
      </c>
      <c r="N156" t="s">
        <v>300</v>
      </c>
      <c r="O156">
        <v>2</v>
      </c>
      <c r="P156">
        <v>1.55444126074498</v>
      </c>
      <c r="Q156" t="s">
        <v>408</v>
      </c>
      <c r="R156">
        <v>2</v>
      </c>
      <c r="S156">
        <v>1.1435185185185099</v>
      </c>
      <c r="T156" t="s">
        <v>333</v>
      </c>
      <c r="U156">
        <v>1</v>
      </c>
      <c r="V156">
        <v>0.987179487179487</v>
      </c>
      <c r="W156" t="s">
        <v>407</v>
      </c>
      <c r="X156">
        <v>2</v>
      </c>
      <c r="Y156">
        <v>0.838018741633199</v>
      </c>
      <c r="Z156" t="s">
        <v>417</v>
      </c>
      <c r="AA156">
        <v>3</v>
      </c>
      <c r="AB156">
        <v>1.3902147971360299</v>
      </c>
      <c r="AC156" t="s">
        <v>408</v>
      </c>
      <c r="AD156">
        <v>2</v>
      </c>
      <c r="AE156">
        <v>0.97435897435897401</v>
      </c>
      <c r="AF156" t="s">
        <v>407</v>
      </c>
      <c r="AG156">
        <v>2</v>
      </c>
      <c r="AH156">
        <v>1.3742857142857099</v>
      </c>
      <c r="AI156" t="s">
        <v>323</v>
      </c>
      <c r="AJ156">
        <v>2</v>
      </c>
      <c r="AK156">
        <v>0.98596491228070104</v>
      </c>
      <c r="AL156" t="s">
        <v>428</v>
      </c>
      <c r="AM156">
        <v>3</v>
      </c>
      <c r="AN156">
        <v>0.95469255663430397</v>
      </c>
      <c r="AO156" t="s">
        <v>423</v>
      </c>
      <c r="AP156">
        <v>2</v>
      </c>
      <c r="AQ156">
        <v>0.95965552021103195</v>
      </c>
      <c r="AR156" t="s">
        <v>423</v>
      </c>
      <c r="AS156">
        <v>2</v>
      </c>
      <c r="AT156">
        <v>0.98471986417656998</v>
      </c>
      <c r="AU156" t="s">
        <v>453</v>
      </c>
      <c r="AV156">
        <v>3</v>
      </c>
      <c r="AW156">
        <v>0.90142857142857102</v>
      </c>
      <c r="AX156" t="s">
        <v>423</v>
      </c>
      <c r="AY156">
        <v>2</v>
      </c>
      <c r="AZ156">
        <v>0.78278460928203097</v>
      </c>
      <c r="BA156" t="s">
        <v>455</v>
      </c>
      <c r="BB156">
        <v>1</v>
      </c>
      <c r="BC156">
        <v>0.98183146169999003</v>
      </c>
      <c r="BD156" t="s">
        <v>440</v>
      </c>
      <c r="BE156">
        <v>2</v>
      </c>
      <c r="BF156">
        <v>0.85961123110151105</v>
      </c>
      <c r="BG156" t="s">
        <v>448</v>
      </c>
      <c r="BH156">
        <v>2</v>
      </c>
      <c r="BI156">
        <v>1.02813852813852</v>
      </c>
      <c r="BJ156" t="s">
        <v>448</v>
      </c>
      <c r="BK156">
        <v>2</v>
      </c>
      <c r="BL156">
        <v>1.12421052631578</v>
      </c>
      <c r="BM156" t="s">
        <v>474</v>
      </c>
      <c r="BN156">
        <v>2</v>
      </c>
      <c r="BO156">
        <v>1.6096797175944</v>
      </c>
      <c r="BP156" t="s">
        <v>478</v>
      </c>
      <c r="BQ156">
        <v>3</v>
      </c>
      <c r="BR156">
        <v>1.2858851674641101</v>
      </c>
      <c r="BS156" t="s">
        <v>467</v>
      </c>
      <c r="BT156">
        <v>2</v>
      </c>
      <c r="BU156">
        <v>0.89777777777777701</v>
      </c>
      <c r="BV156" t="s">
        <v>452</v>
      </c>
      <c r="BW156">
        <v>2</v>
      </c>
      <c r="BX156">
        <v>0.95683453237409999</v>
      </c>
      <c r="BY156" t="s">
        <v>467</v>
      </c>
      <c r="BZ156">
        <v>2</v>
      </c>
      <c r="CA156">
        <v>1.1343283582089501</v>
      </c>
      <c r="CB156" t="s">
        <v>472</v>
      </c>
      <c r="CC156">
        <v>3</v>
      </c>
      <c r="CD156">
        <v>0.95192307692307598</v>
      </c>
      <c r="CE156" t="s">
        <v>464</v>
      </c>
      <c r="CF156">
        <v>3</v>
      </c>
      <c r="CG156">
        <v>1.3056379821958399</v>
      </c>
      <c r="CH156" t="s">
        <v>456</v>
      </c>
      <c r="CI156">
        <v>2</v>
      </c>
      <c r="CJ156">
        <v>1.11304347826086</v>
      </c>
      <c r="CK156" t="s">
        <v>491</v>
      </c>
      <c r="CL156">
        <v>1</v>
      </c>
      <c r="CM156">
        <v>0.88800000000000001</v>
      </c>
      <c r="CN156" t="s">
        <v>481</v>
      </c>
      <c r="CO156">
        <v>1</v>
      </c>
      <c r="CP156">
        <v>0.9375</v>
      </c>
      <c r="CQ156" t="s">
        <v>481</v>
      </c>
      <c r="CR156">
        <v>1</v>
      </c>
      <c r="CS156">
        <v>0.81764705882352895</v>
      </c>
      <c r="CT156" t="s">
        <v>493</v>
      </c>
      <c r="CU156">
        <v>2</v>
      </c>
      <c r="CV156">
        <v>0.95808383233532901</v>
      </c>
      <c r="CW156" t="s">
        <v>490</v>
      </c>
      <c r="CX156">
        <v>3</v>
      </c>
      <c r="CY156">
        <v>0.931506849315068</v>
      </c>
      <c r="CZ156" t="s">
        <v>481</v>
      </c>
      <c r="DA156">
        <v>1</v>
      </c>
      <c r="DB156">
        <v>1.09726962457337</v>
      </c>
      <c r="DC156" t="s">
        <v>472</v>
      </c>
      <c r="DD156">
        <v>3</v>
      </c>
      <c r="DE156">
        <v>1.0684326710816701</v>
      </c>
      <c r="DF156" t="s">
        <v>497</v>
      </c>
      <c r="DG156">
        <v>3</v>
      </c>
      <c r="DH156">
        <v>1.0366412213740399</v>
      </c>
    </row>
    <row r="157" spans="1:112" x14ac:dyDescent="0.4">
      <c r="A157">
        <v>155</v>
      </c>
      <c r="B157" t="s">
        <v>396</v>
      </c>
      <c r="C157">
        <v>1</v>
      </c>
      <c r="D157">
        <v>1.20846905537459</v>
      </c>
      <c r="E157" t="s">
        <v>396</v>
      </c>
      <c r="F157">
        <v>1</v>
      </c>
      <c r="G157">
        <v>0.84097035040431201</v>
      </c>
      <c r="H157" t="s">
        <v>396</v>
      </c>
      <c r="I157">
        <v>1</v>
      </c>
      <c r="J157">
        <v>0.44551282051281998</v>
      </c>
      <c r="K157" t="s">
        <v>396</v>
      </c>
      <c r="L157">
        <v>1</v>
      </c>
      <c r="M157">
        <v>0.85467625899280497</v>
      </c>
      <c r="N157" t="s">
        <v>389</v>
      </c>
      <c r="O157">
        <v>2</v>
      </c>
      <c r="P157">
        <v>1.5400788436268</v>
      </c>
      <c r="Q157" t="s">
        <v>416</v>
      </c>
      <c r="R157">
        <v>1</v>
      </c>
      <c r="S157">
        <v>0.92198581560283599</v>
      </c>
      <c r="T157" t="s">
        <v>407</v>
      </c>
      <c r="U157">
        <v>2</v>
      </c>
      <c r="V157">
        <v>0.73379174852652196</v>
      </c>
      <c r="W157" t="s">
        <v>408</v>
      </c>
      <c r="X157">
        <v>2</v>
      </c>
      <c r="Y157">
        <v>1.0360824742268</v>
      </c>
      <c r="Z157" t="s">
        <v>428</v>
      </c>
      <c r="AA157">
        <v>2</v>
      </c>
      <c r="AB157">
        <v>1.1990798088833801</v>
      </c>
      <c r="AC157" t="s">
        <v>416</v>
      </c>
      <c r="AD157">
        <v>1</v>
      </c>
      <c r="AE157">
        <v>0.963963963963964</v>
      </c>
      <c r="AF157" t="s">
        <v>408</v>
      </c>
      <c r="AG157">
        <v>2</v>
      </c>
      <c r="AH157">
        <v>0.97846889952153104</v>
      </c>
      <c r="AI157" t="s">
        <v>410</v>
      </c>
      <c r="AJ157">
        <v>3</v>
      </c>
      <c r="AK157">
        <v>0.99459459459459398</v>
      </c>
      <c r="AL157" t="s">
        <v>435</v>
      </c>
      <c r="AM157">
        <v>3</v>
      </c>
      <c r="AN157">
        <v>0.86991869918699105</v>
      </c>
      <c r="AO157" t="s">
        <v>438</v>
      </c>
      <c r="AP157">
        <v>3</v>
      </c>
      <c r="AQ157">
        <v>0.86282722513089005</v>
      </c>
      <c r="AR157" t="s">
        <v>438</v>
      </c>
      <c r="AS157">
        <v>3</v>
      </c>
      <c r="AT157">
        <v>0.83980582524271796</v>
      </c>
      <c r="AU157" t="s">
        <v>455</v>
      </c>
      <c r="AV157">
        <v>1</v>
      </c>
      <c r="AW157">
        <v>1.2550936406668001</v>
      </c>
      <c r="AX157" t="s">
        <v>438</v>
      </c>
      <c r="AY157">
        <v>3</v>
      </c>
      <c r="AZ157">
        <v>0.84157160963244604</v>
      </c>
      <c r="BA157" t="s">
        <v>433</v>
      </c>
      <c r="BB157">
        <v>1</v>
      </c>
      <c r="BC157">
        <v>0.93017127799736499</v>
      </c>
      <c r="BD157" t="s">
        <v>445</v>
      </c>
      <c r="BE157">
        <v>2</v>
      </c>
      <c r="BF157">
        <v>0.92083333333333295</v>
      </c>
      <c r="BG157" t="s">
        <v>469</v>
      </c>
      <c r="BH157">
        <v>2</v>
      </c>
      <c r="BI157">
        <v>0.96376811594202805</v>
      </c>
      <c r="BJ157" t="s">
        <v>446</v>
      </c>
      <c r="BK157">
        <v>3</v>
      </c>
      <c r="BL157">
        <v>1.14754098360655</v>
      </c>
      <c r="BM157" t="s">
        <v>456</v>
      </c>
      <c r="BN157">
        <v>2</v>
      </c>
      <c r="BO157">
        <v>0.98517520215633403</v>
      </c>
      <c r="BP157" t="s">
        <v>467</v>
      </c>
      <c r="BQ157">
        <v>2</v>
      </c>
      <c r="BR157">
        <v>1.0465116279069699</v>
      </c>
      <c r="BS157" t="s">
        <v>472</v>
      </c>
      <c r="BT157">
        <v>3</v>
      </c>
      <c r="BU157">
        <v>1.1552287581699301</v>
      </c>
      <c r="BV157" t="s">
        <v>456</v>
      </c>
      <c r="BW157">
        <v>2</v>
      </c>
      <c r="BX157">
        <v>1.3009049773755601</v>
      </c>
      <c r="BY157" t="s">
        <v>472</v>
      </c>
      <c r="BZ157">
        <v>3</v>
      </c>
      <c r="CA157">
        <v>0.96</v>
      </c>
      <c r="CB157" t="s">
        <v>481</v>
      </c>
      <c r="CC157">
        <v>1</v>
      </c>
      <c r="CD157">
        <v>0.79435957696827197</v>
      </c>
      <c r="CE157" t="s">
        <v>463</v>
      </c>
      <c r="CF157">
        <v>1</v>
      </c>
      <c r="CG157">
        <v>1.06370192307692</v>
      </c>
      <c r="CH157" t="s">
        <v>463</v>
      </c>
      <c r="CI157">
        <v>1</v>
      </c>
      <c r="CJ157">
        <v>1.1209039548022599</v>
      </c>
      <c r="CK157" t="s">
        <v>494</v>
      </c>
      <c r="CL157">
        <v>2</v>
      </c>
      <c r="CM157">
        <v>0.72282608695652095</v>
      </c>
      <c r="CN157" t="s">
        <v>483</v>
      </c>
      <c r="CO157">
        <v>1</v>
      </c>
      <c r="CP157">
        <v>0.961006289308176</v>
      </c>
      <c r="CQ157" t="s">
        <v>483</v>
      </c>
      <c r="CR157">
        <v>1</v>
      </c>
      <c r="CS157">
        <v>0.80104712041884796</v>
      </c>
      <c r="CT157" t="s">
        <v>491</v>
      </c>
      <c r="CU157">
        <v>1</v>
      </c>
      <c r="CV157">
        <v>1.1275862068965501</v>
      </c>
      <c r="CW157" t="s">
        <v>493</v>
      </c>
      <c r="CX157">
        <v>2</v>
      </c>
      <c r="CY157">
        <v>0.90833333333333299</v>
      </c>
      <c r="CZ157" t="s">
        <v>483</v>
      </c>
      <c r="DA157">
        <v>1</v>
      </c>
      <c r="DB157">
        <v>1.17460317460317</v>
      </c>
      <c r="DC157" t="s">
        <v>484</v>
      </c>
      <c r="DD157">
        <v>2</v>
      </c>
      <c r="DE157">
        <v>1.18461538461538</v>
      </c>
      <c r="DF157" t="s">
        <v>500</v>
      </c>
      <c r="DG157">
        <v>2</v>
      </c>
      <c r="DH157">
        <v>1.1455223880597001</v>
      </c>
    </row>
    <row r="158" spans="1:112" x14ac:dyDescent="0.4">
      <c r="A158">
        <v>156</v>
      </c>
      <c r="B158" t="s">
        <v>397</v>
      </c>
      <c r="C158">
        <v>2</v>
      </c>
      <c r="D158">
        <v>1.0091330346670699</v>
      </c>
      <c r="E158" t="s">
        <v>461</v>
      </c>
      <c r="F158">
        <v>3</v>
      </c>
      <c r="G158">
        <v>0.79021756391932596</v>
      </c>
      <c r="H158" t="s">
        <v>310</v>
      </c>
      <c r="I158">
        <v>2</v>
      </c>
      <c r="J158">
        <v>0.679640718562874</v>
      </c>
      <c r="K158" t="s">
        <v>397</v>
      </c>
      <c r="L158">
        <v>2</v>
      </c>
      <c r="M158">
        <v>0.85423391435334595</v>
      </c>
      <c r="N158" t="s">
        <v>387</v>
      </c>
      <c r="O158">
        <v>2</v>
      </c>
      <c r="P158">
        <v>1.18089171974522</v>
      </c>
      <c r="Q158" t="s">
        <v>335</v>
      </c>
      <c r="R158">
        <v>3</v>
      </c>
      <c r="S158">
        <v>1.1428571428571399</v>
      </c>
      <c r="T158" t="s">
        <v>408</v>
      </c>
      <c r="U158">
        <v>2</v>
      </c>
      <c r="V158">
        <v>0.78542510121457398</v>
      </c>
      <c r="W158" t="s">
        <v>416</v>
      </c>
      <c r="X158">
        <v>1</v>
      </c>
      <c r="Y158">
        <v>0.94390243902438997</v>
      </c>
      <c r="Z158" t="s">
        <v>435</v>
      </c>
      <c r="AA158">
        <v>3</v>
      </c>
      <c r="AB158">
        <v>1.0237288135593201</v>
      </c>
      <c r="AC158" t="s">
        <v>417</v>
      </c>
      <c r="AD158">
        <v>3</v>
      </c>
      <c r="AE158">
        <v>1.02145922746781</v>
      </c>
      <c r="AF158" t="s">
        <v>416</v>
      </c>
      <c r="AG158">
        <v>1</v>
      </c>
      <c r="AH158">
        <v>0.94926568758344398</v>
      </c>
      <c r="AI158" t="s">
        <v>329</v>
      </c>
      <c r="AJ158">
        <v>2</v>
      </c>
      <c r="AK158">
        <v>0.94382022471910099</v>
      </c>
      <c r="AL158" t="s">
        <v>343</v>
      </c>
      <c r="AM158">
        <v>1</v>
      </c>
      <c r="AN158">
        <v>1.00814103643815</v>
      </c>
      <c r="AO158" t="s">
        <v>424</v>
      </c>
      <c r="AP158">
        <v>1</v>
      </c>
      <c r="AQ158">
        <v>0.99879602299207704</v>
      </c>
      <c r="AR158" t="s">
        <v>424</v>
      </c>
      <c r="AS158">
        <v>1</v>
      </c>
      <c r="AT158">
        <v>0.81770813080841398</v>
      </c>
      <c r="AU158" t="s">
        <v>433</v>
      </c>
      <c r="AV158">
        <v>1</v>
      </c>
      <c r="AW158">
        <v>1.0573870573870501</v>
      </c>
      <c r="AX158" t="s">
        <v>424</v>
      </c>
      <c r="AY158">
        <v>1</v>
      </c>
      <c r="AZ158">
        <v>0.78573972223321298</v>
      </c>
      <c r="BA158" t="s">
        <v>440</v>
      </c>
      <c r="BB158">
        <v>2</v>
      </c>
      <c r="BC158">
        <v>0.91683168316831598</v>
      </c>
      <c r="BD158" t="s">
        <v>448</v>
      </c>
      <c r="BE158">
        <v>2</v>
      </c>
      <c r="BF158">
        <v>1.1725888324872999</v>
      </c>
      <c r="BG158" t="s">
        <v>446</v>
      </c>
      <c r="BH158">
        <v>3</v>
      </c>
      <c r="BI158">
        <v>1.2224448897795499</v>
      </c>
      <c r="BJ158" t="s">
        <v>452</v>
      </c>
      <c r="BK158">
        <v>2</v>
      </c>
      <c r="BL158">
        <v>1.04705882352941</v>
      </c>
      <c r="BM158" t="s">
        <v>468</v>
      </c>
      <c r="BN158">
        <v>2</v>
      </c>
      <c r="BO158">
        <v>1.34729796727813</v>
      </c>
      <c r="BP158" t="s">
        <v>471</v>
      </c>
      <c r="BQ158">
        <v>2</v>
      </c>
      <c r="BR158">
        <v>1.19</v>
      </c>
      <c r="BS158" t="s">
        <v>485</v>
      </c>
      <c r="BT158">
        <v>2</v>
      </c>
      <c r="BU158">
        <v>1.12025316455696</v>
      </c>
      <c r="BV158" t="s">
        <v>463</v>
      </c>
      <c r="BW158">
        <v>1</v>
      </c>
      <c r="BX158">
        <v>0.87487386478304696</v>
      </c>
      <c r="BY158" t="s">
        <v>481</v>
      </c>
      <c r="BZ158">
        <v>1</v>
      </c>
      <c r="CA158">
        <v>1.14844804318488</v>
      </c>
      <c r="CB158" t="s">
        <v>483</v>
      </c>
      <c r="CC158">
        <v>1</v>
      </c>
      <c r="CD158">
        <v>1.20977011494252</v>
      </c>
      <c r="CE158" t="s">
        <v>467</v>
      </c>
      <c r="CF158">
        <v>2</v>
      </c>
      <c r="CG158">
        <v>1.03478260869565</v>
      </c>
      <c r="CH158" t="s">
        <v>467</v>
      </c>
      <c r="CI158">
        <v>2</v>
      </c>
      <c r="CJ158">
        <v>1.21428571428571</v>
      </c>
      <c r="CK158" t="s">
        <v>498</v>
      </c>
      <c r="CL158">
        <v>3</v>
      </c>
      <c r="CM158">
        <v>0.89591836734693797</v>
      </c>
      <c r="CN158" t="s">
        <v>488</v>
      </c>
      <c r="CO158">
        <v>2</v>
      </c>
      <c r="CP158">
        <v>0.93758865248226897</v>
      </c>
      <c r="CQ158" t="s">
        <v>492</v>
      </c>
      <c r="CR158">
        <v>3</v>
      </c>
      <c r="CS158">
        <v>0.92253521126760496</v>
      </c>
      <c r="CT158" t="s">
        <v>494</v>
      </c>
      <c r="CU158">
        <v>2</v>
      </c>
      <c r="CV158">
        <v>1.20684292379471</v>
      </c>
      <c r="CW158" t="s">
        <v>491</v>
      </c>
      <c r="CX158">
        <v>1</v>
      </c>
      <c r="CY158">
        <v>0.88990825688073305</v>
      </c>
      <c r="CZ158" t="s">
        <v>492</v>
      </c>
      <c r="DA158">
        <v>3</v>
      </c>
      <c r="DB158">
        <v>0.88228941684665196</v>
      </c>
      <c r="DC158" t="s">
        <v>481</v>
      </c>
      <c r="DD158">
        <v>1</v>
      </c>
      <c r="DE158">
        <v>1.0964230171072999</v>
      </c>
      <c r="DF158" t="s">
        <v>505</v>
      </c>
      <c r="DG158">
        <v>3</v>
      </c>
      <c r="DH158">
        <v>0.94462540716612298</v>
      </c>
    </row>
    <row r="159" spans="1:112" x14ac:dyDescent="0.4">
      <c r="A159">
        <v>157</v>
      </c>
      <c r="B159" t="s">
        <v>310</v>
      </c>
      <c r="C159">
        <v>2</v>
      </c>
      <c r="D159">
        <v>1.125</v>
      </c>
      <c r="E159" t="s">
        <v>310</v>
      </c>
      <c r="F159">
        <v>2</v>
      </c>
      <c r="G159">
        <v>0.70020964360587001</v>
      </c>
      <c r="H159" t="s">
        <v>450</v>
      </c>
      <c r="I159">
        <v>2</v>
      </c>
      <c r="J159">
        <v>0.73347591404419998</v>
      </c>
      <c r="K159" t="s">
        <v>310</v>
      </c>
      <c r="L159">
        <v>2</v>
      </c>
      <c r="M159">
        <v>1.3215859030837001</v>
      </c>
      <c r="N159" t="s">
        <v>395</v>
      </c>
      <c r="O159">
        <v>1</v>
      </c>
      <c r="P159">
        <v>1.4545454545454499</v>
      </c>
      <c r="Q159" t="s">
        <v>417</v>
      </c>
      <c r="R159">
        <v>3</v>
      </c>
      <c r="S159">
        <v>1.0889292196007201</v>
      </c>
      <c r="T159" t="s">
        <v>416</v>
      </c>
      <c r="U159">
        <v>1</v>
      </c>
      <c r="V159">
        <v>1.05128205128205</v>
      </c>
      <c r="W159" t="s">
        <v>335</v>
      </c>
      <c r="X159">
        <v>3</v>
      </c>
      <c r="Y159">
        <v>1.0284005979073201</v>
      </c>
      <c r="Z159" t="s">
        <v>343</v>
      </c>
      <c r="AA159">
        <v>1</v>
      </c>
      <c r="AB159">
        <v>0.84226190476190399</v>
      </c>
      <c r="AC159" t="s">
        <v>418</v>
      </c>
      <c r="AD159">
        <v>2</v>
      </c>
      <c r="AE159">
        <v>0.94113697403759999</v>
      </c>
      <c r="AF159" t="s">
        <v>335</v>
      </c>
      <c r="AG159">
        <v>3</v>
      </c>
      <c r="AH159">
        <v>0.93048973143759794</v>
      </c>
      <c r="AI159" t="s">
        <v>407</v>
      </c>
      <c r="AJ159">
        <v>2</v>
      </c>
      <c r="AK159">
        <v>0.89293139293139201</v>
      </c>
      <c r="AL159" t="s">
        <v>423</v>
      </c>
      <c r="AM159">
        <v>2</v>
      </c>
      <c r="AN159">
        <v>0.95459931861946301</v>
      </c>
      <c r="AO159" t="s">
        <v>431</v>
      </c>
      <c r="AP159">
        <v>2</v>
      </c>
      <c r="AQ159">
        <v>0.97105263157894695</v>
      </c>
      <c r="AR159" t="s">
        <v>451</v>
      </c>
      <c r="AS159">
        <v>2</v>
      </c>
      <c r="AT159">
        <v>1.09225700164744</v>
      </c>
      <c r="AU159" t="s">
        <v>436</v>
      </c>
      <c r="AV159">
        <v>3</v>
      </c>
      <c r="AW159">
        <v>1.2067988668555201</v>
      </c>
      <c r="AX159" t="s">
        <v>431</v>
      </c>
      <c r="AY159">
        <v>2</v>
      </c>
      <c r="AZ159">
        <v>1.19125683060109</v>
      </c>
      <c r="BA159" t="s">
        <v>448</v>
      </c>
      <c r="BB159">
        <v>2</v>
      </c>
      <c r="BC159">
        <v>0.95631067961164995</v>
      </c>
      <c r="BD159" t="s">
        <v>469</v>
      </c>
      <c r="BE159">
        <v>2</v>
      </c>
      <c r="BF159">
        <v>0.72478991596638598</v>
      </c>
      <c r="BG159" t="s">
        <v>457</v>
      </c>
      <c r="BH159">
        <v>1</v>
      </c>
      <c r="BI159">
        <v>1.1702668360863999</v>
      </c>
      <c r="BJ159" t="s">
        <v>456</v>
      </c>
      <c r="BK159">
        <v>2</v>
      </c>
      <c r="BL159">
        <v>1.1415384615384601</v>
      </c>
      <c r="BM159" t="s">
        <v>463</v>
      </c>
      <c r="BN159">
        <v>1</v>
      </c>
      <c r="BO159">
        <v>1.0216216216216201</v>
      </c>
      <c r="BP159" t="s">
        <v>472</v>
      </c>
      <c r="BQ159">
        <v>3</v>
      </c>
      <c r="BR159">
        <v>0.88439306358381498</v>
      </c>
      <c r="BS159" t="s">
        <v>481</v>
      </c>
      <c r="BT159">
        <v>1</v>
      </c>
      <c r="BU159">
        <v>1.05037783375314</v>
      </c>
      <c r="BV159" t="s">
        <v>467</v>
      </c>
      <c r="BW159">
        <v>2</v>
      </c>
      <c r="BX159">
        <v>0.99504950495049505</v>
      </c>
      <c r="BY159" t="s">
        <v>483</v>
      </c>
      <c r="BZ159">
        <v>1</v>
      </c>
      <c r="CA159">
        <v>1.07407407407407</v>
      </c>
      <c r="CB159" t="s">
        <v>486</v>
      </c>
      <c r="CC159">
        <v>3</v>
      </c>
      <c r="CD159">
        <v>0.99454297407912595</v>
      </c>
      <c r="CE159" t="s">
        <v>471</v>
      </c>
      <c r="CF159">
        <v>2</v>
      </c>
      <c r="CG159">
        <v>1.1251862891207101</v>
      </c>
      <c r="CH159" t="s">
        <v>471</v>
      </c>
      <c r="CI159">
        <v>2</v>
      </c>
      <c r="CJ159">
        <v>0.76821192052980103</v>
      </c>
      <c r="CK159" t="s">
        <v>499</v>
      </c>
      <c r="CL159">
        <v>2</v>
      </c>
      <c r="CM159">
        <v>0.78559999999999997</v>
      </c>
      <c r="CN159" t="s">
        <v>491</v>
      </c>
      <c r="CO159">
        <v>1</v>
      </c>
      <c r="CP159">
        <v>1.27627627627627</v>
      </c>
      <c r="CQ159" t="s">
        <v>486</v>
      </c>
      <c r="CR159">
        <v>3</v>
      </c>
      <c r="CS159">
        <v>1.06372549019607</v>
      </c>
      <c r="CT159" t="s">
        <v>496</v>
      </c>
      <c r="CU159">
        <v>3</v>
      </c>
      <c r="CV159">
        <v>1.1613958560523401</v>
      </c>
      <c r="CW159" t="s">
        <v>494</v>
      </c>
      <c r="CX159">
        <v>2</v>
      </c>
      <c r="CY159">
        <v>1.1005154639175201</v>
      </c>
      <c r="CZ159" t="s">
        <v>486</v>
      </c>
      <c r="DA159">
        <v>3</v>
      </c>
      <c r="DB159">
        <v>0.91155046826222597</v>
      </c>
      <c r="DC159" t="s">
        <v>483</v>
      </c>
      <c r="DD159">
        <v>1</v>
      </c>
      <c r="DE159">
        <v>0.97747747747747704</v>
      </c>
      <c r="DF159" t="s">
        <v>499</v>
      </c>
      <c r="DG159">
        <v>2</v>
      </c>
      <c r="DH159">
        <v>1.0109890109890101</v>
      </c>
    </row>
    <row r="160" spans="1:112" x14ac:dyDescent="0.4">
      <c r="A160">
        <v>158</v>
      </c>
      <c r="B160" t="s">
        <v>450</v>
      </c>
      <c r="C160">
        <v>2</v>
      </c>
      <c r="D160">
        <v>1.09590381088241</v>
      </c>
      <c r="E160" t="s">
        <v>450</v>
      </c>
      <c r="F160">
        <v>2</v>
      </c>
      <c r="G160">
        <v>0.73036298720618797</v>
      </c>
      <c r="H160" t="s">
        <v>314</v>
      </c>
      <c r="I160">
        <v>2</v>
      </c>
      <c r="J160">
        <v>0.52567190968777999</v>
      </c>
      <c r="K160" t="s">
        <v>450</v>
      </c>
      <c r="L160">
        <v>2</v>
      </c>
      <c r="M160">
        <v>0.95334629269647297</v>
      </c>
      <c r="N160" t="s">
        <v>308</v>
      </c>
      <c r="O160">
        <v>2</v>
      </c>
      <c r="P160">
        <v>1.55113636363636</v>
      </c>
      <c r="Q160" t="s">
        <v>428</v>
      </c>
      <c r="R160">
        <v>2</v>
      </c>
      <c r="S160">
        <v>0.98986608758595696</v>
      </c>
      <c r="T160" t="s">
        <v>417</v>
      </c>
      <c r="U160">
        <v>3</v>
      </c>
      <c r="V160">
        <v>1.02</v>
      </c>
      <c r="W160" t="s">
        <v>417</v>
      </c>
      <c r="X160">
        <v>3</v>
      </c>
      <c r="Y160">
        <v>1.36928104575163</v>
      </c>
      <c r="Z160" t="s">
        <v>423</v>
      </c>
      <c r="AA160">
        <v>3</v>
      </c>
      <c r="AB160">
        <v>0.85210322195704002</v>
      </c>
      <c r="AC160" t="s">
        <v>435</v>
      </c>
      <c r="AD160">
        <v>3</v>
      </c>
      <c r="AE160">
        <v>0.99834437086092698</v>
      </c>
      <c r="AF160" t="s">
        <v>418</v>
      </c>
      <c r="AG160">
        <v>2</v>
      </c>
      <c r="AH160">
        <v>1.09678953626634</v>
      </c>
      <c r="AI160" t="s">
        <v>408</v>
      </c>
      <c r="AJ160">
        <v>2</v>
      </c>
      <c r="AK160">
        <v>0.95476772616136896</v>
      </c>
      <c r="AL160" t="s">
        <v>431</v>
      </c>
      <c r="AM160">
        <v>2</v>
      </c>
      <c r="AN160">
        <v>1.03825136612021</v>
      </c>
      <c r="AO160" t="s">
        <v>451</v>
      </c>
      <c r="AP160">
        <v>2</v>
      </c>
      <c r="AQ160">
        <v>0.78933680104031201</v>
      </c>
      <c r="AR160" t="s">
        <v>453</v>
      </c>
      <c r="AS160">
        <v>3</v>
      </c>
      <c r="AT160">
        <v>1.03857566765578</v>
      </c>
      <c r="AU160" t="s">
        <v>440</v>
      </c>
      <c r="AV160">
        <v>2</v>
      </c>
      <c r="AW160">
        <v>1.1866666666666601</v>
      </c>
      <c r="AX160" t="s">
        <v>453</v>
      </c>
      <c r="AY160">
        <v>3</v>
      </c>
      <c r="AZ160">
        <v>1.0570522979397701</v>
      </c>
      <c r="BA160" t="s">
        <v>444</v>
      </c>
      <c r="BB160">
        <v>1</v>
      </c>
      <c r="BC160">
        <v>1.06505295007564</v>
      </c>
      <c r="BD160" t="s">
        <v>446</v>
      </c>
      <c r="BE160">
        <v>3</v>
      </c>
      <c r="BF160">
        <v>0.95229007633587703</v>
      </c>
      <c r="BG160" t="s">
        <v>452</v>
      </c>
      <c r="BH160">
        <v>2</v>
      </c>
      <c r="BI160">
        <v>1.04551045510455</v>
      </c>
      <c r="BJ160" t="s">
        <v>460</v>
      </c>
      <c r="BK160">
        <v>3</v>
      </c>
      <c r="BL160">
        <v>1.4238410596026401</v>
      </c>
      <c r="BM160" t="s">
        <v>478</v>
      </c>
      <c r="BN160">
        <v>3</v>
      </c>
      <c r="BO160">
        <v>1.10728476821192</v>
      </c>
      <c r="BP160" t="s">
        <v>485</v>
      </c>
      <c r="BQ160">
        <v>2</v>
      </c>
      <c r="BR160">
        <v>1.07046070460704</v>
      </c>
      <c r="BS160" t="s">
        <v>486</v>
      </c>
      <c r="BT160">
        <v>3</v>
      </c>
      <c r="BU160">
        <v>1.03074141048824</v>
      </c>
      <c r="BV160" t="s">
        <v>471</v>
      </c>
      <c r="BW160">
        <v>2</v>
      </c>
      <c r="BX160">
        <v>1.1072705601907</v>
      </c>
      <c r="BY160" t="s">
        <v>486</v>
      </c>
      <c r="BZ160">
        <v>3</v>
      </c>
      <c r="CA160">
        <v>0.904938271604938</v>
      </c>
      <c r="CB160" t="s">
        <v>488</v>
      </c>
      <c r="CC160">
        <v>3</v>
      </c>
      <c r="CD160">
        <v>1.0082191780821901</v>
      </c>
      <c r="CE160" t="s">
        <v>472</v>
      </c>
      <c r="CF160">
        <v>3</v>
      </c>
      <c r="CG160">
        <v>1.0925925925925899</v>
      </c>
      <c r="CH160" t="s">
        <v>472</v>
      </c>
      <c r="CI160">
        <v>3</v>
      </c>
      <c r="CJ160">
        <v>0.964560862865947</v>
      </c>
      <c r="CK160" t="s">
        <v>501</v>
      </c>
      <c r="CL160">
        <v>2</v>
      </c>
      <c r="CM160">
        <v>0.77138849929873698</v>
      </c>
      <c r="CN160" t="s">
        <v>494</v>
      </c>
      <c r="CO160">
        <v>2</v>
      </c>
      <c r="CP160">
        <v>1.00501253132832</v>
      </c>
      <c r="CQ160" t="s">
        <v>488</v>
      </c>
      <c r="CR160">
        <v>2</v>
      </c>
      <c r="CS160">
        <v>0.89561270801815396</v>
      </c>
      <c r="CT160" t="s">
        <v>498</v>
      </c>
      <c r="CU160">
        <v>3</v>
      </c>
      <c r="CV160">
        <v>1.0278372591006399</v>
      </c>
      <c r="CW160" t="s">
        <v>496</v>
      </c>
      <c r="CX160">
        <v>3</v>
      </c>
      <c r="CY160">
        <v>1.5633802816901401</v>
      </c>
      <c r="CZ160" t="s">
        <v>488</v>
      </c>
      <c r="DA160">
        <v>3</v>
      </c>
      <c r="DB160">
        <v>1.0499219968798701</v>
      </c>
      <c r="DC160" t="s">
        <v>486</v>
      </c>
      <c r="DD160">
        <v>3</v>
      </c>
      <c r="DE160">
        <v>0.98972602739726001</v>
      </c>
      <c r="DF160" t="s">
        <v>502</v>
      </c>
      <c r="DG160">
        <v>2</v>
      </c>
      <c r="DH160">
        <v>1.0146082337317299</v>
      </c>
    </row>
    <row r="161" spans="1:112" x14ac:dyDescent="0.4">
      <c r="A161">
        <v>159</v>
      </c>
      <c r="B161" t="s">
        <v>314</v>
      </c>
      <c r="C161">
        <v>3</v>
      </c>
      <c r="D161">
        <v>1.0498015481043801</v>
      </c>
      <c r="E161" t="s">
        <v>314</v>
      </c>
      <c r="F161">
        <v>2</v>
      </c>
      <c r="G161">
        <v>0.72436445752215395</v>
      </c>
      <c r="H161" t="s">
        <v>323</v>
      </c>
      <c r="I161">
        <v>2</v>
      </c>
      <c r="J161">
        <v>0.77272727272727204</v>
      </c>
      <c r="K161" t="s">
        <v>317</v>
      </c>
      <c r="L161">
        <v>2</v>
      </c>
      <c r="M161">
        <v>1.3958333333333299</v>
      </c>
      <c r="N161" t="s">
        <v>396</v>
      </c>
      <c r="O161">
        <v>1</v>
      </c>
      <c r="P161">
        <v>1.62962962962962</v>
      </c>
      <c r="Q161" t="s">
        <v>421</v>
      </c>
      <c r="R161">
        <v>3</v>
      </c>
      <c r="S161">
        <v>0.99598393574297095</v>
      </c>
      <c r="T161" t="s">
        <v>428</v>
      </c>
      <c r="U161">
        <v>2</v>
      </c>
      <c r="V161">
        <v>1</v>
      </c>
      <c r="W161" t="s">
        <v>428</v>
      </c>
      <c r="X161">
        <v>2</v>
      </c>
      <c r="Y161">
        <v>1.0330895795246799</v>
      </c>
      <c r="Z161" t="s">
        <v>431</v>
      </c>
      <c r="AA161">
        <v>2</v>
      </c>
      <c r="AB161">
        <v>1.13618677042801</v>
      </c>
      <c r="AC161" t="s">
        <v>343</v>
      </c>
      <c r="AD161">
        <v>1</v>
      </c>
      <c r="AE161">
        <v>1.0176678445229601</v>
      </c>
      <c r="AF161" t="s">
        <v>428</v>
      </c>
      <c r="AG161">
        <v>3</v>
      </c>
      <c r="AH161">
        <v>0.77787381158167601</v>
      </c>
      <c r="AI161" t="s">
        <v>416</v>
      </c>
      <c r="AJ161">
        <v>1</v>
      </c>
      <c r="AK161">
        <v>0.797468354430379</v>
      </c>
      <c r="AL161" t="s">
        <v>453</v>
      </c>
      <c r="AM161">
        <v>3</v>
      </c>
      <c r="AN161">
        <v>0.97986577181208001</v>
      </c>
      <c r="AO161" t="s">
        <v>453</v>
      </c>
      <c r="AP161">
        <v>3</v>
      </c>
      <c r="AQ161">
        <v>1.5388127853881199</v>
      </c>
      <c r="AR161" t="s">
        <v>455</v>
      </c>
      <c r="AS161">
        <v>1</v>
      </c>
      <c r="AT161">
        <v>0.82362912111195796</v>
      </c>
      <c r="AU161" t="s">
        <v>448</v>
      </c>
      <c r="AV161">
        <v>2</v>
      </c>
      <c r="AW161">
        <v>0.95069337442218704</v>
      </c>
      <c r="AX161" t="s">
        <v>455</v>
      </c>
      <c r="AY161">
        <v>1</v>
      </c>
      <c r="AZ161">
        <v>0.89800770681315001</v>
      </c>
      <c r="BA161" t="s">
        <v>469</v>
      </c>
      <c r="BB161">
        <v>2</v>
      </c>
      <c r="BC161">
        <v>0.88558139534883695</v>
      </c>
      <c r="BD161" t="s">
        <v>470</v>
      </c>
      <c r="BE161">
        <v>2</v>
      </c>
      <c r="BF161">
        <v>1.7022408329560801</v>
      </c>
      <c r="BG161" t="s">
        <v>474</v>
      </c>
      <c r="BH161">
        <v>3</v>
      </c>
      <c r="BI161">
        <v>0.94280053652953899</v>
      </c>
      <c r="BJ161" t="s">
        <v>468</v>
      </c>
      <c r="BK161">
        <v>2</v>
      </c>
      <c r="BL161">
        <v>0.56546117185309697</v>
      </c>
      <c r="BM161" t="s">
        <v>467</v>
      </c>
      <c r="BN161">
        <v>2</v>
      </c>
      <c r="BO161">
        <v>1</v>
      </c>
      <c r="BP161" t="s">
        <v>481</v>
      </c>
      <c r="BQ161">
        <v>1</v>
      </c>
      <c r="BR161">
        <v>1.1342857142857099</v>
      </c>
      <c r="BS161" t="s">
        <v>495</v>
      </c>
      <c r="BT161">
        <v>3</v>
      </c>
      <c r="BU161">
        <v>0.82352941176470495</v>
      </c>
      <c r="BV161" t="s">
        <v>472</v>
      </c>
      <c r="BW161">
        <v>3</v>
      </c>
      <c r="BX161">
        <v>0.91937765205091904</v>
      </c>
      <c r="BY161" t="s">
        <v>495</v>
      </c>
      <c r="BZ161">
        <v>3</v>
      </c>
      <c r="CA161">
        <v>1.3007968127489999</v>
      </c>
      <c r="CB161" t="s">
        <v>491</v>
      </c>
      <c r="CC161">
        <v>1</v>
      </c>
      <c r="CD161">
        <v>0.91073326248671604</v>
      </c>
      <c r="CE161" t="s">
        <v>481</v>
      </c>
      <c r="CF161">
        <v>1</v>
      </c>
      <c r="CG161">
        <v>0.890532544378698</v>
      </c>
      <c r="CH161" t="s">
        <v>477</v>
      </c>
      <c r="CI161">
        <v>3</v>
      </c>
      <c r="CJ161">
        <v>0.96410433672790996</v>
      </c>
      <c r="CK161" t="s">
        <v>502</v>
      </c>
      <c r="CL161">
        <v>3</v>
      </c>
      <c r="CM161">
        <v>1.36492220650636</v>
      </c>
      <c r="CN161" t="s">
        <v>496</v>
      </c>
      <c r="CO161">
        <v>3</v>
      </c>
      <c r="CP161">
        <v>0.96261682242990598</v>
      </c>
      <c r="CQ161" t="s">
        <v>491</v>
      </c>
      <c r="CR161">
        <v>1</v>
      </c>
      <c r="CS161">
        <v>1.1372549019607801</v>
      </c>
      <c r="CT161" t="s">
        <v>505</v>
      </c>
      <c r="CU161">
        <v>3</v>
      </c>
      <c r="CV161">
        <v>1.02177293934681</v>
      </c>
      <c r="CW161" t="s">
        <v>498</v>
      </c>
      <c r="CX161">
        <v>3</v>
      </c>
      <c r="CY161">
        <v>0.74791666666666601</v>
      </c>
      <c r="CZ161" t="s">
        <v>493</v>
      </c>
      <c r="DA161">
        <v>2</v>
      </c>
      <c r="DB161">
        <v>1.0137614678899001</v>
      </c>
      <c r="DC161" t="s">
        <v>488</v>
      </c>
      <c r="DD161">
        <v>3</v>
      </c>
      <c r="DE161">
        <v>0.95096582466567603</v>
      </c>
      <c r="DF161" t="s">
        <v>503</v>
      </c>
      <c r="DG161">
        <v>1</v>
      </c>
      <c r="DH161">
        <v>1.1428571428571399</v>
      </c>
    </row>
    <row r="162" spans="1:112" x14ac:dyDescent="0.4">
      <c r="A162">
        <v>160</v>
      </c>
      <c r="B162" t="s">
        <v>323</v>
      </c>
      <c r="C162">
        <v>2</v>
      </c>
      <c r="D162">
        <v>1.08720930232558</v>
      </c>
      <c r="E162" t="s">
        <v>323</v>
      </c>
      <c r="F162">
        <v>2</v>
      </c>
      <c r="G162">
        <v>0.88235294117647001</v>
      </c>
      <c r="H162" t="s">
        <v>402</v>
      </c>
      <c r="I162">
        <v>1</v>
      </c>
      <c r="J162">
        <v>0.44000025580790503</v>
      </c>
      <c r="K162" t="s">
        <v>323</v>
      </c>
      <c r="L162">
        <v>2</v>
      </c>
      <c r="M162">
        <v>0.95686274509803904</v>
      </c>
      <c r="N162" t="s">
        <v>397</v>
      </c>
      <c r="O162">
        <v>2</v>
      </c>
      <c r="P162">
        <v>1.5359133419403499</v>
      </c>
      <c r="Q162" t="s">
        <v>343</v>
      </c>
      <c r="R162">
        <v>1</v>
      </c>
      <c r="S162">
        <v>1.1059602649006599</v>
      </c>
      <c r="T162" t="s">
        <v>343</v>
      </c>
      <c r="U162">
        <v>1</v>
      </c>
      <c r="V162">
        <v>0.984038818913896</v>
      </c>
      <c r="W162" t="s">
        <v>343</v>
      </c>
      <c r="X162">
        <v>1</v>
      </c>
      <c r="Y162">
        <v>1.02230522273747</v>
      </c>
      <c r="Z162" t="s">
        <v>425</v>
      </c>
      <c r="AA162">
        <v>1</v>
      </c>
      <c r="AB162">
        <v>0.90074441687344897</v>
      </c>
      <c r="AC162" t="s">
        <v>423</v>
      </c>
      <c r="AD162">
        <v>2</v>
      </c>
      <c r="AE162">
        <v>1.13636761487965</v>
      </c>
      <c r="AF162" t="s">
        <v>435</v>
      </c>
      <c r="AG162">
        <v>3</v>
      </c>
      <c r="AH162">
        <v>1.14925373134328</v>
      </c>
      <c r="AI162" t="s">
        <v>335</v>
      </c>
      <c r="AJ162">
        <v>3</v>
      </c>
      <c r="AK162">
        <v>0.86417657045840401</v>
      </c>
      <c r="AL162" t="s">
        <v>455</v>
      </c>
      <c r="AM162">
        <v>1</v>
      </c>
      <c r="AN162">
        <v>1.0147156206312999</v>
      </c>
      <c r="AO162" t="s">
        <v>455</v>
      </c>
      <c r="AP162">
        <v>1</v>
      </c>
      <c r="AQ162">
        <v>0.85555797259082</v>
      </c>
      <c r="AR162" t="s">
        <v>433</v>
      </c>
      <c r="AS162">
        <v>1</v>
      </c>
      <c r="AT162">
        <v>0.91202672605790602</v>
      </c>
      <c r="AU162" t="s">
        <v>469</v>
      </c>
      <c r="AV162">
        <v>1</v>
      </c>
      <c r="AW162">
        <v>1.2426470588235199</v>
      </c>
      <c r="AX162" t="s">
        <v>433</v>
      </c>
      <c r="AY162">
        <v>1</v>
      </c>
      <c r="AZ162">
        <v>0.87644341801385595</v>
      </c>
      <c r="BA162" t="s">
        <v>446</v>
      </c>
      <c r="BB162">
        <v>3</v>
      </c>
      <c r="BC162">
        <v>1.0234375</v>
      </c>
      <c r="BD162" t="s">
        <v>457</v>
      </c>
      <c r="BE162">
        <v>1</v>
      </c>
      <c r="BF162">
        <v>1.0314547837483601</v>
      </c>
      <c r="BG162" t="s">
        <v>456</v>
      </c>
      <c r="BH162">
        <v>2</v>
      </c>
      <c r="BI162">
        <v>1.0690789473684199</v>
      </c>
      <c r="BJ162" t="s">
        <v>478</v>
      </c>
      <c r="BK162">
        <v>3</v>
      </c>
      <c r="BL162">
        <v>1.2157809983896899</v>
      </c>
      <c r="BM162" t="s">
        <v>471</v>
      </c>
      <c r="BN162">
        <v>2</v>
      </c>
      <c r="BO162">
        <v>0.93786635404454799</v>
      </c>
      <c r="BP162" t="s">
        <v>483</v>
      </c>
      <c r="BQ162">
        <v>1</v>
      </c>
      <c r="BR162">
        <v>1.1153846153846101</v>
      </c>
      <c r="BS162" t="s">
        <v>488</v>
      </c>
      <c r="BT162">
        <v>3</v>
      </c>
      <c r="BU162">
        <v>1.0116402116402099</v>
      </c>
      <c r="BV162" t="s">
        <v>485</v>
      </c>
      <c r="BW162">
        <v>2</v>
      </c>
      <c r="BX162">
        <v>2.0847457627118602</v>
      </c>
      <c r="BY162" t="s">
        <v>488</v>
      </c>
      <c r="BZ162">
        <v>3</v>
      </c>
      <c r="CA162">
        <v>1.2146422628951701</v>
      </c>
      <c r="CB162" t="s">
        <v>494</v>
      </c>
      <c r="CC162">
        <v>2</v>
      </c>
      <c r="CD162">
        <v>0.75845410628019305</v>
      </c>
      <c r="CE162" t="s">
        <v>486</v>
      </c>
      <c r="CF162">
        <v>3</v>
      </c>
      <c r="CG162">
        <v>1.1796982167352501</v>
      </c>
      <c r="CH162" t="s">
        <v>481</v>
      </c>
      <c r="CI162">
        <v>1</v>
      </c>
      <c r="CJ162">
        <v>0.98671096345514897</v>
      </c>
      <c r="CK162" t="s">
        <v>503</v>
      </c>
      <c r="CL162">
        <v>1</v>
      </c>
      <c r="CM162">
        <v>0.88944099378881902</v>
      </c>
      <c r="CN162" t="s">
        <v>497</v>
      </c>
      <c r="CO162">
        <v>3</v>
      </c>
      <c r="CP162">
        <v>0.94763729246487804</v>
      </c>
      <c r="CQ162" t="s">
        <v>494</v>
      </c>
      <c r="CR162">
        <v>2</v>
      </c>
      <c r="CS162">
        <v>0.80174563591022396</v>
      </c>
      <c r="CT162" t="s">
        <v>499</v>
      </c>
      <c r="CU162">
        <v>2</v>
      </c>
      <c r="CV162">
        <v>1.0679785330948099</v>
      </c>
      <c r="CW162" t="s">
        <v>499</v>
      </c>
      <c r="CX162">
        <v>2</v>
      </c>
      <c r="CY162">
        <v>1.0502512562813999</v>
      </c>
      <c r="CZ162" t="s">
        <v>491</v>
      </c>
      <c r="DA162">
        <v>1</v>
      </c>
      <c r="DB162">
        <v>1.04810996563573</v>
      </c>
      <c r="DC162" t="s">
        <v>493</v>
      </c>
      <c r="DD162">
        <v>2</v>
      </c>
      <c r="DE162">
        <v>0.95475113122171895</v>
      </c>
      <c r="DF162" t="s">
        <v>506</v>
      </c>
      <c r="DG162">
        <v>3</v>
      </c>
      <c r="DH162">
        <v>1.02086677367576</v>
      </c>
    </row>
    <row r="163" spans="1:112" x14ac:dyDescent="0.4">
      <c r="A163">
        <v>161</v>
      </c>
      <c r="B163" t="s">
        <v>409</v>
      </c>
      <c r="C163">
        <v>3</v>
      </c>
      <c r="D163">
        <v>1.32167381974248</v>
      </c>
      <c r="E163" t="s">
        <v>329</v>
      </c>
      <c r="F163">
        <v>2</v>
      </c>
      <c r="G163">
        <v>0.89197080291970798</v>
      </c>
      <c r="H163" t="s">
        <v>409</v>
      </c>
      <c r="I163">
        <v>3</v>
      </c>
      <c r="J163">
        <v>0.49734684032802701</v>
      </c>
      <c r="K163" t="s">
        <v>402</v>
      </c>
      <c r="L163">
        <v>1</v>
      </c>
      <c r="M163">
        <v>0.99383735859111899</v>
      </c>
      <c r="N163" t="s">
        <v>310</v>
      </c>
      <c r="O163">
        <v>2</v>
      </c>
      <c r="P163">
        <v>1.11666666666666</v>
      </c>
      <c r="Q163" t="s">
        <v>423</v>
      </c>
      <c r="R163">
        <v>3</v>
      </c>
      <c r="S163">
        <v>1.11476690684955</v>
      </c>
      <c r="T163" t="s">
        <v>423</v>
      </c>
      <c r="U163">
        <v>3</v>
      </c>
      <c r="V163">
        <v>0.97796121797367797</v>
      </c>
      <c r="W163" t="s">
        <v>423</v>
      </c>
      <c r="X163">
        <v>3</v>
      </c>
      <c r="Y163">
        <v>1.06768593725115</v>
      </c>
      <c r="Z163" t="s">
        <v>453</v>
      </c>
      <c r="AA163">
        <v>3</v>
      </c>
      <c r="AB163">
        <v>1.0709677419354799</v>
      </c>
      <c r="AC163" t="s">
        <v>431</v>
      </c>
      <c r="AD163">
        <v>2</v>
      </c>
      <c r="AE163">
        <v>1.06849315068493</v>
      </c>
      <c r="AF163" t="s">
        <v>343</v>
      </c>
      <c r="AG163">
        <v>1</v>
      </c>
      <c r="AH163">
        <v>1.0266283524904201</v>
      </c>
      <c r="AI163" t="s">
        <v>418</v>
      </c>
      <c r="AJ163">
        <v>2</v>
      </c>
      <c r="AK163">
        <v>0.87922810060711099</v>
      </c>
      <c r="AL163" t="s">
        <v>433</v>
      </c>
      <c r="AM163">
        <v>1</v>
      </c>
      <c r="AN163">
        <v>1.0307855626326901</v>
      </c>
      <c r="AO163" t="s">
        <v>433</v>
      </c>
      <c r="AP163">
        <v>1</v>
      </c>
      <c r="AQ163">
        <v>0.92481977342945398</v>
      </c>
      <c r="AR163" t="s">
        <v>436</v>
      </c>
      <c r="AS163">
        <v>3</v>
      </c>
      <c r="AT163">
        <v>0.78619153674832898</v>
      </c>
      <c r="AU163" t="s">
        <v>470</v>
      </c>
      <c r="AV163">
        <v>2</v>
      </c>
      <c r="AW163">
        <v>0.99823659625558103</v>
      </c>
      <c r="AX163" t="s">
        <v>436</v>
      </c>
      <c r="AY163">
        <v>3</v>
      </c>
      <c r="AZ163">
        <v>0.77699530516431903</v>
      </c>
      <c r="BA163" t="s">
        <v>470</v>
      </c>
      <c r="BB163">
        <v>2</v>
      </c>
      <c r="BC163">
        <v>1.2952213427147401</v>
      </c>
      <c r="BD163" t="s">
        <v>452</v>
      </c>
      <c r="BE163">
        <v>2</v>
      </c>
      <c r="BF163">
        <v>1.2703125</v>
      </c>
      <c r="BG163" t="s">
        <v>460</v>
      </c>
      <c r="BH163">
        <v>3</v>
      </c>
      <c r="BI163">
        <v>1.0413793103448199</v>
      </c>
      <c r="BJ163" t="s">
        <v>467</v>
      </c>
      <c r="BK163">
        <v>2</v>
      </c>
      <c r="BL163">
        <v>0.97727272727272696</v>
      </c>
      <c r="BM163" t="s">
        <v>472</v>
      </c>
      <c r="BN163">
        <v>3</v>
      </c>
      <c r="BO163">
        <v>0.97602256699576795</v>
      </c>
      <c r="BP163" t="s">
        <v>486</v>
      </c>
      <c r="BQ163">
        <v>3</v>
      </c>
      <c r="BR163">
        <v>1.04339622641509</v>
      </c>
      <c r="BS163" t="s">
        <v>545</v>
      </c>
      <c r="BT163">
        <v>2</v>
      </c>
      <c r="BU163">
        <v>1.0492332526230801</v>
      </c>
      <c r="BV163" t="s">
        <v>481</v>
      </c>
      <c r="BW163">
        <v>1</v>
      </c>
      <c r="BX163">
        <v>0.888489208633093</v>
      </c>
      <c r="BY163" t="s">
        <v>493</v>
      </c>
      <c r="BZ163">
        <v>2</v>
      </c>
      <c r="CA163">
        <v>1.1172161172161099</v>
      </c>
      <c r="CB163" t="s">
        <v>496</v>
      </c>
      <c r="CC163">
        <v>3</v>
      </c>
      <c r="CD163">
        <v>0.84895259095920605</v>
      </c>
      <c r="CE163" t="s">
        <v>495</v>
      </c>
      <c r="CF163">
        <v>3</v>
      </c>
      <c r="CG163">
        <v>0.75929203539822998</v>
      </c>
      <c r="CH163" t="s">
        <v>483</v>
      </c>
      <c r="CI163">
        <v>1</v>
      </c>
      <c r="CJ163">
        <v>1.05633802816901</v>
      </c>
      <c r="CK163" t="s">
        <v>506</v>
      </c>
      <c r="CL163">
        <v>3</v>
      </c>
      <c r="CM163">
        <v>1.0531757754800499</v>
      </c>
      <c r="CN163" t="s">
        <v>498</v>
      </c>
      <c r="CO163">
        <v>3</v>
      </c>
      <c r="CP163">
        <v>1.4259681093394001</v>
      </c>
      <c r="CQ163" t="s">
        <v>496</v>
      </c>
      <c r="CR163">
        <v>3</v>
      </c>
      <c r="CS163">
        <v>1.1128640776698999</v>
      </c>
      <c r="CT163" t="s">
        <v>501</v>
      </c>
      <c r="CU163">
        <v>2</v>
      </c>
      <c r="CV163">
        <v>1.00513874614594</v>
      </c>
      <c r="CW163" t="s">
        <v>502</v>
      </c>
      <c r="CX163">
        <v>2</v>
      </c>
      <c r="CY163">
        <v>1.06674612634088</v>
      </c>
      <c r="CZ163" t="s">
        <v>494</v>
      </c>
      <c r="DA163">
        <v>2</v>
      </c>
      <c r="DB163">
        <v>0.77400468384074905</v>
      </c>
      <c r="DC163" t="s">
        <v>494</v>
      </c>
      <c r="DD163">
        <v>2</v>
      </c>
      <c r="DE163">
        <v>0.95763993948562698</v>
      </c>
      <c r="DF163" t="s">
        <v>510</v>
      </c>
      <c r="DG163">
        <v>2</v>
      </c>
      <c r="DH163">
        <v>1.05555555555555</v>
      </c>
    </row>
    <row r="164" spans="1:112" x14ac:dyDescent="0.4">
      <c r="A164">
        <v>162</v>
      </c>
      <c r="B164" t="s">
        <v>329</v>
      </c>
      <c r="C164">
        <v>2</v>
      </c>
      <c r="D164">
        <v>1.19964973730297</v>
      </c>
      <c r="E164" t="s">
        <v>335</v>
      </c>
      <c r="F164">
        <v>3</v>
      </c>
      <c r="G164">
        <v>0.63003901170351095</v>
      </c>
      <c r="H164" t="s">
        <v>329</v>
      </c>
      <c r="I164">
        <v>2</v>
      </c>
      <c r="J164">
        <v>0.94926350245499103</v>
      </c>
      <c r="K164" t="s">
        <v>329</v>
      </c>
      <c r="L164">
        <v>2</v>
      </c>
      <c r="M164">
        <v>0.85862068965517202</v>
      </c>
      <c r="N164" t="s">
        <v>450</v>
      </c>
      <c r="O164">
        <v>2</v>
      </c>
      <c r="P164">
        <v>1.1958199825225699</v>
      </c>
      <c r="Q164" t="s">
        <v>431</v>
      </c>
      <c r="R164">
        <v>2</v>
      </c>
      <c r="S164">
        <v>0.91439688715953304</v>
      </c>
      <c r="T164" t="s">
        <v>431</v>
      </c>
      <c r="U164">
        <v>2</v>
      </c>
      <c r="V164">
        <v>1.0680851063829699</v>
      </c>
      <c r="W164" t="s">
        <v>431</v>
      </c>
      <c r="X164">
        <v>2</v>
      </c>
      <c r="Y164">
        <v>1.02390438247011</v>
      </c>
      <c r="Z164" t="s">
        <v>455</v>
      </c>
      <c r="AA164">
        <v>1</v>
      </c>
      <c r="AB164">
        <v>1.1456056641526799</v>
      </c>
      <c r="AC164" t="s">
        <v>425</v>
      </c>
      <c r="AD164">
        <v>1</v>
      </c>
      <c r="AE164">
        <v>1.28374655647382</v>
      </c>
      <c r="AF164" t="s">
        <v>423</v>
      </c>
      <c r="AG164">
        <v>2</v>
      </c>
      <c r="AH164">
        <v>1.10182546406839</v>
      </c>
      <c r="AI164" t="s">
        <v>343</v>
      </c>
      <c r="AJ164">
        <v>1</v>
      </c>
      <c r="AK164">
        <v>0.83089195745474898</v>
      </c>
      <c r="AL164" t="s">
        <v>436</v>
      </c>
      <c r="AM164">
        <v>3</v>
      </c>
      <c r="AN164">
        <v>1.07632093933463</v>
      </c>
      <c r="AO164" t="s">
        <v>436</v>
      </c>
      <c r="AP164">
        <v>3</v>
      </c>
      <c r="AQ164">
        <v>0.81636363636363596</v>
      </c>
      <c r="AR164" t="s">
        <v>440</v>
      </c>
      <c r="AS164">
        <v>2</v>
      </c>
      <c r="AT164">
        <v>0.76013513513513498</v>
      </c>
      <c r="AU164" t="s">
        <v>457</v>
      </c>
      <c r="AV164">
        <v>1</v>
      </c>
      <c r="AW164">
        <v>1.22132253711201</v>
      </c>
      <c r="AX164" t="s">
        <v>440</v>
      </c>
      <c r="AY164">
        <v>2</v>
      </c>
      <c r="AZ164">
        <v>0.75655430711610405</v>
      </c>
      <c r="BA164" t="s">
        <v>457</v>
      </c>
      <c r="BB164">
        <v>1</v>
      </c>
      <c r="BC164">
        <v>0.95137157107231896</v>
      </c>
      <c r="BD164" t="s">
        <v>456</v>
      </c>
      <c r="BE164">
        <v>2</v>
      </c>
      <c r="BF164">
        <v>1.14716981132075</v>
      </c>
      <c r="BG164" t="s">
        <v>468</v>
      </c>
      <c r="BH164">
        <v>2</v>
      </c>
      <c r="BI164">
        <v>0.97094983894626996</v>
      </c>
      <c r="BJ164" t="s">
        <v>471</v>
      </c>
      <c r="BK164">
        <v>2</v>
      </c>
      <c r="BL164">
        <v>1.0662499999999999</v>
      </c>
      <c r="BM164" t="s">
        <v>485</v>
      </c>
      <c r="BN164">
        <v>2</v>
      </c>
      <c r="BO164">
        <v>0.814569536423841</v>
      </c>
      <c r="BP164" t="s">
        <v>495</v>
      </c>
      <c r="BQ164">
        <v>3</v>
      </c>
      <c r="BR164">
        <v>0.98646034816247496</v>
      </c>
      <c r="BS164" t="s">
        <v>491</v>
      </c>
      <c r="BT164">
        <v>1</v>
      </c>
      <c r="BU164">
        <v>0.92708333333333304</v>
      </c>
      <c r="BV164" t="s">
        <v>483</v>
      </c>
      <c r="BW164">
        <v>1</v>
      </c>
      <c r="BX164">
        <v>0.94736842105263097</v>
      </c>
      <c r="BY164" t="s">
        <v>491</v>
      </c>
      <c r="BZ164">
        <v>1</v>
      </c>
      <c r="CA164">
        <v>0.88356807511737001</v>
      </c>
      <c r="CB164" t="s">
        <v>497</v>
      </c>
      <c r="CC164">
        <v>3</v>
      </c>
      <c r="CD164">
        <v>1.2904148783977101</v>
      </c>
      <c r="CE164" t="s">
        <v>488</v>
      </c>
      <c r="CF164">
        <v>3</v>
      </c>
      <c r="CG164">
        <v>0.95244565217391297</v>
      </c>
      <c r="CH164" t="s">
        <v>486</v>
      </c>
      <c r="CI164">
        <v>3</v>
      </c>
      <c r="CJ164">
        <v>1.2674418604651101</v>
      </c>
      <c r="CK164" t="s">
        <v>508</v>
      </c>
      <c r="CL164">
        <v>3</v>
      </c>
      <c r="CM164">
        <v>0.90616246498599395</v>
      </c>
      <c r="CN164" t="s">
        <v>499</v>
      </c>
      <c r="CO164">
        <v>2</v>
      </c>
      <c r="CP164">
        <v>1.0651731160896101</v>
      </c>
      <c r="CQ164" t="s">
        <v>498</v>
      </c>
      <c r="CR164">
        <v>3</v>
      </c>
      <c r="CS164">
        <v>0.74600638977635703</v>
      </c>
      <c r="CT164" t="s">
        <v>502</v>
      </c>
      <c r="CU164">
        <v>3</v>
      </c>
      <c r="CV164">
        <v>1.11866666666666</v>
      </c>
      <c r="CW164" t="s">
        <v>503</v>
      </c>
      <c r="CX164">
        <v>1</v>
      </c>
      <c r="CY164">
        <v>1.1407624633430999</v>
      </c>
      <c r="CZ164" t="s">
        <v>498</v>
      </c>
      <c r="DA164">
        <v>3</v>
      </c>
      <c r="DB164">
        <v>1.00278551532033</v>
      </c>
      <c r="DC164" t="s">
        <v>497</v>
      </c>
      <c r="DD164">
        <v>3</v>
      </c>
      <c r="DE164">
        <v>0.993930197268588</v>
      </c>
      <c r="DF164" t="s">
        <v>513</v>
      </c>
      <c r="DG164">
        <v>2</v>
      </c>
      <c r="DH164">
        <v>1.2127659574467999</v>
      </c>
    </row>
    <row r="165" spans="1:112" x14ac:dyDescent="0.4">
      <c r="A165">
        <v>163</v>
      </c>
      <c r="B165" t="s">
        <v>449</v>
      </c>
      <c r="C165">
        <v>1</v>
      </c>
      <c r="D165">
        <v>1.17408906882591</v>
      </c>
      <c r="E165" t="s">
        <v>417</v>
      </c>
      <c r="F165">
        <v>3</v>
      </c>
      <c r="G165">
        <v>0.95412844036697197</v>
      </c>
      <c r="H165" t="s">
        <v>407</v>
      </c>
      <c r="I165">
        <v>2</v>
      </c>
      <c r="J165">
        <v>0.45873015873015799</v>
      </c>
      <c r="K165" t="s">
        <v>333</v>
      </c>
      <c r="L165">
        <v>1</v>
      </c>
      <c r="M165">
        <v>1.12293853073463</v>
      </c>
      <c r="N165" t="s">
        <v>323</v>
      </c>
      <c r="O165">
        <v>2</v>
      </c>
      <c r="P165">
        <v>1.1086065573770401</v>
      </c>
      <c r="Q165" t="s">
        <v>482</v>
      </c>
      <c r="R165">
        <v>2</v>
      </c>
      <c r="S165">
        <v>1.2350877192982399</v>
      </c>
      <c r="T165" t="s">
        <v>425</v>
      </c>
      <c r="U165">
        <v>1</v>
      </c>
      <c r="V165">
        <v>0.71750000000000003</v>
      </c>
      <c r="W165" t="s">
        <v>425</v>
      </c>
      <c r="X165">
        <v>1</v>
      </c>
      <c r="Y165">
        <v>1.40418118466898</v>
      </c>
      <c r="Z165" t="s">
        <v>433</v>
      </c>
      <c r="AA165">
        <v>1</v>
      </c>
      <c r="AB165">
        <v>1.0470446320868501</v>
      </c>
      <c r="AC165" t="s">
        <v>453</v>
      </c>
      <c r="AD165">
        <v>3</v>
      </c>
      <c r="AE165">
        <v>0.92971887550200805</v>
      </c>
      <c r="AF165" t="s">
        <v>431</v>
      </c>
      <c r="AG165">
        <v>2</v>
      </c>
      <c r="AH165">
        <v>1.1666666666666601</v>
      </c>
      <c r="AI165" t="s">
        <v>423</v>
      </c>
      <c r="AJ165">
        <v>2</v>
      </c>
      <c r="AK165">
        <v>0.943865781195386</v>
      </c>
      <c r="AL165" t="s">
        <v>440</v>
      </c>
      <c r="AM165">
        <v>2</v>
      </c>
      <c r="AN165">
        <v>1.15811965811965</v>
      </c>
      <c r="AO165" t="s">
        <v>440</v>
      </c>
      <c r="AP165">
        <v>2</v>
      </c>
      <c r="AQ165">
        <v>1.0922509225092201</v>
      </c>
      <c r="AR165" t="s">
        <v>447</v>
      </c>
      <c r="AS165">
        <v>3</v>
      </c>
      <c r="AT165">
        <v>0.95871559633027503</v>
      </c>
      <c r="AU165" t="s">
        <v>452</v>
      </c>
      <c r="AV165">
        <v>2</v>
      </c>
      <c r="AW165">
        <v>0.88032786885245895</v>
      </c>
      <c r="AX165" t="s">
        <v>447</v>
      </c>
      <c r="AY165">
        <v>3</v>
      </c>
      <c r="AZ165">
        <v>0.85281385281385202</v>
      </c>
      <c r="BA165" t="s">
        <v>452</v>
      </c>
      <c r="BB165">
        <v>2</v>
      </c>
      <c r="BC165">
        <v>1.25</v>
      </c>
      <c r="BD165" t="s">
        <v>468</v>
      </c>
      <c r="BE165">
        <v>2</v>
      </c>
      <c r="BF165">
        <v>0.91676255701432097</v>
      </c>
      <c r="BG165" t="s">
        <v>478</v>
      </c>
      <c r="BH165">
        <v>3</v>
      </c>
      <c r="BI165">
        <v>1.00485436893203</v>
      </c>
      <c r="BJ165" t="s">
        <v>472</v>
      </c>
      <c r="BK165">
        <v>2</v>
      </c>
      <c r="BL165">
        <v>0.89182389937106898</v>
      </c>
      <c r="BM165" t="s">
        <v>481</v>
      </c>
      <c r="BN165">
        <v>1</v>
      </c>
      <c r="BO165">
        <v>0.91623036649214595</v>
      </c>
      <c r="BP165" t="s">
        <v>488</v>
      </c>
      <c r="BQ165">
        <v>3</v>
      </c>
      <c r="BR165">
        <v>0.92647058823529405</v>
      </c>
      <c r="BS165" t="s">
        <v>494</v>
      </c>
      <c r="BT165">
        <v>2</v>
      </c>
      <c r="BU165">
        <v>1.0962601326455399</v>
      </c>
      <c r="BV165" t="s">
        <v>486</v>
      </c>
      <c r="BW165">
        <v>3</v>
      </c>
      <c r="BX165">
        <v>1.42105263157894</v>
      </c>
      <c r="BY165" t="s">
        <v>494</v>
      </c>
      <c r="BZ165">
        <v>2</v>
      </c>
      <c r="CA165">
        <v>0.60763209393346296</v>
      </c>
      <c r="CB165" t="s">
        <v>498</v>
      </c>
      <c r="CC165">
        <v>3</v>
      </c>
      <c r="CD165">
        <v>0.92352941176470504</v>
      </c>
      <c r="CE165" t="s">
        <v>491</v>
      </c>
      <c r="CF165">
        <v>1</v>
      </c>
      <c r="CG165">
        <v>1.20770128354725</v>
      </c>
      <c r="CH165" t="s">
        <v>488</v>
      </c>
      <c r="CI165">
        <v>3</v>
      </c>
      <c r="CJ165">
        <v>1.1982881597717501</v>
      </c>
      <c r="CK165" t="s">
        <v>510</v>
      </c>
      <c r="CL165">
        <v>2</v>
      </c>
      <c r="CM165">
        <v>0.82307692307692304</v>
      </c>
      <c r="CN165" t="s">
        <v>502</v>
      </c>
      <c r="CO165">
        <v>3</v>
      </c>
      <c r="CP165">
        <v>0.90984455958549204</v>
      </c>
      <c r="CQ165" t="s">
        <v>499</v>
      </c>
      <c r="CR165">
        <v>2</v>
      </c>
      <c r="CS165">
        <v>1.06883365200764</v>
      </c>
      <c r="CT165" t="s">
        <v>503</v>
      </c>
      <c r="CU165">
        <v>1</v>
      </c>
      <c r="CV165">
        <v>1.1481481481481399</v>
      </c>
      <c r="CW165" t="s">
        <v>506</v>
      </c>
      <c r="CX165">
        <v>3</v>
      </c>
      <c r="CY165">
        <v>1.0128617363343999</v>
      </c>
      <c r="CZ165" t="s">
        <v>499</v>
      </c>
      <c r="DA165">
        <v>2</v>
      </c>
      <c r="DB165">
        <v>1.2376395534290201</v>
      </c>
      <c r="DC165" t="s">
        <v>498</v>
      </c>
      <c r="DD165">
        <v>3</v>
      </c>
      <c r="DE165">
        <v>1.0916666666666599</v>
      </c>
      <c r="DF165" t="s">
        <v>517</v>
      </c>
      <c r="DG165">
        <v>1</v>
      </c>
      <c r="DH165">
        <v>1.1520737327188899</v>
      </c>
    </row>
    <row r="166" spans="1:112" x14ac:dyDescent="0.4">
      <c r="A166">
        <v>164</v>
      </c>
      <c r="B166" t="s">
        <v>335</v>
      </c>
      <c r="C166">
        <v>2</v>
      </c>
      <c r="D166">
        <v>1.26480263157894</v>
      </c>
      <c r="E166" t="s">
        <v>420</v>
      </c>
      <c r="F166">
        <v>1</v>
      </c>
      <c r="G166">
        <v>0.59450549450549395</v>
      </c>
      <c r="H166" t="s">
        <v>408</v>
      </c>
      <c r="I166">
        <v>2</v>
      </c>
      <c r="J166">
        <v>0.67</v>
      </c>
      <c r="K166" t="s">
        <v>407</v>
      </c>
      <c r="L166">
        <v>2</v>
      </c>
      <c r="M166">
        <v>1.0311418685121101</v>
      </c>
      <c r="N166" t="s">
        <v>402</v>
      </c>
      <c r="O166">
        <v>1</v>
      </c>
      <c r="P166">
        <v>1.6097604968483801</v>
      </c>
      <c r="Q166" t="s">
        <v>487</v>
      </c>
      <c r="R166">
        <v>2</v>
      </c>
      <c r="S166">
        <v>0.91739130434782601</v>
      </c>
      <c r="T166" t="s">
        <v>482</v>
      </c>
      <c r="U166">
        <v>2</v>
      </c>
      <c r="V166">
        <v>1.00852272727272</v>
      </c>
      <c r="W166" t="s">
        <v>453</v>
      </c>
      <c r="X166">
        <v>3</v>
      </c>
      <c r="Y166">
        <v>1.06407322654462</v>
      </c>
      <c r="Z166" t="s">
        <v>436</v>
      </c>
      <c r="AA166">
        <v>3</v>
      </c>
      <c r="AB166">
        <v>1.0314465408805</v>
      </c>
      <c r="AC166" t="s">
        <v>455</v>
      </c>
      <c r="AD166">
        <v>1</v>
      </c>
      <c r="AE166">
        <v>0.89963724304715798</v>
      </c>
      <c r="AF166" t="s">
        <v>482</v>
      </c>
      <c r="AG166">
        <v>2</v>
      </c>
      <c r="AH166">
        <v>1.4338919925512099</v>
      </c>
      <c r="AI166" t="s">
        <v>453</v>
      </c>
      <c r="AJ166">
        <v>3</v>
      </c>
      <c r="AK166">
        <v>0.91598360655737698</v>
      </c>
      <c r="AL166" t="s">
        <v>448</v>
      </c>
      <c r="AM166">
        <v>2</v>
      </c>
      <c r="AN166">
        <v>0.99650349650349601</v>
      </c>
      <c r="AO166" t="s">
        <v>448</v>
      </c>
      <c r="AP166">
        <v>2</v>
      </c>
      <c r="AQ166">
        <v>1.2456140350877101</v>
      </c>
      <c r="AR166" t="s">
        <v>448</v>
      </c>
      <c r="AS166">
        <v>2</v>
      </c>
      <c r="AT166">
        <v>0.91408450704225297</v>
      </c>
      <c r="AU166" t="s">
        <v>474</v>
      </c>
      <c r="AV166">
        <v>2</v>
      </c>
      <c r="AW166">
        <v>1.2192245334691201</v>
      </c>
      <c r="AX166" t="s">
        <v>448</v>
      </c>
      <c r="AY166">
        <v>2</v>
      </c>
      <c r="AZ166">
        <v>0.66774716369529896</v>
      </c>
      <c r="BA166" t="s">
        <v>456</v>
      </c>
      <c r="BB166">
        <v>2</v>
      </c>
      <c r="BC166">
        <v>1.0311284046692599</v>
      </c>
      <c r="BD166" t="s">
        <v>463</v>
      </c>
      <c r="BE166">
        <v>1</v>
      </c>
      <c r="BF166">
        <v>1.09692307692307</v>
      </c>
      <c r="BG166" t="s">
        <v>467</v>
      </c>
      <c r="BH166">
        <v>2</v>
      </c>
      <c r="BI166">
        <v>1.0526315789473599</v>
      </c>
      <c r="BJ166" t="s">
        <v>485</v>
      </c>
      <c r="BK166">
        <v>3</v>
      </c>
      <c r="BL166">
        <v>1.2410958904109499</v>
      </c>
      <c r="BM166" t="s">
        <v>483</v>
      </c>
      <c r="BN166">
        <v>1</v>
      </c>
      <c r="BO166">
        <v>0.92989985693848298</v>
      </c>
      <c r="BP166" t="s">
        <v>493</v>
      </c>
      <c r="BQ166">
        <v>2</v>
      </c>
      <c r="BR166">
        <v>1.32882011605415</v>
      </c>
      <c r="BS166" t="s">
        <v>497</v>
      </c>
      <c r="BT166">
        <v>3</v>
      </c>
      <c r="BU166">
        <v>1.26168224299065</v>
      </c>
      <c r="BV166" t="s">
        <v>488</v>
      </c>
      <c r="BW166">
        <v>3</v>
      </c>
      <c r="BX166">
        <v>1.2573221757322099</v>
      </c>
      <c r="BY166" t="s">
        <v>496</v>
      </c>
      <c r="BZ166">
        <v>3</v>
      </c>
      <c r="CA166">
        <v>1.0055432372505499</v>
      </c>
      <c r="CB166" t="s">
        <v>500</v>
      </c>
      <c r="CC166">
        <v>2</v>
      </c>
      <c r="CD166">
        <v>1.14961636828644</v>
      </c>
      <c r="CE166" t="s">
        <v>494</v>
      </c>
      <c r="CF166">
        <v>2</v>
      </c>
      <c r="CG166">
        <v>1.0074309978768501</v>
      </c>
      <c r="CH166" t="s">
        <v>491</v>
      </c>
      <c r="CI166">
        <v>1</v>
      </c>
      <c r="CJ166">
        <v>1.0869565217391299</v>
      </c>
      <c r="CK166" t="s">
        <v>516</v>
      </c>
      <c r="CL166">
        <v>3</v>
      </c>
      <c r="CM166">
        <v>0.63741935483870904</v>
      </c>
      <c r="CN166" t="s">
        <v>503</v>
      </c>
      <c r="CO166">
        <v>1</v>
      </c>
      <c r="CP166">
        <v>0.98463687150837897</v>
      </c>
      <c r="CQ166" t="s">
        <v>502</v>
      </c>
      <c r="CR166">
        <v>3</v>
      </c>
      <c r="CS166">
        <v>0.85421412300683297</v>
      </c>
      <c r="CT166" t="s">
        <v>509</v>
      </c>
      <c r="CU166">
        <v>3</v>
      </c>
      <c r="CV166">
        <v>0.77142857142857102</v>
      </c>
      <c r="CW166" t="s">
        <v>515</v>
      </c>
      <c r="CX166">
        <v>2</v>
      </c>
      <c r="CY166">
        <v>1.1849710982658901</v>
      </c>
      <c r="CZ166" t="s">
        <v>502</v>
      </c>
      <c r="DA166">
        <v>2</v>
      </c>
      <c r="DB166">
        <v>0.814525139664804</v>
      </c>
      <c r="DC166" t="s">
        <v>500</v>
      </c>
      <c r="DD166">
        <v>2</v>
      </c>
      <c r="DE166">
        <v>1.0209523809523799</v>
      </c>
      <c r="DF166" t="s">
        <v>518</v>
      </c>
      <c r="DG166">
        <v>2</v>
      </c>
      <c r="DH166">
        <v>1.1057692307692299</v>
      </c>
    </row>
    <row r="167" spans="1:112" x14ac:dyDescent="0.4">
      <c r="A167">
        <v>165</v>
      </c>
      <c r="B167" t="s">
        <v>417</v>
      </c>
      <c r="C167">
        <v>3</v>
      </c>
      <c r="D167">
        <v>0.95614035087719296</v>
      </c>
      <c r="E167" t="s">
        <v>422</v>
      </c>
      <c r="F167">
        <v>3</v>
      </c>
      <c r="G167">
        <v>0.6</v>
      </c>
      <c r="H167" t="s">
        <v>417</v>
      </c>
      <c r="I167">
        <v>3</v>
      </c>
      <c r="J167">
        <v>0.58846153846153804</v>
      </c>
      <c r="K167" t="s">
        <v>408</v>
      </c>
      <c r="L167">
        <v>2</v>
      </c>
      <c r="M167">
        <v>0.96472184531885996</v>
      </c>
      <c r="N167" t="s">
        <v>329</v>
      </c>
      <c r="O167">
        <v>2</v>
      </c>
      <c r="P167">
        <v>1.0963855421686699</v>
      </c>
      <c r="Q167" t="s">
        <v>432</v>
      </c>
      <c r="R167">
        <v>1</v>
      </c>
      <c r="S167">
        <v>1.3592233009708701</v>
      </c>
      <c r="T167" t="s">
        <v>487</v>
      </c>
      <c r="U167">
        <v>2</v>
      </c>
      <c r="V167">
        <v>0.94786729857819896</v>
      </c>
      <c r="W167" t="s">
        <v>455</v>
      </c>
      <c r="X167">
        <v>1</v>
      </c>
      <c r="Y167">
        <v>0.89688017669795606</v>
      </c>
      <c r="Z167" t="s">
        <v>440</v>
      </c>
      <c r="AA167">
        <v>2</v>
      </c>
      <c r="AB167">
        <v>1.02910958904109</v>
      </c>
      <c r="AC167" t="s">
        <v>433</v>
      </c>
      <c r="AD167">
        <v>1</v>
      </c>
      <c r="AE167">
        <v>1.05760368663594</v>
      </c>
      <c r="AF167" t="s">
        <v>453</v>
      </c>
      <c r="AG167">
        <v>3</v>
      </c>
      <c r="AH167">
        <v>1.0539956803455699</v>
      </c>
      <c r="AI167" t="s">
        <v>455</v>
      </c>
      <c r="AJ167">
        <v>1</v>
      </c>
      <c r="AK167">
        <v>0.95449118617880402</v>
      </c>
      <c r="AL167" t="s">
        <v>474</v>
      </c>
      <c r="AM167">
        <v>2</v>
      </c>
      <c r="AN167">
        <v>0.97196297648187902</v>
      </c>
      <c r="AO167" t="s">
        <v>457</v>
      </c>
      <c r="AP167">
        <v>1</v>
      </c>
      <c r="AQ167">
        <v>1.1449704142011801</v>
      </c>
      <c r="AR167" t="s">
        <v>444</v>
      </c>
      <c r="AS167">
        <v>1</v>
      </c>
      <c r="AT167">
        <v>1.1262022554773601</v>
      </c>
      <c r="AU167" t="s">
        <v>456</v>
      </c>
      <c r="AV167">
        <v>2</v>
      </c>
      <c r="AW167">
        <v>1.07971745711402</v>
      </c>
      <c r="AX167" t="s">
        <v>446</v>
      </c>
      <c r="AY167">
        <v>3</v>
      </c>
      <c r="AZ167">
        <v>0.91921005385996402</v>
      </c>
      <c r="BA167" t="s">
        <v>468</v>
      </c>
      <c r="BB167">
        <v>2</v>
      </c>
      <c r="BC167">
        <v>0.82283087312632597</v>
      </c>
      <c r="BD167" t="s">
        <v>478</v>
      </c>
      <c r="BE167">
        <v>3</v>
      </c>
      <c r="BF167">
        <v>0.99356913183279705</v>
      </c>
      <c r="BG167" t="s">
        <v>471</v>
      </c>
      <c r="BH167">
        <v>2</v>
      </c>
      <c r="BI167">
        <v>0.98522167487684698</v>
      </c>
      <c r="BJ167" t="s">
        <v>481</v>
      </c>
      <c r="BK167">
        <v>1</v>
      </c>
      <c r="BL167">
        <v>0.94554455445544505</v>
      </c>
      <c r="BM167" t="s">
        <v>486</v>
      </c>
      <c r="BN167">
        <v>3</v>
      </c>
      <c r="BO167">
        <v>1.00378787878787</v>
      </c>
      <c r="BP167" t="s">
        <v>545</v>
      </c>
      <c r="BQ167">
        <v>2</v>
      </c>
      <c r="BR167">
        <v>1.00307642487046</v>
      </c>
      <c r="BS167" t="s">
        <v>498</v>
      </c>
      <c r="BT167">
        <v>3</v>
      </c>
      <c r="BU167">
        <v>0.97109826589595305</v>
      </c>
      <c r="BV167" t="s">
        <v>493</v>
      </c>
      <c r="BW167">
        <v>2</v>
      </c>
      <c r="BX167">
        <v>0.98378378378378295</v>
      </c>
      <c r="BY167" t="s">
        <v>497</v>
      </c>
      <c r="BZ167">
        <v>3</v>
      </c>
      <c r="CA167">
        <v>1.0753846153846101</v>
      </c>
      <c r="CB167" t="s">
        <v>499</v>
      </c>
      <c r="CC167">
        <v>2</v>
      </c>
      <c r="CD167">
        <v>0.84603174603174602</v>
      </c>
      <c r="CE167" t="s">
        <v>496</v>
      </c>
      <c r="CF167">
        <v>3</v>
      </c>
      <c r="CG167">
        <v>1.0883116883116799</v>
      </c>
      <c r="CH167" t="s">
        <v>494</v>
      </c>
      <c r="CI167">
        <v>2</v>
      </c>
      <c r="CJ167">
        <v>1.1633298208640599</v>
      </c>
      <c r="CK167" t="s">
        <v>517</v>
      </c>
      <c r="CL167">
        <v>1</v>
      </c>
      <c r="CM167">
        <v>0.88534694148054804</v>
      </c>
      <c r="CN167" t="s">
        <v>546</v>
      </c>
      <c r="CO167">
        <v>2</v>
      </c>
      <c r="CP167">
        <v>1.0062370062370001</v>
      </c>
      <c r="CQ167" t="s">
        <v>503</v>
      </c>
      <c r="CR167">
        <v>1</v>
      </c>
      <c r="CS167">
        <v>0.84255319148936103</v>
      </c>
      <c r="CT167" t="s">
        <v>506</v>
      </c>
      <c r="CU167">
        <v>3</v>
      </c>
      <c r="CV167">
        <v>1.02980132450331</v>
      </c>
      <c r="CW167" t="s">
        <v>508</v>
      </c>
      <c r="CX167">
        <v>3</v>
      </c>
      <c r="CY167">
        <v>0.91607396870554703</v>
      </c>
      <c r="CZ167" t="s">
        <v>503</v>
      </c>
      <c r="DA167">
        <v>1</v>
      </c>
      <c r="DB167">
        <v>1.08226221079691</v>
      </c>
      <c r="DC167" t="s">
        <v>501</v>
      </c>
      <c r="DD167">
        <v>3</v>
      </c>
      <c r="DE167">
        <v>0.97239915074309902</v>
      </c>
      <c r="DF167" t="s">
        <v>523</v>
      </c>
      <c r="DG167">
        <v>3</v>
      </c>
      <c r="DH167">
        <v>0.95734597156398105</v>
      </c>
    </row>
    <row r="168" spans="1:112" x14ac:dyDescent="0.4">
      <c r="A168">
        <v>166</v>
      </c>
      <c r="B168" t="s">
        <v>420</v>
      </c>
      <c r="C168">
        <v>1</v>
      </c>
      <c r="D168">
        <v>0.998902305159165</v>
      </c>
      <c r="E168" t="s">
        <v>428</v>
      </c>
      <c r="F168">
        <v>3</v>
      </c>
      <c r="G168">
        <v>0.96391437308868499</v>
      </c>
      <c r="H168" t="s">
        <v>420</v>
      </c>
      <c r="I168">
        <v>1</v>
      </c>
      <c r="J168">
        <v>0.76524953789279104</v>
      </c>
      <c r="K168" t="s">
        <v>420</v>
      </c>
      <c r="L168">
        <v>1</v>
      </c>
      <c r="M168">
        <v>1.23188405797101</v>
      </c>
      <c r="N168" t="s">
        <v>404</v>
      </c>
      <c r="O168">
        <v>1</v>
      </c>
      <c r="P168">
        <v>1.77715355805243</v>
      </c>
      <c r="Q168" t="s">
        <v>453</v>
      </c>
      <c r="R168">
        <v>3</v>
      </c>
      <c r="S168">
        <v>1.0833333333333299</v>
      </c>
      <c r="T168" t="s">
        <v>453</v>
      </c>
      <c r="U168">
        <v>3</v>
      </c>
      <c r="V168">
        <v>1.1205128205128201</v>
      </c>
      <c r="W168" t="s">
        <v>436</v>
      </c>
      <c r="X168">
        <v>3</v>
      </c>
      <c r="Y168">
        <v>1.0324675324675301</v>
      </c>
      <c r="Z168" t="s">
        <v>445</v>
      </c>
      <c r="AA168">
        <v>2</v>
      </c>
      <c r="AB168">
        <v>1.16791979949874</v>
      </c>
      <c r="AC168" t="s">
        <v>436</v>
      </c>
      <c r="AD168">
        <v>3</v>
      </c>
      <c r="AE168">
        <v>1.1951219512195099</v>
      </c>
      <c r="AF168" t="s">
        <v>455</v>
      </c>
      <c r="AG168">
        <v>1</v>
      </c>
      <c r="AH168">
        <v>1.06324671445639</v>
      </c>
      <c r="AI168" t="s">
        <v>433</v>
      </c>
      <c r="AJ168">
        <v>1</v>
      </c>
      <c r="AK168">
        <v>1.0536912751677801</v>
      </c>
      <c r="AL168" t="s">
        <v>456</v>
      </c>
      <c r="AM168">
        <v>2</v>
      </c>
      <c r="AN168">
        <v>1.19172932330827</v>
      </c>
      <c r="AO168" t="s">
        <v>452</v>
      </c>
      <c r="AP168">
        <v>2</v>
      </c>
      <c r="AQ168">
        <v>0.87316421895861096</v>
      </c>
      <c r="AR168" t="s">
        <v>446</v>
      </c>
      <c r="AS168">
        <v>3</v>
      </c>
      <c r="AT168">
        <v>0.75085324232081896</v>
      </c>
      <c r="AU168" t="s">
        <v>468</v>
      </c>
      <c r="AV168">
        <v>2</v>
      </c>
      <c r="AW168">
        <v>1.13863976359094</v>
      </c>
      <c r="AX168" t="s">
        <v>470</v>
      </c>
      <c r="AY168">
        <v>2</v>
      </c>
      <c r="AZ168">
        <v>0.76922498684507201</v>
      </c>
      <c r="BA168" t="s">
        <v>463</v>
      </c>
      <c r="BB168">
        <v>1</v>
      </c>
      <c r="BC168">
        <v>1.17328519855595</v>
      </c>
      <c r="BD168" t="s">
        <v>467</v>
      </c>
      <c r="BE168">
        <v>2</v>
      </c>
      <c r="BF168">
        <v>1.0295566502463001</v>
      </c>
      <c r="BG168" t="s">
        <v>472</v>
      </c>
      <c r="BH168">
        <v>2</v>
      </c>
      <c r="BI168">
        <v>1.0258064516129</v>
      </c>
      <c r="BJ168" t="s">
        <v>483</v>
      </c>
      <c r="BK168">
        <v>1</v>
      </c>
      <c r="BL168">
        <v>0.96546961325966796</v>
      </c>
      <c r="BM168" t="s">
        <v>495</v>
      </c>
      <c r="BN168">
        <v>3</v>
      </c>
      <c r="BO168">
        <v>1.0444444444444401</v>
      </c>
      <c r="BP168" t="s">
        <v>491</v>
      </c>
      <c r="BQ168">
        <v>1</v>
      </c>
      <c r="BR168">
        <v>1.02857142857142</v>
      </c>
      <c r="BS168" t="s">
        <v>505</v>
      </c>
      <c r="BT168">
        <v>3</v>
      </c>
      <c r="BU168">
        <v>0.97277676950998104</v>
      </c>
      <c r="BV168" t="s">
        <v>491</v>
      </c>
      <c r="BW168">
        <v>1</v>
      </c>
      <c r="BX168">
        <v>0.797752808988764</v>
      </c>
      <c r="BY168" t="s">
        <v>498</v>
      </c>
      <c r="BZ168">
        <v>3</v>
      </c>
      <c r="CA168">
        <v>1.0303030303030301</v>
      </c>
      <c r="CB168" t="s">
        <v>501</v>
      </c>
      <c r="CC168">
        <v>2</v>
      </c>
      <c r="CD168">
        <v>0.96516129032258002</v>
      </c>
      <c r="CE168" t="s">
        <v>498</v>
      </c>
      <c r="CF168">
        <v>3</v>
      </c>
      <c r="CG168">
        <v>1.0987261146496801</v>
      </c>
      <c r="CH168" t="s">
        <v>496</v>
      </c>
      <c r="CI168">
        <v>3</v>
      </c>
      <c r="CJ168">
        <v>1.3126491646778</v>
      </c>
      <c r="CK168" t="s">
        <v>518</v>
      </c>
      <c r="CL168">
        <v>2</v>
      </c>
      <c r="CM168">
        <v>0.790874524714828</v>
      </c>
      <c r="CN168" t="s">
        <v>506</v>
      </c>
      <c r="CO168">
        <v>3</v>
      </c>
      <c r="CP168">
        <v>0.89761570827489401</v>
      </c>
      <c r="CQ168" t="s">
        <v>506</v>
      </c>
      <c r="CR168">
        <v>3</v>
      </c>
      <c r="CS168">
        <v>0.94374999999999998</v>
      </c>
      <c r="CT168" t="s">
        <v>515</v>
      </c>
      <c r="CU168">
        <v>2</v>
      </c>
      <c r="CV168">
        <v>1.0297619047619</v>
      </c>
      <c r="CW168" t="s">
        <v>510</v>
      </c>
      <c r="CX168">
        <v>2</v>
      </c>
      <c r="CY168">
        <v>1.0373831775700899</v>
      </c>
      <c r="CZ168" t="s">
        <v>506</v>
      </c>
      <c r="DA168">
        <v>3</v>
      </c>
      <c r="DB168">
        <v>1.01428571428571</v>
      </c>
      <c r="DC168" t="s">
        <v>502</v>
      </c>
      <c r="DD168">
        <v>2</v>
      </c>
      <c r="DE168">
        <v>1.0329218106995799</v>
      </c>
      <c r="DF168" t="s">
        <v>527</v>
      </c>
      <c r="DG168">
        <v>2</v>
      </c>
      <c r="DH168">
        <v>1.08978873239436</v>
      </c>
    </row>
    <row r="169" spans="1:112" x14ac:dyDescent="0.4">
      <c r="A169">
        <v>167</v>
      </c>
      <c r="B169" t="s">
        <v>422</v>
      </c>
      <c r="C169">
        <v>2</v>
      </c>
      <c r="D169">
        <v>1.1284722222222201</v>
      </c>
      <c r="E169" t="s">
        <v>421</v>
      </c>
      <c r="F169">
        <v>3</v>
      </c>
      <c r="G169">
        <v>0.98003492895133704</v>
      </c>
      <c r="H169" t="s">
        <v>428</v>
      </c>
      <c r="I169">
        <v>3</v>
      </c>
      <c r="J169">
        <v>0.83026649746192804</v>
      </c>
      <c r="K169" t="s">
        <v>343</v>
      </c>
      <c r="L169">
        <v>1</v>
      </c>
      <c r="M169">
        <v>0.72784299339691805</v>
      </c>
      <c r="N169" t="s">
        <v>407</v>
      </c>
      <c r="O169">
        <v>2</v>
      </c>
      <c r="P169">
        <v>1.5838926174496599</v>
      </c>
      <c r="Q169" t="s">
        <v>455</v>
      </c>
      <c r="R169">
        <v>1</v>
      </c>
      <c r="S169">
        <v>1.2714714168862999</v>
      </c>
      <c r="T169" t="s">
        <v>455</v>
      </c>
      <c r="U169">
        <v>1</v>
      </c>
      <c r="V169">
        <v>1.0355968548963499</v>
      </c>
      <c r="W169" t="s">
        <v>440</v>
      </c>
      <c r="X169">
        <v>2</v>
      </c>
      <c r="Y169">
        <v>0.98151260504201598</v>
      </c>
      <c r="Z169" t="s">
        <v>448</v>
      </c>
      <c r="AA169">
        <v>2</v>
      </c>
      <c r="AB169">
        <v>1.07020872865275</v>
      </c>
      <c r="AC169" t="s">
        <v>440</v>
      </c>
      <c r="AD169">
        <v>2</v>
      </c>
      <c r="AE169">
        <v>1.3810316139767</v>
      </c>
      <c r="AF169" t="s">
        <v>433</v>
      </c>
      <c r="AG169">
        <v>1</v>
      </c>
      <c r="AH169">
        <v>0.973856209150326</v>
      </c>
      <c r="AI169" t="s">
        <v>436</v>
      </c>
      <c r="AJ169">
        <v>3</v>
      </c>
      <c r="AK169">
        <v>0.86610169491525402</v>
      </c>
      <c r="AL169" t="s">
        <v>468</v>
      </c>
      <c r="AM169">
        <v>2</v>
      </c>
      <c r="AN169">
        <v>1.0812381914209901</v>
      </c>
      <c r="AO169" t="s">
        <v>474</v>
      </c>
      <c r="AP169">
        <v>2</v>
      </c>
      <c r="AQ169">
        <v>0.84807676848633395</v>
      </c>
      <c r="AR169" t="s">
        <v>457</v>
      </c>
      <c r="AS169">
        <v>1</v>
      </c>
      <c r="AT169">
        <v>0.95736434108527102</v>
      </c>
      <c r="AU169" t="s">
        <v>463</v>
      </c>
      <c r="AV169">
        <v>1</v>
      </c>
      <c r="AW169">
        <v>1.11379310344827</v>
      </c>
      <c r="AX169" t="s">
        <v>452</v>
      </c>
      <c r="AY169">
        <v>2</v>
      </c>
      <c r="AZ169">
        <v>0.95344506517690797</v>
      </c>
      <c r="BA169" t="s">
        <v>467</v>
      </c>
      <c r="BB169">
        <v>2</v>
      </c>
      <c r="BC169">
        <v>1.11293859649122</v>
      </c>
      <c r="BD169" t="s">
        <v>471</v>
      </c>
      <c r="BE169">
        <v>2</v>
      </c>
      <c r="BF169">
        <v>0.79219512195121899</v>
      </c>
      <c r="BG169" t="s">
        <v>485</v>
      </c>
      <c r="BH169">
        <v>3</v>
      </c>
      <c r="BI169">
        <v>1.1060606060606</v>
      </c>
      <c r="BJ169" t="s">
        <v>486</v>
      </c>
      <c r="BK169">
        <v>3</v>
      </c>
      <c r="BL169">
        <v>0.92469352014010497</v>
      </c>
      <c r="BM169" t="s">
        <v>488</v>
      </c>
      <c r="BN169">
        <v>3</v>
      </c>
      <c r="BO169">
        <v>1.0625</v>
      </c>
      <c r="BP169" t="s">
        <v>494</v>
      </c>
      <c r="BQ169">
        <v>2</v>
      </c>
      <c r="BR169">
        <v>0.97951818099792398</v>
      </c>
      <c r="BS169" t="s">
        <v>499</v>
      </c>
      <c r="BT169">
        <v>2</v>
      </c>
      <c r="BU169">
        <v>0.92170818505338004</v>
      </c>
      <c r="BV169" t="s">
        <v>494</v>
      </c>
      <c r="BW169">
        <v>2</v>
      </c>
      <c r="BX169">
        <v>0.85875136543147601</v>
      </c>
      <c r="BY169" t="s">
        <v>500</v>
      </c>
      <c r="BZ169">
        <v>2</v>
      </c>
      <c r="CA169">
        <v>0.98117942283563298</v>
      </c>
      <c r="CB169" t="s">
        <v>502</v>
      </c>
      <c r="CC169">
        <v>2</v>
      </c>
      <c r="CD169">
        <v>1.06623586429725</v>
      </c>
      <c r="CE169" t="s">
        <v>499</v>
      </c>
      <c r="CF169">
        <v>2</v>
      </c>
      <c r="CG169">
        <v>0.962476547842401</v>
      </c>
      <c r="CH169" t="s">
        <v>497</v>
      </c>
      <c r="CI169">
        <v>3</v>
      </c>
      <c r="CJ169">
        <v>1.12839506172839</v>
      </c>
      <c r="CK169" t="s">
        <v>522</v>
      </c>
      <c r="CL169">
        <v>3</v>
      </c>
      <c r="CM169">
        <v>0.84122562674094703</v>
      </c>
      <c r="CN169" t="s">
        <v>508</v>
      </c>
      <c r="CO169">
        <v>3</v>
      </c>
      <c r="CP169">
        <v>0.99845440494590398</v>
      </c>
      <c r="CQ169" t="s">
        <v>515</v>
      </c>
      <c r="CR169">
        <v>2</v>
      </c>
      <c r="CS169">
        <v>1.06836248012718</v>
      </c>
      <c r="CT169" t="s">
        <v>508</v>
      </c>
      <c r="CU169">
        <v>3</v>
      </c>
      <c r="CV169">
        <v>1.0158959537572201</v>
      </c>
      <c r="CW169" t="s">
        <v>511</v>
      </c>
      <c r="CX169">
        <v>3</v>
      </c>
      <c r="CY169">
        <v>0.85057471264367801</v>
      </c>
      <c r="CZ169" t="s">
        <v>508</v>
      </c>
      <c r="DA169">
        <v>3</v>
      </c>
      <c r="DB169">
        <v>0.92546583850931596</v>
      </c>
      <c r="DC169" t="s">
        <v>503</v>
      </c>
      <c r="DD169">
        <v>1</v>
      </c>
      <c r="DE169">
        <v>1.11401425178147</v>
      </c>
      <c r="DF169" t="s">
        <v>531</v>
      </c>
      <c r="DG169">
        <v>2</v>
      </c>
      <c r="DH169">
        <v>1.3816568047337201</v>
      </c>
    </row>
    <row r="170" spans="1:112" x14ac:dyDescent="0.4">
      <c r="A170">
        <v>168</v>
      </c>
      <c r="B170" t="s">
        <v>421</v>
      </c>
      <c r="C170">
        <v>3</v>
      </c>
      <c r="D170">
        <v>1.00731678061652</v>
      </c>
      <c r="E170" t="s">
        <v>435</v>
      </c>
      <c r="F170">
        <v>3</v>
      </c>
      <c r="G170">
        <v>0.87804878048780399</v>
      </c>
      <c r="H170" t="s">
        <v>421</v>
      </c>
      <c r="I170">
        <v>3</v>
      </c>
      <c r="J170">
        <v>0.82220242193511806</v>
      </c>
      <c r="K170" t="s">
        <v>423</v>
      </c>
      <c r="L170">
        <v>2</v>
      </c>
      <c r="M170">
        <v>0.93351063829787195</v>
      </c>
      <c r="N170" t="s">
        <v>408</v>
      </c>
      <c r="O170">
        <v>2</v>
      </c>
      <c r="P170">
        <v>1.51898734177215</v>
      </c>
      <c r="Q170" t="s">
        <v>433</v>
      </c>
      <c r="R170">
        <v>1</v>
      </c>
      <c r="S170">
        <v>1.30365659777424</v>
      </c>
      <c r="T170" t="s">
        <v>433</v>
      </c>
      <c r="U170">
        <v>1</v>
      </c>
      <c r="V170">
        <v>1.1109756097560901</v>
      </c>
      <c r="W170" t="s">
        <v>445</v>
      </c>
      <c r="X170">
        <v>2</v>
      </c>
      <c r="Y170">
        <v>1.0871934604904601</v>
      </c>
      <c r="Z170" t="s">
        <v>469</v>
      </c>
      <c r="AA170">
        <v>1</v>
      </c>
      <c r="AB170">
        <v>0.86610878661087798</v>
      </c>
      <c r="AC170" t="s">
        <v>445</v>
      </c>
      <c r="AD170">
        <v>2</v>
      </c>
      <c r="AE170">
        <v>1.30901287553648</v>
      </c>
      <c r="AF170" t="s">
        <v>436</v>
      </c>
      <c r="AG170">
        <v>3</v>
      </c>
      <c r="AH170">
        <v>1.00340136054421</v>
      </c>
      <c r="AI170" t="s">
        <v>440</v>
      </c>
      <c r="AJ170">
        <v>2</v>
      </c>
      <c r="AK170">
        <v>1.11961722488038</v>
      </c>
      <c r="AL170" t="s">
        <v>478</v>
      </c>
      <c r="AM170">
        <v>3</v>
      </c>
      <c r="AN170">
        <v>1.15657311669128</v>
      </c>
      <c r="AO170" t="s">
        <v>456</v>
      </c>
      <c r="AP170">
        <v>2</v>
      </c>
      <c r="AQ170">
        <v>0.86593059936908501</v>
      </c>
      <c r="AR170" t="s">
        <v>452</v>
      </c>
      <c r="AS170">
        <v>2</v>
      </c>
      <c r="AT170">
        <v>0.932721712538226</v>
      </c>
      <c r="AU170" t="s">
        <v>478</v>
      </c>
      <c r="AV170">
        <v>3</v>
      </c>
      <c r="AW170">
        <v>0.95724465558194705</v>
      </c>
      <c r="AX170" t="s">
        <v>474</v>
      </c>
      <c r="AY170">
        <v>2</v>
      </c>
      <c r="AZ170">
        <v>0.57814624969797301</v>
      </c>
      <c r="BA170" t="s">
        <v>472</v>
      </c>
      <c r="BB170">
        <v>2</v>
      </c>
      <c r="BC170">
        <v>1.3</v>
      </c>
      <c r="BD170" t="s">
        <v>472</v>
      </c>
      <c r="BE170">
        <v>2</v>
      </c>
      <c r="BF170">
        <v>0.87669683257918496</v>
      </c>
      <c r="BG170" t="s">
        <v>481</v>
      </c>
      <c r="BH170">
        <v>1</v>
      </c>
      <c r="BI170">
        <v>1.2023809523809501</v>
      </c>
      <c r="BJ170" t="s">
        <v>488</v>
      </c>
      <c r="BK170">
        <v>3</v>
      </c>
      <c r="BL170">
        <v>1.1970074812967499</v>
      </c>
      <c r="BM170" t="s">
        <v>491</v>
      </c>
      <c r="BN170">
        <v>1</v>
      </c>
      <c r="BO170">
        <v>0.93645484949832702</v>
      </c>
      <c r="BP170" t="s">
        <v>497</v>
      </c>
      <c r="BQ170">
        <v>3</v>
      </c>
      <c r="BR170">
        <v>1.1322751322751301</v>
      </c>
      <c r="BS170" t="s">
        <v>501</v>
      </c>
      <c r="BT170">
        <v>3</v>
      </c>
      <c r="BU170">
        <v>1.2123769338959201</v>
      </c>
      <c r="BV170" t="s">
        <v>497</v>
      </c>
      <c r="BW170">
        <v>3</v>
      </c>
      <c r="BX170">
        <v>1.2037037037036999</v>
      </c>
      <c r="BY170" t="s">
        <v>499</v>
      </c>
      <c r="BZ170">
        <v>2</v>
      </c>
      <c r="CA170">
        <v>1.15808823529411</v>
      </c>
      <c r="CB170" t="s">
        <v>503</v>
      </c>
      <c r="CC170">
        <v>1</v>
      </c>
      <c r="CD170">
        <v>0.936221419975932</v>
      </c>
      <c r="CE170" t="s">
        <v>501</v>
      </c>
      <c r="CF170">
        <v>2</v>
      </c>
      <c r="CG170">
        <v>1.0534759358288699</v>
      </c>
      <c r="CH170" t="s">
        <v>498</v>
      </c>
      <c r="CI170">
        <v>3</v>
      </c>
      <c r="CJ170">
        <v>1.4202898550724601</v>
      </c>
      <c r="CK170" t="s">
        <v>523</v>
      </c>
      <c r="CL170">
        <v>3</v>
      </c>
      <c r="CM170">
        <v>1.0104029304029301</v>
      </c>
      <c r="CN170" t="s">
        <v>510</v>
      </c>
      <c r="CO170">
        <v>2</v>
      </c>
      <c r="CP170">
        <v>0.94392523364485903</v>
      </c>
      <c r="CQ170" t="s">
        <v>508</v>
      </c>
      <c r="CR170">
        <v>3</v>
      </c>
      <c r="CS170">
        <v>1.0712074303405501</v>
      </c>
      <c r="CT170" t="s">
        <v>510</v>
      </c>
      <c r="CU170">
        <v>2</v>
      </c>
      <c r="CV170">
        <v>1.1452599388379201</v>
      </c>
      <c r="CW170" t="s">
        <v>513</v>
      </c>
      <c r="CX170">
        <v>2</v>
      </c>
      <c r="CY170">
        <v>0.975103734439834</v>
      </c>
      <c r="CZ170" t="s">
        <v>510</v>
      </c>
      <c r="DA170">
        <v>2</v>
      </c>
      <c r="DB170">
        <v>0.94079794079793999</v>
      </c>
      <c r="DC170" t="s">
        <v>506</v>
      </c>
      <c r="DD170">
        <v>3</v>
      </c>
      <c r="DE170">
        <v>0.97496087636932705</v>
      </c>
      <c r="DF170" t="s">
        <v>532</v>
      </c>
      <c r="DG170">
        <v>3</v>
      </c>
      <c r="DH170">
        <v>1.09987029831387</v>
      </c>
    </row>
    <row r="171" spans="1:112" x14ac:dyDescent="0.4">
      <c r="A171">
        <v>169</v>
      </c>
      <c r="B171" t="s">
        <v>349</v>
      </c>
      <c r="C171">
        <v>2</v>
      </c>
      <c r="D171">
        <v>1.0595794392523299</v>
      </c>
      <c r="E171" t="s">
        <v>423</v>
      </c>
      <c r="F171">
        <v>2</v>
      </c>
      <c r="G171">
        <v>0.66666666666666596</v>
      </c>
      <c r="H171" t="s">
        <v>423</v>
      </c>
      <c r="I171">
        <v>2</v>
      </c>
      <c r="J171">
        <v>0.44537346711259701</v>
      </c>
      <c r="K171" t="s">
        <v>431</v>
      </c>
      <c r="L171">
        <v>2</v>
      </c>
      <c r="M171">
        <v>0.97941176470588198</v>
      </c>
      <c r="N171" t="s">
        <v>343</v>
      </c>
      <c r="O171">
        <v>1</v>
      </c>
      <c r="P171">
        <v>1.1035230079128999</v>
      </c>
      <c r="Q171" t="s">
        <v>436</v>
      </c>
      <c r="R171">
        <v>3</v>
      </c>
      <c r="S171">
        <v>1.1457489878542499</v>
      </c>
      <c r="T171" t="s">
        <v>436</v>
      </c>
      <c r="U171">
        <v>3</v>
      </c>
      <c r="V171">
        <v>0.81625441696112999</v>
      </c>
      <c r="W171" t="s">
        <v>448</v>
      </c>
      <c r="X171">
        <v>2</v>
      </c>
      <c r="Y171">
        <v>1.0843621399176899</v>
      </c>
      <c r="Z171" t="s">
        <v>457</v>
      </c>
      <c r="AA171">
        <v>1</v>
      </c>
      <c r="AB171">
        <v>1.0396039603960301</v>
      </c>
      <c r="AC171" t="s">
        <v>448</v>
      </c>
      <c r="AD171">
        <v>2</v>
      </c>
      <c r="AE171">
        <v>0.92375886524822604</v>
      </c>
      <c r="AF171" t="s">
        <v>440</v>
      </c>
      <c r="AG171">
        <v>2</v>
      </c>
      <c r="AH171">
        <v>1.25903614457831</v>
      </c>
      <c r="AI171" t="s">
        <v>448</v>
      </c>
      <c r="AJ171">
        <v>2</v>
      </c>
      <c r="AK171">
        <v>0.884080370942813</v>
      </c>
      <c r="AL171" t="s">
        <v>466</v>
      </c>
      <c r="AM171">
        <v>3</v>
      </c>
      <c r="AN171">
        <v>0.88650306748466201</v>
      </c>
      <c r="AO171" t="s">
        <v>478</v>
      </c>
      <c r="AP171">
        <v>3</v>
      </c>
      <c r="AQ171">
        <v>0.88888888888888795</v>
      </c>
      <c r="AR171" t="s">
        <v>474</v>
      </c>
      <c r="AS171">
        <v>2</v>
      </c>
      <c r="AT171">
        <v>0.672335762912325</v>
      </c>
      <c r="AU171" t="s">
        <v>466</v>
      </c>
      <c r="AV171">
        <v>3</v>
      </c>
      <c r="AW171">
        <v>0.88541666666666596</v>
      </c>
      <c r="AX171" t="s">
        <v>456</v>
      </c>
      <c r="AY171">
        <v>2</v>
      </c>
      <c r="AZ171">
        <v>0.96074766355140095</v>
      </c>
      <c r="BA171" t="s">
        <v>485</v>
      </c>
      <c r="BB171">
        <v>3</v>
      </c>
      <c r="BC171">
        <v>0.98850574712643602</v>
      </c>
      <c r="BD171" t="s">
        <v>485</v>
      </c>
      <c r="BE171">
        <v>3</v>
      </c>
      <c r="BF171">
        <v>1.53488372093023</v>
      </c>
      <c r="BG171" t="s">
        <v>495</v>
      </c>
      <c r="BH171">
        <v>3</v>
      </c>
      <c r="BI171">
        <v>0.82848545636910698</v>
      </c>
      <c r="BJ171" t="s">
        <v>493</v>
      </c>
      <c r="BK171">
        <v>2</v>
      </c>
      <c r="BL171">
        <v>1.0521885521885499</v>
      </c>
      <c r="BM171" t="s">
        <v>494</v>
      </c>
      <c r="BN171">
        <v>2</v>
      </c>
      <c r="BO171">
        <v>1.2800877800877799</v>
      </c>
      <c r="BP171" t="s">
        <v>498</v>
      </c>
      <c r="BQ171">
        <v>3</v>
      </c>
      <c r="BR171">
        <v>0.91292875989445899</v>
      </c>
      <c r="BS171" t="s">
        <v>502</v>
      </c>
      <c r="BT171">
        <v>2</v>
      </c>
      <c r="BU171">
        <v>1.0335820895522301</v>
      </c>
      <c r="BV171" t="s">
        <v>498</v>
      </c>
      <c r="BW171">
        <v>3</v>
      </c>
      <c r="BX171">
        <v>0.98214285714285698</v>
      </c>
      <c r="BY171" t="s">
        <v>502</v>
      </c>
      <c r="BZ171">
        <v>2</v>
      </c>
      <c r="CA171">
        <v>1.1441774491682</v>
      </c>
      <c r="CB171" t="s">
        <v>506</v>
      </c>
      <c r="CC171">
        <v>3</v>
      </c>
      <c r="CD171">
        <v>0.98389458272327901</v>
      </c>
      <c r="CE171" t="s">
        <v>502</v>
      </c>
      <c r="CF171">
        <v>2</v>
      </c>
      <c r="CG171">
        <v>0.94090909090909003</v>
      </c>
      <c r="CH171" t="s">
        <v>499</v>
      </c>
      <c r="CI171">
        <v>2</v>
      </c>
      <c r="CJ171">
        <v>1.21832358674463</v>
      </c>
      <c r="CK171" t="s">
        <v>527</v>
      </c>
      <c r="CL171">
        <v>2</v>
      </c>
      <c r="CM171">
        <v>0.91012838801711804</v>
      </c>
      <c r="CN171" t="s">
        <v>511</v>
      </c>
      <c r="CO171">
        <v>3</v>
      </c>
      <c r="CP171">
        <v>0.81398252184769004</v>
      </c>
      <c r="CQ171" t="s">
        <v>510</v>
      </c>
      <c r="CR171">
        <v>2</v>
      </c>
      <c r="CS171">
        <v>0.925035360678925</v>
      </c>
      <c r="CT171" t="s">
        <v>517</v>
      </c>
      <c r="CU171">
        <v>1</v>
      </c>
      <c r="CV171">
        <v>1.0162601626016201</v>
      </c>
      <c r="CW171" t="s">
        <v>517</v>
      </c>
      <c r="CX171">
        <v>1</v>
      </c>
      <c r="CY171">
        <v>1.01142857142857</v>
      </c>
      <c r="CZ171" t="s">
        <v>513</v>
      </c>
      <c r="DA171">
        <v>2</v>
      </c>
      <c r="DB171">
        <v>0.97021276595744599</v>
      </c>
      <c r="DC171" t="s">
        <v>510</v>
      </c>
      <c r="DD171">
        <v>2</v>
      </c>
      <c r="DE171">
        <v>1.0341997264021801</v>
      </c>
      <c r="DF171" t="s">
        <v>534</v>
      </c>
      <c r="DG171">
        <v>2</v>
      </c>
      <c r="DH171">
        <v>1.21634615384615</v>
      </c>
    </row>
    <row r="172" spans="1:112" x14ac:dyDescent="0.4">
      <c r="A172">
        <v>170</v>
      </c>
      <c r="B172" t="s">
        <v>423</v>
      </c>
      <c r="C172">
        <v>2</v>
      </c>
      <c r="D172">
        <v>1.1752374713396601</v>
      </c>
      <c r="E172" t="s">
        <v>431</v>
      </c>
      <c r="F172">
        <v>2</v>
      </c>
      <c r="G172">
        <v>0.969465648854961</v>
      </c>
      <c r="H172" t="s">
        <v>431</v>
      </c>
      <c r="I172">
        <v>2</v>
      </c>
      <c r="J172">
        <v>0.80314960629921195</v>
      </c>
      <c r="K172" t="s">
        <v>425</v>
      </c>
      <c r="L172">
        <v>1</v>
      </c>
      <c r="M172">
        <v>1.29605263157894</v>
      </c>
      <c r="N172" t="s">
        <v>431</v>
      </c>
      <c r="O172">
        <v>2</v>
      </c>
      <c r="P172">
        <v>1.2862862862862801</v>
      </c>
      <c r="Q172" t="s">
        <v>440</v>
      </c>
      <c r="R172">
        <v>2</v>
      </c>
      <c r="S172">
        <v>0.96240601503759304</v>
      </c>
      <c r="T172" t="s">
        <v>440</v>
      </c>
      <c r="U172">
        <v>2</v>
      </c>
      <c r="V172">
        <v>0.9296875</v>
      </c>
      <c r="W172" t="s">
        <v>469</v>
      </c>
      <c r="X172">
        <v>1</v>
      </c>
      <c r="Y172">
        <v>1.0391304347826</v>
      </c>
      <c r="Z172" t="s">
        <v>456</v>
      </c>
      <c r="AA172">
        <v>2</v>
      </c>
      <c r="AB172">
        <v>1.0218750000000001</v>
      </c>
      <c r="AC172" t="s">
        <v>469</v>
      </c>
      <c r="AD172">
        <v>2</v>
      </c>
      <c r="AE172">
        <v>1.28019323671497</v>
      </c>
      <c r="AF172" t="s">
        <v>448</v>
      </c>
      <c r="AG172">
        <v>2</v>
      </c>
      <c r="AH172">
        <v>1.24184261036468</v>
      </c>
      <c r="AI172" t="s">
        <v>446</v>
      </c>
      <c r="AJ172">
        <v>3</v>
      </c>
      <c r="AK172">
        <v>0.909266409266409</v>
      </c>
      <c r="AL172" t="s">
        <v>472</v>
      </c>
      <c r="AM172">
        <v>2</v>
      </c>
      <c r="AN172">
        <v>0.86729362591431503</v>
      </c>
      <c r="AO172" t="s">
        <v>466</v>
      </c>
      <c r="AP172">
        <v>3</v>
      </c>
      <c r="AQ172">
        <v>0.88235294117647001</v>
      </c>
      <c r="AR172" t="s">
        <v>456</v>
      </c>
      <c r="AS172">
        <v>2</v>
      </c>
      <c r="AT172">
        <v>0.90255009107468098</v>
      </c>
      <c r="AU172" t="s">
        <v>472</v>
      </c>
      <c r="AV172">
        <v>2</v>
      </c>
      <c r="AW172">
        <v>2.0744680851063801</v>
      </c>
      <c r="AX172" t="s">
        <v>468</v>
      </c>
      <c r="AY172">
        <v>2</v>
      </c>
      <c r="AZ172">
        <v>0.56735486376286304</v>
      </c>
      <c r="BA172" t="s">
        <v>481</v>
      </c>
      <c r="BB172">
        <v>1</v>
      </c>
      <c r="BC172">
        <v>0.91129032258064502</v>
      </c>
      <c r="BD172" t="s">
        <v>481</v>
      </c>
      <c r="BE172">
        <v>1</v>
      </c>
      <c r="BF172">
        <v>0.99115044247787598</v>
      </c>
      <c r="BG172" t="s">
        <v>488</v>
      </c>
      <c r="BH172">
        <v>3</v>
      </c>
      <c r="BI172">
        <v>1.0024999999999999</v>
      </c>
      <c r="BJ172" t="s">
        <v>494</v>
      </c>
      <c r="BK172">
        <v>2</v>
      </c>
      <c r="BL172">
        <v>1.0554675118858901</v>
      </c>
      <c r="BM172" t="s">
        <v>497</v>
      </c>
      <c r="BN172">
        <v>3</v>
      </c>
      <c r="BO172">
        <v>1.00265251989389</v>
      </c>
      <c r="BP172" t="s">
        <v>505</v>
      </c>
      <c r="BQ172">
        <v>3</v>
      </c>
      <c r="BR172">
        <v>1.0782778864970599</v>
      </c>
      <c r="BS172" t="s">
        <v>503</v>
      </c>
      <c r="BT172">
        <v>1</v>
      </c>
      <c r="BU172">
        <v>1.0050377833753099</v>
      </c>
      <c r="BV172" t="s">
        <v>499</v>
      </c>
      <c r="BW172">
        <v>2</v>
      </c>
      <c r="BX172">
        <v>1.0501930501930501</v>
      </c>
      <c r="BY172" t="s">
        <v>503</v>
      </c>
      <c r="BZ172">
        <v>1</v>
      </c>
      <c r="CA172">
        <v>1.1956834532374101</v>
      </c>
      <c r="CB172" t="s">
        <v>515</v>
      </c>
      <c r="CC172">
        <v>2</v>
      </c>
      <c r="CD172">
        <v>0.77703826955074795</v>
      </c>
      <c r="CE172" t="s">
        <v>503</v>
      </c>
      <c r="CF172">
        <v>1</v>
      </c>
      <c r="CG172">
        <v>1.0025706940874</v>
      </c>
      <c r="CH172" t="s">
        <v>502</v>
      </c>
      <c r="CI172">
        <v>2</v>
      </c>
      <c r="CJ172">
        <v>1.1384863123993501</v>
      </c>
      <c r="CK172" t="s">
        <v>532</v>
      </c>
      <c r="CL172">
        <v>2</v>
      </c>
      <c r="CM172">
        <v>0.93449781659388598</v>
      </c>
      <c r="CN172" t="s">
        <v>517</v>
      </c>
      <c r="CO172">
        <v>1</v>
      </c>
      <c r="CP172">
        <v>0.69997754322928296</v>
      </c>
      <c r="CQ172" t="s">
        <v>517</v>
      </c>
      <c r="CR172">
        <v>1</v>
      </c>
      <c r="CS172">
        <v>0.92075713827398098</v>
      </c>
      <c r="CT172" t="s">
        <v>518</v>
      </c>
      <c r="CU172">
        <v>2</v>
      </c>
      <c r="CV172">
        <v>1.11686746987951</v>
      </c>
      <c r="CW172" t="s">
        <v>518</v>
      </c>
      <c r="CX172">
        <v>2</v>
      </c>
      <c r="CY172">
        <v>0.98597626752966505</v>
      </c>
      <c r="CZ172" t="s">
        <v>517</v>
      </c>
      <c r="DA172">
        <v>1</v>
      </c>
      <c r="DB172">
        <v>1.0124293785310701</v>
      </c>
      <c r="DC172" t="s">
        <v>517</v>
      </c>
      <c r="DD172">
        <v>1</v>
      </c>
      <c r="DE172">
        <v>0.96875</v>
      </c>
      <c r="DF172" t="s">
        <v>537</v>
      </c>
      <c r="DG172">
        <v>2</v>
      </c>
      <c r="DH172">
        <v>1.0192307692307601</v>
      </c>
    </row>
    <row r="173" spans="1:112" x14ac:dyDescent="0.4">
      <c r="A173">
        <v>171</v>
      </c>
      <c r="B173" t="s">
        <v>431</v>
      </c>
      <c r="C173">
        <v>2</v>
      </c>
      <c r="D173">
        <v>0.94244604316546698</v>
      </c>
      <c r="E173" t="s">
        <v>451</v>
      </c>
      <c r="F173">
        <v>2</v>
      </c>
      <c r="G173">
        <v>0.50885558583106205</v>
      </c>
      <c r="H173" t="s">
        <v>482</v>
      </c>
      <c r="I173">
        <v>2</v>
      </c>
      <c r="J173">
        <v>0.64521739130434697</v>
      </c>
      <c r="K173" t="s">
        <v>482</v>
      </c>
      <c r="L173">
        <v>2</v>
      </c>
      <c r="M173">
        <v>1.0215633423180499</v>
      </c>
      <c r="N173" t="s">
        <v>425</v>
      </c>
      <c r="O173">
        <v>1</v>
      </c>
      <c r="P173">
        <v>1.0406091370558299</v>
      </c>
      <c r="Q173" t="s">
        <v>448</v>
      </c>
      <c r="R173">
        <v>2</v>
      </c>
      <c r="S173">
        <v>1.36723163841807</v>
      </c>
      <c r="T173" t="s">
        <v>445</v>
      </c>
      <c r="U173">
        <v>2</v>
      </c>
      <c r="V173">
        <v>0.930291508238276</v>
      </c>
      <c r="W173" t="s">
        <v>457</v>
      </c>
      <c r="X173">
        <v>1</v>
      </c>
      <c r="Y173">
        <v>0.99019607843137203</v>
      </c>
      <c r="Z173" t="s">
        <v>468</v>
      </c>
      <c r="AA173">
        <v>2</v>
      </c>
      <c r="AB173">
        <v>1.0611090678195401</v>
      </c>
      <c r="AC173" t="s">
        <v>446</v>
      </c>
      <c r="AD173">
        <v>3</v>
      </c>
      <c r="AE173">
        <v>0.87290969899665505</v>
      </c>
      <c r="AF173" t="s">
        <v>469</v>
      </c>
      <c r="AG173">
        <v>2</v>
      </c>
      <c r="AH173">
        <v>1.71698113207547</v>
      </c>
      <c r="AI173" t="s">
        <v>457</v>
      </c>
      <c r="AJ173">
        <v>1</v>
      </c>
      <c r="AK173">
        <v>1.2098408104196801</v>
      </c>
      <c r="AL173" t="s">
        <v>485</v>
      </c>
      <c r="AM173">
        <v>3</v>
      </c>
      <c r="AN173">
        <v>1.2535460992907801</v>
      </c>
      <c r="AO173" t="s">
        <v>467</v>
      </c>
      <c r="AP173">
        <v>2</v>
      </c>
      <c r="AQ173">
        <v>1.07883817427385</v>
      </c>
      <c r="AR173" t="s">
        <v>468</v>
      </c>
      <c r="AS173">
        <v>2</v>
      </c>
      <c r="AT173">
        <v>0.85822797619423996</v>
      </c>
      <c r="AU173" t="s">
        <v>485</v>
      </c>
      <c r="AV173">
        <v>3</v>
      </c>
      <c r="AW173">
        <v>1.1335978835978799</v>
      </c>
      <c r="AX173" t="s">
        <v>463</v>
      </c>
      <c r="AY173">
        <v>1</v>
      </c>
      <c r="AZ173">
        <v>0.85758513931888503</v>
      </c>
      <c r="BA173" t="s">
        <v>483</v>
      </c>
      <c r="BB173">
        <v>1</v>
      </c>
      <c r="BC173">
        <v>1.1658456486042601</v>
      </c>
      <c r="BD173" t="s">
        <v>495</v>
      </c>
      <c r="BE173">
        <v>3</v>
      </c>
      <c r="BF173">
        <v>0.89017857142857104</v>
      </c>
      <c r="BG173" t="s">
        <v>545</v>
      </c>
      <c r="BH173">
        <v>2</v>
      </c>
      <c r="BI173">
        <v>1.4734346902076101</v>
      </c>
      <c r="BJ173" t="s">
        <v>498</v>
      </c>
      <c r="BK173">
        <v>3</v>
      </c>
      <c r="BL173">
        <v>1.23028391167192</v>
      </c>
      <c r="BM173" t="s">
        <v>498</v>
      </c>
      <c r="BN173">
        <v>3</v>
      </c>
      <c r="BO173">
        <v>0.97179487179487101</v>
      </c>
      <c r="BP173" t="s">
        <v>499</v>
      </c>
      <c r="BQ173">
        <v>2</v>
      </c>
      <c r="BR173">
        <v>1.09551656920077</v>
      </c>
      <c r="BS173" t="s">
        <v>506</v>
      </c>
      <c r="BT173">
        <v>3</v>
      </c>
      <c r="BU173">
        <v>0.94718309859154903</v>
      </c>
      <c r="BV173" t="s">
        <v>502</v>
      </c>
      <c r="BW173">
        <v>2</v>
      </c>
      <c r="BX173">
        <v>0.97653429602887998</v>
      </c>
      <c r="BY173" t="s">
        <v>506</v>
      </c>
      <c r="BZ173">
        <v>3</v>
      </c>
      <c r="CA173">
        <v>1.18370883882149</v>
      </c>
      <c r="CB173" t="s">
        <v>511</v>
      </c>
      <c r="CC173">
        <v>3</v>
      </c>
      <c r="CD173">
        <v>0.97840909090909001</v>
      </c>
      <c r="CE173" t="s">
        <v>506</v>
      </c>
      <c r="CF173">
        <v>3</v>
      </c>
      <c r="CG173">
        <v>0.85267857142857095</v>
      </c>
      <c r="CH173" t="s">
        <v>503</v>
      </c>
      <c r="CI173">
        <v>1</v>
      </c>
      <c r="CJ173">
        <v>1.0320512820512799</v>
      </c>
      <c r="CK173" t="s">
        <v>534</v>
      </c>
      <c r="CL173">
        <v>2</v>
      </c>
      <c r="CM173">
        <v>0.94673123486682798</v>
      </c>
      <c r="CN173" t="s">
        <v>518</v>
      </c>
      <c r="CO173">
        <v>2</v>
      </c>
      <c r="CP173">
        <v>1</v>
      </c>
      <c r="CQ173" t="s">
        <v>518</v>
      </c>
      <c r="CR173">
        <v>2</v>
      </c>
      <c r="CS173">
        <v>0.79807692307692302</v>
      </c>
      <c r="CT173" t="s">
        <v>519</v>
      </c>
      <c r="CU173">
        <v>1</v>
      </c>
      <c r="CV173">
        <v>1.0340909090909001</v>
      </c>
      <c r="CW173" t="s">
        <v>522</v>
      </c>
      <c r="CX173">
        <v>3</v>
      </c>
      <c r="CY173">
        <v>1.52597402597402</v>
      </c>
      <c r="CZ173" t="s">
        <v>518</v>
      </c>
      <c r="DA173">
        <v>2</v>
      </c>
      <c r="DB173">
        <v>1.04704595185995</v>
      </c>
      <c r="DC173" t="s">
        <v>518</v>
      </c>
      <c r="DD173">
        <v>2</v>
      </c>
      <c r="DE173">
        <v>1.08672936259143</v>
      </c>
      <c r="DF173" t="s">
        <v>539</v>
      </c>
      <c r="DG173">
        <v>2</v>
      </c>
      <c r="DH173">
        <v>0.94430992736077402</v>
      </c>
    </row>
    <row r="174" spans="1:112" x14ac:dyDescent="0.4">
      <c r="A174">
        <v>172</v>
      </c>
      <c r="B174" t="s">
        <v>451</v>
      </c>
      <c r="C174">
        <v>2</v>
      </c>
      <c r="D174">
        <v>0.97997329773030695</v>
      </c>
      <c r="E174" t="s">
        <v>482</v>
      </c>
      <c r="F174">
        <v>2</v>
      </c>
      <c r="G174">
        <v>0.78337874659400497</v>
      </c>
      <c r="H174" t="s">
        <v>453</v>
      </c>
      <c r="I174">
        <v>2</v>
      </c>
      <c r="J174">
        <v>0.625</v>
      </c>
      <c r="K174" t="s">
        <v>432</v>
      </c>
      <c r="L174">
        <v>1</v>
      </c>
      <c r="M174">
        <v>1.0439024390243901</v>
      </c>
      <c r="N174" t="s">
        <v>482</v>
      </c>
      <c r="O174">
        <v>2</v>
      </c>
      <c r="P174">
        <v>1.50395778364116</v>
      </c>
      <c r="Q174" t="s">
        <v>469</v>
      </c>
      <c r="R174">
        <v>1</v>
      </c>
      <c r="S174">
        <v>0.84857142857142798</v>
      </c>
      <c r="T174" t="s">
        <v>448</v>
      </c>
      <c r="U174">
        <v>2</v>
      </c>
      <c r="V174">
        <v>1.0041322314049499</v>
      </c>
      <c r="W174" t="s">
        <v>456</v>
      </c>
      <c r="X174">
        <v>2</v>
      </c>
      <c r="Y174">
        <v>0.89012517385257295</v>
      </c>
      <c r="Z174" t="s">
        <v>463</v>
      </c>
      <c r="AA174">
        <v>1</v>
      </c>
      <c r="AB174">
        <v>0.93717277486910999</v>
      </c>
      <c r="AC174" t="s">
        <v>457</v>
      </c>
      <c r="AD174">
        <v>1</v>
      </c>
      <c r="AE174">
        <v>0.99841269841269797</v>
      </c>
      <c r="AF174" t="s">
        <v>446</v>
      </c>
      <c r="AG174">
        <v>3</v>
      </c>
      <c r="AH174">
        <v>0.99233716475095701</v>
      </c>
      <c r="AI174" t="s">
        <v>474</v>
      </c>
      <c r="AJ174">
        <v>2</v>
      </c>
      <c r="AK174">
        <v>0.89539728856707101</v>
      </c>
      <c r="AL174" t="s">
        <v>489</v>
      </c>
      <c r="AM174">
        <v>2</v>
      </c>
      <c r="AN174">
        <v>0.76554001554001505</v>
      </c>
      <c r="AO174" t="s">
        <v>472</v>
      </c>
      <c r="AP174">
        <v>2</v>
      </c>
      <c r="AQ174">
        <v>0.86746987951807197</v>
      </c>
      <c r="AR174" t="s">
        <v>478</v>
      </c>
      <c r="AS174">
        <v>3</v>
      </c>
      <c r="AT174">
        <v>1.20977011494252</v>
      </c>
      <c r="AU174" t="s">
        <v>481</v>
      </c>
      <c r="AV174">
        <v>1</v>
      </c>
      <c r="AW174">
        <v>0.99873417721518898</v>
      </c>
      <c r="AX174" t="s">
        <v>478</v>
      </c>
      <c r="AY174">
        <v>3</v>
      </c>
      <c r="AZ174">
        <v>0.705955334987593</v>
      </c>
      <c r="BA174" t="s">
        <v>488</v>
      </c>
      <c r="BB174">
        <v>3</v>
      </c>
      <c r="BC174">
        <v>0.97297297297297303</v>
      </c>
      <c r="BD174" t="s">
        <v>488</v>
      </c>
      <c r="BE174">
        <v>3</v>
      </c>
      <c r="BF174">
        <v>0.92592592592592504</v>
      </c>
      <c r="BG174" t="s">
        <v>494</v>
      </c>
      <c r="BH174">
        <v>2</v>
      </c>
      <c r="BI174">
        <v>0.78168477225081001</v>
      </c>
      <c r="BJ174" t="s">
        <v>505</v>
      </c>
      <c r="BK174">
        <v>3</v>
      </c>
      <c r="BL174">
        <v>1.12280701754385</v>
      </c>
      <c r="BM174" t="s">
        <v>499</v>
      </c>
      <c r="BN174">
        <v>2</v>
      </c>
      <c r="BO174">
        <v>0.939560439560439</v>
      </c>
      <c r="BP174" t="s">
        <v>501</v>
      </c>
      <c r="BQ174">
        <v>3</v>
      </c>
      <c r="BR174">
        <v>1.5290322580645099</v>
      </c>
      <c r="BS174" t="s">
        <v>515</v>
      </c>
      <c r="BT174">
        <v>2</v>
      </c>
      <c r="BU174">
        <v>0.98342541436464004</v>
      </c>
      <c r="BV174" t="s">
        <v>503</v>
      </c>
      <c r="BW174">
        <v>1</v>
      </c>
      <c r="BX174">
        <v>0.87092731829573899</v>
      </c>
      <c r="BY174" t="s">
        <v>521</v>
      </c>
      <c r="BZ174">
        <v>3</v>
      </c>
      <c r="CA174">
        <v>1.0122217670353599</v>
      </c>
      <c r="CB174" t="s">
        <v>513</v>
      </c>
      <c r="CC174">
        <v>2</v>
      </c>
      <c r="CD174">
        <v>1.19358974358974</v>
      </c>
      <c r="CE174" t="s">
        <v>515</v>
      </c>
      <c r="CF174">
        <v>2</v>
      </c>
      <c r="CG174">
        <v>1.0835117773019201</v>
      </c>
      <c r="CH174" t="s">
        <v>506</v>
      </c>
      <c r="CI174">
        <v>3</v>
      </c>
      <c r="CJ174">
        <v>1.18150087260034</v>
      </c>
      <c r="CK174" t="s">
        <v>540</v>
      </c>
      <c r="CL174">
        <v>2</v>
      </c>
      <c r="CM174">
        <v>0.82978723404255295</v>
      </c>
      <c r="CN174" t="s">
        <v>522</v>
      </c>
      <c r="CO174">
        <v>3</v>
      </c>
      <c r="CP174">
        <v>1.0033112582781401</v>
      </c>
      <c r="CQ174" t="s">
        <v>522</v>
      </c>
      <c r="CR174">
        <v>3</v>
      </c>
      <c r="CS174">
        <v>0.88448844884488398</v>
      </c>
      <c r="CT174" t="s">
        <v>522</v>
      </c>
      <c r="CU174">
        <v>3</v>
      </c>
      <c r="CV174">
        <v>1.4365671641791</v>
      </c>
      <c r="CW174" t="s">
        <v>523</v>
      </c>
      <c r="CX174">
        <v>3</v>
      </c>
      <c r="CY174">
        <v>1.07528824642918</v>
      </c>
      <c r="CZ174" t="s">
        <v>519</v>
      </c>
      <c r="DA174">
        <v>1</v>
      </c>
      <c r="DB174">
        <v>1.1936507936507901</v>
      </c>
      <c r="DC174" t="s">
        <v>527</v>
      </c>
      <c r="DD174">
        <v>2</v>
      </c>
      <c r="DE174">
        <v>0.99300699300699302</v>
      </c>
      <c r="DF174" t="s">
        <v>552</v>
      </c>
      <c r="DG174" t="s">
        <v>547</v>
      </c>
      <c r="DH174">
        <v>0.98689489168226796</v>
      </c>
    </row>
    <row r="175" spans="1:112" x14ac:dyDescent="0.4">
      <c r="A175">
        <v>173</v>
      </c>
      <c r="B175" t="s">
        <v>482</v>
      </c>
      <c r="C175">
        <v>2</v>
      </c>
      <c r="D175">
        <v>0.88115246098439304</v>
      </c>
      <c r="E175" t="s">
        <v>453</v>
      </c>
      <c r="F175">
        <v>2</v>
      </c>
      <c r="G175">
        <v>0.86792452830188604</v>
      </c>
      <c r="H175" t="s">
        <v>455</v>
      </c>
      <c r="I175">
        <v>1</v>
      </c>
      <c r="J175">
        <v>0.49270225187656302</v>
      </c>
      <c r="K175" t="s">
        <v>437</v>
      </c>
      <c r="L175">
        <v>1</v>
      </c>
      <c r="M175">
        <v>1.21582282177061</v>
      </c>
      <c r="N175" t="s">
        <v>432</v>
      </c>
      <c r="O175">
        <v>1</v>
      </c>
      <c r="P175">
        <v>1.20327102803738</v>
      </c>
      <c r="Q175" t="s">
        <v>457</v>
      </c>
      <c r="R175">
        <v>1</v>
      </c>
      <c r="S175">
        <v>1.1187499999999999</v>
      </c>
      <c r="T175" t="s">
        <v>469</v>
      </c>
      <c r="U175">
        <v>1</v>
      </c>
      <c r="V175">
        <v>0.77441077441077399</v>
      </c>
      <c r="W175" t="s">
        <v>468</v>
      </c>
      <c r="X175">
        <v>2</v>
      </c>
      <c r="Y175">
        <v>1.1538486175724001</v>
      </c>
      <c r="Z175" t="s">
        <v>478</v>
      </c>
      <c r="AA175">
        <v>3</v>
      </c>
      <c r="AB175">
        <v>1.0287859824780901</v>
      </c>
      <c r="AC175" t="s">
        <v>474</v>
      </c>
      <c r="AD175">
        <v>2</v>
      </c>
      <c r="AE175">
        <v>0.98058217730143304</v>
      </c>
      <c r="AF175" t="s">
        <v>457</v>
      </c>
      <c r="AG175">
        <v>1</v>
      </c>
      <c r="AH175">
        <v>1.0985691573926799</v>
      </c>
      <c r="AI175" t="s">
        <v>456</v>
      </c>
      <c r="AJ175">
        <v>2</v>
      </c>
      <c r="AK175">
        <v>0.92201039861351797</v>
      </c>
      <c r="AL175" t="s">
        <v>481</v>
      </c>
      <c r="AM175">
        <v>1</v>
      </c>
      <c r="AN175">
        <v>0.86</v>
      </c>
      <c r="AO175" t="s">
        <v>485</v>
      </c>
      <c r="AP175">
        <v>3</v>
      </c>
      <c r="AQ175">
        <v>1.16973125884016</v>
      </c>
      <c r="AR175" t="s">
        <v>472</v>
      </c>
      <c r="AS175">
        <v>2</v>
      </c>
      <c r="AT175">
        <v>0.91388888888888797</v>
      </c>
      <c r="AU175" t="s">
        <v>488</v>
      </c>
      <c r="AV175">
        <v>2</v>
      </c>
      <c r="AW175">
        <v>1.0281690140844999</v>
      </c>
      <c r="AX175" t="s">
        <v>485</v>
      </c>
      <c r="AY175">
        <v>3</v>
      </c>
      <c r="AZ175">
        <v>1.0151691948658099</v>
      </c>
      <c r="BA175" t="s">
        <v>490</v>
      </c>
      <c r="BB175">
        <v>3</v>
      </c>
      <c r="BC175">
        <v>1.0270551508844901</v>
      </c>
      <c r="BD175" t="s">
        <v>490</v>
      </c>
      <c r="BE175">
        <v>3</v>
      </c>
      <c r="BF175">
        <v>1.2644376899695999</v>
      </c>
      <c r="BG175" t="s">
        <v>498</v>
      </c>
      <c r="BH175">
        <v>3</v>
      </c>
      <c r="BI175">
        <v>0.92151162790697605</v>
      </c>
      <c r="BJ175" t="s">
        <v>499</v>
      </c>
      <c r="BK175">
        <v>2</v>
      </c>
      <c r="BL175">
        <v>0.93653516295025696</v>
      </c>
      <c r="BM175" t="s">
        <v>501</v>
      </c>
      <c r="BN175">
        <v>3</v>
      </c>
      <c r="BO175">
        <v>1.1698113207547101</v>
      </c>
      <c r="BP175" t="s">
        <v>502</v>
      </c>
      <c r="BQ175">
        <v>2</v>
      </c>
      <c r="BR175">
        <v>1.0190114068441001</v>
      </c>
      <c r="BS175" t="s">
        <v>510</v>
      </c>
      <c r="BT175">
        <v>2</v>
      </c>
      <c r="BU175">
        <v>1.16363636363636</v>
      </c>
      <c r="BV175" t="s">
        <v>506</v>
      </c>
      <c r="BW175">
        <v>3</v>
      </c>
      <c r="BX175">
        <v>1.0724907063197</v>
      </c>
      <c r="BY175" t="s">
        <v>511</v>
      </c>
      <c r="BZ175">
        <v>3</v>
      </c>
      <c r="CA175">
        <v>0.91003102378490097</v>
      </c>
      <c r="CB175" t="s">
        <v>518</v>
      </c>
      <c r="CC175">
        <v>1</v>
      </c>
      <c r="CD175">
        <v>0.68561382947553395</v>
      </c>
      <c r="CE175" t="s">
        <v>508</v>
      </c>
      <c r="CF175">
        <v>3</v>
      </c>
      <c r="CG175">
        <v>1.01697312588401</v>
      </c>
      <c r="CH175" t="s">
        <v>515</v>
      </c>
      <c r="CI175">
        <v>2</v>
      </c>
      <c r="CJ175">
        <v>1.3181818181818099</v>
      </c>
      <c r="CK175" t="s">
        <v>552</v>
      </c>
      <c r="CL175" t="s">
        <v>547</v>
      </c>
      <c r="CM175">
        <v>0.724884849993775</v>
      </c>
      <c r="CN175" t="s">
        <v>526</v>
      </c>
      <c r="CO175">
        <v>1</v>
      </c>
      <c r="CP175">
        <v>1.24898511502029</v>
      </c>
      <c r="CQ175" t="s">
        <v>523</v>
      </c>
      <c r="CR175">
        <v>3</v>
      </c>
      <c r="CS175">
        <v>0.83781930396022597</v>
      </c>
      <c r="CT175" t="s">
        <v>523</v>
      </c>
      <c r="CU175">
        <v>3</v>
      </c>
      <c r="CV175">
        <v>1.1890730509515</v>
      </c>
      <c r="CW175" t="s">
        <v>527</v>
      </c>
      <c r="CX175">
        <v>2</v>
      </c>
      <c r="CY175">
        <v>1.0667870036100999</v>
      </c>
      <c r="CZ175" t="s">
        <v>527</v>
      </c>
      <c r="DA175">
        <v>2</v>
      </c>
      <c r="DB175">
        <v>0.96785109983079498</v>
      </c>
      <c r="DC175" t="s">
        <v>528</v>
      </c>
      <c r="DD175">
        <v>2</v>
      </c>
      <c r="DE175">
        <v>1.25133689839572</v>
      </c>
      <c r="DF175" t="s">
        <v>582</v>
      </c>
      <c r="DG175" t="s">
        <v>547</v>
      </c>
      <c r="DH175">
        <v>1.1062355658198599</v>
      </c>
    </row>
    <row r="176" spans="1:112" x14ac:dyDescent="0.4">
      <c r="A176">
        <v>174</v>
      </c>
      <c r="B176" t="s">
        <v>453</v>
      </c>
      <c r="C176">
        <v>2</v>
      </c>
      <c r="D176">
        <v>0.81070745697896696</v>
      </c>
      <c r="E176" t="s">
        <v>455</v>
      </c>
      <c r="F176">
        <v>1</v>
      </c>
      <c r="G176">
        <v>0.74676908704001599</v>
      </c>
      <c r="H176" t="s">
        <v>433</v>
      </c>
      <c r="I176">
        <v>1</v>
      </c>
      <c r="J176">
        <v>0.61182986727975697</v>
      </c>
      <c r="K176" t="s">
        <v>455</v>
      </c>
      <c r="L176">
        <v>1</v>
      </c>
      <c r="M176">
        <v>0.88066017774016003</v>
      </c>
      <c r="N176" t="s">
        <v>437</v>
      </c>
      <c r="O176">
        <v>1</v>
      </c>
      <c r="P176">
        <v>1.83719785300015</v>
      </c>
      <c r="Q176" t="s">
        <v>456</v>
      </c>
      <c r="R176">
        <v>2</v>
      </c>
      <c r="S176">
        <v>1.0077519379844899</v>
      </c>
      <c r="T176" t="s">
        <v>457</v>
      </c>
      <c r="U176">
        <v>1</v>
      </c>
      <c r="V176">
        <v>0.85474860335195502</v>
      </c>
      <c r="W176" t="s">
        <v>463</v>
      </c>
      <c r="X176">
        <v>1</v>
      </c>
      <c r="Y176">
        <v>1.2050473186119799</v>
      </c>
      <c r="Z176" t="s">
        <v>472</v>
      </c>
      <c r="AA176">
        <v>2</v>
      </c>
      <c r="AB176">
        <v>0.69260700389105001</v>
      </c>
      <c r="AC176" t="s">
        <v>456</v>
      </c>
      <c r="AD176">
        <v>2</v>
      </c>
      <c r="AE176">
        <v>0.92966360856269104</v>
      </c>
      <c r="AF176" t="s">
        <v>474</v>
      </c>
      <c r="AG176">
        <v>2</v>
      </c>
      <c r="AH176">
        <v>1.1831684116307299</v>
      </c>
      <c r="AI176" t="s">
        <v>459</v>
      </c>
      <c r="AJ176">
        <v>2</v>
      </c>
      <c r="AK176">
        <v>1.0222222222222199</v>
      </c>
      <c r="AL176" t="s">
        <v>512</v>
      </c>
      <c r="AM176">
        <v>3</v>
      </c>
      <c r="AN176">
        <v>0.90292578957566305</v>
      </c>
      <c r="AO176" t="s">
        <v>481</v>
      </c>
      <c r="AP176">
        <v>1</v>
      </c>
      <c r="AQ176">
        <v>0.92894056847545203</v>
      </c>
      <c r="AR176" t="s">
        <v>485</v>
      </c>
      <c r="AS176">
        <v>3</v>
      </c>
      <c r="AT176">
        <v>0.91414752116082199</v>
      </c>
      <c r="AU176" t="s">
        <v>490</v>
      </c>
      <c r="AV176">
        <v>3</v>
      </c>
      <c r="AW176">
        <v>1.0958083832335299</v>
      </c>
      <c r="AX176" t="s">
        <v>481</v>
      </c>
      <c r="AY176">
        <v>1</v>
      </c>
      <c r="AZ176">
        <v>0.94296577946768001</v>
      </c>
      <c r="BA176" t="s">
        <v>491</v>
      </c>
      <c r="BB176">
        <v>1</v>
      </c>
      <c r="BC176">
        <v>1.16785714285714</v>
      </c>
      <c r="BD176" t="s">
        <v>494</v>
      </c>
      <c r="BE176">
        <v>2</v>
      </c>
      <c r="BF176">
        <v>1.0414847161572001</v>
      </c>
      <c r="BG176" t="s">
        <v>501</v>
      </c>
      <c r="BH176">
        <v>2</v>
      </c>
      <c r="BI176">
        <v>0.90333333333333299</v>
      </c>
      <c r="BJ176" t="s">
        <v>501</v>
      </c>
      <c r="BK176">
        <v>2</v>
      </c>
      <c r="BL176">
        <v>0.97785977859778594</v>
      </c>
      <c r="BM176" t="s">
        <v>502</v>
      </c>
      <c r="BN176">
        <v>2</v>
      </c>
      <c r="BO176">
        <v>0.97769516728624495</v>
      </c>
      <c r="BP176" t="s">
        <v>503</v>
      </c>
      <c r="BQ176">
        <v>1</v>
      </c>
      <c r="BR176">
        <v>1.11204481792717</v>
      </c>
      <c r="BS176" t="s">
        <v>511</v>
      </c>
      <c r="BT176">
        <v>3</v>
      </c>
      <c r="BU176">
        <v>0.97499999999999998</v>
      </c>
      <c r="BV176" t="s">
        <v>515</v>
      </c>
      <c r="BW176">
        <v>2</v>
      </c>
      <c r="BX176">
        <v>1.3014981273408199</v>
      </c>
      <c r="BY176" t="s">
        <v>513</v>
      </c>
      <c r="BZ176">
        <v>2</v>
      </c>
      <c r="CA176">
        <v>1.1509517485613101</v>
      </c>
      <c r="CB176" t="s">
        <v>530</v>
      </c>
      <c r="CC176">
        <v>3</v>
      </c>
      <c r="CD176">
        <v>0.82558139534883701</v>
      </c>
      <c r="CE176" t="s">
        <v>511</v>
      </c>
      <c r="CF176">
        <v>3</v>
      </c>
      <c r="CG176">
        <v>1.03019744483159</v>
      </c>
      <c r="CH176" t="s">
        <v>508</v>
      </c>
      <c r="CI176">
        <v>3</v>
      </c>
      <c r="CJ176">
        <v>0.99304589707927604</v>
      </c>
      <c r="CK176" t="s">
        <v>555</v>
      </c>
      <c r="CL176" t="s">
        <v>547</v>
      </c>
      <c r="CM176">
        <v>0.90495958051125103</v>
      </c>
      <c r="CN176" t="s">
        <v>527</v>
      </c>
      <c r="CO176">
        <v>2</v>
      </c>
      <c r="CP176">
        <v>0.87617554858934099</v>
      </c>
      <c r="CQ176" t="s">
        <v>527</v>
      </c>
      <c r="CR176">
        <v>2</v>
      </c>
      <c r="CS176">
        <v>0.95527728085867603</v>
      </c>
      <c r="CT176" t="s">
        <v>527</v>
      </c>
      <c r="CU176">
        <v>2</v>
      </c>
      <c r="CV176">
        <v>1.03745318352059</v>
      </c>
      <c r="CW176" t="s">
        <v>531</v>
      </c>
      <c r="CX176">
        <v>2</v>
      </c>
      <c r="CY176">
        <v>1.0644257703081199</v>
      </c>
      <c r="CZ176" t="s">
        <v>532</v>
      </c>
      <c r="DA176">
        <v>3</v>
      </c>
      <c r="DB176">
        <v>0.95538057742782101</v>
      </c>
      <c r="DC176" t="s">
        <v>532</v>
      </c>
      <c r="DD176">
        <v>3</v>
      </c>
      <c r="DE176">
        <v>1.0590659340659301</v>
      </c>
      <c r="DF176" t="s">
        <v>639</v>
      </c>
      <c r="DG176" t="s">
        <v>547</v>
      </c>
      <c r="DH176">
        <v>0.78640776699029102</v>
      </c>
    </row>
    <row r="177" spans="1:112" x14ac:dyDescent="0.4">
      <c r="A177">
        <v>175</v>
      </c>
      <c r="B177" t="s">
        <v>437</v>
      </c>
      <c r="C177">
        <v>1</v>
      </c>
      <c r="D177">
        <v>1.2237583075440099</v>
      </c>
      <c r="E177" t="s">
        <v>433</v>
      </c>
      <c r="F177">
        <v>1</v>
      </c>
      <c r="G177">
        <v>0.96795403508061995</v>
      </c>
      <c r="H177" t="s">
        <v>436</v>
      </c>
      <c r="I177">
        <v>3</v>
      </c>
      <c r="J177">
        <v>0.64573991031390099</v>
      </c>
      <c r="K177" t="s">
        <v>433</v>
      </c>
      <c r="L177">
        <v>1</v>
      </c>
      <c r="M177">
        <v>0.79595531718648505</v>
      </c>
      <c r="N177" t="s">
        <v>455</v>
      </c>
      <c r="O177">
        <v>1</v>
      </c>
      <c r="P177">
        <v>1.7624539484222299</v>
      </c>
      <c r="Q177" t="s">
        <v>459</v>
      </c>
      <c r="R177">
        <v>2</v>
      </c>
      <c r="S177">
        <v>1.1071428571428501</v>
      </c>
      <c r="T177" t="s">
        <v>456</v>
      </c>
      <c r="U177">
        <v>2</v>
      </c>
      <c r="V177">
        <v>1.10615384615384</v>
      </c>
      <c r="W177" t="s">
        <v>478</v>
      </c>
      <c r="X177">
        <v>3</v>
      </c>
      <c r="Y177">
        <v>1.0430809399477801</v>
      </c>
      <c r="Z177" t="s">
        <v>485</v>
      </c>
      <c r="AA177">
        <v>3</v>
      </c>
      <c r="AB177">
        <v>1.09215017064846</v>
      </c>
      <c r="AC177" t="s">
        <v>468</v>
      </c>
      <c r="AD177">
        <v>2</v>
      </c>
      <c r="AE177">
        <v>1.4790561706635901</v>
      </c>
      <c r="AF177" t="s">
        <v>456</v>
      </c>
      <c r="AG177">
        <v>2</v>
      </c>
      <c r="AH177">
        <v>0.94901315789473595</v>
      </c>
      <c r="AI177" t="s">
        <v>460</v>
      </c>
      <c r="AJ177">
        <v>3</v>
      </c>
      <c r="AK177">
        <v>0.90295748613678295</v>
      </c>
      <c r="AL177" t="s">
        <v>488</v>
      </c>
      <c r="AM177">
        <v>2</v>
      </c>
      <c r="AN177">
        <v>1.02495201535508</v>
      </c>
      <c r="AO177" t="s">
        <v>488</v>
      </c>
      <c r="AP177">
        <v>2</v>
      </c>
      <c r="AQ177">
        <v>0.97378277153558002</v>
      </c>
      <c r="AR177" t="s">
        <v>481</v>
      </c>
      <c r="AS177">
        <v>1</v>
      </c>
      <c r="AT177">
        <v>1.0987482614742601</v>
      </c>
      <c r="AU177" t="s">
        <v>507</v>
      </c>
      <c r="AV177">
        <v>3</v>
      </c>
      <c r="AW177">
        <v>1.14042759961127</v>
      </c>
      <c r="AX177" t="s">
        <v>495</v>
      </c>
      <c r="AY177">
        <v>3</v>
      </c>
      <c r="AZ177">
        <v>0.90243902439024304</v>
      </c>
      <c r="BA177" t="s">
        <v>494</v>
      </c>
      <c r="BB177">
        <v>2</v>
      </c>
      <c r="BC177">
        <v>0.79021253235040301</v>
      </c>
      <c r="BD177" t="s">
        <v>498</v>
      </c>
      <c r="BE177">
        <v>3</v>
      </c>
      <c r="BF177">
        <v>0.86868686868686795</v>
      </c>
      <c r="BG177" t="s">
        <v>502</v>
      </c>
      <c r="BH177">
        <v>2</v>
      </c>
      <c r="BI177">
        <v>1.11583011583011</v>
      </c>
      <c r="BJ177" t="s">
        <v>502</v>
      </c>
      <c r="BK177">
        <v>2</v>
      </c>
      <c r="BL177">
        <v>0.93079584775086499</v>
      </c>
      <c r="BM177" t="s">
        <v>503</v>
      </c>
      <c r="BN177">
        <v>1</v>
      </c>
      <c r="BO177">
        <v>0.96617050067658905</v>
      </c>
      <c r="BP177" t="s">
        <v>506</v>
      </c>
      <c r="BQ177">
        <v>3</v>
      </c>
      <c r="BR177">
        <v>1.04411764705882</v>
      </c>
      <c r="BS177" t="s">
        <v>513</v>
      </c>
      <c r="BT177">
        <v>2</v>
      </c>
      <c r="BU177">
        <v>1.17984758679085</v>
      </c>
      <c r="BV177" t="s">
        <v>521</v>
      </c>
      <c r="BW177">
        <v>3</v>
      </c>
      <c r="BX177">
        <v>0.904520750988142</v>
      </c>
      <c r="BY177" t="s">
        <v>517</v>
      </c>
      <c r="BZ177">
        <v>1</v>
      </c>
      <c r="CA177">
        <v>1.0803613248578099</v>
      </c>
      <c r="CB177" t="s">
        <v>533</v>
      </c>
      <c r="CC177">
        <v>3</v>
      </c>
      <c r="CD177">
        <v>0.826315789473684</v>
      </c>
      <c r="CE177" t="s">
        <v>517</v>
      </c>
      <c r="CF177">
        <v>1</v>
      </c>
      <c r="CG177">
        <v>0.94903572138643999</v>
      </c>
      <c r="CH177" t="s">
        <v>511</v>
      </c>
      <c r="CI177">
        <v>3</v>
      </c>
      <c r="CJ177">
        <v>0.92108229988725998</v>
      </c>
      <c r="CK177" t="s">
        <v>562</v>
      </c>
      <c r="CL177" t="s">
        <v>547</v>
      </c>
      <c r="CM177">
        <v>0.72299465240641703</v>
      </c>
      <c r="CN177" t="s">
        <v>532</v>
      </c>
      <c r="CO177">
        <v>2</v>
      </c>
      <c r="CP177">
        <v>0.92897196261682202</v>
      </c>
      <c r="CQ177" t="s">
        <v>532</v>
      </c>
      <c r="CR177">
        <v>2</v>
      </c>
      <c r="CS177">
        <v>0.96076458752515004</v>
      </c>
      <c r="CT177" t="s">
        <v>531</v>
      </c>
      <c r="CU177">
        <v>2</v>
      </c>
      <c r="CV177">
        <v>1.24139369914458</v>
      </c>
      <c r="CW177" t="s">
        <v>532</v>
      </c>
      <c r="CX177">
        <v>3</v>
      </c>
      <c r="CY177">
        <v>0.87285223367697595</v>
      </c>
      <c r="CZ177" t="s">
        <v>534</v>
      </c>
      <c r="DA177">
        <v>2</v>
      </c>
      <c r="DB177">
        <v>1.09925293489861</v>
      </c>
      <c r="DC177" t="s">
        <v>534</v>
      </c>
      <c r="DD177">
        <v>2</v>
      </c>
      <c r="DE177">
        <v>1.0097087378640699</v>
      </c>
      <c r="DF177" t="s">
        <v>553</v>
      </c>
      <c r="DG177" t="s">
        <v>547</v>
      </c>
      <c r="DH177">
        <v>0.78017241379310298</v>
      </c>
    </row>
    <row r="178" spans="1:112" x14ac:dyDescent="0.4">
      <c r="A178">
        <v>176</v>
      </c>
      <c r="B178" t="s">
        <v>455</v>
      </c>
      <c r="C178">
        <v>1</v>
      </c>
      <c r="D178">
        <v>1.13488837839429</v>
      </c>
      <c r="E178" t="s">
        <v>436</v>
      </c>
      <c r="F178">
        <v>3</v>
      </c>
      <c r="G178">
        <v>0.70015698587127095</v>
      </c>
      <c r="H178" t="s">
        <v>440</v>
      </c>
      <c r="I178">
        <v>2</v>
      </c>
      <c r="J178">
        <v>0.53043385977945201</v>
      </c>
      <c r="K178" t="s">
        <v>440</v>
      </c>
      <c r="L178">
        <v>2</v>
      </c>
      <c r="M178">
        <v>1.0245907602764599</v>
      </c>
      <c r="N178" t="s">
        <v>433</v>
      </c>
      <c r="O178">
        <v>1</v>
      </c>
      <c r="P178">
        <v>1.34978540772532</v>
      </c>
      <c r="Q178" t="s">
        <v>468</v>
      </c>
      <c r="R178">
        <v>2</v>
      </c>
      <c r="S178">
        <v>0.85892665952890701</v>
      </c>
      <c r="T178" t="s">
        <v>468</v>
      </c>
      <c r="U178">
        <v>2</v>
      </c>
      <c r="V178">
        <v>0.64864935051444605</v>
      </c>
      <c r="W178" t="s">
        <v>472</v>
      </c>
      <c r="X178">
        <v>2</v>
      </c>
      <c r="Y178">
        <v>1.1473214285714199</v>
      </c>
      <c r="Z178" t="s">
        <v>479</v>
      </c>
      <c r="AA178">
        <v>3</v>
      </c>
      <c r="AB178">
        <v>1.35869565217391</v>
      </c>
      <c r="AC178" t="s">
        <v>463</v>
      </c>
      <c r="AD178">
        <v>1</v>
      </c>
      <c r="AE178">
        <v>1.3743016759776501</v>
      </c>
      <c r="AF178" t="s">
        <v>463</v>
      </c>
      <c r="AG178">
        <v>1</v>
      </c>
      <c r="AH178">
        <v>1.2784552845528401</v>
      </c>
      <c r="AI178" t="s">
        <v>478</v>
      </c>
      <c r="AJ178">
        <v>3</v>
      </c>
      <c r="AK178">
        <v>0.90266666666666595</v>
      </c>
      <c r="AL178" t="s">
        <v>490</v>
      </c>
      <c r="AM178">
        <v>3</v>
      </c>
      <c r="AN178">
        <v>1.17886178861788</v>
      </c>
      <c r="AO178" t="s">
        <v>490</v>
      </c>
      <c r="AP178">
        <v>3</v>
      </c>
      <c r="AQ178">
        <v>0.93620689655172395</v>
      </c>
      <c r="AR178" t="s">
        <v>483</v>
      </c>
      <c r="AS178">
        <v>1</v>
      </c>
      <c r="AT178">
        <v>1.1576433121019101</v>
      </c>
      <c r="AU178" t="s">
        <v>494</v>
      </c>
      <c r="AV178">
        <v>2</v>
      </c>
      <c r="AW178">
        <v>1.1764824120602999</v>
      </c>
      <c r="AX178" t="s">
        <v>488</v>
      </c>
      <c r="AY178">
        <v>2</v>
      </c>
      <c r="AZ178">
        <v>1.0136986301369799</v>
      </c>
      <c r="BA178" t="s">
        <v>498</v>
      </c>
      <c r="BB178">
        <v>3</v>
      </c>
      <c r="BC178">
        <v>1.0050761421319701</v>
      </c>
      <c r="BD178" t="s">
        <v>525</v>
      </c>
      <c r="BE178">
        <v>2</v>
      </c>
      <c r="BF178">
        <v>0.51215290299314797</v>
      </c>
      <c r="BG178" t="s">
        <v>503</v>
      </c>
      <c r="BH178">
        <v>1</v>
      </c>
      <c r="BI178">
        <v>1.1079943899018201</v>
      </c>
      <c r="BJ178" t="s">
        <v>503</v>
      </c>
      <c r="BK178">
        <v>1</v>
      </c>
      <c r="BL178">
        <v>0.93544303797468298</v>
      </c>
      <c r="BM178" t="s">
        <v>506</v>
      </c>
      <c r="BN178">
        <v>3</v>
      </c>
      <c r="BO178">
        <v>0.96625222024866697</v>
      </c>
      <c r="BP178" t="s">
        <v>515</v>
      </c>
      <c r="BQ178">
        <v>2</v>
      </c>
      <c r="BR178">
        <v>1.01305970149253</v>
      </c>
      <c r="BS178" t="s">
        <v>517</v>
      </c>
      <c r="BT178">
        <v>1</v>
      </c>
      <c r="BU178">
        <v>0.97551342812006303</v>
      </c>
      <c r="BV178" t="s">
        <v>511</v>
      </c>
      <c r="BW178">
        <v>3</v>
      </c>
      <c r="BX178">
        <v>1.3774928774928701</v>
      </c>
      <c r="BY178" t="s">
        <v>518</v>
      </c>
      <c r="BZ178">
        <v>1</v>
      </c>
      <c r="CA178">
        <v>1.13456552090951</v>
      </c>
      <c r="CB178" t="s">
        <v>523</v>
      </c>
      <c r="CC178">
        <v>3</v>
      </c>
      <c r="CD178">
        <v>0.91652001759788804</v>
      </c>
      <c r="CE178" t="s">
        <v>518</v>
      </c>
      <c r="CF178">
        <v>1</v>
      </c>
      <c r="CG178">
        <v>0.99145299145299104</v>
      </c>
      <c r="CH178" t="s">
        <v>517</v>
      </c>
      <c r="CI178">
        <v>1</v>
      </c>
      <c r="CJ178">
        <v>1.0537011173184301</v>
      </c>
      <c r="CK178" t="s">
        <v>557</v>
      </c>
      <c r="CL178" t="s">
        <v>547</v>
      </c>
      <c r="CM178">
        <v>0.93115124153498796</v>
      </c>
      <c r="CN178" t="s">
        <v>534</v>
      </c>
      <c r="CO178">
        <v>2</v>
      </c>
      <c r="CP178">
        <v>1.03452685421994</v>
      </c>
      <c r="CQ178" t="s">
        <v>534</v>
      </c>
      <c r="CR178">
        <v>2</v>
      </c>
      <c r="CS178">
        <v>0.97898640296662498</v>
      </c>
      <c r="CT178" t="s">
        <v>532</v>
      </c>
      <c r="CU178">
        <v>2</v>
      </c>
      <c r="CV178">
        <v>0.91413612565445002</v>
      </c>
      <c r="CW178" t="s">
        <v>534</v>
      </c>
      <c r="CX178">
        <v>2</v>
      </c>
      <c r="CY178">
        <v>1.02967032967032</v>
      </c>
      <c r="CZ178" t="s">
        <v>537</v>
      </c>
      <c r="DA178">
        <v>2</v>
      </c>
      <c r="DB178">
        <v>0.84923076923076901</v>
      </c>
      <c r="DC178" t="s">
        <v>537</v>
      </c>
      <c r="DD178">
        <v>2</v>
      </c>
      <c r="DE178">
        <v>1.13043478260869</v>
      </c>
      <c r="DF178" t="s">
        <v>554</v>
      </c>
      <c r="DG178" t="s">
        <v>547</v>
      </c>
      <c r="DH178">
        <v>0.79549718574108796</v>
      </c>
    </row>
    <row r="179" spans="1:112" x14ac:dyDescent="0.4">
      <c r="A179">
        <v>177</v>
      </c>
      <c r="B179" t="s">
        <v>433</v>
      </c>
      <c r="C179">
        <v>1</v>
      </c>
      <c r="D179">
        <v>1</v>
      </c>
      <c r="E179" t="s">
        <v>440</v>
      </c>
      <c r="F179">
        <v>2</v>
      </c>
      <c r="G179">
        <v>0.97046046102278805</v>
      </c>
      <c r="H179" t="s">
        <v>445</v>
      </c>
      <c r="I179">
        <v>2</v>
      </c>
      <c r="J179">
        <v>0.58560000000000001</v>
      </c>
      <c r="K179" t="s">
        <v>445</v>
      </c>
      <c r="L179">
        <v>2</v>
      </c>
      <c r="M179">
        <v>1.29508196721311</v>
      </c>
      <c r="N179" t="s">
        <v>440</v>
      </c>
      <c r="O179">
        <v>2</v>
      </c>
      <c r="P179">
        <v>1.18050131364055</v>
      </c>
      <c r="Q179" t="s">
        <v>463</v>
      </c>
      <c r="R179">
        <v>1</v>
      </c>
      <c r="S179">
        <v>1.0610932475884201</v>
      </c>
      <c r="T179" t="s">
        <v>463</v>
      </c>
      <c r="U179">
        <v>1</v>
      </c>
      <c r="V179">
        <v>0.96060606060606002</v>
      </c>
      <c r="W179" t="s">
        <v>485</v>
      </c>
      <c r="X179">
        <v>3</v>
      </c>
      <c r="Y179">
        <v>0.85923753665689095</v>
      </c>
      <c r="Z179" t="s">
        <v>481</v>
      </c>
      <c r="AA179">
        <v>1</v>
      </c>
      <c r="AB179">
        <v>0.93283582089552197</v>
      </c>
      <c r="AC179" t="s">
        <v>478</v>
      </c>
      <c r="AD179">
        <v>3</v>
      </c>
      <c r="AE179">
        <v>0.97566909975669103</v>
      </c>
      <c r="AF179" t="s">
        <v>478</v>
      </c>
      <c r="AG179">
        <v>3</v>
      </c>
      <c r="AH179">
        <v>0.93516209476309198</v>
      </c>
      <c r="AI179" t="s">
        <v>472</v>
      </c>
      <c r="AJ179">
        <v>2</v>
      </c>
      <c r="AK179">
        <v>1.12192262602579</v>
      </c>
      <c r="AL179" t="s">
        <v>494</v>
      </c>
      <c r="AM179">
        <v>2</v>
      </c>
      <c r="AN179">
        <v>1.1245735795788701</v>
      </c>
      <c r="AO179" t="s">
        <v>498</v>
      </c>
      <c r="AP179">
        <v>3</v>
      </c>
      <c r="AQ179">
        <v>1.0584415584415501</v>
      </c>
      <c r="AR179" t="s">
        <v>488</v>
      </c>
      <c r="AS179">
        <v>2</v>
      </c>
      <c r="AT179">
        <v>0.81923076923076898</v>
      </c>
      <c r="AU179" t="s">
        <v>498</v>
      </c>
      <c r="AV179">
        <v>3</v>
      </c>
      <c r="AW179">
        <v>1.3176795580110401</v>
      </c>
      <c r="AX179" t="s">
        <v>490</v>
      </c>
      <c r="AY179">
        <v>3</v>
      </c>
      <c r="AZ179">
        <v>0.87522768670309603</v>
      </c>
      <c r="BA179" t="s">
        <v>505</v>
      </c>
      <c r="BB179">
        <v>3</v>
      </c>
      <c r="BC179">
        <v>1.19</v>
      </c>
      <c r="BD179" t="s">
        <v>499</v>
      </c>
      <c r="BE179">
        <v>2</v>
      </c>
      <c r="BF179">
        <v>1.12854757929883</v>
      </c>
      <c r="BG179" t="s">
        <v>506</v>
      </c>
      <c r="BH179">
        <v>3</v>
      </c>
      <c r="BI179">
        <v>0.850162866449511</v>
      </c>
      <c r="BJ179" t="s">
        <v>506</v>
      </c>
      <c r="BK179">
        <v>3</v>
      </c>
      <c r="BL179">
        <v>1.07854406130268</v>
      </c>
      <c r="BM179" t="s">
        <v>515</v>
      </c>
      <c r="BN179">
        <v>2</v>
      </c>
      <c r="BO179">
        <v>1.05304518664047</v>
      </c>
      <c r="BP179" t="s">
        <v>511</v>
      </c>
      <c r="BQ179">
        <v>3</v>
      </c>
      <c r="BR179">
        <v>1.06194690265486</v>
      </c>
      <c r="BS179" t="s">
        <v>518</v>
      </c>
      <c r="BT179">
        <v>2</v>
      </c>
      <c r="BU179">
        <v>0.96473459426479502</v>
      </c>
      <c r="BV179" t="s">
        <v>517</v>
      </c>
      <c r="BW179">
        <v>1</v>
      </c>
      <c r="BX179">
        <v>1.00843454790823</v>
      </c>
      <c r="BY179" t="s">
        <v>530</v>
      </c>
      <c r="BZ179">
        <v>3</v>
      </c>
      <c r="CA179">
        <v>0.85430463576158899</v>
      </c>
      <c r="CB179" t="s">
        <v>527</v>
      </c>
      <c r="CC179">
        <v>2</v>
      </c>
      <c r="CD179">
        <v>0.81536388140161697</v>
      </c>
      <c r="CE179" t="s">
        <v>533</v>
      </c>
      <c r="CF179">
        <v>3</v>
      </c>
      <c r="CG179">
        <v>1.0525477707006301</v>
      </c>
      <c r="CH179" t="s">
        <v>518</v>
      </c>
      <c r="CI179">
        <v>1</v>
      </c>
      <c r="CJ179">
        <v>1.1336206896551699</v>
      </c>
      <c r="CK179" t="s">
        <v>558</v>
      </c>
      <c r="CL179" t="s">
        <v>547</v>
      </c>
      <c r="CM179">
        <v>0.86301369863013699</v>
      </c>
      <c r="CN179" t="s">
        <v>537</v>
      </c>
      <c r="CO179">
        <v>2</v>
      </c>
      <c r="CP179">
        <v>1.2270742358078599</v>
      </c>
      <c r="CQ179" t="s">
        <v>537</v>
      </c>
      <c r="CR179">
        <v>2</v>
      </c>
      <c r="CS179">
        <v>1.0427046263345101</v>
      </c>
      <c r="CT179" t="s">
        <v>534</v>
      </c>
      <c r="CU179">
        <v>2</v>
      </c>
      <c r="CV179">
        <v>1.1489898989898899</v>
      </c>
      <c r="CW179" t="s">
        <v>537</v>
      </c>
      <c r="CX179">
        <v>2</v>
      </c>
      <c r="CY179">
        <v>1.2357414448669199</v>
      </c>
      <c r="CZ179" t="s">
        <v>539</v>
      </c>
      <c r="DA179">
        <v>2</v>
      </c>
      <c r="DB179">
        <v>0.90092165898617504</v>
      </c>
      <c r="DC179" t="s">
        <v>539</v>
      </c>
      <c r="DD179">
        <v>2</v>
      </c>
      <c r="DE179">
        <v>1.05626598465473</v>
      </c>
      <c r="DF179" t="s">
        <v>564</v>
      </c>
      <c r="DG179" t="s">
        <v>547</v>
      </c>
      <c r="DH179">
        <v>1.08955223880597</v>
      </c>
    </row>
    <row r="180" spans="1:112" x14ac:dyDescent="0.4">
      <c r="A180">
        <v>178</v>
      </c>
      <c r="B180" t="s">
        <v>436</v>
      </c>
      <c r="C180">
        <v>3</v>
      </c>
      <c r="D180">
        <v>1.4030837004405201</v>
      </c>
      <c r="E180" t="s">
        <v>443</v>
      </c>
      <c r="F180">
        <v>1</v>
      </c>
      <c r="G180">
        <v>0.937402190923317</v>
      </c>
      <c r="H180" t="s">
        <v>448</v>
      </c>
      <c r="I180">
        <v>2</v>
      </c>
      <c r="J180">
        <v>0.305084745762711</v>
      </c>
      <c r="K180" t="s">
        <v>448</v>
      </c>
      <c r="L180">
        <v>2</v>
      </c>
      <c r="M180">
        <v>0.99666666666666603</v>
      </c>
      <c r="N180" t="s">
        <v>445</v>
      </c>
      <c r="O180">
        <v>2</v>
      </c>
      <c r="P180">
        <v>1.71518987341772</v>
      </c>
      <c r="Q180" t="s">
        <v>478</v>
      </c>
      <c r="R180">
        <v>3</v>
      </c>
      <c r="S180">
        <v>0.89156626506024095</v>
      </c>
      <c r="T180" t="s">
        <v>478</v>
      </c>
      <c r="U180">
        <v>3</v>
      </c>
      <c r="V180">
        <v>1.0351351351351299</v>
      </c>
      <c r="W180" t="s">
        <v>479</v>
      </c>
      <c r="X180">
        <v>3</v>
      </c>
      <c r="Y180">
        <v>1.4516765285996001</v>
      </c>
      <c r="Z180" t="s">
        <v>488</v>
      </c>
      <c r="AA180">
        <v>2</v>
      </c>
      <c r="AB180">
        <v>0.91126279863481197</v>
      </c>
      <c r="AC180" t="s">
        <v>472</v>
      </c>
      <c r="AD180">
        <v>2</v>
      </c>
      <c r="AE180">
        <v>0.939325842696629</v>
      </c>
      <c r="AF180" t="s">
        <v>472</v>
      </c>
      <c r="AG180">
        <v>2</v>
      </c>
      <c r="AH180">
        <v>1.0203349282296601</v>
      </c>
      <c r="AI180" t="s">
        <v>485</v>
      </c>
      <c r="AJ180">
        <v>3</v>
      </c>
      <c r="AK180">
        <v>0.88401253918495204</v>
      </c>
      <c r="AL180" t="s">
        <v>514</v>
      </c>
      <c r="AM180">
        <v>1</v>
      </c>
      <c r="AN180">
        <v>1.20802005012531</v>
      </c>
      <c r="AO180" t="s">
        <v>500</v>
      </c>
      <c r="AP180">
        <v>2</v>
      </c>
      <c r="AQ180">
        <v>1.25650557620817</v>
      </c>
      <c r="AR180" t="s">
        <v>490</v>
      </c>
      <c r="AS180">
        <v>3</v>
      </c>
      <c r="AT180">
        <v>0.92265193370165699</v>
      </c>
      <c r="AU180" t="s">
        <v>525</v>
      </c>
      <c r="AV180">
        <v>2</v>
      </c>
      <c r="AW180">
        <v>1.5842687332800101</v>
      </c>
      <c r="AX180" t="s">
        <v>494</v>
      </c>
      <c r="AY180">
        <v>2</v>
      </c>
      <c r="AZ180">
        <v>0.72618030639557996</v>
      </c>
      <c r="BA180" t="s">
        <v>499</v>
      </c>
      <c r="BB180">
        <v>2</v>
      </c>
      <c r="BC180">
        <v>1.1722113502935401</v>
      </c>
      <c r="BD180" t="s">
        <v>502</v>
      </c>
      <c r="BE180">
        <v>2</v>
      </c>
      <c r="BF180">
        <v>0.79692307692307696</v>
      </c>
      <c r="BG180" t="s">
        <v>515</v>
      </c>
      <c r="BH180">
        <v>2</v>
      </c>
      <c r="BI180">
        <v>0.94915254237288105</v>
      </c>
      <c r="BJ180" t="s">
        <v>515</v>
      </c>
      <c r="BK180">
        <v>2</v>
      </c>
      <c r="BL180">
        <v>0.90892857142857097</v>
      </c>
      <c r="BM180" t="s">
        <v>511</v>
      </c>
      <c r="BN180">
        <v>3</v>
      </c>
      <c r="BO180">
        <v>0.86923076923076903</v>
      </c>
      <c r="BP180" t="s">
        <v>513</v>
      </c>
      <c r="BQ180">
        <v>2</v>
      </c>
      <c r="BR180">
        <v>1.2585251491901099</v>
      </c>
      <c r="BS180" t="s">
        <v>530</v>
      </c>
      <c r="BT180">
        <v>3</v>
      </c>
      <c r="BU180">
        <v>1.0100671140939499</v>
      </c>
      <c r="BV180" t="s">
        <v>518</v>
      </c>
      <c r="BW180">
        <v>2</v>
      </c>
      <c r="BX180">
        <v>0.951239564887427</v>
      </c>
      <c r="BY180" t="s">
        <v>533</v>
      </c>
      <c r="BZ180">
        <v>3</v>
      </c>
      <c r="CA180">
        <v>1.5866388308977</v>
      </c>
      <c r="CB180" t="s">
        <v>532</v>
      </c>
      <c r="CC180">
        <v>2</v>
      </c>
      <c r="CD180">
        <v>0.86637931034482696</v>
      </c>
      <c r="CE180" t="s">
        <v>523</v>
      </c>
      <c r="CF180">
        <v>3</v>
      </c>
      <c r="CG180">
        <v>1.29797191887675</v>
      </c>
      <c r="CH180" t="s">
        <v>533</v>
      </c>
      <c r="CI180">
        <v>3</v>
      </c>
      <c r="CJ180">
        <v>1.9969742813918301</v>
      </c>
      <c r="CK180" t="s">
        <v>551</v>
      </c>
      <c r="CL180" t="s">
        <v>547</v>
      </c>
      <c r="CM180">
        <v>1.54395604395604</v>
      </c>
      <c r="CN180" t="s">
        <v>540</v>
      </c>
      <c r="CO180">
        <v>2</v>
      </c>
      <c r="CP180">
        <v>1.3504273504273501</v>
      </c>
      <c r="CQ180" t="s">
        <v>539</v>
      </c>
      <c r="CR180">
        <v>3</v>
      </c>
      <c r="CS180">
        <v>1.0141816225732301</v>
      </c>
      <c r="CT180" t="s">
        <v>537</v>
      </c>
      <c r="CU180">
        <v>2</v>
      </c>
      <c r="CV180">
        <v>0.89761092150170596</v>
      </c>
      <c r="CW180" t="s">
        <v>539</v>
      </c>
      <c r="CX180">
        <v>2</v>
      </c>
      <c r="CY180">
        <v>0.92011533242876498</v>
      </c>
      <c r="CZ180" t="s">
        <v>552</v>
      </c>
      <c r="DA180" t="s">
        <v>547</v>
      </c>
      <c r="DB180">
        <v>0.97726704971271505</v>
      </c>
      <c r="DC180" t="s">
        <v>541</v>
      </c>
      <c r="DD180">
        <v>3</v>
      </c>
      <c r="DE180">
        <v>1.0909090909090899</v>
      </c>
      <c r="DF180" t="s">
        <v>555</v>
      </c>
      <c r="DG180" t="s">
        <v>547</v>
      </c>
      <c r="DH180">
        <v>0.96688741721854299</v>
      </c>
    </row>
    <row r="181" spans="1:112" x14ac:dyDescent="0.4">
      <c r="A181">
        <v>179</v>
      </c>
      <c r="B181" t="s">
        <v>440</v>
      </c>
      <c r="C181">
        <v>2</v>
      </c>
      <c r="D181">
        <v>1.2343804174467701</v>
      </c>
      <c r="E181" t="s">
        <v>445</v>
      </c>
      <c r="F181">
        <v>2</v>
      </c>
      <c r="G181">
        <v>0.72505800464037096</v>
      </c>
      <c r="H181" t="s">
        <v>457</v>
      </c>
      <c r="I181">
        <v>1</v>
      </c>
      <c r="J181">
        <v>0.69444444444444398</v>
      </c>
      <c r="K181" t="s">
        <v>444</v>
      </c>
      <c r="L181">
        <v>1</v>
      </c>
      <c r="M181">
        <v>0.91210438500443103</v>
      </c>
      <c r="N181" t="s">
        <v>448</v>
      </c>
      <c r="O181">
        <v>2</v>
      </c>
      <c r="P181">
        <v>1.97324414715719</v>
      </c>
      <c r="Q181" t="s">
        <v>472</v>
      </c>
      <c r="R181">
        <v>2</v>
      </c>
      <c r="S181">
        <v>1.0599250936329501</v>
      </c>
      <c r="T181" t="s">
        <v>472</v>
      </c>
      <c r="U181">
        <v>2</v>
      </c>
      <c r="V181">
        <v>0.791519434628975</v>
      </c>
      <c r="W181" t="s">
        <v>481</v>
      </c>
      <c r="X181">
        <v>1</v>
      </c>
      <c r="Y181">
        <v>0.99554234769687899</v>
      </c>
      <c r="Z181" t="s">
        <v>490</v>
      </c>
      <c r="AA181">
        <v>3</v>
      </c>
      <c r="AB181">
        <v>1.0430463576158899</v>
      </c>
      <c r="AC181" t="s">
        <v>485</v>
      </c>
      <c r="AD181">
        <v>3</v>
      </c>
      <c r="AE181">
        <v>0.9296875</v>
      </c>
      <c r="AF181" t="s">
        <v>485</v>
      </c>
      <c r="AG181">
        <v>3</v>
      </c>
      <c r="AH181">
        <v>1.0722689075630201</v>
      </c>
      <c r="AI181" t="s">
        <v>481</v>
      </c>
      <c r="AJ181">
        <v>1</v>
      </c>
      <c r="AK181">
        <v>1.1842105263157801</v>
      </c>
      <c r="AL181" t="s">
        <v>498</v>
      </c>
      <c r="AM181">
        <v>2</v>
      </c>
      <c r="AN181">
        <v>0.89534883720930203</v>
      </c>
      <c r="AO181" t="s">
        <v>499</v>
      </c>
      <c r="AP181">
        <v>2</v>
      </c>
      <c r="AQ181">
        <v>1.09350649350649</v>
      </c>
      <c r="AR181" t="s">
        <v>494</v>
      </c>
      <c r="AS181">
        <v>2</v>
      </c>
      <c r="AT181">
        <v>0.79333439642800196</v>
      </c>
      <c r="AU181" t="s">
        <v>499</v>
      </c>
      <c r="AV181">
        <v>2</v>
      </c>
      <c r="AW181">
        <v>1.26492537313432</v>
      </c>
      <c r="AX181" t="s">
        <v>497</v>
      </c>
      <c r="AY181">
        <v>3</v>
      </c>
      <c r="AZ181">
        <v>0.758536585365853</v>
      </c>
      <c r="BA181" t="s">
        <v>501</v>
      </c>
      <c r="BB181">
        <v>2</v>
      </c>
      <c r="BC181">
        <v>1.1877990430622001</v>
      </c>
      <c r="BD181" t="s">
        <v>503</v>
      </c>
      <c r="BE181">
        <v>1</v>
      </c>
      <c r="BF181">
        <v>0.97006802721088403</v>
      </c>
      <c r="BG181" t="s">
        <v>508</v>
      </c>
      <c r="BH181">
        <v>3</v>
      </c>
      <c r="BI181">
        <v>0.99377334993773303</v>
      </c>
      <c r="BJ181" t="s">
        <v>508</v>
      </c>
      <c r="BK181">
        <v>3</v>
      </c>
      <c r="BL181">
        <v>1.5037593984962401</v>
      </c>
      <c r="BM181" t="s">
        <v>513</v>
      </c>
      <c r="BN181">
        <v>2</v>
      </c>
      <c r="BO181">
        <v>1.0312087912087899</v>
      </c>
      <c r="BP181" t="s">
        <v>517</v>
      </c>
      <c r="BQ181">
        <v>1</v>
      </c>
      <c r="BR181">
        <v>1.1438036440295101</v>
      </c>
      <c r="BS181" t="s">
        <v>533</v>
      </c>
      <c r="BT181">
        <v>2</v>
      </c>
      <c r="BU181">
        <v>1.0480446927374301</v>
      </c>
      <c r="BV181" t="s">
        <v>530</v>
      </c>
      <c r="BW181">
        <v>3</v>
      </c>
      <c r="BX181">
        <v>1.0033222591362101</v>
      </c>
      <c r="BY181" t="s">
        <v>527</v>
      </c>
      <c r="BZ181">
        <v>2</v>
      </c>
      <c r="CA181">
        <v>1.03443468562665</v>
      </c>
      <c r="CB181" t="s">
        <v>559</v>
      </c>
      <c r="CC181" t="s">
        <v>547</v>
      </c>
      <c r="CD181">
        <v>1.09472743521</v>
      </c>
      <c r="CE181" t="s">
        <v>527</v>
      </c>
      <c r="CF181">
        <v>2</v>
      </c>
      <c r="CG181">
        <v>1.1272727272727201</v>
      </c>
      <c r="CH181" t="s">
        <v>523</v>
      </c>
      <c r="CI181">
        <v>3</v>
      </c>
      <c r="CJ181">
        <v>1.2620192307692299</v>
      </c>
      <c r="CK181" t="s">
        <v>548</v>
      </c>
      <c r="CL181" t="s">
        <v>547</v>
      </c>
      <c r="CM181">
        <v>0.64319248826290998</v>
      </c>
      <c r="CN181" t="s">
        <v>539</v>
      </c>
      <c r="CO181">
        <v>3</v>
      </c>
      <c r="CP181">
        <v>1.0733819746994899</v>
      </c>
      <c r="CQ181" t="s">
        <v>556</v>
      </c>
      <c r="CR181" t="s">
        <v>547</v>
      </c>
      <c r="CS181">
        <v>0.89552238805970097</v>
      </c>
      <c r="CT181" t="s">
        <v>556</v>
      </c>
      <c r="CU181" t="s">
        <v>547</v>
      </c>
      <c r="CV181">
        <v>1.0216666666666601</v>
      </c>
      <c r="CW181" t="s">
        <v>556</v>
      </c>
      <c r="CX181" t="s">
        <v>547</v>
      </c>
      <c r="CY181">
        <v>0.93964110929853095</v>
      </c>
      <c r="CZ181" t="s">
        <v>582</v>
      </c>
      <c r="DA181" t="s">
        <v>547</v>
      </c>
      <c r="DB181">
        <v>0.90169133192388995</v>
      </c>
      <c r="DC181" t="s">
        <v>552</v>
      </c>
      <c r="DD181" t="s">
        <v>547</v>
      </c>
      <c r="DE181">
        <v>0.955777096114519</v>
      </c>
      <c r="DF181" t="s">
        <v>557</v>
      </c>
      <c r="DG181" t="s">
        <v>547</v>
      </c>
      <c r="DH181">
        <v>0.98507462686567104</v>
      </c>
    </row>
    <row r="182" spans="1:112" x14ac:dyDescent="0.4">
      <c r="A182">
        <v>180</v>
      </c>
      <c r="B182" t="s">
        <v>443</v>
      </c>
      <c r="C182">
        <v>1</v>
      </c>
      <c r="D182">
        <v>1.08488964346349</v>
      </c>
      <c r="E182" t="s">
        <v>446</v>
      </c>
      <c r="F182">
        <v>3</v>
      </c>
      <c r="G182">
        <v>0.72874493927125505</v>
      </c>
      <c r="H182" t="s">
        <v>456</v>
      </c>
      <c r="I182">
        <v>2</v>
      </c>
      <c r="J182">
        <v>0.77841726618704998</v>
      </c>
      <c r="K182" t="s">
        <v>469</v>
      </c>
      <c r="L182">
        <v>1</v>
      </c>
      <c r="M182">
        <v>1</v>
      </c>
      <c r="N182" t="s">
        <v>469</v>
      </c>
      <c r="O182">
        <v>1</v>
      </c>
      <c r="P182">
        <v>1.4583333333333299</v>
      </c>
      <c r="Q182" t="s">
        <v>485</v>
      </c>
      <c r="R182">
        <v>3</v>
      </c>
      <c r="S182">
        <v>0.84004884004883995</v>
      </c>
      <c r="T182" t="s">
        <v>485</v>
      </c>
      <c r="U182">
        <v>3</v>
      </c>
      <c r="V182">
        <v>0.99127906976744096</v>
      </c>
      <c r="W182" t="s">
        <v>488</v>
      </c>
      <c r="X182">
        <v>2</v>
      </c>
      <c r="Y182">
        <v>0.95751633986928097</v>
      </c>
      <c r="Z182" t="s">
        <v>494</v>
      </c>
      <c r="AA182">
        <v>1</v>
      </c>
      <c r="AB182">
        <v>1.1605204872646699</v>
      </c>
      <c r="AC182" t="s">
        <v>481</v>
      </c>
      <c r="AD182">
        <v>1</v>
      </c>
      <c r="AE182">
        <v>0.98719999999999997</v>
      </c>
      <c r="AF182" t="s">
        <v>481</v>
      </c>
      <c r="AG182">
        <v>1</v>
      </c>
      <c r="AH182">
        <v>1.2317666126418101</v>
      </c>
      <c r="AI182" t="s">
        <v>512</v>
      </c>
      <c r="AJ182">
        <v>3</v>
      </c>
      <c r="AK182">
        <v>0.74269679090516605</v>
      </c>
      <c r="AL182" t="s">
        <v>500</v>
      </c>
      <c r="AM182">
        <v>2</v>
      </c>
      <c r="AN182">
        <v>1.20627802690582</v>
      </c>
      <c r="AO182" t="s">
        <v>501</v>
      </c>
      <c r="AP182">
        <v>2</v>
      </c>
      <c r="AQ182">
        <v>0.73262032085561501</v>
      </c>
      <c r="AR182" t="s">
        <v>498</v>
      </c>
      <c r="AS182">
        <v>3</v>
      </c>
      <c r="AT182">
        <v>1.1104294478527601</v>
      </c>
      <c r="AU182" t="s">
        <v>501</v>
      </c>
      <c r="AV182">
        <v>2</v>
      </c>
      <c r="AW182">
        <v>1.37993920972644</v>
      </c>
      <c r="AX182" t="s">
        <v>505</v>
      </c>
      <c r="AY182">
        <v>3</v>
      </c>
      <c r="AZ182">
        <v>0.94562647754137097</v>
      </c>
      <c r="BA182" t="s">
        <v>502</v>
      </c>
      <c r="BB182">
        <v>2</v>
      </c>
      <c r="BC182">
        <v>1.50115473441108</v>
      </c>
      <c r="BD182" t="s">
        <v>504</v>
      </c>
      <c r="BE182">
        <v>3</v>
      </c>
      <c r="BF182">
        <v>1.24654699456181</v>
      </c>
      <c r="BG182" t="s">
        <v>510</v>
      </c>
      <c r="BH182">
        <v>2</v>
      </c>
      <c r="BI182">
        <v>1.20627802690582</v>
      </c>
      <c r="BJ182" t="s">
        <v>510</v>
      </c>
      <c r="BK182">
        <v>2</v>
      </c>
      <c r="BL182">
        <v>1.0687732342007401</v>
      </c>
      <c r="BM182" t="s">
        <v>517</v>
      </c>
      <c r="BN182">
        <v>1</v>
      </c>
      <c r="BO182">
        <v>0.90767443449736895</v>
      </c>
      <c r="BP182" t="s">
        <v>518</v>
      </c>
      <c r="BQ182">
        <v>2</v>
      </c>
      <c r="BR182">
        <v>1.09324973319103</v>
      </c>
      <c r="BS182" t="s">
        <v>523</v>
      </c>
      <c r="BT182">
        <v>3</v>
      </c>
      <c r="BU182">
        <v>0.93273824490822199</v>
      </c>
      <c r="BV182" t="s">
        <v>533</v>
      </c>
      <c r="BW182">
        <v>2</v>
      </c>
      <c r="BX182">
        <v>1.0213219616204601</v>
      </c>
      <c r="BY182" t="s">
        <v>532</v>
      </c>
      <c r="BZ182">
        <v>2</v>
      </c>
      <c r="CA182">
        <v>1.08411214953271</v>
      </c>
      <c r="CB182" t="s">
        <v>552</v>
      </c>
      <c r="CC182" t="s">
        <v>547</v>
      </c>
      <c r="CD182">
        <v>0.72851889000334302</v>
      </c>
      <c r="CE182" t="s">
        <v>532</v>
      </c>
      <c r="CF182">
        <v>2</v>
      </c>
      <c r="CG182">
        <v>1.16417910447761</v>
      </c>
      <c r="CH182" t="s">
        <v>527</v>
      </c>
      <c r="CI182">
        <v>2</v>
      </c>
      <c r="CJ182">
        <v>1.02785923753665</v>
      </c>
      <c r="CK182" t="s">
        <v>565</v>
      </c>
      <c r="CL182" t="s">
        <v>547</v>
      </c>
      <c r="CM182">
        <v>0.95594713656387598</v>
      </c>
      <c r="CN182" t="s">
        <v>556</v>
      </c>
      <c r="CO182" t="s">
        <v>547</v>
      </c>
      <c r="CP182">
        <v>0.88859416445623296</v>
      </c>
      <c r="CQ182" t="s">
        <v>552</v>
      </c>
      <c r="CR182" t="s">
        <v>547</v>
      </c>
      <c r="CS182">
        <v>0.94109195402298795</v>
      </c>
      <c r="CT182" t="s">
        <v>552</v>
      </c>
      <c r="CU182" t="s">
        <v>547</v>
      </c>
      <c r="CV182">
        <v>1.32118320610687</v>
      </c>
      <c r="CW182" t="s">
        <v>552</v>
      </c>
      <c r="CX182" t="s">
        <v>547</v>
      </c>
      <c r="CY182">
        <v>1.1564350715007901</v>
      </c>
      <c r="CZ182" t="s">
        <v>639</v>
      </c>
      <c r="DA182" t="s">
        <v>547</v>
      </c>
      <c r="DB182">
        <v>0.96318407960199004</v>
      </c>
      <c r="DC182" t="s">
        <v>553</v>
      </c>
      <c r="DD182" t="s">
        <v>547</v>
      </c>
      <c r="DE182">
        <v>0.96</v>
      </c>
      <c r="DF182" t="s">
        <v>551</v>
      </c>
      <c r="DG182" t="s">
        <v>547</v>
      </c>
      <c r="DH182">
        <v>1.1854493580599099</v>
      </c>
    </row>
    <row r="183" spans="1:112" x14ac:dyDescent="0.4">
      <c r="A183">
        <v>181</v>
      </c>
      <c r="B183" t="s">
        <v>448</v>
      </c>
      <c r="C183">
        <v>2</v>
      </c>
      <c r="D183">
        <v>1.32795698924731</v>
      </c>
      <c r="E183" t="s">
        <v>457</v>
      </c>
      <c r="F183">
        <v>1</v>
      </c>
      <c r="G183">
        <v>0.76190476190476097</v>
      </c>
      <c r="H183" t="s">
        <v>459</v>
      </c>
      <c r="I183">
        <v>2</v>
      </c>
      <c r="J183">
        <v>0.53584447144592895</v>
      </c>
      <c r="K183" t="s">
        <v>458</v>
      </c>
      <c r="L183">
        <v>1</v>
      </c>
      <c r="M183">
        <v>1.01996370235934</v>
      </c>
      <c r="N183" t="s">
        <v>458</v>
      </c>
      <c r="O183">
        <v>1</v>
      </c>
      <c r="P183">
        <v>1.4715302491103199</v>
      </c>
      <c r="Q183" t="s">
        <v>479</v>
      </c>
      <c r="R183">
        <v>3</v>
      </c>
      <c r="S183">
        <v>1.3091247672253199</v>
      </c>
      <c r="T183" t="s">
        <v>481</v>
      </c>
      <c r="U183">
        <v>1</v>
      </c>
      <c r="V183">
        <v>1.02748091603053</v>
      </c>
      <c r="W183" t="s">
        <v>490</v>
      </c>
      <c r="X183">
        <v>3</v>
      </c>
      <c r="Y183">
        <v>1.02837684449489</v>
      </c>
      <c r="Z183" t="s">
        <v>499</v>
      </c>
      <c r="AA183">
        <v>2</v>
      </c>
      <c r="AB183">
        <v>1.3541666666666601</v>
      </c>
      <c r="AC183" t="s">
        <v>488</v>
      </c>
      <c r="AD183">
        <v>2</v>
      </c>
      <c r="AE183">
        <v>0.95880149812733995</v>
      </c>
      <c r="AF183" t="s">
        <v>512</v>
      </c>
      <c r="AG183">
        <v>3</v>
      </c>
      <c r="AH183">
        <v>0.92801816239316204</v>
      </c>
      <c r="AI183" t="s">
        <v>488</v>
      </c>
      <c r="AJ183">
        <v>2</v>
      </c>
      <c r="AK183">
        <v>0.91725352112675995</v>
      </c>
      <c r="AL183" t="s">
        <v>501</v>
      </c>
      <c r="AM183">
        <v>2</v>
      </c>
      <c r="AN183">
        <v>0.97142857142857097</v>
      </c>
      <c r="AO183" t="s">
        <v>502</v>
      </c>
      <c r="AP183">
        <v>2</v>
      </c>
      <c r="AQ183">
        <v>0.89403973509933699</v>
      </c>
      <c r="AR183" t="s">
        <v>500</v>
      </c>
      <c r="AS183">
        <v>2</v>
      </c>
      <c r="AT183">
        <v>1.2559171597633101</v>
      </c>
      <c r="AU183" t="s">
        <v>502</v>
      </c>
      <c r="AV183">
        <v>2</v>
      </c>
      <c r="AW183">
        <v>1.2258064516128999</v>
      </c>
      <c r="AX183" t="s">
        <v>499</v>
      </c>
      <c r="AY183">
        <v>2</v>
      </c>
      <c r="AZ183">
        <v>0.75368731563421798</v>
      </c>
      <c r="BA183" t="s">
        <v>503</v>
      </c>
      <c r="BB183">
        <v>1</v>
      </c>
      <c r="BC183">
        <v>0.99593495934959297</v>
      </c>
      <c r="BD183" t="s">
        <v>520</v>
      </c>
      <c r="BE183">
        <v>2</v>
      </c>
      <c r="BF183">
        <v>1.2011331444759199</v>
      </c>
      <c r="BG183" t="s">
        <v>529</v>
      </c>
      <c r="BH183">
        <v>3</v>
      </c>
      <c r="BI183">
        <v>1.1976284584980199</v>
      </c>
      <c r="BJ183" t="s">
        <v>529</v>
      </c>
      <c r="BK183">
        <v>3</v>
      </c>
      <c r="BL183">
        <v>1.3135313531353101</v>
      </c>
      <c r="BM183" t="s">
        <v>518</v>
      </c>
      <c r="BN183">
        <v>2</v>
      </c>
      <c r="BO183">
        <v>0.91739077224329901</v>
      </c>
      <c r="BP183" t="s">
        <v>530</v>
      </c>
      <c r="BQ183">
        <v>3</v>
      </c>
      <c r="BR183">
        <v>1.0033670033669999</v>
      </c>
      <c r="BS183" t="s">
        <v>527</v>
      </c>
      <c r="BT183">
        <v>2</v>
      </c>
      <c r="BU183">
        <v>1.0957040968651499</v>
      </c>
      <c r="BV183" t="s">
        <v>527</v>
      </c>
      <c r="BW183">
        <v>2</v>
      </c>
      <c r="BX183">
        <v>1.0858310626702901</v>
      </c>
      <c r="BY183" t="s">
        <v>559</v>
      </c>
      <c r="BZ183" t="s">
        <v>547</v>
      </c>
      <c r="CA183">
        <v>1.0126696832579101</v>
      </c>
      <c r="CB183" t="s">
        <v>564</v>
      </c>
      <c r="CC183" t="s">
        <v>547</v>
      </c>
      <c r="CD183">
        <v>0.99802761341222801</v>
      </c>
      <c r="CE183" t="s">
        <v>559</v>
      </c>
      <c r="CF183" t="s">
        <v>547</v>
      </c>
      <c r="CG183">
        <v>0.94857142857142795</v>
      </c>
      <c r="CH183" t="s">
        <v>532</v>
      </c>
      <c r="CI183">
        <v>2</v>
      </c>
      <c r="CJ183">
        <v>0.97863247863247804</v>
      </c>
      <c r="CK183" t="s">
        <v>566</v>
      </c>
      <c r="CL183" t="s">
        <v>547</v>
      </c>
      <c r="CM183">
        <v>0.79359430604982195</v>
      </c>
      <c r="CN183" t="s">
        <v>552</v>
      </c>
      <c r="CO183" t="s">
        <v>547</v>
      </c>
      <c r="CP183">
        <v>0.95620814013395095</v>
      </c>
      <c r="CQ183" t="s">
        <v>554</v>
      </c>
      <c r="CR183" t="s">
        <v>547</v>
      </c>
      <c r="CS183">
        <v>0.63342318059299196</v>
      </c>
      <c r="CT183" t="s">
        <v>582</v>
      </c>
      <c r="CU183" t="s">
        <v>547</v>
      </c>
      <c r="CV183">
        <v>1.0850059031877199</v>
      </c>
      <c r="CW183" t="s">
        <v>582</v>
      </c>
      <c r="CX183" t="s">
        <v>547</v>
      </c>
      <c r="CY183">
        <v>1.02937976060935</v>
      </c>
      <c r="CZ183" t="s">
        <v>553</v>
      </c>
      <c r="DA183" t="s">
        <v>547</v>
      </c>
      <c r="DB183">
        <v>1.0342368045649</v>
      </c>
      <c r="DC183" t="s">
        <v>554</v>
      </c>
      <c r="DD183" t="s">
        <v>547</v>
      </c>
      <c r="DE183">
        <v>0.94503546099290703</v>
      </c>
      <c r="DF183" t="s">
        <v>548</v>
      </c>
      <c r="DG183" t="s">
        <v>547</v>
      </c>
      <c r="DH183">
        <v>1.6036772216547399</v>
      </c>
    </row>
    <row r="184" spans="1:112" x14ac:dyDescent="0.4">
      <c r="A184">
        <v>182</v>
      </c>
      <c r="B184" t="s">
        <v>457</v>
      </c>
      <c r="C184">
        <v>1</v>
      </c>
      <c r="D184">
        <v>0.91040462427745605</v>
      </c>
      <c r="E184" t="s">
        <v>456</v>
      </c>
      <c r="F184">
        <v>2</v>
      </c>
      <c r="G184">
        <v>1</v>
      </c>
      <c r="H184" t="s">
        <v>460</v>
      </c>
      <c r="I184">
        <v>3</v>
      </c>
      <c r="J184">
        <v>0.58164983164983097</v>
      </c>
      <c r="K184" t="s">
        <v>457</v>
      </c>
      <c r="L184">
        <v>1</v>
      </c>
      <c r="M184">
        <v>0.91</v>
      </c>
      <c r="N184" t="s">
        <v>457</v>
      </c>
      <c r="O184">
        <v>1</v>
      </c>
      <c r="P184">
        <v>1.4065934065934</v>
      </c>
      <c r="Q184" t="s">
        <v>481</v>
      </c>
      <c r="R184">
        <v>1</v>
      </c>
      <c r="S184">
        <v>1.0953177257525</v>
      </c>
      <c r="T184" t="s">
        <v>488</v>
      </c>
      <c r="U184">
        <v>2</v>
      </c>
      <c r="V184">
        <v>1.1883495145631</v>
      </c>
      <c r="W184" t="s">
        <v>524</v>
      </c>
      <c r="X184">
        <v>3</v>
      </c>
      <c r="Y184">
        <v>0.84583333333333299</v>
      </c>
      <c r="Z184" t="s">
        <v>501</v>
      </c>
      <c r="AA184">
        <v>2</v>
      </c>
      <c r="AB184">
        <v>0.97004132231404905</v>
      </c>
      <c r="AC184" t="s">
        <v>490</v>
      </c>
      <c r="AD184">
        <v>3</v>
      </c>
      <c r="AE184">
        <v>1.1068783068782999</v>
      </c>
      <c r="AF184" t="s">
        <v>488</v>
      </c>
      <c r="AG184">
        <v>2</v>
      </c>
      <c r="AH184">
        <v>1.109375</v>
      </c>
      <c r="AI184" t="s">
        <v>494</v>
      </c>
      <c r="AJ184">
        <v>2</v>
      </c>
      <c r="AK184">
        <v>0.84343684889373904</v>
      </c>
      <c r="AL184" t="s">
        <v>502</v>
      </c>
      <c r="AM184">
        <v>2</v>
      </c>
      <c r="AN184">
        <v>0.97419354838709604</v>
      </c>
      <c r="AO184" t="s">
        <v>503</v>
      </c>
      <c r="AP184">
        <v>1</v>
      </c>
      <c r="AQ184">
        <v>0.85631067961164997</v>
      </c>
      <c r="AR184" t="s">
        <v>501</v>
      </c>
      <c r="AS184">
        <v>2</v>
      </c>
      <c r="AT184">
        <v>0.90054744525547403</v>
      </c>
      <c r="AU184" t="s">
        <v>503</v>
      </c>
      <c r="AV184">
        <v>1</v>
      </c>
      <c r="AW184">
        <v>1.0913907284768201</v>
      </c>
      <c r="AX184" t="s">
        <v>502</v>
      </c>
      <c r="AY184">
        <v>2</v>
      </c>
      <c r="AZ184">
        <v>0.75964912280701702</v>
      </c>
      <c r="BA184" t="s">
        <v>520</v>
      </c>
      <c r="BB184">
        <v>2</v>
      </c>
      <c r="BC184">
        <v>1.19256756756756</v>
      </c>
      <c r="BD184" t="s">
        <v>506</v>
      </c>
      <c r="BE184">
        <v>3</v>
      </c>
      <c r="BF184">
        <v>1.2912723449001</v>
      </c>
      <c r="BG184" t="s">
        <v>513</v>
      </c>
      <c r="BH184">
        <v>2</v>
      </c>
      <c r="BI184">
        <v>1</v>
      </c>
      <c r="BJ184" t="s">
        <v>513</v>
      </c>
      <c r="BK184">
        <v>2</v>
      </c>
      <c r="BL184">
        <v>1.2214765100671101</v>
      </c>
      <c r="BM184" t="s">
        <v>519</v>
      </c>
      <c r="BN184">
        <v>1</v>
      </c>
      <c r="BO184">
        <v>1.03778337531486</v>
      </c>
      <c r="BP184" t="s">
        <v>533</v>
      </c>
      <c r="BQ184">
        <v>2</v>
      </c>
      <c r="BR184">
        <v>1.0170454545454499</v>
      </c>
      <c r="BS184" t="s">
        <v>559</v>
      </c>
      <c r="BT184" t="s">
        <v>547</v>
      </c>
      <c r="BU184">
        <v>1.05366726296958</v>
      </c>
      <c r="BV184" t="s">
        <v>559</v>
      </c>
      <c r="BW184" t="s">
        <v>547</v>
      </c>
      <c r="BX184">
        <v>0.938030560271646</v>
      </c>
      <c r="BY184" t="s">
        <v>552</v>
      </c>
      <c r="BZ184" t="s">
        <v>547</v>
      </c>
      <c r="CA184">
        <v>1.2956465237166901</v>
      </c>
      <c r="CB184" t="s">
        <v>557</v>
      </c>
      <c r="CC184" t="s">
        <v>547</v>
      </c>
      <c r="CD184">
        <v>1.0034965034965</v>
      </c>
      <c r="CE184" t="s">
        <v>552</v>
      </c>
      <c r="CF184" t="s">
        <v>547</v>
      </c>
      <c r="CG184">
        <v>0.83822854520422196</v>
      </c>
      <c r="CH184" t="s">
        <v>552</v>
      </c>
      <c r="CI184" t="s">
        <v>547</v>
      </c>
      <c r="CJ184">
        <v>1.0995072543115201</v>
      </c>
      <c r="CK184" t="s">
        <v>570</v>
      </c>
      <c r="CL184" t="s">
        <v>547</v>
      </c>
      <c r="CM184">
        <v>0.88163265306122396</v>
      </c>
      <c r="CN184" t="s">
        <v>554</v>
      </c>
      <c r="CO184" t="s">
        <v>547</v>
      </c>
      <c r="CP184">
        <v>1.21241830065359</v>
      </c>
      <c r="CQ184" t="s">
        <v>555</v>
      </c>
      <c r="CR184" t="s">
        <v>547</v>
      </c>
      <c r="CS184">
        <v>0.845336538461538</v>
      </c>
      <c r="CT184" t="s">
        <v>639</v>
      </c>
      <c r="CU184" t="s">
        <v>547</v>
      </c>
      <c r="CV184">
        <v>1.12577065351418</v>
      </c>
      <c r="CW184" t="s">
        <v>639</v>
      </c>
      <c r="CX184" t="s">
        <v>547</v>
      </c>
      <c r="CY184">
        <v>1.10076670317634</v>
      </c>
      <c r="CZ184" t="s">
        <v>555</v>
      </c>
      <c r="DA184" t="s">
        <v>547</v>
      </c>
      <c r="DB184">
        <v>0.96308724832214698</v>
      </c>
      <c r="DC184" t="s">
        <v>557</v>
      </c>
      <c r="DD184" t="s">
        <v>547</v>
      </c>
      <c r="DE184">
        <v>0.84518348623853201</v>
      </c>
      <c r="DF184" t="s">
        <v>565</v>
      </c>
      <c r="DG184" t="s">
        <v>547</v>
      </c>
      <c r="DH184">
        <v>1.1547344110854501</v>
      </c>
    </row>
    <row r="185" spans="1:112" x14ac:dyDescent="0.4">
      <c r="A185">
        <v>183</v>
      </c>
      <c r="B185" t="s">
        <v>456</v>
      </c>
      <c r="C185">
        <v>2</v>
      </c>
      <c r="D185">
        <v>0.879746835443038</v>
      </c>
      <c r="E185" t="s">
        <v>459</v>
      </c>
      <c r="F185">
        <v>2</v>
      </c>
      <c r="G185">
        <v>0.80686274509803901</v>
      </c>
      <c r="H185" t="s">
        <v>468</v>
      </c>
      <c r="I185">
        <v>1</v>
      </c>
      <c r="J185">
        <v>0.66745423371297596</v>
      </c>
      <c r="K185" t="s">
        <v>456</v>
      </c>
      <c r="L185">
        <v>2</v>
      </c>
      <c r="M185">
        <v>1.1072088724584099</v>
      </c>
      <c r="N185" t="s">
        <v>456</v>
      </c>
      <c r="O185">
        <v>2</v>
      </c>
      <c r="P185">
        <v>1.0767946577629299</v>
      </c>
      <c r="Q185" t="s">
        <v>488</v>
      </c>
      <c r="R185">
        <v>2</v>
      </c>
      <c r="S185">
        <v>1.11231101511879</v>
      </c>
      <c r="T185" t="s">
        <v>490</v>
      </c>
      <c r="U185">
        <v>3</v>
      </c>
      <c r="V185">
        <v>1.0114810562571701</v>
      </c>
      <c r="W185" t="s">
        <v>494</v>
      </c>
      <c r="X185">
        <v>1</v>
      </c>
      <c r="Y185">
        <v>1.0046170106246799</v>
      </c>
      <c r="Z185" t="s">
        <v>502</v>
      </c>
      <c r="AA185">
        <v>2</v>
      </c>
      <c r="AB185">
        <v>0.84663341645885204</v>
      </c>
      <c r="AC185" t="s">
        <v>491</v>
      </c>
      <c r="AD185">
        <v>1</v>
      </c>
      <c r="AE185">
        <v>1.17511520737327</v>
      </c>
      <c r="AF185" t="s">
        <v>490</v>
      </c>
      <c r="AG185">
        <v>3</v>
      </c>
      <c r="AH185">
        <v>1.18164435946462</v>
      </c>
      <c r="AI185" t="s">
        <v>514</v>
      </c>
      <c r="AJ185">
        <v>1</v>
      </c>
      <c r="AK185">
        <v>0.93224299065420502</v>
      </c>
      <c r="AL185" t="s">
        <v>535</v>
      </c>
      <c r="AM185">
        <v>2</v>
      </c>
      <c r="AN185">
        <v>1.29282542650151</v>
      </c>
      <c r="AO185" t="s">
        <v>504</v>
      </c>
      <c r="AP185">
        <v>3</v>
      </c>
      <c r="AQ185">
        <v>0.91554173025002905</v>
      </c>
      <c r="AR185" t="s">
        <v>502</v>
      </c>
      <c r="AS185">
        <v>2</v>
      </c>
      <c r="AT185">
        <v>0.86111111111111105</v>
      </c>
      <c r="AU185" t="s">
        <v>538</v>
      </c>
      <c r="AV185">
        <v>1</v>
      </c>
      <c r="AW185">
        <v>2.0462633451957202</v>
      </c>
      <c r="AX185" t="s">
        <v>503</v>
      </c>
      <c r="AY185">
        <v>1</v>
      </c>
      <c r="AZ185">
        <v>0.89563106796116498</v>
      </c>
      <c r="BA185" t="s">
        <v>506</v>
      </c>
      <c r="BB185">
        <v>3</v>
      </c>
      <c r="BC185">
        <v>1.04505494505494</v>
      </c>
      <c r="BD185" t="s">
        <v>515</v>
      </c>
      <c r="BE185">
        <v>2</v>
      </c>
      <c r="BF185">
        <v>0.91900311526479705</v>
      </c>
      <c r="BG185" t="s">
        <v>517</v>
      </c>
      <c r="BH185">
        <v>1</v>
      </c>
      <c r="BI185">
        <v>1.2934030856534799</v>
      </c>
      <c r="BJ185" t="s">
        <v>517</v>
      </c>
      <c r="BK185">
        <v>1</v>
      </c>
      <c r="BL185">
        <v>1.0031534928360799</v>
      </c>
      <c r="BM185" t="s">
        <v>530</v>
      </c>
      <c r="BN185">
        <v>3</v>
      </c>
      <c r="BO185">
        <v>1.09191176470588</v>
      </c>
      <c r="BP185" t="s">
        <v>559</v>
      </c>
      <c r="BQ185" t="s">
        <v>547</v>
      </c>
      <c r="BR185">
        <v>1.22857142857142</v>
      </c>
      <c r="BS185" t="s">
        <v>552</v>
      </c>
      <c r="BT185" t="s">
        <v>547</v>
      </c>
      <c r="BU185">
        <v>0.939782953943885</v>
      </c>
      <c r="BV185" t="s">
        <v>552</v>
      </c>
      <c r="BW185" t="s">
        <v>547</v>
      </c>
      <c r="BX185">
        <v>1.3003802281368799</v>
      </c>
      <c r="BY185" t="s">
        <v>562</v>
      </c>
      <c r="BZ185" t="s">
        <v>547</v>
      </c>
      <c r="CA185">
        <v>1.27391304347826</v>
      </c>
      <c r="CB185" t="s">
        <v>568</v>
      </c>
      <c r="CC185" t="s">
        <v>547</v>
      </c>
      <c r="CD185">
        <v>0.65153846153846096</v>
      </c>
      <c r="CE185" t="s">
        <v>573</v>
      </c>
      <c r="CF185" t="s">
        <v>547</v>
      </c>
      <c r="CG185">
        <v>1.0277349768875099</v>
      </c>
      <c r="CH185" t="s">
        <v>569</v>
      </c>
      <c r="CI185" t="s">
        <v>547</v>
      </c>
      <c r="CJ185">
        <v>1.61386138613861</v>
      </c>
      <c r="CK185" t="s">
        <v>577</v>
      </c>
      <c r="CL185" t="s">
        <v>547</v>
      </c>
      <c r="CM185">
        <v>0.65847907250933302</v>
      </c>
      <c r="CN185" t="s">
        <v>555</v>
      </c>
      <c r="CO185" t="s">
        <v>547</v>
      </c>
      <c r="CP185">
        <v>1.0043457267020699</v>
      </c>
      <c r="CQ185" t="s">
        <v>562</v>
      </c>
      <c r="CR185" t="s">
        <v>547</v>
      </c>
      <c r="CS185">
        <v>0.83007334963325097</v>
      </c>
      <c r="CT185" t="s">
        <v>555</v>
      </c>
      <c r="CU185" t="s">
        <v>547</v>
      </c>
      <c r="CV185">
        <v>0.97935505886367502</v>
      </c>
      <c r="CW185" t="s">
        <v>555</v>
      </c>
      <c r="CX185" t="s">
        <v>547</v>
      </c>
      <c r="CY185">
        <v>0.86527293844367004</v>
      </c>
      <c r="CZ185" t="s">
        <v>562</v>
      </c>
      <c r="DA185" t="s">
        <v>547</v>
      </c>
      <c r="DB185">
        <v>0.81562881562881495</v>
      </c>
      <c r="DC185" t="s">
        <v>551</v>
      </c>
      <c r="DD185" t="s">
        <v>547</v>
      </c>
      <c r="DE185">
        <v>1.0308823529411699</v>
      </c>
      <c r="DF185" t="s">
        <v>566</v>
      </c>
      <c r="DG185" t="s">
        <v>547</v>
      </c>
      <c r="DH185">
        <v>1.0601503759398401</v>
      </c>
    </row>
    <row r="186" spans="1:112" x14ac:dyDescent="0.4">
      <c r="A186">
        <v>184</v>
      </c>
      <c r="B186" t="s">
        <v>459</v>
      </c>
      <c r="C186">
        <v>2</v>
      </c>
      <c r="D186">
        <v>0.91479820627802599</v>
      </c>
      <c r="E186" t="s">
        <v>460</v>
      </c>
      <c r="F186">
        <v>3</v>
      </c>
      <c r="G186">
        <v>0.993311036789297</v>
      </c>
      <c r="H186" t="s">
        <v>463</v>
      </c>
      <c r="I186">
        <v>1</v>
      </c>
      <c r="J186">
        <v>0.784810126582278</v>
      </c>
      <c r="K186" t="s">
        <v>459</v>
      </c>
      <c r="L186">
        <v>2</v>
      </c>
      <c r="M186">
        <v>0.82879818594104304</v>
      </c>
      <c r="N186" t="s">
        <v>459</v>
      </c>
      <c r="O186">
        <v>2</v>
      </c>
      <c r="P186">
        <v>1.45554035567715</v>
      </c>
      <c r="Q186" t="s">
        <v>490</v>
      </c>
      <c r="R186">
        <v>3</v>
      </c>
      <c r="S186">
        <v>0.94571118349619898</v>
      </c>
      <c r="T186" t="s">
        <v>493</v>
      </c>
      <c r="U186">
        <v>2</v>
      </c>
      <c r="V186">
        <v>1.3409610983981599</v>
      </c>
      <c r="W186" t="s">
        <v>498</v>
      </c>
      <c r="X186">
        <v>3</v>
      </c>
      <c r="Y186">
        <v>1.40384615384615</v>
      </c>
      <c r="Z186" t="s">
        <v>503</v>
      </c>
      <c r="AA186">
        <v>1</v>
      </c>
      <c r="AB186">
        <v>1.01128205128205</v>
      </c>
      <c r="AC186" t="s">
        <v>494</v>
      </c>
      <c r="AD186">
        <v>2</v>
      </c>
      <c r="AE186">
        <v>1.13636146762727</v>
      </c>
      <c r="AF186" t="s">
        <v>494</v>
      </c>
      <c r="AG186">
        <v>2</v>
      </c>
      <c r="AH186">
        <v>1.2695553596170801</v>
      </c>
      <c r="AI186" t="s">
        <v>498</v>
      </c>
      <c r="AJ186">
        <v>2</v>
      </c>
      <c r="AK186">
        <v>0.89817232375979095</v>
      </c>
      <c r="AL186" t="s">
        <v>520</v>
      </c>
      <c r="AM186">
        <v>2</v>
      </c>
      <c r="AN186">
        <v>0.99050203527815395</v>
      </c>
      <c r="AO186" t="s">
        <v>536</v>
      </c>
      <c r="AP186">
        <v>2</v>
      </c>
      <c r="AQ186">
        <v>1.29390681003584</v>
      </c>
      <c r="AR186" t="s">
        <v>503</v>
      </c>
      <c r="AS186">
        <v>1</v>
      </c>
      <c r="AT186">
        <v>0.85600907029478401</v>
      </c>
      <c r="AU186" t="s">
        <v>515</v>
      </c>
      <c r="AV186">
        <v>2</v>
      </c>
      <c r="AW186">
        <v>1.22016806722689</v>
      </c>
      <c r="AX186" t="s">
        <v>521</v>
      </c>
      <c r="AY186">
        <v>3</v>
      </c>
      <c r="AZ186">
        <v>0.62013061851709494</v>
      </c>
      <c r="BA186" t="s">
        <v>515</v>
      </c>
      <c r="BB186">
        <v>2</v>
      </c>
      <c r="BC186">
        <v>0.98769230769230698</v>
      </c>
      <c r="BD186" t="s">
        <v>508</v>
      </c>
      <c r="BE186">
        <v>3</v>
      </c>
      <c r="BF186">
        <v>1.0749665327978499</v>
      </c>
      <c r="BG186" t="s">
        <v>518</v>
      </c>
      <c r="BH186">
        <v>2</v>
      </c>
      <c r="BI186">
        <v>1.2036724031960599</v>
      </c>
      <c r="BJ186" t="s">
        <v>518</v>
      </c>
      <c r="BK186">
        <v>2</v>
      </c>
      <c r="BL186">
        <v>1.04308418969809</v>
      </c>
      <c r="BM186" t="s">
        <v>533</v>
      </c>
      <c r="BN186">
        <v>2</v>
      </c>
      <c r="BO186">
        <v>0.88978766430738099</v>
      </c>
      <c r="BP186" t="s">
        <v>552</v>
      </c>
      <c r="BQ186" t="s">
        <v>547</v>
      </c>
      <c r="BR186">
        <v>1.1660493827160401</v>
      </c>
      <c r="BS186" t="s">
        <v>574</v>
      </c>
      <c r="BT186" t="s">
        <v>547</v>
      </c>
      <c r="BU186">
        <v>1.1107784431137699</v>
      </c>
      <c r="BV186" t="s">
        <v>574</v>
      </c>
      <c r="BW186" t="s">
        <v>547</v>
      </c>
      <c r="BX186">
        <v>1.63072776280323</v>
      </c>
      <c r="BY186" t="s">
        <v>557</v>
      </c>
      <c r="BZ186" t="s">
        <v>547</v>
      </c>
      <c r="CA186">
        <v>1.0349819059107299</v>
      </c>
      <c r="CB186" t="s">
        <v>558</v>
      </c>
      <c r="CC186" t="s">
        <v>547</v>
      </c>
      <c r="CD186">
        <v>1.0425963488843799</v>
      </c>
      <c r="CE186" t="s">
        <v>564</v>
      </c>
      <c r="CF186" t="s">
        <v>547</v>
      </c>
      <c r="CG186">
        <v>1.09683794466403</v>
      </c>
      <c r="CH186" t="s">
        <v>573</v>
      </c>
      <c r="CI186" t="s">
        <v>547</v>
      </c>
      <c r="CJ186">
        <v>1.0014992503748099</v>
      </c>
      <c r="CK186" t="s">
        <v>576</v>
      </c>
      <c r="CL186" t="s">
        <v>547</v>
      </c>
      <c r="CM186">
        <v>1.54132231404958</v>
      </c>
      <c r="CN186" t="s">
        <v>557</v>
      </c>
      <c r="CO186" t="s">
        <v>547</v>
      </c>
      <c r="CP186">
        <v>1.0290909090909</v>
      </c>
      <c r="CQ186" t="s">
        <v>557</v>
      </c>
      <c r="CR186" t="s">
        <v>547</v>
      </c>
      <c r="CS186">
        <v>0.83745583038869198</v>
      </c>
      <c r="CT186" t="s">
        <v>558</v>
      </c>
      <c r="CU186" t="s">
        <v>547</v>
      </c>
      <c r="CV186">
        <v>1.1252653927813101</v>
      </c>
      <c r="CW186" t="s">
        <v>551</v>
      </c>
      <c r="CX186" t="s">
        <v>547</v>
      </c>
      <c r="CY186">
        <v>1.0198938992042399</v>
      </c>
      <c r="CZ186" t="s">
        <v>558</v>
      </c>
      <c r="DA186" t="s">
        <v>547</v>
      </c>
      <c r="DB186">
        <v>1.1359026369168299</v>
      </c>
      <c r="DC186" t="s">
        <v>548</v>
      </c>
      <c r="DD186" t="s">
        <v>547</v>
      </c>
      <c r="DE186">
        <v>1.2551282051282</v>
      </c>
      <c r="DF186" t="s">
        <v>570</v>
      </c>
      <c r="DG186" t="s">
        <v>547</v>
      </c>
      <c r="DH186">
        <v>1.4912280701754299</v>
      </c>
    </row>
    <row r="187" spans="1:112" x14ac:dyDescent="0.4">
      <c r="A187">
        <v>185</v>
      </c>
      <c r="B187" t="s">
        <v>460</v>
      </c>
      <c r="C187">
        <v>3</v>
      </c>
      <c r="D187">
        <v>0.96607431340872296</v>
      </c>
      <c r="E187" t="s">
        <v>478</v>
      </c>
      <c r="F187">
        <v>3</v>
      </c>
      <c r="G187">
        <v>0.95473372781065002</v>
      </c>
      <c r="H187" t="s">
        <v>478</v>
      </c>
      <c r="I187">
        <v>3</v>
      </c>
      <c r="J187">
        <v>0.77316392934614198</v>
      </c>
      <c r="K187" t="s">
        <v>468</v>
      </c>
      <c r="L187">
        <v>1</v>
      </c>
      <c r="M187">
        <v>1.0812669379684099</v>
      </c>
      <c r="N187" t="s">
        <v>468</v>
      </c>
      <c r="O187">
        <v>1</v>
      </c>
      <c r="P187">
        <v>1.8300717627176699</v>
      </c>
      <c r="Q187" t="s">
        <v>524</v>
      </c>
      <c r="R187">
        <v>3</v>
      </c>
      <c r="S187">
        <v>0.79461279461279399</v>
      </c>
      <c r="T187" t="s">
        <v>524</v>
      </c>
      <c r="U187">
        <v>3</v>
      </c>
      <c r="V187">
        <v>1.0169491525423699</v>
      </c>
      <c r="W187" t="s">
        <v>499</v>
      </c>
      <c r="X187">
        <v>2</v>
      </c>
      <c r="Y187">
        <v>0.82051282051282004</v>
      </c>
      <c r="Z187" t="s">
        <v>559</v>
      </c>
      <c r="AA187" t="s">
        <v>547</v>
      </c>
      <c r="AB187">
        <v>0.98073836276083404</v>
      </c>
      <c r="AC187" t="s">
        <v>498</v>
      </c>
      <c r="AD187">
        <v>2</v>
      </c>
      <c r="AE187">
        <v>0.72505543237250503</v>
      </c>
      <c r="AF187" t="s">
        <v>514</v>
      </c>
      <c r="AG187">
        <v>1</v>
      </c>
      <c r="AH187">
        <v>0.96179775280898805</v>
      </c>
      <c r="AI187" t="s">
        <v>500</v>
      </c>
      <c r="AJ187">
        <v>2</v>
      </c>
      <c r="AK187">
        <v>0.83834586466165395</v>
      </c>
      <c r="AL187" t="s">
        <v>536</v>
      </c>
      <c r="AM187">
        <v>2</v>
      </c>
      <c r="AN187">
        <v>1.1625000000000001</v>
      </c>
      <c r="AO187" t="s">
        <v>538</v>
      </c>
      <c r="AP187">
        <v>1</v>
      </c>
      <c r="AQ187">
        <v>0.68556874631640896</v>
      </c>
      <c r="AR187" t="s">
        <v>538</v>
      </c>
      <c r="AS187">
        <v>1</v>
      </c>
      <c r="AT187">
        <v>0.51765428308259098</v>
      </c>
      <c r="AU187" t="s">
        <v>521</v>
      </c>
      <c r="AV187">
        <v>3</v>
      </c>
      <c r="AW187">
        <v>1.09609230250968</v>
      </c>
      <c r="AX187" t="s">
        <v>517</v>
      </c>
      <c r="AY187">
        <v>1</v>
      </c>
      <c r="AZ187">
        <v>0.83156437471158196</v>
      </c>
      <c r="BA187" t="s">
        <v>510</v>
      </c>
      <c r="BB187">
        <v>2</v>
      </c>
      <c r="BC187">
        <v>1.1182108626198</v>
      </c>
      <c r="BD187" t="s">
        <v>510</v>
      </c>
      <c r="BE187">
        <v>2</v>
      </c>
      <c r="BF187">
        <v>1.27428571428571</v>
      </c>
      <c r="BG187" t="s">
        <v>533</v>
      </c>
      <c r="BH187">
        <v>2</v>
      </c>
      <c r="BI187">
        <v>0.97533206831119501</v>
      </c>
      <c r="BJ187" t="s">
        <v>533</v>
      </c>
      <c r="BK187">
        <v>2</v>
      </c>
      <c r="BL187">
        <v>0.96206225680933799</v>
      </c>
      <c r="BM187" t="s">
        <v>559</v>
      </c>
      <c r="BN187" t="s">
        <v>547</v>
      </c>
      <c r="BO187">
        <v>0.96398305084745695</v>
      </c>
      <c r="BP187" t="s">
        <v>573</v>
      </c>
      <c r="BQ187" t="s">
        <v>547</v>
      </c>
      <c r="BR187">
        <v>0.80254777070063699</v>
      </c>
      <c r="BS187" t="s">
        <v>562</v>
      </c>
      <c r="BT187" t="s">
        <v>547</v>
      </c>
      <c r="BU187">
        <v>0.947204968944099</v>
      </c>
      <c r="BV187" t="s">
        <v>562</v>
      </c>
      <c r="BW187" t="s">
        <v>547</v>
      </c>
      <c r="BX187">
        <v>1.25683060109289</v>
      </c>
      <c r="BY187" t="s">
        <v>558</v>
      </c>
      <c r="BZ187" t="s">
        <v>547</v>
      </c>
      <c r="CA187">
        <v>0.97430830039525695</v>
      </c>
      <c r="CB187" t="s">
        <v>551</v>
      </c>
      <c r="CC187" t="s">
        <v>547</v>
      </c>
      <c r="CD187">
        <v>1.22235872235872</v>
      </c>
      <c r="CE187" t="s">
        <v>562</v>
      </c>
      <c r="CF187" t="s">
        <v>547</v>
      </c>
      <c r="CG187">
        <v>1.03862660944206</v>
      </c>
      <c r="CH187" t="s">
        <v>562</v>
      </c>
      <c r="CI187" t="s">
        <v>547</v>
      </c>
      <c r="CJ187">
        <v>0.77272727272727204</v>
      </c>
      <c r="CK187" t="s">
        <v>578</v>
      </c>
      <c r="CL187" t="s">
        <v>547</v>
      </c>
      <c r="CM187">
        <v>0.915300546448087</v>
      </c>
      <c r="CN187" t="s">
        <v>558</v>
      </c>
      <c r="CO187" t="s">
        <v>547</v>
      </c>
      <c r="CP187">
        <v>0.96649029982363299</v>
      </c>
      <c r="CQ187" t="s">
        <v>558</v>
      </c>
      <c r="CR187" t="s">
        <v>547</v>
      </c>
      <c r="CS187">
        <v>0.85948905109489004</v>
      </c>
      <c r="CT187" t="s">
        <v>551</v>
      </c>
      <c r="CU187" t="s">
        <v>547</v>
      </c>
      <c r="CV187">
        <v>0.90299401197604701</v>
      </c>
      <c r="CW187" t="s">
        <v>560</v>
      </c>
      <c r="CX187" t="s">
        <v>547</v>
      </c>
      <c r="CY187">
        <v>0.89678284182305601</v>
      </c>
      <c r="CZ187" t="s">
        <v>551</v>
      </c>
      <c r="DA187" t="s">
        <v>547</v>
      </c>
      <c r="DB187">
        <v>0.88426527958387502</v>
      </c>
      <c r="DC187" t="s">
        <v>565</v>
      </c>
      <c r="DD187" t="s">
        <v>547</v>
      </c>
      <c r="DE187">
        <v>1.0093240093239999</v>
      </c>
      <c r="DF187" t="s">
        <v>572</v>
      </c>
      <c r="DG187" t="s">
        <v>547</v>
      </c>
      <c r="DH187">
        <v>0.99335989375830003</v>
      </c>
    </row>
    <row r="188" spans="1:112" x14ac:dyDescent="0.4">
      <c r="A188">
        <v>186</v>
      </c>
      <c r="B188" t="s">
        <v>463</v>
      </c>
      <c r="C188">
        <v>1</v>
      </c>
      <c r="D188">
        <v>1.03559870550161</v>
      </c>
      <c r="E188" t="s">
        <v>472</v>
      </c>
      <c r="F188">
        <v>2</v>
      </c>
      <c r="G188">
        <v>0.65771144278606897</v>
      </c>
      <c r="H188" t="s">
        <v>472</v>
      </c>
      <c r="I188">
        <v>2</v>
      </c>
      <c r="J188">
        <v>0.83963691376701899</v>
      </c>
      <c r="K188" t="s">
        <v>463</v>
      </c>
      <c r="L188">
        <v>1</v>
      </c>
      <c r="M188">
        <v>1.17511520737327</v>
      </c>
      <c r="N188" t="s">
        <v>463</v>
      </c>
      <c r="O188">
        <v>1</v>
      </c>
      <c r="P188">
        <v>1.2196078431372499</v>
      </c>
      <c r="Q188" t="s">
        <v>494</v>
      </c>
      <c r="R188">
        <v>1</v>
      </c>
      <c r="S188">
        <v>0.78519179916892701</v>
      </c>
      <c r="T188" t="s">
        <v>491</v>
      </c>
      <c r="U188">
        <v>1</v>
      </c>
      <c r="V188">
        <v>1.08457711442786</v>
      </c>
      <c r="W188" t="s">
        <v>502</v>
      </c>
      <c r="X188">
        <v>2</v>
      </c>
      <c r="Y188">
        <v>0.91136363636363604</v>
      </c>
      <c r="Z188" t="s">
        <v>574</v>
      </c>
      <c r="AA188" t="s">
        <v>547</v>
      </c>
      <c r="AB188">
        <v>0.89827856025039099</v>
      </c>
      <c r="AC188" t="s">
        <v>500</v>
      </c>
      <c r="AD188">
        <v>2</v>
      </c>
      <c r="AE188">
        <v>1.1573705179282801</v>
      </c>
      <c r="AF188" t="s">
        <v>498</v>
      </c>
      <c r="AG188">
        <v>2</v>
      </c>
      <c r="AH188">
        <v>1.17125382262996</v>
      </c>
      <c r="AI188" t="s">
        <v>502</v>
      </c>
      <c r="AJ188">
        <v>2</v>
      </c>
      <c r="AK188">
        <v>1.13345521023766</v>
      </c>
      <c r="AL188" t="s">
        <v>559</v>
      </c>
      <c r="AM188" t="s">
        <v>547</v>
      </c>
      <c r="AN188">
        <v>1.13333333333333</v>
      </c>
      <c r="AO188" t="s">
        <v>521</v>
      </c>
      <c r="AP188">
        <v>3</v>
      </c>
      <c r="AQ188">
        <v>1.36068646268488</v>
      </c>
      <c r="AR188" t="s">
        <v>521</v>
      </c>
      <c r="AS188">
        <v>3</v>
      </c>
      <c r="AT188">
        <v>0.78821069401573196</v>
      </c>
      <c r="AU188" t="s">
        <v>517</v>
      </c>
      <c r="AV188">
        <v>1</v>
      </c>
      <c r="AW188">
        <v>1.22371764705882</v>
      </c>
      <c r="AX188" t="s">
        <v>518</v>
      </c>
      <c r="AY188">
        <v>1</v>
      </c>
      <c r="AZ188">
        <v>0.97346657477601595</v>
      </c>
      <c r="BA188" t="s">
        <v>521</v>
      </c>
      <c r="BB188">
        <v>3</v>
      </c>
      <c r="BC188">
        <v>0.89267129228100595</v>
      </c>
      <c r="BD188" t="s">
        <v>513</v>
      </c>
      <c r="BE188">
        <v>2</v>
      </c>
      <c r="BF188">
        <v>1.39617691154422</v>
      </c>
      <c r="BG188" t="s">
        <v>559</v>
      </c>
      <c r="BH188" t="s">
        <v>547</v>
      </c>
      <c r="BI188">
        <v>1.05540897097625</v>
      </c>
      <c r="BJ188" t="s">
        <v>559</v>
      </c>
      <c r="BK188" t="s">
        <v>547</v>
      </c>
      <c r="BL188">
        <v>1.18</v>
      </c>
      <c r="BM188" t="s">
        <v>552</v>
      </c>
      <c r="BN188" t="s">
        <v>547</v>
      </c>
      <c r="BO188">
        <v>0.97870412324422296</v>
      </c>
      <c r="BP188" t="s">
        <v>574</v>
      </c>
      <c r="BQ188" t="s">
        <v>547</v>
      </c>
      <c r="BR188">
        <v>1.2945736434108499</v>
      </c>
      <c r="BS188" t="s">
        <v>558</v>
      </c>
      <c r="BT188" t="s">
        <v>547</v>
      </c>
      <c r="BU188">
        <v>1.84210526315789</v>
      </c>
      <c r="BV188" t="s">
        <v>557</v>
      </c>
      <c r="BW188" t="s">
        <v>547</v>
      </c>
      <c r="BX188">
        <v>1.0298136645962701</v>
      </c>
      <c r="BY188" t="s">
        <v>551</v>
      </c>
      <c r="BZ188" t="s">
        <v>547</v>
      </c>
      <c r="CA188">
        <v>1.2503840245775699</v>
      </c>
      <c r="CB188" t="s">
        <v>548</v>
      </c>
      <c r="CC188" t="s">
        <v>547</v>
      </c>
      <c r="CD188">
        <v>0.92041522491349403</v>
      </c>
      <c r="CE188" t="s">
        <v>557</v>
      </c>
      <c r="CF188" t="s">
        <v>547</v>
      </c>
      <c r="CG188">
        <v>0.98257839721254303</v>
      </c>
      <c r="CH188" t="s">
        <v>557</v>
      </c>
      <c r="CI188" t="s">
        <v>547</v>
      </c>
      <c r="CJ188">
        <v>1.04728132387706</v>
      </c>
      <c r="CK188" t="s">
        <v>587</v>
      </c>
      <c r="CL188" t="s">
        <v>547</v>
      </c>
      <c r="CM188">
        <v>0.84411764705882297</v>
      </c>
      <c r="CN188" t="s">
        <v>548</v>
      </c>
      <c r="CO188" t="s">
        <v>547</v>
      </c>
      <c r="CP188">
        <v>1.0160583941605801</v>
      </c>
      <c r="CQ188" t="s">
        <v>565</v>
      </c>
      <c r="CR188" t="s">
        <v>547</v>
      </c>
      <c r="CS188">
        <v>1.0238365493757</v>
      </c>
      <c r="CT188" t="s">
        <v>565</v>
      </c>
      <c r="CU188" t="s">
        <v>547</v>
      </c>
      <c r="CV188">
        <v>1.4855875831485501</v>
      </c>
      <c r="CW188" t="s">
        <v>565</v>
      </c>
      <c r="CX188" t="s">
        <v>547</v>
      </c>
      <c r="CY188">
        <v>0.78656716417910399</v>
      </c>
      <c r="CZ188" t="s">
        <v>565</v>
      </c>
      <c r="DA188" t="s">
        <v>547</v>
      </c>
      <c r="DB188">
        <v>0.81404174573054999</v>
      </c>
      <c r="DC188" t="s">
        <v>566</v>
      </c>
      <c r="DD188" t="s">
        <v>547</v>
      </c>
      <c r="DE188">
        <v>0.99253731343283502</v>
      </c>
      <c r="DF188" t="s">
        <v>575</v>
      </c>
      <c r="DG188" t="s">
        <v>547</v>
      </c>
      <c r="DH188">
        <v>1.1628498727735299</v>
      </c>
    </row>
    <row r="189" spans="1:112" x14ac:dyDescent="0.4">
      <c r="A189">
        <v>187</v>
      </c>
      <c r="B189" t="s">
        <v>478</v>
      </c>
      <c r="C189">
        <v>3</v>
      </c>
      <c r="D189">
        <v>1.1227370868626401</v>
      </c>
      <c r="E189" t="s">
        <v>485</v>
      </c>
      <c r="F189">
        <v>2</v>
      </c>
      <c r="G189">
        <v>0.882293762575452</v>
      </c>
      <c r="H189" t="s">
        <v>485</v>
      </c>
      <c r="I189">
        <v>2</v>
      </c>
      <c r="J189">
        <v>0.50741163055872296</v>
      </c>
      <c r="K189" t="s">
        <v>472</v>
      </c>
      <c r="L189">
        <v>2</v>
      </c>
      <c r="M189">
        <v>0.80090090090090005</v>
      </c>
      <c r="N189" t="s">
        <v>472</v>
      </c>
      <c r="O189">
        <v>2</v>
      </c>
      <c r="P189">
        <v>1.50168728908886</v>
      </c>
      <c r="Q189" t="s">
        <v>499</v>
      </c>
      <c r="R189">
        <v>2</v>
      </c>
      <c r="S189">
        <v>1.0563002680965099</v>
      </c>
      <c r="T189" t="s">
        <v>494</v>
      </c>
      <c r="U189">
        <v>1</v>
      </c>
      <c r="V189">
        <v>0.78625787263820801</v>
      </c>
      <c r="W189" t="s">
        <v>559</v>
      </c>
      <c r="X189" t="s">
        <v>547</v>
      </c>
      <c r="Y189">
        <v>1.1754716981132001</v>
      </c>
      <c r="Z189" t="s">
        <v>581</v>
      </c>
      <c r="AA189" t="s">
        <v>547</v>
      </c>
      <c r="AB189">
        <v>1.33217993079584</v>
      </c>
      <c r="AC189" t="s">
        <v>499</v>
      </c>
      <c r="AD189">
        <v>2</v>
      </c>
      <c r="AE189">
        <v>1.4423076923076901</v>
      </c>
      <c r="AF189" t="s">
        <v>500</v>
      </c>
      <c r="AG189">
        <v>2</v>
      </c>
      <c r="AH189">
        <v>0.91566265060240903</v>
      </c>
      <c r="AI189" t="s">
        <v>536</v>
      </c>
      <c r="AJ189">
        <v>2</v>
      </c>
      <c r="AK189">
        <v>1.15384615384615</v>
      </c>
      <c r="AL189" t="s">
        <v>574</v>
      </c>
      <c r="AM189" t="s">
        <v>547</v>
      </c>
      <c r="AN189">
        <v>1.1793650793650701</v>
      </c>
      <c r="AO189" t="s">
        <v>559</v>
      </c>
      <c r="AP189" t="s">
        <v>547</v>
      </c>
      <c r="AQ189">
        <v>1.0380622837370199</v>
      </c>
      <c r="AR189" t="s">
        <v>517</v>
      </c>
      <c r="AS189">
        <v>1</v>
      </c>
      <c r="AT189">
        <v>0.86032388663967596</v>
      </c>
      <c r="AU189" t="s">
        <v>518</v>
      </c>
      <c r="AV189">
        <v>1</v>
      </c>
      <c r="AW189">
        <v>1.1666800675404001</v>
      </c>
      <c r="AX189" t="s">
        <v>559</v>
      </c>
      <c r="AY189" t="s">
        <v>547</v>
      </c>
      <c r="AZ189">
        <v>0.97267080745341605</v>
      </c>
      <c r="BA189" t="s">
        <v>513</v>
      </c>
      <c r="BB189">
        <v>2</v>
      </c>
      <c r="BC189">
        <v>1.1584889274858801</v>
      </c>
      <c r="BD189" t="s">
        <v>517</v>
      </c>
      <c r="BE189">
        <v>1</v>
      </c>
      <c r="BF189">
        <v>1.0254591743953401</v>
      </c>
      <c r="BG189" t="s">
        <v>582</v>
      </c>
      <c r="BH189" t="s">
        <v>547</v>
      </c>
      <c r="BI189">
        <v>1</v>
      </c>
      <c r="BJ189" t="s">
        <v>574</v>
      </c>
      <c r="BK189" t="s">
        <v>547</v>
      </c>
      <c r="BL189">
        <v>0.972413793103448</v>
      </c>
      <c r="BM189" t="s">
        <v>574</v>
      </c>
      <c r="BN189" t="s">
        <v>547</v>
      </c>
      <c r="BO189">
        <v>0.91489361702127603</v>
      </c>
      <c r="BP189" t="s">
        <v>562</v>
      </c>
      <c r="BQ189" t="s">
        <v>547</v>
      </c>
      <c r="BR189">
        <v>1.12456344586728</v>
      </c>
      <c r="BS189" t="s">
        <v>551</v>
      </c>
      <c r="BT189" t="s">
        <v>547</v>
      </c>
      <c r="BU189">
        <v>0.96084828711256098</v>
      </c>
      <c r="BV189" t="s">
        <v>558</v>
      </c>
      <c r="BW189" t="s">
        <v>547</v>
      </c>
      <c r="BX189">
        <v>0.65714285714285703</v>
      </c>
      <c r="BY189" t="s">
        <v>548</v>
      </c>
      <c r="BZ189" t="s">
        <v>547</v>
      </c>
      <c r="CA189">
        <v>0.86011904761904701</v>
      </c>
      <c r="CB189" t="s">
        <v>565</v>
      </c>
      <c r="CC189" t="s">
        <v>547</v>
      </c>
      <c r="CD189">
        <v>0.97647058823529398</v>
      </c>
      <c r="CE189" t="s">
        <v>558</v>
      </c>
      <c r="CF189" t="s">
        <v>547</v>
      </c>
      <c r="CG189">
        <v>1.09727626459143</v>
      </c>
      <c r="CH189" t="s">
        <v>558</v>
      </c>
      <c r="CI189" t="s">
        <v>547</v>
      </c>
      <c r="CJ189">
        <v>1.16489361702127</v>
      </c>
      <c r="CK189" t="s">
        <v>592</v>
      </c>
      <c r="CL189" t="s">
        <v>547</v>
      </c>
      <c r="CM189">
        <v>0.72697788697788701</v>
      </c>
      <c r="CN189" t="s">
        <v>565</v>
      </c>
      <c r="CO189" t="s">
        <v>547</v>
      </c>
      <c r="CP189">
        <v>1.0149769585253401</v>
      </c>
      <c r="CQ189" t="s">
        <v>566</v>
      </c>
      <c r="CR189" t="s">
        <v>547</v>
      </c>
      <c r="CS189">
        <v>1.0048076923076901</v>
      </c>
      <c r="CT189" t="s">
        <v>566</v>
      </c>
      <c r="CU189" t="s">
        <v>547</v>
      </c>
      <c r="CV189">
        <v>1.14832535885167</v>
      </c>
      <c r="CW189" t="s">
        <v>566</v>
      </c>
      <c r="CX189" t="s">
        <v>547</v>
      </c>
      <c r="CY189">
        <v>1.2916666666666601</v>
      </c>
      <c r="CZ189" t="s">
        <v>566</v>
      </c>
      <c r="DA189" t="s">
        <v>547</v>
      </c>
      <c r="DB189">
        <v>0.86451612903225805</v>
      </c>
      <c r="DC189" t="s">
        <v>570</v>
      </c>
      <c r="DD189" t="s">
        <v>547</v>
      </c>
      <c r="DE189">
        <v>1.001953125</v>
      </c>
      <c r="DF189" t="s">
        <v>576</v>
      </c>
      <c r="DG189" t="s">
        <v>547</v>
      </c>
      <c r="DH189">
        <v>1.1902439024390199</v>
      </c>
    </row>
    <row r="190" spans="1:112" x14ac:dyDescent="0.4">
      <c r="A190">
        <v>188</v>
      </c>
      <c r="B190" t="s">
        <v>472</v>
      </c>
      <c r="C190">
        <v>2</v>
      </c>
      <c r="D190">
        <v>1.5678627145085799</v>
      </c>
      <c r="E190" t="s">
        <v>479</v>
      </c>
      <c r="F190">
        <v>3</v>
      </c>
      <c r="G190">
        <v>0.83248730964466999</v>
      </c>
      <c r="H190" t="s">
        <v>479</v>
      </c>
      <c r="I190">
        <v>3</v>
      </c>
      <c r="J190">
        <v>0.29674796747967402</v>
      </c>
      <c r="K190" t="s">
        <v>481</v>
      </c>
      <c r="L190">
        <v>1</v>
      </c>
      <c r="M190">
        <v>1.0571428571428501</v>
      </c>
      <c r="N190" t="s">
        <v>481</v>
      </c>
      <c r="O190">
        <v>1</v>
      </c>
      <c r="P190">
        <v>1.6162162162162099</v>
      </c>
      <c r="Q190" t="s">
        <v>502</v>
      </c>
      <c r="R190">
        <v>2</v>
      </c>
      <c r="S190">
        <v>0.82807017543859596</v>
      </c>
      <c r="T190" t="s">
        <v>498</v>
      </c>
      <c r="U190">
        <v>3</v>
      </c>
      <c r="V190">
        <v>0.92526690391458999</v>
      </c>
      <c r="W190" t="s">
        <v>574</v>
      </c>
      <c r="X190" t="s">
        <v>547</v>
      </c>
      <c r="Y190">
        <v>1.47235023041474</v>
      </c>
      <c r="Z190" t="s">
        <v>560</v>
      </c>
      <c r="AA190" t="s">
        <v>547</v>
      </c>
      <c r="AB190">
        <v>1.74069579288025</v>
      </c>
      <c r="AC190" t="s">
        <v>501</v>
      </c>
      <c r="AD190">
        <v>2</v>
      </c>
      <c r="AE190">
        <v>1.2300319488817799</v>
      </c>
      <c r="AF190" t="s">
        <v>502</v>
      </c>
      <c r="AG190">
        <v>2</v>
      </c>
      <c r="AH190">
        <v>1.0224299065420499</v>
      </c>
      <c r="AI190" t="s">
        <v>559</v>
      </c>
      <c r="AJ190" t="s">
        <v>547</v>
      </c>
      <c r="AK190">
        <v>1.08203677510608</v>
      </c>
      <c r="AL190" t="s">
        <v>581</v>
      </c>
      <c r="AM190" t="s">
        <v>547</v>
      </c>
      <c r="AN190">
        <v>1.17704280155642</v>
      </c>
      <c r="AO190" t="s">
        <v>574</v>
      </c>
      <c r="AP190" t="s">
        <v>547</v>
      </c>
      <c r="AQ190">
        <v>2.0255720053835802</v>
      </c>
      <c r="AR190" t="s">
        <v>518</v>
      </c>
      <c r="AS190">
        <v>1</v>
      </c>
      <c r="AT190">
        <v>0.83224036402569501</v>
      </c>
      <c r="AU190" t="s">
        <v>559</v>
      </c>
      <c r="AV190" t="s">
        <v>547</v>
      </c>
      <c r="AW190">
        <v>1.0254777070063601</v>
      </c>
      <c r="AX190" t="s">
        <v>574</v>
      </c>
      <c r="AY190" t="s">
        <v>547</v>
      </c>
      <c r="AZ190">
        <v>0.66567164179104399</v>
      </c>
      <c r="BA190" t="s">
        <v>517</v>
      </c>
      <c r="BB190">
        <v>1</v>
      </c>
      <c r="BC190">
        <v>1.01720310765815</v>
      </c>
      <c r="BD190" t="s">
        <v>518</v>
      </c>
      <c r="BE190">
        <v>2</v>
      </c>
      <c r="BF190">
        <v>1.03056215360253</v>
      </c>
      <c r="BG190" t="s">
        <v>574</v>
      </c>
      <c r="BH190" t="s">
        <v>547</v>
      </c>
      <c r="BI190">
        <v>1.08614232209737</v>
      </c>
      <c r="BJ190" t="s">
        <v>558</v>
      </c>
      <c r="BK190" t="s">
        <v>547</v>
      </c>
      <c r="BL190">
        <v>1.03090507726269</v>
      </c>
      <c r="BM190" t="s">
        <v>558</v>
      </c>
      <c r="BN190" t="s">
        <v>547</v>
      </c>
      <c r="BO190">
        <v>0.93576017130620903</v>
      </c>
      <c r="BP190" t="s">
        <v>558</v>
      </c>
      <c r="BQ190" t="s">
        <v>547</v>
      </c>
      <c r="BR190">
        <v>0.95652173913043403</v>
      </c>
      <c r="BS190" t="s">
        <v>570</v>
      </c>
      <c r="BT190" t="s">
        <v>547</v>
      </c>
      <c r="BU190">
        <v>1.06043329532497</v>
      </c>
      <c r="BV190" t="s">
        <v>551</v>
      </c>
      <c r="BW190" t="s">
        <v>547</v>
      </c>
      <c r="BX190">
        <v>1.1052631578947301</v>
      </c>
      <c r="BY190" t="s">
        <v>565</v>
      </c>
      <c r="BZ190" t="s">
        <v>547</v>
      </c>
      <c r="CA190">
        <v>0.96105527638190902</v>
      </c>
      <c r="CB190" t="s">
        <v>566</v>
      </c>
      <c r="CC190" t="s">
        <v>547</v>
      </c>
      <c r="CD190">
        <v>0.97181208053691204</v>
      </c>
      <c r="CE190" t="s">
        <v>551</v>
      </c>
      <c r="CF190" t="s">
        <v>547</v>
      </c>
      <c r="CG190">
        <v>1.2864321608040199</v>
      </c>
      <c r="CH190" t="s">
        <v>551</v>
      </c>
      <c r="CI190" t="s">
        <v>547</v>
      </c>
      <c r="CJ190">
        <v>1.421875</v>
      </c>
      <c r="CK190" t="s">
        <v>594</v>
      </c>
      <c r="CL190" t="s">
        <v>547</v>
      </c>
      <c r="CM190">
        <v>0.73645320197044295</v>
      </c>
      <c r="CN190" t="s">
        <v>566</v>
      </c>
      <c r="CO190" t="s">
        <v>547</v>
      </c>
      <c r="CP190">
        <v>0.93273542600896797</v>
      </c>
      <c r="CQ190" t="s">
        <v>570</v>
      </c>
      <c r="CR190" t="s">
        <v>547</v>
      </c>
      <c r="CS190">
        <v>1.02893518518518</v>
      </c>
      <c r="CT190" t="s">
        <v>570</v>
      </c>
      <c r="CU190" t="s">
        <v>547</v>
      </c>
      <c r="CV190">
        <v>1.1451068616422899</v>
      </c>
      <c r="CW190" t="s">
        <v>570</v>
      </c>
      <c r="CX190" t="s">
        <v>547</v>
      </c>
      <c r="CY190">
        <v>0.98624754420432204</v>
      </c>
      <c r="CZ190" t="s">
        <v>570</v>
      </c>
      <c r="DA190" t="s">
        <v>547</v>
      </c>
      <c r="DB190">
        <v>1.01992031872509</v>
      </c>
      <c r="DC190" t="s">
        <v>576</v>
      </c>
      <c r="DD190" t="s">
        <v>547</v>
      </c>
      <c r="DE190">
        <v>1.1202185792349699</v>
      </c>
      <c r="DF190" t="s">
        <v>579</v>
      </c>
      <c r="DG190" t="s">
        <v>547</v>
      </c>
      <c r="DH190">
        <v>0.96125461254612499</v>
      </c>
    </row>
    <row r="191" spans="1:112" x14ac:dyDescent="0.4">
      <c r="A191">
        <v>189</v>
      </c>
      <c r="B191" t="s">
        <v>485</v>
      </c>
      <c r="C191">
        <v>2</v>
      </c>
      <c r="D191">
        <v>1.01428571428571</v>
      </c>
      <c r="E191" t="s">
        <v>481</v>
      </c>
      <c r="F191">
        <v>1</v>
      </c>
      <c r="G191">
        <v>0.90232558139534802</v>
      </c>
      <c r="H191" t="s">
        <v>481</v>
      </c>
      <c r="I191">
        <v>1</v>
      </c>
      <c r="J191">
        <v>0.451030927835051</v>
      </c>
      <c r="K191" t="s">
        <v>488</v>
      </c>
      <c r="L191">
        <v>2</v>
      </c>
      <c r="M191">
        <v>0.62804878048780399</v>
      </c>
      <c r="N191" t="s">
        <v>488</v>
      </c>
      <c r="O191">
        <v>2</v>
      </c>
      <c r="P191">
        <v>1.79805825242718</v>
      </c>
      <c r="Q191" t="s">
        <v>503</v>
      </c>
      <c r="R191">
        <v>1</v>
      </c>
      <c r="S191">
        <v>1.31720292598086</v>
      </c>
      <c r="T191" t="s">
        <v>499</v>
      </c>
      <c r="U191">
        <v>2</v>
      </c>
      <c r="V191">
        <v>1.1878172588832401</v>
      </c>
      <c r="W191" t="s">
        <v>640</v>
      </c>
      <c r="X191" t="s">
        <v>547</v>
      </c>
      <c r="Y191">
        <v>0.89955022488755598</v>
      </c>
      <c r="Z191" t="s">
        <v>641</v>
      </c>
      <c r="AA191" t="s">
        <v>547</v>
      </c>
      <c r="AB191">
        <v>1.0572687224669599</v>
      </c>
      <c r="AC191" t="s">
        <v>502</v>
      </c>
      <c r="AD191">
        <v>2</v>
      </c>
      <c r="AE191">
        <v>0.78792341678939604</v>
      </c>
      <c r="AF191" t="s">
        <v>536</v>
      </c>
      <c r="AG191">
        <v>2</v>
      </c>
      <c r="AH191">
        <v>1.0833333333333299</v>
      </c>
      <c r="AI191" t="s">
        <v>574</v>
      </c>
      <c r="AJ191" t="s">
        <v>547</v>
      </c>
      <c r="AK191">
        <v>0.81924577373211904</v>
      </c>
      <c r="AL191" t="s">
        <v>549</v>
      </c>
      <c r="AM191" t="s">
        <v>547</v>
      </c>
      <c r="AN191">
        <v>0.98883572567783096</v>
      </c>
      <c r="AO191" t="s">
        <v>564</v>
      </c>
      <c r="AP191" t="s">
        <v>547</v>
      </c>
      <c r="AQ191">
        <v>1.08210526315789</v>
      </c>
      <c r="AR191" t="s">
        <v>559</v>
      </c>
      <c r="AS191" t="s">
        <v>547</v>
      </c>
      <c r="AT191">
        <v>0.87222222222222201</v>
      </c>
      <c r="AU191" t="s">
        <v>558</v>
      </c>
      <c r="AV191" t="s">
        <v>547</v>
      </c>
      <c r="AW191">
        <v>1.29304029304029</v>
      </c>
      <c r="AX191" t="s">
        <v>551</v>
      </c>
      <c r="AY191" t="s">
        <v>547</v>
      </c>
      <c r="AZ191">
        <v>0.951004016064257</v>
      </c>
      <c r="BA191" t="s">
        <v>518</v>
      </c>
      <c r="BB191">
        <v>2</v>
      </c>
      <c r="BC191">
        <v>0.89415929203539801</v>
      </c>
      <c r="BD191" t="s">
        <v>559</v>
      </c>
      <c r="BE191" t="s">
        <v>547</v>
      </c>
      <c r="BF191">
        <v>1.0160857908847101</v>
      </c>
      <c r="BG191" t="s">
        <v>558</v>
      </c>
      <c r="BH191" t="s">
        <v>547</v>
      </c>
      <c r="BI191">
        <v>1.0837320574162601</v>
      </c>
      <c r="BJ191" t="s">
        <v>551</v>
      </c>
      <c r="BK191" t="s">
        <v>547</v>
      </c>
      <c r="BL191">
        <v>1.0303030303030301</v>
      </c>
      <c r="BM191" t="s">
        <v>551</v>
      </c>
      <c r="BN191" t="s">
        <v>547</v>
      </c>
      <c r="BO191">
        <v>0.96366782006920404</v>
      </c>
      <c r="BP191" t="s">
        <v>551</v>
      </c>
      <c r="BQ191" t="s">
        <v>547</v>
      </c>
      <c r="BR191">
        <v>1.10053859964093</v>
      </c>
      <c r="BS191" t="s">
        <v>585</v>
      </c>
      <c r="BT191" t="s">
        <v>547</v>
      </c>
      <c r="BU191">
        <v>1.4810394401345399</v>
      </c>
      <c r="BV191" t="s">
        <v>565</v>
      </c>
      <c r="BW191" t="s">
        <v>547</v>
      </c>
      <c r="BX191">
        <v>1.0140127388535001</v>
      </c>
      <c r="BY191" t="s">
        <v>570</v>
      </c>
      <c r="BZ191" t="s">
        <v>547</v>
      </c>
      <c r="CA191">
        <v>1.00823045267489</v>
      </c>
      <c r="CB191" t="s">
        <v>570</v>
      </c>
      <c r="CC191" t="s">
        <v>547</v>
      </c>
      <c r="CD191">
        <v>0.95510204081632599</v>
      </c>
      <c r="CE191" t="s">
        <v>548</v>
      </c>
      <c r="CF191" t="s">
        <v>547</v>
      </c>
      <c r="CG191">
        <v>1.20300751879699</v>
      </c>
      <c r="CH191" t="s">
        <v>565</v>
      </c>
      <c r="CI191" t="s">
        <v>547</v>
      </c>
      <c r="CJ191">
        <v>1.22702702702702</v>
      </c>
      <c r="CK191" t="s">
        <v>580</v>
      </c>
      <c r="CL191" t="s">
        <v>547</v>
      </c>
      <c r="CM191">
        <v>0.920886075949367</v>
      </c>
      <c r="CN191" t="s">
        <v>570</v>
      </c>
      <c r="CO191" t="s">
        <v>547</v>
      </c>
      <c r="CP191">
        <v>1</v>
      </c>
      <c r="CQ191" t="s">
        <v>578</v>
      </c>
      <c r="CR191" t="s">
        <v>547</v>
      </c>
      <c r="CS191">
        <v>0.84375</v>
      </c>
      <c r="CT191" t="s">
        <v>578</v>
      </c>
      <c r="CU191" t="s">
        <v>547</v>
      </c>
      <c r="CV191">
        <v>1.21082621082621</v>
      </c>
      <c r="CW191" t="s">
        <v>578</v>
      </c>
      <c r="CX191" t="s">
        <v>547</v>
      </c>
      <c r="CY191">
        <v>1.04941176470588</v>
      </c>
      <c r="CZ191" t="s">
        <v>578</v>
      </c>
      <c r="DA191" t="s">
        <v>547</v>
      </c>
      <c r="DB191">
        <v>0.76793721973094098</v>
      </c>
      <c r="DC191" t="s">
        <v>578</v>
      </c>
      <c r="DD191" t="s">
        <v>547</v>
      </c>
      <c r="DE191">
        <v>1.3503649635036401</v>
      </c>
      <c r="DF191" t="s">
        <v>578</v>
      </c>
      <c r="DG191" t="s">
        <v>547</v>
      </c>
      <c r="DH191">
        <v>1.05297297297297</v>
      </c>
    </row>
    <row r="192" spans="1:112" x14ac:dyDescent="0.4">
      <c r="A192">
        <v>190</v>
      </c>
      <c r="B192" t="s">
        <v>479</v>
      </c>
      <c r="C192">
        <v>2</v>
      </c>
      <c r="D192">
        <v>0.86403508771929804</v>
      </c>
      <c r="E192" t="s">
        <v>488</v>
      </c>
      <c r="F192">
        <v>2</v>
      </c>
      <c r="G192">
        <v>1.0869565217391299</v>
      </c>
      <c r="H192" t="s">
        <v>495</v>
      </c>
      <c r="I192">
        <v>3</v>
      </c>
      <c r="J192">
        <v>0.40591966173361499</v>
      </c>
      <c r="K192" t="s">
        <v>493</v>
      </c>
      <c r="L192">
        <v>2</v>
      </c>
      <c r="M192">
        <v>0.77261613691931497</v>
      </c>
      <c r="N192" t="s">
        <v>490</v>
      </c>
      <c r="O192">
        <v>3</v>
      </c>
      <c r="P192">
        <v>1.2329317269076301</v>
      </c>
      <c r="Q192" t="s">
        <v>559</v>
      </c>
      <c r="R192" t="s">
        <v>547</v>
      </c>
      <c r="S192">
        <v>0.92641509433962199</v>
      </c>
      <c r="T192" t="s">
        <v>502</v>
      </c>
      <c r="U192">
        <v>2</v>
      </c>
      <c r="V192">
        <v>0.93220338983050799</v>
      </c>
      <c r="W192" t="s">
        <v>581</v>
      </c>
      <c r="X192" t="s">
        <v>547</v>
      </c>
      <c r="Y192">
        <v>1.0284697508896701</v>
      </c>
      <c r="Z192" t="s">
        <v>590</v>
      </c>
      <c r="AA192" t="s">
        <v>547</v>
      </c>
      <c r="AB192">
        <v>0.71785028790786898</v>
      </c>
      <c r="AC192" t="s">
        <v>536</v>
      </c>
      <c r="AD192">
        <v>2</v>
      </c>
      <c r="AE192">
        <v>1.0400866738894901</v>
      </c>
      <c r="AF192" t="s">
        <v>559</v>
      </c>
      <c r="AG192" t="s">
        <v>547</v>
      </c>
      <c r="AH192">
        <v>1.1628289473684199</v>
      </c>
      <c r="AI192" t="s">
        <v>551</v>
      </c>
      <c r="AJ192" t="s">
        <v>547</v>
      </c>
      <c r="AK192">
        <v>0.9</v>
      </c>
      <c r="AL192" t="s">
        <v>551</v>
      </c>
      <c r="AM192" t="s">
        <v>547</v>
      </c>
      <c r="AN192">
        <v>1.0052083333333299</v>
      </c>
      <c r="AO192" t="s">
        <v>549</v>
      </c>
      <c r="AP192" t="s">
        <v>547</v>
      </c>
      <c r="AQ192">
        <v>0.76612903225806395</v>
      </c>
      <c r="AR192" t="s">
        <v>574</v>
      </c>
      <c r="AS192" t="s">
        <v>547</v>
      </c>
      <c r="AT192">
        <v>1.13953488372093</v>
      </c>
      <c r="AU192" t="s">
        <v>551</v>
      </c>
      <c r="AV192" t="s">
        <v>547</v>
      </c>
      <c r="AW192">
        <v>1.0080971659919</v>
      </c>
      <c r="AX192" t="s">
        <v>565</v>
      </c>
      <c r="AY192" t="s">
        <v>547</v>
      </c>
      <c r="AZ192">
        <v>0.73141891891891897</v>
      </c>
      <c r="BA192" t="s">
        <v>559</v>
      </c>
      <c r="BB192" t="s">
        <v>547</v>
      </c>
      <c r="BC192">
        <v>0.952745849297573</v>
      </c>
      <c r="BD192" t="s">
        <v>582</v>
      </c>
      <c r="BE192" t="s">
        <v>547</v>
      </c>
      <c r="BF192">
        <v>0.99203187250996006</v>
      </c>
      <c r="BG192" t="s">
        <v>551</v>
      </c>
      <c r="BH192" t="s">
        <v>547</v>
      </c>
      <c r="BI192">
        <v>1.1411716842961701</v>
      </c>
      <c r="BJ192" t="s">
        <v>565</v>
      </c>
      <c r="BK192" t="s">
        <v>547</v>
      </c>
      <c r="BL192">
        <v>0.97321428571428503</v>
      </c>
      <c r="BM192" t="s">
        <v>565</v>
      </c>
      <c r="BN192" t="s">
        <v>547</v>
      </c>
      <c r="BO192">
        <v>0.79701834862385301</v>
      </c>
      <c r="BP192" t="s">
        <v>566</v>
      </c>
      <c r="BQ192" t="s">
        <v>547</v>
      </c>
      <c r="BR192">
        <v>0.89413447782546496</v>
      </c>
      <c r="BS192" t="s">
        <v>591</v>
      </c>
      <c r="BT192" t="s">
        <v>547</v>
      </c>
      <c r="BU192">
        <v>1.2148241206030099</v>
      </c>
      <c r="BV192" t="s">
        <v>566</v>
      </c>
      <c r="BW192" t="s">
        <v>547</v>
      </c>
      <c r="BX192">
        <v>0.91343283582089496</v>
      </c>
      <c r="BY192" t="s">
        <v>577</v>
      </c>
      <c r="BZ192" t="s">
        <v>547</v>
      </c>
      <c r="CA192">
        <v>1.1453961051238399</v>
      </c>
      <c r="CB192" t="s">
        <v>586</v>
      </c>
      <c r="CC192" t="s">
        <v>547</v>
      </c>
      <c r="CD192">
        <v>1.48404255319148</v>
      </c>
      <c r="CE192" t="s">
        <v>565</v>
      </c>
      <c r="CF192" t="s">
        <v>547</v>
      </c>
      <c r="CG192">
        <v>0.99062918340026695</v>
      </c>
      <c r="CH192" t="s">
        <v>566</v>
      </c>
      <c r="CI192" t="s">
        <v>547</v>
      </c>
      <c r="CJ192">
        <v>1.4134808853118701</v>
      </c>
      <c r="CK192" t="s">
        <v>583</v>
      </c>
      <c r="CL192" t="s">
        <v>547</v>
      </c>
      <c r="CM192">
        <v>1.21702127659574</v>
      </c>
      <c r="CN192" t="s">
        <v>597</v>
      </c>
      <c r="CO192" t="s">
        <v>547</v>
      </c>
      <c r="CP192">
        <v>1.3673469387755099</v>
      </c>
      <c r="CQ192" t="s">
        <v>642</v>
      </c>
      <c r="CR192" t="s">
        <v>547</v>
      </c>
      <c r="CS192">
        <v>1.0873205741626699</v>
      </c>
      <c r="CT192" t="s">
        <v>580</v>
      </c>
      <c r="CU192" t="s">
        <v>547</v>
      </c>
      <c r="CV192">
        <v>1.125</v>
      </c>
      <c r="CW192" t="s">
        <v>580</v>
      </c>
      <c r="CX192" t="s">
        <v>547</v>
      </c>
      <c r="CY192">
        <v>0.84545454545454501</v>
      </c>
      <c r="CZ192" t="s">
        <v>592</v>
      </c>
      <c r="DA192" t="s">
        <v>547</v>
      </c>
      <c r="DB192">
        <v>0.81028557886005403</v>
      </c>
      <c r="DC192" t="s">
        <v>584</v>
      </c>
      <c r="DD192" t="s">
        <v>547</v>
      </c>
      <c r="DE192">
        <v>0.99557522123893805</v>
      </c>
      <c r="DF192" t="s">
        <v>584</v>
      </c>
      <c r="DG192" t="s">
        <v>547</v>
      </c>
      <c r="DH192">
        <v>0.87644444444444403</v>
      </c>
    </row>
    <row r="193" spans="1:112" x14ac:dyDescent="0.4">
      <c r="A193">
        <v>191</v>
      </c>
      <c r="B193" t="s">
        <v>481</v>
      </c>
      <c r="C193">
        <v>1</v>
      </c>
      <c r="D193">
        <v>1.02380952380952</v>
      </c>
      <c r="E193" t="s">
        <v>490</v>
      </c>
      <c r="F193">
        <v>3</v>
      </c>
      <c r="G193">
        <v>1.04330708661417</v>
      </c>
      <c r="H193" t="s">
        <v>488</v>
      </c>
      <c r="I193">
        <v>2</v>
      </c>
      <c r="J193">
        <v>0.68333333333333302</v>
      </c>
      <c r="K193" t="s">
        <v>491</v>
      </c>
      <c r="L193">
        <v>1</v>
      </c>
      <c r="M193">
        <v>1.06617647058823</v>
      </c>
      <c r="N193" t="s">
        <v>493</v>
      </c>
      <c r="O193">
        <v>2</v>
      </c>
      <c r="P193">
        <v>1.43670886075949</v>
      </c>
      <c r="Q193" t="s">
        <v>574</v>
      </c>
      <c r="R193" t="s">
        <v>547</v>
      </c>
      <c r="S193">
        <v>1.1383928571428501</v>
      </c>
      <c r="T193" t="s">
        <v>559</v>
      </c>
      <c r="U193" t="s">
        <v>547</v>
      </c>
      <c r="V193">
        <v>1.0794297352342099</v>
      </c>
      <c r="W193" t="s">
        <v>560</v>
      </c>
      <c r="X193" t="s">
        <v>547</v>
      </c>
      <c r="Y193">
        <v>1.03193487789605</v>
      </c>
      <c r="Z193" t="s">
        <v>566</v>
      </c>
      <c r="AA193" t="s">
        <v>547</v>
      </c>
      <c r="AB193">
        <v>0.628823529411764</v>
      </c>
      <c r="AC193" t="s">
        <v>559</v>
      </c>
      <c r="AD193" t="s">
        <v>547</v>
      </c>
      <c r="AE193">
        <v>0.99509001636661198</v>
      </c>
      <c r="AF193" t="s">
        <v>574</v>
      </c>
      <c r="AG193" t="s">
        <v>547</v>
      </c>
      <c r="AH193">
        <v>1.1794478527607299</v>
      </c>
      <c r="AI193" t="s">
        <v>548</v>
      </c>
      <c r="AJ193" t="s">
        <v>547</v>
      </c>
      <c r="AK193">
        <v>0.81276595744680802</v>
      </c>
      <c r="AL193" t="s">
        <v>565</v>
      </c>
      <c r="AM193" t="s">
        <v>547</v>
      </c>
      <c r="AN193">
        <v>0.83212341197822104</v>
      </c>
      <c r="AO193" t="s">
        <v>551</v>
      </c>
      <c r="AP193" t="s">
        <v>547</v>
      </c>
      <c r="AQ193">
        <v>0.87219343696027596</v>
      </c>
      <c r="AR193" t="s">
        <v>558</v>
      </c>
      <c r="AS193" t="s">
        <v>547</v>
      </c>
      <c r="AT193">
        <v>0.85046728971962604</v>
      </c>
      <c r="AU193" t="s">
        <v>565</v>
      </c>
      <c r="AV193" t="s">
        <v>547</v>
      </c>
      <c r="AW193">
        <v>1.1539961013645199</v>
      </c>
      <c r="AX193" t="s">
        <v>566</v>
      </c>
      <c r="AY193" t="s">
        <v>547</v>
      </c>
      <c r="AZ193">
        <v>0.73487031700288097</v>
      </c>
      <c r="BA193" t="s">
        <v>574</v>
      </c>
      <c r="BB193" t="s">
        <v>547</v>
      </c>
      <c r="BC193">
        <v>1.2511210762331799</v>
      </c>
      <c r="BD193" t="s">
        <v>574</v>
      </c>
      <c r="BE193" t="s">
        <v>547</v>
      </c>
      <c r="BF193">
        <v>0.956989247311828</v>
      </c>
      <c r="BG193" t="s">
        <v>565</v>
      </c>
      <c r="BH193" t="s">
        <v>547</v>
      </c>
      <c r="BI193">
        <v>1.04428904428904</v>
      </c>
      <c r="BJ193" t="s">
        <v>566</v>
      </c>
      <c r="BK193" t="s">
        <v>547</v>
      </c>
      <c r="BL193">
        <v>0.98392652123995405</v>
      </c>
      <c r="BM193" t="s">
        <v>566</v>
      </c>
      <c r="BN193" t="s">
        <v>547</v>
      </c>
      <c r="BO193">
        <v>0.81563593932321998</v>
      </c>
      <c r="BP193" t="s">
        <v>570</v>
      </c>
      <c r="BQ193" t="s">
        <v>547</v>
      </c>
      <c r="BR193">
        <v>0.84489402697495097</v>
      </c>
      <c r="BS193" t="s">
        <v>578</v>
      </c>
      <c r="BT193" t="s">
        <v>547</v>
      </c>
      <c r="BU193">
        <v>0.88075313807531297</v>
      </c>
      <c r="BV193" t="s">
        <v>570</v>
      </c>
      <c r="BW193" t="s">
        <v>547</v>
      </c>
      <c r="BX193">
        <v>1.04516129032258</v>
      </c>
      <c r="BY193" t="s">
        <v>643</v>
      </c>
      <c r="BZ193" t="s">
        <v>547</v>
      </c>
      <c r="CA193">
        <v>0.68151815181518105</v>
      </c>
      <c r="CB193" t="s">
        <v>577</v>
      </c>
      <c r="CC193" t="s">
        <v>547</v>
      </c>
      <c r="CD193">
        <v>0.93380653681082804</v>
      </c>
      <c r="CE193" t="s">
        <v>566</v>
      </c>
      <c r="CF193" t="s">
        <v>547</v>
      </c>
      <c r="CG193">
        <v>1.3729281767955801</v>
      </c>
      <c r="CH193" t="s">
        <v>570</v>
      </c>
      <c r="CI193" t="s">
        <v>547</v>
      </c>
      <c r="CJ193">
        <v>1.09253065774804</v>
      </c>
      <c r="CK193" t="s">
        <v>605</v>
      </c>
      <c r="CL193" t="s">
        <v>547</v>
      </c>
      <c r="CM193">
        <v>1.2524084778419999</v>
      </c>
      <c r="CN193" t="s">
        <v>580</v>
      </c>
      <c r="CO193" t="s">
        <v>547</v>
      </c>
      <c r="CP193">
        <v>0.853951890034364</v>
      </c>
      <c r="CQ193" t="s">
        <v>580</v>
      </c>
      <c r="CR193" t="s">
        <v>547</v>
      </c>
      <c r="CS193">
        <v>1.77062374245472</v>
      </c>
      <c r="CT193" t="s">
        <v>583</v>
      </c>
      <c r="CU193" t="s">
        <v>547</v>
      </c>
      <c r="CV193">
        <v>0.89780077619663601</v>
      </c>
      <c r="CW193" t="s">
        <v>583</v>
      </c>
      <c r="CX193" t="s">
        <v>547</v>
      </c>
      <c r="CY193">
        <v>0.93371757925071996</v>
      </c>
      <c r="CZ193" t="s">
        <v>580</v>
      </c>
      <c r="DA193" t="s">
        <v>547</v>
      </c>
      <c r="DB193">
        <v>0.91636798088410898</v>
      </c>
      <c r="DC193" t="s">
        <v>580</v>
      </c>
      <c r="DD193" t="s">
        <v>547</v>
      </c>
      <c r="DE193">
        <v>1.3820078226857799</v>
      </c>
      <c r="DF193" t="s">
        <v>589</v>
      </c>
      <c r="DG193" t="s">
        <v>547</v>
      </c>
      <c r="DH193">
        <v>1.02553191489361</v>
      </c>
    </row>
    <row r="194" spans="1:112" x14ac:dyDescent="0.4">
      <c r="A194">
        <v>192</v>
      </c>
      <c r="B194" t="s">
        <v>488</v>
      </c>
      <c r="C194">
        <v>2</v>
      </c>
      <c r="D194">
        <v>1.0474383301707699</v>
      </c>
      <c r="E194" t="s">
        <v>524</v>
      </c>
      <c r="F194">
        <v>3</v>
      </c>
      <c r="G194">
        <v>0.78057553956834502</v>
      </c>
      <c r="H194" t="s">
        <v>490</v>
      </c>
      <c r="I194">
        <v>3</v>
      </c>
      <c r="J194">
        <v>0.82012578616352205</v>
      </c>
      <c r="K194" t="s">
        <v>494</v>
      </c>
      <c r="L194">
        <v>1</v>
      </c>
      <c r="M194">
        <v>1.2575748301401699</v>
      </c>
      <c r="N194" t="s">
        <v>491</v>
      </c>
      <c r="O194">
        <v>1</v>
      </c>
      <c r="P194">
        <v>1.4620689655172401</v>
      </c>
      <c r="Q194" t="s">
        <v>581</v>
      </c>
      <c r="R194" t="s">
        <v>547</v>
      </c>
      <c r="S194">
        <v>0.91129032258064502</v>
      </c>
      <c r="T194" t="s">
        <v>574</v>
      </c>
      <c r="U194" t="s">
        <v>547</v>
      </c>
      <c r="V194">
        <v>0.85098039215686205</v>
      </c>
      <c r="W194" t="s">
        <v>566</v>
      </c>
      <c r="X194" t="s">
        <v>547</v>
      </c>
      <c r="Y194">
        <v>0.87900723888314303</v>
      </c>
      <c r="Z194" t="s">
        <v>561</v>
      </c>
      <c r="AA194" t="s">
        <v>547</v>
      </c>
      <c r="AB194">
        <v>1.01730769230769</v>
      </c>
      <c r="AC194" t="s">
        <v>574</v>
      </c>
      <c r="AD194" t="s">
        <v>547</v>
      </c>
      <c r="AE194">
        <v>1.1358885017421601</v>
      </c>
      <c r="AF194" t="s">
        <v>551</v>
      </c>
      <c r="AG194" t="s">
        <v>547</v>
      </c>
      <c r="AH194">
        <v>4.0353089533417403</v>
      </c>
      <c r="AI194" t="s">
        <v>565</v>
      </c>
      <c r="AJ194" t="s">
        <v>547</v>
      </c>
      <c r="AK194">
        <v>1.2565564424173301</v>
      </c>
      <c r="AL194" t="s">
        <v>561</v>
      </c>
      <c r="AM194" t="s">
        <v>547</v>
      </c>
      <c r="AN194">
        <v>0.82575757575757502</v>
      </c>
      <c r="AO194" t="s">
        <v>565</v>
      </c>
      <c r="AP194" t="s">
        <v>547</v>
      </c>
      <c r="AQ194">
        <v>1.0861504907306401</v>
      </c>
      <c r="AR194" t="s">
        <v>551</v>
      </c>
      <c r="AS194" t="s">
        <v>547</v>
      </c>
      <c r="AT194">
        <v>0.97821782178217798</v>
      </c>
      <c r="AU194" t="s">
        <v>570</v>
      </c>
      <c r="AV194" t="s">
        <v>547</v>
      </c>
      <c r="AW194">
        <v>1.1153284671532799</v>
      </c>
      <c r="AX194" t="s">
        <v>578</v>
      </c>
      <c r="AY194" t="s">
        <v>547</v>
      </c>
      <c r="AZ194">
        <v>0.67609489051094895</v>
      </c>
      <c r="BA194" t="s">
        <v>558</v>
      </c>
      <c r="BB194" t="s">
        <v>547</v>
      </c>
      <c r="BC194">
        <v>0.93852459016393397</v>
      </c>
      <c r="BD194" t="s">
        <v>558</v>
      </c>
      <c r="BE194" t="s">
        <v>547</v>
      </c>
      <c r="BF194">
        <v>0.91266375545851497</v>
      </c>
      <c r="BG194" t="s">
        <v>566</v>
      </c>
      <c r="BH194" t="s">
        <v>547</v>
      </c>
      <c r="BI194">
        <v>0.78823529411764703</v>
      </c>
      <c r="BJ194" t="s">
        <v>570</v>
      </c>
      <c r="BK194" t="s">
        <v>547</v>
      </c>
      <c r="BL194">
        <v>1.0160599571734401</v>
      </c>
      <c r="BM194" t="s">
        <v>570</v>
      </c>
      <c r="BN194" t="s">
        <v>547</v>
      </c>
      <c r="BO194">
        <v>1.0937829293993599</v>
      </c>
      <c r="BP194" t="s">
        <v>576</v>
      </c>
      <c r="BQ194" t="s">
        <v>547</v>
      </c>
      <c r="BR194">
        <v>0.77844827586206899</v>
      </c>
      <c r="BS194" t="s">
        <v>598</v>
      </c>
      <c r="BT194" t="s">
        <v>547</v>
      </c>
      <c r="BU194">
        <v>1</v>
      </c>
      <c r="BV194" t="s">
        <v>591</v>
      </c>
      <c r="BW194" t="s">
        <v>547</v>
      </c>
      <c r="BX194">
        <v>1.5511892450878999</v>
      </c>
      <c r="BY194" t="s">
        <v>578</v>
      </c>
      <c r="BZ194" t="s">
        <v>547</v>
      </c>
      <c r="CA194">
        <v>0.91042944785276003</v>
      </c>
      <c r="CB194" t="s">
        <v>578</v>
      </c>
      <c r="CC194" t="s">
        <v>547</v>
      </c>
      <c r="CD194">
        <v>0.99056603773584895</v>
      </c>
      <c r="CE194" t="s">
        <v>570</v>
      </c>
      <c r="CF194" t="s">
        <v>547</v>
      </c>
      <c r="CG194">
        <v>0.95833333333333304</v>
      </c>
      <c r="CH194" t="s">
        <v>577</v>
      </c>
      <c r="CI194" t="s">
        <v>547</v>
      </c>
      <c r="CJ194">
        <v>0.86887485060611203</v>
      </c>
      <c r="CK194" t="s">
        <v>644</v>
      </c>
      <c r="CL194" t="s">
        <v>547</v>
      </c>
      <c r="CM194">
        <v>0.79420889348500501</v>
      </c>
      <c r="CN194" t="s">
        <v>583</v>
      </c>
      <c r="CO194" t="s">
        <v>547</v>
      </c>
      <c r="CP194">
        <v>0.86013986013985999</v>
      </c>
      <c r="CQ194" t="s">
        <v>583</v>
      </c>
      <c r="CR194" t="s">
        <v>547</v>
      </c>
      <c r="CS194">
        <v>1.04742547425474</v>
      </c>
      <c r="CT194" t="s">
        <v>645</v>
      </c>
      <c r="CU194" t="s">
        <v>547</v>
      </c>
      <c r="CV194">
        <v>1.25</v>
      </c>
      <c r="CW194" t="s">
        <v>588</v>
      </c>
      <c r="CX194" t="s">
        <v>547</v>
      </c>
      <c r="CY194">
        <v>0.84880636604774495</v>
      </c>
      <c r="CZ194" t="s">
        <v>601</v>
      </c>
      <c r="DA194" t="s">
        <v>547</v>
      </c>
      <c r="DB194">
        <v>0.76444260075979198</v>
      </c>
      <c r="DC194" t="s">
        <v>601</v>
      </c>
      <c r="DD194" t="s">
        <v>547</v>
      </c>
      <c r="DE194">
        <v>0.82826378773598297</v>
      </c>
      <c r="DF194" t="s">
        <v>594</v>
      </c>
      <c r="DG194" t="s">
        <v>547</v>
      </c>
      <c r="DH194">
        <v>1.0106382978723401</v>
      </c>
    </row>
    <row r="195" spans="1:112" x14ac:dyDescent="0.4">
      <c r="A195">
        <v>193</v>
      </c>
      <c r="B195" t="s">
        <v>559</v>
      </c>
      <c r="C195" t="s">
        <v>547</v>
      </c>
      <c r="D195">
        <v>0.98644067796610102</v>
      </c>
      <c r="E195" t="s">
        <v>559</v>
      </c>
      <c r="F195" t="s">
        <v>547</v>
      </c>
      <c r="G195">
        <v>0.865979381443299</v>
      </c>
      <c r="H195" t="s">
        <v>524</v>
      </c>
      <c r="I195">
        <v>3</v>
      </c>
      <c r="J195">
        <v>0.84792626728110598</v>
      </c>
      <c r="K195" t="s">
        <v>503</v>
      </c>
      <c r="L195">
        <v>1</v>
      </c>
      <c r="M195">
        <v>0.97350858768928406</v>
      </c>
      <c r="N195" t="s">
        <v>494</v>
      </c>
      <c r="O195">
        <v>1</v>
      </c>
      <c r="P195">
        <v>1.4173278169871</v>
      </c>
      <c r="Q195" t="s">
        <v>548</v>
      </c>
      <c r="R195" t="s">
        <v>547</v>
      </c>
      <c r="S195">
        <v>0.86235955056179703</v>
      </c>
      <c r="T195" t="s">
        <v>581</v>
      </c>
      <c r="U195" t="s">
        <v>547</v>
      </c>
      <c r="V195">
        <v>0.82890855457227097</v>
      </c>
      <c r="W195" t="s">
        <v>578</v>
      </c>
      <c r="X195" t="s">
        <v>547</v>
      </c>
      <c r="Y195">
        <v>0.92956120092378702</v>
      </c>
      <c r="Z195" t="s">
        <v>578</v>
      </c>
      <c r="AA195" t="s">
        <v>547</v>
      </c>
      <c r="AB195">
        <v>0.87577639751552705</v>
      </c>
      <c r="AC195" t="s">
        <v>581</v>
      </c>
      <c r="AD195" t="s">
        <v>547</v>
      </c>
      <c r="AE195">
        <v>1.2025974025974</v>
      </c>
      <c r="AF195" t="s">
        <v>548</v>
      </c>
      <c r="AG195" t="s">
        <v>547</v>
      </c>
      <c r="AH195">
        <v>0.80941446613088397</v>
      </c>
      <c r="AI195" t="s">
        <v>566</v>
      </c>
      <c r="AJ195" t="s">
        <v>547</v>
      </c>
      <c r="AK195">
        <v>0.86243822075782495</v>
      </c>
      <c r="AL195" t="s">
        <v>578</v>
      </c>
      <c r="AM195" t="s">
        <v>547</v>
      </c>
      <c r="AN195">
        <v>0.70653377630121805</v>
      </c>
      <c r="AO195" t="s">
        <v>590</v>
      </c>
      <c r="AP195" t="s">
        <v>547</v>
      </c>
      <c r="AQ195">
        <v>0.89621318373071501</v>
      </c>
      <c r="AR195" t="s">
        <v>565</v>
      </c>
      <c r="AS195" t="s">
        <v>547</v>
      </c>
      <c r="AT195">
        <v>1.0301204819277101</v>
      </c>
      <c r="AU195" t="s">
        <v>578</v>
      </c>
      <c r="AV195" t="s">
        <v>547</v>
      </c>
      <c r="AW195">
        <v>1.47708894878706</v>
      </c>
      <c r="AX195" t="s">
        <v>619</v>
      </c>
      <c r="AY195" t="s">
        <v>547</v>
      </c>
      <c r="AZ195">
        <v>0.95454210565092401</v>
      </c>
      <c r="BA195" t="s">
        <v>551</v>
      </c>
      <c r="BB195" t="s">
        <v>547</v>
      </c>
      <c r="BC195">
        <v>0.83319256756756699</v>
      </c>
      <c r="BD195" t="s">
        <v>551</v>
      </c>
      <c r="BE195" t="s">
        <v>547</v>
      </c>
      <c r="BF195">
        <v>1.2458185504308099</v>
      </c>
      <c r="BG195" t="s">
        <v>578</v>
      </c>
      <c r="BH195" t="s">
        <v>547</v>
      </c>
      <c r="BI195">
        <v>1.4231738035264401</v>
      </c>
      <c r="BJ195" t="s">
        <v>578</v>
      </c>
      <c r="BK195" t="s">
        <v>547</v>
      </c>
      <c r="BL195">
        <v>1.29557522123893</v>
      </c>
      <c r="BM195" t="s">
        <v>591</v>
      </c>
      <c r="BN195" t="s">
        <v>547</v>
      </c>
      <c r="BO195">
        <v>0.84390862944162404</v>
      </c>
      <c r="BP195" t="s">
        <v>578</v>
      </c>
      <c r="BQ195" t="s">
        <v>547</v>
      </c>
      <c r="BR195">
        <v>0.91221374045801495</v>
      </c>
      <c r="BS195" t="s">
        <v>602</v>
      </c>
      <c r="BT195" t="s">
        <v>547</v>
      </c>
      <c r="BU195">
        <v>1.1790540540540499</v>
      </c>
      <c r="BV195" t="s">
        <v>576</v>
      </c>
      <c r="BW195" t="s">
        <v>547</v>
      </c>
      <c r="BX195">
        <v>0.79591836734693799</v>
      </c>
      <c r="BY195" t="s">
        <v>603</v>
      </c>
      <c r="BZ195" t="s">
        <v>547</v>
      </c>
      <c r="CA195">
        <v>1.2471626733921799</v>
      </c>
      <c r="CB195" t="s">
        <v>602</v>
      </c>
      <c r="CC195" t="s">
        <v>547</v>
      </c>
      <c r="CD195">
        <v>0.66374269005847897</v>
      </c>
      <c r="CE195" t="s">
        <v>577</v>
      </c>
      <c r="CF195" t="s">
        <v>547</v>
      </c>
      <c r="CG195">
        <v>1.0353544281421201</v>
      </c>
      <c r="CH195" t="s">
        <v>578</v>
      </c>
      <c r="CI195" t="s">
        <v>547</v>
      </c>
      <c r="CJ195">
        <v>0.81514476614699305</v>
      </c>
      <c r="CK195" t="s">
        <v>646</v>
      </c>
      <c r="CL195" t="s">
        <v>547</v>
      </c>
      <c r="CM195">
        <v>0.76519337016574496</v>
      </c>
      <c r="CN195" t="s">
        <v>645</v>
      </c>
      <c r="CO195" t="s">
        <v>547</v>
      </c>
      <c r="CP195">
        <v>1.0296296296296199</v>
      </c>
      <c r="CQ195" t="s">
        <v>602</v>
      </c>
      <c r="CR195" t="s">
        <v>547</v>
      </c>
      <c r="CS195">
        <v>1.70278637770897</v>
      </c>
      <c r="CT195" t="s">
        <v>593</v>
      </c>
      <c r="CU195" t="s">
        <v>547</v>
      </c>
      <c r="CV195">
        <v>0.99213809605195602</v>
      </c>
      <c r="CW195" t="s">
        <v>593</v>
      </c>
      <c r="CX195" t="s">
        <v>547</v>
      </c>
      <c r="CY195">
        <v>1.12868217054263</v>
      </c>
      <c r="CZ195" t="s">
        <v>615</v>
      </c>
      <c r="DA195" t="s">
        <v>547</v>
      </c>
      <c r="DB195">
        <v>0.55697674418604604</v>
      </c>
      <c r="DC195" t="s">
        <v>607</v>
      </c>
      <c r="DD195" t="s">
        <v>547</v>
      </c>
      <c r="DE195">
        <v>0.99621212121212099</v>
      </c>
      <c r="DF195" t="s">
        <v>580</v>
      </c>
      <c r="DG195" t="s">
        <v>547</v>
      </c>
      <c r="DH195">
        <v>0.910377358490566</v>
      </c>
    </row>
    <row r="196" spans="1:112" x14ac:dyDescent="0.4">
      <c r="A196">
        <v>194</v>
      </c>
      <c r="B196" t="s">
        <v>595</v>
      </c>
      <c r="C196" t="s">
        <v>547</v>
      </c>
      <c r="D196">
        <v>1.4623015873015801</v>
      </c>
      <c r="E196" t="s">
        <v>564</v>
      </c>
      <c r="F196" t="s">
        <v>547</v>
      </c>
      <c r="G196">
        <v>0.90109890109890101</v>
      </c>
      <c r="H196" t="s">
        <v>491</v>
      </c>
      <c r="I196">
        <v>1</v>
      </c>
      <c r="J196">
        <v>0.79069767441860395</v>
      </c>
      <c r="K196" t="s">
        <v>564</v>
      </c>
      <c r="L196" t="s">
        <v>547</v>
      </c>
      <c r="M196">
        <v>0.91335372069317</v>
      </c>
      <c r="N196" t="s">
        <v>514</v>
      </c>
      <c r="O196">
        <v>1</v>
      </c>
      <c r="P196">
        <v>1.2777777777777699</v>
      </c>
      <c r="Q196" t="s">
        <v>565</v>
      </c>
      <c r="R196" t="s">
        <v>547</v>
      </c>
      <c r="S196">
        <v>1.02502979737783</v>
      </c>
      <c r="T196" t="s">
        <v>565</v>
      </c>
      <c r="U196" t="s">
        <v>547</v>
      </c>
      <c r="V196">
        <v>0.67209302325581399</v>
      </c>
      <c r="W196" t="s">
        <v>617</v>
      </c>
      <c r="X196" t="s">
        <v>547</v>
      </c>
      <c r="Y196">
        <v>0.83678440925700304</v>
      </c>
      <c r="Z196" t="s">
        <v>580</v>
      </c>
      <c r="AA196" t="s">
        <v>547</v>
      </c>
      <c r="AB196">
        <v>2.0038167938931299</v>
      </c>
      <c r="AC196" t="s">
        <v>551</v>
      </c>
      <c r="AD196" t="s">
        <v>547</v>
      </c>
      <c r="AE196">
        <v>1.09681881051175</v>
      </c>
      <c r="AF196" t="s">
        <v>566</v>
      </c>
      <c r="AG196" t="s">
        <v>547</v>
      </c>
      <c r="AH196">
        <v>1.0819964349376101</v>
      </c>
      <c r="AI196" t="s">
        <v>578</v>
      </c>
      <c r="AJ196" t="s">
        <v>547</v>
      </c>
      <c r="AK196">
        <v>1.02730375426621</v>
      </c>
      <c r="AL196" t="s">
        <v>619</v>
      </c>
      <c r="AM196" t="s">
        <v>547</v>
      </c>
      <c r="AN196">
        <v>1.0647837043259101</v>
      </c>
      <c r="AO196" t="s">
        <v>561</v>
      </c>
      <c r="AP196" t="s">
        <v>547</v>
      </c>
      <c r="AQ196">
        <v>0.83792048929663598</v>
      </c>
      <c r="AR196" t="s">
        <v>570</v>
      </c>
      <c r="AS196" t="s">
        <v>547</v>
      </c>
      <c r="AT196">
        <v>1.3173076923076901</v>
      </c>
      <c r="AU196" t="s">
        <v>619</v>
      </c>
      <c r="AV196" t="s">
        <v>547</v>
      </c>
      <c r="AW196">
        <v>1.08636145349767</v>
      </c>
      <c r="AX196" t="s">
        <v>609</v>
      </c>
      <c r="AY196" t="s">
        <v>547</v>
      </c>
      <c r="AZ196">
        <v>0.62962304409672798</v>
      </c>
      <c r="BA196" t="s">
        <v>565</v>
      </c>
      <c r="BB196" t="s">
        <v>547</v>
      </c>
      <c r="BC196">
        <v>1.0877598152424901</v>
      </c>
      <c r="BD196" t="s">
        <v>548</v>
      </c>
      <c r="BE196" t="s">
        <v>547</v>
      </c>
      <c r="BF196">
        <v>1.92604006163328</v>
      </c>
      <c r="BG196" t="s">
        <v>571</v>
      </c>
      <c r="BH196" t="s">
        <v>547</v>
      </c>
      <c r="BI196">
        <v>1.19029850746268</v>
      </c>
      <c r="BJ196" t="s">
        <v>610</v>
      </c>
      <c r="BK196" t="s">
        <v>547</v>
      </c>
      <c r="BL196">
        <v>1.3271604938271599</v>
      </c>
      <c r="BM196" t="s">
        <v>578</v>
      </c>
      <c r="BN196" t="s">
        <v>547</v>
      </c>
      <c r="BO196">
        <v>0.71584699453551903</v>
      </c>
      <c r="BP196" t="s">
        <v>598</v>
      </c>
      <c r="BQ196" t="s">
        <v>547</v>
      </c>
      <c r="BR196">
        <v>1.13182674199623</v>
      </c>
      <c r="BS196" t="s">
        <v>611</v>
      </c>
      <c r="BT196" t="s">
        <v>547</v>
      </c>
      <c r="BU196">
        <v>1.15900644493578</v>
      </c>
      <c r="BV196" t="s">
        <v>578</v>
      </c>
      <c r="BW196" t="s">
        <v>547</v>
      </c>
      <c r="BX196">
        <v>0.96793349168646003</v>
      </c>
      <c r="BY196" t="s">
        <v>602</v>
      </c>
      <c r="BZ196" t="s">
        <v>547</v>
      </c>
      <c r="CA196">
        <v>0.77375565610859698</v>
      </c>
      <c r="CB196" t="s">
        <v>612</v>
      </c>
      <c r="CC196" t="s">
        <v>547</v>
      </c>
      <c r="CD196">
        <v>0.73124300111981999</v>
      </c>
      <c r="CE196" t="s">
        <v>578</v>
      </c>
      <c r="CF196" t="s">
        <v>547</v>
      </c>
      <c r="CG196">
        <v>1.2217687074829899</v>
      </c>
      <c r="CH196" t="s">
        <v>592</v>
      </c>
      <c r="CI196" t="s">
        <v>547</v>
      </c>
      <c r="CJ196">
        <v>1.10238353196099</v>
      </c>
      <c r="CK196" t="s">
        <v>604</v>
      </c>
      <c r="CL196" t="s">
        <v>547</v>
      </c>
      <c r="CM196">
        <v>0.733082706766917</v>
      </c>
      <c r="CN196" t="s">
        <v>588</v>
      </c>
      <c r="CO196" t="s">
        <v>547</v>
      </c>
      <c r="CP196">
        <v>0.72911392405063202</v>
      </c>
      <c r="CQ196" t="s">
        <v>647</v>
      </c>
      <c r="CR196" t="s">
        <v>547</v>
      </c>
      <c r="CS196">
        <v>0.87206823027718505</v>
      </c>
      <c r="CT196" t="s">
        <v>613</v>
      </c>
      <c r="CU196" t="s">
        <v>547</v>
      </c>
      <c r="CV196">
        <v>0.90121951219512197</v>
      </c>
      <c r="CW196" t="s">
        <v>600</v>
      </c>
      <c r="CX196" t="s">
        <v>547</v>
      </c>
      <c r="CY196">
        <v>1.7145748987854199</v>
      </c>
      <c r="CZ196" t="s">
        <v>593</v>
      </c>
      <c r="DA196" t="s">
        <v>547</v>
      </c>
      <c r="DB196">
        <v>0.98565323565323504</v>
      </c>
      <c r="DC196" t="s">
        <v>596</v>
      </c>
      <c r="DD196" t="s">
        <v>547</v>
      </c>
      <c r="DE196">
        <v>0.90697674418604601</v>
      </c>
      <c r="DF196" t="s">
        <v>601</v>
      </c>
      <c r="DG196" t="s">
        <v>547</v>
      </c>
      <c r="DH196">
        <v>1.2655172413793101</v>
      </c>
    </row>
    <row r="197" spans="1:112" x14ac:dyDescent="0.4">
      <c r="A197">
        <v>195</v>
      </c>
      <c r="B197" t="s">
        <v>565</v>
      </c>
      <c r="C197" t="s">
        <v>547</v>
      </c>
      <c r="D197">
        <v>0.86258660508083096</v>
      </c>
      <c r="E197" t="s">
        <v>581</v>
      </c>
      <c r="F197" t="s">
        <v>547</v>
      </c>
      <c r="G197">
        <v>0.77173913043478204</v>
      </c>
      <c r="H197" t="s">
        <v>494</v>
      </c>
      <c r="I197">
        <v>1</v>
      </c>
      <c r="J197">
        <v>0.65676381909547699</v>
      </c>
      <c r="K197" t="s">
        <v>648</v>
      </c>
      <c r="L197" t="s">
        <v>547</v>
      </c>
      <c r="M197">
        <v>1.22448979591836</v>
      </c>
      <c r="N197" t="s">
        <v>503</v>
      </c>
      <c r="O197">
        <v>1</v>
      </c>
      <c r="P197">
        <v>1.36054563802763</v>
      </c>
      <c r="Q197" t="s">
        <v>563</v>
      </c>
      <c r="R197" t="s">
        <v>547</v>
      </c>
      <c r="S197">
        <v>0.98187311178247705</v>
      </c>
      <c r="T197" t="s">
        <v>566</v>
      </c>
      <c r="U197" t="s">
        <v>547</v>
      </c>
      <c r="V197">
        <v>0.76291913214990104</v>
      </c>
      <c r="W197" t="s">
        <v>608</v>
      </c>
      <c r="X197" t="s">
        <v>547</v>
      </c>
      <c r="Y197">
        <v>1.3497975708501999</v>
      </c>
      <c r="Z197" t="s">
        <v>628</v>
      </c>
      <c r="AA197" t="s">
        <v>547</v>
      </c>
      <c r="AB197">
        <v>0.688888888888888</v>
      </c>
      <c r="AC197" t="s">
        <v>566</v>
      </c>
      <c r="AD197" t="s">
        <v>547</v>
      </c>
      <c r="AE197">
        <v>1.0495790458372301</v>
      </c>
      <c r="AF197" t="s">
        <v>578</v>
      </c>
      <c r="AG197" t="s">
        <v>547</v>
      </c>
      <c r="AH197">
        <v>1.31194029850746</v>
      </c>
      <c r="AI197" t="s">
        <v>619</v>
      </c>
      <c r="AJ197" t="s">
        <v>547</v>
      </c>
      <c r="AK197">
        <v>0.92501942501942502</v>
      </c>
      <c r="AL197" t="s">
        <v>608</v>
      </c>
      <c r="AM197" t="s">
        <v>547</v>
      </c>
      <c r="AN197">
        <v>0.52500000000000002</v>
      </c>
      <c r="AO197" t="s">
        <v>578</v>
      </c>
      <c r="AP197" t="s">
        <v>547</v>
      </c>
      <c r="AQ197">
        <v>0.53683385579937304</v>
      </c>
      <c r="AR197" t="s">
        <v>619</v>
      </c>
      <c r="AS197" t="s">
        <v>547</v>
      </c>
      <c r="AT197">
        <v>1.1095914742451101</v>
      </c>
      <c r="AU197" t="s">
        <v>609</v>
      </c>
      <c r="AV197" t="s">
        <v>547</v>
      </c>
      <c r="AW197">
        <v>1.08802476301025</v>
      </c>
      <c r="AX197" t="s">
        <v>580</v>
      </c>
      <c r="AY197" t="s">
        <v>547</v>
      </c>
      <c r="AZ197">
        <v>0.56533575317604301</v>
      </c>
      <c r="BA197" t="s">
        <v>566</v>
      </c>
      <c r="BB197" t="s">
        <v>547</v>
      </c>
      <c r="BC197">
        <v>0.99019607843137203</v>
      </c>
      <c r="BD197" t="s">
        <v>565</v>
      </c>
      <c r="BE197" t="s">
        <v>547</v>
      </c>
      <c r="BF197">
        <v>0.91082802547770703</v>
      </c>
      <c r="BG197" t="s">
        <v>649</v>
      </c>
      <c r="BH197" t="s">
        <v>547</v>
      </c>
      <c r="BI197">
        <v>1.26898734177215</v>
      </c>
      <c r="BJ197" t="s">
        <v>609</v>
      </c>
      <c r="BK197" t="s">
        <v>547</v>
      </c>
      <c r="BL197">
        <v>1.4678274034822101</v>
      </c>
      <c r="BM197" t="s">
        <v>621</v>
      </c>
      <c r="BN197" t="s">
        <v>547</v>
      </c>
      <c r="BO197">
        <v>1.0484429065743901</v>
      </c>
      <c r="BP197" t="s">
        <v>602</v>
      </c>
      <c r="BQ197" t="s">
        <v>547</v>
      </c>
      <c r="BR197">
        <v>0.83852691218130304</v>
      </c>
      <c r="BS197" t="s">
        <v>605</v>
      </c>
      <c r="BT197" t="s">
        <v>547</v>
      </c>
      <c r="BU197">
        <v>0.86383928571428503</v>
      </c>
      <c r="BV197" t="s">
        <v>598</v>
      </c>
      <c r="BW197" t="s">
        <v>547</v>
      </c>
      <c r="BX197">
        <v>1.12312811980033</v>
      </c>
      <c r="BY197" t="s">
        <v>622</v>
      </c>
      <c r="BZ197" t="s">
        <v>547</v>
      </c>
      <c r="CA197">
        <v>1.3144722524483099</v>
      </c>
      <c r="CB197" t="s">
        <v>596</v>
      </c>
      <c r="CC197" t="s">
        <v>547</v>
      </c>
      <c r="CD197">
        <v>0.95608108108108103</v>
      </c>
      <c r="CE197" t="s">
        <v>622</v>
      </c>
      <c r="CF197" t="s">
        <v>547</v>
      </c>
      <c r="CG197">
        <v>1.1017316017315999</v>
      </c>
      <c r="CH197" t="s">
        <v>596</v>
      </c>
      <c r="CI197" t="s">
        <v>547</v>
      </c>
      <c r="CJ197">
        <v>1.00689655172413</v>
      </c>
      <c r="CK197" t="s">
        <v>593</v>
      </c>
      <c r="CL197" t="s">
        <v>547</v>
      </c>
      <c r="CM197">
        <v>0.83353293413173601</v>
      </c>
      <c r="CN197" t="s">
        <v>596</v>
      </c>
      <c r="CO197" t="s">
        <v>547</v>
      </c>
      <c r="CP197">
        <v>1</v>
      </c>
      <c r="CQ197" t="s">
        <v>596</v>
      </c>
      <c r="CR197" t="s">
        <v>547</v>
      </c>
      <c r="CS197">
        <v>0.98591549295774605</v>
      </c>
      <c r="CT197" t="s">
        <v>606</v>
      </c>
      <c r="CU197" t="s">
        <v>547</v>
      </c>
      <c r="CV197">
        <v>1.1246973365617401</v>
      </c>
      <c r="CW197" t="s">
        <v>606</v>
      </c>
      <c r="CX197" t="s">
        <v>547</v>
      </c>
      <c r="CY197">
        <v>0.89235737351991296</v>
      </c>
      <c r="CZ197" t="s">
        <v>650</v>
      </c>
      <c r="DA197" t="s">
        <v>547</v>
      </c>
      <c r="DB197">
        <v>0.88845144356955297</v>
      </c>
      <c r="DC197" t="s">
        <v>606</v>
      </c>
      <c r="DD197" t="s">
        <v>547</v>
      </c>
      <c r="DE197">
        <v>1.0137672090112599</v>
      </c>
      <c r="DF197" t="s">
        <v>593</v>
      </c>
      <c r="DG197" t="s">
        <v>547</v>
      </c>
      <c r="DH197">
        <v>0.97218543046357597</v>
      </c>
    </row>
    <row r="198" spans="1:112" x14ac:dyDescent="0.4">
      <c r="A198">
        <v>196</v>
      </c>
      <c r="B198" t="s">
        <v>590</v>
      </c>
      <c r="C198" t="s">
        <v>547</v>
      </c>
      <c r="D198">
        <v>1.0134680134680101</v>
      </c>
      <c r="E198" t="s">
        <v>651</v>
      </c>
      <c r="F198" t="s">
        <v>547</v>
      </c>
      <c r="G198">
        <v>0.64928909952606595</v>
      </c>
      <c r="H198" t="s">
        <v>559</v>
      </c>
      <c r="I198" t="s">
        <v>547</v>
      </c>
      <c r="J198">
        <v>0.62301587301587302</v>
      </c>
      <c r="K198" t="s">
        <v>608</v>
      </c>
      <c r="L198" t="s">
        <v>547</v>
      </c>
      <c r="M198">
        <v>0.77057926829268297</v>
      </c>
      <c r="N198" t="s">
        <v>595</v>
      </c>
      <c r="O198" t="s">
        <v>547</v>
      </c>
      <c r="P198">
        <v>2.3301997649823698</v>
      </c>
      <c r="Q198" t="s">
        <v>566</v>
      </c>
      <c r="R198" t="s">
        <v>547</v>
      </c>
      <c r="S198">
        <v>1.05537052456286</v>
      </c>
      <c r="T198" t="s">
        <v>578</v>
      </c>
      <c r="U198" t="s">
        <v>547</v>
      </c>
      <c r="V198">
        <v>0.74655172413793103</v>
      </c>
      <c r="W198" t="s">
        <v>580</v>
      </c>
      <c r="X198" t="s">
        <v>547</v>
      </c>
      <c r="Y198">
        <v>1.1391304347825999</v>
      </c>
      <c r="Z198" t="s">
        <v>611</v>
      </c>
      <c r="AA198" t="s">
        <v>547</v>
      </c>
      <c r="AB198">
        <v>1.2581357318070301</v>
      </c>
      <c r="AC198" t="s">
        <v>561</v>
      </c>
      <c r="AD198" t="s">
        <v>547</v>
      </c>
      <c r="AE198">
        <v>0.98298676748582203</v>
      </c>
      <c r="AF198" t="s">
        <v>619</v>
      </c>
      <c r="AG198" t="s">
        <v>547</v>
      </c>
      <c r="AH198">
        <v>1.0309402222889701</v>
      </c>
      <c r="AI198" t="s">
        <v>580</v>
      </c>
      <c r="AJ198" t="s">
        <v>547</v>
      </c>
      <c r="AK198">
        <v>0.89423076923076905</v>
      </c>
      <c r="AL198" t="s">
        <v>580</v>
      </c>
      <c r="AM198" t="s">
        <v>547</v>
      </c>
      <c r="AN198">
        <v>0.73655913978494603</v>
      </c>
      <c r="AO198" t="s">
        <v>619</v>
      </c>
      <c r="AP198" t="s">
        <v>547</v>
      </c>
      <c r="AQ198">
        <v>1.11034414751996</v>
      </c>
      <c r="AR198" t="s">
        <v>620</v>
      </c>
      <c r="AS198" t="s">
        <v>547</v>
      </c>
      <c r="AT198">
        <v>0.97336065573770403</v>
      </c>
      <c r="AU198" t="s">
        <v>620</v>
      </c>
      <c r="AV198" t="s">
        <v>547</v>
      </c>
      <c r="AW198">
        <v>1.0263157894736801</v>
      </c>
      <c r="AX198" t="s">
        <v>611</v>
      </c>
      <c r="AY198" t="s">
        <v>547</v>
      </c>
      <c r="AZ198">
        <v>1.74860232229526</v>
      </c>
      <c r="BA198" t="s">
        <v>578</v>
      </c>
      <c r="BB198" t="s">
        <v>547</v>
      </c>
      <c r="BC198">
        <v>1.2307692307692299</v>
      </c>
      <c r="BD198" t="s">
        <v>566</v>
      </c>
      <c r="BE198" t="s">
        <v>547</v>
      </c>
      <c r="BF198">
        <v>1.0940594059405899</v>
      </c>
      <c r="BG198" t="s">
        <v>624</v>
      </c>
      <c r="BH198" t="s">
        <v>547</v>
      </c>
      <c r="BI198">
        <v>1.0441767068273</v>
      </c>
      <c r="BJ198" t="s">
        <v>621</v>
      </c>
      <c r="BK198" t="s">
        <v>547</v>
      </c>
      <c r="BL198">
        <v>0.92628205128205099</v>
      </c>
      <c r="BM198" t="s">
        <v>596</v>
      </c>
      <c r="BN198" t="s">
        <v>547</v>
      </c>
      <c r="BO198">
        <v>0.97106109324758805</v>
      </c>
      <c r="BP198" t="s">
        <v>621</v>
      </c>
      <c r="BQ198" t="s">
        <v>547</v>
      </c>
      <c r="BR198">
        <v>0.99009900990098998</v>
      </c>
      <c r="BS198" t="s">
        <v>621</v>
      </c>
      <c r="BT198" t="s">
        <v>547</v>
      </c>
      <c r="BU198">
        <v>1.2533333333333301</v>
      </c>
      <c r="BV198" t="s">
        <v>602</v>
      </c>
      <c r="BW198" t="s">
        <v>547</v>
      </c>
      <c r="BX198">
        <v>1.2664756446991401</v>
      </c>
      <c r="BY198" t="s">
        <v>625</v>
      </c>
      <c r="BZ198" t="s">
        <v>547</v>
      </c>
      <c r="CA198">
        <v>0.75278310940499005</v>
      </c>
      <c r="CB198" t="s">
        <v>606</v>
      </c>
      <c r="CC198" t="s">
        <v>547</v>
      </c>
      <c r="CD198">
        <v>1.0043243243243201</v>
      </c>
      <c r="CE198" t="s">
        <v>596</v>
      </c>
      <c r="CF198" t="s">
        <v>547</v>
      </c>
      <c r="CG198">
        <v>1.0247349823321501</v>
      </c>
      <c r="CH198" t="s">
        <v>629</v>
      </c>
      <c r="CI198" t="s">
        <v>547</v>
      </c>
      <c r="CJ198">
        <v>2.7990241635687698</v>
      </c>
      <c r="CK198" t="s">
        <v>596</v>
      </c>
      <c r="CL198" t="s">
        <v>547</v>
      </c>
      <c r="CM198">
        <v>0.97260273972602695</v>
      </c>
      <c r="CN198" t="s">
        <v>613</v>
      </c>
      <c r="CO198" t="s">
        <v>547</v>
      </c>
      <c r="CP198">
        <v>0.76595744680850997</v>
      </c>
      <c r="CQ198" t="s">
        <v>613</v>
      </c>
      <c r="CR198" t="s">
        <v>547</v>
      </c>
      <c r="CS198">
        <v>1.13888888888888</v>
      </c>
      <c r="CT198" t="s">
        <v>614</v>
      </c>
      <c r="CU198" t="s">
        <v>547</v>
      </c>
      <c r="CV198">
        <v>1.0393436838390899</v>
      </c>
      <c r="CW198" t="s">
        <v>623</v>
      </c>
      <c r="CX198" t="s">
        <v>547</v>
      </c>
      <c r="CY198">
        <v>1.07045454545454</v>
      </c>
      <c r="CZ198" t="s">
        <v>606</v>
      </c>
      <c r="DA198" t="s">
        <v>547</v>
      </c>
      <c r="DB198">
        <v>0.96381182147165201</v>
      </c>
      <c r="DC198" t="s">
        <v>631</v>
      </c>
      <c r="DD198" t="s">
        <v>547</v>
      </c>
      <c r="DE198">
        <v>0.84794520547945196</v>
      </c>
      <c r="DF198" t="s">
        <v>600</v>
      </c>
      <c r="DG198" t="s">
        <v>547</v>
      </c>
      <c r="DH198">
        <v>0.65134099616858199</v>
      </c>
    </row>
    <row r="199" spans="1:112" x14ac:dyDescent="0.4">
      <c r="A199">
        <v>197</v>
      </c>
      <c r="B199" t="s">
        <v>566</v>
      </c>
      <c r="C199" t="s">
        <v>547</v>
      </c>
      <c r="D199">
        <v>1.2883870967741899</v>
      </c>
      <c r="E199" t="s">
        <v>590</v>
      </c>
      <c r="F199" t="s">
        <v>547</v>
      </c>
      <c r="G199">
        <v>0.65116279069767402</v>
      </c>
      <c r="H199" t="s">
        <v>581</v>
      </c>
      <c r="I199" t="s">
        <v>547</v>
      </c>
      <c r="J199">
        <v>0.66549295774647799</v>
      </c>
      <c r="K199" t="s">
        <v>636</v>
      </c>
      <c r="L199" t="s">
        <v>547</v>
      </c>
      <c r="M199">
        <v>1.2222427489377401</v>
      </c>
      <c r="N199" t="s">
        <v>574</v>
      </c>
      <c r="O199" t="s">
        <v>547</v>
      </c>
      <c r="P199">
        <v>1.09669522643818</v>
      </c>
      <c r="Q199" t="s">
        <v>578</v>
      </c>
      <c r="R199" t="s">
        <v>547</v>
      </c>
      <c r="S199">
        <v>1.45911949685534</v>
      </c>
      <c r="T199" t="s">
        <v>617</v>
      </c>
      <c r="U199" t="s">
        <v>547</v>
      </c>
      <c r="V199">
        <v>0.825125628140703</v>
      </c>
      <c r="W199" t="s">
        <v>611</v>
      </c>
      <c r="X199" t="s">
        <v>547</v>
      </c>
      <c r="Y199">
        <v>1.17022294517271</v>
      </c>
      <c r="Z199" t="s">
        <v>652</v>
      </c>
      <c r="AA199" t="s">
        <v>547</v>
      </c>
      <c r="AB199">
        <v>1.95433501683501</v>
      </c>
      <c r="AC199" t="s">
        <v>578</v>
      </c>
      <c r="AD199" t="s">
        <v>547</v>
      </c>
      <c r="AE199">
        <v>0.95035460992907805</v>
      </c>
      <c r="AF199" t="s">
        <v>580</v>
      </c>
      <c r="AG199" t="s">
        <v>547</v>
      </c>
      <c r="AH199">
        <v>1.1366120218579201</v>
      </c>
      <c r="AI199" t="s">
        <v>611</v>
      </c>
      <c r="AJ199" t="s">
        <v>547</v>
      </c>
      <c r="AK199">
        <v>0.82686154112254595</v>
      </c>
      <c r="AL199" t="s">
        <v>611</v>
      </c>
      <c r="AM199" t="s">
        <v>547</v>
      </c>
      <c r="AN199">
        <v>1.0093086497228301</v>
      </c>
      <c r="AO199" t="s">
        <v>580</v>
      </c>
      <c r="AP199" t="s">
        <v>547</v>
      </c>
      <c r="AQ199">
        <v>0.70948905109489002</v>
      </c>
      <c r="AR199" t="s">
        <v>611</v>
      </c>
      <c r="AS199" t="s">
        <v>547</v>
      </c>
      <c r="AT199">
        <v>1.66553394548478</v>
      </c>
      <c r="AU199" t="s">
        <v>611</v>
      </c>
      <c r="AV199" t="s">
        <v>547</v>
      </c>
      <c r="AW199">
        <v>0.70658968570932401</v>
      </c>
      <c r="AX199" t="s">
        <v>621</v>
      </c>
      <c r="AY199" t="s">
        <v>547</v>
      </c>
      <c r="AZ199">
        <v>1.1452991452991399</v>
      </c>
      <c r="BA199" t="s">
        <v>621</v>
      </c>
      <c r="BB199" t="s">
        <v>547</v>
      </c>
      <c r="BC199">
        <v>1.0597014925373101</v>
      </c>
      <c r="BD199" t="s">
        <v>578</v>
      </c>
      <c r="BE199" t="s">
        <v>547</v>
      </c>
      <c r="BF199">
        <v>0.87061403508771895</v>
      </c>
      <c r="BG199" t="s">
        <v>621</v>
      </c>
      <c r="BH199" t="s">
        <v>547</v>
      </c>
      <c r="BI199">
        <v>1.15985130111524</v>
      </c>
      <c r="BJ199" t="s">
        <v>596</v>
      </c>
      <c r="BK199" t="s">
        <v>547</v>
      </c>
      <c r="BL199">
        <v>1.0724137931034401</v>
      </c>
      <c r="BM199" t="s">
        <v>606</v>
      </c>
      <c r="BN199" t="s">
        <v>547</v>
      </c>
      <c r="BO199">
        <v>0.95348837209302295</v>
      </c>
      <c r="BP199" t="s">
        <v>596</v>
      </c>
      <c r="BQ199" t="s">
        <v>547</v>
      </c>
      <c r="BR199">
        <v>0.90066225165562896</v>
      </c>
      <c r="BS199" t="s">
        <v>612</v>
      </c>
      <c r="BT199" t="s">
        <v>547</v>
      </c>
      <c r="BU199">
        <v>0.99099999999999999</v>
      </c>
      <c r="BV199" t="s">
        <v>596</v>
      </c>
      <c r="BW199" t="s">
        <v>547</v>
      </c>
      <c r="BX199">
        <v>0.98257839721254303</v>
      </c>
      <c r="BY199" t="s">
        <v>612</v>
      </c>
      <c r="BZ199" t="s">
        <v>547</v>
      </c>
      <c r="CA199">
        <v>1.0371660859465699</v>
      </c>
      <c r="CB199" t="s">
        <v>614</v>
      </c>
      <c r="CC199" t="s">
        <v>547</v>
      </c>
      <c r="CD199">
        <v>1.2919130839258399</v>
      </c>
      <c r="CE199" t="s">
        <v>606</v>
      </c>
      <c r="CF199" t="s">
        <v>547</v>
      </c>
      <c r="CG199">
        <v>1.06566200215285</v>
      </c>
      <c r="CH199" t="s">
        <v>606</v>
      </c>
      <c r="CI199" t="s">
        <v>547</v>
      </c>
      <c r="CJ199">
        <v>1.2878787878787801</v>
      </c>
      <c r="CK199" t="s">
        <v>613</v>
      </c>
      <c r="CL199" t="s">
        <v>547</v>
      </c>
      <c r="CM199">
        <v>0.72030651340996099</v>
      </c>
      <c r="CN199" t="s">
        <v>606</v>
      </c>
      <c r="CO199" t="s">
        <v>547</v>
      </c>
      <c r="CP199">
        <v>0.802553191489361</v>
      </c>
      <c r="CQ199" t="s">
        <v>606</v>
      </c>
      <c r="CR199" t="s">
        <v>547</v>
      </c>
      <c r="CS199">
        <v>0.87592788971367896</v>
      </c>
      <c r="CT199" t="s">
        <v>623</v>
      </c>
      <c r="CU199" t="s">
        <v>547</v>
      </c>
      <c r="CV199">
        <v>1.1780455153949101</v>
      </c>
      <c r="CW199" t="s">
        <v>627</v>
      </c>
      <c r="CX199" t="s">
        <v>547</v>
      </c>
      <c r="CY199">
        <v>1.0595744680851</v>
      </c>
      <c r="CZ199" t="s">
        <v>627</v>
      </c>
      <c r="DA199" t="s">
        <v>547</v>
      </c>
      <c r="DB199">
        <v>0.76907630522088299</v>
      </c>
      <c r="DC199" t="s">
        <v>635</v>
      </c>
      <c r="DD199" t="s">
        <v>547</v>
      </c>
      <c r="DE199">
        <v>0.75067024128686299</v>
      </c>
      <c r="DF199" t="s">
        <v>606</v>
      </c>
      <c r="DG199" t="s">
        <v>547</v>
      </c>
      <c r="DH199">
        <v>1.1407407407407399</v>
      </c>
    </row>
    <row r="200" spans="1:112" x14ac:dyDescent="0.4">
      <c r="A200">
        <v>198</v>
      </c>
      <c r="B200" t="s">
        <v>616</v>
      </c>
      <c r="C200" t="s">
        <v>547</v>
      </c>
      <c r="D200">
        <v>0.74336283185840701</v>
      </c>
      <c r="E200" t="s">
        <v>599</v>
      </c>
      <c r="F200" t="s">
        <v>547</v>
      </c>
      <c r="G200">
        <v>0.71742671009771897</v>
      </c>
      <c r="H200" t="s">
        <v>548</v>
      </c>
      <c r="I200" t="s">
        <v>547</v>
      </c>
      <c r="J200">
        <v>0.43564356435643498</v>
      </c>
      <c r="K200" t="s">
        <v>580</v>
      </c>
      <c r="L200" t="s">
        <v>547</v>
      </c>
      <c r="M200">
        <v>1.2476370510396899</v>
      </c>
      <c r="N200" t="s">
        <v>581</v>
      </c>
      <c r="O200" t="s">
        <v>547</v>
      </c>
      <c r="P200">
        <v>1.45882352941176</v>
      </c>
      <c r="Q200" t="s">
        <v>580</v>
      </c>
      <c r="R200" t="s">
        <v>547</v>
      </c>
      <c r="S200">
        <v>1.00882723833543</v>
      </c>
      <c r="T200" t="s">
        <v>580</v>
      </c>
      <c r="U200" t="s">
        <v>547</v>
      </c>
      <c r="V200">
        <v>0.86250000000000004</v>
      </c>
      <c r="W200" t="s">
        <v>633</v>
      </c>
      <c r="X200" t="s">
        <v>547</v>
      </c>
      <c r="Y200">
        <v>1.27272727272727</v>
      </c>
      <c r="Z200" t="s">
        <v>633</v>
      </c>
      <c r="AA200" t="s">
        <v>547</v>
      </c>
      <c r="AB200">
        <v>1.1714285714285699</v>
      </c>
      <c r="AC200" t="s">
        <v>611</v>
      </c>
      <c r="AD200" t="s">
        <v>547</v>
      </c>
      <c r="AE200">
        <v>0.65028920517319799</v>
      </c>
      <c r="AF200" t="s">
        <v>611</v>
      </c>
      <c r="AG200" t="s">
        <v>547</v>
      </c>
      <c r="AH200">
        <v>1.1556066360183801</v>
      </c>
      <c r="AI200" t="s">
        <v>653</v>
      </c>
      <c r="AJ200" t="s">
        <v>547</v>
      </c>
      <c r="AK200">
        <v>0.85997765600893705</v>
      </c>
      <c r="AL200" t="s">
        <v>644</v>
      </c>
      <c r="AM200" t="s">
        <v>547</v>
      </c>
      <c r="AN200">
        <v>1.1263157894736799</v>
      </c>
      <c r="AO200" t="s">
        <v>611</v>
      </c>
      <c r="AP200" t="s">
        <v>547</v>
      </c>
      <c r="AQ200">
        <v>1.4332642487046601</v>
      </c>
      <c r="AR200" t="s">
        <v>612</v>
      </c>
      <c r="AS200" t="s">
        <v>547</v>
      </c>
      <c r="AT200">
        <v>1.3600891861761399</v>
      </c>
      <c r="AU200" t="s">
        <v>606</v>
      </c>
      <c r="AV200" t="s">
        <v>547</v>
      </c>
      <c r="AW200">
        <v>0.88344988344988296</v>
      </c>
      <c r="AX200" t="s">
        <v>627</v>
      </c>
      <c r="AY200" t="s">
        <v>547</v>
      </c>
      <c r="AZ200">
        <v>0.694006309148265</v>
      </c>
      <c r="BA200" t="s">
        <v>612</v>
      </c>
      <c r="BB200" t="s">
        <v>547</v>
      </c>
      <c r="BC200">
        <v>1.3744343891402699</v>
      </c>
      <c r="BD200" t="s">
        <v>654</v>
      </c>
      <c r="BE200" t="s">
        <v>547</v>
      </c>
      <c r="BF200">
        <v>1.0661417322834601</v>
      </c>
      <c r="BG200" t="s">
        <v>633</v>
      </c>
      <c r="BH200" t="s">
        <v>547</v>
      </c>
      <c r="BI200">
        <v>0.80909090909090897</v>
      </c>
      <c r="BJ200" t="s">
        <v>634</v>
      </c>
      <c r="BK200" t="s">
        <v>547</v>
      </c>
      <c r="BL200">
        <v>0.94444444444444398</v>
      </c>
      <c r="BM200" t="s">
        <v>627</v>
      </c>
      <c r="BN200" t="s">
        <v>547</v>
      </c>
      <c r="BO200">
        <v>0.95207667731629397</v>
      </c>
      <c r="BP200" t="s">
        <v>606</v>
      </c>
      <c r="BQ200" t="s">
        <v>547</v>
      </c>
      <c r="BR200">
        <v>0.80878048780487799</v>
      </c>
      <c r="BS200" t="s">
        <v>606</v>
      </c>
      <c r="BT200" t="s">
        <v>547</v>
      </c>
      <c r="BU200">
        <v>1.10856453558504</v>
      </c>
      <c r="BV200" t="s">
        <v>606</v>
      </c>
      <c r="BW200" t="s">
        <v>547</v>
      </c>
      <c r="BX200">
        <v>0.89662676822633203</v>
      </c>
      <c r="BY200" t="s">
        <v>606</v>
      </c>
      <c r="BZ200" t="s">
        <v>547</v>
      </c>
      <c r="CA200">
        <v>1.12257281553398</v>
      </c>
      <c r="CB200" t="s">
        <v>627</v>
      </c>
      <c r="CC200" t="s">
        <v>547</v>
      </c>
      <c r="CD200">
        <v>1.2784398699891599</v>
      </c>
      <c r="CE200" t="s">
        <v>614</v>
      </c>
      <c r="CF200" t="s">
        <v>547</v>
      </c>
      <c r="CG200">
        <v>1.4482049171895801</v>
      </c>
      <c r="CH200" t="s">
        <v>627</v>
      </c>
      <c r="CI200" t="s">
        <v>547</v>
      </c>
      <c r="CJ200">
        <v>1.0027322404371499</v>
      </c>
      <c r="CK200" t="s">
        <v>606</v>
      </c>
      <c r="CL200" t="s">
        <v>547</v>
      </c>
      <c r="CM200">
        <v>0.92156862745098</v>
      </c>
      <c r="CN200" t="s">
        <v>655</v>
      </c>
      <c r="CO200" t="s">
        <v>547</v>
      </c>
      <c r="CP200">
        <v>1.2736156351791501</v>
      </c>
      <c r="CQ200" t="s">
        <v>623</v>
      </c>
      <c r="CR200" t="s">
        <v>547</v>
      </c>
      <c r="CS200">
        <v>0.91208791208791196</v>
      </c>
      <c r="CT200" t="s">
        <v>627</v>
      </c>
      <c r="CU200" t="s">
        <v>547</v>
      </c>
      <c r="CV200">
        <v>0.92156862745098</v>
      </c>
      <c r="CW200" t="s">
        <v>638</v>
      </c>
      <c r="CX200" t="s">
        <v>547</v>
      </c>
      <c r="CY200">
        <v>0.92812499999999998</v>
      </c>
      <c r="CZ200" t="s">
        <v>656</v>
      </c>
      <c r="DA200" t="s">
        <v>547</v>
      </c>
      <c r="DB200">
        <v>0.70332103321033201</v>
      </c>
      <c r="DC200" t="s">
        <v>638</v>
      </c>
      <c r="DD200" t="s">
        <v>547</v>
      </c>
      <c r="DE200">
        <v>1.0311827956989199</v>
      </c>
      <c r="DF200" t="s">
        <v>627</v>
      </c>
      <c r="DG200" t="s">
        <v>547</v>
      </c>
      <c r="DH200">
        <v>1.32752992383025</v>
      </c>
    </row>
    <row r="201" spans="1:112" x14ac:dyDescent="0.4">
      <c r="A201">
        <v>199</v>
      </c>
      <c r="B201" t="s">
        <v>567</v>
      </c>
      <c r="C201" t="s">
        <v>547</v>
      </c>
      <c r="D201">
        <v>1.1198288159771701</v>
      </c>
      <c r="E201" t="s">
        <v>637</v>
      </c>
      <c r="F201" t="s">
        <v>547</v>
      </c>
      <c r="G201">
        <v>0.69651741293532299</v>
      </c>
      <c r="H201" t="s">
        <v>566</v>
      </c>
      <c r="I201" t="s">
        <v>547</v>
      </c>
      <c r="J201">
        <v>0.52506963788300798</v>
      </c>
      <c r="K201" t="s">
        <v>633</v>
      </c>
      <c r="L201" t="s">
        <v>547</v>
      </c>
      <c r="M201">
        <v>1.2872340425531901</v>
      </c>
      <c r="N201" t="s">
        <v>580</v>
      </c>
      <c r="O201" t="s">
        <v>547</v>
      </c>
      <c r="P201">
        <v>1.2015151515151501</v>
      </c>
      <c r="Q201" t="s">
        <v>611</v>
      </c>
      <c r="R201" t="s">
        <v>547</v>
      </c>
      <c r="S201">
        <v>0.76190012654531203</v>
      </c>
      <c r="T201" t="s">
        <v>612</v>
      </c>
      <c r="U201" t="s">
        <v>547</v>
      </c>
      <c r="V201">
        <v>1.1576470588235199</v>
      </c>
      <c r="W201" t="s">
        <v>612</v>
      </c>
      <c r="X201" t="s">
        <v>547</v>
      </c>
      <c r="Y201">
        <v>0.901422764227642</v>
      </c>
      <c r="Z201" t="s">
        <v>612</v>
      </c>
      <c r="AA201" t="s">
        <v>547</v>
      </c>
      <c r="AB201">
        <v>0.92446448703494899</v>
      </c>
      <c r="AC201" t="s">
        <v>612</v>
      </c>
      <c r="AD201" t="s">
        <v>547</v>
      </c>
      <c r="AE201">
        <v>1.1121951219512101</v>
      </c>
      <c r="AF201" t="s">
        <v>612</v>
      </c>
      <c r="AG201" t="s">
        <v>547</v>
      </c>
      <c r="AH201">
        <v>1.1019736842105201</v>
      </c>
      <c r="AI201" t="s">
        <v>612</v>
      </c>
      <c r="AJ201" t="s">
        <v>547</v>
      </c>
      <c r="AK201">
        <v>0.93333333333333302</v>
      </c>
      <c r="AL201" t="s">
        <v>612</v>
      </c>
      <c r="AM201" t="s">
        <v>547</v>
      </c>
      <c r="AN201">
        <v>1.0714285714285701</v>
      </c>
      <c r="AO201" t="s">
        <v>612</v>
      </c>
      <c r="AP201" t="s">
        <v>547</v>
      </c>
      <c r="AQ201">
        <v>0.89253731343283504</v>
      </c>
      <c r="AR201" t="s">
        <v>627</v>
      </c>
      <c r="AS201" t="s">
        <v>547</v>
      </c>
      <c r="AT201">
        <v>1.2416295221312299</v>
      </c>
      <c r="AU201" t="s">
        <v>627</v>
      </c>
      <c r="AV201" t="s">
        <v>547</v>
      </c>
      <c r="AW201">
        <v>1.3232593087326701</v>
      </c>
      <c r="AX201" t="s">
        <v>630</v>
      </c>
      <c r="AY201" t="s">
        <v>547</v>
      </c>
      <c r="AZ201">
        <v>0.76485752107573302</v>
      </c>
      <c r="BA201" t="s">
        <v>627</v>
      </c>
      <c r="BB201" t="s">
        <v>547</v>
      </c>
      <c r="BC201">
        <v>0.77545454545454495</v>
      </c>
      <c r="BD201" t="s">
        <v>621</v>
      </c>
      <c r="BE201" t="s">
        <v>547</v>
      </c>
      <c r="BF201">
        <v>0.94718309859154903</v>
      </c>
      <c r="BG201" t="s">
        <v>606</v>
      </c>
      <c r="BH201" t="s">
        <v>547</v>
      </c>
      <c r="BI201">
        <v>1.1407407407407399</v>
      </c>
      <c r="BJ201" t="s">
        <v>606</v>
      </c>
      <c r="BK201" t="s">
        <v>547</v>
      </c>
      <c r="BL201">
        <v>1.1634199134199099</v>
      </c>
      <c r="BM201" t="s">
        <v>630</v>
      </c>
      <c r="BN201" t="s">
        <v>547</v>
      </c>
      <c r="BO201">
        <v>1.33096085409252</v>
      </c>
      <c r="BP201" t="s">
        <v>630</v>
      </c>
      <c r="BQ201" t="s">
        <v>547</v>
      </c>
      <c r="BR201">
        <v>1.11497326203208</v>
      </c>
      <c r="BS201" t="s">
        <v>627</v>
      </c>
      <c r="BT201" t="s">
        <v>547</v>
      </c>
      <c r="BU201">
        <v>0.82436548223350203</v>
      </c>
      <c r="BV201" t="s">
        <v>630</v>
      </c>
      <c r="BW201" t="s">
        <v>547</v>
      </c>
      <c r="BX201">
        <v>0.98378378378378295</v>
      </c>
      <c r="BY201" t="s">
        <v>630</v>
      </c>
      <c r="BZ201" t="s">
        <v>547</v>
      </c>
      <c r="CA201">
        <v>0.85714285714285698</v>
      </c>
      <c r="CB201" t="s">
        <v>630</v>
      </c>
      <c r="CC201" t="s">
        <v>547</v>
      </c>
      <c r="CD201">
        <v>1.37820512820512</v>
      </c>
      <c r="CE201" t="s">
        <v>627</v>
      </c>
      <c r="CF201" t="s">
        <v>547</v>
      </c>
      <c r="CG201">
        <v>1.5508474576271101</v>
      </c>
      <c r="CH201" t="s">
        <v>630</v>
      </c>
      <c r="CI201" t="s">
        <v>547</v>
      </c>
      <c r="CJ201">
        <v>1.53589743589743</v>
      </c>
      <c r="CK201" t="s">
        <v>627</v>
      </c>
      <c r="CL201" t="s">
        <v>547</v>
      </c>
      <c r="CM201">
        <v>0.70844686648501298</v>
      </c>
      <c r="CN201" t="s">
        <v>627</v>
      </c>
      <c r="CO201" t="s">
        <v>547</v>
      </c>
      <c r="CP201">
        <v>0.84230769230769198</v>
      </c>
      <c r="CQ201" t="s">
        <v>627</v>
      </c>
      <c r="CR201" t="s">
        <v>547</v>
      </c>
      <c r="CS201">
        <v>0.931506849315068</v>
      </c>
      <c r="CT201" t="s">
        <v>630</v>
      </c>
      <c r="CU201" t="s">
        <v>547</v>
      </c>
      <c r="CV201">
        <v>0.86923076923076903</v>
      </c>
      <c r="CW201" t="s">
        <v>657</v>
      </c>
      <c r="CX201" t="s">
        <v>547</v>
      </c>
      <c r="CY201">
        <v>1.1210287443267699</v>
      </c>
      <c r="CZ201" t="s">
        <v>638</v>
      </c>
      <c r="DA201" t="s">
        <v>547</v>
      </c>
      <c r="DB201">
        <v>1.0437710437710399</v>
      </c>
      <c r="DC201" t="s">
        <v>658</v>
      </c>
      <c r="DD201" t="s">
        <v>547</v>
      </c>
      <c r="DE201">
        <v>1.2184531886024399</v>
      </c>
      <c r="DF201" t="s">
        <v>638</v>
      </c>
      <c r="DG201" t="s">
        <v>547</v>
      </c>
      <c r="DH201">
        <v>0.82377476538060401</v>
      </c>
    </row>
    <row r="202" spans="1:112" x14ac:dyDescent="0.4">
      <c r="A202">
        <v>200</v>
      </c>
    </row>
    <row r="203" spans="1:112" x14ac:dyDescent="0.4">
      <c r="A203">
        <v>201</v>
      </c>
    </row>
    <row r="204" spans="1:112" x14ac:dyDescent="0.4">
      <c r="A204">
        <v>202</v>
      </c>
    </row>
    <row r="205" spans="1:112" x14ac:dyDescent="0.4">
      <c r="A205">
        <v>203</v>
      </c>
    </row>
    <row r="206" spans="1:112" x14ac:dyDescent="0.4">
      <c r="A206">
        <v>204</v>
      </c>
    </row>
    <row r="207" spans="1:112" x14ac:dyDescent="0.4">
      <c r="A207">
        <v>205</v>
      </c>
    </row>
    <row r="208" spans="1:112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9" x14ac:dyDescent="0.4">
      <c r="A993">
        <v>991</v>
      </c>
    </row>
    <row r="994" spans="1:69" x14ac:dyDescent="0.4">
      <c r="A994">
        <v>992</v>
      </c>
    </row>
    <row r="995" spans="1:69" x14ac:dyDescent="0.4">
      <c r="A995">
        <v>993</v>
      </c>
    </row>
    <row r="996" spans="1:69" x14ac:dyDescent="0.4">
      <c r="A996">
        <v>994</v>
      </c>
    </row>
    <row r="997" spans="1:69" x14ac:dyDescent="0.4">
      <c r="A997">
        <v>995</v>
      </c>
      <c r="BQ997" t="s">
        <v>664</v>
      </c>
    </row>
    <row r="998" spans="1:69" x14ac:dyDescent="0.4">
      <c r="A998">
        <v>996</v>
      </c>
      <c r="B998">
        <v>0.15979381443298901</v>
      </c>
      <c r="C998">
        <v>5.29411764705882E-2</v>
      </c>
      <c r="D998">
        <v>0.17085427135678299</v>
      </c>
      <c r="E998">
        <v>0.20499999999999999</v>
      </c>
      <c r="F998">
        <v>0.13</v>
      </c>
      <c r="G998">
        <v>0.11</v>
      </c>
      <c r="H998">
        <v>0.10101010101010099</v>
      </c>
      <c r="I998">
        <v>0.115183246073298</v>
      </c>
      <c r="J998">
        <v>0.12</v>
      </c>
      <c r="K998">
        <v>0.1</v>
      </c>
      <c r="L998">
        <v>0.08</v>
      </c>
      <c r="M998">
        <v>6.5000000000000002E-2</v>
      </c>
      <c r="N998">
        <v>0.12</v>
      </c>
      <c r="O998">
        <v>0.1</v>
      </c>
      <c r="P998">
        <v>0.14000000000000001</v>
      </c>
      <c r="Q998">
        <v>0.19</v>
      </c>
      <c r="R998">
        <v>9.5000000000000001E-2</v>
      </c>
      <c r="S998">
        <v>0.115</v>
      </c>
      <c r="T998">
        <v>0.23</v>
      </c>
      <c r="U998">
        <v>0.19500000000000001</v>
      </c>
      <c r="V998">
        <v>0.18</v>
      </c>
      <c r="W998">
        <v>0.15</v>
      </c>
      <c r="X998">
        <v>0.14499999999999999</v>
      </c>
      <c r="Y998">
        <v>0.115</v>
      </c>
      <c r="Z998">
        <v>0.28499999999999998</v>
      </c>
      <c r="AA998">
        <v>0.215</v>
      </c>
      <c r="AB998">
        <v>0.23</v>
      </c>
      <c r="AC998">
        <v>0.16</v>
      </c>
      <c r="AD998">
        <v>0.16500000000000001</v>
      </c>
      <c r="AE998">
        <v>0.2</v>
      </c>
      <c r="AF998">
        <v>0.34</v>
      </c>
      <c r="AG998">
        <v>0.14499999999999999</v>
      </c>
      <c r="AH998">
        <v>0.23499999999999999</v>
      </c>
      <c r="AI998">
        <v>0.15</v>
      </c>
      <c r="AJ998">
        <v>0.14000000000000001</v>
      </c>
      <c r="AK998">
        <v>0.13500000000000001</v>
      </c>
      <c r="AL998">
        <v>0.14000000000000001</v>
      </c>
      <c r="AM998">
        <v>0.11</v>
      </c>
      <c r="AN998">
        <v>0.14000000000000001</v>
      </c>
      <c r="AO998">
        <v>0.155</v>
      </c>
      <c r="AP998">
        <v>0.16500000000000001</v>
      </c>
      <c r="AQ998">
        <v>0.16500000000000001</v>
      </c>
      <c r="AR998">
        <v>0.17</v>
      </c>
      <c r="AS998">
        <v>0.17</v>
      </c>
      <c r="AT998">
        <v>0.2</v>
      </c>
      <c r="AU998">
        <v>0.14499999999999999</v>
      </c>
      <c r="AV998">
        <v>0.16500000000000001</v>
      </c>
      <c r="AW998">
        <v>0.15</v>
      </c>
      <c r="AX998">
        <v>0.19</v>
      </c>
      <c r="AY998">
        <v>0.15</v>
      </c>
      <c r="AZ998">
        <v>0.115</v>
      </c>
      <c r="BA998">
        <v>0.13</v>
      </c>
      <c r="BB998">
        <v>0.16</v>
      </c>
      <c r="BC998">
        <v>0.17</v>
      </c>
      <c r="BD998">
        <v>0.17499999999999999</v>
      </c>
      <c r="BE998">
        <v>0.19</v>
      </c>
      <c r="BF998">
        <v>0.2</v>
      </c>
      <c r="BG998">
        <v>0.19</v>
      </c>
      <c r="BH998">
        <v>0.125</v>
      </c>
      <c r="BI998">
        <v>0.14499999999999999</v>
      </c>
      <c r="BJ998">
        <v>0.13500000000000001</v>
      </c>
      <c r="BK998">
        <v>0.13500000000000001</v>
      </c>
      <c r="BL998">
        <v>0.13500000000000001</v>
      </c>
      <c r="BM998">
        <v>0.115</v>
      </c>
      <c r="BQ998">
        <f>AVERAGE(AD998:BM998)</f>
        <v>0.16236111111111109</v>
      </c>
    </row>
    <row r="999" spans="1:69" x14ac:dyDescent="0.4">
      <c r="A999">
        <v>997</v>
      </c>
      <c r="B999" s="28">
        <v>20010531</v>
      </c>
      <c r="C999" s="28">
        <v>20010831</v>
      </c>
      <c r="D999" s="28">
        <v>20011130</v>
      </c>
      <c r="E999" s="28">
        <v>20020228</v>
      </c>
      <c r="F999" s="28">
        <v>20020531</v>
      </c>
      <c r="G999" s="28">
        <v>20020830</v>
      </c>
      <c r="H999" s="28">
        <v>20021129</v>
      </c>
      <c r="I999" s="28">
        <v>20030228</v>
      </c>
      <c r="J999" s="28">
        <v>20030530</v>
      </c>
      <c r="K999" s="28">
        <v>20030829</v>
      </c>
      <c r="L999" s="28">
        <v>20031128</v>
      </c>
      <c r="M999" s="28">
        <v>20040227</v>
      </c>
      <c r="N999" s="28">
        <v>20040531</v>
      </c>
      <c r="O999" s="28">
        <v>20040831</v>
      </c>
      <c r="P999" s="28">
        <v>20041130</v>
      </c>
      <c r="Q999" s="28">
        <v>20050228</v>
      </c>
      <c r="R999" s="28">
        <v>20050531</v>
      </c>
      <c r="S999" s="28">
        <v>20050831</v>
      </c>
      <c r="T999" s="28">
        <v>20051130</v>
      </c>
      <c r="U999" s="28">
        <v>20060228</v>
      </c>
      <c r="V999" s="28">
        <v>20060530</v>
      </c>
      <c r="W999" s="28">
        <v>20060831</v>
      </c>
      <c r="X999" s="28">
        <v>20061130</v>
      </c>
      <c r="Y999" s="28">
        <v>20070228</v>
      </c>
      <c r="Z999" s="28">
        <v>20070531</v>
      </c>
      <c r="AA999" s="28">
        <v>20070831</v>
      </c>
      <c r="AB999" s="28">
        <v>20071130</v>
      </c>
      <c r="AC999" s="28">
        <v>20080229</v>
      </c>
      <c r="AD999" s="28">
        <v>20080530</v>
      </c>
      <c r="AE999" s="28">
        <v>20080829</v>
      </c>
      <c r="AF999" s="28">
        <v>20081128</v>
      </c>
      <c r="AG999" s="28">
        <v>20090227</v>
      </c>
      <c r="AH999" s="28">
        <v>20090529</v>
      </c>
      <c r="AI999" s="28">
        <v>20090831</v>
      </c>
      <c r="AJ999" s="28">
        <v>20091130</v>
      </c>
      <c r="AK999" s="28">
        <v>20100226</v>
      </c>
      <c r="AL999" s="28">
        <v>20100531</v>
      </c>
      <c r="AM999" s="28">
        <v>20100831</v>
      </c>
      <c r="AN999" s="28">
        <v>20101130</v>
      </c>
      <c r="AO999" s="28">
        <v>20110228</v>
      </c>
      <c r="AP999" s="28">
        <v>20110531</v>
      </c>
      <c r="AQ999" s="28">
        <v>20110831</v>
      </c>
      <c r="AR999" s="28">
        <v>20111130</v>
      </c>
      <c r="AS999" s="28">
        <v>20120229</v>
      </c>
      <c r="AT999" s="28">
        <v>20120531</v>
      </c>
      <c r="AU999" s="28">
        <v>20120831</v>
      </c>
      <c r="AV999" s="28">
        <v>20121130</v>
      </c>
      <c r="AW999" s="28">
        <v>20130228</v>
      </c>
      <c r="AX999" s="28">
        <v>20130531</v>
      </c>
      <c r="AY999" s="28">
        <v>20130830</v>
      </c>
      <c r="AZ999" s="28">
        <v>20131129</v>
      </c>
      <c r="BA999" s="28">
        <v>20140228</v>
      </c>
      <c r="BB999" s="28">
        <v>20140530</v>
      </c>
      <c r="BC999" s="28">
        <v>20140829</v>
      </c>
      <c r="BD999" s="28">
        <v>20141128</v>
      </c>
      <c r="BE999" s="28">
        <v>20150227</v>
      </c>
      <c r="BF999" s="28">
        <v>20150529</v>
      </c>
      <c r="BG999" s="28">
        <v>20150831</v>
      </c>
      <c r="BH999" s="28">
        <v>20151130</v>
      </c>
      <c r="BI999" s="28">
        <v>20160229</v>
      </c>
      <c r="BJ999" s="28">
        <v>20160531</v>
      </c>
      <c r="BK999" s="28">
        <v>20160831</v>
      </c>
      <c r="BL999" s="28">
        <v>20161130</v>
      </c>
      <c r="BM999" s="28">
        <v>20170228</v>
      </c>
      <c r="BN999" s="28">
        <v>20170531</v>
      </c>
      <c r="BP999" s="27"/>
      <c r="BQ999" s="27"/>
    </row>
    <row r="1000" spans="1:69" x14ac:dyDescent="0.4">
      <c r="A1000">
        <v>998</v>
      </c>
      <c r="B1000" t="b">
        <v>1</v>
      </c>
      <c r="C1000" t="b">
        <v>0</v>
      </c>
      <c r="D1000" t="b">
        <v>1</v>
      </c>
      <c r="E1000" t="b">
        <v>0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0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  <c r="BQ1000" t="s">
        <v>663</v>
      </c>
    </row>
    <row r="1001" spans="1:69" x14ac:dyDescent="0.4">
      <c r="A1001">
        <v>999</v>
      </c>
      <c r="B1001">
        <f>IF(B1000=TRUE,1,0)</f>
        <v>1</v>
      </c>
      <c r="C1001">
        <f t="shared" ref="C1001:BN1001" si="0">IF(C1000=TRUE,1,0)</f>
        <v>0</v>
      </c>
      <c r="D1001">
        <f t="shared" si="0"/>
        <v>1</v>
      </c>
      <c r="E1001">
        <f t="shared" si="0"/>
        <v>0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0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19</v>
      </c>
      <c r="BP1001">
        <v>37</v>
      </c>
      <c r="BQ1001">
        <f>BO1001/BP1001</f>
        <v>0.51351351351351349</v>
      </c>
    </row>
    <row r="1002" spans="1:69" x14ac:dyDescent="0.4">
      <c r="B1002" s="28">
        <v>20010228</v>
      </c>
      <c r="C1002" s="28">
        <v>20010531</v>
      </c>
      <c r="D1002" s="28">
        <v>20010831</v>
      </c>
      <c r="E1002" s="28">
        <v>20011130</v>
      </c>
      <c r="F1002" s="28">
        <v>20020228</v>
      </c>
      <c r="G1002" s="28">
        <v>20020531</v>
      </c>
      <c r="H1002" s="28">
        <v>20020830</v>
      </c>
      <c r="I1002" s="28">
        <v>20021129</v>
      </c>
      <c r="J1002" s="28">
        <v>20030228</v>
      </c>
      <c r="K1002" s="28">
        <v>20030530</v>
      </c>
      <c r="L1002" s="28">
        <v>20030829</v>
      </c>
      <c r="M1002" s="28">
        <v>20031128</v>
      </c>
      <c r="N1002" s="28">
        <v>20040227</v>
      </c>
      <c r="O1002" s="28">
        <v>20040531</v>
      </c>
      <c r="P1002" s="28">
        <v>20040831</v>
      </c>
      <c r="Q1002" s="28">
        <v>20041130</v>
      </c>
      <c r="R1002" s="28">
        <v>20050228</v>
      </c>
      <c r="S1002" s="28">
        <v>20050531</v>
      </c>
      <c r="T1002" s="28">
        <v>20050831</v>
      </c>
      <c r="U1002" s="28">
        <v>20051130</v>
      </c>
      <c r="V1002" s="28">
        <v>20060228</v>
      </c>
      <c r="W1002" s="28">
        <v>20060530</v>
      </c>
      <c r="X1002" s="28">
        <v>20060831</v>
      </c>
      <c r="Y1002" s="28">
        <v>20061130</v>
      </c>
      <c r="Z1002" s="28">
        <v>20070228</v>
      </c>
      <c r="AA1002" s="28">
        <v>20070531</v>
      </c>
      <c r="AB1002" s="28">
        <v>20070831</v>
      </c>
      <c r="AC1002" s="28">
        <v>20071130</v>
      </c>
      <c r="AD1002" s="28">
        <v>20080229</v>
      </c>
      <c r="AE1002" s="28">
        <v>20080530</v>
      </c>
      <c r="AF1002" s="28">
        <v>20080829</v>
      </c>
      <c r="AG1002" s="28">
        <v>20081128</v>
      </c>
      <c r="AH1002" s="28">
        <v>20090227</v>
      </c>
      <c r="AI1002" s="28">
        <v>20090529</v>
      </c>
      <c r="AJ1002" s="28">
        <v>20090831</v>
      </c>
      <c r="AK1002" s="28">
        <v>20091130</v>
      </c>
      <c r="AL1002" s="28">
        <v>20100226</v>
      </c>
      <c r="AM1002" s="28">
        <v>20100531</v>
      </c>
      <c r="AN1002" s="28">
        <v>20100831</v>
      </c>
      <c r="AO1002" s="28">
        <v>20101130</v>
      </c>
      <c r="AP1002" s="28">
        <v>20110228</v>
      </c>
      <c r="AQ1002" s="28">
        <v>20110531</v>
      </c>
      <c r="AR1002" s="28">
        <v>20110831</v>
      </c>
      <c r="AS1002" s="28">
        <v>20111130</v>
      </c>
      <c r="AT1002" s="28">
        <v>20120229</v>
      </c>
      <c r="AU1002" s="28">
        <v>20120531</v>
      </c>
      <c r="AV1002" s="28">
        <v>20120831</v>
      </c>
      <c r="AW1002" s="28">
        <v>20121130</v>
      </c>
      <c r="AX1002" s="28">
        <v>20130228</v>
      </c>
      <c r="AY1002" s="28">
        <v>20130531</v>
      </c>
      <c r="AZ1002" s="28">
        <v>20130830</v>
      </c>
      <c r="BA1002" s="28">
        <v>20131129</v>
      </c>
      <c r="BB1002" s="28">
        <v>20140228</v>
      </c>
      <c r="BC1002" s="28">
        <v>20140530</v>
      </c>
      <c r="BD1002" s="28">
        <v>20140829</v>
      </c>
      <c r="BE1002" s="28">
        <v>20141128</v>
      </c>
      <c r="BF1002" s="28">
        <v>20150227</v>
      </c>
      <c r="BG1002" s="28">
        <v>20150529</v>
      </c>
      <c r="BH1002" s="28">
        <v>20150831</v>
      </c>
      <c r="BI1002" s="28">
        <v>20151130</v>
      </c>
      <c r="BJ1002" s="28">
        <v>20160229</v>
      </c>
      <c r="BK1002" s="28">
        <v>20160531</v>
      </c>
      <c r="BL1002" s="28">
        <v>20160831</v>
      </c>
      <c r="BM1002" s="28">
        <v>20161130</v>
      </c>
      <c r="BN1002" s="28">
        <v>20170228</v>
      </c>
      <c r="BO1002" s="29"/>
    </row>
    <row r="1003" spans="1:69" x14ac:dyDescent="0.4">
      <c r="A1003" t="s">
        <v>665</v>
      </c>
      <c r="B1003" s="15">
        <v>0.286549707602339</v>
      </c>
      <c r="C1003" s="15">
        <v>0.27835051546391698</v>
      </c>
      <c r="D1003" s="15">
        <v>0.252941176470588</v>
      </c>
      <c r="E1003" s="15">
        <v>0.24623115577889401</v>
      </c>
      <c r="F1003" s="15">
        <v>0.19500000000000001</v>
      </c>
      <c r="G1003" s="15">
        <v>0.20499999999999999</v>
      </c>
      <c r="H1003" s="15">
        <v>0.215</v>
      </c>
      <c r="I1003" s="15">
        <v>0.20202020202020199</v>
      </c>
      <c r="J1003" s="15">
        <v>0.193717277486911</v>
      </c>
      <c r="K1003" s="15">
        <v>0.2</v>
      </c>
      <c r="L1003" s="15">
        <v>0.17</v>
      </c>
      <c r="M1003" s="15">
        <v>0.17</v>
      </c>
      <c r="N1003" s="15">
        <v>0.16500000000000001</v>
      </c>
      <c r="O1003" s="15">
        <v>0.17499999999999999</v>
      </c>
      <c r="P1003" s="15">
        <v>0.17499999999999999</v>
      </c>
      <c r="Q1003" s="15">
        <v>0.16</v>
      </c>
      <c r="R1003" s="15">
        <v>0.115</v>
      </c>
      <c r="S1003" s="15">
        <v>0.115</v>
      </c>
      <c r="T1003" s="15">
        <v>0.115</v>
      </c>
      <c r="U1003" s="15">
        <v>0.105</v>
      </c>
      <c r="V1003" s="15">
        <v>0.115</v>
      </c>
      <c r="W1003" s="15">
        <v>0.125</v>
      </c>
      <c r="X1003" s="15">
        <v>0.115</v>
      </c>
      <c r="Y1003" s="15">
        <v>0.1</v>
      </c>
      <c r="Z1003" s="15">
        <v>0.105</v>
      </c>
      <c r="AA1003" s="15">
        <v>0.1</v>
      </c>
      <c r="AB1003" s="15">
        <v>0.125</v>
      </c>
      <c r="AC1003" s="15">
        <v>0.115</v>
      </c>
      <c r="AD1003" s="15">
        <v>0.11</v>
      </c>
      <c r="AE1003" s="15">
        <v>9.5000000000000001E-2</v>
      </c>
      <c r="AF1003" s="15">
        <v>0.105</v>
      </c>
      <c r="AG1003" s="15">
        <v>0.09</v>
      </c>
      <c r="AH1003" s="15">
        <v>7.0000000000000007E-2</v>
      </c>
      <c r="AI1003" s="15">
        <v>6.5000000000000002E-2</v>
      </c>
      <c r="AJ1003" s="15">
        <v>7.4999999999999997E-2</v>
      </c>
      <c r="AK1003" s="15">
        <v>0.08</v>
      </c>
      <c r="AL1003" s="15">
        <v>7.0000000000000007E-2</v>
      </c>
      <c r="AM1003" s="15">
        <v>6.5000000000000002E-2</v>
      </c>
      <c r="AN1003" s="15">
        <v>7.4999999999999997E-2</v>
      </c>
      <c r="AO1003" s="15">
        <v>0.08</v>
      </c>
      <c r="AP1003" s="15">
        <v>7.0000000000000007E-2</v>
      </c>
      <c r="AQ1003" s="15">
        <v>9.5000000000000001E-2</v>
      </c>
      <c r="AR1003" s="15">
        <v>0.09</v>
      </c>
      <c r="AS1003" s="15">
        <v>8.5000000000000006E-2</v>
      </c>
      <c r="AT1003" s="15">
        <v>0.08</v>
      </c>
      <c r="AU1003" s="15">
        <v>7.4999999999999997E-2</v>
      </c>
      <c r="AV1003" s="15">
        <v>6.5000000000000002E-2</v>
      </c>
      <c r="AW1003" s="15">
        <v>6.5000000000000002E-2</v>
      </c>
      <c r="AX1003" s="15">
        <v>0.06</v>
      </c>
      <c r="AY1003" s="15">
        <v>5.5E-2</v>
      </c>
      <c r="AZ1003" s="15">
        <v>5.5E-2</v>
      </c>
      <c r="BA1003" s="15">
        <v>7.0000000000000007E-2</v>
      </c>
      <c r="BB1003" s="15">
        <v>7.0000000000000007E-2</v>
      </c>
      <c r="BC1003" s="15">
        <v>0.105</v>
      </c>
      <c r="BD1003" s="15">
        <v>0.1</v>
      </c>
      <c r="BE1003" s="15">
        <v>0.08</v>
      </c>
      <c r="BF1003" s="15">
        <v>4.4999999999999998E-2</v>
      </c>
      <c r="BG1003" s="15">
        <v>9.5000000000000001E-2</v>
      </c>
      <c r="BH1003" s="15">
        <v>0.1</v>
      </c>
      <c r="BI1003" s="15">
        <v>0.09</v>
      </c>
      <c r="BJ1003" s="15">
        <v>7.0000000000000007E-2</v>
      </c>
      <c r="BK1003" s="15">
        <v>0.08</v>
      </c>
      <c r="BL1003" s="15">
        <v>7.0000000000000007E-2</v>
      </c>
      <c r="BM1003" s="15">
        <v>0.08</v>
      </c>
      <c r="BN1003" s="15">
        <v>6.5000000000000002E-2</v>
      </c>
    </row>
    <row r="1004" spans="1:69" x14ac:dyDescent="0.4">
      <c r="A1004" t="s">
        <v>666</v>
      </c>
      <c r="B1004" s="15">
        <v>2.9239766081871298E-2</v>
      </c>
      <c r="C1004" s="15">
        <v>4.1237113402061799E-2</v>
      </c>
      <c r="D1004" s="15">
        <v>3.5294117647058802E-2</v>
      </c>
      <c r="E1004" s="15">
        <v>3.0150753768844199E-2</v>
      </c>
      <c r="F1004" s="15">
        <v>0.03</v>
      </c>
      <c r="G1004" s="15">
        <v>3.5000000000000003E-2</v>
      </c>
      <c r="H1004" s="15">
        <v>0.03</v>
      </c>
      <c r="I1004" s="15">
        <v>2.52525252525252E-2</v>
      </c>
      <c r="J1004" s="15">
        <v>2.6178010471204102E-2</v>
      </c>
      <c r="K1004" s="15">
        <v>0.03</v>
      </c>
      <c r="L1004" s="15">
        <v>0.03</v>
      </c>
      <c r="M1004" s="15">
        <v>0.03</v>
      </c>
      <c r="N1004" s="15">
        <v>3.5000000000000003E-2</v>
      </c>
      <c r="O1004" s="15">
        <v>0.04</v>
      </c>
      <c r="P1004" s="15">
        <v>0.03</v>
      </c>
      <c r="Q1004" s="15">
        <v>0.04</v>
      </c>
      <c r="R1004" s="15">
        <v>0.03</v>
      </c>
      <c r="S1004" s="15">
        <v>2.5000000000000001E-2</v>
      </c>
      <c r="T1004" s="15">
        <v>1.4999999999999999E-2</v>
      </c>
      <c r="U1004" s="15">
        <v>4.4999999999999998E-2</v>
      </c>
      <c r="V1004" s="15">
        <v>4.4999999999999998E-2</v>
      </c>
      <c r="W1004" s="15">
        <v>0.03</v>
      </c>
      <c r="X1004" s="15">
        <v>0.03</v>
      </c>
      <c r="Y1004" s="15">
        <v>3.5000000000000003E-2</v>
      </c>
      <c r="Z1004" s="15">
        <v>0.04</v>
      </c>
      <c r="AA1004" s="15">
        <v>3.5000000000000003E-2</v>
      </c>
      <c r="AB1004" s="15">
        <v>3.5000000000000003E-2</v>
      </c>
      <c r="AC1004" s="15">
        <v>0.04</v>
      </c>
      <c r="AD1004" s="15">
        <v>3.5000000000000003E-2</v>
      </c>
      <c r="AE1004" s="15">
        <v>0.04</v>
      </c>
      <c r="AF1004" s="15">
        <v>3.5000000000000003E-2</v>
      </c>
      <c r="AG1004" s="15">
        <v>0.05</v>
      </c>
      <c r="AH1004" s="15">
        <v>3.5000000000000003E-2</v>
      </c>
      <c r="AI1004" s="15">
        <v>3.5000000000000003E-2</v>
      </c>
      <c r="AJ1004" s="15">
        <v>0.04</v>
      </c>
      <c r="AK1004" s="15">
        <v>4.4999999999999998E-2</v>
      </c>
      <c r="AL1004" s="15">
        <v>0.06</v>
      </c>
      <c r="AM1004" s="15">
        <v>0.05</v>
      </c>
      <c r="AN1004" s="15">
        <v>4.4999999999999998E-2</v>
      </c>
      <c r="AO1004" s="15">
        <v>4.4999999999999998E-2</v>
      </c>
      <c r="AP1004" s="15">
        <v>5.5E-2</v>
      </c>
      <c r="AQ1004" s="15">
        <v>7.0000000000000007E-2</v>
      </c>
      <c r="AR1004" s="15">
        <v>0.05</v>
      </c>
      <c r="AS1004" s="15">
        <v>0.06</v>
      </c>
      <c r="AT1004" s="15">
        <v>6.5000000000000002E-2</v>
      </c>
      <c r="AU1004" s="15">
        <v>6.5000000000000002E-2</v>
      </c>
      <c r="AV1004" s="15">
        <v>0.05</v>
      </c>
      <c r="AW1004" s="15">
        <v>0.02</v>
      </c>
      <c r="AX1004" s="15">
        <v>0.03</v>
      </c>
      <c r="AY1004" s="15">
        <v>0.02</v>
      </c>
      <c r="AZ1004" s="15">
        <v>0.02</v>
      </c>
      <c r="BA1004" s="15">
        <v>0.02</v>
      </c>
      <c r="BB1004" s="15">
        <v>1.4999999999999999E-2</v>
      </c>
      <c r="BC1004" s="15">
        <v>0.01</v>
      </c>
      <c r="BD1004" s="15">
        <v>1.4999999999999999E-2</v>
      </c>
      <c r="BE1004" s="15">
        <v>0.02</v>
      </c>
      <c r="BF1004" s="15">
        <v>5.0000000000000001E-3</v>
      </c>
      <c r="BG1004" s="15">
        <v>5.0000000000000001E-3</v>
      </c>
      <c r="BH1004" s="15">
        <v>0</v>
      </c>
      <c r="BI1004" s="15">
        <v>0</v>
      </c>
      <c r="BJ1004" s="15">
        <v>0</v>
      </c>
      <c r="BK1004" s="15">
        <v>0</v>
      </c>
      <c r="BL1004" s="15">
        <v>0</v>
      </c>
      <c r="BM1004" s="15">
        <v>0</v>
      </c>
      <c r="BN1004" s="15">
        <v>0</v>
      </c>
    </row>
    <row r="1005" spans="1:69" x14ac:dyDescent="0.4">
      <c r="A1005" t="s">
        <v>667</v>
      </c>
      <c r="B1005" s="15">
        <v>0.105263157894736</v>
      </c>
      <c r="C1005" s="15">
        <v>0.118556701030927</v>
      </c>
      <c r="D1005" s="15">
        <v>0.123529411764705</v>
      </c>
      <c r="E1005" s="15">
        <v>0.120603015075376</v>
      </c>
      <c r="F1005" s="15">
        <v>0.12</v>
      </c>
      <c r="G1005" s="15">
        <v>0.13500000000000001</v>
      </c>
      <c r="H1005" s="15">
        <v>0.14000000000000001</v>
      </c>
      <c r="I1005" s="15">
        <v>0.15656565656565599</v>
      </c>
      <c r="J1005" s="15">
        <v>0.15183246073298401</v>
      </c>
      <c r="K1005" s="15">
        <v>0.14499999999999999</v>
      </c>
      <c r="L1005" s="15">
        <v>0.14000000000000001</v>
      </c>
      <c r="M1005" s="15">
        <v>0.13500000000000001</v>
      </c>
      <c r="N1005" s="15">
        <v>0.14000000000000001</v>
      </c>
      <c r="O1005" s="15">
        <v>0.16500000000000001</v>
      </c>
      <c r="P1005" s="15">
        <v>0.12</v>
      </c>
      <c r="Q1005" s="15">
        <v>0.12</v>
      </c>
      <c r="R1005" s="15">
        <v>0.105</v>
      </c>
      <c r="S1005" s="15">
        <v>0.12</v>
      </c>
      <c r="T1005" s="15">
        <v>0.14000000000000001</v>
      </c>
      <c r="U1005" s="15">
        <v>0.14000000000000001</v>
      </c>
      <c r="V1005" s="15">
        <v>0.16500000000000001</v>
      </c>
      <c r="W1005" s="15">
        <v>0.14499999999999999</v>
      </c>
      <c r="X1005" s="15">
        <v>0.155</v>
      </c>
      <c r="Y1005" s="15">
        <v>0.15</v>
      </c>
      <c r="Z1005" s="15">
        <v>0.15</v>
      </c>
      <c r="AA1005" s="15">
        <v>0.18</v>
      </c>
      <c r="AB1005" s="15">
        <v>0.20499999999999999</v>
      </c>
      <c r="AC1005" s="15">
        <v>0.185</v>
      </c>
      <c r="AD1005" s="15">
        <v>0.19500000000000001</v>
      </c>
      <c r="AE1005" s="15">
        <v>0.17</v>
      </c>
      <c r="AF1005" s="15">
        <v>0.155</v>
      </c>
      <c r="AG1005" s="15">
        <v>0.17499999999999999</v>
      </c>
      <c r="AH1005" s="15">
        <v>0.16</v>
      </c>
      <c r="AI1005" s="15">
        <v>0.14000000000000001</v>
      </c>
      <c r="AJ1005" s="15">
        <v>0.17</v>
      </c>
      <c r="AK1005" s="15">
        <v>0.14499999999999999</v>
      </c>
      <c r="AL1005" s="15">
        <v>0.17</v>
      </c>
      <c r="AM1005" s="15">
        <v>0.14499999999999999</v>
      </c>
      <c r="AN1005" s="15">
        <v>0.155</v>
      </c>
      <c r="AO1005" s="15">
        <v>0.14499999999999999</v>
      </c>
      <c r="AP1005" s="15">
        <v>0.13</v>
      </c>
      <c r="AQ1005" s="15">
        <v>0.115</v>
      </c>
      <c r="AR1005" s="15">
        <v>0.115</v>
      </c>
      <c r="AS1005" s="15">
        <v>0.1</v>
      </c>
      <c r="AT1005" s="15">
        <v>0.09</v>
      </c>
      <c r="AU1005" s="15">
        <v>0.12</v>
      </c>
      <c r="AV1005" s="15">
        <v>0.12</v>
      </c>
      <c r="AW1005" s="15">
        <v>0.11</v>
      </c>
      <c r="AX1005" s="15">
        <v>0.09</v>
      </c>
      <c r="AY1005" s="15">
        <v>0.12</v>
      </c>
      <c r="AZ1005" s="15">
        <v>0.105</v>
      </c>
      <c r="BA1005" s="15">
        <v>0.12</v>
      </c>
      <c r="BB1005" s="15">
        <v>0.125</v>
      </c>
      <c r="BC1005" s="15">
        <v>0.12</v>
      </c>
      <c r="BD1005" s="15">
        <v>0.13500000000000001</v>
      </c>
      <c r="BE1005" s="15">
        <v>0.14000000000000001</v>
      </c>
      <c r="BF1005" s="15">
        <v>0.19500000000000001</v>
      </c>
      <c r="BG1005" s="15">
        <v>0.16500000000000001</v>
      </c>
      <c r="BH1005" s="15">
        <v>0.17499999999999999</v>
      </c>
      <c r="BI1005" s="15">
        <v>0.19</v>
      </c>
      <c r="BJ1005" s="15">
        <v>0.2</v>
      </c>
      <c r="BK1005" s="15">
        <v>0.20499999999999999</v>
      </c>
      <c r="BL1005" s="15">
        <v>0.19500000000000001</v>
      </c>
      <c r="BM1005" s="15">
        <v>0.19</v>
      </c>
      <c r="BN1005" s="15">
        <v>0.23</v>
      </c>
    </row>
    <row r="1006" spans="1:69" x14ac:dyDescent="0.4">
      <c r="A1006" t="s">
        <v>668</v>
      </c>
      <c r="B1006" s="15">
        <v>0.105263157894736</v>
      </c>
      <c r="C1006" s="15">
        <v>0.118556701030927</v>
      </c>
      <c r="D1006" s="15">
        <v>0.129411764705882</v>
      </c>
      <c r="E1006" s="15">
        <v>0.16080402010050199</v>
      </c>
      <c r="F1006" s="15">
        <v>0.16500000000000001</v>
      </c>
      <c r="G1006" s="15">
        <v>0.17499999999999999</v>
      </c>
      <c r="H1006" s="15">
        <v>0.17499999999999999</v>
      </c>
      <c r="I1006" s="15">
        <v>0.16161616161616099</v>
      </c>
      <c r="J1006" s="15">
        <v>0.18848167539267</v>
      </c>
      <c r="K1006" s="15">
        <v>0.17499999999999999</v>
      </c>
      <c r="L1006" s="15">
        <v>0.18</v>
      </c>
      <c r="M1006" s="15">
        <v>0.17499999999999999</v>
      </c>
      <c r="N1006" s="15">
        <v>0.16500000000000001</v>
      </c>
      <c r="O1006" s="15">
        <v>0.14000000000000001</v>
      </c>
      <c r="P1006" s="15">
        <v>0.14499999999999999</v>
      </c>
      <c r="Q1006" s="15">
        <v>0.13500000000000001</v>
      </c>
      <c r="R1006" s="15">
        <v>0.16</v>
      </c>
      <c r="S1006" s="15">
        <v>0.155</v>
      </c>
      <c r="T1006" s="15">
        <v>0.13</v>
      </c>
      <c r="U1006" s="15">
        <v>0.105</v>
      </c>
      <c r="V1006" s="15">
        <v>0.13</v>
      </c>
      <c r="W1006" s="15">
        <v>0.14499999999999999</v>
      </c>
      <c r="X1006" s="15">
        <v>0.125</v>
      </c>
      <c r="Y1006" s="15">
        <v>0.105</v>
      </c>
      <c r="Z1006" s="15">
        <v>0.11</v>
      </c>
      <c r="AA1006" s="15">
        <v>0.11</v>
      </c>
      <c r="AB1006" s="15">
        <v>7.4999999999999997E-2</v>
      </c>
      <c r="AC1006" s="15">
        <v>0.11</v>
      </c>
      <c r="AD1006" s="15">
        <v>0.12</v>
      </c>
      <c r="AE1006" s="15">
        <v>0.125</v>
      </c>
      <c r="AF1006" s="15">
        <v>0.14000000000000001</v>
      </c>
      <c r="AG1006" s="15">
        <v>0.155</v>
      </c>
      <c r="AH1006" s="15">
        <v>0.155</v>
      </c>
      <c r="AI1006" s="15">
        <v>0.15</v>
      </c>
      <c r="AJ1006" s="15">
        <v>0.11</v>
      </c>
      <c r="AK1006" s="15">
        <v>0.12</v>
      </c>
      <c r="AL1006" s="15">
        <v>0.13500000000000001</v>
      </c>
      <c r="AM1006" s="15">
        <v>0.14000000000000001</v>
      </c>
      <c r="AN1006" s="15">
        <v>0.14000000000000001</v>
      </c>
      <c r="AO1006" s="15">
        <v>0.14499999999999999</v>
      </c>
      <c r="AP1006" s="15">
        <v>0.13500000000000001</v>
      </c>
      <c r="AQ1006" s="15">
        <v>0.14000000000000001</v>
      </c>
      <c r="AR1006" s="15">
        <v>0.13500000000000001</v>
      </c>
      <c r="AS1006" s="15">
        <v>0.155</v>
      </c>
      <c r="AT1006" s="15">
        <v>0.14000000000000001</v>
      </c>
      <c r="AU1006" s="15">
        <v>0.15</v>
      </c>
      <c r="AV1006" s="15">
        <v>0.14499999999999999</v>
      </c>
      <c r="AW1006" s="15">
        <v>0.16</v>
      </c>
      <c r="AX1006" s="15">
        <v>0.15</v>
      </c>
      <c r="AY1006" s="15">
        <v>0.14499999999999999</v>
      </c>
      <c r="AZ1006" s="15">
        <v>0.17</v>
      </c>
      <c r="BA1006" s="15">
        <v>0.16</v>
      </c>
      <c r="BB1006" s="15">
        <v>0.16</v>
      </c>
      <c r="BC1006" s="15">
        <v>0.17</v>
      </c>
      <c r="BD1006" s="15">
        <v>0.12</v>
      </c>
      <c r="BE1006" s="15">
        <v>0.12</v>
      </c>
      <c r="BF1006" s="15">
        <v>0.14499999999999999</v>
      </c>
      <c r="BG1006" s="15">
        <v>0.155</v>
      </c>
      <c r="BH1006" s="15">
        <v>0.14499999999999999</v>
      </c>
      <c r="BI1006" s="15">
        <v>0.155</v>
      </c>
      <c r="BJ1006" s="15">
        <v>0.155</v>
      </c>
      <c r="BK1006" s="15">
        <v>0.16</v>
      </c>
      <c r="BL1006" s="15">
        <v>0.17</v>
      </c>
      <c r="BM1006" s="15">
        <v>0.17</v>
      </c>
      <c r="BN1006" s="15">
        <v>0.155</v>
      </c>
    </row>
    <row r="1007" spans="1:69" x14ac:dyDescent="0.4">
      <c r="A1007" t="s">
        <v>669</v>
      </c>
      <c r="B1007" s="15">
        <v>0.175438596491228</v>
      </c>
      <c r="C1007" s="15">
        <v>0.15979381443298901</v>
      </c>
      <c r="D1007" s="15">
        <v>0.16470588235294101</v>
      </c>
      <c r="E1007" s="15">
        <v>0.16080402010050199</v>
      </c>
      <c r="F1007" s="15">
        <v>0.16500000000000001</v>
      </c>
      <c r="G1007" s="15">
        <v>0.15</v>
      </c>
      <c r="H1007" s="15">
        <v>0.15</v>
      </c>
      <c r="I1007" s="15">
        <v>0.15151515151515099</v>
      </c>
      <c r="J1007" s="15">
        <v>0.162303664921465</v>
      </c>
      <c r="K1007" s="15">
        <v>0.17</v>
      </c>
      <c r="L1007" s="15">
        <v>0.185</v>
      </c>
      <c r="M1007" s="15">
        <v>0.19500000000000001</v>
      </c>
      <c r="N1007" s="15">
        <v>0.19500000000000001</v>
      </c>
      <c r="O1007" s="15">
        <v>0.20499999999999999</v>
      </c>
      <c r="P1007" s="15">
        <v>0.215</v>
      </c>
      <c r="Q1007" s="15">
        <v>0.22500000000000001</v>
      </c>
      <c r="R1007" s="15">
        <v>0.23499999999999999</v>
      </c>
      <c r="S1007" s="15">
        <v>0.23</v>
      </c>
      <c r="T1007" s="15">
        <v>0.23</v>
      </c>
      <c r="U1007" s="15">
        <v>0.22500000000000001</v>
      </c>
      <c r="V1007" s="15">
        <v>0.215</v>
      </c>
      <c r="W1007" s="15">
        <v>0.215</v>
      </c>
      <c r="X1007" s="15">
        <v>0.215</v>
      </c>
      <c r="Y1007" s="15">
        <v>0.23499999999999999</v>
      </c>
      <c r="Z1007" s="15">
        <v>0.23499999999999999</v>
      </c>
      <c r="AA1007" s="15">
        <v>0.23</v>
      </c>
      <c r="AB1007" s="15">
        <v>0.22500000000000001</v>
      </c>
      <c r="AC1007" s="15">
        <v>0.23</v>
      </c>
      <c r="AD1007" s="15">
        <v>0.22500000000000001</v>
      </c>
      <c r="AE1007" s="15">
        <v>0.26</v>
      </c>
      <c r="AF1007" s="15">
        <v>0.24</v>
      </c>
      <c r="AG1007" s="15">
        <v>0.2</v>
      </c>
      <c r="AH1007" s="15">
        <v>0.23</v>
      </c>
      <c r="AI1007" s="15">
        <v>0.22500000000000001</v>
      </c>
      <c r="AJ1007" s="15">
        <v>0.255</v>
      </c>
      <c r="AK1007" s="15">
        <v>0.255</v>
      </c>
      <c r="AL1007" s="15">
        <v>0.215</v>
      </c>
      <c r="AM1007" s="15">
        <v>0.23499999999999999</v>
      </c>
      <c r="AN1007" s="15">
        <v>0.255</v>
      </c>
      <c r="AO1007" s="15">
        <v>0.24</v>
      </c>
      <c r="AP1007" s="15">
        <v>0.23499999999999999</v>
      </c>
      <c r="AQ1007" s="15">
        <v>0.22</v>
      </c>
      <c r="AR1007" s="15">
        <v>0.24</v>
      </c>
      <c r="AS1007" s="15">
        <v>0.25</v>
      </c>
      <c r="AT1007" s="15">
        <v>0.23</v>
      </c>
      <c r="AU1007" s="15">
        <v>0.23</v>
      </c>
      <c r="AV1007" s="15">
        <v>0.255</v>
      </c>
      <c r="AW1007" s="15">
        <v>0.255</v>
      </c>
      <c r="AX1007" s="15">
        <v>0.26500000000000001</v>
      </c>
      <c r="AY1007" s="15">
        <v>0.26500000000000001</v>
      </c>
      <c r="AZ1007" s="15">
        <v>0.25</v>
      </c>
      <c r="BA1007" s="15">
        <v>0.23</v>
      </c>
      <c r="BB1007" s="15">
        <v>0.23499999999999999</v>
      </c>
      <c r="BC1007" s="15">
        <v>0.23499999999999999</v>
      </c>
      <c r="BD1007" s="15">
        <v>0.25</v>
      </c>
      <c r="BE1007" s="15">
        <v>0.255</v>
      </c>
      <c r="BF1007" s="15">
        <v>0.23</v>
      </c>
      <c r="BG1007" s="15">
        <v>0.22</v>
      </c>
      <c r="BH1007" s="15">
        <v>0.23499999999999999</v>
      </c>
      <c r="BI1007" s="15">
        <v>0.215</v>
      </c>
      <c r="BJ1007" s="15">
        <v>0.26</v>
      </c>
      <c r="BK1007" s="15">
        <v>0.23</v>
      </c>
      <c r="BL1007" s="15">
        <v>0.23499999999999999</v>
      </c>
      <c r="BM1007" s="15">
        <v>0.24</v>
      </c>
      <c r="BN1007" s="15">
        <v>0.22</v>
      </c>
    </row>
    <row r="1008" spans="1:69" x14ac:dyDescent="0.4">
      <c r="A1008" t="s">
        <v>670</v>
      </c>
      <c r="B1008" s="15">
        <v>0.13450292397660801</v>
      </c>
      <c r="C1008" s="15">
        <v>0.12886597938144301</v>
      </c>
      <c r="D1008" s="15">
        <v>0.123529411764705</v>
      </c>
      <c r="E1008" s="15">
        <v>0.120603015075376</v>
      </c>
      <c r="F1008" s="15">
        <v>0.16</v>
      </c>
      <c r="G1008" s="15">
        <v>0.14000000000000001</v>
      </c>
      <c r="H1008" s="15">
        <v>0.13500000000000001</v>
      </c>
      <c r="I1008" s="15">
        <v>0.13131313131313099</v>
      </c>
      <c r="J1008" s="15">
        <v>0.12041884816753901</v>
      </c>
      <c r="K1008" s="15">
        <v>0.125</v>
      </c>
      <c r="L1008" s="15">
        <v>0.14499999999999999</v>
      </c>
      <c r="M1008" s="15">
        <v>0.15</v>
      </c>
      <c r="N1008" s="15">
        <v>0.155</v>
      </c>
      <c r="O1008" s="15">
        <v>0.13</v>
      </c>
      <c r="P1008" s="15">
        <v>0.155</v>
      </c>
      <c r="Q1008" s="15">
        <v>0.17</v>
      </c>
      <c r="R1008" s="15">
        <v>0.21</v>
      </c>
      <c r="S1008" s="15">
        <v>0.21</v>
      </c>
      <c r="T1008" s="15">
        <v>0.215</v>
      </c>
      <c r="U1008" s="15">
        <v>0.23499999999999999</v>
      </c>
      <c r="V1008" s="15">
        <v>0.21</v>
      </c>
      <c r="W1008" s="15">
        <v>0.19500000000000001</v>
      </c>
      <c r="X1008" s="15">
        <v>0.20499999999999999</v>
      </c>
      <c r="Y1008" s="15">
        <v>0.215</v>
      </c>
      <c r="Z1008" s="15">
        <v>0.20499999999999999</v>
      </c>
      <c r="AA1008" s="15">
        <v>0.21</v>
      </c>
      <c r="AB1008" s="15">
        <v>0.19</v>
      </c>
      <c r="AC1008" s="15">
        <v>0.19</v>
      </c>
      <c r="AD1008" s="15">
        <v>0.17499999999999999</v>
      </c>
      <c r="AE1008" s="15">
        <v>0.18</v>
      </c>
      <c r="AF1008" s="15">
        <v>0.19</v>
      </c>
      <c r="AG1008" s="15">
        <v>0.16500000000000001</v>
      </c>
      <c r="AH1008" s="15">
        <v>0.19</v>
      </c>
      <c r="AI1008" s="15">
        <v>0.20499999999999999</v>
      </c>
      <c r="AJ1008" s="15">
        <v>0.185</v>
      </c>
      <c r="AK1008" s="15">
        <v>0.185</v>
      </c>
      <c r="AL1008" s="15">
        <v>0.2</v>
      </c>
      <c r="AM1008" s="15">
        <v>0.2</v>
      </c>
      <c r="AN1008" s="15">
        <v>0.17499999999999999</v>
      </c>
      <c r="AO1008" s="15">
        <v>0.16500000000000001</v>
      </c>
      <c r="AP1008" s="15">
        <v>0.17499999999999999</v>
      </c>
      <c r="AQ1008" s="15">
        <v>0.16</v>
      </c>
      <c r="AR1008" s="15">
        <v>0.18</v>
      </c>
      <c r="AS1008" s="15">
        <v>0.17</v>
      </c>
      <c r="AT1008" s="15">
        <v>0.21</v>
      </c>
      <c r="AU1008" s="15">
        <v>0.19500000000000001</v>
      </c>
      <c r="AV1008" s="15">
        <v>0.21</v>
      </c>
      <c r="AW1008" s="15">
        <v>0.23499999999999999</v>
      </c>
      <c r="AX1008" s="15">
        <v>0.245</v>
      </c>
      <c r="AY1008" s="15">
        <v>0.23499999999999999</v>
      </c>
      <c r="AZ1008" s="15">
        <v>0.23</v>
      </c>
      <c r="BA1008" s="15">
        <v>0.245</v>
      </c>
      <c r="BB1008" s="15">
        <v>0.23499999999999999</v>
      </c>
      <c r="BC1008" s="15">
        <v>0.23</v>
      </c>
      <c r="BD1008" s="15">
        <v>0.23499999999999999</v>
      </c>
      <c r="BE1008" s="15">
        <v>0.24</v>
      </c>
      <c r="BF1008" s="15">
        <v>0.25</v>
      </c>
      <c r="BG1008" s="15">
        <v>0.23</v>
      </c>
      <c r="BH1008" s="15">
        <v>0.22500000000000001</v>
      </c>
      <c r="BI1008" s="15">
        <v>0.22</v>
      </c>
      <c r="BJ1008" s="15">
        <v>0.20499999999999999</v>
      </c>
      <c r="BK1008" s="15">
        <v>0.20499999999999999</v>
      </c>
      <c r="BL1008" s="15">
        <v>0.19500000000000001</v>
      </c>
      <c r="BM1008" s="15">
        <v>0.2</v>
      </c>
      <c r="BN1008" s="15">
        <v>0.2</v>
      </c>
    </row>
    <row r="1009" spans="1:66" x14ac:dyDescent="0.4">
      <c r="A1009" t="s">
        <v>671</v>
      </c>
      <c r="B1009" s="15">
        <v>2.9239766081871298E-2</v>
      </c>
      <c r="C1009" s="15">
        <v>2.5773195876288599E-2</v>
      </c>
      <c r="D1009" s="15">
        <v>2.3529411764705799E-2</v>
      </c>
      <c r="E1009" s="15">
        <v>2.5125628140703501E-2</v>
      </c>
      <c r="F1009" s="15">
        <v>0.02</v>
      </c>
      <c r="G1009" s="15">
        <v>0.02</v>
      </c>
      <c r="H1009" s="15">
        <v>1.4999999999999999E-2</v>
      </c>
      <c r="I1009" s="15">
        <v>2.02020202020202E-2</v>
      </c>
      <c r="J1009" s="15">
        <v>1.04712041884816E-2</v>
      </c>
      <c r="K1009" s="15">
        <v>1.4999999999999999E-2</v>
      </c>
      <c r="L1009" s="15">
        <v>0.01</v>
      </c>
      <c r="M1009" s="15">
        <v>0.01</v>
      </c>
      <c r="N1009" s="15">
        <v>5.0000000000000001E-3</v>
      </c>
      <c r="O1009" s="15">
        <v>5.0000000000000001E-3</v>
      </c>
      <c r="P1009" s="15">
        <v>0.01</v>
      </c>
      <c r="Q1009" s="15">
        <v>0.01</v>
      </c>
      <c r="R1009" s="15">
        <v>1.4999999999999999E-2</v>
      </c>
      <c r="S1009" s="15">
        <v>1.4999999999999999E-2</v>
      </c>
      <c r="T1009" s="15">
        <v>1.4999999999999999E-2</v>
      </c>
      <c r="U1009" s="15">
        <v>1.4999999999999999E-2</v>
      </c>
      <c r="V1009" s="15">
        <v>1.4999999999999999E-2</v>
      </c>
      <c r="W1009" s="15">
        <v>1.4999999999999999E-2</v>
      </c>
      <c r="X1009" s="15">
        <v>1.4999999999999999E-2</v>
      </c>
      <c r="Y1009" s="15">
        <v>1.4999999999999999E-2</v>
      </c>
      <c r="Z1009" s="15">
        <v>0.01</v>
      </c>
      <c r="AA1009" s="15">
        <v>0</v>
      </c>
      <c r="AB1009" s="15">
        <v>5.0000000000000001E-3</v>
      </c>
      <c r="AC1009" s="15">
        <v>0</v>
      </c>
      <c r="AD1009" s="15">
        <v>5.0000000000000001E-3</v>
      </c>
      <c r="AE1009" s="15">
        <v>5.0000000000000001E-3</v>
      </c>
      <c r="AF1009" s="15">
        <v>0.02</v>
      </c>
      <c r="AG1009" s="15">
        <v>0.02</v>
      </c>
      <c r="AH1009" s="15">
        <v>0.02</v>
      </c>
      <c r="AI1009" s="15">
        <v>0.02</v>
      </c>
      <c r="AJ1009" s="15">
        <v>0.02</v>
      </c>
      <c r="AK1009" s="15">
        <v>1.4999999999999999E-2</v>
      </c>
      <c r="AL1009" s="15">
        <v>0.02</v>
      </c>
      <c r="AM1009" s="15">
        <v>0.02</v>
      </c>
      <c r="AN1009" s="15">
        <v>0.01</v>
      </c>
      <c r="AO1009" s="15">
        <v>0.02</v>
      </c>
      <c r="AP1009" s="15">
        <v>1.4999999999999999E-2</v>
      </c>
      <c r="AQ1009" s="15">
        <v>1.4999999999999999E-2</v>
      </c>
      <c r="AR1009" s="15">
        <v>0.02</v>
      </c>
      <c r="AS1009" s="15">
        <v>2.5000000000000001E-2</v>
      </c>
      <c r="AT1009" s="15">
        <v>0.02</v>
      </c>
      <c r="AU1009" s="15">
        <v>1.4999999999999999E-2</v>
      </c>
      <c r="AV1009" s="15">
        <v>0.01</v>
      </c>
      <c r="AW1009" s="15">
        <v>0.01</v>
      </c>
      <c r="AX1009" s="15">
        <v>0.01</v>
      </c>
      <c r="AY1009" s="15">
        <v>0.01</v>
      </c>
      <c r="AZ1009" s="15">
        <v>2.5000000000000001E-2</v>
      </c>
      <c r="BA1009" s="15">
        <v>2.5000000000000001E-2</v>
      </c>
      <c r="BB1009" s="15">
        <v>2.5000000000000001E-2</v>
      </c>
      <c r="BC1009" s="15">
        <v>2.5000000000000001E-2</v>
      </c>
      <c r="BD1009" s="15">
        <v>2.5000000000000001E-2</v>
      </c>
      <c r="BE1009" s="15">
        <v>0.02</v>
      </c>
      <c r="BF1009" s="15">
        <v>1.4999999999999999E-2</v>
      </c>
      <c r="BG1009" s="15">
        <v>0.02</v>
      </c>
      <c r="BH1009" s="15">
        <v>1.4999999999999999E-2</v>
      </c>
      <c r="BI1009" s="15">
        <v>1.4999999999999999E-2</v>
      </c>
      <c r="BJ1009" s="15">
        <v>5.0000000000000001E-3</v>
      </c>
      <c r="BK1009" s="15">
        <v>5.0000000000000001E-3</v>
      </c>
      <c r="BL1009" s="15">
        <v>0.01</v>
      </c>
      <c r="BM1009" s="15">
        <v>5.0000000000000001E-3</v>
      </c>
      <c r="BN1009" s="15">
        <v>5.0000000000000001E-3</v>
      </c>
    </row>
    <row r="1010" spans="1:66" x14ac:dyDescent="0.4">
      <c r="A1010" t="s">
        <v>672</v>
      </c>
      <c r="B1010" s="15">
        <v>3.5087719298245598E-2</v>
      </c>
      <c r="C1010" s="15">
        <v>3.0927835051546299E-2</v>
      </c>
      <c r="D1010" s="15">
        <v>3.5294117647058802E-2</v>
      </c>
      <c r="E1010" s="15">
        <v>4.0201005025125601E-2</v>
      </c>
      <c r="F1010" s="15">
        <v>0.04</v>
      </c>
      <c r="G1010" s="15">
        <v>0.04</v>
      </c>
      <c r="H1010" s="15">
        <v>0.04</v>
      </c>
      <c r="I1010" s="15">
        <v>4.0404040404040401E-2</v>
      </c>
      <c r="J1010" s="15">
        <v>3.6649214659685798E-2</v>
      </c>
      <c r="K1010" s="15">
        <v>3.5000000000000003E-2</v>
      </c>
      <c r="L1010" s="15">
        <v>3.5000000000000003E-2</v>
      </c>
      <c r="M1010" s="15">
        <v>3.5000000000000003E-2</v>
      </c>
      <c r="N1010" s="15">
        <v>3.5000000000000003E-2</v>
      </c>
      <c r="O1010" s="15">
        <v>3.5000000000000003E-2</v>
      </c>
      <c r="P1010" s="15">
        <v>0.04</v>
      </c>
      <c r="Q1010" s="15">
        <v>0.04</v>
      </c>
      <c r="R1010" s="15">
        <v>4.4999999999999998E-2</v>
      </c>
      <c r="S1010" s="15">
        <v>4.4999999999999998E-2</v>
      </c>
      <c r="T1010" s="15">
        <v>4.4999999999999998E-2</v>
      </c>
      <c r="U1010" s="15">
        <v>0.05</v>
      </c>
      <c r="V1010" s="15">
        <v>4.4999999999999998E-2</v>
      </c>
      <c r="W1010" s="15">
        <v>4.4999999999999998E-2</v>
      </c>
      <c r="X1010" s="15">
        <v>0.05</v>
      </c>
      <c r="Y1010" s="15">
        <v>0.05</v>
      </c>
      <c r="Z1010" s="15">
        <v>0.05</v>
      </c>
      <c r="AA1010" s="15">
        <v>0.05</v>
      </c>
      <c r="AB1010" s="15">
        <v>4.4999999999999998E-2</v>
      </c>
      <c r="AC1010" s="15">
        <v>0.05</v>
      </c>
      <c r="AD1010" s="15">
        <v>4.4999999999999998E-2</v>
      </c>
      <c r="AE1010" s="15">
        <v>4.4999999999999998E-2</v>
      </c>
      <c r="AF1010" s="15">
        <v>0.04</v>
      </c>
      <c r="AG1010" s="15">
        <v>0.05</v>
      </c>
      <c r="AH1010" s="15">
        <v>0.05</v>
      </c>
      <c r="AI1010" s="15">
        <v>5.5E-2</v>
      </c>
      <c r="AJ1010" s="15">
        <v>5.5E-2</v>
      </c>
      <c r="AK1010" s="15">
        <v>5.5E-2</v>
      </c>
      <c r="AL1010" s="15">
        <v>5.5E-2</v>
      </c>
      <c r="AM1010" s="15">
        <v>5.5E-2</v>
      </c>
      <c r="AN1010" s="15">
        <v>5.5E-2</v>
      </c>
      <c r="AO1010" s="15">
        <v>5.5E-2</v>
      </c>
      <c r="AP1010" s="15">
        <v>5.5E-2</v>
      </c>
      <c r="AQ1010" s="15">
        <v>0.06</v>
      </c>
      <c r="AR1010" s="15">
        <v>6.5000000000000002E-2</v>
      </c>
      <c r="AS1010" s="15">
        <v>0.06</v>
      </c>
      <c r="AT1010" s="15">
        <v>6.5000000000000002E-2</v>
      </c>
      <c r="AU1010" s="15">
        <v>0.06</v>
      </c>
      <c r="AV1010" s="15">
        <v>5.5E-2</v>
      </c>
      <c r="AW1010" s="15">
        <v>0.06</v>
      </c>
      <c r="AX1010" s="15">
        <v>6.5000000000000002E-2</v>
      </c>
      <c r="AY1010" s="15">
        <v>7.0000000000000007E-2</v>
      </c>
      <c r="AZ1010" s="15">
        <v>6.5000000000000002E-2</v>
      </c>
      <c r="BA1010" s="15">
        <v>0.06</v>
      </c>
      <c r="BB1010" s="15">
        <v>6.5000000000000002E-2</v>
      </c>
      <c r="BC1010" s="15">
        <v>5.5E-2</v>
      </c>
      <c r="BD1010" s="15">
        <v>5.5E-2</v>
      </c>
      <c r="BE1010" s="15">
        <v>0.06</v>
      </c>
      <c r="BF1010" s="15">
        <v>0.05</v>
      </c>
      <c r="BG1010" s="15">
        <v>0.05</v>
      </c>
      <c r="BH1010" s="15">
        <v>0.06</v>
      </c>
      <c r="BI1010" s="15">
        <v>0.06</v>
      </c>
      <c r="BJ1010" s="15">
        <v>0.06</v>
      </c>
      <c r="BK1010" s="15">
        <v>0.06</v>
      </c>
      <c r="BL1010" s="15">
        <v>0.06</v>
      </c>
      <c r="BM1010" s="15">
        <v>0.05</v>
      </c>
      <c r="BN1010" s="15">
        <v>0.06</v>
      </c>
    </row>
    <row r="1011" spans="1:66" x14ac:dyDescent="0.4">
      <c r="A1011" t="s">
        <v>673</v>
      </c>
      <c r="B1011" s="15">
        <v>4.0935672514619798E-2</v>
      </c>
      <c r="C1011" s="15">
        <v>3.60824742268041E-2</v>
      </c>
      <c r="D1011" s="15">
        <v>4.1176470588235203E-2</v>
      </c>
      <c r="E1011" s="15">
        <v>3.5175879396984903E-2</v>
      </c>
      <c r="F1011" s="15">
        <v>0.02</v>
      </c>
      <c r="G1011" s="15">
        <v>0.02</v>
      </c>
      <c r="H1011" s="15">
        <v>2.5000000000000001E-2</v>
      </c>
      <c r="I1011" s="15">
        <v>2.52525252525252E-2</v>
      </c>
      <c r="J1011" s="15">
        <v>2.6178010471204102E-2</v>
      </c>
      <c r="K1011" s="15">
        <v>2.5000000000000001E-2</v>
      </c>
      <c r="L1011" s="15">
        <v>0.02</v>
      </c>
      <c r="M1011" s="15">
        <v>0.02</v>
      </c>
      <c r="N1011" s="15">
        <v>0.02</v>
      </c>
      <c r="O1011" s="15">
        <v>0.02</v>
      </c>
      <c r="P1011" s="15">
        <v>0.02</v>
      </c>
      <c r="Q1011" s="15">
        <v>0.02</v>
      </c>
      <c r="R1011" s="15">
        <v>1.4999999999999999E-2</v>
      </c>
      <c r="S1011" s="15">
        <v>1.4999999999999999E-2</v>
      </c>
      <c r="T1011" s="15">
        <v>1.4999999999999999E-2</v>
      </c>
      <c r="U1011" s="15">
        <v>1.4999999999999999E-2</v>
      </c>
      <c r="V1011" s="15">
        <v>0.02</v>
      </c>
      <c r="W1011" s="15">
        <v>1.4999999999999999E-2</v>
      </c>
      <c r="X1011" s="15">
        <v>0.01</v>
      </c>
      <c r="Y1011" s="15">
        <v>5.0000000000000001E-3</v>
      </c>
      <c r="Z1011" s="15">
        <v>1.4999999999999999E-2</v>
      </c>
      <c r="AA1011" s="15">
        <v>5.0000000000000001E-3</v>
      </c>
      <c r="AB1011" s="15">
        <v>0.01</v>
      </c>
      <c r="AC1011" s="15">
        <v>0</v>
      </c>
      <c r="AD1011" s="15">
        <v>0.01</v>
      </c>
      <c r="AE1011" s="15">
        <v>0</v>
      </c>
      <c r="AF1011" s="15">
        <v>0</v>
      </c>
      <c r="AG1011" s="15">
        <v>0.01</v>
      </c>
      <c r="AH1011" s="15">
        <v>5.0000000000000001E-3</v>
      </c>
      <c r="AI1011" s="15">
        <v>1.4999999999999999E-2</v>
      </c>
      <c r="AJ1011" s="15">
        <v>1.4999999999999999E-2</v>
      </c>
      <c r="AK1011" s="15">
        <v>0.01</v>
      </c>
      <c r="AL1011" s="15">
        <v>0</v>
      </c>
      <c r="AM1011" s="15">
        <v>0</v>
      </c>
      <c r="AN1011" s="15">
        <v>5.0000000000000001E-3</v>
      </c>
      <c r="AO1011" s="15">
        <v>5.0000000000000001E-3</v>
      </c>
      <c r="AP1011" s="15">
        <v>0.01</v>
      </c>
      <c r="AQ1011" s="15">
        <v>0.01</v>
      </c>
      <c r="AR1011" s="15">
        <v>0.01</v>
      </c>
      <c r="AS1011" s="15">
        <v>0.01</v>
      </c>
      <c r="AT1011" s="15">
        <v>0.01</v>
      </c>
      <c r="AU1011" s="15">
        <v>1.4999999999999999E-2</v>
      </c>
      <c r="AV1011" s="15">
        <v>0.01</v>
      </c>
      <c r="AW1011" s="15">
        <v>5.0000000000000001E-3</v>
      </c>
      <c r="AX1011" s="15">
        <v>5.0000000000000001E-3</v>
      </c>
      <c r="AY1011" s="15">
        <v>5.0000000000000001E-3</v>
      </c>
      <c r="AZ1011" s="15">
        <v>5.0000000000000001E-3</v>
      </c>
      <c r="BA1011" s="15">
        <v>5.0000000000000001E-3</v>
      </c>
      <c r="BB1011" s="15">
        <v>5.0000000000000001E-3</v>
      </c>
      <c r="BC1011" s="15">
        <v>5.0000000000000001E-3</v>
      </c>
      <c r="BD1011" s="15">
        <v>5.0000000000000001E-3</v>
      </c>
      <c r="BE1011" s="15">
        <v>5.0000000000000001E-3</v>
      </c>
      <c r="BF1011" s="15">
        <v>5.0000000000000001E-3</v>
      </c>
      <c r="BG1011" s="15">
        <v>5.0000000000000001E-3</v>
      </c>
      <c r="BH1011" s="15">
        <v>5.0000000000000001E-3</v>
      </c>
      <c r="BI1011" s="15">
        <v>5.0000000000000001E-3</v>
      </c>
      <c r="BJ1011" s="15">
        <v>5.0000000000000001E-3</v>
      </c>
      <c r="BK1011" s="15">
        <v>5.0000000000000001E-3</v>
      </c>
      <c r="BL1011" s="15">
        <v>5.0000000000000001E-3</v>
      </c>
      <c r="BM1011" s="15">
        <v>5.0000000000000001E-3</v>
      </c>
      <c r="BN1011" s="15">
        <v>5.0000000000000001E-3</v>
      </c>
    </row>
    <row r="1012" spans="1:66" x14ac:dyDescent="0.4">
      <c r="A1012" t="s">
        <v>674</v>
      </c>
      <c r="B1012" s="15">
        <v>5.8479532163742597E-2</v>
      </c>
      <c r="C1012" s="15">
        <v>6.1855670103092703E-2</v>
      </c>
      <c r="D1012" s="15">
        <v>7.0588235294117604E-2</v>
      </c>
      <c r="E1012" s="15">
        <v>6.0301507537688398E-2</v>
      </c>
      <c r="F1012" s="15">
        <v>8.5000000000000006E-2</v>
      </c>
      <c r="G1012" s="15">
        <v>0.08</v>
      </c>
      <c r="H1012" s="15">
        <v>7.4999999999999997E-2</v>
      </c>
      <c r="I1012" s="15">
        <v>8.5858585858585801E-2</v>
      </c>
      <c r="J1012" s="15">
        <v>8.3769633507853394E-2</v>
      </c>
      <c r="K1012" s="15">
        <v>0.08</v>
      </c>
      <c r="L1012" s="15">
        <v>8.5000000000000006E-2</v>
      </c>
      <c r="M1012" s="15">
        <v>0.08</v>
      </c>
      <c r="N1012" s="15">
        <v>8.5000000000000006E-2</v>
      </c>
      <c r="O1012" s="15">
        <v>8.5000000000000006E-2</v>
      </c>
      <c r="P1012" s="15">
        <v>0.09</v>
      </c>
      <c r="Q1012" s="15">
        <v>0.08</v>
      </c>
      <c r="R1012" s="15">
        <v>7.0000000000000007E-2</v>
      </c>
      <c r="S1012" s="15">
        <v>7.0000000000000007E-2</v>
      </c>
      <c r="T1012" s="15">
        <v>0.08</v>
      </c>
      <c r="U1012" s="15">
        <v>6.5000000000000002E-2</v>
      </c>
      <c r="V1012" s="15">
        <v>0.04</v>
      </c>
      <c r="W1012" s="15">
        <v>7.0000000000000007E-2</v>
      </c>
      <c r="X1012" s="15">
        <v>0.08</v>
      </c>
      <c r="Y1012" s="15">
        <v>0.09</v>
      </c>
      <c r="Z1012" s="15">
        <v>0.08</v>
      </c>
      <c r="AA1012" s="15">
        <v>0.08</v>
      </c>
      <c r="AB1012" s="15">
        <v>8.5000000000000006E-2</v>
      </c>
      <c r="AC1012" s="15">
        <v>0.08</v>
      </c>
      <c r="AD1012" s="15">
        <v>0.08</v>
      </c>
      <c r="AE1012" s="15">
        <v>0.08</v>
      </c>
      <c r="AF1012" s="15">
        <v>7.4999999999999997E-2</v>
      </c>
      <c r="AG1012" s="15">
        <v>8.5000000000000006E-2</v>
      </c>
      <c r="AH1012" s="15">
        <v>8.5000000000000006E-2</v>
      </c>
      <c r="AI1012" s="15">
        <v>0.09</v>
      </c>
      <c r="AJ1012" s="15">
        <v>7.4999999999999997E-2</v>
      </c>
      <c r="AK1012" s="15">
        <v>0.09</v>
      </c>
      <c r="AL1012" s="15">
        <v>7.4999999999999997E-2</v>
      </c>
      <c r="AM1012" s="15">
        <v>0.09</v>
      </c>
      <c r="AN1012" s="15">
        <v>8.5000000000000006E-2</v>
      </c>
      <c r="AO1012" s="15">
        <v>0.1</v>
      </c>
      <c r="AP1012" s="15">
        <v>0.12</v>
      </c>
      <c r="AQ1012" s="15">
        <v>0.115</v>
      </c>
      <c r="AR1012" s="15">
        <v>9.5000000000000001E-2</v>
      </c>
      <c r="AS1012" s="15">
        <v>8.5000000000000006E-2</v>
      </c>
      <c r="AT1012" s="15">
        <v>0.09</v>
      </c>
      <c r="AU1012" s="15">
        <v>7.4999999999999997E-2</v>
      </c>
      <c r="AV1012" s="15">
        <v>0.08</v>
      </c>
      <c r="AW1012" s="15">
        <v>0.08</v>
      </c>
      <c r="AX1012" s="15">
        <v>0.08</v>
      </c>
      <c r="AY1012" s="15">
        <v>7.4999999999999997E-2</v>
      </c>
      <c r="AZ1012" s="15">
        <v>7.4999999999999997E-2</v>
      </c>
      <c r="BA1012" s="15">
        <v>6.5000000000000002E-2</v>
      </c>
      <c r="BB1012" s="15">
        <v>6.5000000000000002E-2</v>
      </c>
      <c r="BC1012" s="15">
        <v>4.4999999999999998E-2</v>
      </c>
      <c r="BD1012" s="15">
        <v>0.06</v>
      </c>
      <c r="BE1012" s="15">
        <v>0.06</v>
      </c>
      <c r="BF1012" s="15">
        <v>0.06</v>
      </c>
      <c r="BG1012" s="15">
        <v>5.5E-2</v>
      </c>
      <c r="BH1012" s="15">
        <v>0.04</v>
      </c>
      <c r="BI1012" s="15">
        <v>0.05</v>
      </c>
      <c r="BJ1012" s="15">
        <v>0.04</v>
      </c>
      <c r="BK1012" s="15">
        <v>0.05</v>
      </c>
      <c r="BL1012" s="15">
        <v>0.06</v>
      </c>
      <c r="BM1012" s="15">
        <v>0.06</v>
      </c>
      <c r="BN1012" s="15">
        <v>0.06</v>
      </c>
    </row>
    <row r="1013" spans="1:66" x14ac:dyDescent="0.4"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5"/>
      <c r="AG1013" s="15"/>
      <c r="AH1013" s="15"/>
      <c r="AI1013" s="15"/>
      <c r="AJ1013" s="15"/>
      <c r="AK1013" s="15"/>
      <c r="AL1013" s="15"/>
      <c r="AM1013" s="15"/>
      <c r="AN1013" s="15"/>
      <c r="AO1013" s="15"/>
      <c r="AP1013" s="15"/>
      <c r="AQ1013" s="15"/>
      <c r="AR1013" s="15"/>
      <c r="AS1013" s="15"/>
      <c r="AT1013" s="15"/>
      <c r="AU1013" s="15"/>
      <c r="AV1013" s="15"/>
      <c r="AW1013" s="15"/>
      <c r="AX1013" s="15"/>
      <c r="AY1013" s="15"/>
      <c r="AZ1013" s="15"/>
      <c r="BA1013" s="15"/>
      <c r="BB1013" s="15"/>
      <c r="BC1013" s="15"/>
      <c r="BD1013" s="15"/>
      <c r="BE1013" s="15"/>
      <c r="BF1013" s="15"/>
      <c r="BG1013" s="15"/>
      <c r="BH1013" s="15"/>
      <c r="BI1013" s="15"/>
      <c r="BJ1013" s="15"/>
      <c r="BK1013" s="15"/>
      <c r="BL1013" s="15"/>
      <c r="BM1013" s="15"/>
      <c r="BN1013" s="15"/>
    </row>
    <row r="1014" spans="1:66" x14ac:dyDescent="0.4">
      <c r="A1014" t="s">
        <v>679</v>
      </c>
      <c r="B1014" s="15">
        <v>0.44444444444444398</v>
      </c>
      <c r="C1014" s="15">
        <v>0.41237113402061798</v>
      </c>
      <c r="D1014" s="15">
        <v>0.47058823529411697</v>
      </c>
      <c r="E1014" s="15">
        <v>0.41206030150753697</v>
      </c>
      <c r="F1014" s="15">
        <v>0.375</v>
      </c>
      <c r="G1014" s="15">
        <v>0.4</v>
      </c>
      <c r="H1014" s="15">
        <v>0.41499999999999998</v>
      </c>
      <c r="I1014" s="15">
        <v>0.42424242424242398</v>
      </c>
      <c r="J1014" s="15">
        <v>0.51308900523560197</v>
      </c>
      <c r="K1014" s="15">
        <v>0.47499999999999998</v>
      </c>
      <c r="L1014" s="15">
        <v>0.47</v>
      </c>
      <c r="M1014" s="15">
        <v>0.46</v>
      </c>
      <c r="N1014" s="15">
        <v>0.43</v>
      </c>
      <c r="O1014" s="15">
        <v>0.46500000000000002</v>
      </c>
      <c r="P1014" s="15">
        <v>0.44500000000000001</v>
      </c>
      <c r="Q1014" s="15">
        <v>0.38</v>
      </c>
      <c r="R1014" s="15">
        <v>0.30499999999999999</v>
      </c>
      <c r="S1014" s="15">
        <v>0.31</v>
      </c>
      <c r="T1014" s="15">
        <v>0.26500000000000001</v>
      </c>
      <c r="U1014" s="15">
        <v>0.18</v>
      </c>
      <c r="V1014" s="15">
        <v>0.16500000000000001</v>
      </c>
      <c r="W1014" s="15">
        <v>0.2</v>
      </c>
      <c r="X1014" s="15">
        <v>0.17</v>
      </c>
      <c r="Y1014" s="15">
        <v>0.14499999999999999</v>
      </c>
      <c r="Z1014" s="15">
        <v>0.125</v>
      </c>
      <c r="AA1014" s="15">
        <v>0.09</v>
      </c>
      <c r="AB1014" s="15">
        <v>9.5000000000000001E-2</v>
      </c>
      <c r="AC1014" s="15">
        <v>0.105</v>
      </c>
      <c r="AD1014" s="15">
        <v>0.14499999999999999</v>
      </c>
      <c r="AE1014" s="15">
        <v>0.09</v>
      </c>
      <c r="AF1014" s="15">
        <v>0.13</v>
      </c>
      <c r="AG1014" s="15">
        <v>0.255</v>
      </c>
      <c r="AH1014" s="15">
        <v>0.26500000000000001</v>
      </c>
      <c r="AI1014" s="15">
        <v>0.16500000000000001</v>
      </c>
      <c r="AJ1014" s="15">
        <v>0.13</v>
      </c>
      <c r="AK1014" s="15">
        <v>0.12</v>
      </c>
      <c r="AL1014" s="15">
        <v>0.12</v>
      </c>
      <c r="AM1014" s="15">
        <v>0.115</v>
      </c>
      <c r="AN1014" s="15">
        <v>9.5000000000000001E-2</v>
      </c>
      <c r="AO1014" s="15">
        <v>0.105</v>
      </c>
      <c r="AP1014" s="15">
        <v>0.125</v>
      </c>
      <c r="AQ1014" s="15">
        <v>0.11</v>
      </c>
      <c r="AR1014" s="15">
        <v>0.14499999999999999</v>
      </c>
      <c r="AS1014" s="15">
        <v>0.16500000000000001</v>
      </c>
      <c r="AT1014" s="15">
        <v>0.13</v>
      </c>
      <c r="AU1014" s="15">
        <v>0.14000000000000001</v>
      </c>
      <c r="AV1014" s="15">
        <v>0.12</v>
      </c>
      <c r="AW1014" s="15">
        <v>0.13</v>
      </c>
      <c r="AX1014" s="15">
        <v>0.12</v>
      </c>
      <c r="AY1014" s="15">
        <v>0.12</v>
      </c>
      <c r="AZ1014" s="15">
        <v>0.13500000000000001</v>
      </c>
      <c r="BA1014" s="15">
        <v>0.12</v>
      </c>
      <c r="BB1014" s="15">
        <v>0.14000000000000001</v>
      </c>
      <c r="BC1014" s="15">
        <v>0.13500000000000001</v>
      </c>
      <c r="BD1014" s="15">
        <v>0.1</v>
      </c>
      <c r="BE1014" s="15">
        <v>0.13</v>
      </c>
      <c r="BF1014" s="15">
        <v>0.155</v>
      </c>
      <c r="BG1014" s="15">
        <v>0.16</v>
      </c>
      <c r="BH1014" s="15">
        <v>0.17499999999999999</v>
      </c>
      <c r="BI1014" s="15">
        <v>0.16</v>
      </c>
      <c r="BJ1014" s="15">
        <v>0.16500000000000001</v>
      </c>
      <c r="BK1014" s="15">
        <v>0.13500000000000001</v>
      </c>
      <c r="BL1014" s="15">
        <v>0.14499999999999999</v>
      </c>
      <c r="BM1014" s="15">
        <v>0.14499999999999999</v>
      </c>
      <c r="BN1014" s="15">
        <v>0.115</v>
      </c>
    </row>
    <row r="1015" spans="1:66" x14ac:dyDescent="0.4">
      <c r="A1015" t="s">
        <v>680</v>
      </c>
      <c r="B1015" s="15">
        <v>0.286549707602339</v>
      </c>
      <c r="C1015" s="15">
        <v>0.298969072164948</v>
      </c>
      <c r="D1015" s="15">
        <v>0.29411764705882298</v>
      </c>
      <c r="E1015" s="15">
        <v>0.34673366834170799</v>
      </c>
      <c r="F1015" s="15">
        <v>0.48</v>
      </c>
      <c r="G1015" s="15">
        <v>0.44500000000000001</v>
      </c>
      <c r="H1015" s="15">
        <v>0.42499999999999999</v>
      </c>
      <c r="I1015" s="15">
        <v>0.40404040404040398</v>
      </c>
      <c r="J1015" s="15">
        <v>0.33507853403141302</v>
      </c>
      <c r="K1015" s="15">
        <v>0.37</v>
      </c>
      <c r="L1015" s="15">
        <v>0.40500000000000003</v>
      </c>
      <c r="M1015" s="15">
        <v>0.41</v>
      </c>
      <c r="N1015" s="15">
        <v>0.45</v>
      </c>
      <c r="O1015" s="15">
        <v>0.39500000000000002</v>
      </c>
      <c r="P1015" s="15">
        <v>0.43</v>
      </c>
      <c r="Q1015" s="15">
        <v>0.51500000000000001</v>
      </c>
      <c r="R1015" s="15">
        <v>0.61499999999999999</v>
      </c>
      <c r="S1015" s="15">
        <v>0.61</v>
      </c>
      <c r="T1015" s="15">
        <v>0.65500000000000003</v>
      </c>
      <c r="U1015" s="15">
        <v>0.625</v>
      </c>
      <c r="V1015" s="15">
        <v>0.66500000000000004</v>
      </c>
      <c r="W1015" s="15">
        <v>0.62</v>
      </c>
      <c r="X1015" s="15">
        <v>0.64</v>
      </c>
      <c r="Y1015" s="15">
        <v>0.57499999999999996</v>
      </c>
      <c r="Z1015" s="15">
        <v>0.67500000000000004</v>
      </c>
      <c r="AA1015" s="15">
        <v>0.495</v>
      </c>
      <c r="AB1015" s="15">
        <v>0.42499999999999999</v>
      </c>
      <c r="AC1015" s="15">
        <v>0.5</v>
      </c>
      <c r="AD1015" s="15">
        <v>0.5</v>
      </c>
      <c r="AE1015" s="15">
        <v>0.52500000000000002</v>
      </c>
      <c r="AF1015" s="15">
        <v>0.58499999999999996</v>
      </c>
      <c r="AG1015" s="15">
        <v>0.58499999999999996</v>
      </c>
      <c r="AH1015" s="15">
        <v>0.57499999999999996</v>
      </c>
      <c r="AI1015" s="15">
        <v>0.56000000000000005</v>
      </c>
      <c r="AJ1015" s="15">
        <v>0.54</v>
      </c>
      <c r="AK1015" s="15">
        <v>0.56999999999999995</v>
      </c>
      <c r="AL1015" s="15">
        <v>0.56999999999999995</v>
      </c>
      <c r="AM1015" s="15">
        <v>0.54500000000000004</v>
      </c>
      <c r="AN1015" s="15">
        <v>0.54500000000000004</v>
      </c>
      <c r="AO1015" s="15">
        <v>0.48499999999999999</v>
      </c>
      <c r="AP1015" s="15">
        <v>0.51500000000000001</v>
      </c>
      <c r="AQ1015" s="15">
        <v>0.42</v>
      </c>
      <c r="AR1015" s="15">
        <v>0.42</v>
      </c>
      <c r="AS1015" s="15">
        <v>0.435</v>
      </c>
      <c r="AT1015" s="15">
        <v>0.41499999999999998</v>
      </c>
      <c r="AU1015" s="15">
        <v>0.42499999999999999</v>
      </c>
      <c r="AV1015" s="15">
        <v>0.39</v>
      </c>
      <c r="AW1015" s="15">
        <v>0.43</v>
      </c>
      <c r="AX1015" s="15">
        <v>0.4</v>
      </c>
      <c r="AY1015" s="15">
        <v>0.37</v>
      </c>
      <c r="AZ1015" s="15">
        <v>0.36499999999999999</v>
      </c>
      <c r="BA1015" s="15">
        <v>0.37</v>
      </c>
      <c r="BB1015" s="15">
        <v>0.37</v>
      </c>
      <c r="BC1015" s="15">
        <v>0.32500000000000001</v>
      </c>
      <c r="BD1015" s="15">
        <v>0.315</v>
      </c>
      <c r="BE1015" s="15">
        <v>0.34499999999999997</v>
      </c>
      <c r="BF1015" s="15">
        <v>0.33</v>
      </c>
      <c r="BG1015" s="15">
        <v>0.26500000000000001</v>
      </c>
      <c r="BH1015" s="15">
        <v>0.3</v>
      </c>
      <c r="BI1015" s="15">
        <v>0.315</v>
      </c>
      <c r="BJ1015" s="15">
        <v>0.33500000000000002</v>
      </c>
      <c r="BK1015" s="15">
        <v>0.27</v>
      </c>
      <c r="BL1015" s="15">
        <v>0.27500000000000002</v>
      </c>
      <c r="BM1015" s="15">
        <v>0.23499999999999999</v>
      </c>
      <c r="BN1015" s="15">
        <v>0.255</v>
      </c>
    </row>
    <row r="1016" spans="1:66" x14ac:dyDescent="0.4">
      <c r="A1016" t="s">
        <v>681</v>
      </c>
      <c r="B1016" s="15">
        <v>5.84795321637426E-3</v>
      </c>
      <c r="C1016" s="15">
        <v>0</v>
      </c>
      <c r="D1016" s="15">
        <v>1.1764705882352899E-2</v>
      </c>
      <c r="E1016" s="15">
        <v>1.00502512562814E-2</v>
      </c>
      <c r="F1016" s="15">
        <v>0</v>
      </c>
      <c r="G1016" s="15">
        <v>0</v>
      </c>
      <c r="H1016" s="15">
        <v>0</v>
      </c>
      <c r="I1016" s="15">
        <v>5.0505050505050501E-3</v>
      </c>
      <c r="J1016" s="15">
        <v>5.2356020942408302E-3</v>
      </c>
      <c r="K1016" s="15">
        <v>5.0000000000000001E-3</v>
      </c>
      <c r="L1016" s="15">
        <v>5.0000000000000001E-3</v>
      </c>
      <c r="M1016" s="15">
        <v>0.01</v>
      </c>
      <c r="N1016" s="15">
        <v>0</v>
      </c>
      <c r="O1016" s="15">
        <v>5.0000000000000001E-3</v>
      </c>
      <c r="P1016" s="15">
        <v>5.0000000000000001E-3</v>
      </c>
      <c r="Q1016" s="15">
        <v>1.4999999999999999E-2</v>
      </c>
      <c r="R1016" s="15">
        <v>5.0000000000000001E-3</v>
      </c>
      <c r="S1016" s="15">
        <v>0.01</v>
      </c>
      <c r="T1016" s="15">
        <v>0.01</v>
      </c>
      <c r="U1016" s="15">
        <v>0.13500000000000001</v>
      </c>
      <c r="V1016" s="15">
        <v>0.08</v>
      </c>
      <c r="W1016" s="15">
        <v>7.0000000000000007E-2</v>
      </c>
      <c r="X1016" s="15">
        <v>9.5000000000000001E-2</v>
      </c>
      <c r="Y1016" s="15">
        <v>0.185</v>
      </c>
      <c r="Z1016" s="15">
        <v>0.1</v>
      </c>
      <c r="AA1016" s="15">
        <v>0.28999999999999998</v>
      </c>
      <c r="AB1016" s="15">
        <v>0.33500000000000002</v>
      </c>
      <c r="AC1016" s="15">
        <v>0.255</v>
      </c>
      <c r="AD1016" s="15">
        <v>0.22500000000000001</v>
      </c>
      <c r="AE1016" s="15">
        <v>0.26</v>
      </c>
      <c r="AF1016" s="15">
        <v>0.17499999999999999</v>
      </c>
      <c r="AG1016" s="15">
        <v>5.5E-2</v>
      </c>
      <c r="AH1016" s="15">
        <v>6.5000000000000002E-2</v>
      </c>
      <c r="AI1016" s="15">
        <v>0.17499999999999999</v>
      </c>
      <c r="AJ1016" s="15">
        <v>0.23</v>
      </c>
      <c r="AK1016" s="15">
        <v>0.18</v>
      </c>
      <c r="AL1016" s="15">
        <v>0.2</v>
      </c>
      <c r="AM1016" s="15">
        <v>0.23</v>
      </c>
      <c r="AN1016" s="15">
        <v>0.245</v>
      </c>
      <c r="AO1016" s="15">
        <v>0.28999999999999998</v>
      </c>
      <c r="AP1016" s="15">
        <v>0.245</v>
      </c>
      <c r="AQ1016" s="15">
        <v>0.33500000000000002</v>
      </c>
      <c r="AR1016" s="15">
        <v>0.31</v>
      </c>
      <c r="AS1016" s="15">
        <v>0.26500000000000001</v>
      </c>
      <c r="AT1016" s="15">
        <v>0.33</v>
      </c>
      <c r="AU1016" s="15">
        <v>0.31</v>
      </c>
      <c r="AV1016" s="15">
        <v>0.36</v>
      </c>
      <c r="AW1016" s="15">
        <v>0.33500000000000002</v>
      </c>
      <c r="AX1016" s="15">
        <v>0.36499999999999999</v>
      </c>
      <c r="AY1016" s="15">
        <v>0.38</v>
      </c>
      <c r="AZ1016" s="15">
        <v>0.375</v>
      </c>
      <c r="BA1016" s="15">
        <v>0.39500000000000002</v>
      </c>
      <c r="BB1016" s="15">
        <v>0.37</v>
      </c>
      <c r="BC1016" s="15">
        <v>0.4</v>
      </c>
      <c r="BD1016" s="15">
        <v>0.43</v>
      </c>
      <c r="BE1016" s="15">
        <v>0.39500000000000002</v>
      </c>
      <c r="BF1016" s="15">
        <v>0.39</v>
      </c>
      <c r="BG1016" s="15">
        <v>0.44500000000000001</v>
      </c>
      <c r="BH1016" s="15">
        <v>0.38500000000000001</v>
      </c>
      <c r="BI1016" s="15">
        <v>0.38500000000000001</v>
      </c>
      <c r="BJ1016" s="15">
        <v>0.36</v>
      </c>
      <c r="BK1016" s="15">
        <v>0.46500000000000002</v>
      </c>
      <c r="BL1016" s="15">
        <v>0.46</v>
      </c>
      <c r="BM1016" s="15">
        <v>0.47499999999999998</v>
      </c>
      <c r="BN1016" s="15">
        <v>0.47499999999999998</v>
      </c>
    </row>
    <row r="1017" spans="1:66" x14ac:dyDescent="0.4">
      <c r="A1017" t="s">
        <v>547</v>
      </c>
      <c r="B1017" s="15">
        <v>0.26315789473684198</v>
      </c>
      <c r="C1017" s="15">
        <v>0.28865979381443202</v>
      </c>
      <c r="D1017" s="15">
        <v>0.223529411764705</v>
      </c>
      <c r="E1017" s="15">
        <v>0.231155778894472</v>
      </c>
      <c r="F1017" s="15">
        <v>0.14499999999999999</v>
      </c>
      <c r="G1017" s="15">
        <v>0.155</v>
      </c>
      <c r="H1017" s="15">
        <v>0.16</v>
      </c>
      <c r="I1017" s="15">
        <v>0.16666666666666599</v>
      </c>
      <c r="J1017" s="15">
        <v>0.146596858638743</v>
      </c>
      <c r="K1017" s="15">
        <v>0.15</v>
      </c>
      <c r="L1017" s="15">
        <v>0.12</v>
      </c>
      <c r="M1017" s="15">
        <v>0.12</v>
      </c>
      <c r="N1017" s="15">
        <v>0.12</v>
      </c>
      <c r="O1017" s="15">
        <v>0.13500000000000001</v>
      </c>
      <c r="P1017" s="15">
        <v>0.12</v>
      </c>
      <c r="Q1017" s="15">
        <v>0.09</v>
      </c>
      <c r="R1017" s="15">
        <v>7.4999999999999997E-2</v>
      </c>
      <c r="S1017" s="15">
        <v>7.0000000000000007E-2</v>
      </c>
      <c r="T1017" s="15">
        <v>7.0000000000000007E-2</v>
      </c>
      <c r="U1017" s="15">
        <v>0.06</v>
      </c>
      <c r="V1017" s="15">
        <v>0.09</v>
      </c>
      <c r="W1017" s="15">
        <v>0.11</v>
      </c>
      <c r="X1017" s="15">
        <v>9.5000000000000001E-2</v>
      </c>
      <c r="Y1017" s="15">
        <v>9.5000000000000001E-2</v>
      </c>
      <c r="Z1017" s="15">
        <v>0.1</v>
      </c>
      <c r="AA1017" s="15">
        <v>0.125</v>
      </c>
      <c r="AB1017" s="15">
        <v>0.14499999999999999</v>
      </c>
      <c r="AC1017" s="15">
        <v>0.14000000000000001</v>
      </c>
      <c r="AD1017" s="15">
        <v>0.13</v>
      </c>
      <c r="AE1017" s="15">
        <v>0.125</v>
      </c>
      <c r="AF1017" s="15">
        <v>0.11</v>
      </c>
      <c r="AG1017" s="15">
        <v>0.105</v>
      </c>
      <c r="AH1017" s="15">
        <v>9.5000000000000001E-2</v>
      </c>
      <c r="AI1017" s="15">
        <v>0.1</v>
      </c>
      <c r="AJ1017" s="15">
        <v>0.1</v>
      </c>
      <c r="AK1017" s="15">
        <v>0.13</v>
      </c>
      <c r="AL1017" s="15">
        <v>0.11</v>
      </c>
      <c r="AM1017" s="15">
        <v>0.11</v>
      </c>
      <c r="AN1017" s="15">
        <v>0.115</v>
      </c>
      <c r="AO1017" s="15">
        <v>0.12</v>
      </c>
      <c r="AP1017" s="15">
        <v>0.115</v>
      </c>
      <c r="AQ1017" s="15">
        <v>0.13500000000000001</v>
      </c>
      <c r="AR1017" s="15">
        <v>0.125</v>
      </c>
      <c r="AS1017" s="15">
        <v>0.13500000000000001</v>
      </c>
      <c r="AT1017" s="15">
        <v>0.125</v>
      </c>
      <c r="AU1017" s="15">
        <v>0.125</v>
      </c>
      <c r="AV1017" s="15">
        <v>0.13</v>
      </c>
      <c r="AW1017" s="15">
        <v>0.105</v>
      </c>
      <c r="AX1017" s="15">
        <v>0.115</v>
      </c>
      <c r="AY1017" s="15">
        <v>0.13</v>
      </c>
      <c r="AZ1017" s="15">
        <v>0.125</v>
      </c>
      <c r="BA1017" s="15">
        <v>0.115</v>
      </c>
      <c r="BB1017" s="15">
        <v>0.12</v>
      </c>
      <c r="BC1017" s="15">
        <v>0.14000000000000001</v>
      </c>
      <c r="BD1017" s="15">
        <v>0.155</v>
      </c>
      <c r="BE1017" s="15">
        <v>0.13</v>
      </c>
      <c r="BF1017" s="15">
        <v>0.125</v>
      </c>
      <c r="BG1017" s="15">
        <v>0.13</v>
      </c>
      <c r="BH1017" s="15">
        <v>0.14000000000000001</v>
      </c>
      <c r="BI1017" s="15">
        <v>0.14000000000000001</v>
      </c>
      <c r="BJ1017" s="15">
        <v>0.14000000000000001</v>
      </c>
      <c r="BK1017" s="15">
        <v>0.13</v>
      </c>
      <c r="BL1017" s="15">
        <v>0.12</v>
      </c>
      <c r="BM1017" s="15">
        <v>0.14499999999999999</v>
      </c>
      <c r="BN1017" s="15">
        <v>0.155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Results</vt:lpstr>
      <vt:lpstr>KOSPI_TRD</vt:lpstr>
      <vt:lpstr>KOSPI_FWD</vt:lpstr>
      <vt:lpstr>KOSPI+KOSDAQ_TRD</vt:lpstr>
      <vt:lpstr>KOSPI+KOSDAQ_FWD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2017-06-15T05:40:22Z</dcterms:created>
  <dcterms:modified xsi:type="dcterms:W3CDTF">2017-06-21T01:16:57Z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0ff707b2-c94d-470b-bea2-b8972b154913</vt:lpwstr>
  </property>
</Properties>
</file>